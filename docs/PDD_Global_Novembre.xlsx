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RAM_Madagascar-MonitoringandEvaluation/Shared Documents/Monitoring and Evaluation/Planification/Distribution Plan/"/>
    </mc:Choice>
  </mc:AlternateContent>
  <xr:revisionPtr revIDLastSave="6" documentId="8_{AFF056BA-8ABB-47A2-A706-6CB8619F3BE4}" xr6:coauthVersionLast="47" xr6:coauthVersionMax="47" xr10:uidLastSave="{6374F16E-D459-4EE6-A42B-66DACB221512}"/>
  <bookViews>
    <workbookView xWindow="-110" yWindow="-110" windowWidth="19420" windowHeight="11500" firstSheet="2" activeTab="5" xr2:uid="{90DB741A-44F3-4616-92EA-C2AF1944EFE7}"/>
  </bookViews>
  <sheets>
    <sheet name="Sheet4" sheetId="4" state="hidden" r:id="rId1"/>
    <sheet name="scenario 2 SNF" sheetId="7" state="hidden" r:id="rId2"/>
    <sheet name="Recap" sheetId="9" r:id="rId3"/>
    <sheet name="RECAP VF" sheetId="11" state="hidden" r:id="rId4"/>
    <sheet name="RECAPITULATION" sheetId="14" r:id="rId5"/>
    <sheet name="Details" sheetId="1" r:id="rId6"/>
  </sheets>
  <externalReferences>
    <externalReference r:id="rId7"/>
  </externalReferences>
  <definedNames>
    <definedName name="_xlnm._FilterDatabase" localSheetId="5" hidden="1">Details!$A$5:$AL$3916</definedName>
    <definedName name="madmod">[1]info!$F$3:$F$6</definedName>
    <definedName name="Mg_mth">[1]info!$E$10:$E$21</definedName>
    <definedName name="mg_yr">[1]info!$F$10:$F$12</definedName>
    <definedName name="partner">[1]info!$B$3:$B$31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6" i="1" l="1"/>
  <c r="AC196" i="1"/>
  <c r="X196" i="1"/>
  <c r="AK166" i="1"/>
  <c r="AC165" i="1" l="1"/>
  <c r="AB165" i="1"/>
  <c r="X165" i="1"/>
  <c r="AJ165" i="1" s="1"/>
  <c r="AK165" i="1"/>
  <c r="AL196" i="1"/>
  <c r="X3875" i="1" l="1"/>
  <c r="AB3875" i="1"/>
  <c r="AC3875" i="1"/>
  <c r="X3876" i="1"/>
  <c r="AB3876" i="1"/>
  <c r="AC3876" i="1"/>
  <c r="X3877" i="1"/>
  <c r="AB3877" i="1"/>
  <c r="AC3877" i="1"/>
  <c r="X3878" i="1"/>
  <c r="AB3878" i="1"/>
  <c r="AC3878" i="1"/>
  <c r="X3879" i="1"/>
  <c r="AB3879" i="1"/>
  <c r="AC3879" i="1"/>
  <c r="X3880" i="1"/>
  <c r="AB3880" i="1"/>
  <c r="AC3880" i="1"/>
  <c r="AK3852" i="1"/>
  <c r="AK3854" i="1"/>
  <c r="AK3855" i="1"/>
  <c r="AK3856" i="1"/>
  <c r="AJ3846" i="1" l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9" i="1"/>
  <c r="AJ3875" i="1"/>
  <c r="AJ3876" i="1"/>
  <c r="AC3864" i="1"/>
  <c r="AC3865" i="1"/>
  <c r="AC3866" i="1"/>
  <c r="AC3867" i="1"/>
  <c r="AC3868" i="1"/>
  <c r="AC3870" i="1"/>
  <c r="AC3871" i="1"/>
  <c r="AC3872" i="1"/>
  <c r="AC3873" i="1"/>
  <c r="AC3874" i="1"/>
  <c r="AC3863" i="1"/>
  <c r="AB3868" i="1"/>
  <c r="AB3874" i="1"/>
  <c r="AB3873" i="1"/>
  <c r="AB3872" i="1"/>
  <c r="AB3871" i="1"/>
  <c r="AB3870" i="1"/>
  <c r="AB3864" i="1"/>
  <c r="AB3865" i="1"/>
  <c r="AB3866" i="1"/>
  <c r="AB3867" i="1"/>
  <c r="AB3863" i="1"/>
  <c r="X3864" i="1"/>
  <c r="X3865" i="1"/>
  <c r="X3866" i="1"/>
  <c r="X3867" i="1"/>
  <c r="X3868" i="1"/>
  <c r="X3863" i="1"/>
  <c r="X3870" i="1"/>
  <c r="X3871" i="1"/>
  <c r="X3872" i="1"/>
  <c r="X3873" i="1"/>
  <c r="X3874" i="1"/>
  <c r="AL3845" i="1"/>
  <c r="AK3869" i="1"/>
  <c r="AJ3873" i="1" l="1"/>
  <c r="AJ3845" i="1"/>
  <c r="AJ3877" i="1"/>
  <c r="AJ3863" i="1"/>
  <c r="AJ3866" i="1"/>
  <c r="AJ3868" i="1"/>
  <c r="AJ3880" i="1"/>
  <c r="AJ3872" i="1"/>
  <c r="AJ3864" i="1"/>
  <c r="AJ3879" i="1"/>
  <c r="AJ3867" i="1"/>
  <c r="AJ3865" i="1"/>
  <c r="AJ3871" i="1"/>
  <c r="AJ3870" i="1"/>
  <c r="AJ3878" i="1"/>
  <c r="AJ3874" i="1"/>
  <c r="AC206" i="1" l="1"/>
  <c r="AB206" i="1"/>
  <c r="X206" i="1"/>
  <c r="AJ206" i="1" l="1"/>
  <c r="AJ180" i="1"/>
  <c r="AK1164" i="1"/>
  <c r="AK1165" i="1"/>
  <c r="AK1166" i="1"/>
  <c r="AK1168" i="1"/>
  <c r="AK1169" i="1"/>
  <c r="AK1170" i="1"/>
  <c r="AK1171" i="1"/>
  <c r="AK1172" i="1"/>
  <c r="AK1173" i="1"/>
  <c r="AK1174" i="1"/>
  <c r="AK1163" i="1"/>
  <c r="AF373" i="1" l="1"/>
  <c r="AF319" i="1"/>
  <c r="AC319" i="1"/>
  <c r="T319" i="1"/>
  <c r="AF318" i="1"/>
  <c r="AC318" i="1"/>
  <c r="AJ318" i="1" s="1"/>
  <c r="T318" i="1"/>
  <c r="AF317" i="1"/>
  <c r="AC317" i="1"/>
  <c r="T317" i="1"/>
  <c r="AF316" i="1"/>
  <c r="AC316" i="1"/>
  <c r="T316" i="1"/>
  <c r="AF315" i="1"/>
  <c r="AC315" i="1"/>
  <c r="T315" i="1"/>
  <c r="AF314" i="1"/>
  <c r="AC314" i="1"/>
  <c r="T314" i="1"/>
  <c r="AF313" i="1"/>
  <c r="AC313" i="1"/>
  <c r="T313" i="1"/>
  <c r="AF312" i="1"/>
  <c r="AC312" i="1"/>
  <c r="AJ312" i="1" s="1"/>
  <c r="T312" i="1"/>
  <c r="AF311" i="1"/>
  <c r="AC311" i="1"/>
  <c r="T311" i="1"/>
  <c r="AF310" i="1"/>
  <c r="AC310" i="1"/>
  <c r="AJ310" i="1" s="1"/>
  <c r="T310" i="1"/>
  <c r="AF309" i="1"/>
  <c r="AC309" i="1"/>
  <c r="T309" i="1"/>
  <c r="AF308" i="1"/>
  <c r="AC308" i="1"/>
  <c r="T308" i="1"/>
  <c r="AF307" i="1"/>
  <c r="AC307" i="1"/>
  <c r="T307" i="1"/>
  <c r="AF306" i="1"/>
  <c r="AC306" i="1"/>
  <c r="T306" i="1"/>
  <c r="AF305" i="1"/>
  <c r="AC305" i="1"/>
  <c r="T305" i="1"/>
  <c r="AF304" i="1"/>
  <c r="AC304" i="1"/>
  <c r="AJ304" i="1" s="1"/>
  <c r="T304" i="1"/>
  <c r="AF303" i="1"/>
  <c r="AC303" i="1"/>
  <c r="T303" i="1"/>
  <c r="AF302" i="1"/>
  <c r="AC302" i="1"/>
  <c r="AJ302" i="1" s="1"/>
  <c r="T302" i="1"/>
  <c r="AF301" i="1"/>
  <c r="AC301" i="1"/>
  <c r="T301" i="1"/>
  <c r="AF300" i="1"/>
  <c r="AC300" i="1"/>
  <c r="AJ300" i="1" s="1"/>
  <c r="T300" i="1"/>
  <c r="AF299" i="1"/>
  <c r="AC299" i="1"/>
  <c r="T299" i="1"/>
  <c r="AF298" i="1"/>
  <c r="AC298" i="1"/>
  <c r="T298" i="1"/>
  <c r="AF297" i="1"/>
  <c r="AC297" i="1"/>
  <c r="T297" i="1"/>
  <c r="AF296" i="1"/>
  <c r="AC296" i="1"/>
  <c r="AJ296" i="1" s="1"/>
  <c r="T296" i="1"/>
  <c r="AF295" i="1"/>
  <c r="AC295" i="1"/>
  <c r="T295" i="1"/>
  <c r="AF294" i="1"/>
  <c r="AC294" i="1"/>
  <c r="T294" i="1"/>
  <c r="AF293" i="1"/>
  <c r="AC293" i="1"/>
  <c r="T293" i="1"/>
  <c r="AF292" i="1"/>
  <c r="AC292" i="1"/>
  <c r="AJ292" i="1" s="1"/>
  <c r="T292" i="1"/>
  <c r="AF291" i="1"/>
  <c r="AC291" i="1"/>
  <c r="T291" i="1"/>
  <c r="AF290" i="1"/>
  <c r="AC290" i="1"/>
  <c r="T290" i="1"/>
  <c r="AF289" i="1"/>
  <c r="AC289" i="1"/>
  <c r="T289" i="1"/>
  <c r="AF288" i="1"/>
  <c r="AC288" i="1"/>
  <c r="AJ288" i="1" s="1"/>
  <c r="T288" i="1"/>
  <c r="AF287" i="1"/>
  <c r="AC287" i="1"/>
  <c r="T287" i="1"/>
  <c r="AF286" i="1"/>
  <c r="AC286" i="1"/>
  <c r="AJ286" i="1" s="1"/>
  <c r="T286" i="1"/>
  <c r="AF285" i="1"/>
  <c r="AC285" i="1"/>
  <c r="T285" i="1"/>
  <c r="AF284" i="1"/>
  <c r="AC284" i="1"/>
  <c r="AJ284" i="1" s="1"/>
  <c r="T284" i="1"/>
  <c r="AF283" i="1"/>
  <c r="AC283" i="1"/>
  <c r="T283" i="1"/>
  <c r="AF282" i="1"/>
  <c r="AC282" i="1"/>
  <c r="T282" i="1"/>
  <c r="AF281" i="1"/>
  <c r="AC281" i="1"/>
  <c r="T281" i="1"/>
  <c r="AF280" i="1"/>
  <c r="AC280" i="1"/>
  <c r="AJ280" i="1" s="1"/>
  <c r="T280" i="1"/>
  <c r="AF279" i="1"/>
  <c r="AC279" i="1"/>
  <c r="T279" i="1"/>
  <c r="AF278" i="1"/>
  <c r="AC278" i="1"/>
  <c r="AJ278" i="1" s="1"/>
  <c r="T278" i="1"/>
  <c r="AF277" i="1"/>
  <c r="AC277" i="1"/>
  <c r="T277" i="1"/>
  <c r="AF276" i="1"/>
  <c r="AC276" i="1"/>
  <c r="AJ276" i="1" s="1"/>
  <c r="T276" i="1"/>
  <c r="AF275" i="1"/>
  <c r="AC275" i="1"/>
  <c r="T275" i="1"/>
  <c r="AF274" i="1"/>
  <c r="AC274" i="1"/>
  <c r="T274" i="1"/>
  <c r="AF273" i="1"/>
  <c r="AC273" i="1"/>
  <c r="T273" i="1"/>
  <c r="AF272" i="1"/>
  <c r="AC272" i="1"/>
  <c r="AJ272" i="1" s="1"/>
  <c r="T272" i="1"/>
  <c r="AF271" i="1"/>
  <c r="AC271" i="1"/>
  <c r="T271" i="1"/>
  <c r="AF270" i="1"/>
  <c r="AC270" i="1"/>
  <c r="AJ270" i="1" s="1"/>
  <c r="T270" i="1"/>
  <c r="AF269" i="1"/>
  <c r="AC269" i="1"/>
  <c r="T269" i="1"/>
  <c r="AF268" i="1"/>
  <c r="AC268" i="1"/>
  <c r="AJ268" i="1" s="1"/>
  <c r="T268" i="1"/>
  <c r="AF267" i="1"/>
  <c r="AC267" i="1"/>
  <c r="T267" i="1"/>
  <c r="T266" i="1"/>
  <c r="AH266" i="1" s="1"/>
  <c r="AJ266" i="1" s="1"/>
  <c r="T265" i="1"/>
  <c r="AH265" i="1" s="1"/>
  <c r="AJ265" i="1" s="1"/>
  <c r="T264" i="1"/>
  <c r="AH264" i="1" s="1"/>
  <c r="AJ264" i="1" s="1"/>
  <c r="T263" i="1"/>
  <c r="AH263" i="1" s="1"/>
  <c r="AJ263" i="1" s="1"/>
  <c r="T262" i="1"/>
  <c r="AH262" i="1" s="1"/>
  <c r="AJ262" i="1" s="1"/>
  <c r="T261" i="1"/>
  <c r="AH261" i="1" s="1"/>
  <c r="AJ261" i="1" s="1"/>
  <c r="T260" i="1"/>
  <c r="AH260" i="1" s="1"/>
  <c r="AJ260" i="1" s="1"/>
  <c r="T259" i="1"/>
  <c r="AH259" i="1" s="1"/>
  <c r="AJ259" i="1" s="1"/>
  <c r="T258" i="1"/>
  <c r="AH258" i="1" s="1"/>
  <c r="AJ258" i="1" s="1"/>
  <c r="T257" i="1"/>
  <c r="AH257" i="1" s="1"/>
  <c r="AJ257" i="1" s="1"/>
  <c r="T256" i="1"/>
  <c r="AH256" i="1" s="1"/>
  <c r="AJ256" i="1" s="1"/>
  <c r="T255" i="1"/>
  <c r="AH255" i="1" s="1"/>
  <c r="AJ255" i="1" s="1"/>
  <c r="T254" i="1"/>
  <c r="AH254" i="1" s="1"/>
  <c r="AJ254" i="1" s="1"/>
  <c r="T253" i="1"/>
  <c r="AH253" i="1" s="1"/>
  <c r="AJ253" i="1" s="1"/>
  <c r="T252" i="1"/>
  <c r="AH252" i="1" s="1"/>
  <c r="AJ252" i="1" s="1"/>
  <c r="T251" i="1"/>
  <c r="AH251" i="1" s="1"/>
  <c r="AJ251" i="1" s="1"/>
  <c r="T250" i="1"/>
  <c r="AH250" i="1" s="1"/>
  <c r="AJ250" i="1" s="1"/>
  <c r="T249" i="1"/>
  <c r="AH249" i="1" s="1"/>
  <c r="AJ249" i="1" s="1"/>
  <c r="T248" i="1"/>
  <c r="AH248" i="1" s="1"/>
  <c r="AJ248" i="1" s="1"/>
  <c r="T247" i="1"/>
  <c r="AH247" i="1" s="1"/>
  <c r="AJ247" i="1" s="1"/>
  <c r="T246" i="1"/>
  <c r="AH246" i="1" s="1"/>
  <c r="AJ246" i="1" s="1"/>
  <c r="T245" i="1"/>
  <c r="AH245" i="1" s="1"/>
  <c r="AJ245" i="1" s="1"/>
  <c r="T244" i="1"/>
  <c r="AH244" i="1" s="1"/>
  <c r="AJ244" i="1" s="1"/>
  <c r="T243" i="1"/>
  <c r="AH243" i="1" s="1"/>
  <c r="AJ243" i="1" s="1"/>
  <c r="T242" i="1"/>
  <c r="AH242" i="1" s="1"/>
  <c r="AJ242" i="1" s="1"/>
  <c r="T241" i="1"/>
  <c r="AH241" i="1" s="1"/>
  <c r="AJ241" i="1" s="1"/>
  <c r="T240" i="1"/>
  <c r="AH240" i="1" s="1"/>
  <c r="AJ240" i="1" s="1"/>
  <c r="T239" i="1"/>
  <c r="AH239" i="1" s="1"/>
  <c r="AJ239" i="1" s="1"/>
  <c r="T238" i="1"/>
  <c r="AH238" i="1" s="1"/>
  <c r="AJ238" i="1" s="1"/>
  <c r="T237" i="1"/>
  <c r="AH237" i="1" s="1"/>
  <c r="AJ237" i="1" s="1"/>
  <c r="T236" i="1"/>
  <c r="AH236" i="1" s="1"/>
  <c r="AJ236" i="1" s="1"/>
  <c r="AH235" i="1"/>
  <c r="AJ235" i="1" s="1"/>
  <c r="T235" i="1"/>
  <c r="AH234" i="1"/>
  <c r="AJ234" i="1" s="1"/>
  <c r="T234" i="1"/>
  <c r="AH233" i="1"/>
  <c r="AJ233" i="1" s="1"/>
  <c r="T233" i="1"/>
  <c r="AH232" i="1"/>
  <c r="AJ232" i="1" s="1"/>
  <c r="T232" i="1"/>
  <c r="AH231" i="1"/>
  <c r="AJ231" i="1" s="1"/>
  <c r="T231" i="1"/>
  <c r="AH230" i="1"/>
  <c r="AJ230" i="1" s="1"/>
  <c r="T230" i="1"/>
  <c r="AH229" i="1"/>
  <c r="AJ229" i="1" s="1"/>
  <c r="T229" i="1"/>
  <c r="AH228" i="1"/>
  <c r="AJ228" i="1" s="1"/>
  <c r="T228" i="1"/>
  <c r="AH227" i="1"/>
  <c r="AJ227" i="1" s="1"/>
  <c r="T227" i="1"/>
  <c r="AH226" i="1"/>
  <c r="AJ226" i="1" s="1"/>
  <c r="T226" i="1"/>
  <c r="AH225" i="1"/>
  <c r="AJ225" i="1" s="1"/>
  <c r="T225" i="1"/>
  <c r="AH224" i="1"/>
  <c r="AJ224" i="1" s="1"/>
  <c r="T224" i="1"/>
  <c r="AH223" i="1"/>
  <c r="AJ223" i="1" s="1"/>
  <c r="T223" i="1"/>
  <c r="AH222" i="1"/>
  <c r="AJ222" i="1" s="1"/>
  <c r="T222" i="1"/>
  <c r="AH221" i="1"/>
  <c r="AJ221" i="1" s="1"/>
  <c r="T221" i="1"/>
  <c r="T220" i="1"/>
  <c r="AH220" i="1" s="1"/>
  <c r="AJ220" i="1" s="1"/>
  <c r="T219" i="1"/>
  <c r="AH219" i="1" s="1"/>
  <c r="AJ219" i="1" s="1"/>
  <c r="T218" i="1"/>
  <c r="AH218" i="1" s="1"/>
  <c r="AJ218" i="1" s="1"/>
  <c r="T217" i="1"/>
  <c r="AH217" i="1" s="1"/>
  <c r="AJ217" i="1" s="1"/>
  <c r="T216" i="1"/>
  <c r="AH216" i="1" s="1"/>
  <c r="AJ216" i="1" s="1"/>
  <c r="T215" i="1"/>
  <c r="AH215" i="1" s="1"/>
  <c r="AJ215" i="1" s="1"/>
  <c r="T214" i="1"/>
  <c r="AH214" i="1" s="1"/>
  <c r="AJ214" i="1" s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C374" i="1"/>
  <c r="AJ374" i="1" s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J388" i="1" s="1"/>
  <c r="AC389" i="1"/>
  <c r="AJ389" i="1" s="1"/>
  <c r="AC390" i="1"/>
  <c r="AJ390" i="1" s="1"/>
  <c r="AC391" i="1"/>
  <c r="AC392" i="1"/>
  <c r="AC393" i="1"/>
  <c r="AC394" i="1"/>
  <c r="AC395" i="1"/>
  <c r="AC396" i="1"/>
  <c r="AC397" i="1"/>
  <c r="AC398" i="1"/>
  <c r="AJ398" i="1" s="1"/>
  <c r="AC399" i="1"/>
  <c r="AC400" i="1"/>
  <c r="AC401" i="1"/>
  <c r="AC402" i="1"/>
  <c r="AC403" i="1"/>
  <c r="AC404" i="1"/>
  <c r="AJ404" i="1" s="1"/>
  <c r="AC405" i="1"/>
  <c r="AJ405" i="1" s="1"/>
  <c r="AC406" i="1"/>
  <c r="AC407" i="1"/>
  <c r="AC408" i="1"/>
  <c r="AC409" i="1"/>
  <c r="AC410" i="1"/>
  <c r="AC411" i="1"/>
  <c r="AC412" i="1"/>
  <c r="AC413" i="1"/>
  <c r="AJ413" i="1" s="1"/>
  <c r="AC414" i="1"/>
  <c r="AJ414" i="1" s="1"/>
  <c r="AC415" i="1"/>
  <c r="AC416" i="1"/>
  <c r="AC417" i="1"/>
  <c r="AC418" i="1"/>
  <c r="AC419" i="1"/>
  <c r="AC420" i="1"/>
  <c r="AC421" i="1"/>
  <c r="AC422" i="1"/>
  <c r="AJ422" i="1" s="1"/>
  <c r="AC423" i="1"/>
  <c r="AC424" i="1"/>
  <c r="AC425" i="1"/>
  <c r="AC37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211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211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22" i="1"/>
  <c r="AC209" i="1"/>
  <c r="AC208" i="1"/>
  <c r="AC207" i="1"/>
  <c r="AC204" i="1"/>
  <c r="AC203" i="1"/>
  <c r="AC198" i="1"/>
  <c r="AC197" i="1"/>
  <c r="AC195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78" i="1"/>
  <c r="AC177" i="1"/>
  <c r="AC176" i="1"/>
  <c r="AC175" i="1"/>
  <c r="AC174" i="1"/>
  <c r="AC172" i="1"/>
  <c r="AC171" i="1"/>
  <c r="AC170" i="1"/>
  <c r="AC168" i="1"/>
  <c r="AC164" i="1"/>
  <c r="AC163" i="1"/>
  <c r="AC161" i="1"/>
  <c r="AC160" i="1"/>
  <c r="AB209" i="1"/>
  <c r="AB208" i="1"/>
  <c r="AB207" i="1"/>
  <c r="AB204" i="1"/>
  <c r="AB203" i="1"/>
  <c r="AB198" i="1"/>
  <c r="AB197" i="1"/>
  <c r="AB195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78" i="1"/>
  <c r="AB177" i="1"/>
  <c r="AB176" i="1"/>
  <c r="AB175" i="1"/>
  <c r="AB174" i="1"/>
  <c r="AB172" i="1"/>
  <c r="AB171" i="1"/>
  <c r="AB170" i="1"/>
  <c r="AB168" i="1"/>
  <c r="AB164" i="1"/>
  <c r="AB163" i="1"/>
  <c r="AB161" i="1"/>
  <c r="AB160" i="1"/>
  <c r="X211" i="1"/>
  <c r="X209" i="1"/>
  <c r="X208" i="1"/>
  <c r="X207" i="1"/>
  <c r="X204" i="1"/>
  <c r="X203" i="1"/>
  <c r="X198" i="1"/>
  <c r="X197" i="1"/>
  <c r="X195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78" i="1"/>
  <c r="X177" i="1"/>
  <c r="X176" i="1"/>
  <c r="X175" i="1"/>
  <c r="X174" i="1"/>
  <c r="X172" i="1"/>
  <c r="X171" i="1"/>
  <c r="X170" i="1"/>
  <c r="X168" i="1"/>
  <c r="X164" i="1"/>
  <c r="X163" i="1"/>
  <c r="X161" i="1"/>
  <c r="X160" i="1"/>
  <c r="AJ421" i="1" l="1"/>
  <c r="AJ420" i="1"/>
  <c r="AJ382" i="1"/>
  <c r="AJ412" i="1"/>
  <c r="AJ294" i="1"/>
  <c r="AJ397" i="1"/>
  <c r="AJ396" i="1"/>
  <c r="AJ175" i="1"/>
  <c r="AJ209" i="1"/>
  <c r="AJ161" i="1"/>
  <c r="AJ185" i="1"/>
  <c r="AJ319" i="1"/>
  <c r="AJ419" i="1"/>
  <c r="AJ411" i="1"/>
  <c r="AJ403" i="1"/>
  <c r="AJ395" i="1"/>
  <c r="AJ387" i="1"/>
  <c r="AJ379" i="1"/>
  <c r="AJ380" i="1"/>
  <c r="AJ279" i="1"/>
  <c r="AJ287" i="1"/>
  <c r="AJ295" i="1"/>
  <c r="AJ303" i="1"/>
  <c r="AJ163" i="1"/>
  <c r="AJ186" i="1"/>
  <c r="AJ176" i="1"/>
  <c r="AJ195" i="1"/>
  <c r="AJ308" i="1"/>
  <c r="AJ406" i="1"/>
  <c r="AJ211" i="1"/>
  <c r="AJ316" i="1"/>
  <c r="AJ424" i="1"/>
  <c r="AJ416" i="1"/>
  <c r="AJ408" i="1"/>
  <c r="AJ400" i="1"/>
  <c r="AJ392" i="1"/>
  <c r="AJ384" i="1"/>
  <c r="AJ1128" i="1"/>
  <c r="AJ1150" i="1"/>
  <c r="AJ168" i="1"/>
  <c r="AJ171" i="1"/>
  <c r="AJ190" i="1"/>
  <c r="AJ1140" i="1"/>
  <c r="AJ1124" i="1"/>
  <c r="AJ178" i="1"/>
  <c r="AJ182" i="1"/>
  <c r="AJ1122" i="1"/>
  <c r="AJ1144" i="1"/>
  <c r="AJ208" i="1"/>
  <c r="AJ1162" i="1"/>
  <c r="AJ1154" i="1"/>
  <c r="AJ1146" i="1"/>
  <c r="AJ193" i="1"/>
  <c r="AJ1153" i="1"/>
  <c r="AJ1137" i="1"/>
  <c r="AJ1129" i="1"/>
  <c r="AJ187" i="1"/>
  <c r="AJ197" i="1"/>
  <c r="AJ1159" i="1"/>
  <c r="AJ1143" i="1"/>
  <c r="AJ1135" i="1"/>
  <c r="AJ198" i="1"/>
  <c r="AJ170" i="1"/>
  <c r="AJ189" i="1"/>
  <c r="AJ203" i="1"/>
  <c r="AJ1125" i="1"/>
  <c r="AJ172" i="1"/>
  <c r="AJ183" i="1"/>
  <c r="AJ1155" i="1"/>
  <c r="AJ1147" i="1"/>
  <c r="AJ1139" i="1"/>
  <c r="AJ1131" i="1"/>
  <c r="AJ1130" i="1"/>
  <c r="AJ1141" i="1"/>
  <c r="AJ1157" i="1"/>
  <c r="AJ1133" i="1"/>
  <c r="AJ1149" i="1"/>
  <c r="AJ174" i="1"/>
  <c r="AJ184" i="1"/>
  <c r="AJ192" i="1"/>
  <c r="AJ1138" i="1"/>
  <c r="AJ1160" i="1"/>
  <c r="AJ1152" i="1"/>
  <c r="AJ1136" i="1"/>
  <c r="AJ164" i="1"/>
  <c r="AJ1151" i="1"/>
  <c r="AJ188" i="1"/>
  <c r="AJ1158" i="1"/>
  <c r="AJ1142" i="1"/>
  <c r="AJ1134" i="1"/>
  <c r="AJ1126" i="1"/>
  <c r="AJ373" i="1"/>
  <c r="AJ1161" i="1"/>
  <c r="AJ425" i="1"/>
  <c r="AJ417" i="1"/>
  <c r="AJ409" i="1"/>
  <c r="AJ401" i="1"/>
  <c r="AJ393" i="1"/>
  <c r="AJ385" i="1"/>
  <c r="AJ1145" i="1"/>
  <c r="AJ177" i="1"/>
  <c r="AJ1127" i="1"/>
  <c r="AJ181" i="1"/>
  <c r="AJ204" i="1"/>
  <c r="AJ1156" i="1"/>
  <c r="AJ1148" i="1"/>
  <c r="AJ1132" i="1"/>
  <c r="AJ376" i="1"/>
  <c r="AJ191" i="1"/>
  <c r="AJ207" i="1"/>
  <c r="AJ1123" i="1"/>
  <c r="AJ269" i="1"/>
  <c r="AJ277" i="1"/>
  <c r="AJ285" i="1"/>
  <c r="AJ293" i="1"/>
  <c r="AJ301" i="1"/>
  <c r="AJ309" i="1"/>
  <c r="AJ317" i="1"/>
  <c r="AJ381" i="1"/>
  <c r="AJ267" i="1"/>
  <c r="AJ275" i="1"/>
  <c r="AJ283" i="1"/>
  <c r="AJ291" i="1"/>
  <c r="AJ299" i="1"/>
  <c r="AJ307" i="1"/>
  <c r="AJ315" i="1"/>
  <c r="AJ418" i="1"/>
  <c r="AJ410" i="1"/>
  <c r="AJ402" i="1"/>
  <c r="AJ394" i="1"/>
  <c r="AJ386" i="1"/>
  <c r="AJ378" i="1"/>
  <c r="AJ273" i="1"/>
  <c r="AJ281" i="1"/>
  <c r="AJ289" i="1"/>
  <c r="AJ297" i="1"/>
  <c r="AJ305" i="1"/>
  <c r="AJ313" i="1"/>
  <c r="AJ311" i="1"/>
  <c r="AJ423" i="1"/>
  <c r="AJ415" i="1"/>
  <c r="AJ407" i="1"/>
  <c r="AJ399" i="1"/>
  <c r="AJ391" i="1"/>
  <c r="AJ383" i="1"/>
  <c r="AJ375" i="1"/>
  <c r="AJ274" i="1"/>
  <c r="AJ282" i="1"/>
  <c r="AJ290" i="1"/>
  <c r="AJ298" i="1"/>
  <c r="AJ306" i="1"/>
  <c r="AJ314" i="1"/>
  <c r="AJ271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374" i="1"/>
  <c r="T375" i="1"/>
  <c r="T376" i="1"/>
  <c r="T373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20" i="1"/>
  <c r="AH320" i="1" s="1"/>
  <c r="AJ320" i="1" s="1"/>
  <c r="T161" i="1"/>
  <c r="T162" i="1"/>
  <c r="AK162" i="1" s="1"/>
  <c r="T163" i="1"/>
  <c r="T164" i="1"/>
  <c r="AL166" i="1"/>
  <c r="T167" i="1"/>
  <c r="AK167" i="1" s="1"/>
  <c r="T168" i="1"/>
  <c r="T169" i="1"/>
  <c r="AK169" i="1" s="1"/>
  <c r="T170" i="1"/>
  <c r="T171" i="1"/>
  <c r="T172" i="1"/>
  <c r="T173" i="1"/>
  <c r="T174" i="1"/>
  <c r="T175" i="1"/>
  <c r="T176" i="1"/>
  <c r="T177" i="1"/>
  <c r="T178" i="1"/>
  <c r="T179" i="1"/>
  <c r="AK179" i="1" s="1"/>
  <c r="T180" i="1"/>
  <c r="AK180" i="1" s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AK194" i="1" s="1"/>
  <c r="T195" i="1"/>
  <c r="T196" i="1"/>
  <c r="T197" i="1"/>
  <c r="T198" i="1"/>
  <c r="T199" i="1"/>
  <c r="AK199" i="1" s="1"/>
  <c r="T200" i="1"/>
  <c r="AK200" i="1" s="1"/>
  <c r="T201" i="1"/>
  <c r="AK201" i="1" s="1"/>
  <c r="T202" i="1"/>
  <c r="AK202" i="1" s="1"/>
  <c r="T203" i="1"/>
  <c r="T204" i="1"/>
  <c r="T205" i="1"/>
  <c r="T206" i="1"/>
  <c r="T207" i="1"/>
  <c r="T208" i="1"/>
  <c r="T209" i="1"/>
  <c r="T210" i="1"/>
  <c r="T211" i="1"/>
  <c r="T212" i="1"/>
  <c r="AK212" i="1" s="1"/>
  <c r="T213" i="1"/>
  <c r="AK213" i="1" s="1"/>
  <c r="AK42" i="1"/>
  <c r="AL42" i="1" s="1"/>
  <c r="S42" i="1"/>
  <c r="AK28" i="1"/>
  <c r="AL28" i="1" s="1"/>
  <c r="S28" i="1"/>
  <c r="AK14" i="1"/>
  <c r="AL14" i="1" s="1"/>
  <c r="S14" i="1"/>
  <c r="AK205" i="1" l="1"/>
  <c r="AL205" i="1" s="1"/>
  <c r="AK173" i="1"/>
  <c r="AL173" i="1" s="1"/>
  <c r="AK210" i="1"/>
  <c r="AL210" i="1" s="1"/>
  <c r="AL162" i="1"/>
  <c r="T1167" i="1"/>
  <c r="AK1167" i="1" s="1"/>
  <c r="T3844" i="1"/>
  <c r="T3843" i="1"/>
  <c r="T3842" i="1"/>
  <c r="T3841" i="1"/>
  <c r="T3840" i="1"/>
  <c r="T3839" i="1"/>
  <c r="T3838" i="1"/>
  <c r="T3837" i="1"/>
  <c r="T3836" i="1"/>
  <c r="T3835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160" i="1"/>
  <c r="AF3816" i="1"/>
  <c r="AC3816" i="1"/>
  <c r="AJ3816" i="1" s="1"/>
  <c r="AH3793" i="1"/>
  <c r="S1860" i="1" l="1"/>
  <c r="S1861" i="1"/>
  <c r="S1862" i="1"/>
  <c r="S1863" i="1"/>
  <c r="S1864" i="1"/>
  <c r="S1865" i="1"/>
  <c r="S1866" i="1"/>
  <c r="S1867" i="1"/>
  <c r="S1868" i="1"/>
  <c r="S1859" i="1"/>
  <c r="AF3899" i="1"/>
  <c r="AC3900" i="1" l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S3882" i="1"/>
  <c r="AH3882" i="1" s="1"/>
  <c r="AJ3882" i="1" s="1"/>
  <c r="S3883" i="1"/>
  <c r="AH3883" i="1" s="1"/>
  <c r="AJ3883" i="1" s="1"/>
  <c r="S3884" i="1"/>
  <c r="AH3884" i="1" s="1"/>
  <c r="AJ3884" i="1" s="1"/>
  <c r="S3885" i="1"/>
  <c r="AH3885" i="1" s="1"/>
  <c r="AJ3885" i="1" s="1"/>
  <c r="S3886" i="1"/>
  <c r="AH3886" i="1" s="1"/>
  <c r="AJ3886" i="1" s="1"/>
  <c r="S3887" i="1"/>
  <c r="AH3887" i="1" s="1"/>
  <c r="AJ3887" i="1" s="1"/>
  <c r="S3888" i="1"/>
  <c r="AH3888" i="1" s="1"/>
  <c r="AJ3888" i="1" s="1"/>
  <c r="S3889" i="1"/>
  <c r="AH3889" i="1" s="1"/>
  <c r="AJ3889" i="1" s="1"/>
  <c r="S3890" i="1"/>
  <c r="AH3890" i="1" s="1"/>
  <c r="AJ3890" i="1" s="1"/>
  <c r="S3891" i="1"/>
  <c r="AH3891" i="1" s="1"/>
  <c r="AJ3891" i="1" s="1"/>
  <c r="S3892" i="1"/>
  <c r="AH3892" i="1" s="1"/>
  <c r="AJ3892" i="1" s="1"/>
  <c r="S3893" i="1"/>
  <c r="AH3893" i="1" s="1"/>
  <c r="AJ3893" i="1" s="1"/>
  <c r="S3894" i="1"/>
  <c r="AH3894" i="1" s="1"/>
  <c r="AJ3894" i="1" s="1"/>
  <c r="S3895" i="1"/>
  <c r="AH3895" i="1" s="1"/>
  <c r="AJ3895" i="1" s="1"/>
  <c r="S3896" i="1"/>
  <c r="AH3896" i="1" s="1"/>
  <c r="AJ3896" i="1" s="1"/>
  <c r="S3897" i="1"/>
  <c r="AH3897" i="1" s="1"/>
  <c r="AJ3897" i="1" s="1"/>
  <c r="S3898" i="1"/>
  <c r="AH3898" i="1" s="1"/>
  <c r="AJ3898" i="1" s="1"/>
  <c r="S3881" i="1"/>
  <c r="AH3881" i="1" s="1"/>
  <c r="AJ3881" i="1" s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J3913" i="1" l="1"/>
  <c r="AJ3912" i="1"/>
  <c r="AJ3901" i="1"/>
  <c r="AJ3910" i="1"/>
  <c r="AJ3911" i="1"/>
  <c r="AJ3903" i="1"/>
  <c r="AJ3914" i="1"/>
  <c r="AJ3904" i="1"/>
  <c r="AJ3906" i="1"/>
  <c r="AJ3902" i="1"/>
  <c r="AJ3907" i="1"/>
  <c r="AJ3909" i="1"/>
  <c r="AJ3905" i="1"/>
  <c r="AJ3916" i="1"/>
  <c r="AJ3908" i="1"/>
  <c r="AJ3900" i="1"/>
  <c r="AJ3915" i="1"/>
  <c r="AJ3899" i="1"/>
  <c r="AL3880" i="1" l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K3847" i="1"/>
  <c r="AL3847" i="1" s="1"/>
  <c r="AK3848" i="1"/>
  <c r="AL3848" i="1" s="1"/>
  <c r="AK3849" i="1"/>
  <c r="AL3849" i="1" s="1"/>
  <c r="AK3850" i="1"/>
  <c r="AL3850" i="1" s="1"/>
  <c r="AK3851" i="1"/>
  <c r="AL3851" i="1" s="1"/>
  <c r="AL3852" i="1"/>
  <c r="AK3853" i="1"/>
  <c r="AL3853" i="1" s="1"/>
  <c r="AL3854" i="1"/>
  <c r="AL3855" i="1"/>
  <c r="AL3856" i="1"/>
  <c r="AK3857" i="1"/>
  <c r="AL3857" i="1" s="1"/>
  <c r="AK3858" i="1"/>
  <c r="AL3858" i="1" s="1"/>
  <c r="AK3859" i="1"/>
  <c r="AL3859" i="1" s="1"/>
  <c r="AK3860" i="1"/>
  <c r="AL3860" i="1" s="1"/>
  <c r="AK3861" i="1"/>
  <c r="AL3861" i="1" s="1"/>
  <c r="AK3862" i="1"/>
  <c r="AL3862" i="1" s="1"/>
  <c r="AK3846" i="1"/>
  <c r="AL3846" i="1" s="1"/>
  <c r="AH3836" i="1"/>
  <c r="AJ3836" i="1" s="1"/>
  <c r="AH3837" i="1"/>
  <c r="AJ3837" i="1" s="1"/>
  <c r="AH3838" i="1"/>
  <c r="AJ3838" i="1" s="1"/>
  <c r="AH3839" i="1"/>
  <c r="AJ3839" i="1" s="1"/>
  <c r="AH3840" i="1"/>
  <c r="AJ3840" i="1" s="1"/>
  <c r="AH3841" i="1"/>
  <c r="AJ3841" i="1" s="1"/>
  <c r="AH3842" i="1"/>
  <c r="AJ3842" i="1" s="1"/>
  <c r="AH3843" i="1"/>
  <c r="AJ3843" i="1" s="1"/>
  <c r="AH3844" i="1"/>
  <c r="AJ3844" i="1" s="1"/>
  <c r="AH3835" i="1"/>
  <c r="AJ3835" i="1" s="1"/>
  <c r="AK3766" i="1"/>
  <c r="AL3766" i="1" s="1"/>
  <c r="AK3767" i="1"/>
  <c r="AL3767" i="1" s="1"/>
  <c r="AK3768" i="1"/>
  <c r="AL3768" i="1" s="1"/>
  <c r="AK3769" i="1"/>
  <c r="AL3769" i="1" s="1"/>
  <c r="AK3770" i="1"/>
  <c r="AL3770" i="1" s="1"/>
  <c r="AK3771" i="1"/>
  <c r="AL3771" i="1" s="1"/>
  <c r="AK3772" i="1"/>
  <c r="AL3772" i="1" s="1"/>
  <c r="AK3773" i="1"/>
  <c r="AL3773" i="1" s="1"/>
  <c r="AK3774" i="1"/>
  <c r="AL3774" i="1" s="1"/>
  <c r="AK3775" i="1"/>
  <c r="AL3775" i="1" s="1"/>
  <c r="AK3776" i="1"/>
  <c r="AL3776" i="1" s="1"/>
  <c r="AK3777" i="1"/>
  <c r="AL3777" i="1" s="1"/>
  <c r="AK3778" i="1"/>
  <c r="AL3778" i="1" s="1"/>
  <c r="AF3834" i="1"/>
  <c r="AC3834" i="1"/>
  <c r="AF3833" i="1"/>
  <c r="AC3833" i="1"/>
  <c r="AF3832" i="1"/>
  <c r="AC3832" i="1"/>
  <c r="AF3831" i="1"/>
  <c r="AC3831" i="1"/>
  <c r="AF3830" i="1"/>
  <c r="AC3830" i="1"/>
  <c r="AF3829" i="1"/>
  <c r="AC3829" i="1"/>
  <c r="AF3828" i="1"/>
  <c r="AC3828" i="1"/>
  <c r="AF3827" i="1"/>
  <c r="AC3827" i="1"/>
  <c r="AF3826" i="1"/>
  <c r="AC3826" i="1"/>
  <c r="AF3825" i="1"/>
  <c r="AC3825" i="1"/>
  <c r="AF3824" i="1"/>
  <c r="AC3824" i="1"/>
  <c r="AF3823" i="1"/>
  <c r="AC3823" i="1"/>
  <c r="AF3822" i="1"/>
  <c r="AC3822" i="1"/>
  <c r="AF3821" i="1"/>
  <c r="AC3821" i="1"/>
  <c r="AF3820" i="1"/>
  <c r="AC3820" i="1"/>
  <c r="AF3819" i="1"/>
  <c r="AC3819" i="1"/>
  <c r="AF3818" i="1"/>
  <c r="AC3818" i="1"/>
  <c r="AF3817" i="1"/>
  <c r="AC3817" i="1"/>
  <c r="AF3815" i="1"/>
  <c r="AC3815" i="1"/>
  <c r="AF3814" i="1"/>
  <c r="AC3814" i="1"/>
  <c r="AF3813" i="1"/>
  <c r="AC3813" i="1"/>
  <c r="AF3812" i="1"/>
  <c r="AC3812" i="1"/>
  <c r="AF3811" i="1"/>
  <c r="AC3811" i="1"/>
  <c r="AF3810" i="1"/>
  <c r="AC3810" i="1"/>
  <c r="AF3809" i="1"/>
  <c r="AC3809" i="1"/>
  <c r="AF3808" i="1"/>
  <c r="AC3808" i="1"/>
  <c r="AF3807" i="1"/>
  <c r="AC3807" i="1"/>
  <c r="AF3806" i="1"/>
  <c r="AC3806" i="1"/>
  <c r="AF3805" i="1"/>
  <c r="AC3805" i="1"/>
  <c r="AF3804" i="1"/>
  <c r="AC3804" i="1"/>
  <c r="AF3803" i="1"/>
  <c r="AC3803" i="1"/>
  <c r="AF3802" i="1"/>
  <c r="AC3802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B3746" i="1"/>
  <c r="AC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X3760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1" i="1"/>
  <c r="X3762" i="1"/>
  <c r="X3763" i="1"/>
  <c r="X3764" i="1"/>
  <c r="X3765" i="1"/>
  <c r="X3746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4" i="1"/>
  <c r="AH3795" i="1"/>
  <c r="AH3796" i="1"/>
  <c r="AH3797" i="1"/>
  <c r="AH3798" i="1"/>
  <c r="AH3799" i="1"/>
  <c r="AH3800" i="1"/>
  <c r="AH3801" i="1"/>
  <c r="AH3779" i="1"/>
  <c r="AJ3032" i="1"/>
  <c r="AJ3034" i="1"/>
  <c r="AJ3040" i="1"/>
  <c r="AJ3051" i="1"/>
  <c r="AJ3058" i="1"/>
  <c r="AJ3064" i="1"/>
  <c r="AJ3066" i="1"/>
  <c r="AJ3082" i="1"/>
  <c r="AJ3085" i="1"/>
  <c r="AJ3090" i="1"/>
  <c r="AJ3106" i="1"/>
  <c r="AJ3112" i="1"/>
  <c r="AJ3114" i="1"/>
  <c r="AJ3115" i="1"/>
  <c r="AJ3136" i="1"/>
  <c r="AJ3138" i="1"/>
  <c r="AJ3048" i="1"/>
  <c r="AJ3077" i="1"/>
  <c r="AJ3080" i="1"/>
  <c r="AJ3093" i="1"/>
  <c r="AJ3023" i="1"/>
  <c r="AJ3024" i="1"/>
  <c r="AJ3039" i="1"/>
  <c r="AJ3055" i="1"/>
  <c r="AJ3060" i="1"/>
  <c r="AJ3068" i="1"/>
  <c r="AJ3095" i="1"/>
  <c r="AJ3099" i="1"/>
  <c r="AJ3103" i="1"/>
  <c r="AJ3111" i="1"/>
  <c r="AJ3116" i="1"/>
  <c r="AJ3119" i="1"/>
  <c r="AJ3127" i="1"/>
  <c r="AJ3135" i="1"/>
  <c r="AJ3018" i="1"/>
  <c r="AJ3720" i="1"/>
  <c r="AJ3717" i="1"/>
  <c r="AJ3716" i="1"/>
  <c r="AJ3714" i="1"/>
  <c r="AJ3713" i="1"/>
  <c r="AJ3711" i="1"/>
  <c r="AJ3698" i="1"/>
  <c r="AJ3695" i="1"/>
  <c r="AJ3692" i="1"/>
  <c r="AJ3691" i="1"/>
  <c r="AJ3689" i="1"/>
  <c r="AJ3686" i="1"/>
  <c r="AJ3685" i="1"/>
  <c r="AJ3669" i="1"/>
  <c r="AJ3665" i="1"/>
  <c r="AJ3664" i="1"/>
  <c r="AJ3658" i="1"/>
  <c r="AJ3652" i="1"/>
  <c r="AJ3646" i="1"/>
  <c r="AJ3645" i="1"/>
  <c r="AJ3640" i="1"/>
  <c r="AJ3639" i="1"/>
  <c r="AJ3637" i="1"/>
  <c r="AJ3620" i="1"/>
  <c r="AJ3619" i="1"/>
  <c r="AJ3618" i="1"/>
  <c r="AJ3617" i="1"/>
  <c r="AJ3596" i="1"/>
  <c r="AJ3595" i="1"/>
  <c r="AJ3594" i="1"/>
  <c r="AJ3593" i="1"/>
  <c r="AJ3590" i="1"/>
  <c r="AJ3589" i="1"/>
  <c r="AJ3588" i="1"/>
  <c r="AJ3585" i="1"/>
  <c r="AJ3584" i="1"/>
  <c r="AJ3582" i="1"/>
  <c r="AJ3581" i="1"/>
  <c r="AJ3580" i="1"/>
  <c r="AJ3579" i="1"/>
  <c r="AJ3577" i="1"/>
  <c r="AJ3576" i="1"/>
  <c r="AJ3575" i="1"/>
  <c r="AJ3572" i="1"/>
  <c r="AJ3570" i="1"/>
  <c r="AJ3569" i="1"/>
  <c r="AJ3568" i="1"/>
  <c r="AJ3567" i="1"/>
  <c r="AJ3566" i="1"/>
  <c r="AJ3565" i="1"/>
  <c r="AJ3563" i="1"/>
  <c r="AJ3562" i="1"/>
  <c r="AJ3560" i="1"/>
  <c r="AJ3553" i="1"/>
  <c r="AJ3552" i="1"/>
  <c r="AJ3551" i="1"/>
  <c r="AJ3547" i="1"/>
  <c r="AJ3545" i="1"/>
  <c r="AJ3543" i="1"/>
  <c r="AJ3542" i="1"/>
  <c r="AJ3541" i="1"/>
  <c r="AJ3540" i="1"/>
  <c r="AJ3539" i="1"/>
  <c r="AJ3537" i="1"/>
  <c r="AJ3536" i="1"/>
  <c r="AJ3535" i="1"/>
  <c r="AJ3534" i="1"/>
  <c r="AJ3532" i="1"/>
  <c r="AJ3531" i="1"/>
  <c r="AJ3530" i="1"/>
  <c r="AJ3529" i="1"/>
  <c r="AJ3528" i="1"/>
  <c r="AJ3527" i="1"/>
  <c r="AJ3526" i="1"/>
  <c r="AJ3520" i="1"/>
  <c r="AJ3519" i="1"/>
  <c r="AJ3513" i="1"/>
  <c r="AJ3509" i="1"/>
  <c r="AJ3505" i="1"/>
  <c r="AJ3498" i="1"/>
  <c r="AJ3496" i="1"/>
  <c r="AJ3495" i="1"/>
  <c r="AJ3487" i="1"/>
  <c r="AJ3486" i="1"/>
  <c r="AJ3484" i="1"/>
  <c r="AJ3483" i="1"/>
  <c r="AJ3482" i="1"/>
  <c r="AJ3481" i="1"/>
  <c r="AJ3479" i="1"/>
  <c r="AJ3478" i="1"/>
  <c r="AJ3475" i="1"/>
  <c r="AJ3474" i="1"/>
  <c r="AJ3473" i="1"/>
  <c r="AJ3472" i="1"/>
  <c r="AJ3471" i="1"/>
  <c r="AJ3469" i="1"/>
  <c r="AJ3468" i="1"/>
  <c r="AJ3467" i="1"/>
  <c r="AJ3466" i="1"/>
  <c r="AJ3465" i="1"/>
  <c r="AJ3464" i="1"/>
  <c r="AJ3463" i="1"/>
  <c r="AJ3462" i="1"/>
  <c r="AJ3461" i="1"/>
  <c r="AJ3460" i="1"/>
  <c r="AJ3459" i="1"/>
  <c r="AJ3458" i="1"/>
  <c r="AJ3457" i="1"/>
  <c r="AJ3455" i="1"/>
  <c r="AJ3453" i="1"/>
  <c r="AJ3452" i="1"/>
  <c r="AJ3451" i="1"/>
  <c r="AJ3450" i="1"/>
  <c r="AJ3449" i="1"/>
  <c r="AJ3448" i="1"/>
  <c r="AJ3447" i="1"/>
  <c r="AJ3446" i="1"/>
  <c r="AJ3445" i="1"/>
  <c r="AJ3444" i="1"/>
  <c r="AJ3443" i="1"/>
  <c r="AJ3442" i="1"/>
  <c r="AJ3441" i="1"/>
  <c r="AJ3440" i="1"/>
  <c r="AJ3439" i="1"/>
  <c r="AJ3438" i="1"/>
  <c r="AJ3437" i="1"/>
  <c r="AJ3436" i="1"/>
  <c r="AJ3435" i="1"/>
  <c r="AJ3433" i="1"/>
  <c r="AJ3432" i="1"/>
  <c r="AJ3431" i="1"/>
  <c r="AJ3430" i="1"/>
  <c r="AJ3429" i="1"/>
  <c r="AJ3428" i="1"/>
  <c r="AJ3427" i="1"/>
  <c r="AJ3426" i="1"/>
  <c r="AJ3425" i="1"/>
  <c r="AJ3424" i="1"/>
  <c r="AJ3423" i="1"/>
  <c r="AJ3421" i="1"/>
  <c r="AJ3420" i="1"/>
  <c r="AJ3419" i="1"/>
  <c r="AJ3418" i="1"/>
  <c r="AJ3415" i="1"/>
  <c r="AJ3414" i="1"/>
  <c r="AJ3412" i="1"/>
  <c r="AJ3410" i="1"/>
  <c r="AJ3409" i="1"/>
  <c r="AJ3408" i="1"/>
  <c r="AJ3407" i="1"/>
  <c r="AJ3406" i="1"/>
  <c r="AJ3405" i="1"/>
  <c r="AJ3404" i="1"/>
  <c r="AJ3403" i="1"/>
  <c r="AJ3399" i="1"/>
  <c r="AJ3398" i="1"/>
  <c r="AJ3396" i="1"/>
  <c r="AJ3395" i="1"/>
  <c r="AJ3394" i="1"/>
  <c r="AJ3393" i="1"/>
  <c r="AJ3392" i="1"/>
  <c r="AJ3390" i="1"/>
  <c r="AJ3389" i="1"/>
  <c r="AJ3388" i="1"/>
  <c r="AJ3385" i="1"/>
  <c r="AJ3384" i="1"/>
  <c r="AJ3383" i="1"/>
  <c r="AJ3382" i="1"/>
  <c r="AJ3381" i="1"/>
  <c r="AJ3380" i="1"/>
  <c r="AJ3256" i="1"/>
  <c r="AJ3255" i="1"/>
  <c r="AJ3240" i="1"/>
  <c r="AJ3239" i="1"/>
  <c r="AJ3238" i="1"/>
  <c r="AJ3237" i="1"/>
  <c r="AJ3236" i="1"/>
  <c r="AJ3235" i="1"/>
  <c r="AJ3233" i="1"/>
  <c r="AJ3232" i="1"/>
  <c r="AJ3231" i="1"/>
  <c r="AJ3221" i="1"/>
  <c r="AJ3220" i="1"/>
  <c r="AJ3219" i="1"/>
  <c r="AJ3218" i="1"/>
  <c r="AJ3217" i="1"/>
  <c r="AJ3216" i="1"/>
  <c r="AJ3206" i="1"/>
  <c r="AJ3205" i="1"/>
  <c r="AJ3204" i="1"/>
  <c r="AJ3200" i="1"/>
  <c r="AJ3199" i="1"/>
  <c r="AJ3198" i="1"/>
  <c r="AJ3197" i="1"/>
  <c r="AJ3196" i="1"/>
  <c r="AJ3195" i="1"/>
  <c r="AJ3194" i="1"/>
  <c r="AJ3193" i="1"/>
  <c r="AJ3192" i="1"/>
  <c r="AJ3191" i="1"/>
  <c r="AJ3185" i="1"/>
  <c r="AJ3184" i="1"/>
  <c r="AJ3183" i="1"/>
  <c r="AJ3182" i="1"/>
  <c r="AJ3181" i="1"/>
  <c r="AJ3180" i="1"/>
  <c r="AJ3179" i="1"/>
  <c r="AJ3178" i="1"/>
  <c r="AJ3177" i="1"/>
  <c r="AJ3176" i="1"/>
  <c r="AJ3175" i="1"/>
  <c r="AJ3174" i="1"/>
  <c r="AJ3173" i="1"/>
  <c r="AJ3172" i="1"/>
  <c r="AJ3171" i="1"/>
  <c r="AJ3161" i="1"/>
  <c r="AJ3160" i="1"/>
  <c r="AJ3158" i="1"/>
  <c r="AJ3157" i="1"/>
  <c r="AJ3156" i="1"/>
  <c r="AJ3155" i="1"/>
  <c r="AJ3154" i="1"/>
  <c r="AJ3151" i="1"/>
  <c r="AJ3150" i="1"/>
  <c r="AJ3149" i="1"/>
  <c r="AJ3148" i="1"/>
  <c r="AJ3147" i="1"/>
  <c r="AJ3142" i="1"/>
  <c r="AJ3140" i="1"/>
  <c r="AJ3137" i="1"/>
  <c r="AJ3121" i="1"/>
  <c r="AJ3118" i="1"/>
  <c r="AJ3102" i="1"/>
  <c r="AJ3092" i="1"/>
  <c r="AJ3089" i="1"/>
  <c r="AJ3084" i="1"/>
  <c r="AJ3071" i="1"/>
  <c r="AJ3070" i="1"/>
  <c r="AJ3067" i="1"/>
  <c r="AJ3061" i="1"/>
  <c r="AJ3054" i="1"/>
  <c r="AJ3052" i="1"/>
  <c r="AJ3049" i="1"/>
  <c r="AJ3047" i="1"/>
  <c r="AJ3046" i="1"/>
  <c r="AJ3044" i="1"/>
  <c r="AJ3043" i="1"/>
  <c r="AJ3041" i="1"/>
  <c r="AJ3037" i="1"/>
  <c r="AJ3035" i="1"/>
  <c r="AJ3031" i="1"/>
  <c r="AJ3029" i="1"/>
  <c r="AJ3025" i="1"/>
  <c r="AJ3022" i="1"/>
  <c r="AJ3021" i="1"/>
  <c r="AJ3020" i="1"/>
  <c r="AJ3017" i="1"/>
  <c r="AJ3016" i="1"/>
  <c r="AJ3015" i="1"/>
  <c r="AJ3014" i="1"/>
  <c r="AJ3012" i="1"/>
  <c r="AJ3011" i="1"/>
  <c r="AJ3010" i="1"/>
  <c r="AJ3009" i="1"/>
  <c r="AJ3008" i="1"/>
  <c r="AJ3007" i="1"/>
  <c r="AJ3006" i="1"/>
  <c r="AJ3005" i="1"/>
  <c r="AJ3004" i="1"/>
  <c r="AJ3003" i="1"/>
  <c r="AJ2999" i="1"/>
  <c r="AJ2998" i="1"/>
  <c r="AJ2997" i="1"/>
  <c r="AJ2996" i="1"/>
  <c r="AJ2995" i="1"/>
  <c r="AJ2994" i="1"/>
  <c r="AJ2993" i="1"/>
  <c r="AJ2992" i="1"/>
  <c r="AJ2991" i="1"/>
  <c r="AJ2990" i="1"/>
  <c r="AJ2989" i="1"/>
  <c r="AJ2988" i="1"/>
  <c r="AJ2987" i="1"/>
  <c r="AJ2986" i="1"/>
  <c r="AJ2985" i="1"/>
  <c r="AJ2984" i="1"/>
  <c r="AJ2983" i="1"/>
  <c r="AJ2982" i="1"/>
  <c r="AJ2981" i="1"/>
  <c r="AJ2979" i="1"/>
  <c r="AJ2978" i="1"/>
  <c r="AJ2977" i="1"/>
  <c r="AJ2976" i="1"/>
  <c r="AJ2975" i="1"/>
  <c r="AJ2974" i="1"/>
  <c r="AJ2973" i="1"/>
  <c r="AJ2972" i="1"/>
  <c r="AJ2971" i="1"/>
  <c r="AJ2969" i="1"/>
  <c r="AJ2968" i="1"/>
  <c r="AJ2967" i="1"/>
  <c r="AJ2966" i="1"/>
  <c r="AJ2965" i="1"/>
  <c r="AJ2964" i="1"/>
  <c r="AJ2963" i="1"/>
  <c r="AJ2962" i="1"/>
  <c r="AJ2961" i="1"/>
  <c r="AJ2960" i="1"/>
  <c r="AJ2959" i="1"/>
  <c r="AJ2958" i="1"/>
  <c r="AJ2957" i="1"/>
  <c r="AJ2956" i="1"/>
  <c r="AJ2954" i="1"/>
  <c r="AJ2953" i="1"/>
  <c r="AJ2952" i="1"/>
  <c r="AJ2951" i="1"/>
  <c r="AJ2949" i="1"/>
  <c r="AJ2948" i="1"/>
  <c r="AJ2947" i="1"/>
  <c r="AJ2946" i="1"/>
  <c r="AJ2945" i="1"/>
  <c r="AJ2944" i="1"/>
  <c r="AJ2943" i="1"/>
  <c r="AJ2942" i="1"/>
  <c r="AJ2941" i="1"/>
  <c r="AJ2939" i="1"/>
  <c r="AJ2938" i="1"/>
  <c r="AJ2937" i="1"/>
  <c r="AJ2936" i="1"/>
  <c r="AJ2935" i="1"/>
  <c r="AJ2934" i="1"/>
  <c r="AJ2933" i="1"/>
  <c r="AJ2932" i="1"/>
  <c r="AJ2931" i="1"/>
  <c r="AJ2929" i="1"/>
  <c r="AJ2928" i="1"/>
  <c r="AJ2927" i="1"/>
  <c r="AJ2926" i="1"/>
  <c r="AJ2925" i="1"/>
  <c r="AJ2924" i="1"/>
  <c r="AJ2923" i="1"/>
  <c r="AJ2922" i="1"/>
  <c r="AJ2921" i="1"/>
  <c r="AJ2920" i="1"/>
  <c r="AJ2919" i="1"/>
  <c r="AJ2918" i="1"/>
  <c r="AJ2917" i="1"/>
  <c r="AJ2916" i="1"/>
  <c r="AJ2915" i="1"/>
  <c r="AJ2913" i="1"/>
  <c r="AJ2912" i="1"/>
  <c r="AJ2911" i="1"/>
  <c r="AJ2910" i="1"/>
  <c r="AJ2909" i="1"/>
  <c r="AJ2907" i="1"/>
  <c r="AJ2905" i="1"/>
  <c r="AJ2904" i="1"/>
  <c r="AJ2903" i="1"/>
  <c r="AJ2902" i="1"/>
  <c r="AJ2900" i="1"/>
  <c r="AJ2898" i="1"/>
  <c r="AJ2897" i="1"/>
  <c r="AJ2896" i="1"/>
  <c r="AJ2893" i="1"/>
  <c r="AJ2891" i="1"/>
  <c r="AJ2890" i="1"/>
  <c r="AJ2889" i="1"/>
  <c r="AJ2884" i="1"/>
  <c r="AJ2883" i="1"/>
  <c r="AJ2880" i="1"/>
  <c r="AJ2879" i="1"/>
  <c r="AJ2878" i="1"/>
  <c r="AJ2877" i="1"/>
  <c r="AJ2876" i="1"/>
  <c r="AJ2875" i="1"/>
  <c r="AJ2874" i="1"/>
  <c r="AJ2873" i="1"/>
  <c r="AJ2872" i="1"/>
  <c r="AJ2871" i="1"/>
  <c r="AJ2870" i="1"/>
  <c r="AJ2869" i="1"/>
  <c r="AJ2867" i="1"/>
  <c r="AJ2866" i="1"/>
  <c r="AJ2865" i="1"/>
  <c r="AJ2860" i="1"/>
  <c r="AJ2855" i="1"/>
  <c r="AJ2852" i="1"/>
  <c r="AJ2851" i="1"/>
  <c r="AJ2846" i="1"/>
  <c r="AJ2845" i="1"/>
  <c r="AJ2844" i="1"/>
  <c r="AJ2843" i="1"/>
  <c r="AJ2842" i="1"/>
  <c r="AJ2841" i="1"/>
  <c r="AJ2840" i="1"/>
  <c r="AJ2839" i="1"/>
  <c r="AJ2833" i="1"/>
  <c r="AJ2832" i="1"/>
  <c r="AJ2826" i="1"/>
  <c r="AJ2823" i="1"/>
  <c r="AJ2822" i="1"/>
  <c r="AJ2820" i="1"/>
  <c r="AJ2817" i="1"/>
  <c r="AJ2816" i="1"/>
  <c r="AJ2815" i="1"/>
  <c r="AJ2814" i="1"/>
  <c r="AJ2805" i="1"/>
  <c r="AJ2803" i="1"/>
  <c r="AJ2799" i="1"/>
  <c r="AJ2796" i="1"/>
  <c r="AJ2792" i="1"/>
  <c r="AJ2790" i="1"/>
  <c r="AJ2789" i="1"/>
  <c r="AJ2784" i="1"/>
  <c r="AJ2782" i="1"/>
  <c r="AJ2781" i="1"/>
  <c r="AJ2780" i="1"/>
  <c r="AJ2778" i="1"/>
  <c r="AJ2777" i="1"/>
  <c r="AJ2776" i="1"/>
  <c r="AJ2774" i="1"/>
  <c r="AJ2770" i="1"/>
  <c r="AJ2769" i="1"/>
  <c r="AJ2768" i="1"/>
  <c r="AJ2767" i="1"/>
  <c r="AJ2766" i="1"/>
  <c r="AJ2763" i="1"/>
  <c r="AJ2762" i="1"/>
  <c r="AJ2761" i="1"/>
  <c r="AJ2760" i="1"/>
  <c r="AJ2758" i="1"/>
  <c r="AJ2757" i="1"/>
  <c r="AJ2756" i="1"/>
  <c r="AJ2754" i="1"/>
  <c r="AJ2753" i="1"/>
  <c r="AJ2751" i="1"/>
  <c r="AJ2750" i="1"/>
  <c r="AJ2749" i="1"/>
  <c r="AJ2748" i="1"/>
  <c r="AJ2747" i="1"/>
  <c r="AJ2746" i="1"/>
  <c r="AJ2744" i="1"/>
  <c r="AJ2743" i="1"/>
  <c r="AJ2740" i="1"/>
  <c r="AJ2739" i="1"/>
  <c r="AJ2737" i="1"/>
  <c r="AJ2736" i="1"/>
  <c r="AJ2734" i="1"/>
  <c r="AJ2483" i="1"/>
  <c r="AJ2482" i="1"/>
  <c r="AJ2481" i="1"/>
  <c r="AJ2480" i="1"/>
  <c r="AJ2479" i="1"/>
  <c r="AJ2478" i="1"/>
  <c r="AJ2477" i="1"/>
  <c r="AJ2476" i="1"/>
  <c r="AJ2475" i="1"/>
  <c r="AJ2474" i="1"/>
  <c r="AJ2473" i="1"/>
  <c r="AJ2472" i="1"/>
  <c r="AJ2471" i="1"/>
  <c r="AJ2470" i="1"/>
  <c r="AJ2469" i="1"/>
  <c r="AJ2468" i="1"/>
  <c r="AJ2467" i="1"/>
  <c r="AJ2466" i="1"/>
  <c r="AJ2465" i="1"/>
  <c r="AJ2464" i="1"/>
  <c r="AJ2463" i="1"/>
  <c r="AJ2462" i="1"/>
  <c r="AJ2461" i="1"/>
  <c r="AJ2460" i="1"/>
  <c r="AJ2459" i="1"/>
  <c r="AJ2458" i="1"/>
  <c r="AJ2457" i="1"/>
  <c r="AJ2456" i="1"/>
  <c r="AJ2455" i="1"/>
  <c r="AJ2454" i="1"/>
  <c r="AJ2453" i="1"/>
  <c r="AJ2452" i="1"/>
  <c r="AJ2451" i="1"/>
  <c r="AJ2450" i="1"/>
  <c r="AJ2449" i="1"/>
  <c r="AJ2448" i="1"/>
  <c r="AJ2447" i="1"/>
  <c r="AJ2446" i="1"/>
  <c r="AJ2445" i="1"/>
  <c r="AJ2444" i="1"/>
  <c r="AJ2443" i="1"/>
  <c r="AJ2442" i="1"/>
  <c r="AJ2441" i="1"/>
  <c r="AJ2440" i="1"/>
  <c r="AJ2439" i="1"/>
  <c r="AJ2438" i="1"/>
  <c r="AJ2437" i="1"/>
  <c r="AJ2436" i="1"/>
  <c r="AJ2435" i="1"/>
  <c r="AJ2434" i="1"/>
  <c r="AJ2433" i="1"/>
  <c r="AJ2432" i="1"/>
  <c r="AJ2431" i="1"/>
  <c r="AJ2430" i="1"/>
  <c r="AJ2429" i="1"/>
  <c r="AJ2428" i="1"/>
  <c r="AJ2427" i="1"/>
  <c r="AJ2426" i="1"/>
  <c r="AJ2425" i="1"/>
  <c r="AJ2424" i="1"/>
  <c r="AJ2423" i="1"/>
  <c r="AJ2422" i="1"/>
  <c r="AJ2421" i="1"/>
  <c r="AJ2420" i="1"/>
  <c r="AJ2419" i="1"/>
  <c r="AJ2418" i="1"/>
  <c r="AJ2417" i="1"/>
  <c r="AJ2416" i="1"/>
  <c r="AJ2415" i="1"/>
  <c r="AJ2414" i="1"/>
  <c r="AJ2413" i="1"/>
  <c r="AJ2412" i="1"/>
  <c r="AJ2411" i="1"/>
  <c r="AJ2410" i="1"/>
  <c r="AJ2409" i="1"/>
  <c r="AJ2408" i="1"/>
  <c r="AJ2407" i="1"/>
  <c r="AJ2406" i="1"/>
  <c r="AJ2405" i="1"/>
  <c r="AJ2404" i="1"/>
  <c r="AJ2403" i="1"/>
  <c r="AJ2402" i="1"/>
  <c r="AJ2401" i="1"/>
  <c r="AJ2400" i="1"/>
  <c r="AJ2399" i="1"/>
  <c r="AJ2398" i="1"/>
  <c r="AJ2397" i="1"/>
  <c r="AJ2396" i="1"/>
  <c r="AJ2395" i="1"/>
  <c r="AJ2394" i="1"/>
  <c r="AJ2393" i="1"/>
  <c r="AJ2392" i="1"/>
  <c r="AJ2391" i="1"/>
  <c r="AJ2390" i="1"/>
  <c r="AJ2389" i="1"/>
  <c r="AJ2388" i="1"/>
  <c r="AJ2387" i="1"/>
  <c r="AJ2386" i="1"/>
  <c r="AJ2385" i="1"/>
  <c r="AJ2384" i="1"/>
  <c r="AJ2383" i="1"/>
  <c r="AJ2382" i="1"/>
  <c r="AJ2381" i="1"/>
  <c r="AJ2380" i="1"/>
  <c r="AJ2379" i="1"/>
  <c r="AJ2378" i="1"/>
  <c r="AJ2377" i="1"/>
  <c r="AJ2376" i="1"/>
  <c r="AJ2375" i="1"/>
  <c r="AJ2374" i="1"/>
  <c r="AJ2373" i="1"/>
  <c r="AJ2372" i="1"/>
  <c r="AJ2371" i="1"/>
  <c r="AJ2370" i="1"/>
  <c r="AJ2369" i="1"/>
  <c r="AJ2368" i="1"/>
  <c r="AJ2367" i="1"/>
  <c r="AJ2366" i="1"/>
  <c r="AJ2365" i="1"/>
  <c r="AJ2364" i="1"/>
  <c r="AJ2363" i="1"/>
  <c r="AJ2362" i="1"/>
  <c r="AJ2361" i="1"/>
  <c r="AJ2360" i="1"/>
  <c r="AJ2359" i="1"/>
  <c r="AJ2358" i="1"/>
  <c r="AJ2357" i="1"/>
  <c r="AJ2356" i="1"/>
  <c r="AJ2355" i="1"/>
  <c r="AJ2354" i="1"/>
  <c r="AJ2353" i="1"/>
  <c r="AJ2352" i="1"/>
  <c r="AJ2351" i="1"/>
  <c r="AJ2350" i="1"/>
  <c r="AJ2349" i="1"/>
  <c r="AJ2348" i="1"/>
  <c r="AJ2347" i="1"/>
  <c r="AJ2346" i="1"/>
  <c r="AJ1902" i="1"/>
  <c r="AJ1901" i="1"/>
  <c r="AJ1900" i="1"/>
  <c r="AJ1899" i="1"/>
  <c r="AJ1898" i="1"/>
  <c r="AJ1897" i="1"/>
  <c r="AJ1896" i="1"/>
  <c r="AJ1895" i="1"/>
  <c r="AJ1894" i="1"/>
  <c r="AJ1893" i="1"/>
  <c r="AJ1892" i="1"/>
  <c r="AJ1891" i="1"/>
  <c r="AJ1890" i="1"/>
  <c r="AJ1889" i="1"/>
  <c r="AJ1888" i="1"/>
  <c r="AJ1887" i="1"/>
  <c r="AJ1886" i="1"/>
  <c r="AJ1885" i="1"/>
  <c r="AJ1884" i="1"/>
  <c r="AJ1883" i="1"/>
  <c r="AJ1882" i="1"/>
  <c r="AJ1881" i="1"/>
  <c r="AJ1880" i="1"/>
  <c r="AJ1879" i="1"/>
  <c r="AJ1878" i="1"/>
  <c r="AJ1877" i="1"/>
  <c r="AJ1876" i="1"/>
  <c r="AJ1875" i="1"/>
  <c r="AJ1874" i="1"/>
  <c r="AJ1873" i="1"/>
  <c r="AJ1872" i="1"/>
  <c r="AJ1871" i="1"/>
  <c r="AJ1870" i="1"/>
  <c r="AJ1869" i="1"/>
  <c r="AJ1858" i="1"/>
  <c r="AJ1857" i="1"/>
  <c r="AJ1856" i="1"/>
  <c r="AJ1855" i="1"/>
  <c r="AJ1854" i="1"/>
  <c r="AJ1853" i="1"/>
  <c r="AJ1852" i="1"/>
  <c r="AJ1851" i="1"/>
  <c r="AJ1850" i="1"/>
  <c r="AJ1849" i="1"/>
  <c r="AJ1848" i="1"/>
  <c r="AJ1847" i="1"/>
  <c r="AJ1846" i="1"/>
  <c r="AJ1845" i="1"/>
  <c r="AJ1844" i="1"/>
  <c r="AJ1843" i="1"/>
  <c r="AJ1842" i="1"/>
  <c r="AJ1841" i="1"/>
  <c r="AJ1840" i="1"/>
  <c r="AJ1839" i="1"/>
  <c r="AJ1838" i="1"/>
  <c r="AJ1837" i="1"/>
  <c r="AJ1836" i="1"/>
  <c r="AJ1835" i="1"/>
  <c r="AJ1834" i="1"/>
  <c r="AJ1833" i="1"/>
  <c r="AJ1832" i="1"/>
  <c r="AJ1831" i="1"/>
  <c r="AJ1830" i="1"/>
  <c r="AJ1829" i="1"/>
  <c r="AJ1828" i="1"/>
  <c r="AJ1827" i="1"/>
  <c r="AJ1826" i="1"/>
  <c r="AJ1825" i="1"/>
  <c r="AJ1824" i="1"/>
  <c r="AJ1823" i="1"/>
  <c r="AJ1822" i="1"/>
  <c r="AJ1821" i="1"/>
  <c r="AJ1820" i="1"/>
  <c r="AJ1819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802" i="1"/>
  <c r="AJ1801" i="1"/>
  <c r="AJ1800" i="1"/>
  <c r="AJ1799" i="1"/>
  <c r="AJ1798" i="1"/>
  <c r="AJ1797" i="1"/>
  <c r="AJ1796" i="1"/>
  <c r="AJ1795" i="1"/>
  <c r="AJ1794" i="1"/>
  <c r="AJ1793" i="1"/>
  <c r="AJ1792" i="1"/>
  <c r="AJ1791" i="1"/>
  <c r="AJ1790" i="1"/>
  <c r="AJ1789" i="1"/>
  <c r="AJ1788" i="1"/>
  <c r="AJ1787" i="1"/>
  <c r="AJ1786" i="1"/>
  <c r="AJ1785" i="1"/>
  <c r="AJ1784" i="1"/>
  <c r="AJ1783" i="1"/>
  <c r="AJ1782" i="1"/>
  <c r="AJ1781" i="1"/>
  <c r="AJ1780" i="1"/>
  <c r="AJ1779" i="1"/>
  <c r="AJ1778" i="1"/>
  <c r="AJ1777" i="1"/>
  <c r="AJ1776" i="1"/>
  <c r="AJ1775" i="1"/>
  <c r="AJ1774" i="1"/>
  <c r="AJ1773" i="1"/>
  <c r="AJ1772" i="1"/>
  <c r="AJ1771" i="1"/>
  <c r="AJ1770" i="1"/>
  <c r="AJ1769" i="1"/>
  <c r="AJ1768" i="1"/>
  <c r="AJ1767" i="1"/>
  <c r="AJ1766" i="1"/>
  <c r="AJ1765" i="1"/>
  <c r="AJ1764" i="1"/>
  <c r="AJ1763" i="1"/>
  <c r="AJ1762" i="1"/>
  <c r="AJ1761" i="1"/>
  <c r="AJ1760" i="1"/>
  <c r="AJ1759" i="1"/>
  <c r="AJ1758" i="1"/>
  <c r="AJ1757" i="1"/>
  <c r="AJ1756" i="1"/>
  <c r="AJ1755" i="1"/>
  <c r="AJ1754" i="1"/>
  <c r="AJ1753" i="1"/>
  <c r="AJ1752" i="1"/>
  <c r="AJ1751" i="1"/>
  <c r="AJ1750" i="1"/>
  <c r="AJ1749" i="1"/>
  <c r="AJ1748" i="1"/>
  <c r="AJ1747" i="1"/>
  <c r="AJ1746" i="1"/>
  <c r="AJ1745" i="1"/>
  <c r="AJ1744" i="1"/>
  <c r="AJ1743" i="1"/>
  <c r="AJ1742" i="1"/>
  <c r="AJ1741" i="1"/>
  <c r="AJ1740" i="1"/>
  <c r="AJ1739" i="1"/>
  <c r="AJ1738" i="1"/>
  <c r="AJ1737" i="1"/>
  <c r="AJ1736" i="1"/>
  <c r="AJ1735" i="1"/>
  <c r="AJ1734" i="1"/>
  <c r="AJ1733" i="1"/>
  <c r="AJ1732" i="1"/>
  <c r="AJ1731" i="1"/>
  <c r="AJ1730" i="1"/>
  <c r="AJ1729" i="1"/>
  <c r="AJ1728" i="1"/>
  <c r="AJ1727" i="1"/>
  <c r="AJ1726" i="1"/>
  <c r="AJ1725" i="1"/>
  <c r="AJ1724" i="1"/>
  <c r="AJ1723" i="1"/>
  <c r="AJ1722" i="1"/>
  <c r="AJ1721" i="1"/>
  <c r="AJ1720" i="1"/>
  <c r="AJ1719" i="1"/>
  <c r="AJ1718" i="1"/>
  <c r="AJ1717" i="1"/>
  <c r="AJ1716" i="1"/>
  <c r="AJ1715" i="1"/>
  <c r="AJ1714" i="1"/>
  <c r="AJ1713" i="1"/>
  <c r="AJ1712" i="1"/>
  <c r="AJ1711" i="1"/>
  <c r="AJ1710" i="1"/>
  <c r="AJ1709" i="1"/>
  <c r="AJ1708" i="1"/>
  <c r="AJ1707" i="1"/>
  <c r="AJ1706" i="1"/>
  <c r="AJ1705" i="1"/>
  <c r="AJ1704" i="1"/>
  <c r="AJ1703" i="1"/>
  <c r="AJ1702" i="1"/>
  <c r="AJ1701" i="1"/>
  <c r="AJ1700" i="1"/>
  <c r="AJ1699" i="1"/>
  <c r="AJ1698" i="1"/>
  <c r="AJ1697" i="1"/>
  <c r="AJ1696" i="1"/>
  <c r="AJ1695" i="1"/>
  <c r="AJ1694" i="1"/>
  <c r="AJ1693" i="1"/>
  <c r="AJ1692" i="1"/>
  <c r="AJ1691" i="1"/>
  <c r="AJ1690" i="1"/>
  <c r="AJ1689" i="1"/>
  <c r="AJ1688" i="1"/>
  <c r="AJ1687" i="1"/>
  <c r="AJ1686" i="1"/>
  <c r="AJ1685" i="1"/>
  <c r="AJ1684" i="1"/>
  <c r="AJ1683" i="1"/>
  <c r="AJ1682" i="1"/>
  <c r="AJ1681" i="1"/>
  <c r="AJ1680" i="1"/>
  <c r="AJ1679" i="1"/>
  <c r="AJ1678" i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210" i="1"/>
  <c r="AJ205" i="1"/>
  <c r="AJ196" i="1"/>
  <c r="AJ173" i="1"/>
  <c r="AJ166" i="1"/>
  <c r="AJ162" i="1"/>
  <c r="AJ160" i="1"/>
  <c r="AE1860" i="1"/>
  <c r="AJ1860" i="1" s="1"/>
  <c r="AE1861" i="1"/>
  <c r="AJ1861" i="1" s="1"/>
  <c r="AE1862" i="1"/>
  <c r="AJ1862" i="1" s="1"/>
  <c r="AE1863" i="1"/>
  <c r="AJ1863" i="1" s="1"/>
  <c r="AE1864" i="1"/>
  <c r="AJ1864" i="1" s="1"/>
  <c r="AE1865" i="1"/>
  <c r="AJ1865" i="1" s="1"/>
  <c r="AE1866" i="1"/>
  <c r="AJ1866" i="1" s="1"/>
  <c r="AE1867" i="1"/>
  <c r="AJ1867" i="1" s="1"/>
  <c r="AE1868" i="1"/>
  <c r="AJ1868" i="1" s="1"/>
  <c r="AE1859" i="1"/>
  <c r="AJ1859" i="1" s="1"/>
  <c r="AJ3825" i="1" l="1"/>
  <c r="AJ3833" i="1"/>
  <c r="AJ3765" i="1"/>
  <c r="AJ3831" i="1"/>
  <c r="AJ3764" i="1"/>
  <c r="AJ3803" i="1"/>
  <c r="AJ3807" i="1"/>
  <c r="AJ3811" i="1"/>
  <c r="AJ3815" i="1"/>
  <c r="AJ3820" i="1"/>
  <c r="AJ3824" i="1"/>
  <c r="AJ3756" i="1"/>
  <c r="AJ3748" i="1"/>
  <c r="AJ3763" i="1"/>
  <c r="AJ3829" i="1"/>
  <c r="AJ3758" i="1"/>
  <c r="AJ3750" i="1"/>
  <c r="AJ3760" i="1"/>
  <c r="AJ3757" i="1"/>
  <c r="AJ3749" i="1"/>
  <c r="AJ3805" i="1"/>
  <c r="AJ3809" i="1"/>
  <c r="AJ3813" i="1"/>
  <c r="AJ3818" i="1"/>
  <c r="AJ3822" i="1"/>
  <c r="AJ3762" i="1"/>
  <c r="AJ3753" i="1"/>
  <c r="AJ3832" i="1"/>
  <c r="AJ3761" i="1"/>
  <c r="AJ3752" i="1"/>
  <c r="AJ3827" i="1"/>
  <c r="AJ3754" i="1"/>
  <c r="AJ3759" i="1"/>
  <c r="AJ3751" i="1"/>
  <c r="AJ3804" i="1"/>
  <c r="AJ3808" i="1"/>
  <c r="AJ3812" i="1"/>
  <c r="AJ3817" i="1"/>
  <c r="AJ3821" i="1"/>
  <c r="AJ3830" i="1"/>
  <c r="AJ3828" i="1"/>
  <c r="AJ3746" i="1"/>
  <c r="AJ3755" i="1"/>
  <c r="AJ3747" i="1"/>
  <c r="AJ3802" i="1"/>
  <c r="AJ3806" i="1"/>
  <c r="AJ3810" i="1"/>
  <c r="AJ3814" i="1"/>
  <c r="AJ3819" i="1"/>
  <c r="AJ3823" i="1"/>
  <c r="AJ3826" i="1"/>
  <c r="AJ3834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213" i="1"/>
  <c r="AL212" i="1"/>
  <c r="AL206" i="1"/>
  <c r="AL202" i="1"/>
  <c r="AL201" i="1"/>
  <c r="AL200" i="1"/>
  <c r="AL199" i="1"/>
  <c r="AL194" i="1"/>
  <c r="AL180" i="1"/>
  <c r="AL179" i="1"/>
  <c r="AL169" i="1"/>
  <c r="AL167" i="1"/>
  <c r="S19" i="1" l="1"/>
  <c r="S159" i="1" l="1"/>
  <c r="AK159" i="1" s="1"/>
  <c r="AL159" i="1" s="1"/>
  <c r="S158" i="1"/>
  <c r="AK158" i="1" s="1"/>
  <c r="AL158" i="1" s="1"/>
  <c r="S157" i="1"/>
  <c r="AK157" i="1" s="1"/>
  <c r="AL157" i="1" s="1"/>
  <c r="S156" i="1"/>
  <c r="AK156" i="1" s="1"/>
  <c r="AL156" i="1" s="1"/>
  <c r="S155" i="1"/>
  <c r="AK155" i="1" s="1"/>
  <c r="AL155" i="1" s="1"/>
  <c r="S154" i="1"/>
  <c r="AK154" i="1" s="1"/>
  <c r="AL154" i="1" s="1"/>
  <c r="S153" i="1"/>
  <c r="AK153" i="1" s="1"/>
  <c r="AL153" i="1" s="1"/>
  <c r="S152" i="1"/>
  <c r="AK152" i="1" s="1"/>
  <c r="AL152" i="1" s="1"/>
  <c r="S151" i="1"/>
  <c r="AK151" i="1" s="1"/>
  <c r="AL151" i="1" s="1"/>
  <c r="S150" i="1"/>
  <c r="AK150" i="1" s="1"/>
  <c r="AL150" i="1" s="1"/>
  <c r="S149" i="1"/>
  <c r="AK149" i="1" s="1"/>
  <c r="AL149" i="1" s="1"/>
  <c r="S148" i="1"/>
  <c r="AK148" i="1" s="1"/>
  <c r="AL148" i="1" s="1"/>
  <c r="S147" i="1"/>
  <c r="AK147" i="1" s="1"/>
  <c r="AL147" i="1" s="1"/>
  <c r="S146" i="1"/>
  <c r="AK146" i="1" s="1"/>
  <c r="AL146" i="1" s="1"/>
  <c r="S145" i="1"/>
  <c r="AK145" i="1" s="1"/>
  <c r="AL145" i="1" s="1"/>
  <c r="S144" i="1"/>
  <c r="AK144" i="1" s="1"/>
  <c r="AL144" i="1" s="1"/>
  <c r="S143" i="1"/>
  <c r="AK143" i="1" s="1"/>
  <c r="AL143" i="1" s="1"/>
  <c r="S142" i="1"/>
  <c r="AK142" i="1" s="1"/>
  <c r="AL142" i="1" s="1"/>
  <c r="S141" i="1"/>
  <c r="AK141" i="1" s="1"/>
  <c r="AL141" i="1" s="1"/>
  <c r="S140" i="1"/>
  <c r="AK140" i="1" s="1"/>
  <c r="AL140" i="1" s="1"/>
  <c r="S139" i="1"/>
  <c r="AK139" i="1" s="1"/>
  <c r="AL139" i="1" s="1"/>
  <c r="S138" i="1"/>
  <c r="AK138" i="1" s="1"/>
  <c r="AL138" i="1" s="1"/>
  <c r="S137" i="1"/>
  <c r="AK137" i="1" s="1"/>
  <c r="AL137" i="1" s="1"/>
  <c r="S136" i="1"/>
  <c r="AK136" i="1" s="1"/>
  <c r="AL136" i="1" s="1"/>
  <c r="S135" i="1"/>
  <c r="AK135" i="1" s="1"/>
  <c r="AL135" i="1" s="1"/>
  <c r="S134" i="1"/>
  <c r="AK134" i="1" s="1"/>
  <c r="AL134" i="1" s="1"/>
  <c r="S133" i="1"/>
  <c r="AK133" i="1" s="1"/>
  <c r="AL133" i="1" s="1"/>
  <c r="S132" i="1"/>
  <c r="AK132" i="1" s="1"/>
  <c r="AL132" i="1" s="1"/>
  <c r="S131" i="1"/>
  <c r="AK131" i="1" s="1"/>
  <c r="AL131" i="1" s="1"/>
  <c r="S130" i="1"/>
  <c r="AK130" i="1" s="1"/>
  <c r="AL130" i="1" s="1"/>
  <c r="S129" i="1"/>
  <c r="AK129" i="1" s="1"/>
  <c r="AL129" i="1" s="1"/>
  <c r="S128" i="1"/>
  <c r="AK128" i="1" s="1"/>
  <c r="AL128" i="1" s="1"/>
  <c r="S127" i="1"/>
  <c r="AK127" i="1" s="1"/>
  <c r="AL127" i="1" s="1"/>
  <c r="S126" i="1"/>
  <c r="AK126" i="1" s="1"/>
  <c r="AL126" i="1" s="1"/>
  <c r="S125" i="1"/>
  <c r="AK125" i="1" s="1"/>
  <c r="AL125" i="1" s="1"/>
  <c r="S124" i="1"/>
  <c r="AK124" i="1" s="1"/>
  <c r="AL124" i="1" s="1"/>
  <c r="S123" i="1"/>
  <c r="AK123" i="1" s="1"/>
  <c r="AL123" i="1" s="1"/>
  <c r="S122" i="1"/>
  <c r="AK122" i="1" s="1"/>
  <c r="AL122" i="1" s="1"/>
  <c r="S121" i="1"/>
  <c r="AK121" i="1" s="1"/>
  <c r="AL121" i="1" s="1"/>
  <c r="S120" i="1"/>
  <c r="AK120" i="1" s="1"/>
  <c r="AL120" i="1" s="1"/>
  <c r="S119" i="1"/>
  <c r="AK119" i="1" s="1"/>
  <c r="AL119" i="1" s="1"/>
  <c r="S118" i="1"/>
  <c r="AK118" i="1" s="1"/>
  <c r="AL118" i="1" s="1"/>
  <c r="S117" i="1"/>
  <c r="AK117" i="1" s="1"/>
  <c r="AL117" i="1" s="1"/>
  <c r="S116" i="1"/>
  <c r="AK116" i="1" s="1"/>
  <c r="AL116" i="1" s="1"/>
  <c r="S115" i="1"/>
  <c r="AK115" i="1" s="1"/>
  <c r="AL115" i="1" s="1"/>
  <c r="S114" i="1"/>
  <c r="AK114" i="1" s="1"/>
  <c r="AL114" i="1" s="1"/>
  <c r="S113" i="1"/>
  <c r="AK113" i="1" s="1"/>
  <c r="AL113" i="1" s="1"/>
  <c r="S112" i="1"/>
  <c r="AK112" i="1" s="1"/>
  <c r="AL112" i="1" s="1"/>
  <c r="S111" i="1"/>
  <c r="AK111" i="1" s="1"/>
  <c r="AL111" i="1" s="1"/>
  <c r="S110" i="1"/>
  <c r="AK110" i="1" s="1"/>
  <c r="AL110" i="1" s="1"/>
  <c r="S109" i="1"/>
  <c r="AK109" i="1" s="1"/>
  <c r="AL109" i="1" s="1"/>
  <c r="S108" i="1"/>
  <c r="AK108" i="1" s="1"/>
  <c r="AL108" i="1" s="1"/>
  <c r="S107" i="1"/>
  <c r="AK107" i="1" s="1"/>
  <c r="AL107" i="1" s="1"/>
  <c r="S106" i="1"/>
  <c r="AK106" i="1" s="1"/>
  <c r="AL106" i="1" s="1"/>
  <c r="S105" i="1"/>
  <c r="AK105" i="1" s="1"/>
  <c r="AL105" i="1" s="1"/>
  <c r="S104" i="1"/>
  <c r="AK104" i="1" s="1"/>
  <c r="AL104" i="1" s="1"/>
  <c r="S103" i="1"/>
  <c r="AK103" i="1" s="1"/>
  <c r="AL103" i="1" s="1"/>
  <c r="S102" i="1"/>
  <c r="AK102" i="1" s="1"/>
  <c r="AL102" i="1" s="1"/>
  <c r="S101" i="1"/>
  <c r="AK101" i="1" s="1"/>
  <c r="AL101" i="1" s="1"/>
  <c r="S100" i="1"/>
  <c r="AK100" i="1" s="1"/>
  <c r="AL100" i="1" s="1"/>
  <c r="S99" i="1"/>
  <c r="AK99" i="1" s="1"/>
  <c r="AL99" i="1" s="1"/>
  <c r="S98" i="1"/>
  <c r="AK98" i="1" s="1"/>
  <c r="AL98" i="1" s="1"/>
  <c r="S97" i="1"/>
  <c r="AK97" i="1" s="1"/>
  <c r="AL97" i="1" s="1"/>
  <c r="S96" i="1"/>
  <c r="AK96" i="1" s="1"/>
  <c r="AL96" i="1" s="1"/>
  <c r="S95" i="1"/>
  <c r="AK95" i="1" s="1"/>
  <c r="AL95" i="1" s="1"/>
  <c r="S94" i="1"/>
  <c r="AK94" i="1" s="1"/>
  <c r="AL94" i="1" s="1"/>
  <c r="S93" i="1"/>
  <c r="AK93" i="1" s="1"/>
  <c r="AL93" i="1" s="1"/>
  <c r="S92" i="1"/>
  <c r="AK92" i="1" s="1"/>
  <c r="AL92" i="1" s="1"/>
  <c r="S91" i="1"/>
  <c r="AK91" i="1" s="1"/>
  <c r="AL91" i="1" s="1"/>
  <c r="S90" i="1"/>
  <c r="AK90" i="1" s="1"/>
  <c r="AL90" i="1" s="1"/>
  <c r="S89" i="1"/>
  <c r="AK89" i="1" s="1"/>
  <c r="AL89" i="1" s="1"/>
  <c r="S88" i="1"/>
  <c r="AK88" i="1" s="1"/>
  <c r="AL88" i="1" s="1"/>
  <c r="S87" i="1"/>
  <c r="AK87" i="1" s="1"/>
  <c r="AL87" i="1" s="1"/>
  <c r="S86" i="1"/>
  <c r="AK86" i="1" s="1"/>
  <c r="AL86" i="1" s="1"/>
  <c r="S85" i="1"/>
  <c r="AK85" i="1" s="1"/>
  <c r="AL85" i="1" s="1"/>
  <c r="S84" i="1"/>
  <c r="AK84" i="1" s="1"/>
  <c r="AL84" i="1" s="1"/>
  <c r="S83" i="1"/>
  <c r="AK83" i="1" s="1"/>
  <c r="AL83" i="1" s="1"/>
  <c r="S82" i="1"/>
  <c r="AK82" i="1" s="1"/>
  <c r="AL82" i="1" s="1"/>
  <c r="S81" i="1"/>
  <c r="AK81" i="1" s="1"/>
  <c r="AL81" i="1" s="1"/>
  <c r="S80" i="1"/>
  <c r="AK80" i="1" s="1"/>
  <c r="AL80" i="1" s="1"/>
  <c r="S79" i="1"/>
  <c r="AK79" i="1" s="1"/>
  <c r="AL79" i="1" s="1"/>
  <c r="S78" i="1"/>
  <c r="AK78" i="1" s="1"/>
  <c r="AL78" i="1" s="1"/>
  <c r="S77" i="1"/>
  <c r="AK77" i="1" s="1"/>
  <c r="AL77" i="1" s="1"/>
  <c r="S76" i="1"/>
  <c r="AK76" i="1" s="1"/>
  <c r="AL76" i="1" s="1"/>
  <c r="AK47" i="1"/>
  <c r="AL47" i="1" s="1"/>
  <c r="S47" i="1"/>
  <c r="AK46" i="1"/>
  <c r="AL46" i="1" s="1"/>
  <c r="S46" i="1"/>
  <c r="AK45" i="1"/>
  <c r="AL45" i="1" s="1"/>
  <c r="S45" i="1"/>
  <c r="AK44" i="1"/>
  <c r="AL44" i="1" s="1"/>
  <c r="S44" i="1"/>
  <c r="AK43" i="1"/>
  <c r="AL43" i="1" s="1"/>
  <c r="S43" i="1"/>
  <c r="AK41" i="1"/>
  <c r="AL41" i="1" s="1"/>
  <c r="S41" i="1"/>
  <c r="AK40" i="1"/>
  <c r="AL40" i="1" s="1"/>
  <c r="S40" i="1"/>
  <c r="AK39" i="1"/>
  <c r="AL39" i="1" s="1"/>
  <c r="S39" i="1"/>
  <c r="AK38" i="1"/>
  <c r="AL38" i="1" s="1"/>
  <c r="S38" i="1"/>
  <c r="AK37" i="1"/>
  <c r="AL37" i="1" s="1"/>
  <c r="S37" i="1"/>
  <c r="AK36" i="1"/>
  <c r="AL36" i="1" s="1"/>
  <c r="S36" i="1"/>
  <c r="AK35" i="1"/>
  <c r="AL35" i="1" s="1"/>
  <c r="S35" i="1"/>
  <c r="AK34" i="1"/>
  <c r="AL34" i="1" s="1"/>
  <c r="S34" i="1"/>
  <c r="AK33" i="1"/>
  <c r="AL33" i="1" s="1"/>
  <c r="S33" i="1"/>
  <c r="AK32" i="1"/>
  <c r="AL32" i="1" s="1"/>
  <c r="S32" i="1"/>
  <c r="AK31" i="1"/>
  <c r="AL31" i="1" s="1"/>
  <c r="S31" i="1"/>
  <c r="AK30" i="1"/>
  <c r="AL30" i="1" s="1"/>
  <c r="S30" i="1"/>
  <c r="AK29" i="1"/>
  <c r="AL29" i="1" s="1"/>
  <c r="S29" i="1"/>
  <c r="AK27" i="1"/>
  <c r="AL27" i="1" s="1"/>
  <c r="S27" i="1"/>
  <c r="AK26" i="1"/>
  <c r="AL26" i="1" s="1"/>
  <c r="S26" i="1"/>
  <c r="AK25" i="1"/>
  <c r="AL25" i="1" s="1"/>
  <c r="S25" i="1"/>
  <c r="AK24" i="1"/>
  <c r="AL24" i="1" s="1"/>
  <c r="S24" i="1"/>
  <c r="AK23" i="1"/>
  <c r="AL23" i="1" s="1"/>
  <c r="S23" i="1"/>
  <c r="AK22" i="1"/>
  <c r="AL22" i="1" s="1"/>
  <c r="S22" i="1"/>
  <c r="AK21" i="1"/>
  <c r="AL21" i="1" s="1"/>
  <c r="S21" i="1"/>
  <c r="AK20" i="1"/>
  <c r="AL20" i="1" s="1"/>
  <c r="S20" i="1"/>
  <c r="S75" i="1"/>
  <c r="AK75" i="1" s="1"/>
  <c r="AL75" i="1" s="1"/>
  <c r="S74" i="1"/>
  <c r="AK74" i="1" s="1"/>
  <c r="AL74" i="1" s="1"/>
  <c r="S73" i="1"/>
  <c r="AK73" i="1" s="1"/>
  <c r="AL73" i="1" s="1"/>
  <c r="S72" i="1"/>
  <c r="AK72" i="1" s="1"/>
  <c r="AL72" i="1" s="1"/>
  <c r="S71" i="1"/>
  <c r="AK71" i="1" s="1"/>
  <c r="AL71" i="1" s="1"/>
  <c r="S70" i="1"/>
  <c r="AK70" i="1" s="1"/>
  <c r="AL70" i="1" s="1"/>
  <c r="S69" i="1"/>
  <c r="AK69" i="1" s="1"/>
  <c r="AL69" i="1" s="1"/>
  <c r="S68" i="1"/>
  <c r="AK68" i="1" s="1"/>
  <c r="AL68" i="1" s="1"/>
  <c r="S67" i="1"/>
  <c r="AK67" i="1" s="1"/>
  <c r="AL67" i="1" s="1"/>
  <c r="S66" i="1"/>
  <c r="AK66" i="1" s="1"/>
  <c r="AL66" i="1" s="1"/>
  <c r="S65" i="1"/>
  <c r="AK65" i="1" s="1"/>
  <c r="AL65" i="1" s="1"/>
  <c r="S64" i="1"/>
  <c r="AK64" i="1" s="1"/>
  <c r="AL64" i="1" s="1"/>
  <c r="S63" i="1"/>
  <c r="AK63" i="1" s="1"/>
  <c r="AL63" i="1" s="1"/>
  <c r="S62" i="1"/>
  <c r="AK62" i="1" s="1"/>
  <c r="AL62" i="1" s="1"/>
  <c r="S61" i="1"/>
  <c r="AK61" i="1" s="1"/>
  <c r="AL61" i="1" s="1"/>
  <c r="S60" i="1"/>
  <c r="AK60" i="1" s="1"/>
  <c r="AL60" i="1" s="1"/>
  <c r="S59" i="1"/>
  <c r="AK59" i="1" s="1"/>
  <c r="AL59" i="1" s="1"/>
  <c r="S58" i="1"/>
  <c r="AK58" i="1" s="1"/>
  <c r="AL58" i="1" s="1"/>
  <c r="S57" i="1"/>
  <c r="AK57" i="1" s="1"/>
  <c r="AL57" i="1" s="1"/>
  <c r="S56" i="1"/>
  <c r="AK56" i="1" s="1"/>
  <c r="AL56" i="1" s="1"/>
  <c r="S55" i="1"/>
  <c r="AK55" i="1" s="1"/>
  <c r="AL55" i="1" s="1"/>
  <c r="S54" i="1"/>
  <c r="AK54" i="1" s="1"/>
  <c r="AL54" i="1" s="1"/>
  <c r="S53" i="1"/>
  <c r="AK53" i="1" s="1"/>
  <c r="AL53" i="1" s="1"/>
  <c r="S52" i="1"/>
  <c r="AK52" i="1" s="1"/>
  <c r="AL52" i="1" s="1"/>
  <c r="S51" i="1"/>
  <c r="AK51" i="1" s="1"/>
  <c r="AL51" i="1" s="1"/>
  <c r="S50" i="1"/>
  <c r="AK50" i="1" s="1"/>
  <c r="AL50" i="1" s="1"/>
  <c r="S49" i="1"/>
  <c r="AK49" i="1" s="1"/>
  <c r="AL49" i="1" s="1"/>
  <c r="S48" i="1"/>
  <c r="AK48" i="1" s="1"/>
  <c r="AL48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5" i="1"/>
  <c r="AL15" i="1" s="1"/>
  <c r="AK16" i="1"/>
  <c r="AL16" i="1" s="1"/>
  <c r="AK17" i="1"/>
  <c r="AL17" i="1" s="1"/>
  <c r="AK18" i="1"/>
  <c r="AL18" i="1" s="1"/>
  <c r="AK19" i="1"/>
  <c r="AL19" i="1" s="1"/>
  <c r="AK6" i="1"/>
  <c r="AL6" i="1" s="1"/>
  <c r="S7" i="1" l="1"/>
  <c r="S8" i="1"/>
  <c r="S9" i="1"/>
  <c r="S10" i="1"/>
  <c r="S11" i="1"/>
  <c r="S12" i="1"/>
  <c r="S13" i="1"/>
  <c r="S15" i="1"/>
  <c r="S16" i="1"/>
  <c r="S17" i="1"/>
  <c r="S18" i="1"/>
  <c r="S6" i="1"/>
  <c r="AC2494" i="1"/>
  <c r="S2494" i="1"/>
  <c r="AF2494" i="1" s="1"/>
  <c r="AC2493" i="1"/>
  <c r="S2493" i="1"/>
  <c r="AF2493" i="1" s="1"/>
  <c r="AC2492" i="1"/>
  <c r="S2492" i="1"/>
  <c r="AF2492" i="1" s="1"/>
  <c r="AC2491" i="1"/>
  <c r="S2491" i="1"/>
  <c r="AF2491" i="1" s="1"/>
  <c r="AJ2494" i="1" l="1"/>
  <c r="AJ2493" i="1"/>
  <c r="AJ2492" i="1"/>
  <c r="AJ2491" i="1"/>
  <c r="AE2171" i="1"/>
  <c r="AJ2171" i="1" s="1"/>
  <c r="AE2172" i="1"/>
  <c r="AJ2172" i="1" s="1"/>
  <c r="AE2173" i="1"/>
  <c r="AJ2173" i="1" s="1"/>
  <c r="AE2174" i="1"/>
  <c r="AJ2174" i="1" s="1"/>
  <c r="AE2175" i="1"/>
  <c r="AJ2175" i="1" s="1"/>
  <c r="AE2176" i="1"/>
  <c r="AJ2176" i="1" s="1"/>
  <c r="AE2177" i="1"/>
  <c r="AJ2177" i="1" s="1"/>
  <c r="AE2178" i="1"/>
  <c r="AJ2178" i="1" s="1"/>
  <c r="AE2179" i="1"/>
  <c r="AJ2179" i="1" s="1"/>
  <c r="AE2180" i="1"/>
  <c r="AJ2180" i="1" s="1"/>
  <c r="AE2181" i="1"/>
  <c r="AJ2181" i="1" s="1"/>
  <c r="AE2182" i="1"/>
  <c r="AJ2182" i="1" s="1"/>
  <c r="AE2183" i="1"/>
  <c r="AJ2183" i="1" s="1"/>
  <c r="AE2184" i="1"/>
  <c r="AJ2184" i="1" s="1"/>
  <c r="AE2185" i="1"/>
  <c r="AJ2185" i="1" s="1"/>
  <c r="AE2186" i="1"/>
  <c r="AJ2186" i="1" s="1"/>
  <c r="AE2187" i="1"/>
  <c r="AJ2187" i="1" s="1"/>
  <c r="AE2188" i="1"/>
  <c r="AJ2188" i="1" s="1"/>
  <c r="AE2189" i="1"/>
  <c r="AJ2189" i="1" s="1"/>
  <c r="AE2190" i="1"/>
  <c r="AJ2190" i="1" s="1"/>
  <c r="AE2191" i="1"/>
  <c r="AJ2191" i="1" s="1"/>
  <c r="AE2192" i="1"/>
  <c r="AJ2192" i="1" s="1"/>
  <c r="AE2193" i="1"/>
  <c r="AJ2193" i="1" s="1"/>
  <c r="AE2194" i="1"/>
  <c r="AJ2194" i="1" s="1"/>
  <c r="AE2195" i="1"/>
  <c r="AJ2195" i="1" s="1"/>
  <c r="AE2196" i="1"/>
  <c r="AJ2196" i="1" s="1"/>
  <c r="AE2197" i="1"/>
  <c r="AJ2197" i="1" s="1"/>
  <c r="AE2198" i="1"/>
  <c r="AJ2198" i="1" s="1"/>
  <c r="AE2199" i="1"/>
  <c r="AJ2199" i="1" s="1"/>
  <c r="AE2200" i="1"/>
  <c r="AJ2200" i="1" s="1"/>
  <c r="AE2201" i="1"/>
  <c r="AJ2201" i="1" s="1"/>
  <c r="AE2202" i="1"/>
  <c r="AJ2202" i="1" s="1"/>
  <c r="AE2203" i="1"/>
  <c r="AJ2203" i="1" s="1"/>
  <c r="AE2204" i="1"/>
  <c r="AJ2204" i="1" s="1"/>
  <c r="AE2205" i="1"/>
  <c r="AJ2205" i="1" s="1"/>
  <c r="AE2206" i="1"/>
  <c r="AJ2206" i="1" s="1"/>
  <c r="AE2207" i="1"/>
  <c r="AJ2207" i="1" s="1"/>
  <c r="AE2208" i="1"/>
  <c r="AJ2208" i="1" s="1"/>
  <c r="AE2209" i="1"/>
  <c r="AJ2209" i="1" s="1"/>
  <c r="AE2210" i="1"/>
  <c r="AJ2210" i="1" s="1"/>
  <c r="AE2211" i="1"/>
  <c r="AJ2211" i="1" s="1"/>
  <c r="AE2212" i="1"/>
  <c r="AJ2212" i="1" s="1"/>
  <c r="AE2213" i="1"/>
  <c r="AJ2213" i="1" s="1"/>
  <c r="AE2214" i="1"/>
  <c r="AJ2214" i="1" s="1"/>
  <c r="AE2215" i="1"/>
  <c r="AJ2215" i="1" s="1"/>
  <c r="AE2216" i="1"/>
  <c r="AJ2216" i="1" s="1"/>
  <c r="AE2217" i="1"/>
  <c r="AJ2217" i="1" s="1"/>
  <c r="AE2218" i="1"/>
  <c r="AJ2218" i="1" s="1"/>
  <c r="AE2219" i="1"/>
  <c r="AJ2219" i="1" s="1"/>
  <c r="AE2220" i="1"/>
  <c r="AJ2220" i="1" s="1"/>
  <c r="AE2221" i="1"/>
  <c r="AJ2221" i="1" s="1"/>
  <c r="AE2222" i="1"/>
  <c r="AJ2222" i="1" s="1"/>
  <c r="AE2223" i="1"/>
  <c r="AJ2223" i="1" s="1"/>
  <c r="AE2224" i="1"/>
  <c r="AJ2224" i="1" s="1"/>
  <c r="AE2225" i="1"/>
  <c r="AJ2225" i="1" s="1"/>
  <c r="AE2226" i="1"/>
  <c r="AJ2226" i="1" s="1"/>
  <c r="AE2227" i="1"/>
  <c r="AJ2227" i="1" s="1"/>
  <c r="AE2228" i="1"/>
  <c r="AJ2228" i="1" s="1"/>
  <c r="AE2229" i="1"/>
  <c r="AJ2229" i="1" s="1"/>
  <c r="AE2230" i="1"/>
  <c r="AJ2230" i="1" s="1"/>
  <c r="AE2231" i="1"/>
  <c r="AJ2231" i="1" s="1"/>
  <c r="AE2232" i="1"/>
  <c r="AJ2232" i="1" s="1"/>
  <c r="AE2233" i="1"/>
  <c r="AJ2233" i="1" s="1"/>
  <c r="AE2234" i="1"/>
  <c r="AJ2234" i="1" s="1"/>
  <c r="AE2235" i="1"/>
  <c r="AJ2235" i="1" s="1"/>
  <c r="AE2236" i="1"/>
  <c r="AJ2236" i="1" s="1"/>
  <c r="AE2237" i="1"/>
  <c r="AJ2237" i="1" s="1"/>
  <c r="AE2238" i="1"/>
  <c r="AJ2238" i="1" s="1"/>
  <c r="AE2239" i="1"/>
  <c r="AJ2239" i="1" s="1"/>
  <c r="AE2106" i="1"/>
  <c r="AJ2106" i="1" s="1"/>
  <c r="AE2107" i="1"/>
  <c r="AJ2107" i="1" s="1"/>
  <c r="AE2108" i="1"/>
  <c r="AJ2108" i="1" s="1"/>
  <c r="AE2109" i="1"/>
  <c r="AJ2109" i="1" s="1"/>
  <c r="AE2110" i="1"/>
  <c r="AJ2110" i="1" s="1"/>
  <c r="AE2111" i="1"/>
  <c r="AJ2111" i="1" s="1"/>
  <c r="AE2112" i="1"/>
  <c r="AJ2112" i="1" s="1"/>
  <c r="AE2113" i="1"/>
  <c r="AJ2113" i="1" s="1"/>
  <c r="AE2114" i="1"/>
  <c r="AJ2114" i="1" s="1"/>
  <c r="AE2115" i="1"/>
  <c r="AJ2115" i="1" s="1"/>
  <c r="AE2116" i="1"/>
  <c r="AJ2116" i="1" s="1"/>
  <c r="AE2117" i="1"/>
  <c r="AJ2117" i="1" s="1"/>
  <c r="AE2118" i="1"/>
  <c r="AJ2118" i="1" s="1"/>
  <c r="AE2119" i="1"/>
  <c r="AJ2119" i="1" s="1"/>
  <c r="AE2120" i="1"/>
  <c r="AJ2120" i="1" s="1"/>
  <c r="AE2121" i="1"/>
  <c r="AJ2121" i="1" s="1"/>
  <c r="AE2122" i="1"/>
  <c r="AJ2122" i="1" s="1"/>
  <c r="AE2123" i="1"/>
  <c r="AJ2123" i="1" s="1"/>
  <c r="AE2124" i="1"/>
  <c r="AJ2124" i="1" s="1"/>
  <c r="AE2125" i="1"/>
  <c r="AJ2125" i="1" s="1"/>
  <c r="AE2126" i="1"/>
  <c r="AJ2126" i="1" s="1"/>
  <c r="AE2127" i="1"/>
  <c r="AJ2127" i="1" s="1"/>
  <c r="AE2128" i="1"/>
  <c r="AJ2128" i="1" s="1"/>
  <c r="AE2129" i="1"/>
  <c r="AJ2129" i="1" s="1"/>
  <c r="AE2130" i="1"/>
  <c r="AJ2130" i="1" s="1"/>
  <c r="AE2131" i="1"/>
  <c r="AJ2131" i="1" s="1"/>
  <c r="AE2132" i="1"/>
  <c r="AJ2132" i="1" s="1"/>
  <c r="AE2133" i="1"/>
  <c r="AJ2133" i="1" s="1"/>
  <c r="AE2134" i="1"/>
  <c r="AJ2134" i="1" s="1"/>
  <c r="AE2135" i="1"/>
  <c r="AJ2135" i="1" s="1"/>
  <c r="AE2136" i="1"/>
  <c r="AJ2136" i="1" s="1"/>
  <c r="AE2137" i="1"/>
  <c r="AJ2137" i="1" s="1"/>
  <c r="AE2138" i="1"/>
  <c r="AJ2138" i="1" s="1"/>
  <c r="AE2139" i="1"/>
  <c r="AJ2139" i="1" s="1"/>
  <c r="AE2140" i="1"/>
  <c r="AJ2140" i="1" s="1"/>
  <c r="AE2141" i="1"/>
  <c r="AJ2141" i="1" s="1"/>
  <c r="AE2142" i="1"/>
  <c r="AJ2142" i="1" s="1"/>
  <c r="AE2143" i="1"/>
  <c r="AJ2143" i="1" s="1"/>
  <c r="AE2144" i="1"/>
  <c r="AJ2144" i="1" s="1"/>
  <c r="AE2145" i="1"/>
  <c r="AJ2145" i="1" s="1"/>
  <c r="AE2146" i="1"/>
  <c r="AJ2146" i="1" s="1"/>
  <c r="AE2147" i="1"/>
  <c r="AJ2147" i="1" s="1"/>
  <c r="AE2148" i="1"/>
  <c r="AJ2148" i="1" s="1"/>
  <c r="AE2149" i="1"/>
  <c r="AJ2149" i="1" s="1"/>
  <c r="AE2150" i="1"/>
  <c r="AJ2150" i="1" s="1"/>
  <c r="AE2151" i="1"/>
  <c r="AJ2151" i="1" s="1"/>
  <c r="AE2152" i="1"/>
  <c r="AJ2152" i="1" s="1"/>
  <c r="AE2153" i="1"/>
  <c r="AJ2153" i="1" s="1"/>
  <c r="AE2154" i="1"/>
  <c r="AJ2154" i="1" s="1"/>
  <c r="AE2155" i="1"/>
  <c r="AJ2155" i="1" s="1"/>
  <c r="AE2156" i="1"/>
  <c r="AJ2156" i="1" s="1"/>
  <c r="AE2157" i="1"/>
  <c r="AJ2157" i="1" s="1"/>
  <c r="AE2158" i="1"/>
  <c r="AJ2158" i="1" s="1"/>
  <c r="AE2159" i="1"/>
  <c r="AJ2159" i="1" s="1"/>
  <c r="AE2160" i="1"/>
  <c r="AJ2160" i="1" s="1"/>
  <c r="AE2161" i="1"/>
  <c r="AJ2161" i="1" s="1"/>
  <c r="AE2162" i="1"/>
  <c r="AJ2162" i="1" s="1"/>
  <c r="AE2163" i="1"/>
  <c r="AJ2163" i="1" s="1"/>
  <c r="AE2164" i="1"/>
  <c r="AJ2164" i="1" s="1"/>
  <c r="AE2165" i="1"/>
  <c r="AJ2165" i="1" s="1"/>
  <c r="AE2166" i="1"/>
  <c r="AJ2166" i="1" s="1"/>
  <c r="AE2167" i="1"/>
  <c r="AJ2167" i="1" s="1"/>
  <c r="AE2168" i="1"/>
  <c r="AJ2168" i="1" s="1"/>
  <c r="AE2169" i="1"/>
  <c r="AJ2169" i="1" s="1"/>
  <c r="AE2170" i="1"/>
  <c r="AJ2170" i="1" s="1"/>
  <c r="AE2105" i="1"/>
  <c r="AJ2105" i="1" s="1"/>
  <c r="AE2485" i="1" l="1"/>
  <c r="AJ2485" i="1" s="1"/>
  <c r="AE2486" i="1"/>
  <c r="AJ2486" i="1" s="1"/>
  <c r="AE2487" i="1"/>
  <c r="AJ2487" i="1" s="1"/>
  <c r="AE2488" i="1"/>
  <c r="AJ2488" i="1" s="1"/>
  <c r="AE2489" i="1"/>
  <c r="AJ2489" i="1" s="1"/>
  <c r="AE2490" i="1"/>
  <c r="AJ2490" i="1" s="1"/>
  <c r="AE2484" i="1"/>
  <c r="AJ2484" i="1" s="1"/>
  <c r="AC814" i="1" l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H791" i="1"/>
  <c r="AJ791" i="1" s="1"/>
  <c r="AH790" i="1"/>
  <c r="AJ790" i="1" s="1"/>
  <c r="AH789" i="1"/>
  <c r="AJ789" i="1" s="1"/>
  <c r="AH788" i="1"/>
  <c r="AJ788" i="1" s="1"/>
  <c r="AH787" i="1"/>
  <c r="AJ787" i="1" s="1"/>
  <c r="AH786" i="1"/>
  <c r="AJ786" i="1" s="1"/>
  <c r="AH785" i="1"/>
  <c r="AJ785" i="1" s="1"/>
  <c r="AH784" i="1"/>
  <c r="AJ784" i="1" s="1"/>
  <c r="AH783" i="1"/>
  <c r="AJ783" i="1" s="1"/>
  <c r="AH782" i="1"/>
  <c r="AJ782" i="1" s="1"/>
  <c r="AH781" i="1"/>
  <c r="AJ781" i="1" s="1"/>
  <c r="AH780" i="1"/>
  <c r="AJ780" i="1" s="1"/>
  <c r="AH779" i="1"/>
  <c r="AJ779" i="1" s="1"/>
  <c r="AH778" i="1"/>
  <c r="AJ778" i="1" s="1"/>
  <c r="AH777" i="1"/>
  <c r="AJ777" i="1" s="1"/>
  <c r="AH776" i="1"/>
  <c r="AJ776" i="1" s="1"/>
  <c r="AH775" i="1"/>
  <c r="AJ775" i="1" s="1"/>
  <c r="AH774" i="1"/>
  <c r="AJ774" i="1" s="1"/>
  <c r="AH773" i="1"/>
  <c r="AJ773" i="1" s="1"/>
  <c r="AH772" i="1"/>
  <c r="AJ772" i="1" s="1"/>
  <c r="AH771" i="1"/>
  <c r="AJ771" i="1" s="1"/>
  <c r="AH770" i="1"/>
  <c r="AJ770" i="1" s="1"/>
  <c r="AH769" i="1"/>
  <c r="AJ769" i="1" s="1"/>
  <c r="AH745" i="1"/>
  <c r="AJ745" i="1" s="1"/>
  <c r="AH744" i="1"/>
  <c r="AJ744" i="1" s="1"/>
  <c r="AH743" i="1"/>
  <c r="AJ743" i="1" s="1"/>
  <c r="AH742" i="1"/>
  <c r="AJ742" i="1" s="1"/>
  <c r="AH741" i="1"/>
  <c r="AJ741" i="1" s="1"/>
  <c r="AH740" i="1"/>
  <c r="AJ740" i="1" s="1"/>
  <c r="AH739" i="1"/>
  <c r="AJ739" i="1" s="1"/>
  <c r="AH738" i="1"/>
  <c r="AJ738" i="1" s="1"/>
  <c r="AH737" i="1"/>
  <c r="AJ737" i="1" s="1"/>
  <c r="AH736" i="1"/>
  <c r="AJ736" i="1" s="1"/>
  <c r="AH735" i="1"/>
  <c r="AJ735" i="1" s="1"/>
  <c r="AH734" i="1"/>
  <c r="AJ734" i="1" s="1"/>
  <c r="AH733" i="1"/>
  <c r="AJ733" i="1" s="1"/>
  <c r="AH732" i="1"/>
  <c r="AJ732" i="1" s="1"/>
  <c r="AH731" i="1"/>
  <c r="AJ731" i="1" s="1"/>
  <c r="AH730" i="1"/>
  <c r="AJ730" i="1" s="1"/>
  <c r="AH729" i="1"/>
  <c r="AJ729" i="1" s="1"/>
  <c r="AH728" i="1"/>
  <c r="AJ728" i="1" s="1"/>
  <c r="AH727" i="1"/>
  <c r="AJ727" i="1" s="1"/>
  <c r="AH726" i="1"/>
  <c r="AJ726" i="1" s="1"/>
  <c r="AH725" i="1"/>
  <c r="AJ725" i="1" s="1"/>
  <c r="AH724" i="1"/>
  <c r="AJ724" i="1" s="1"/>
  <c r="AH723" i="1"/>
  <c r="AJ723" i="1" s="1"/>
  <c r="AH699" i="1"/>
  <c r="AJ699" i="1" s="1"/>
  <c r="AH698" i="1"/>
  <c r="AJ698" i="1" s="1"/>
  <c r="AH697" i="1"/>
  <c r="AJ697" i="1" s="1"/>
  <c r="AH696" i="1"/>
  <c r="AJ696" i="1" s="1"/>
  <c r="AH695" i="1"/>
  <c r="AJ695" i="1" s="1"/>
  <c r="AH694" i="1"/>
  <c r="AJ694" i="1" s="1"/>
  <c r="AH693" i="1"/>
  <c r="AJ693" i="1" s="1"/>
  <c r="AH692" i="1"/>
  <c r="AJ692" i="1" s="1"/>
  <c r="AH691" i="1"/>
  <c r="AJ691" i="1" s="1"/>
  <c r="AH690" i="1"/>
  <c r="AJ690" i="1" s="1"/>
  <c r="AH689" i="1"/>
  <c r="AJ689" i="1" s="1"/>
  <c r="AH688" i="1"/>
  <c r="AJ688" i="1" s="1"/>
  <c r="AH687" i="1"/>
  <c r="AJ687" i="1" s="1"/>
  <c r="AH686" i="1"/>
  <c r="AJ686" i="1" s="1"/>
  <c r="AH685" i="1"/>
  <c r="AJ685" i="1" s="1"/>
  <c r="AH684" i="1"/>
  <c r="AJ684" i="1" s="1"/>
  <c r="AH683" i="1"/>
  <c r="AJ683" i="1" s="1"/>
  <c r="AH682" i="1"/>
  <c r="AJ682" i="1" s="1"/>
  <c r="AH681" i="1"/>
  <c r="AJ681" i="1" s="1"/>
  <c r="AH680" i="1"/>
  <c r="AJ680" i="1" s="1"/>
  <c r="AH679" i="1"/>
  <c r="AJ679" i="1" s="1"/>
  <c r="AH678" i="1"/>
  <c r="AJ678" i="1" s="1"/>
  <c r="AH677" i="1"/>
  <c r="AJ677" i="1" s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00" i="1"/>
  <c r="AF701" i="1"/>
  <c r="AF702" i="1"/>
  <c r="AF703" i="1"/>
  <c r="AF704" i="1"/>
  <c r="AF705" i="1"/>
  <c r="AF706" i="1"/>
  <c r="AF707" i="1"/>
  <c r="AF708" i="1"/>
  <c r="AF709" i="1"/>
  <c r="AC700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H328" i="1"/>
  <c r="AJ328" i="1" s="1"/>
  <c r="AH329" i="1"/>
  <c r="AJ329" i="1" s="1"/>
  <c r="AH330" i="1"/>
  <c r="AJ330" i="1" s="1"/>
  <c r="AH331" i="1"/>
  <c r="AJ331" i="1" s="1"/>
  <c r="AH332" i="1"/>
  <c r="AJ332" i="1" s="1"/>
  <c r="AH333" i="1"/>
  <c r="AJ333" i="1" s="1"/>
  <c r="AH334" i="1"/>
  <c r="AJ334" i="1" s="1"/>
  <c r="AH335" i="1"/>
  <c r="AJ335" i="1" s="1"/>
  <c r="AH336" i="1"/>
  <c r="AJ336" i="1" s="1"/>
  <c r="AH337" i="1"/>
  <c r="AJ337" i="1" s="1"/>
  <c r="AH338" i="1"/>
  <c r="AJ338" i="1" s="1"/>
  <c r="AH339" i="1"/>
  <c r="AJ339" i="1" s="1"/>
  <c r="AH340" i="1"/>
  <c r="AJ340" i="1" s="1"/>
  <c r="AH341" i="1"/>
  <c r="AJ341" i="1" s="1"/>
  <c r="AH327" i="1"/>
  <c r="AJ327" i="1" s="1"/>
  <c r="AJ700" i="1" l="1"/>
  <c r="AJ706" i="1"/>
  <c r="AJ714" i="1"/>
  <c r="AJ722" i="1"/>
  <c r="AJ753" i="1"/>
  <c r="AJ761" i="1"/>
  <c r="AJ792" i="1"/>
  <c r="AJ800" i="1"/>
  <c r="AJ808" i="1"/>
  <c r="AJ707" i="1"/>
  <c r="AJ715" i="1"/>
  <c r="AJ746" i="1"/>
  <c r="AJ754" i="1"/>
  <c r="AJ762" i="1"/>
  <c r="AJ793" i="1"/>
  <c r="AJ801" i="1"/>
  <c r="AJ809" i="1"/>
  <c r="AJ708" i="1"/>
  <c r="AJ716" i="1"/>
  <c r="AJ747" i="1"/>
  <c r="AJ755" i="1"/>
  <c r="AJ763" i="1"/>
  <c r="AJ794" i="1"/>
  <c r="AJ802" i="1"/>
  <c r="AJ810" i="1"/>
  <c r="AJ701" i="1"/>
  <c r="AJ709" i="1"/>
  <c r="AJ717" i="1"/>
  <c r="AJ748" i="1"/>
  <c r="AJ756" i="1"/>
  <c r="AJ764" i="1"/>
  <c r="AJ795" i="1"/>
  <c r="AJ803" i="1"/>
  <c r="AJ811" i="1"/>
  <c r="AJ702" i="1"/>
  <c r="AJ710" i="1"/>
  <c r="AJ718" i="1"/>
  <c r="AJ749" i="1"/>
  <c r="AJ757" i="1"/>
  <c r="AJ765" i="1"/>
  <c r="AJ796" i="1"/>
  <c r="AJ804" i="1"/>
  <c r="AJ812" i="1"/>
  <c r="AJ703" i="1"/>
  <c r="AJ711" i="1"/>
  <c r="AJ719" i="1"/>
  <c r="AJ750" i="1"/>
  <c r="AJ758" i="1"/>
  <c r="AJ766" i="1"/>
  <c r="AJ797" i="1"/>
  <c r="AJ805" i="1"/>
  <c r="AJ813" i="1"/>
  <c r="AJ704" i="1"/>
  <c r="AJ712" i="1"/>
  <c r="AJ720" i="1"/>
  <c r="AJ751" i="1"/>
  <c r="AJ759" i="1"/>
  <c r="AJ767" i="1"/>
  <c r="AJ798" i="1"/>
  <c r="AJ806" i="1"/>
  <c r="AJ814" i="1"/>
  <c r="AJ705" i="1"/>
  <c r="AJ713" i="1"/>
  <c r="AJ721" i="1"/>
  <c r="AJ752" i="1"/>
  <c r="AJ760" i="1"/>
  <c r="AJ768" i="1"/>
  <c r="AJ799" i="1"/>
  <c r="AJ807" i="1"/>
  <c r="AE1904" i="1"/>
  <c r="AJ1904" i="1" s="1"/>
  <c r="AE1905" i="1"/>
  <c r="AJ1905" i="1" s="1"/>
  <c r="AE1906" i="1"/>
  <c r="AJ1906" i="1" s="1"/>
  <c r="AE1907" i="1"/>
  <c r="AJ1907" i="1" s="1"/>
  <c r="AE1908" i="1"/>
  <c r="AJ1908" i="1" s="1"/>
  <c r="AE1909" i="1"/>
  <c r="AJ1909" i="1" s="1"/>
  <c r="AE1910" i="1"/>
  <c r="AJ1910" i="1" s="1"/>
  <c r="AE1911" i="1"/>
  <c r="AJ1911" i="1" s="1"/>
  <c r="AE1912" i="1"/>
  <c r="AJ1912" i="1" s="1"/>
  <c r="AE1913" i="1"/>
  <c r="AJ1913" i="1" s="1"/>
  <c r="AE1914" i="1"/>
  <c r="AJ1914" i="1" s="1"/>
  <c r="AE1915" i="1"/>
  <c r="AJ1915" i="1" s="1"/>
  <c r="AE1916" i="1"/>
  <c r="AJ1916" i="1" s="1"/>
  <c r="AE1917" i="1"/>
  <c r="AJ1917" i="1" s="1"/>
  <c r="AE1918" i="1"/>
  <c r="AJ1918" i="1" s="1"/>
  <c r="AE1919" i="1"/>
  <c r="AJ1919" i="1" s="1"/>
  <c r="AE1920" i="1"/>
  <c r="AJ1920" i="1" s="1"/>
  <c r="AE1921" i="1"/>
  <c r="AJ1921" i="1" s="1"/>
  <c r="AE1922" i="1"/>
  <c r="AJ1922" i="1" s="1"/>
  <c r="AE1923" i="1"/>
  <c r="AJ1923" i="1" s="1"/>
  <c r="AE1924" i="1"/>
  <c r="AJ1924" i="1" s="1"/>
  <c r="AE1925" i="1"/>
  <c r="AJ1925" i="1" s="1"/>
  <c r="AE1926" i="1"/>
  <c r="AJ1926" i="1" s="1"/>
  <c r="AE1927" i="1"/>
  <c r="AJ1927" i="1" s="1"/>
  <c r="AE1928" i="1"/>
  <c r="AJ1928" i="1" s="1"/>
  <c r="AE1929" i="1"/>
  <c r="AJ1929" i="1" s="1"/>
  <c r="AE1930" i="1"/>
  <c r="AJ1930" i="1" s="1"/>
  <c r="AE1931" i="1"/>
  <c r="AJ1931" i="1" s="1"/>
  <c r="AE1932" i="1"/>
  <c r="AJ1932" i="1" s="1"/>
  <c r="AE1933" i="1"/>
  <c r="AJ1933" i="1" s="1"/>
  <c r="AE1934" i="1"/>
  <c r="AJ1934" i="1" s="1"/>
  <c r="AE1935" i="1"/>
  <c r="AJ1935" i="1" s="1"/>
  <c r="AE1936" i="1"/>
  <c r="AJ1936" i="1" s="1"/>
  <c r="AE1937" i="1"/>
  <c r="AJ1937" i="1" s="1"/>
  <c r="AE1938" i="1"/>
  <c r="AJ1938" i="1" s="1"/>
  <c r="AE1939" i="1"/>
  <c r="AJ1939" i="1" s="1"/>
  <c r="AE1940" i="1"/>
  <c r="AJ1940" i="1" s="1"/>
  <c r="AE1941" i="1"/>
  <c r="AJ1941" i="1" s="1"/>
  <c r="AE1942" i="1"/>
  <c r="AJ1942" i="1" s="1"/>
  <c r="AE1943" i="1"/>
  <c r="AJ1943" i="1" s="1"/>
  <c r="AE1944" i="1"/>
  <c r="AJ1944" i="1" s="1"/>
  <c r="AE1945" i="1"/>
  <c r="AJ1945" i="1" s="1"/>
  <c r="AE1946" i="1"/>
  <c r="AJ1946" i="1" s="1"/>
  <c r="AE1947" i="1"/>
  <c r="AJ1947" i="1" s="1"/>
  <c r="AE1948" i="1"/>
  <c r="AJ1948" i="1" s="1"/>
  <c r="AE1949" i="1"/>
  <c r="AJ1949" i="1" s="1"/>
  <c r="AE1950" i="1"/>
  <c r="AJ1950" i="1" s="1"/>
  <c r="AE1951" i="1"/>
  <c r="AJ1951" i="1" s="1"/>
  <c r="AE1952" i="1"/>
  <c r="AJ1952" i="1" s="1"/>
  <c r="AE1953" i="1"/>
  <c r="AJ1953" i="1" s="1"/>
  <c r="AE1954" i="1"/>
  <c r="AJ1954" i="1" s="1"/>
  <c r="AE1955" i="1"/>
  <c r="AJ1955" i="1" s="1"/>
  <c r="AE1956" i="1"/>
  <c r="AJ1956" i="1" s="1"/>
  <c r="AE1957" i="1"/>
  <c r="AJ1957" i="1" s="1"/>
  <c r="AE1958" i="1"/>
  <c r="AJ1958" i="1" s="1"/>
  <c r="AE1959" i="1"/>
  <c r="AJ1959" i="1" s="1"/>
  <c r="AE1960" i="1"/>
  <c r="AJ1960" i="1" s="1"/>
  <c r="AE1961" i="1"/>
  <c r="AJ1961" i="1" s="1"/>
  <c r="AE1962" i="1"/>
  <c r="AJ1962" i="1" s="1"/>
  <c r="AE1963" i="1"/>
  <c r="AJ1963" i="1" s="1"/>
  <c r="AE1964" i="1"/>
  <c r="AJ1964" i="1" s="1"/>
  <c r="AE1965" i="1"/>
  <c r="AJ1965" i="1" s="1"/>
  <c r="AE1966" i="1"/>
  <c r="AJ1966" i="1" s="1"/>
  <c r="AE1967" i="1"/>
  <c r="AJ1967" i="1" s="1"/>
  <c r="AE1968" i="1"/>
  <c r="AJ1968" i="1" s="1"/>
  <c r="AE1969" i="1"/>
  <c r="AJ1969" i="1" s="1"/>
  <c r="AE1970" i="1"/>
  <c r="AJ1970" i="1" s="1"/>
  <c r="AE1971" i="1"/>
  <c r="AJ1971" i="1" s="1"/>
  <c r="AE1972" i="1"/>
  <c r="AJ1972" i="1" s="1"/>
  <c r="AE1973" i="1"/>
  <c r="AJ1973" i="1" s="1"/>
  <c r="AE1974" i="1"/>
  <c r="AJ1974" i="1" s="1"/>
  <c r="AE1975" i="1"/>
  <c r="AJ1975" i="1" s="1"/>
  <c r="AE1976" i="1"/>
  <c r="AJ1976" i="1" s="1"/>
  <c r="AE1977" i="1"/>
  <c r="AJ1977" i="1" s="1"/>
  <c r="AE1978" i="1"/>
  <c r="AJ1978" i="1" s="1"/>
  <c r="AE1979" i="1"/>
  <c r="AJ1979" i="1" s="1"/>
  <c r="AE1980" i="1"/>
  <c r="AJ1980" i="1" s="1"/>
  <c r="AE1981" i="1"/>
  <c r="AJ1981" i="1" s="1"/>
  <c r="AE1982" i="1"/>
  <c r="AJ1982" i="1" s="1"/>
  <c r="AE1983" i="1"/>
  <c r="AJ1983" i="1" s="1"/>
  <c r="AE1984" i="1"/>
  <c r="AJ1984" i="1" s="1"/>
  <c r="AE1985" i="1"/>
  <c r="AJ1985" i="1" s="1"/>
  <c r="AE1986" i="1"/>
  <c r="AJ1986" i="1" s="1"/>
  <c r="AE1987" i="1"/>
  <c r="AJ1987" i="1" s="1"/>
  <c r="AE1988" i="1"/>
  <c r="AJ1988" i="1" s="1"/>
  <c r="AE1989" i="1"/>
  <c r="AJ1989" i="1" s="1"/>
  <c r="AE1990" i="1"/>
  <c r="AJ1990" i="1" s="1"/>
  <c r="AE1991" i="1"/>
  <c r="AJ1991" i="1" s="1"/>
  <c r="AE1992" i="1"/>
  <c r="AJ1992" i="1" s="1"/>
  <c r="AE1993" i="1"/>
  <c r="AJ1993" i="1" s="1"/>
  <c r="AE1994" i="1"/>
  <c r="AJ1994" i="1" s="1"/>
  <c r="AE1995" i="1"/>
  <c r="AJ1995" i="1" s="1"/>
  <c r="AE1996" i="1"/>
  <c r="AJ1996" i="1" s="1"/>
  <c r="AE1997" i="1"/>
  <c r="AJ1997" i="1" s="1"/>
  <c r="AE1998" i="1"/>
  <c r="AJ1998" i="1" s="1"/>
  <c r="AE1999" i="1"/>
  <c r="AJ1999" i="1" s="1"/>
  <c r="AE2000" i="1"/>
  <c r="AJ2000" i="1" s="1"/>
  <c r="AE2001" i="1"/>
  <c r="AJ2001" i="1" s="1"/>
  <c r="AE2002" i="1"/>
  <c r="AJ2002" i="1" s="1"/>
  <c r="AE2003" i="1"/>
  <c r="AJ2003" i="1" s="1"/>
  <c r="AE2004" i="1"/>
  <c r="AJ2004" i="1" s="1"/>
  <c r="AE2005" i="1"/>
  <c r="AJ2005" i="1" s="1"/>
  <c r="AE2006" i="1"/>
  <c r="AJ2006" i="1" s="1"/>
  <c r="AE2007" i="1"/>
  <c r="AJ2007" i="1" s="1"/>
  <c r="AE2008" i="1"/>
  <c r="AJ2008" i="1" s="1"/>
  <c r="AE2009" i="1"/>
  <c r="AJ2009" i="1" s="1"/>
  <c r="AE2010" i="1"/>
  <c r="AJ2010" i="1" s="1"/>
  <c r="AE2011" i="1"/>
  <c r="AJ2011" i="1" s="1"/>
  <c r="AE2012" i="1"/>
  <c r="AJ2012" i="1" s="1"/>
  <c r="AE2013" i="1"/>
  <c r="AJ2013" i="1" s="1"/>
  <c r="AE2014" i="1"/>
  <c r="AJ2014" i="1" s="1"/>
  <c r="AE2015" i="1"/>
  <c r="AJ2015" i="1" s="1"/>
  <c r="AE2016" i="1"/>
  <c r="AJ2016" i="1" s="1"/>
  <c r="AE2017" i="1"/>
  <c r="AJ2017" i="1" s="1"/>
  <c r="AE2018" i="1"/>
  <c r="AJ2018" i="1" s="1"/>
  <c r="AE2019" i="1"/>
  <c r="AJ2019" i="1" s="1"/>
  <c r="AE2020" i="1"/>
  <c r="AJ2020" i="1" s="1"/>
  <c r="AE2021" i="1"/>
  <c r="AJ2021" i="1" s="1"/>
  <c r="AE2022" i="1"/>
  <c r="AJ2022" i="1" s="1"/>
  <c r="AE2023" i="1"/>
  <c r="AJ2023" i="1" s="1"/>
  <c r="AE2024" i="1"/>
  <c r="AJ2024" i="1" s="1"/>
  <c r="AE2025" i="1"/>
  <c r="AJ2025" i="1" s="1"/>
  <c r="AE2026" i="1"/>
  <c r="AJ2026" i="1" s="1"/>
  <c r="AE2027" i="1"/>
  <c r="AJ2027" i="1" s="1"/>
  <c r="AE2028" i="1"/>
  <c r="AJ2028" i="1" s="1"/>
  <c r="AE2029" i="1"/>
  <c r="AJ2029" i="1" s="1"/>
  <c r="AE2030" i="1"/>
  <c r="AJ2030" i="1" s="1"/>
  <c r="AE2031" i="1"/>
  <c r="AJ2031" i="1" s="1"/>
  <c r="AE2032" i="1"/>
  <c r="AJ2032" i="1" s="1"/>
  <c r="AE2033" i="1"/>
  <c r="AJ2033" i="1" s="1"/>
  <c r="AE2034" i="1"/>
  <c r="AJ2034" i="1" s="1"/>
  <c r="AE2035" i="1"/>
  <c r="AJ2035" i="1" s="1"/>
  <c r="AE2036" i="1"/>
  <c r="AJ2036" i="1" s="1"/>
  <c r="AE2037" i="1"/>
  <c r="AJ2037" i="1" s="1"/>
  <c r="AE2038" i="1"/>
  <c r="AJ2038" i="1" s="1"/>
  <c r="AE2039" i="1"/>
  <c r="AJ2039" i="1" s="1"/>
  <c r="AE2040" i="1"/>
  <c r="AJ2040" i="1" s="1"/>
  <c r="AE2041" i="1"/>
  <c r="AJ2041" i="1" s="1"/>
  <c r="AE2042" i="1"/>
  <c r="AJ2042" i="1" s="1"/>
  <c r="AE2043" i="1"/>
  <c r="AJ2043" i="1" s="1"/>
  <c r="AE2044" i="1"/>
  <c r="AJ2044" i="1" s="1"/>
  <c r="AE2045" i="1"/>
  <c r="AJ2045" i="1" s="1"/>
  <c r="AE2046" i="1"/>
  <c r="AJ2046" i="1" s="1"/>
  <c r="AE2047" i="1"/>
  <c r="AJ2047" i="1" s="1"/>
  <c r="AE2048" i="1"/>
  <c r="AJ2048" i="1" s="1"/>
  <c r="AE2049" i="1"/>
  <c r="AJ2049" i="1" s="1"/>
  <c r="AE2050" i="1"/>
  <c r="AJ2050" i="1" s="1"/>
  <c r="AE2051" i="1"/>
  <c r="AJ2051" i="1" s="1"/>
  <c r="AE2052" i="1"/>
  <c r="AJ2052" i="1" s="1"/>
  <c r="AE2053" i="1"/>
  <c r="AJ2053" i="1" s="1"/>
  <c r="AE2054" i="1"/>
  <c r="AJ2054" i="1" s="1"/>
  <c r="AE2055" i="1"/>
  <c r="AJ2055" i="1" s="1"/>
  <c r="AE2056" i="1"/>
  <c r="AJ2056" i="1" s="1"/>
  <c r="AE2057" i="1"/>
  <c r="AJ2057" i="1" s="1"/>
  <c r="AE2058" i="1"/>
  <c r="AJ2058" i="1" s="1"/>
  <c r="AE2059" i="1"/>
  <c r="AJ2059" i="1" s="1"/>
  <c r="AE2060" i="1"/>
  <c r="AJ2060" i="1" s="1"/>
  <c r="AE2061" i="1"/>
  <c r="AJ2061" i="1" s="1"/>
  <c r="AE2062" i="1"/>
  <c r="AJ2062" i="1" s="1"/>
  <c r="AE2063" i="1"/>
  <c r="AJ2063" i="1" s="1"/>
  <c r="AE2064" i="1"/>
  <c r="AJ2064" i="1" s="1"/>
  <c r="AE2065" i="1"/>
  <c r="AJ2065" i="1" s="1"/>
  <c r="AE2066" i="1"/>
  <c r="AJ2066" i="1" s="1"/>
  <c r="AE2067" i="1"/>
  <c r="AJ2067" i="1" s="1"/>
  <c r="AE2068" i="1"/>
  <c r="AJ2068" i="1" s="1"/>
  <c r="AE2069" i="1"/>
  <c r="AJ2069" i="1" s="1"/>
  <c r="AE2070" i="1"/>
  <c r="AJ2070" i="1" s="1"/>
  <c r="AE2071" i="1"/>
  <c r="AJ2071" i="1" s="1"/>
  <c r="AE2072" i="1"/>
  <c r="AJ2072" i="1" s="1"/>
  <c r="AE2073" i="1"/>
  <c r="AJ2073" i="1" s="1"/>
  <c r="AE2074" i="1"/>
  <c r="AJ2074" i="1" s="1"/>
  <c r="AE2075" i="1"/>
  <c r="AJ2075" i="1" s="1"/>
  <c r="AE2076" i="1"/>
  <c r="AJ2076" i="1" s="1"/>
  <c r="AE2077" i="1"/>
  <c r="AJ2077" i="1" s="1"/>
  <c r="AE2078" i="1"/>
  <c r="AJ2078" i="1" s="1"/>
  <c r="AE2079" i="1"/>
  <c r="AJ2079" i="1" s="1"/>
  <c r="AE2080" i="1"/>
  <c r="AJ2080" i="1" s="1"/>
  <c r="AE2081" i="1"/>
  <c r="AJ2081" i="1" s="1"/>
  <c r="AE2082" i="1"/>
  <c r="AJ2082" i="1" s="1"/>
  <c r="AE2083" i="1"/>
  <c r="AJ2083" i="1" s="1"/>
  <c r="AE2084" i="1"/>
  <c r="AJ2084" i="1" s="1"/>
  <c r="AE2085" i="1"/>
  <c r="AJ2085" i="1" s="1"/>
  <c r="AE2086" i="1"/>
  <c r="AJ2086" i="1" s="1"/>
  <c r="AE2087" i="1"/>
  <c r="AJ2087" i="1" s="1"/>
  <c r="AE2088" i="1"/>
  <c r="AJ2088" i="1" s="1"/>
  <c r="AE2089" i="1"/>
  <c r="AJ2089" i="1" s="1"/>
  <c r="AE2090" i="1"/>
  <c r="AJ2090" i="1" s="1"/>
  <c r="AE2091" i="1"/>
  <c r="AJ2091" i="1" s="1"/>
  <c r="AE2092" i="1"/>
  <c r="AJ2092" i="1" s="1"/>
  <c r="AE2093" i="1"/>
  <c r="AJ2093" i="1" s="1"/>
  <c r="AE2094" i="1"/>
  <c r="AJ2094" i="1" s="1"/>
  <c r="AE2095" i="1"/>
  <c r="AJ2095" i="1" s="1"/>
  <c r="AE2096" i="1"/>
  <c r="AJ2096" i="1" s="1"/>
  <c r="AE2097" i="1"/>
  <c r="AJ2097" i="1" s="1"/>
  <c r="AE2098" i="1"/>
  <c r="AJ2098" i="1" s="1"/>
  <c r="AE2099" i="1"/>
  <c r="AJ2099" i="1" s="1"/>
  <c r="AE2100" i="1"/>
  <c r="AJ2100" i="1" s="1"/>
  <c r="AE2101" i="1"/>
  <c r="AJ2101" i="1" s="1"/>
  <c r="AE2102" i="1"/>
  <c r="AJ2102" i="1" s="1"/>
  <c r="AE2103" i="1"/>
  <c r="AJ2103" i="1" s="1"/>
  <c r="AE2104" i="1"/>
  <c r="AJ2104" i="1" s="1"/>
  <c r="AE1903" i="1"/>
  <c r="AJ1903" i="1" s="1"/>
  <c r="AE2241" i="1" l="1"/>
  <c r="AJ2241" i="1" s="1"/>
  <c r="AE2242" i="1"/>
  <c r="AJ2242" i="1" s="1"/>
  <c r="AE2243" i="1"/>
  <c r="AJ2243" i="1" s="1"/>
  <c r="AE2244" i="1"/>
  <c r="AJ2244" i="1" s="1"/>
  <c r="AE2245" i="1"/>
  <c r="AJ2245" i="1" s="1"/>
  <c r="AE2246" i="1"/>
  <c r="AJ2246" i="1" s="1"/>
  <c r="AE2247" i="1"/>
  <c r="AJ2247" i="1" s="1"/>
  <c r="AE2248" i="1"/>
  <c r="AJ2248" i="1" s="1"/>
  <c r="AE2249" i="1"/>
  <c r="AJ2249" i="1" s="1"/>
  <c r="AE2250" i="1"/>
  <c r="AJ2250" i="1" s="1"/>
  <c r="AE2251" i="1"/>
  <c r="AJ2251" i="1" s="1"/>
  <c r="AE2252" i="1"/>
  <c r="AJ2252" i="1" s="1"/>
  <c r="AE2253" i="1"/>
  <c r="AJ2253" i="1" s="1"/>
  <c r="AE2254" i="1"/>
  <c r="AJ2254" i="1" s="1"/>
  <c r="AE2255" i="1"/>
  <c r="AJ2255" i="1" s="1"/>
  <c r="AE2256" i="1"/>
  <c r="AJ2256" i="1" s="1"/>
  <c r="AE2257" i="1"/>
  <c r="AJ2257" i="1" s="1"/>
  <c r="AE2258" i="1"/>
  <c r="AJ2258" i="1" s="1"/>
  <c r="AE2259" i="1"/>
  <c r="AJ2259" i="1" s="1"/>
  <c r="AE2260" i="1"/>
  <c r="AJ2260" i="1" s="1"/>
  <c r="AE2261" i="1"/>
  <c r="AJ2261" i="1" s="1"/>
  <c r="AE2262" i="1"/>
  <c r="AJ2262" i="1" s="1"/>
  <c r="AE2263" i="1"/>
  <c r="AJ2263" i="1" s="1"/>
  <c r="AE2264" i="1"/>
  <c r="AJ2264" i="1" s="1"/>
  <c r="AE2265" i="1"/>
  <c r="AJ2265" i="1" s="1"/>
  <c r="AE2266" i="1"/>
  <c r="AJ2266" i="1" s="1"/>
  <c r="AE2267" i="1"/>
  <c r="AJ2267" i="1" s="1"/>
  <c r="AE2268" i="1"/>
  <c r="AJ2268" i="1" s="1"/>
  <c r="AE2269" i="1"/>
  <c r="AJ2269" i="1" s="1"/>
  <c r="AE2270" i="1"/>
  <c r="AJ2270" i="1" s="1"/>
  <c r="AE2271" i="1"/>
  <c r="AJ2271" i="1" s="1"/>
  <c r="AE2272" i="1"/>
  <c r="AJ2272" i="1" s="1"/>
  <c r="AE2273" i="1"/>
  <c r="AJ2273" i="1" s="1"/>
  <c r="AE2274" i="1"/>
  <c r="AJ2274" i="1" s="1"/>
  <c r="AE2275" i="1"/>
  <c r="AJ2275" i="1" s="1"/>
  <c r="AE2276" i="1"/>
  <c r="AJ2276" i="1" s="1"/>
  <c r="AE2277" i="1"/>
  <c r="AJ2277" i="1" s="1"/>
  <c r="AE2278" i="1"/>
  <c r="AJ2278" i="1" s="1"/>
  <c r="AE2279" i="1"/>
  <c r="AJ2279" i="1" s="1"/>
  <c r="AE2280" i="1"/>
  <c r="AJ2280" i="1" s="1"/>
  <c r="AE2281" i="1"/>
  <c r="AJ2281" i="1" s="1"/>
  <c r="AE2282" i="1"/>
  <c r="AJ2282" i="1" s="1"/>
  <c r="AE2283" i="1"/>
  <c r="AJ2283" i="1" s="1"/>
  <c r="AE2284" i="1"/>
  <c r="AJ2284" i="1" s="1"/>
  <c r="AE2285" i="1"/>
  <c r="AJ2285" i="1" s="1"/>
  <c r="AE2286" i="1"/>
  <c r="AJ2286" i="1" s="1"/>
  <c r="AE2287" i="1"/>
  <c r="AJ2287" i="1" s="1"/>
  <c r="AE2288" i="1"/>
  <c r="AJ2288" i="1" s="1"/>
  <c r="AE2289" i="1"/>
  <c r="AJ2289" i="1" s="1"/>
  <c r="AE2290" i="1"/>
  <c r="AJ2290" i="1" s="1"/>
  <c r="AE2291" i="1"/>
  <c r="AJ2291" i="1" s="1"/>
  <c r="AE2292" i="1"/>
  <c r="AJ2292" i="1" s="1"/>
  <c r="AE2293" i="1"/>
  <c r="AJ2293" i="1" s="1"/>
  <c r="AE2294" i="1"/>
  <c r="AJ2294" i="1" s="1"/>
  <c r="AE2295" i="1"/>
  <c r="AJ2295" i="1" s="1"/>
  <c r="AE2296" i="1"/>
  <c r="AJ2296" i="1" s="1"/>
  <c r="AE2297" i="1"/>
  <c r="AJ2297" i="1" s="1"/>
  <c r="AE2298" i="1"/>
  <c r="AJ2298" i="1" s="1"/>
  <c r="AE2299" i="1"/>
  <c r="AJ2299" i="1" s="1"/>
  <c r="AE2300" i="1"/>
  <c r="AJ2300" i="1" s="1"/>
  <c r="AE2301" i="1"/>
  <c r="AJ2301" i="1" s="1"/>
  <c r="AE2302" i="1"/>
  <c r="AJ2302" i="1" s="1"/>
  <c r="AE2303" i="1"/>
  <c r="AJ2303" i="1" s="1"/>
  <c r="AE2304" i="1"/>
  <c r="AJ2304" i="1" s="1"/>
  <c r="AE2305" i="1"/>
  <c r="AJ2305" i="1" s="1"/>
  <c r="AE2306" i="1"/>
  <c r="AJ2306" i="1" s="1"/>
  <c r="AE2307" i="1"/>
  <c r="AJ2307" i="1" s="1"/>
  <c r="AE2308" i="1"/>
  <c r="AJ2308" i="1" s="1"/>
  <c r="AE2309" i="1"/>
  <c r="AJ2309" i="1" s="1"/>
  <c r="AE2310" i="1"/>
  <c r="AJ2310" i="1" s="1"/>
  <c r="AE2311" i="1"/>
  <c r="AJ2311" i="1" s="1"/>
  <c r="AE2312" i="1"/>
  <c r="AJ2312" i="1" s="1"/>
  <c r="AE2313" i="1"/>
  <c r="AJ2313" i="1" s="1"/>
  <c r="AE2314" i="1"/>
  <c r="AJ2314" i="1" s="1"/>
  <c r="AE2315" i="1"/>
  <c r="AJ2315" i="1" s="1"/>
  <c r="AE2316" i="1"/>
  <c r="AJ2316" i="1" s="1"/>
  <c r="AE2317" i="1"/>
  <c r="AJ2317" i="1" s="1"/>
  <c r="AE2318" i="1"/>
  <c r="AJ2318" i="1" s="1"/>
  <c r="AE2319" i="1"/>
  <c r="AJ2319" i="1" s="1"/>
  <c r="AE2320" i="1"/>
  <c r="AJ2320" i="1" s="1"/>
  <c r="AE2321" i="1"/>
  <c r="AJ2321" i="1" s="1"/>
  <c r="AE2322" i="1"/>
  <c r="AJ2322" i="1" s="1"/>
  <c r="AE2323" i="1"/>
  <c r="AJ2323" i="1" s="1"/>
  <c r="AE2324" i="1"/>
  <c r="AJ2324" i="1" s="1"/>
  <c r="AE2325" i="1"/>
  <c r="AJ2325" i="1" s="1"/>
  <c r="AE2326" i="1"/>
  <c r="AJ2326" i="1" s="1"/>
  <c r="AE2327" i="1"/>
  <c r="AJ2327" i="1" s="1"/>
  <c r="AE2328" i="1"/>
  <c r="AJ2328" i="1" s="1"/>
  <c r="AE2329" i="1"/>
  <c r="AJ2329" i="1" s="1"/>
  <c r="AE2330" i="1"/>
  <c r="AJ2330" i="1" s="1"/>
  <c r="AE2331" i="1"/>
  <c r="AJ2331" i="1" s="1"/>
  <c r="AE2332" i="1"/>
  <c r="AJ2332" i="1" s="1"/>
  <c r="AE2333" i="1"/>
  <c r="AJ2333" i="1" s="1"/>
  <c r="AE2334" i="1"/>
  <c r="AJ2334" i="1" s="1"/>
  <c r="AE2335" i="1"/>
  <c r="AJ2335" i="1" s="1"/>
  <c r="AE2336" i="1"/>
  <c r="AJ2336" i="1" s="1"/>
  <c r="AE2337" i="1"/>
  <c r="AJ2337" i="1" s="1"/>
  <c r="AE2338" i="1"/>
  <c r="AJ2338" i="1" s="1"/>
  <c r="AE2339" i="1"/>
  <c r="AJ2339" i="1" s="1"/>
  <c r="AE2340" i="1"/>
  <c r="AJ2340" i="1" s="1"/>
  <c r="AE2341" i="1"/>
  <c r="AJ2341" i="1" s="1"/>
  <c r="AE2342" i="1"/>
  <c r="AJ2342" i="1" s="1"/>
  <c r="AE2343" i="1"/>
  <c r="AJ2343" i="1" s="1"/>
  <c r="AE2344" i="1"/>
  <c r="AJ2344" i="1" s="1"/>
  <c r="AE2345" i="1"/>
  <c r="AJ2345" i="1" s="1"/>
  <c r="AE2240" i="1"/>
  <c r="AJ2240" i="1" s="1"/>
  <c r="S1485" i="1" l="1"/>
  <c r="S1486" i="1"/>
  <c r="S1487" i="1"/>
  <c r="S1488" i="1"/>
  <c r="S1489" i="1"/>
  <c r="S1490" i="1"/>
  <c r="S1491" i="1"/>
  <c r="S1484" i="1"/>
  <c r="S1455" i="1"/>
  <c r="S1456" i="1"/>
  <c r="S1457" i="1"/>
  <c r="S1458" i="1"/>
  <c r="S1454" i="1"/>
  <c r="S1596" i="1"/>
  <c r="S1597" i="1"/>
  <c r="S1598" i="1"/>
  <c r="S1599" i="1"/>
  <c r="S1600" i="1"/>
  <c r="S1601" i="1"/>
  <c r="S1602" i="1"/>
  <c r="S1603" i="1"/>
  <c r="S1604" i="1"/>
  <c r="S1595" i="1"/>
  <c r="S1573" i="1"/>
  <c r="S1574" i="1"/>
  <c r="S1575" i="1"/>
  <c r="S1576" i="1"/>
  <c r="S1577" i="1"/>
  <c r="S1578" i="1"/>
  <c r="S1579" i="1"/>
  <c r="S1580" i="1"/>
  <c r="S1581" i="1"/>
  <c r="S1572" i="1"/>
  <c r="S1561" i="1"/>
  <c r="S1562" i="1"/>
  <c r="S1563" i="1"/>
  <c r="S1564" i="1"/>
  <c r="S1565" i="1"/>
  <c r="S1566" i="1"/>
  <c r="S1567" i="1"/>
  <c r="S1568" i="1"/>
  <c r="S1569" i="1"/>
  <c r="S1570" i="1"/>
  <c r="S1571" i="1"/>
  <c r="S1560" i="1"/>
  <c r="S1553" i="1"/>
  <c r="S1551" i="1"/>
  <c r="S1552" i="1"/>
  <c r="S1550" i="1"/>
  <c r="S1540" i="1"/>
  <c r="S1541" i="1"/>
  <c r="S1542" i="1"/>
  <c r="S1543" i="1"/>
  <c r="S1539" i="1"/>
  <c r="S1528" i="1"/>
  <c r="S1529" i="1"/>
  <c r="S1530" i="1"/>
  <c r="S1531" i="1"/>
  <c r="S1532" i="1"/>
  <c r="S1533" i="1"/>
  <c r="S1534" i="1"/>
  <c r="S1535" i="1"/>
  <c r="S1536" i="1"/>
  <c r="S1537" i="1"/>
  <c r="S1538" i="1"/>
  <c r="S1527" i="1"/>
  <c r="S1517" i="1"/>
  <c r="S1518" i="1"/>
  <c r="S1519" i="1"/>
  <c r="S1520" i="1"/>
  <c r="S1521" i="1"/>
  <c r="S1522" i="1"/>
  <c r="S1523" i="1"/>
  <c r="S1524" i="1"/>
  <c r="S1525" i="1"/>
  <c r="S1526" i="1"/>
  <c r="S1516" i="1"/>
  <c r="S1497" i="1"/>
  <c r="AC2498" i="1"/>
  <c r="S2498" i="1"/>
  <c r="AF2498" i="1" s="1"/>
  <c r="AC2497" i="1"/>
  <c r="S2497" i="1"/>
  <c r="AF2497" i="1" s="1"/>
  <c r="AC2496" i="1"/>
  <c r="S2496" i="1"/>
  <c r="AF2496" i="1" s="1"/>
  <c r="AC2495" i="1"/>
  <c r="S2495" i="1"/>
  <c r="AF2495" i="1" s="1"/>
  <c r="AJ2498" i="1" l="1"/>
  <c r="AJ2497" i="1"/>
  <c r="AJ2496" i="1"/>
  <c r="AJ2495" i="1"/>
  <c r="M26" i="7"/>
  <c r="L26" i="7"/>
  <c r="G24" i="7"/>
  <c r="L24" i="7" s="1"/>
  <c r="L23" i="7"/>
  <c r="M23" i="7" s="1"/>
  <c r="L22" i="7"/>
  <c r="E22" i="7"/>
  <c r="M22" i="7" s="1"/>
  <c r="M21" i="7"/>
  <c r="L21" i="7"/>
  <c r="M20" i="7"/>
  <c r="L20" i="7"/>
  <c r="E20" i="7"/>
  <c r="E19" i="7"/>
  <c r="L18" i="7"/>
  <c r="L17" i="7"/>
  <c r="M17" i="7" s="1"/>
  <c r="I17" i="7"/>
  <c r="L16" i="7"/>
  <c r="M16" i="7" s="1"/>
  <c r="I15" i="7"/>
  <c r="L15" i="7" s="1"/>
  <c r="M15" i="7" s="1"/>
  <c r="L14" i="7"/>
  <c r="M14" i="7" s="1"/>
  <c r="L13" i="7"/>
  <c r="M13" i="7" s="1"/>
  <c r="L12" i="7"/>
  <c r="M12" i="7" s="1"/>
  <c r="E11" i="7"/>
  <c r="M10" i="7"/>
  <c r="L10" i="7"/>
  <c r="E10" i="7"/>
  <c r="F8" i="7"/>
  <c r="G8" i="7" s="1"/>
  <c r="L7" i="7"/>
  <c r="M7" i="7" s="1"/>
  <c r="E6" i="7"/>
  <c r="I5" i="7"/>
  <c r="L5" i="7" s="1"/>
  <c r="M5" i="7" s="1"/>
  <c r="E5" i="7"/>
  <c r="J5" i="7" s="1"/>
  <c r="L4" i="7"/>
  <c r="M4" i="7" s="1"/>
  <c r="L3" i="7"/>
  <c r="I3" i="7"/>
  <c r="L6" i="7" l="1"/>
  <c r="M6" i="7" s="1"/>
  <c r="G9" i="7"/>
  <c r="L8" i="7"/>
  <c r="M19" i="7"/>
  <c r="L25" i="7"/>
  <c r="M24" i="7"/>
  <c r="M3" i="7"/>
  <c r="E25" i="7"/>
  <c r="M25" i="7" s="1"/>
  <c r="L19" i="7"/>
  <c r="I9" i="7" l="1"/>
  <c r="L9" i="7" s="1"/>
  <c r="M8" i="7"/>
  <c r="M9" i="7" l="1"/>
  <c r="L11" i="7"/>
  <c r="M11" i="7" s="1"/>
  <c r="AF1244" i="1" l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47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26" i="1"/>
  <c r="AH321" i="1"/>
  <c r="AJ321" i="1" s="1"/>
  <c r="AH322" i="1"/>
  <c r="AJ322" i="1" s="1"/>
  <c r="AH323" i="1"/>
  <c r="AJ323" i="1" s="1"/>
  <c r="AH324" i="1"/>
  <c r="AJ324" i="1" s="1"/>
  <c r="AH325" i="1"/>
  <c r="AJ325" i="1" s="1"/>
  <c r="AH326" i="1"/>
  <c r="AJ326" i="1" s="1"/>
  <c r="AH342" i="1"/>
  <c r="AJ342" i="1" s="1"/>
  <c r="AH343" i="1"/>
  <c r="AJ343" i="1" s="1"/>
  <c r="AH344" i="1"/>
  <c r="AJ344" i="1" s="1"/>
  <c r="AH345" i="1"/>
  <c r="AJ345" i="1" s="1"/>
  <c r="AH346" i="1"/>
  <c r="AJ346" i="1" s="1"/>
  <c r="AH347" i="1"/>
  <c r="AJ347" i="1" s="1"/>
  <c r="AH348" i="1"/>
  <c r="AJ348" i="1" s="1"/>
  <c r="AH349" i="1"/>
  <c r="AJ349" i="1" s="1"/>
  <c r="AH350" i="1"/>
  <c r="AJ350" i="1" s="1"/>
  <c r="AH351" i="1"/>
  <c r="AJ351" i="1" s="1"/>
  <c r="AH352" i="1"/>
  <c r="AJ352" i="1" s="1"/>
  <c r="AH353" i="1"/>
  <c r="AJ353" i="1" s="1"/>
  <c r="AH354" i="1"/>
  <c r="AJ354" i="1" s="1"/>
  <c r="AH355" i="1"/>
  <c r="AJ355" i="1" s="1"/>
  <c r="AH356" i="1"/>
  <c r="AJ356" i="1" s="1"/>
  <c r="AH357" i="1"/>
  <c r="AJ357" i="1" s="1"/>
  <c r="AH358" i="1"/>
  <c r="AJ358" i="1" s="1"/>
  <c r="AH359" i="1"/>
  <c r="AJ359" i="1" s="1"/>
  <c r="AH360" i="1"/>
  <c r="AJ360" i="1" s="1"/>
  <c r="AH361" i="1"/>
  <c r="AJ361" i="1" s="1"/>
  <c r="AH362" i="1"/>
  <c r="AJ362" i="1" s="1"/>
  <c r="AH363" i="1"/>
  <c r="AJ363" i="1" s="1"/>
  <c r="AH364" i="1"/>
  <c r="AJ364" i="1" s="1"/>
  <c r="AH365" i="1"/>
  <c r="AJ365" i="1" s="1"/>
  <c r="AH366" i="1"/>
  <c r="AJ366" i="1" s="1"/>
  <c r="AH367" i="1"/>
  <c r="AJ367" i="1" s="1"/>
  <c r="AH368" i="1"/>
  <c r="AJ368" i="1" s="1"/>
  <c r="AH369" i="1"/>
  <c r="AJ369" i="1" s="1"/>
  <c r="AH370" i="1"/>
  <c r="AJ370" i="1" s="1"/>
  <c r="AH371" i="1"/>
  <c r="AJ371" i="1" s="1"/>
  <c r="AH372" i="1"/>
  <c r="AJ372" i="1" s="1"/>
  <c r="AJ446" i="1" l="1"/>
  <c r="AJ479" i="1"/>
  <c r="AJ487" i="1"/>
  <c r="AJ850" i="1"/>
  <c r="AJ426" i="1"/>
  <c r="AJ470" i="1"/>
  <c r="AJ478" i="1"/>
  <c r="AJ494" i="1"/>
  <c r="AJ849" i="1"/>
  <c r="AJ857" i="1"/>
  <c r="AJ887" i="1"/>
  <c r="AJ895" i="1"/>
  <c r="AJ903" i="1"/>
  <c r="AJ911" i="1"/>
  <c r="AJ1181" i="1"/>
  <c r="AJ1189" i="1"/>
  <c r="AJ1219" i="1"/>
  <c r="AJ1227" i="1"/>
  <c r="AJ1235" i="1"/>
  <c r="AJ1243" i="1"/>
  <c r="AJ474" i="1"/>
  <c r="AJ482" i="1"/>
  <c r="AJ490" i="1"/>
  <c r="AJ845" i="1"/>
  <c r="AJ853" i="1"/>
  <c r="AJ861" i="1"/>
  <c r="AJ891" i="1"/>
  <c r="AJ899" i="1"/>
  <c r="AJ907" i="1"/>
  <c r="AJ1177" i="1"/>
  <c r="AJ1185" i="1"/>
  <c r="AJ1193" i="1"/>
  <c r="AJ1223" i="1"/>
  <c r="AJ1231" i="1"/>
  <c r="AJ1239" i="1"/>
  <c r="AJ475" i="1"/>
  <c r="AJ491" i="1"/>
  <c r="AJ846" i="1"/>
  <c r="AJ854" i="1"/>
  <c r="AJ862" i="1"/>
  <c r="AJ892" i="1"/>
  <c r="AJ900" i="1"/>
  <c r="AJ908" i="1"/>
  <c r="AJ1178" i="1"/>
  <c r="AJ1186" i="1"/>
  <c r="AJ1194" i="1"/>
  <c r="AJ1224" i="1"/>
  <c r="AJ1232" i="1"/>
  <c r="AJ1240" i="1"/>
  <c r="AJ486" i="1"/>
  <c r="AJ438" i="1"/>
  <c r="AJ471" i="1"/>
  <c r="AJ483" i="1"/>
  <c r="AJ495" i="1"/>
  <c r="AJ431" i="1"/>
  <c r="AJ484" i="1"/>
  <c r="AJ430" i="1"/>
  <c r="AJ439" i="1"/>
  <c r="AJ847" i="1"/>
  <c r="AJ863" i="1"/>
  <c r="AJ1195" i="1"/>
  <c r="AJ476" i="1"/>
  <c r="AJ492" i="1"/>
  <c r="AJ855" i="1"/>
  <c r="AJ893" i="1"/>
  <c r="AJ901" i="1"/>
  <c r="AJ909" i="1"/>
  <c r="AJ1179" i="1"/>
  <c r="AJ1187" i="1"/>
  <c r="AJ1225" i="1"/>
  <c r="AJ1233" i="1"/>
  <c r="AJ1241" i="1"/>
  <c r="AJ1242" i="1"/>
  <c r="AJ477" i="1"/>
  <c r="AJ485" i="1"/>
  <c r="AJ493" i="1"/>
  <c r="AJ848" i="1"/>
  <c r="AJ856" i="1"/>
  <c r="AJ864" i="1"/>
  <c r="AJ894" i="1"/>
  <c r="AJ902" i="1"/>
  <c r="AJ910" i="1"/>
  <c r="AJ1180" i="1"/>
  <c r="AJ1188" i="1"/>
  <c r="AJ1196" i="1"/>
  <c r="AJ1226" i="1"/>
  <c r="AJ1234" i="1"/>
  <c r="AJ440" i="1"/>
  <c r="AJ432" i="1"/>
  <c r="AJ444" i="1"/>
  <c r="AJ436" i="1"/>
  <c r="AJ428" i="1"/>
  <c r="AJ447" i="1"/>
  <c r="AJ437" i="1"/>
  <c r="AJ443" i="1"/>
  <c r="AJ435" i="1"/>
  <c r="AJ445" i="1"/>
  <c r="AJ858" i="1"/>
  <c r="AJ888" i="1"/>
  <c r="AJ896" i="1"/>
  <c r="AJ904" i="1"/>
  <c r="AJ912" i="1"/>
  <c r="AJ1182" i="1"/>
  <c r="AJ1190" i="1"/>
  <c r="AJ1220" i="1"/>
  <c r="AJ1228" i="1"/>
  <c r="AJ1236" i="1"/>
  <c r="AJ1244" i="1"/>
  <c r="AJ429" i="1"/>
  <c r="AJ472" i="1"/>
  <c r="AJ480" i="1"/>
  <c r="AJ488" i="1"/>
  <c r="AJ843" i="1"/>
  <c r="AJ851" i="1"/>
  <c r="AJ859" i="1"/>
  <c r="AJ889" i="1"/>
  <c r="AJ897" i="1"/>
  <c r="AJ905" i="1"/>
  <c r="AJ1175" i="1"/>
  <c r="AJ1183" i="1"/>
  <c r="AJ1191" i="1"/>
  <c r="AJ1221" i="1"/>
  <c r="AJ1229" i="1"/>
  <c r="AJ473" i="1"/>
  <c r="AJ481" i="1"/>
  <c r="AJ489" i="1"/>
  <c r="AJ844" i="1"/>
  <c r="AJ852" i="1"/>
  <c r="AJ860" i="1"/>
  <c r="AJ890" i="1"/>
  <c r="AJ898" i="1"/>
  <c r="AJ906" i="1"/>
  <c r="AJ427" i="1"/>
  <c r="AJ442" i="1"/>
  <c r="AJ434" i="1"/>
  <c r="AJ441" i="1"/>
  <c r="AJ433" i="1"/>
  <c r="AJ1237" i="1"/>
  <c r="AJ377" i="1"/>
  <c r="AJ1176" i="1"/>
  <c r="AJ1184" i="1"/>
  <c r="AJ1192" i="1"/>
  <c r="AJ1222" i="1"/>
  <c r="AJ1230" i="1"/>
  <c r="AJ1238" i="1"/>
  <c r="S1453" i="1"/>
  <c r="S1452" i="1"/>
  <c r="S1451" i="1"/>
  <c r="S1450" i="1"/>
  <c r="S1449" i="1"/>
  <c r="S1448" i="1"/>
  <c r="S1447" i="1"/>
  <c r="S1446" i="1"/>
  <c r="AK1446" i="1" s="1"/>
  <c r="AL1446" i="1" s="1"/>
  <c r="S1445" i="1"/>
  <c r="S1444" i="1"/>
  <c r="S1443" i="1"/>
  <c r="S1442" i="1"/>
  <c r="S1441" i="1"/>
  <c r="S1440" i="1"/>
  <c r="S1439" i="1"/>
  <c r="AK1439" i="1" s="1"/>
  <c r="AL1439" i="1" s="1"/>
  <c r="S1438" i="1"/>
  <c r="AK1438" i="1" s="1"/>
  <c r="AL1438" i="1" s="1"/>
  <c r="S1437" i="1"/>
  <c r="AK1437" i="1" s="1"/>
  <c r="AL1437" i="1" s="1"/>
  <c r="S1436" i="1"/>
  <c r="AK1436" i="1" s="1"/>
  <c r="AL1436" i="1" s="1"/>
  <c r="S1435" i="1"/>
  <c r="AK1435" i="1" s="1"/>
  <c r="AL1435" i="1" s="1"/>
  <c r="S1434" i="1"/>
  <c r="AK1434" i="1" s="1"/>
  <c r="AL1434" i="1" s="1"/>
  <c r="S1433" i="1"/>
  <c r="AK1433" i="1" s="1"/>
  <c r="AL1433" i="1" s="1"/>
  <c r="S1432" i="1"/>
  <c r="AK1432" i="1" s="1"/>
  <c r="AL1432" i="1" s="1"/>
  <c r="S1431" i="1"/>
  <c r="AK1431" i="1" s="1"/>
  <c r="AL1431" i="1" s="1"/>
  <c r="S1430" i="1"/>
  <c r="AK1430" i="1" s="1"/>
  <c r="AL1430" i="1" s="1"/>
  <c r="S1429" i="1"/>
  <c r="AK1429" i="1" s="1"/>
  <c r="AL1429" i="1" s="1"/>
  <c r="S1428" i="1"/>
  <c r="AK1428" i="1" s="1"/>
  <c r="AL1428" i="1" s="1"/>
  <c r="S1427" i="1"/>
  <c r="AK1427" i="1" s="1"/>
  <c r="AL1427" i="1" s="1"/>
  <c r="S1426" i="1"/>
  <c r="AK1426" i="1" s="1"/>
  <c r="AL1426" i="1" s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AF1083" i="1" l="1"/>
  <c r="AC1083" i="1"/>
  <c r="AC1415" i="1"/>
  <c r="AF1415" i="1"/>
  <c r="AC666" i="1"/>
  <c r="AF666" i="1"/>
  <c r="AH497" i="1"/>
  <c r="AJ497" i="1" s="1"/>
  <c r="AH529" i="1"/>
  <c r="AJ529" i="1" s="1"/>
  <c r="AH545" i="1"/>
  <c r="AJ545" i="1" s="1"/>
  <c r="AH569" i="1"/>
  <c r="AJ569" i="1" s="1"/>
  <c r="AH641" i="1"/>
  <c r="AJ641" i="1" s="1"/>
  <c r="AK815" i="1"/>
  <c r="AL815" i="1" s="1"/>
  <c r="AH914" i="1"/>
  <c r="AJ914" i="1" s="1"/>
  <c r="AH938" i="1"/>
  <c r="AJ938" i="1" s="1"/>
  <c r="AH970" i="1"/>
  <c r="AJ970" i="1" s="1"/>
  <c r="AH1066" i="1"/>
  <c r="AJ1066" i="1" s="1"/>
  <c r="AK1102" i="1"/>
  <c r="AL1102" i="1" s="1"/>
  <c r="AH1200" i="1"/>
  <c r="AJ1200" i="1" s="1"/>
  <c r="AH1245" i="1"/>
  <c r="AJ1245" i="1" s="1"/>
  <c r="AH1269" i="1"/>
  <c r="AJ1269" i="1" s="1"/>
  <c r="AH1293" i="1"/>
  <c r="AJ1293" i="1" s="1"/>
  <c r="AH1397" i="1"/>
  <c r="AJ1397" i="1" s="1"/>
  <c r="AH453" i="1"/>
  <c r="AJ453" i="1" s="1"/>
  <c r="AH498" i="1"/>
  <c r="AJ498" i="1" s="1"/>
  <c r="AH522" i="1"/>
  <c r="AJ522" i="1" s="1"/>
  <c r="AH546" i="1"/>
  <c r="AJ546" i="1" s="1"/>
  <c r="AH650" i="1"/>
  <c r="AJ650" i="1" s="1"/>
  <c r="AK824" i="1"/>
  <c r="AL824" i="1" s="1"/>
  <c r="AH881" i="1"/>
  <c r="AJ881" i="1" s="1"/>
  <c r="AH915" i="1"/>
  <c r="AJ915" i="1" s="1"/>
  <c r="AH947" i="1"/>
  <c r="AJ947" i="1" s="1"/>
  <c r="AH963" i="1"/>
  <c r="AJ963" i="1" s="1"/>
  <c r="AH1067" i="1"/>
  <c r="AJ1067" i="1" s="1"/>
  <c r="AH1091" i="1"/>
  <c r="AJ1091" i="1" s="1"/>
  <c r="AK1103" i="1"/>
  <c r="AL1103" i="1" s="1"/>
  <c r="AH1209" i="1"/>
  <c r="AJ1209" i="1" s="1"/>
  <c r="AH1270" i="1"/>
  <c r="AJ1270" i="1" s="1"/>
  <c r="AH1294" i="1"/>
  <c r="AJ1294" i="1" s="1"/>
  <c r="AH1390" i="1"/>
  <c r="AJ1390" i="1" s="1"/>
  <c r="AH454" i="1"/>
  <c r="AJ454" i="1" s="1"/>
  <c r="AH462" i="1"/>
  <c r="AJ462" i="1" s="1"/>
  <c r="AH499" i="1"/>
  <c r="AJ499" i="1" s="1"/>
  <c r="AH507" i="1"/>
  <c r="AJ507" i="1" s="1"/>
  <c r="AH515" i="1"/>
  <c r="AJ515" i="1" s="1"/>
  <c r="AH523" i="1"/>
  <c r="AJ523" i="1" s="1"/>
  <c r="AH531" i="1"/>
  <c r="AJ531" i="1" s="1"/>
  <c r="AH539" i="1"/>
  <c r="AJ539" i="1" s="1"/>
  <c r="AH547" i="1"/>
  <c r="AJ547" i="1" s="1"/>
  <c r="AH555" i="1"/>
  <c r="AJ555" i="1" s="1"/>
  <c r="AH563" i="1"/>
  <c r="AJ563" i="1" s="1"/>
  <c r="AH571" i="1"/>
  <c r="AJ571" i="1" s="1"/>
  <c r="AH643" i="1"/>
  <c r="AJ643" i="1" s="1"/>
  <c r="AH651" i="1"/>
  <c r="AJ651" i="1" s="1"/>
  <c r="AH667" i="1"/>
  <c r="AJ667" i="1" s="1"/>
  <c r="AH675" i="1"/>
  <c r="AJ675" i="1" s="1"/>
  <c r="AK817" i="1"/>
  <c r="AL817" i="1" s="1"/>
  <c r="AK825" i="1"/>
  <c r="AL825" i="1" s="1"/>
  <c r="AH866" i="1"/>
  <c r="AJ866" i="1" s="1"/>
  <c r="AH874" i="1"/>
  <c r="AJ874" i="1" s="1"/>
  <c r="AH882" i="1"/>
  <c r="AJ882" i="1" s="1"/>
  <c r="AH916" i="1"/>
  <c r="AJ916" i="1" s="1"/>
  <c r="AH924" i="1"/>
  <c r="AJ924" i="1" s="1"/>
  <c r="AH932" i="1"/>
  <c r="AJ932" i="1" s="1"/>
  <c r="AH940" i="1"/>
  <c r="AJ940" i="1" s="1"/>
  <c r="AH948" i="1"/>
  <c r="AJ948" i="1" s="1"/>
  <c r="AH956" i="1"/>
  <c r="AJ956" i="1" s="1"/>
  <c r="AH964" i="1"/>
  <c r="AJ964" i="1" s="1"/>
  <c r="AH972" i="1"/>
  <c r="AJ972" i="1" s="1"/>
  <c r="AH980" i="1"/>
  <c r="AJ980" i="1" s="1"/>
  <c r="AH988" i="1"/>
  <c r="AJ988" i="1" s="1"/>
  <c r="AH1060" i="1"/>
  <c r="AJ1060" i="1" s="1"/>
  <c r="AH1068" i="1"/>
  <c r="AJ1068" i="1" s="1"/>
  <c r="AH1084" i="1"/>
  <c r="AJ1084" i="1" s="1"/>
  <c r="AH1092" i="1"/>
  <c r="AJ1092" i="1" s="1"/>
  <c r="AK1096" i="1"/>
  <c r="AL1096" i="1" s="1"/>
  <c r="AK1104" i="1"/>
  <c r="AL1104" i="1" s="1"/>
  <c r="AH1202" i="1"/>
  <c r="AJ1202" i="1" s="1"/>
  <c r="AH1210" i="1"/>
  <c r="AJ1210" i="1" s="1"/>
  <c r="AH1218" i="1"/>
  <c r="AJ1218" i="1" s="1"/>
  <c r="AH1247" i="1"/>
  <c r="AJ1247" i="1" s="1"/>
  <c r="AH1255" i="1"/>
  <c r="AJ1255" i="1" s="1"/>
  <c r="AH1263" i="1"/>
  <c r="AJ1263" i="1" s="1"/>
  <c r="AH1271" i="1"/>
  <c r="AJ1271" i="1" s="1"/>
  <c r="AH1279" i="1"/>
  <c r="AJ1279" i="1" s="1"/>
  <c r="AH1287" i="1"/>
  <c r="AJ1287" i="1" s="1"/>
  <c r="AH1295" i="1"/>
  <c r="AJ1295" i="1" s="1"/>
  <c r="AH1303" i="1"/>
  <c r="AJ1303" i="1" s="1"/>
  <c r="AH1311" i="1"/>
  <c r="AJ1311" i="1" s="1"/>
  <c r="AH1319" i="1"/>
  <c r="AJ1319" i="1" s="1"/>
  <c r="AH1391" i="1"/>
  <c r="AJ1391" i="1" s="1"/>
  <c r="AH1399" i="1"/>
  <c r="AJ1399" i="1" s="1"/>
  <c r="AH1423" i="1"/>
  <c r="AJ1423" i="1" s="1"/>
  <c r="AH878" i="1"/>
  <c r="AJ878" i="1" s="1"/>
  <c r="AH886" i="1"/>
  <c r="AJ886" i="1" s="1"/>
  <c r="AH928" i="1"/>
  <c r="AJ928" i="1" s="1"/>
  <c r="AH944" i="1"/>
  <c r="AJ944" i="1" s="1"/>
  <c r="AH968" i="1"/>
  <c r="AJ968" i="1" s="1"/>
  <c r="AH984" i="1"/>
  <c r="AJ984" i="1" s="1"/>
  <c r="AH1214" i="1"/>
  <c r="AJ1214" i="1" s="1"/>
  <c r="AH1251" i="1"/>
  <c r="AJ1251" i="1" s="1"/>
  <c r="AH1267" i="1"/>
  <c r="AJ1267" i="1" s="1"/>
  <c r="AH1283" i="1"/>
  <c r="AJ1283" i="1" s="1"/>
  <c r="AH1299" i="1"/>
  <c r="AJ1299" i="1" s="1"/>
  <c r="AH451" i="1"/>
  <c r="AJ451" i="1" s="1"/>
  <c r="AH496" i="1"/>
  <c r="AJ496" i="1" s="1"/>
  <c r="AH512" i="1"/>
  <c r="AJ512" i="1" s="1"/>
  <c r="AH536" i="1"/>
  <c r="AJ536" i="1" s="1"/>
  <c r="AH544" i="1"/>
  <c r="AJ544" i="1" s="1"/>
  <c r="AH568" i="1"/>
  <c r="AJ568" i="1" s="1"/>
  <c r="AH656" i="1"/>
  <c r="AJ656" i="1" s="1"/>
  <c r="AH879" i="1"/>
  <c r="AJ879" i="1" s="1"/>
  <c r="AH921" i="1"/>
  <c r="AJ921" i="1" s="1"/>
  <c r="AH953" i="1"/>
  <c r="AJ953" i="1" s="1"/>
  <c r="AH969" i="1"/>
  <c r="AJ969" i="1" s="1"/>
  <c r="AH1404" i="1"/>
  <c r="AJ1404" i="1" s="1"/>
  <c r="AH468" i="1"/>
  <c r="AJ468" i="1" s="1"/>
  <c r="AH505" i="1"/>
  <c r="AJ505" i="1" s="1"/>
  <c r="AH537" i="1"/>
  <c r="AJ537" i="1" s="1"/>
  <c r="AH553" i="1"/>
  <c r="AJ553" i="1" s="1"/>
  <c r="AH649" i="1"/>
  <c r="AJ649" i="1" s="1"/>
  <c r="AH872" i="1"/>
  <c r="AJ872" i="1" s="1"/>
  <c r="AH922" i="1"/>
  <c r="AJ922" i="1" s="1"/>
  <c r="AH930" i="1"/>
  <c r="AJ930" i="1" s="1"/>
  <c r="AH962" i="1"/>
  <c r="AJ962" i="1" s="1"/>
  <c r="AH978" i="1"/>
  <c r="AJ978" i="1" s="1"/>
  <c r="AH1058" i="1"/>
  <c r="AJ1058" i="1" s="1"/>
  <c r="AK1094" i="1"/>
  <c r="AL1094" i="1" s="1"/>
  <c r="AH1216" i="1"/>
  <c r="AJ1216" i="1" s="1"/>
  <c r="AH1261" i="1"/>
  <c r="AJ1261" i="1" s="1"/>
  <c r="AH1285" i="1"/>
  <c r="AJ1285" i="1" s="1"/>
  <c r="AH1317" i="1"/>
  <c r="AJ1317" i="1" s="1"/>
  <c r="AH469" i="1"/>
  <c r="AJ469" i="1" s="1"/>
  <c r="AH506" i="1"/>
  <c r="AJ506" i="1" s="1"/>
  <c r="AH538" i="1"/>
  <c r="AJ538" i="1" s="1"/>
  <c r="AH570" i="1"/>
  <c r="AJ570" i="1" s="1"/>
  <c r="AH642" i="1"/>
  <c r="AJ642" i="1" s="1"/>
  <c r="AK816" i="1"/>
  <c r="AL816" i="1" s="1"/>
  <c r="AH931" i="1"/>
  <c r="AJ931" i="1" s="1"/>
  <c r="AH955" i="1"/>
  <c r="AJ955" i="1" s="1"/>
  <c r="AH979" i="1"/>
  <c r="AJ979" i="1" s="1"/>
  <c r="AH1059" i="1"/>
  <c r="AJ1059" i="1" s="1"/>
  <c r="AH1201" i="1"/>
  <c r="AJ1201" i="1" s="1"/>
  <c r="AH1246" i="1"/>
  <c r="AJ1246" i="1" s="1"/>
  <c r="AH1262" i="1"/>
  <c r="AJ1262" i="1" s="1"/>
  <c r="AH1286" i="1"/>
  <c r="AJ1286" i="1" s="1"/>
  <c r="AH1318" i="1"/>
  <c r="AJ1318" i="1" s="1"/>
  <c r="AH1398" i="1"/>
  <c r="AJ1398" i="1" s="1"/>
  <c r="AH1422" i="1"/>
  <c r="AJ1422" i="1" s="1"/>
  <c r="AH455" i="1"/>
  <c r="AJ455" i="1" s="1"/>
  <c r="AH463" i="1"/>
  <c r="AJ463" i="1" s="1"/>
  <c r="AH500" i="1"/>
  <c r="AJ500" i="1" s="1"/>
  <c r="AH508" i="1"/>
  <c r="AJ508" i="1" s="1"/>
  <c r="AH516" i="1"/>
  <c r="AJ516" i="1" s="1"/>
  <c r="AH524" i="1"/>
  <c r="AJ524" i="1" s="1"/>
  <c r="AH532" i="1"/>
  <c r="AJ532" i="1" s="1"/>
  <c r="AH540" i="1"/>
  <c r="AJ540" i="1" s="1"/>
  <c r="AH548" i="1"/>
  <c r="AJ548" i="1" s="1"/>
  <c r="AH556" i="1"/>
  <c r="AJ556" i="1" s="1"/>
  <c r="AH564" i="1"/>
  <c r="AJ564" i="1" s="1"/>
  <c r="AH572" i="1"/>
  <c r="AJ572" i="1" s="1"/>
  <c r="AH644" i="1"/>
  <c r="AJ644" i="1" s="1"/>
  <c r="AH652" i="1"/>
  <c r="AJ652" i="1" s="1"/>
  <c r="AH668" i="1"/>
  <c r="AJ668" i="1" s="1"/>
  <c r="AH676" i="1"/>
  <c r="AJ676" i="1" s="1"/>
  <c r="AK818" i="1"/>
  <c r="AL818" i="1" s="1"/>
  <c r="AK826" i="1"/>
  <c r="AL826" i="1" s="1"/>
  <c r="AH867" i="1"/>
  <c r="AJ867" i="1" s="1"/>
  <c r="AH875" i="1"/>
  <c r="AJ875" i="1" s="1"/>
  <c r="AH883" i="1"/>
  <c r="AJ883" i="1" s="1"/>
  <c r="AH917" i="1"/>
  <c r="AJ917" i="1" s="1"/>
  <c r="AH925" i="1"/>
  <c r="AJ925" i="1" s="1"/>
  <c r="AH933" i="1"/>
  <c r="AJ933" i="1" s="1"/>
  <c r="AH941" i="1"/>
  <c r="AJ941" i="1" s="1"/>
  <c r="AH949" i="1"/>
  <c r="AJ949" i="1" s="1"/>
  <c r="AH957" i="1"/>
  <c r="AJ957" i="1" s="1"/>
  <c r="AH965" i="1"/>
  <c r="AJ965" i="1" s="1"/>
  <c r="AH973" i="1"/>
  <c r="AJ973" i="1" s="1"/>
  <c r="AH981" i="1"/>
  <c r="AJ981" i="1" s="1"/>
  <c r="AH989" i="1"/>
  <c r="AJ989" i="1" s="1"/>
  <c r="AH1061" i="1"/>
  <c r="AJ1061" i="1" s="1"/>
  <c r="AH1069" i="1"/>
  <c r="AJ1069" i="1" s="1"/>
  <c r="AH1085" i="1"/>
  <c r="AJ1085" i="1" s="1"/>
  <c r="AH1093" i="1"/>
  <c r="AJ1093" i="1" s="1"/>
  <c r="AK1097" i="1"/>
  <c r="AL1097" i="1" s="1"/>
  <c r="AK1105" i="1"/>
  <c r="AL1105" i="1" s="1"/>
  <c r="AH1203" i="1"/>
  <c r="AJ1203" i="1" s="1"/>
  <c r="AH1211" i="1"/>
  <c r="AJ1211" i="1" s="1"/>
  <c r="AH1248" i="1"/>
  <c r="AJ1248" i="1" s="1"/>
  <c r="AH1256" i="1"/>
  <c r="AJ1256" i="1" s="1"/>
  <c r="AH1264" i="1"/>
  <c r="AJ1264" i="1" s="1"/>
  <c r="AH1272" i="1"/>
  <c r="AJ1272" i="1" s="1"/>
  <c r="AH1280" i="1"/>
  <c r="AJ1280" i="1" s="1"/>
  <c r="AH1288" i="1"/>
  <c r="AJ1288" i="1" s="1"/>
  <c r="AH1296" i="1"/>
  <c r="AJ1296" i="1" s="1"/>
  <c r="AH1304" i="1"/>
  <c r="AJ1304" i="1" s="1"/>
  <c r="AH1312" i="1"/>
  <c r="AJ1312" i="1" s="1"/>
  <c r="AH1320" i="1"/>
  <c r="AJ1320" i="1" s="1"/>
  <c r="AH1392" i="1"/>
  <c r="AJ1392" i="1" s="1"/>
  <c r="AH1400" i="1"/>
  <c r="AJ1400" i="1" s="1"/>
  <c r="AH1416" i="1"/>
  <c r="AJ1416" i="1" s="1"/>
  <c r="AH1424" i="1"/>
  <c r="AJ1424" i="1" s="1"/>
  <c r="AH458" i="1"/>
  <c r="AJ458" i="1" s="1"/>
  <c r="AH466" i="1"/>
  <c r="AJ466" i="1" s="1"/>
  <c r="AH503" i="1"/>
  <c r="AJ503" i="1" s="1"/>
  <c r="AH519" i="1"/>
  <c r="AJ519" i="1" s="1"/>
  <c r="AH535" i="1"/>
  <c r="AJ535" i="1" s="1"/>
  <c r="AH551" i="1"/>
  <c r="AJ551" i="1" s="1"/>
  <c r="AH567" i="1"/>
  <c r="AJ567" i="1" s="1"/>
  <c r="AH647" i="1"/>
  <c r="AJ647" i="1" s="1"/>
  <c r="AH671" i="1"/>
  <c r="AJ671" i="1" s="1"/>
  <c r="AH870" i="1"/>
  <c r="AJ870" i="1" s="1"/>
  <c r="AH920" i="1"/>
  <c r="AJ920" i="1" s="1"/>
  <c r="AH952" i="1"/>
  <c r="AJ952" i="1" s="1"/>
  <c r="AH976" i="1"/>
  <c r="AJ976" i="1" s="1"/>
  <c r="AH1072" i="1"/>
  <c r="AJ1072" i="1" s="1"/>
  <c r="AH1206" i="1"/>
  <c r="AJ1206" i="1" s="1"/>
  <c r="AH1259" i="1"/>
  <c r="AJ1259" i="1" s="1"/>
  <c r="AH1291" i="1"/>
  <c r="AJ1291" i="1" s="1"/>
  <c r="AH1315" i="1"/>
  <c r="AJ1315" i="1" s="1"/>
  <c r="AH467" i="1"/>
  <c r="AJ467" i="1" s="1"/>
  <c r="AH520" i="1"/>
  <c r="AJ520" i="1" s="1"/>
  <c r="AH560" i="1"/>
  <c r="AJ560" i="1" s="1"/>
  <c r="AH648" i="1"/>
  <c r="AJ648" i="1" s="1"/>
  <c r="AH672" i="1"/>
  <c r="AJ672" i="1" s="1"/>
  <c r="AK822" i="1"/>
  <c r="AL822" i="1" s="1"/>
  <c r="AH871" i="1"/>
  <c r="AJ871" i="1" s="1"/>
  <c r="AH913" i="1"/>
  <c r="AJ913" i="1" s="1"/>
  <c r="AH945" i="1"/>
  <c r="AJ945" i="1" s="1"/>
  <c r="AH977" i="1"/>
  <c r="AJ977" i="1" s="1"/>
  <c r="AH1065" i="1"/>
  <c r="AJ1065" i="1" s="1"/>
  <c r="AH1089" i="1"/>
  <c r="AJ1089" i="1" s="1"/>
  <c r="AH1199" i="1"/>
  <c r="AJ1199" i="1" s="1"/>
  <c r="AH1260" i="1"/>
  <c r="AJ1260" i="1" s="1"/>
  <c r="AH1276" i="1"/>
  <c r="AJ1276" i="1" s="1"/>
  <c r="AH1292" i="1"/>
  <c r="AJ1292" i="1" s="1"/>
  <c r="AH1308" i="1"/>
  <c r="AJ1308" i="1" s="1"/>
  <c r="AH452" i="1"/>
  <c r="AJ452" i="1" s="1"/>
  <c r="AH513" i="1"/>
  <c r="AJ513" i="1" s="1"/>
  <c r="AH561" i="1"/>
  <c r="AJ561" i="1" s="1"/>
  <c r="AK823" i="1"/>
  <c r="AL823" i="1" s="1"/>
  <c r="AH880" i="1"/>
  <c r="AJ880" i="1" s="1"/>
  <c r="AH946" i="1"/>
  <c r="AJ946" i="1" s="1"/>
  <c r="AH986" i="1"/>
  <c r="AJ986" i="1" s="1"/>
  <c r="AH1253" i="1"/>
  <c r="AJ1253" i="1" s="1"/>
  <c r="AH1301" i="1"/>
  <c r="AJ1301" i="1" s="1"/>
  <c r="AH461" i="1"/>
  <c r="AJ461" i="1" s="1"/>
  <c r="AH530" i="1"/>
  <c r="AJ530" i="1" s="1"/>
  <c r="AH562" i="1"/>
  <c r="AJ562" i="1" s="1"/>
  <c r="AH865" i="1"/>
  <c r="AJ865" i="1" s="1"/>
  <c r="AH923" i="1"/>
  <c r="AJ923" i="1" s="1"/>
  <c r="AH971" i="1"/>
  <c r="AJ971" i="1" s="1"/>
  <c r="AK1095" i="1"/>
  <c r="AL1095" i="1" s="1"/>
  <c r="AH1254" i="1"/>
  <c r="AJ1254" i="1" s="1"/>
  <c r="AH1302" i="1"/>
  <c r="AJ1302" i="1" s="1"/>
  <c r="AH448" i="1"/>
  <c r="AJ448" i="1" s="1"/>
  <c r="AH456" i="1"/>
  <c r="AJ456" i="1" s="1"/>
  <c r="AH464" i="1"/>
  <c r="AJ464" i="1" s="1"/>
  <c r="AH501" i="1"/>
  <c r="AJ501" i="1" s="1"/>
  <c r="AH509" i="1"/>
  <c r="AJ509" i="1" s="1"/>
  <c r="AH517" i="1"/>
  <c r="AJ517" i="1" s="1"/>
  <c r="AH525" i="1"/>
  <c r="AJ525" i="1" s="1"/>
  <c r="AH533" i="1"/>
  <c r="AJ533" i="1" s="1"/>
  <c r="AH541" i="1"/>
  <c r="AJ541" i="1" s="1"/>
  <c r="AH549" i="1"/>
  <c r="AJ549" i="1" s="1"/>
  <c r="AH557" i="1"/>
  <c r="AJ557" i="1" s="1"/>
  <c r="AH565" i="1"/>
  <c r="AJ565" i="1" s="1"/>
  <c r="AH645" i="1"/>
  <c r="AJ645" i="1" s="1"/>
  <c r="AH653" i="1"/>
  <c r="AJ653" i="1" s="1"/>
  <c r="AH669" i="1"/>
  <c r="AJ669" i="1" s="1"/>
  <c r="AK819" i="1"/>
  <c r="AL819" i="1" s="1"/>
  <c r="AK827" i="1"/>
  <c r="AL827" i="1" s="1"/>
  <c r="AH868" i="1"/>
  <c r="AJ868" i="1" s="1"/>
  <c r="AH876" i="1"/>
  <c r="AJ876" i="1" s="1"/>
  <c r="AH884" i="1"/>
  <c r="AJ884" i="1" s="1"/>
  <c r="AH918" i="1"/>
  <c r="AJ918" i="1" s="1"/>
  <c r="AH926" i="1"/>
  <c r="AJ926" i="1" s="1"/>
  <c r="AH934" i="1"/>
  <c r="AJ934" i="1" s="1"/>
  <c r="AH942" i="1"/>
  <c r="AJ942" i="1" s="1"/>
  <c r="AH950" i="1"/>
  <c r="AJ950" i="1" s="1"/>
  <c r="AH958" i="1"/>
  <c r="AJ958" i="1" s="1"/>
  <c r="AH966" i="1"/>
  <c r="AJ966" i="1" s="1"/>
  <c r="AH974" i="1"/>
  <c r="AJ974" i="1" s="1"/>
  <c r="AH982" i="1"/>
  <c r="AJ982" i="1" s="1"/>
  <c r="AH1062" i="1"/>
  <c r="AJ1062" i="1" s="1"/>
  <c r="AH1070" i="1"/>
  <c r="AJ1070" i="1" s="1"/>
  <c r="AH1086" i="1"/>
  <c r="AJ1086" i="1" s="1"/>
  <c r="AK1098" i="1"/>
  <c r="AL1098" i="1" s="1"/>
  <c r="AK1106" i="1"/>
  <c r="AL1106" i="1" s="1"/>
  <c r="AH1204" i="1"/>
  <c r="AJ1204" i="1" s="1"/>
  <c r="AH1212" i="1"/>
  <c r="AJ1212" i="1" s="1"/>
  <c r="AH1249" i="1"/>
  <c r="AJ1249" i="1" s="1"/>
  <c r="AH1257" i="1"/>
  <c r="AJ1257" i="1" s="1"/>
  <c r="AH1265" i="1"/>
  <c r="AJ1265" i="1" s="1"/>
  <c r="AH1273" i="1"/>
  <c r="AJ1273" i="1" s="1"/>
  <c r="AH1281" i="1"/>
  <c r="AJ1281" i="1" s="1"/>
  <c r="AH1289" i="1"/>
  <c r="AJ1289" i="1" s="1"/>
  <c r="AH1297" i="1"/>
  <c r="AJ1297" i="1" s="1"/>
  <c r="AH1305" i="1"/>
  <c r="AJ1305" i="1" s="1"/>
  <c r="AH1313" i="1"/>
  <c r="AJ1313" i="1" s="1"/>
  <c r="AH1321" i="1"/>
  <c r="AJ1321" i="1" s="1"/>
  <c r="AH1393" i="1"/>
  <c r="AJ1393" i="1" s="1"/>
  <c r="AH1401" i="1"/>
  <c r="AJ1401" i="1" s="1"/>
  <c r="AH1417" i="1"/>
  <c r="AJ1417" i="1" s="1"/>
  <c r="AH1425" i="1"/>
  <c r="AJ1425" i="1" s="1"/>
  <c r="AH450" i="1"/>
  <c r="AJ450" i="1" s="1"/>
  <c r="AH511" i="1"/>
  <c r="AJ511" i="1" s="1"/>
  <c r="AH527" i="1"/>
  <c r="AJ527" i="1" s="1"/>
  <c r="AH543" i="1"/>
  <c r="AJ543" i="1" s="1"/>
  <c r="AH559" i="1"/>
  <c r="AJ559" i="1" s="1"/>
  <c r="AH655" i="1"/>
  <c r="AJ655" i="1" s="1"/>
  <c r="AK821" i="1"/>
  <c r="AL821" i="1" s="1"/>
  <c r="AH936" i="1"/>
  <c r="AJ936" i="1" s="1"/>
  <c r="AH960" i="1"/>
  <c r="AJ960" i="1" s="1"/>
  <c r="AH1064" i="1"/>
  <c r="AJ1064" i="1" s="1"/>
  <c r="AH1088" i="1"/>
  <c r="AJ1088" i="1" s="1"/>
  <c r="AK1100" i="1"/>
  <c r="AL1100" i="1" s="1"/>
  <c r="AH1198" i="1"/>
  <c r="AJ1198" i="1" s="1"/>
  <c r="AH1275" i="1"/>
  <c r="AJ1275" i="1" s="1"/>
  <c r="AH1307" i="1"/>
  <c r="AJ1307" i="1" s="1"/>
  <c r="AH1395" i="1"/>
  <c r="AJ1395" i="1" s="1"/>
  <c r="AH1403" i="1"/>
  <c r="AJ1403" i="1" s="1"/>
  <c r="AH1419" i="1"/>
  <c r="AJ1419" i="1" s="1"/>
  <c r="AH459" i="1"/>
  <c r="AJ459" i="1" s="1"/>
  <c r="AH504" i="1"/>
  <c r="AJ504" i="1" s="1"/>
  <c r="AH528" i="1"/>
  <c r="AJ528" i="1" s="1"/>
  <c r="AH552" i="1"/>
  <c r="AJ552" i="1" s="1"/>
  <c r="AH929" i="1"/>
  <c r="AJ929" i="1" s="1"/>
  <c r="AH937" i="1"/>
  <c r="AJ937" i="1" s="1"/>
  <c r="AH961" i="1"/>
  <c r="AJ961" i="1" s="1"/>
  <c r="AH985" i="1"/>
  <c r="AJ985" i="1" s="1"/>
  <c r="AH1073" i="1"/>
  <c r="AJ1073" i="1" s="1"/>
  <c r="AK1101" i="1"/>
  <c r="AL1101" i="1" s="1"/>
  <c r="AH1207" i="1"/>
  <c r="AJ1207" i="1" s="1"/>
  <c r="AH1215" i="1"/>
  <c r="AJ1215" i="1" s="1"/>
  <c r="AH1252" i="1"/>
  <c r="AJ1252" i="1" s="1"/>
  <c r="AH1268" i="1"/>
  <c r="AJ1268" i="1" s="1"/>
  <c r="AH1284" i="1"/>
  <c r="AJ1284" i="1" s="1"/>
  <c r="AH1300" i="1"/>
  <c r="AJ1300" i="1" s="1"/>
  <c r="AH1316" i="1"/>
  <c r="AJ1316" i="1" s="1"/>
  <c r="AH1396" i="1"/>
  <c r="AJ1396" i="1" s="1"/>
  <c r="AH1420" i="1"/>
  <c r="AJ1420" i="1" s="1"/>
  <c r="AH460" i="1"/>
  <c r="AJ460" i="1" s="1"/>
  <c r="AH521" i="1"/>
  <c r="AJ521" i="1" s="1"/>
  <c r="AH673" i="1"/>
  <c r="AJ673" i="1" s="1"/>
  <c r="AH954" i="1"/>
  <c r="AJ954" i="1" s="1"/>
  <c r="AH1090" i="1"/>
  <c r="AJ1090" i="1" s="1"/>
  <c r="AH1208" i="1"/>
  <c r="AJ1208" i="1" s="1"/>
  <c r="AH1277" i="1"/>
  <c r="AJ1277" i="1" s="1"/>
  <c r="AH1309" i="1"/>
  <c r="AJ1309" i="1" s="1"/>
  <c r="AH1405" i="1"/>
  <c r="AJ1405" i="1" s="1"/>
  <c r="AH1421" i="1"/>
  <c r="AJ1421" i="1" s="1"/>
  <c r="AH514" i="1"/>
  <c r="AJ514" i="1" s="1"/>
  <c r="AH554" i="1"/>
  <c r="AJ554" i="1" s="1"/>
  <c r="AH674" i="1"/>
  <c r="AJ674" i="1" s="1"/>
  <c r="AH873" i="1"/>
  <c r="AJ873" i="1" s="1"/>
  <c r="AH939" i="1"/>
  <c r="AJ939" i="1" s="1"/>
  <c r="AH987" i="1"/>
  <c r="AJ987" i="1" s="1"/>
  <c r="AH1217" i="1"/>
  <c r="AJ1217" i="1" s="1"/>
  <c r="AH1278" i="1"/>
  <c r="AJ1278" i="1" s="1"/>
  <c r="AH1310" i="1"/>
  <c r="AJ1310" i="1" s="1"/>
  <c r="AH449" i="1"/>
  <c r="AJ449" i="1" s="1"/>
  <c r="AH457" i="1"/>
  <c r="AJ457" i="1" s="1"/>
  <c r="AH465" i="1"/>
  <c r="AJ465" i="1" s="1"/>
  <c r="AH502" i="1"/>
  <c r="AJ502" i="1" s="1"/>
  <c r="AH510" i="1"/>
  <c r="AJ510" i="1" s="1"/>
  <c r="AH518" i="1"/>
  <c r="AJ518" i="1" s="1"/>
  <c r="AH526" i="1"/>
  <c r="AJ526" i="1" s="1"/>
  <c r="AH534" i="1"/>
  <c r="AJ534" i="1" s="1"/>
  <c r="AH542" i="1"/>
  <c r="AJ542" i="1" s="1"/>
  <c r="AH550" i="1"/>
  <c r="AJ550" i="1" s="1"/>
  <c r="AH558" i="1"/>
  <c r="AJ558" i="1" s="1"/>
  <c r="AH566" i="1"/>
  <c r="AJ566" i="1" s="1"/>
  <c r="AH646" i="1"/>
  <c r="AJ646" i="1" s="1"/>
  <c r="AH654" i="1"/>
  <c r="AJ654" i="1" s="1"/>
  <c r="AH670" i="1"/>
  <c r="AJ670" i="1" s="1"/>
  <c r="AK820" i="1"/>
  <c r="AL820" i="1" s="1"/>
  <c r="AK828" i="1"/>
  <c r="AL828" i="1" s="1"/>
  <c r="AH869" i="1"/>
  <c r="AJ869" i="1" s="1"/>
  <c r="AH877" i="1"/>
  <c r="AJ877" i="1" s="1"/>
  <c r="AH885" i="1"/>
  <c r="AJ885" i="1" s="1"/>
  <c r="AH919" i="1"/>
  <c r="AJ919" i="1" s="1"/>
  <c r="AH927" i="1"/>
  <c r="AJ927" i="1" s="1"/>
  <c r="AH935" i="1"/>
  <c r="AJ935" i="1" s="1"/>
  <c r="AH943" i="1"/>
  <c r="AJ943" i="1" s="1"/>
  <c r="AH951" i="1"/>
  <c r="AJ951" i="1" s="1"/>
  <c r="AH959" i="1"/>
  <c r="AJ959" i="1" s="1"/>
  <c r="AH967" i="1"/>
  <c r="AJ967" i="1" s="1"/>
  <c r="AH975" i="1"/>
  <c r="AJ975" i="1" s="1"/>
  <c r="AH983" i="1"/>
  <c r="AJ983" i="1" s="1"/>
  <c r="AH1063" i="1"/>
  <c r="AJ1063" i="1" s="1"/>
  <c r="AH1071" i="1"/>
  <c r="AJ1071" i="1" s="1"/>
  <c r="AH1087" i="1"/>
  <c r="AJ1087" i="1" s="1"/>
  <c r="AK1099" i="1"/>
  <c r="AL1099" i="1" s="1"/>
  <c r="AK1107" i="1"/>
  <c r="AL1107" i="1" s="1"/>
  <c r="AH1197" i="1"/>
  <c r="AJ1197" i="1" s="1"/>
  <c r="AH1205" i="1"/>
  <c r="AJ1205" i="1" s="1"/>
  <c r="AH1213" i="1"/>
  <c r="AJ1213" i="1" s="1"/>
  <c r="AH1250" i="1"/>
  <c r="AJ1250" i="1" s="1"/>
  <c r="AH1258" i="1"/>
  <c r="AJ1258" i="1" s="1"/>
  <c r="AH1266" i="1"/>
  <c r="AJ1266" i="1" s="1"/>
  <c r="AH1274" i="1"/>
  <c r="AJ1274" i="1" s="1"/>
  <c r="AH1282" i="1"/>
  <c r="AJ1282" i="1" s="1"/>
  <c r="AH1290" i="1"/>
  <c r="AJ1290" i="1" s="1"/>
  <c r="AH1298" i="1"/>
  <c r="AJ1298" i="1" s="1"/>
  <c r="AH1306" i="1"/>
  <c r="AJ1306" i="1" s="1"/>
  <c r="AH1314" i="1"/>
  <c r="AJ1314" i="1" s="1"/>
  <c r="AH1394" i="1"/>
  <c r="AJ1394" i="1" s="1"/>
  <c r="AH1402" i="1"/>
  <c r="AJ1402" i="1" s="1"/>
  <c r="AH1418" i="1"/>
  <c r="AJ1418" i="1" s="1"/>
  <c r="AF591" i="1"/>
  <c r="AC591" i="1"/>
  <c r="AF607" i="1"/>
  <c r="AC607" i="1"/>
  <c r="AF639" i="1"/>
  <c r="AC639" i="1"/>
  <c r="AF663" i="1"/>
  <c r="AC663" i="1"/>
  <c r="AK837" i="1"/>
  <c r="AL837" i="1" s="1"/>
  <c r="AF1016" i="1"/>
  <c r="AC1016" i="1"/>
  <c r="AK1116" i="1"/>
  <c r="AL1116" i="1" s="1"/>
  <c r="AF1331" i="1"/>
  <c r="AC1331" i="1"/>
  <c r="AC1017" i="1"/>
  <c r="AF1017" i="1"/>
  <c r="AK1109" i="1"/>
  <c r="AL1109" i="1" s="1"/>
  <c r="AK1440" i="1"/>
  <c r="AL1440" i="1" s="1"/>
  <c r="AC577" i="1"/>
  <c r="AF577" i="1"/>
  <c r="AC585" i="1"/>
  <c r="AF585" i="1"/>
  <c r="AC593" i="1"/>
  <c r="AF593" i="1"/>
  <c r="AC601" i="1"/>
  <c r="AF601" i="1"/>
  <c r="AC609" i="1"/>
  <c r="AF609" i="1"/>
  <c r="AC617" i="1"/>
  <c r="AF617" i="1"/>
  <c r="AC625" i="1"/>
  <c r="AF625" i="1"/>
  <c r="AC633" i="1"/>
  <c r="AF633" i="1"/>
  <c r="AC657" i="1"/>
  <c r="AF657" i="1"/>
  <c r="AC665" i="1"/>
  <c r="AF665" i="1"/>
  <c r="AK831" i="1"/>
  <c r="AL831" i="1" s="1"/>
  <c r="AK839" i="1"/>
  <c r="AL839" i="1" s="1"/>
  <c r="AC994" i="1"/>
  <c r="AF994" i="1"/>
  <c r="AC1002" i="1"/>
  <c r="AF1002" i="1"/>
  <c r="AC1010" i="1"/>
  <c r="AF1010" i="1"/>
  <c r="AC1018" i="1"/>
  <c r="AF1018" i="1"/>
  <c r="AC1026" i="1"/>
  <c r="AF1026" i="1"/>
  <c r="AC1034" i="1"/>
  <c r="AF1034" i="1"/>
  <c r="AC1042" i="1"/>
  <c r="AF1042" i="1"/>
  <c r="AC1050" i="1"/>
  <c r="AF1050" i="1"/>
  <c r="AC1074" i="1"/>
  <c r="AF1074" i="1"/>
  <c r="AC1082" i="1"/>
  <c r="AF1082" i="1"/>
  <c r="AK1110" i="1"/>
  <c r="AL1110" i="1" s="1"/>
  <c r="AK1118" i="1"/>
  <c r="AL1118" i="1" s="1"/>
  <c r="AC1325" i="1"/>
  <c r="AF1325" i="1"/>
  <c r="AC1333" i="1"/>
  <c r="AF1333" i="1"/>
  <c r="AC1341" i="1"/>
  <c r="AF1341" i="1"/>
  <c r="AC1349" i="1"/>
  <c r="AF1349" i="1"/>
  <c r="AC1357" i="1"/>
  <c r="AF1357" i="1"/>
  <c r="AC1365" i="1"/>
  <c r="AF1365" i="1"/>
  <c r="AC1373" i="1"/>
  <c r="AF1373" i="1"/>
  <c r="AC1381" i="1"/>
  <c r="AF1381" i="1"/>
  <c r="AC1389" i="1"/>
  <c r="AF1389" i="1"/>
  <c r="AC1413" i="1"/>
  <c r="AF1413" i="1"/>
  <c r="AK1441" i="1"/>
  <c r="AL1441" i="1" s="1"/>
  <c r="AK1448" i="1"/>
  <c r="AL1448" i="1" s="1"/>
  <c r="AF599" i="1"/>
  <c r="AC599" i="1"/>
  <c r="AF631" i="1"/>
  <c r="AC631" i="1"/>
  <c r="AC1000" i="1"/>
  <c r="AF1000" i="1"/>
  <c r="AF1032" i="1"/>
  <c r="AC1032" i="1"/>
  <c r="AF1048" i="1"/>
  <c r="AC1048" i="1"/>
  <c r="AF1080" i="1"/>
  <c r="AC1080" i="1"/>
  <c r="AC1323" i="1"/>
  <c r="AF1323" i="1"/>
  <c r="AC592" i="1"/>
  <c r="AF592" i="1"/>
  <c r="AK838" i="1"/>
  <c r="AL838" i="1" s="1"/>
  <c r="AC1025" i="1"/>
  <c r="AF1025" i="1"/>
  <c r="AC578" i="1"/>
  <c r="AF578" i="1"/>
  <c r="AC586" i="1"/>
  <c r="AF586" i="1"/>
  <c r="AC594" i="1"/>
  <c r="AF594" i="1"/>
  <c r="AC602" i="1"/>
  <c r="AF602" i="1"/>
  <c r="AC610" i="1"/>
  <c r="AF610" i="1"/>
  <c r="AC618" i="1"/>
  <c r="AF618" i="1"/>
  <c r="AC626" i="1"/>
  <c r="AF626" i="1"/>
  <c r="AC634" i="1"/>
  <c r="AF634" i="1"/>
  <c r="AC658" i="1"/>
  <c r="AF658" i="1"/>
  <c r="AK832" i="1"/>
  <c r="AL832" i="1" s="1"/>
  <c r="AK840" i="1"/>
  <c r="AL840" i="1" s="1"/>
  <c r="AC995" i="1"/>
  <c r="AF995" i="1"/>
  <c r="AC1003" i="1"/>
  <c r="AF1003" i="1"/>
  <c r="AC1011" i="1"/>
  <c r="AF1011" i="1"/>
  <c r="AC1019" i="1"/>
  <c r="AF1019" i="1"/>
  <c r="AC1027" i="1"/>
  <c r="AF1027" i="1"/>
  <c r="AC1035" i="1"/>
  <c r="AF1035" i="1"/>
  <c r="AC1043" i="1"/>
  <c r="AF1043" i="1"/>
  <c r="AC1051" i="1"/>
  <c r="AF1051" i="1"/>
  <c r="AC1075" i="1"/>
  <c r="AF1075" i="1"/>
  <c r="AK1111" i="1"/>
  <c r="AL1111" i="1" s="1"/>
  <c r="AK1119" i="1"/>
  <c r="AL1119" i="1" s="1"/>
  <c r="AC1326" i="1"/>
  <c r="AF1326" i="1"/>
  <c r="AC1334" i="1"/>
  <c r="AF1334" i="1"/>
  <c r="AC1342" i="1"/>
  <c r="AF1342" i="1"/>
  <c r="AC1350" i="1"/>
  <c r="AF1350" i="1"/>
  <c r="AC1358" i="1"/>
  <c r="AF1358" i="1"/>
  <c r="AC1366" i="1"/>
  <c r="AF1366" i="1"/>
  <c r="AC1374" i="1"/>
  <c r="AF1374" i="1"/>
  <c r="AC1382" i="1"/>
  <c r="AF1382" i="1"/>
  <c r="AC1406" i="1"/>
  <c r="AF1406" i="1"/>
  <c r="AC1414" i="1"/>
  <c r="AF1414" i="1"/>
  <c r="AK1442" i="1"/>
  <c r="AL1442" i="1" s="1"/>
  <c r="AK1449" i="1"/>
  <c r="AL1449" i="1" s="1"/>
  <c r="AF583" i="1"/>
  <c r="AC583" i="1"/>
  <c r="AF623" i="1"/>
  <c r="AC623" i="1"/>
  <c r="AK1108" i="1"/>
  <c r="AL1108" i="1" s="1"/>
  <c r="AC624" i="1"/>
  <c r="AF624" i="1"/>
  <c r="AC993" i="1"/>
  <c r="AF993" i="1"/>
  <c r="AC1041" i="1"/>
  <c r="AF1041" i="1"/>
  <c r="AK1447" i="1"/>
  <c r="AL1447" i="1" s="1"/>
  <c r="AC579" i="1"/>
  <c r="AF579" i="1"/>
  <c r="AC587" i="1"/>
  <c r="AF587" i="1"/>
  <c r="AC595" i="1"/>
  <c r="AF595" i="1"/>
  <c r="AC603" i="1"/>
  <c r="AF603" i="1"/>
  <c r="AC611" i="1"/>
  <c r="AF611" i="1"/>
  <c r="AC619" i="1"/>
  <c r="AF619" i="1"/>
  <c r="AC627" i="1"/>
  <c r="AF627" i="1"/>
  <c r="AC635" i="1"/>
  <c r="AF635" i="1"/>
  <c r="AC659" i="1"/>
  <c r="AF659" i="1"/>
  <c r="AK833" i="1"/>
  <c r="AL833" i="1" s="1"/>
  <c r="AK841" i="1"/>
  <c r="AL841" i="1" s="1"/>
  <c r="AC996" i="1"/>
  <c r="AF996" i="1"/>
  <c r="AC1004" i="1"/>
  <c r="AF1004" i="1"/>
  <c r="AC1012" i="1"/>
  <c r="AF1012" i="1"/>
  <c r="AC1020" i="1"/>
  <c r="AF1020" i="1"/>
  <c r="AC1028" i="1"/>
  <c r="AF1028" i="1"/>
  <c r="AC1036" i="1"/>
  <c r="AF1036" i="1"/>
  <c r="AC1044" i="1"/>
  <c r="AF1044" i="1"/>
  <c r="AC1052" i="1"/>
  <c r="AF1052" i="1"/>
  <c r="AC1076" i="1"/>
  <c r="AF1076" i="1"/>
  <c r="AK1112" i="1"/>
  <c r="AL1112" i="1" s="1"/>
  <c r="AK1120" i="1"/>
  <c r="AL1120" i="1" s="1"/>
  <c r="AC1327" i="1"/>
  <c r="AF1327" i="1"/>
  <c r="AC1335" i="1"/>
  <c r="AF1335" i="1"/>
  <c r="AC1343" i="1"/>
  <c r="AF1343" i="1"/>
  <c r="AC1351" i="1"/>
  <c r="AF1351" i="1"/>
  <c r="AC1359" i="1"/>
  <c r="AF1359" i="1"/>
  <c r="AC1367" i="1"/>
  <c r="AF1367" i="1"/>
  <c r="AC1375" i="1"/>
  <c r="AF1375" i="1"/>
  <c r="AC1383" i="1"/>
  <c r="AF1383" i="1"/>
  <c r="AC1407" i="1"/>
  <c r="AF1407" i="1"/>
  <c r="AK1443" i="1"/>
  <c r="AL1443" i="1" s="1"/>
  <c r="AK1450" i="1"/>
  <c r="AL1450" i="1" s="1"/>
  <c r="AF1008" i="1"/>
  <c r="AC1008" i="1"/>
  <c r="AC584" i="1"/>
  <c r="AF584" i="1"/>
  <c r="AC632" i="1"/>
  <c r="AF632" i="1"/>
  <c r="AC664" i="1"/>
  <c r="AF664" i="1"/>
  <c r="AK830" i="1"/>
  <c r="AL830" i="1" s="1"/>
  <c r="AC1001" i="1"/>
  <c r="AF1001" i="1"/>
  <c r="AC1049" i="1"/>
  <c r="AF1049" i="1"/>
  <c r="AC580" i="1"/>
  <c r="AF580" i="1"/>
  <c r="AC588" i="1"/>
  <c r="AF588" i="1"/>
  <c r="AC596" i="1"/>
  <c r="AF596" i="1"/>
  <c r="AC604" i="1"/>
  <c r="AF604" i="1"/>
  <c r="AC612" i="1"/>
  <c r="AF612" i="1"/>
  <c r="AC620" i="1"/>
  <c r="AF620" i="1"/>
  <c r="AC628" i="1"/>
  <c r="AF628" i="1"/>
  <c r="AC636" i="1"/>
  <c r="AF636" i="1"/>
  <c r="AC660" i="1"/>
  <c r="AF660" i="1"/>
  <c r="AK834" i="1"/>
  <c r="AL834" i="1" s="1"/>
  <c r="AK842" i="1"/>
  <c r="AL842" i="1" s="1"/>
  <c r="AF997" i="1"/>
  <c r="AC997" i="1"/>
  <c r="AF1005" i="1"/>
  <c r="AC1005" i="1"/>
  <c r="AF1013" i="1"/>
  <c r="AC1013" i="1"/>
  <c r="AF1021" i="1"/>
  <c r="AC1021" i="1"/>
  <c r="AF1029" i="1"/>
  <c r="AC1029" i="1"/>
  <c r="AF1037" i="1"/>
  <c r="AC1037" i="1"/>
  <c r="AF1045" i="1"/>
  <c r="AC1045" i="1"/>
  <c r="AF1053" i="1"/>
  <c r="AC1053" i="1"/>
  <c r="AF1077" i="1"/>
  <c r="AC1077" i="1"/>
  <c r="AK1113" i="1"/>
  <c r="AL1113" i="1" s="1"/>
  <c r="AK1121" i="1"/>
  <c r="AL1121" i="1" s="1"/>
  <c r="AF1328" i="1"/>
  <c r="AC1328" i="1"/>
  <c r="AF1336" i="1"/>
  <c r="AC1336" i="1"/>
  <c r="AF1344" i="1"/>
  <c r="AC1344" i="1"/>
  <c r="AF1352" i="1"/>
  <c r="AC1352" i="1"/>
  <c r="AF1360" i="1"/>
  <c r="AC1360" i="1"/>
  <c r="AF1368" i="1"/>
  <c r="AC1368" i="1"/>
  <c r="AF1376" i="1"/>
  <c r="AC1376" i="1"/>
  <c r="AF1384" i="1"/>
  <c r="AC1384" i="1"/>
  <c r="AF1408" i="1"/>
  <c r="AC1408" i="1"/>
  <c r="AK1444" i="1"/>
  <c r="AL1444" i="1" s="1"/>
  <c r="AK1451" i="1"/>
  <c r="AL1451" i="1" s="1"/>
  <c r="AC992" i="1"/>
  <c r="AF992" i="1"/>
  <c r="AC1040" i="1"/>
  <c r="AF1040" i="1"/>
  <c r="AF1347" i="1"/>
  <c r="AC1347" i="1"/>
  <c r="AF1363" i="1"/>
  <c r="AC1363" i="1"/>
  <c r="AC1379" i="1"/>
  <c r="AF1379" i="1"/>
  <c r="AC600" i="1"/>
  <c r="AF600" i="1"/>
  <c r="AC616" i="1"/>
  <c r="AF616" i="1"/>
  <c r="AC640" i="1"/>
  <c r="AF640" i="1"/>
  <c r="AC1009" i="1"/>
  <c r="AF1009" i="1"/>
  <c r="AC1033" i="1"/>
  <c r="AF1033" i="1"/>
  <c r="AC1057" i="1"/>
  <c r="AF1057" i="1"/>
  <c r="AC1081" i="1"/>
  <c r="AF1081" i="1"/>
  <c r="AK1117" i="1"/>
  <c r="AL1117" i="1" s="1"/>
  <c r="AC1324" i="1"/>
  <c r="AF1324" i="1"/>
  <c r="AC1340" i="1"/>
  <c r="AF1340" i="1"/>
  <c r="AC1356" i="1"/>
  <c r="AF1356" i="1"/>
  <c r="AC1372" i="1"/>
  <c r="AF1372" i="1"/>
  <c r="AC1388" i="1"/>
  <c r="AF1388" i="1"/>
  <c r="AC1412" i="1"/>
  <c r="AF1412" i="1"/>
  <c r="AF573" i="1"/>
  <c r="AC573" i="1"/>
  <c r="AF581" i="1"/>
  <c r="AC581" i="1"/>
  <c r="AF589" i="1"/>
  <c r="AC589" i="1"/>
  <c r="AF597" i="1"/>
  <c r="AC597" i="1"/>
  <c r="AF605" i="1"/>
  <c r="AC605" i="1"/>
  <c r="AF613" i="1"/>
  <c r="AC613" i="1"/>
  <c r="AF621" i="1"/>
  <c r="AC621" i="1"/>
  <c r="AF629" i="1"/>
  <c r="AC629" i="1"/>
  <c r="AF637" i="1"/>
  <c r="AC637" i="1"/>
  <c r="AF661" i="1"/>
  <c r="AC661" i="1"/>
  <c r="AK835" i="1"/>
  <c r="AL835" i="1" s="1"/>
  <c r="AF990" i="1"/>
  <c r="AC990" i="1"/>
  <c r="AF998" i="1"/>
  <c r="AC998" i="1"/>
  <c r="AF1006" i="1"/>
  <c r="AC1006" i="1"/>
  <c r="AF1014" i="1"/>
  <c r="AC1014" i="1"/>
  <c r="AF1022" i="1"/>
  <c r="AC1022" i="1"/>
  <c r="AF1030" i="1"/>
  <c r="AC1030" i="1"/>
  <c r="AF1038" i="1"/>
  <c r="AC1038" i="1"/>
  <c r="AF1046" i="1"/>
  <c r="AC1046" i="1"/>
  <c r="AF1054" i="1"/>
  <c r="AC1054" i="1"/>
  <c r="AF1078" i="1"/>
  <c r="AC1078" i="1"/>
  <c r="AK1114" i="1"/>
  <c r="AL1114" i="1" s="1"/>
  <c r="AF1329" i="1"/>
  <c r="AC1329" i="1"/>
  <c r="AF1337" i="1"/>
  <c r="AC1337" i="1"/>
  <c r="AF1345" i="1"/>
  <c r="AC1345" i="1"/>
  <c r="AF1353" i="1"/>
  <c r="AC1353" i="1"/>
  <c r="AF1361" i="1"/>
  <c r="AC1361" i="1"/>
  <c r="AF1369" i="1"/>
  <c r="AC1369" i="1"/>
  <c r="AF1377" i="1"/>
  <c r="AC1377" i="1"/>
  <c r="AF1385" i="1"/>
  <c r="AC1385" i="1"/>
  <c r="AF1409" i="1"/>
  <c r="AC1409" i="1"/>
  <c r="AK1445" i="1"/>
  <c r="AL1445" i="1" s="1"/>
  <c r="AK1452" i="1"/>
  <c r="AL1452" i="1" s="1"/>
  <c r="AF575" i="1"/>
  <c r="AC575" i="1"/>
  <c r="AF615" i="1"/>
  <c r="AC615" i="1"/>
  <c r="AK829" i="1"/>
  <c r="AL829" i="1" s="1"/>
  <c r="AF1024" i="1"/>
  <c r="AC1024" i="1"/>
  <c r="AC1056" i="1"/>
  <c r="AF1056" i="1"/>
  <c r="AC1339" i="1"/>
  <c r="AF1339" i="1"/>
  <c r="AC1355" i="1"/>
  <c r="AF1355" i="1"/>
  <c r="AF1371" i="1"/>
  <c r="AC1371" i="1"/>
  <c r="AF1387" i="1"/>
  <c r="AC1387" i="1"/>
  <c r="AF1411" i="1"/>
  <c r="AC1411" i="1"/>
  <c r="AC576" i="1"/>
  <c r="AF576" i="1"/>
  <c r="AC608" i="1"/>
  <c r="AF608" i="1"/>
  <c r="AC1332" i="1"/>
  <c r="AF1332" i="1"/>
  <c r="AC1348" i="1"/>
  <c r="AF1348" i="1"/>
  <c r="AC1364" i="1"/>
  <c r="AF1364" i="1"/>
  <c r="AC1380" i="1"/>
  <c r="AF1380" i="1"/>
  <c r="AF574" i="1"/>
  <c r="AC574" i="1"/>
  <c r="AF582" i="1"/>
  <c r="AC582" i="1"/>
  <c r="AF590" i="1"/>
  <c r="AC590" i="1"/>
  <c r="AF598" i="1"/>
  <c r="AC598" i="1"/>
  <c r="AF606" i="1"/>
  <c r="AC606" i="1"/>
  <c r="AF614" i="1"/>
  <c r="AC614" i="1"/>
  <c r="AF622" i="1"/>
  <c r="AC622" i="1"/>
  <c r="AF630" i="1"/>
  <c r="AC630" i="1"/>
  <c r="AF638" i="1"/>
  <c r="AC638" i="1"/>
  <c r="AF662" i="1"/>
  <c r="AC662" i="1"/>
  <c r="AK836" i="1"/>
  <c r="AL836" i="1" s="1"/>
  <c r="AF991" i="1"/>
  <c r="AC991" i="1"/>
  <c r="AF999" i="1"/>
  <c r="AC999" i="1"/>
  <c r="AF1007" i="1"/>
  <c r="AC1007" i="1"/>
  <c r="AF1015" i="1"/>
  <c r="AC1015" i="1"/>
  <c r="AF1023" i="1"/>
  <c r="AC1023" i="1"/>
  <c r="AF1031" i="1"/>
  <c r="AC1031" i="1"/>
  <c r="AF1039" i="1"/>
  <c r="AC1039" i="1"/>
  <c r="AF1047" i="1"/>
  <c r="AC1047" i="1"/>
  <c r="AF1055" i="1"/>
  <c r="AC1055" i="1"/>
  <c r="AF1079" i="1"/>
  <c r="AC1079" i="1"/>
  <c r="AK1115" i="1"/>
  <c r="AL1115" i="1" s="1"/>
  <c r="AF1322" i="1"/>
  <c r="AC1322" i="1"/>
  <c r="AF1330" i="1"/>
  <c r="AC1330" i="1"/>
  <c r="AF1338" i="1"/>
  <c r="AC1338" i="1"/>
  <c r="AF1346" i="1"/>
  <c r="AC1346" i="1"/>
  <c r="AF1354" i="1"/>
  <c r="AC1354" i="1"/>
  <c r="AF1362" i="1"/>
  <c r="AC1362" i="1"/>
  <c r="AF1370" i="1"/>
  <c r="AC1370" i="1"/>
  <c r="AF1378" i="1"/>
  <c r="AC1378" i="1"/>
  <c r="AF1386" i="1"/>
  <c r="AC1386" i="1"/>
  <c r="AF1410" i="1"/>
  <c r="AC1410" i="1"/>
  <c r="AK1453" i="1"/>
  <c r="AL1453" i="1" s="1"/>
  <c r="AJ1378" i="1" l="1"/>
  <c r="AJ1346" i="1"/>
  <c r="AJ606" i="1"/>
  <c r="AJ574" i="1"/>
  <c r="AJ638" i="1"/>
  <c r="AJ1050" i="1"/>
  <c r="AJ625" i="1"/>
  <c r="AJ1325" i="1"/>
  <c r="AJ1389" i="1"/>
  <c r="AJ1041" i="1"/>
  <c r="AJ1357" i="1"/>
  <c r="AJ1018" i="1"/>
  <c r="AJ593" i="1"/>
  <c r="AJ1017" i="1"/>
  <c r="AJ1388" i="1"/>
  <c r="AJ1324" i="1"/>
  <c r="AJ584" i="1"/>
  <c r="AJ1387" i="1"/>
  <c r="AJ1054" i="1"/>
  <c r="AJ1022" i="1"/>
  <c r="AJ990" i="1"/>
  <c r="AJ1384" i="1"/>
  <c r="AJ1352" i="1"/>
  <c r="AJ1037" i="1"/>
  <c r="AJ1005" i="1"/>
  <c r="AJ1383" i="1"/>
  <c r="AJ1410" i="1"/>
  <c r="AJ1362" i="1"/>
  <c r="AJ1330" i="1"/>
  <c r="AJ622" i="1"/>
  <c r="AJ590" i="1"/>
  <c r="AJ1038" i="1"/>
  <c r="AJ1006" i="1"/>
  <c r="AJ1363" i="1"/>
  <c r="AJ1368" i="1"/>
  <c r="AJ1336" i="1"/>
  <c r="AJ1053" i="1"/>
  <c r="AJ1021" i="1"/>
  <c r="AJ1331" i="1"/>
  <c r="AJ639" i="1"/>
  <c r="AJ1386" i="1"/>
  <c r="AJ1354" i="1"/>
  <c r="AJ1322" i="1"/>
  <c r="AJ662" i="1"/>
  <c r="AJ614" i="1"/>
  <c r="AJ582" i="1"/>
  <c r="AJ1411" i="1"/>
  <c r="AJ1078" i="1"/>
  <c r="AJ1030" i="1"/>
  <c r="AJ998" i="1"/>
  <c r="AJ1347" i="1"/>
  <c r="AJ1408" i="1"/>
  <c r="AJ1360" i="1"/>
  <c r="AJ1328" i="1"/>
  <c r="AJ1045" i="1"/>
  <c r="AJ1013" i="1"/>
  <c r="AJ607" i="1"/>
  <c r="AJ1340" i="1"/>
  <c r="AJ632" i="1"/>
  <c r="AJ1359" i="1"/>
  <c r="AJ1327" i="1"/>
  <c r="AJ1044" i="1"/>
  <c r="AJ1012" i="1"/>
  <c r="AJ611" i="1"/>
  <c r="AJ579" i="1"/>
  <c r="AJ1366" i="1"/>
  <c r="AJ591" i="1"/>
  <c r="AJ1083" i="1"/>
  <c r="AJ1047" i="1"/>
  <c r="AJ1323" i="1"/>
  <c r="AJ1351" i="1"/>
  <c r="AJ1036" i="1"/>
  <c r="AJ1042" i="1"/>
  <c r="AJ1356" i="1"/>
  <c r="AJ1367" i="1"/>
  <c r="AJ1335" i="1"/>
  <c r="AJ1052" i="1"/>
  <c r="AJ1020" i="1"/>
  <c r="AJ619" i="1"/>
  <c r="AJ587" i="1"/>
  <c r="AJ1374" i="1"/>
  <c r="AJ1342" i="1"/>
  <c r="AJ1372" i="1"/>
  <c r="AJ996" i="1"/>
  <c r="AJ1382" i="1"/>
  <c r="AJ1035" i="1"/>
  <c r="AJ1025" i="1"/>
  <c r="AJ1010" i="1"/>
  <c r="AJ592" i="1"/>
  <c r="AJ1373" i="1"/>
  <c r="AJ1341" i="1"/>
  <c r="AJ1034" i="1"/>
  <c r="AJ1002" i="1"/>
  <c r="AJ1375" i="1"/>
  <c r="AJ595" i="1"/>
  <c r="AJ1003" i="1"/>
  <c r="AJ1343" i="1"/>
  <c r="AJ627" i="1"/>
  <c r="AJ634" i="1"/>
  <c r="AJ1349" i="1"/>
  <c r="AJ1079" i="1"/>
  <c r="AJ623" i="1"/>
  <c r="AJ1000" i="1"/>
  <c r="AJ1365" i="1"/>
  <c r="AJ1333" i="1"/>
  <c r="AJ1026" i="1"/>
  <c r="AJ994" i="1"/>
  <c r="AJ633" i="1"/>
  <c r="AJ1028" i="1"/>
  <c r="AJ1350" i="1"/>
  <c r="AJ602" i="1"/>
  <c r="AJ1381" i="1"/>
  <c r="AJ1370" i="1"/>
  <c r="AJ1338" i="1"/>
  <c r="AJ630" i="1"/>
  <c r="AJ598" i="1"/>
  <c r="AJ1371" i="1"/>
  <c r="AJ1024" i="1"/>
  <c r="AJ1046" i="1"/>
  <c r="AJ1014" i="1"/>
  <c r="AJ1376" i="1"/>
  <c r="AJ1344" i="1"/>
  <c r="AJ1077" i="1"/>
  <c r="AJ1029" i="1"/>
  <c r="AJ997" i="1"/>
  <c r="AJ1412" i="1"/>
  <c r="AJ664" i="1"/>
  <c r="AJ1407" i="1"/>
  <c r="AJ1076" i="1"/>
  <c r="AJ659" i="1"/>
  <c r="AJ1414" i="1"/>
  <c r="AJ1413" i="1"/>
  <c r="AJ1082" i="1"/>
  <c r="AJ1074" i="1"/>
  <c r="AJ665" i="1"/>
  <c r="AJ657" i="1"/>
  <c r="AJ1055" i="1"/>
  <c r="AJ1023" i="1"/>
  <c r="AJ991" i="1"/>
  <c r="AJ1380" i="1"/>
  <c r="AJ608" i="1"/>
  <c r="AJ1409" i="1"/>
  <c r="AJ1361" i="1"/>
  <c r="AJ1329" i="1"/>
  <c r="AJ661" i="1"/>
  <c r="AJ613" i="1"/>
  <c r="AJ581" i="1"/>
  <c r="AJ1009" i="1"/>
  <c r="AJ1379" i="1"/>
  <c r="AJ992" i="1"/>
  <c r="AJ628" i="1"/>
  <c r="AJ596" i="1"/>
  <c r="AJ1001" i="1"/>
  <c r="AJ1008" i="1"/>
  <c r="AJ583" i="1"/>
  <c r="AJ1048" i="1"/>
  <c r="AJ599" i="1"/>
  <c r="AJ1015" i="1"/>
  <c r="AJ1364" i="1"/>
  <c r="AJ576" i="1"/>
  <c r="AJ1355" i="1"/>
  <c r="AJ615" i="1"/>
  <c r="AJ1385" i="1"/>
  <c r="AJ1353" i="1"/>
  <c r="AJ637" i="1"/>
  <c r="AJ605" i="1"/>
  <c r="AJ573" i="1"/>
  <c r="AJ1081" i="1"/>
  <c r="AJ640" i="1"/>
  <c r="AJ620" i="1"/>
  <c r="AJ588" i="1"/>
  <c r="AJ993" i="1"/>
  <c r="AJ617" i="1"/>
  <c r="AJ585" i="1"/>
  <c r="AJ1075" i="1"/>
  <c r="AJ1027" i="1"/>
  <c r="AJ995" i="1"/>
  <c r="AJ626" i="1"/>
  <c r="AJ594" i="1"/>
  <c r="AJ1032" i="1"/>
  <c r="AJ666" i="1"/>
  <c r="AJ1039" i="1"/>
  <c r="AJ1007" i="1"/>
  <c r="AJ1348" i="1"/>
  <c r="AJ1339" i="1"/>
  <c r="AJ575" i="1"/>
  <c r="AJ1377" i="1"/>
  <c r="AJ1345" i="1"/>
  <c r="AJ629" i="1"/>
  <c r="AJ597" i="1"/>
  <c r="AJ1057" i="1"/>
  <c r="AJ616" i="1"/>
  <c r="AJ660" i="1"/>
  <c r="AJ612" i="1"/>
  <c r="AJ580" i="1"/>
  <c r="AJ624" i="1"/>
  <c r="AJ609" i="1"/>
  <c r="AJ577" i="1"/>
  <c r="AJ1016" i="1"/>
  <c r="AJ1334" i="1"/>
  <c r="AJ1051" i="1"/>
  <c r="AJ1019" i="1"/>
  <c r="AJ618" i="1"/>
  <c r="AJ586" i="1"/>
  <c r="AJ1415" i="1"/>
  <c r="AJ1031" i="1"/>
  <c r="AJ999" i="1"/>
  <c r="AJ1332" i="1"/>
  <c r="AJ1056" i="1"/>
  <c r="AJ1369" i="1"/>
  <c r="AJ1337" i="1"/>
  <c r="AJ621" i="1"/>
  <c r="AJ589" i="1"/>
  <c r="AJ1033" i="1"/>
  <c r="AJ600" i="1"/>
  <c r="AJ1040" i="1"/>
  <c r="AJ636" i="1"/>
  <c r="AJ604" i="1"/>
  <c r="AJ1049" i="1"/>
  <c r="AJ601" i="1"/>
  <c r="AJ1004" i="1"/>
  <c r="AJ635" i="1"/>
  <c r="AJ603" i="1"/>
  <c r="AJ1406" i="1"/>
  <c r="AJ1358" i="1"/>
  <c r="AJ1326" i="1"/>
  <c r="AJ1043" i="1"/>
  <c r="AJ1011" i="1"/>
  <c r="AJ658" i="1"/>
  <c r="AJ610" i="1"/>
  <c r="AJ578" i="1"/>
  <c r="AJ1080" i="1"/>
  <c r="AJ631" i="1"/>
  <c r="AJ6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FENOFELANA Andrianiry</author>
  </authors>
  <commentList>
    <comment ref="F3" authorId="0" shapeId="0" xr:uid="{9AE6FF00-63BB-4D29-A149-6BEEB7AD4CE6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ration normal</t>
        </r>
      </text>
    </comment>
    <comment ref="G3" authorId="0" shapeId="0" xr:uid="{13B7FE24-9DED-449C-B8D3-7C805CCB34F7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Ration normal</t>
        </r>
      </text>
    </comment>
    <comment ref="H3" authorId="0" shapeId="0" xr:uid="{B1DD1E30-A3D0-4F22-AB9C-10FF769C9853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ration normal</t>
        </r>
      </text>
    </comment>
    <comment ref="I3" authorId="0" shapeId="0" xr:uid="{C68AF499-FC86-4D6D-9E92-F9ECA588E99E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ration normal</t>
        </r>
      </text>
    </comment>
    <comment ref="H4" authorId="0" shapeId="0" xr:uid="{018030E7-B635-45D6-A422-98E9B780BB37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besoin FEFA</t>
        </r>
      </text>
    </comment>
    <comment ref="E5" authorId="0" shapeId="0" xr:uid="{5CCF5528-06CF-4082-8B8A-1AB8F144B58A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stock en attente donnée à 100% à NPA</t>
        </r>
      </text>
    </comment>
    <comment ref="E23" authorId="0" shapeId="0" xr:uid="{5778FC99-22C6-49D7-8CB6-5FE53D6EA467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sous reserve de modification après analyse de situation au niveau SMP1</t>
        </r>
      </text>
    </comment>
    <comment ref="G26" authorId="0" shapeId="0" xr:uid="{09E3DEAA-B390-4F61-BB44-E5D0E35560EC}">
      <text>
        <r>
          <rPr>
            <b/>
            <sz val="9"/>
            <color indexed="81"/>
            <rFont val="Tahoma"/>
            <family val="2"/>
          </rPr>
          <t>FENOFELANA Andrianiry:</t>
        </r>
        <r>
          <rPr>
            <sz val="9"/>
            <color indexed="81"/>
            <rFont val="Tahoma"/>
            <family val="2"/>
          </rPr>
          <t xml:space="preserve">
Pour les partenairs à Amboasary</t>
        </r>
      </text>
    </comment>
  </commentList>
</comments>
</file>

<file path=xl/sharedStrings.xml><?xml version="1.0" encoding="utf-8"?>
<sst xmlns="http://schemas.openxmlformats.org/spreadsheetml/2006/main" count="54767" uniqueCount="2808">
  <si>
    <t>Values</t>
  </si>
  <si>
    <t>WBS</t>
  </si>
  <si>
    <t>Mois</t>
  </si>
  <si>
    <t xml:space="preserve">Activite ref Pipeline </t>
  </si>
  <si>
    <t>Sous Bureau</t>
  </si>
  <si>
    <t xml:space="preserve">Sum of Huile </t>
  </si>
  <si>
    <t>Sum of CSB+</t>
  </si>
  <si>
    <t>Sum of P Doz</t>
  </si>
  <si>
    <t>NPA1</t>
  </si>
  <si>
    <t>Octobre</t>
  </si>
  <si>
    <t>Stunting Prevention  (PLW)</t>
  </si>
  <si>
    <t>Ambovombe</t>
  </si>
  <si>
    <t>Ampanihy</t>
  </si>
  <si>
    <t>Manakara</t>
  </si>
  <si>
    <t>Tuléar</t>
  </si>
  <si>
    <t>Stunting Prevention Child</t>
  </si>
  <si>
    <t>Octobre Total</t>
  </si>
  <si>
    <t>Novembre</t>
  </si>
  <si>
    <t>Novembre Total</t>
  </si>
  <si>
    <t>Janvier</t>
  </si>
  <si>
    <t>Janvier Total</t>
  </si>
  <si>
    <t>Décembre</t>
  </si>
  <si>
    <t>Décembre Total</t>
  </si>
  <si>
    <t>NPA1 Total</t>
  </si>
  <si>
    <t>URT1</t>
  </si>
  <si>
    <t xml:space="preserve">GD drought </t>
  </si>
  <si>
    <t>MAM PrevMa (PBW)</t>
  </si>
  <si>
    <t>PEC FEFA</t>
  </si>
  <si>
    <t>Amboasary</t>
  </si>
  <si>
    <t>URT1 Total</t>
  </si>
  <si>
    <t>Grand Total</t>
  </si>
  <si>
    <t>Besoins mensuels</t>
  </si>
  <si>
    <t>Denrée</t>
  </si>
  <si>
    <t>Situation</t>
  </si>
  <si>
    <t>Date BBD</t>
  </si>
  <si>
    <t>Quantité par denrée</t>
  </si>
  <si>
    <t>Decembre</t>
  </si>
  <si>
    <t>Fevrier</t>
  </si>
  <si>
    <t>Mars</t>
  </si>
  <si>
    <t>Total besoins octobre à Fevrier</t>
  </si>
  <si>
    <t>Stock restant fin Fervier</t>
  </si>
  <si>
    <t>OBS</t>
  </si>
  <si>
    <t>CSB+</t>
  </si>
  <si>
    <t>MG03.01.011.URT1</t>
  </si>
  <si>
    <t>En stock</t>
  </si>
  <si>
    <t>2025 Feb</t>
  </si>
  <si>
    <t>transit Inland</t>
  </si>
  <si>
    <t>54mt ration pour le PEC FEFA 4 districts</t>
  </si>
  <si>
    <t>En attente</t>
  </si>
  <si>
    <t>MG03.02.022.NPA1</t>
  </si>
  <si>
    <t>Transit ocean</t>
  </si>
  <si>
    <t>2025 March</t>
  </si>
  <si>
    <t>nouveau achats RBJ</t>
  </si>
  <si>
    <t>LNS MQ</t>
  </si>
  <si>
    <t>2025 Jan</t>
  </si>
  <si>
    <t>2025 Aout</t>
  </si>
  <si>
    <t>2025 Dec</t>
  </si>
  <si>
    <t>2025 July</t>
  </si>
  <si>
    <t>2025 June</t>
  </si>
  <si>
    <t>2025 May</t>
  </si>
  <si>
    <t>2026 Jan</t>
  </si>
  <si>
    <t>HUILE</t>
  </si>
  <si>
    <t>MG03.02.022.SMP1(Emprunté à URT1)</t>
  </si>
  <si>
    <t>MG03.02.022.SMP1</t>
  </si>
  <si>
    <t>Quantités expirant mois de janvier absorbées en octobre et novembre</t>
  </si>
  <si>
    <t>CSB++</t>
  </si>
  <si>
    <t>2024 Dec</t>
  </si>
  <si>
    <t>District</t>
  </si>
  <si>
    <t xml:space="preserve">Modalites </t>
  </si>
  <si>
    <t>Sum of Total bénéficiaires</t>
  </si>
  <si>
    <t>Sum of Riz</t>
  </si>
  <si>
    <t>Sum of LS</t>
  </si>
  <si>
    <t>Sum of P Sup</t>
  </si>
  <si>
    <t>Sum of Cash-MGA</t>
  </si>
  <si>
    <t>CAR1</t>
  </si>
  <si>
    <t>Resilience</t>
  </si>
  <si>
    <t>Cash</t>
  </si>
  <si>
    <t>IK</t>
  </si>
  <si>
    <t>Bekily</t>
  </si>
  <si>
    <t>MAM PrevMa (Children)</t>
  </si>
  <si>
    <t>Beloha</t>
  </si>
  <si>
    <t>betroka</t>
  </si>
  <si>
    <t>Taolagnaro</t>
  </si>
  <si>
    <t>Ambovombe Total</t>
  </si>
  <si>
    <t>Ampanihy Ouest</t>
  </si>
  <si>
    <t>(blank)</t>
  </si>
  <si>
    <t>Ampanihy Total</t>
  </si>
  <si>
    <t>Antananarivo</t>
  </si>
  <si>
    <t>Vohemar</t>
  </si>
  <si>
    <t>GD cyclone GAMANE</t>
  </si>
  <si>
    <t>Sambava</t>
  </si>
  <si>
    <t>Antananarivo Total</t>
  </si>
  <si>
    <t>Mananjary</t>
  </si>
  <si>
    <t>Befotaka</t>
  </si>
  <si>
    <t>Midongy Atsimo</t>
  </si>
  <si>
    <t>Nosy Varika</t>
  </si>
  <si>
    <t>Vangaindrano</t>
  </si>
  <si>
    <t>Vondrozo</t>
  </si>
  <si>
    <t>Manakara Total</t>
  </si>
  <si>
    <t>Betioky</t>
  </si>
  <si>
    <t>Tuléar Total</t>
  </si>
  <si>
    <t>Ikongo</t>
  </si>
  <si>
    <t>GD cyclone</t>
  </si>
  <si>
    <t>MAM PrevMa (Children) Cyclonne</t>
  </si>
  <si>
    <t>MAM PrevMa (PBW) Cyclonne</t>
  </si>
  <si>
    <t>Manakara Atsimo</t>
  </si>
  <si>
    <t>Vohipeno</t>
  </si>
  <si>
    <t xml:space="preserve"> Vangaindrano </t>
  </si>
  <si>
    <t xml:space="preserve"> Vondrozo </t>
  </si>
  <si>
    <t>SMP1</t>
  </si>
  <si>
    <t>AMBOASARY SUD</t>
  </si>
  <si>
    <t>School feeding</t>
  </si>
  <si>
    <t>hybride</t>
  </si>
  <si>
    <t>FORT DAUPHIN</t>
  </si>
  <si>
    <t>Tsihombe</t>
  </si>
  <si>
    <t xml:space="preserve">MAM:Treatment </t>
  </si>
  <si>
    <t>AMPANIHY</t>
  </si>
  <si>
    <t>AMBOSITRA</t>
  </si>
  <si>
    <t>ANTSIRABE II</t>
  </si>
  <si>
    <t>ARIVONIMAMO</t>
  </si>
  <si>
    <t>MANANDRIANA</t>
  </si>
  <si>
    <t>Miarinarivo</t>
  </si>
  <si>
    <t>MAM PrevMa (Children) Cyclonne GAMANE</t>
  </si>
  <si>
    <t>MAM PrevMa (PLW) Cyclonne GAMANE</t>
  </si>
  <si>
    <t>Farafangana</t>
  </si>
  <si>
    <t>BETIOKY SUD</t>
  </si>
  <si>
    <t>MOROMBE</t>
  </si>
  <si>
    <t>SAKARAHA</t>
  </si>
  <si>
    <t>TOLIARA I</t>
  </si>
  <si>
    <t>TOLIARA II</t>
  </si>
  <si>
    <t>Toliara</t>
  </si>
  <si>
    <t>Sum of Cash-USD</t>
  </si>
  <si>
    <t xml:space="preserve">Sum of Menages </t>
  </si>
  <si>
    <t>Sum of Total - Food</t>
  </si>
  <si>
    <t>Annee</t>
  </si>
  <si>
    <t>Act</t>
  </si>
  <si>
    <t>Activité tag-1 (COMET)</t>
  </si>
  <si>
    <t>Priorisation RAM</t>
  </si>
  <si>
    <t>Priorisation _ livraison</t>
  </si>
  <si>
    <t>Antenne</t>
  </si>
  <si>
    <t>Corridor</t>
  </si>
  <si>
    <t>Region</t>
  </si>
  <si>
    <t>Partenaires</t>
  </si>
  <si>
    <t>COMMUNE</t>
  </si>
  <si>
    <t xml:space="preserve">PDFs </t>
  </si>
  <si>
    <t>Male</t>
  </si>
  <si>
    <t xml:space="preserve">Female </t>
  </si>
  <si>
    <t>Total bénéficiaires</t>
  </si>
  <si>
    <t xml:space="preserve">Menages </t>
  </si>
  <si>
    <t>Modèle</t>
  </si>
  <si>
    <t>Jour</t>
  </si>
  <si>
    <t>Riz</t>
  </si>
  <si>
    <t>Mais Concassé</t>
  </si>
  <si>
    <t>Sorgho</t>
  </si>
  <si>
    <t>Mais en Grain</t>
  </si>
  <si>
    <t>LS</t>
  </si>
  <si>
    <t xml:space="preserve">Huile </t>
  </si>
  <si>
    <t>MNP</t>
  </si>
  <si>
    <t>P Sup</t>
  </si>
  <si>
    <t>P Doz</t>
  </si>
  <si>
    <t xml:space="preserve">LNS-sq/Nutributter </t>
  </si>
  <si>
    <t>Total - Food</t>
  </si>
  <si>
    <t>Cash-MGA</t>
  </si>
  <si>
    <t>Cash-USD</t>
  </si>
  <si>
    <t>FFA</t>
  </si>
  <si>
    <t>AMBOSARY</t>
  </si>
  <si>
    <t>Anosy</t>
  </si>
  <si>
    <t>Befaitse</t>
  </si>
  <si>
    <t>Fandiova centre</t>
  </si>
  <si>
    <t>Fenoaivo</t>
  </si>
  <si>
    <t>Anjahamahavelo</t>
  </si>
  <si>
    <t>Androy</t>
  </si>
  <si>
    <t>Namolora</t>
  </si>
  <si>
    <t>Vohibagnemba</t>
  </si>
  <si>
    <t>Ambasy</t>
  </si>
  <si>
    <t>Talaky Bas</t>
  </si>
  <si>
    <t>Sihanamaro</t>
  </si>
  <si>
    <t>Ankako</t>
  </si>
  <si>
    <t>Fitovinany</t>
  </si>
  <si>
    <t>Vohitsova</t>
  </si>
  <si>
    <t>ANKARIMBARY</t>
  </si>
  <si>
    <t>IVATO</t>
  </si>
  <si>
    <t>Ivato</t>
  </si>
  <si>
    <t>Vohitrindry</t>
  </si>
  <si>
    <t>Vohindava</t>
  </si>
  <si>
    <t>Nutrition</t>
  </si>
  <si>
    <t>NPA_STUN:Prevention of Stunting</t>
  </si>
  <si>
    <t>Amboadary</t>
  </si>
  <si>
    <t>Fort dauphin</t>
  </si>
  <si>
    <t>ANDREGNARA</t>
  </si>
  <si>
    <t>Antanifoty</t>
  </si>
  <si>
    <t>CASH</t>
  </si>
  <si>
    <t>Beraketa</t>
  </si>
  <si>
    <t>ANKIRIKIRIKE</t>
  </si>
  <si>
    <t>ANKIRIKIRIKA CENTRE</t>
  </si>
  <si>
    <t>ANKIRIKIRIKA I EST AMBATO</t>
  </si>
  <si>
    <t>ANKIRIKIRIKA I</t>
  </si>
  <si>
    <t>Ankirikirika Marotomboka</t>
  </si>
  <si>
    <t>ANKIRIKIRIKA PPNR</t>
  </si>
  <si>
    <t>ANKIRIKIRIKA SNTP</t>
  </si>
  <si>
    <t>Ankirikirika Vaonoro</t>
  </si>
  <si>
    <t>Antanamalaza</t>
  </si>
  <si>
    <t>Tanambao</t>
  </si>
  <si>
    <t>Tanataloha</t>
  </si>
  <si>
    <t>Taranty Haut</t>
  </si>
  <si>
    <t>VOHIBASIE ANIVORANO</t>
  </si>
  <si>
    <t>GD</t>
  </si>
  <si>
    <t>URT_GD: General Distribution</t>
  </si>
  <si>
    <t>Ambahita</t>
  </si>
  <si>
    <t>Atsimo Andrefana</t>
  </si>
  <si>
    <t>Amborompotsy</t>
  </si>
  <si>
    <t>Andalatanosy</t>
  </si>
  <si>
    <t>Andranobory</t>
  </si>
  <si>
    <t>Androipano</t>
  </si>
  <si>
    <t>Androka</t>
  </si>
  <si>
    <t>Vatovavy</t>
  </si>
  <si>
    <t>Ambahy</t>
  </si>
  <si>
    <t>Anivorano Mitsinjo</t>
  </si>
  <si>
    <t>Ambodirian'I Sahafary</t>
  </si>
  <si>
    <t>Anja Nord</t>
  </si>
  <si>
    <t>Ampamata</t>
  </si>
  <si>
    <t>Anjeky Ankilikira</t>
  </si>
  <si>
    <t>Ankazombalala</t>
  </si>
  <si>
    <t>Atsimo Antsinana</t>
  </si>
  <si>
    <t>Anandravy</t>
  </si>
  <si>
    <t>Ankiliabo</t>
  </si>
  <si>
    <t>Antsakoamaro</t>
  </si>
  <si>
    <t>Belafike haut</t>
  </si>
  <si>
    <t>Belindo Mahasoa</t>
  </si>
  <si>
    <t>Andranolalina</t>
  </si>
  <si>
    <t>Ankazomanga Ouest</t>
  </si>
  <si>
    <t>Beora</t>
  </si>
  <si>
    <t>Bevitiky</t>
  </si>
  <si>
    <t>Ebelo</t>
  </si>
  <si>
    <t>Gogogogo</t>
  </si>
  <si>
    <t>Lazarivo</t>
  </si>
  <si>
    <t>Mahabo</t>
  </si>
  <si>
    <t>Mahaly</t>
  </si>
  <si>
    <t>Mahatsinjo</t>
  </si>
  <si>
    <t>Manakompy</t>
  </si>
  <si>
    <t>Maromby</t>
  </si>
  <si>
    <t>Ankilizato</t>
  </si>
  <si>
    <t>Marosavoa</t>
  </si>
  <si>
    <t>Maroviro</t>
  </si>
  <si>
    <t>Antanimora Atsimo</t>
  </si>
  <si>
    <t>Matanga</t>
  </si>
  <si>
    <t>Antondabe</t>
  </si>
  <si>
    <t>Ranobe</t>
  </si>
  <si>
    <t>Tanandva Sud</t>
  </si>
  <si>
    <t>Befotaka Sud</t>
  </si>
  <si>
    <t>Fanivelona</t>
  </si>
  <si>
    <t>Fiadanana</t>
  </si>
  <si>
    <t>Ivondro</t>
  </si>
  <si>
    <t>Jafaro</t>
  </si>
  <si>
    <t>Tongobory</t>
  </si>
  <si>
    <t>Manambondro</t>
  </si>
  <si>
    <t>cash</t>
  </si>
  <si>
    <t>Maroarivo Ankazomanga</t>
  </si>
  <si>
    <t>Marokibo</t>
  </si>
  <si>
    <t>Tranovaho</t>
  </si>
  <si>
    <t>Masianaka</t>
  </si>
  <si>
    <t>Ranomena</t>
  </si>
  <si>
    <t>Tsikolaky</t>
  </si>
  <si>
    <t>Salobe</t>
  </si>
  <si>
    <t>Tanambao Haut</t>
  </si>
  <si>
    <t>URT_PREV:Prevention of acute malnutrition</t>
  </si>
  <si>
    <t>YPA</t>
  </si>
  <si>
    <t>WHH</t>
  </si>
  <si>
    <t>TBD</t>
  </si>
  <si>
    <t>TOLIARA</t>
  </si>
  <si>
    <t>ATSIMO ANDREFANA</t>
  </si>
  <si>
    <t>TOHANA</t>
  </si>
  <si>
    <t>ITAMPOLO</t>
  </si>
  <si>
    <t>ANKILIBORY NORD</t>
  </si>
  <si>
    <t>TANINDRATO</t>
  </si>
  <si>
    <t>ANKILITELO II</t>
  </si>
  <si>
    <t>ANJABELITSAKY</t>
  </si>
  <si>
    <t>BESELY NORD</t>
  </si>
  <si>
    <t>BEFOLOTSE</t>
  </si>
  <si>
    <t>ANKITIKITIKY</t>
  </si>
  <si>
    <t>VOROJA</t>
  </si>
  <si>
    <t>AMPITANAKE</t>
  </si>
  <si>
    <t>TONGAENORO</t>
  </si>
  <si>
    <t>MAROLINTA</t>
  </si>
  <si>
    <t>ITAMPOLO II</t>
  </si>
  <si>
    <t>VOMBE</t>
  </si>
  <si>
    <t>T/RIONA NORD</t>
  </si>
  <si>
    <t>ANDRANOVAO</t>
  </si>
  <si>
    <t>A/MASINTSOA</t>
  </si>
  <si>
    <t>MALANGERIAKY</t>
  </si>
  <si>
    <t>ANDROIMPANO</t>
  </si>
  <si>
    <t>ANDROIPANO</t>
  </si>
  <si>
    <t>BESELY SUD</t>
  </si>
  <si>
    <t>TSIANDRIONA SUD</t>
  </si>
  <si>
    <t>AMBALATSIMIVIKY</t>
  </si>
  <si>
    <t>AMBOLOSOGNO</t>
  </si>
  <si>
    <t>FOTADREVO</t>
  </si>
  <si>
    <t>BEAMALO</t>
  </si>
  <si>
    <t>BEVARO</t>
  </si>
  <si>
    <t>BEKISENY</t>
  </si>
  <si>
    <t>ANARABEMOKO</t>
  </si>
  <si>
    <t>TANANTSOA</t>
  </si>
  <si>
    <t>AMBILANY HAUT</t>
  </si>
  <si>
    <t>AMBONDROMENA</t>
  </si>
  <si>
    <t>ANDRANOMILITSE</t>
  </si>
  <si>
    <t>SETA I</t>
  </si>
  <si>
    <t>BETENY</t>
  </si>
  <si>
    <t>FOTADREVO CENTRE</t>
  </si>
  <si>
    <t>BETEZA HAUT</t>
  </si>
  <si>
    <t>BESAKOA</t>
  </si>
  <si>
    <t>ANDRANOTSIRIRY</t>
  </si>
  <si>
    <t>BELINJO</t>
  </si>
  <si>
    <t>ANTOHABATO</t>
  </si>
  <si>
    <t>ANIVORANO CENTRE</t>
  </si>
  <si>
    <t>ANIVORANO I</t>
  </si>
  <si>
    <t>AMBALATANY</t>
  </si>
  <si>
    <t xml:space="preserve">ASONJO </t>
  </si>
  <si>
    <t>BEBAKAKA</t>
  </si>
  <si>
    <t>AGNAVOHA</t>
  </si>
  <si>
    <t>ANKATRAFAY</t>
  </si>
  <si>
    <t>AGNAVOHA CENTRE</t>
  </si>
  <si>
    <t>MANDABE ANKILIMARO</t>
  </si>
  <si>
    <t>TANANDAVA I</t>
  </si>
  <si>
    <t>ANALAFANTSIKY</t>
  </si>
  <si>
    <t>TSIVORY</t>
  </si>
  <si>
    <t>MIADAMANDROSO</t>
  </si>
  <si>
    <t>MORAFENO</t>
  </si>
  <si>
    <t>SARODRANO</t>
  </si>
  <si>
    <t xml:space="preserve">IABOROTSY </t>
  </si>
  <si>
    <t>BELENALENA</t>
  </si>
  <si>
    <t>FARIVOLO</t>
  </si>
  <si>
    <t>BEVOVOKA</t>
  </si>
  <si>
    <t>AMPIHA</t>
  </si>
  <si>
    <t>MAROVOTRY</t>
  </si>
  <si>
    <t>IMANJOLA</t>
  </si>
  <si>
    <t>ANKILY</t>
  </si>
  <si>
    <t>SIHANAMARO</t>
  </si>
  <si>
    <t>EHAVO</t>
  </si>
  <si>
    <t>SILIMOSA</t>
  </si>
  <si>
    <t>TANANDAVA</t>
  </si>
  <si>
    <t>TARANAKA ANKILIMENA</t>
  </si>
  <si>
    <t>TERABOVO</t>
  </si>
  <si>
    <t>BEHARA</t>
  </si>
  <si>
    <t>ANDAVABAZA</t>
  </si>
  <si>
    <t>ANDRENARA</t>
  </si>
  <si>
    <t>BEFAITSE</t>
  </si>
  <si>
    <t>BERENTY</t>
  </si>
  <si>
    <t>FANDIOVA</t>
  </si>
  <si>
    <t>HELIBONDRO</t>
  </si>
  <si>
    <t>MAROMENA CENTRE</t>
  </si>
  <si>
    <t>MIEBA</t>
  </si>
  <si>
    <t>BERANO</t>
  </si>
  <si>
    <t>AMPOTOBATO</t>
  </si>
  <si>
    <t>ANDAVABOAY</t>
  </si>
  <si>
    <t>ANKARA BERANO</t>
  </si>
  <si>
    <t>BERANO VILLE</t>
  </si>
  <si>
    <t>MANITSEVO</t>
  </si>
  <si>
    <t>IFOTAKA</t>
  </si>
  <si>
    <t>ANALOALO</t>
  </si>
  <si>
    <t>ANJAMAHAVELO</t>
  </si>
  <si>
    <t>ANKILIMITRAHA (ANJADO)</t>
  </si>
  <si>
    <t>Bekiria</t>
  </si>
  <si>
    <t>BERAKETA</t>
  </si>
  <si>
    <t>FENOAIVO</t>
  </si>
  <si>
    <t>IFOTAKA CENTRE</t>
  </si>
  <si>
    <t>SAMPONA</t>
  </si>
  <si>
    <t>ANDROVASOA</t>
  </si>
  <si>
    <t>ANKILIDONGA</t>
  </si>
  <si>
    <t>MANDRAPASY ANTSAKOAMASY</t>
  </si>
  <si>
    <t>MANINDRA CENTRE</t>
  </si>
  <si>
    <t>SAMPONA CENTRE</t>
  </si>
  <si>
    <t>SIHANAKARA</t>
  </si>
  <si>
    <t>VAHAVOLA CENTRE</t>
  </si>
  <si>
    <t>AMBATOMENA</t>
  </si>
  <si>
    <t>ANTSOVELA VILLE</t>
  </si>
  <si>
    <t>MAROLOHA</t>
  </si>
  <si>
    <t>VOHIBARY</t>
  </si>
  <si>
    <t>Tohana</t>
  </si>
  <si>
    <t>Ambatofotsy</t>
  </si>
  <si>
    <t>Mikaikarivo Haut</t>
  </si>
  <si>
    <t>Atondritsy</t>
  </si>
  <si>
    <t>Vohitany</t>
  </si>
  <si>
    <t>Antsely</t>
  </si>
  <si>
    <t>Ambalasaraka</t>
  </si>
  <si>
    <t>Analabe</t>
  </si>
  <si>
    <t>Beadabo</t>
  </si>
  <si>
    <t>Ifanrantsa</t>
  </si>
  <si>
    <t>Tomboarivo</t>
  </si>
  <si>
    <t>Besakoa</t>
  </si>
  <si>
    <t>Andranomasy Vohitany</t>
  </si>
  <si>
    <t>Ankily Soarano</t>
  </si>
  <si>
    <t>Fenoarivo I</t>
  </si>
  <si>
    <t>Besohihy</t>
  </si>
  <si>
    <t>BEAVOHA/ANKAZOMBALALA</t>
  </si>
  <si>
    <t>Behavoa</t>
  </si>
  <si>
    <t>Mahazoarivo</t>
  </si>
  <si>
    <t>Manasoa Mahafaly</t>
  </si>
  <si>
    <t>Besely Est</t>
  </si>
  <si>
    <t>Besavoa centre</t>
  </si>
  <si>
    <t>MASIABOAY</t>
  </si>
  <si>
    <t>Masiaboay</t>
  </si>
  <si>
    <t>Andranotakatse</t>
  </si>
  <si>
    <t>Antararaty</t>
  </si>
  <si>
    <t>SAKAMASAY</t>
  </si>
  <si>
    <t>Sakamasay</t>
  </si>
  <si>
    <t>Antamotamo</t>
  </si>
  <si>
    <t>NY TANINTSIKA</t>
  </si>
  <si>
    <t>Ambila</t>
  </si>
  <si>
    <t>Ambila Centre</t>
  </si>
  <si>
    <t>Beanana</t>
  </si>
  <si>
    <t>Andriana</t>
  </si>
  <si>
    <t>Loharano</t>
  </si>
  <si>
    <t>Anteza</t>
  </si>
  <si>
    <t>Mahavelo</t>
  </si>
  <si>
    <t>Ankarana</t>
  </si>
  <si>
    <t>Vohilava</t>
  </si>
  <si>
    <t>Ankeba Ouest</t>
  </si>
  <si>
    <t>Tsaratanana</t>
  </si>
  <si>
    <t>Andranomangatsiaka</t>
  </si>
  <si>
    <t>Ambodivakoka</t>
  </si>
  <si>
    <t>Tsaravary</t>
  </si>
  <si>
    <t>Ampasimbola</t>
  </si>
  <si>
    <t>Tsiatosika</t>
  </si>
  <si>
    <t>Ambohimiarina</t>
  </si>
  <si>
    <t>Anivorano</t>
  </si>
  <si>
    <t>Ankarongana</t>
  </si>
  <si>
    <t>Mahatsara Sud</t>
  </si>
  <si>
    <t>Amboanato</t>
  </si>
  <si>
    <t>Marokarima</t>
  </si>
  <si>
    <t>Ambaladara</t>
  </si>
  <si>
    <t>Marohandriana</t>
  </si>
  <si>
    <t>Ankatrana</t>
  </si>
  <si>
    <t>Andrranomangatsiaka</t>
  </si>
  <si>
    <t>Ankaranana</t>
  </si>
  <si>
    <t>URT_MAM:Treatment of moderate acute malnutrition</t>
  </si>
  <si>
    <t>Tulear</t>
  </si>
  <si>
    <t>ORN AA</t>
  </si>
  <si>
    <t>Bezaha</t>
  </si>
  <si>
    <t>Bezaha I</t>
  </si>
  <si>
    <t>Bezaha II</t>
  </si>
  <si>
    <t>Bezaha III</t>
  </si>
  <si>
    <t>Bezaha IV</t>
  </si>
  <si>
    <t>Misay</t>
  </si>
  <si>
    <t>Saloambany</t>
  </si>
  <si>
    <t>Manalobe</t>
  </si>
  <si>
    <t>Ankilamasy</t>
  </si>
  <si>
    <t>Fenoandala</t>
  </si>
  <si>
    <t>Antevamena Nord</t>
  </si>
  <si>
    <t>Fenoatsimo</t>
  </si>
  <si>
    <t>Andraketa</t>
  </si>
  <si>
    <t>Vohibe</t>
  </si>
  <si>
    <t>Ihotry</t>
  </si>
  <si>
    <t>Tameantsoa</t>
  </si>
  <si>
    <t>Laniry</t>
  </si>
  <si>
    <t>Eboro</t>
  </si>
  <si>
    <t>Bemoky</t>
  </si>
  <si>
    <t>Beheloka</t>
  </si>
  <si>
    <t>Beheloke Haut</t>
  </si>
  <si>
    <t>Ankilibory</t>
  </si>
  <si>
    <t>Beheloka Bas</t>
  </si>
  <si>
    <t>Ambahevahe</t>
  </si>
  <si>
    <t>Ankilimivony</t>
  </si>
  <si>
    <t>Vatolalake</t>
  </si>
  <si>
    <t>Efoetse</t>
  </si>
  <si>
    <t>Maintilime</t>
  </si>
  <si>
    <t>Ambola</t>
  </si>
  <si>
    <t>Maromitilike</t>
  </si>
  <si>
    <t>Benenitra</t>
  </si>
  <si>
    <t>Beraketa Est</t>
  </si>
  <si>
    <t>Bevatry</t>
  </si>
  <si>
    <t>Ankilivalo</t>
  </si>
  <si>
    <t>Tanapiso</t>
  </si>
  <si>
    <t>Mitsinjo</t>
  </si>
  <si>
    <t>Ranotsara</t>
  </si>
  <si>
    <t>Berevo</t>
  </si>
  <si>
    <t>Ankilimary</t>
  </si>
  <si>
    <t>Ehara</t>
  </si>
  <si>
    <t>Analamena</t>
  </si>
  <si>
    <t>AMBATRY</t>
  </si>
  <si>
    <t>Ambatry tanambao</t>
  </si>
  <si>
    <t>Andranokototo</t>
  </si>
  <si>
    <t>Ambatry Mitsinjo</t>
  </si>
  <si>
    <t>Ambatry ambony</t>
  </si>
  <si>
    <t>Besakoa nord</t>
  </si>
  <si>
    <t>Andranotantely</t>
  </si>
  <si>
    <t>Besakoa Sud</t>
  </si>
  <si>
    <t>Ambatry manorihy</t>
  </si>
  <si>
    <t>Tsilavondrifotsy</t>
  </si>
  <si>
    <t>Andrahavia</t>
  </si>
  <si>
    <t>Vovomena</t>
  </si>
  <si>
    <t>Morafeno</t>
  </si>
  <si>
    <t>Bevala</t>
  </si>
  <si>
    <t>Ankazomanga</t>
  </si>
  <si>
    <t>Vonje</t>
  </si>
  <si>
    <t>Ankavola</t>
  </si>
  <si>
    <t>Mihongo</t>
  </si>
  <si>
    <t>Tokoendolo</t>
  </si>
  <si>
    <t>Vombao</t>
  </si>
  <si>
    <t>Ankandy</t>
  </si>
  <si>
    <t>Fanato</t>
  </si>
  <si>
    <t>Beantake</t>
  </si>
  <si>
    <t>Ampasindava</t>
  </si>
  <si>
    <t>Anjambalo</t>
  </si>
  <si>
    <t>Ankiliarivo</t>
  </si>
  <si>
    <t>Ankotoboke</t>
  </si>
  <si>
    <t>Anontsy</t>
  </si>
  <si>
    <t>Befaha</t>
  </si>
  <si>
    <t>Besatra</t>
  </si>
  <si>
    <t>Ereteke</t>
  </si>
  <si>
    <t>Mikaikarivo</t>
  </si>
  <si>
    <t>Ankililaza</t>
  </si>
  <si>
    <t>Beavoha</t>
  </si>
  <si>
    <t>ambararata morafeno</t>
  </si>
  <si>
    <t>Mahaty</t>
  </si>
  <si>
    <t>Tanambao satrapotsy</t>
  </si>
  <si>
    <t>Bejio</t>
  </si>
  <si>
    <t>Bezaha mahafaly</t>
  </si>
  <si>
    <t>Analafaly</t>
  </si>
  <si>
    <t>Manasoa mahafaly</t>
  </si>
  <si>
    <t>Ambinda</t>
  </si>
  <si>
    <t>Besely</t>
  </si>
  <si>
    <t>Ampanihy antarabory</t>
  </si>
  <si>
    <t>beora Tanambao</t>
  </si>
  <si>
    <t>Betaibala</t>
  </si>
  <si>
    <t>Beanike vohidroa</t>
  </si>
  <si>
    <t>Ampanimaro</t>
  </si>
  <si>
    <t>vohitolia</t>
  </si>
  <si>
    <t>Belalitsy</t>
  </si>
  <si>
    <t>Behamalo</t>
  </si>
  <si>
    <t>Tsiboraky</t>
  </si>
  <si>
    <t>BESAIHATSE</t>
  </si>
  <si>
    <t>Ampasimandroake</t>
  </si>
  <si>
    <t>Ankilimasy</t>
  </si>
  <si>
    <t>Besavoa</t>
  </si>
  <si>
    <t>Ankilimiangatse</t>
  </si>
  <si>
    <t>Antsakoamasy</t>
  </si>
  <si>
    <t>Anketrake</t>
  </si>
  <si>
    <t>Ranonda</t>
  </si>
  <si>
    <t>Ampakabo</t>
  </si>
  <si>
    <t>Ambalahazo</t>
  </si>
  <si>
    <t>Betioky II</t>
  </si>
  <si>
    <t>Ambatokapike Sud</t>
  </si>
  <si>
    <t>Anjamena Nord</t>
  </si>
  <si>
    <t>Anjamena Sud</t>
  </si>
  <si>
    <t>Bevontake</t>
  </si>
  <si>
    <t>Tanantsoa</t>
  </si>
  <si>
    <t>Ankatrakatrake</t>
  </si>
  <si>
    <t>Marohira</t>
  </si>
  <si>
    <t>Ankamena</t>
  </si>
  <si>
    <t>Manatsa</t>
  </si>
  <si>
    <t>Tanambao II</t>
  </si>
  <si>
    <t>Fenoanivo</t>
  </si>
  <si>
    <t>Ambario</t>
  </si>
  <si>
    <t>Mahabo-Sud</t>
  </si>
  <si>
    <t xml:space="preserve"> Sakoamaro</t>
  </si>
  <si>
    <t>Maroarivo</t>
  </si>
  <si>
    <t>Analalentika</t>
  </si>
  <si>
    <t>Andranamy</t>
  </si>
  <si>
    <t>Andremba</t>
  </si>
  <si>
    <t>Ambory</t>
  </si>
  <si>
    <t>Miary andremba</t>
  </si>
  <si>
    <t>Mihaga andremba</t>
  </si>
  <si>
    <t>Ambatofotsy OEST</t>
  </si>
  <si>
    <t>Maroarivo tanadava</t>
  </si>
  <si>
    <t>Ankilimiada</t>
  </si>
  <si>
    <t>Andremiory</t>
  </si>
  <si>
    <t>Betania</t>
  </si>
  <si>
    <t>Soamanonga</t>
  </si>
  <si>
    <t>Ambatomainty</t>
  </si>
  <si>
    <t>Vohipotsy II</t>
  </si>
  <si>
    <t>Beroanga</t>
  </si>
  <si>
    <t>Bevinda</t>
  </si>
  <si>
    <t>Vohipotsy IV</t>
  </si>
  <si>
    <t>Ihela haut</t>
  </si>
  <si>
    <t>Ihela bas</t>
  </si>
  <si>
    <t>Betampy</t>
  </si>
  <si>
    <t>AMBOROPOTSY</t>
  </si>
  <si>
    <t>Ambararata Haut</t>
  </si>
  <si>
    <t>Ambatomanambahatse</t>
  </si>
  <si>
    <t>Ambendra</t>
  </si>
  <si>
    <t>Amboropotsy</t>
  </si>
  <si>
    <t>Amboropotsy II</t>
  </si>
  <si>
    <t>Ampiketra</t>
  </si>
  <si>
    <t>Anaramalineke</t>
  </si>
  <si>
    <t>Andavabiby</t>
  </si>
  <si>
    <t>Andindo</t>
  </si>
  <si>
    <t>Andovoke</t>
  </si>
  <si>
    <t>Andranomaleotse</t>
  </si>
  <si>
    <t>Andrea Andradia</t>
  </si>
  <si>
    <t>Andrevisike</t>
  </si>
  <si>
    <t>Agnaramaike</t>
  </si>
  <si>
    <t>Agnalamisaka</t>
  </si>
  <si>
    <t>Ankafoja</t>
  </si>
  <si>
    <t>Ankazoabo</t>
  </si>
  <si>
    <t>Ankevo</t>
  </si>
  <si>
    <t>Ankilimanondro</t>
  </si>
  <si>
    <t>Ankilimanondro Nord</t>
  </si>
  <si>
    <t>Ankilimare</t>
  </si>
  <si>
    <t>Ankisakisake</t>
  </si>
  <si>
    <t>Ankonatse</t>
  </si>
  <si>
    <t>Antanemavo</t>
  </si>
  <si>
    <t>Behalango I</t>
  </si>
  <si>
    <t>Behalango II</t>
  </si>
  <si>
    <t>Bekatrafay</t>
  </si>
  <si>
    <t>Belaletse</t>
  </si>
  <si>
    <t>Belamonty</t>
  </si>
  <si>
    <t>Bemoita Nord</t>
  </si>
  <si>
    <t>Bemoita Sud</t>
  </si>
  <si>
    <t>Beonga</t>
  </si>
  <si>
    <t>Beronono</t>
  </si>
  <si>
    <t>Fenoarivo Sud</t>
  </si>
  <si>
    <t>Maola bas</t>
  </si>
  <si>
    <t>Maola Haut</t>
  </si>
  <si>
    <t>Maroakoho</t>
  </si>
  <si>
    <t>Montombe</t>
  </si>
  <si>
    <t>Sagory</t>
  </si>
  <si>
    <t>Tanantsoa Vohimaro</t>
  </si>
  <si>
    <t>Tsotsama</t>
  </si>
  <si>
    <t>Vohipetse Vohoitsaragna</t>
  </si>
  <si>
    <t>Ambalatsiefa</t>
  </si>
  <si>
    <t>Motondava</t>
  </si>
  <si>
    <t>Gorogoda</t>
  </si>
  <si>
    <t>Ampanihy Centre</t>
  </si>
  <si>
    <t>Ankilimalangy</t>
  </si>
  <si>
    <t>Andranomamy</t>
  </si>
  <si>
    <t>Betohoke</t>
  </si>
  <si>
    <t>Reampototse</t>
  </si>
  <si>
    <t>Tokove</t>
  </si>
  <si>
    <t>Lafibato</t>
  </si>
  <si>
    <t>Terahanombitelo</t>
  </si>
  <si>
    <t>Ambatolahinoro</t>
  </si>
  <si>
    <t>Tsimidresy</t>
  </si>
  <si>
    <t>Antsaridava</t>
  </si>
  <si>
    <t>Antanimainty</t>
  </si>
  <si>
    <t>Ambohimahatazana</t>
  </si>
  <si>
    <t>Sihaninalambo</t>
  </si>
  <si>
    <t>Belaza</t>
  </si>
  <si>
    <t>Reambohitse</t>
  </si>
  <si>
    <t>Firanga</t>
  </si>
  <si>
    <t>Andranovaho</t>
  </si>
  <si>
    <t>Ankilitoka</t>
  </si>
  <si>
    <t>Etrobeke</t>
  </si>
  <si>
    <t>Etanjo</t>
  </si>
  <si>
    <t>Ambalavato</t>
  </si>
  <si>
    <t>Sihanamitohy</t>
  </si>
  <si>
    <t>Betsibaroke</t>
  </si>
  <si>
    <t>Behabobo</t>
  </si>
  <si>
    <t>Lavaposa</t>
  </si>
  <si>
    <t>Bevitike</t>
  </si>
  <si>
    <t>Evazy</t>
  </si>
  <si>
    <t>ANAVOHA</t>
  </si>
  <si>
    <t>Agnadabola_himagneva</t>
  </si>
  <si>
    <t>Ambatomena</t>
  </si>
  <si>
    <t>Analafantsike</t>
  </si>
  <si>
    <t>Anavoha_Ambonirano_(_Anavoha_Haut)</t>
  </si>
  <si>
    <t>Anavoha_Centre</t>
  </si>
  <si>
    <t>Ankatrafay</t>
  </si>
  <si>
    <t>Ankotobe_Avaradrano</t>
  </si>
  <si>
    <t>Andamaky Centre</t>
  </si>
  <si>
    <t>Mandabe_Kilimaro</t>
  </si>
  <si>
    <t>Tanandava_I</t>
  </si>
  <si>
    <t>AMBALADODA</t>
  </si>
  <si>
    <t>AMBALANDAMBO</t>
  </si>
  <si>
    <t>ANKAMENA I</t>
  </si>
  <si>
    <t>ANKAMENA II</t>
  </si>
  <si>
    <t>ANKILIAMBANY I</t>
  </si>
  <si>
    <t>BETRATRATRA</t>
  </si>
  <si>
    <t xml:space="preserve">ANDROKA </t>
  </si>
  <si>
    <t>AMBOHIBOLA</t>
  </si>
  <si>
    <t>ANDROKA_ELA</t>
  </si>
  <si>
    <t>ANDROKA_VAO</t>
  </si>
  <si>
    <t>ANTSAKOA</t>
  </si>
  <si>
    <t>BEHARAHAKE</t>
  </si>
  <si>
    <t>BELAMBO</t>
  </si>
  <si>
    <t>MANERA</t>
  </si>
  <si>
    <t>SAODONA</t>
  </si>
  <si>
    <t>TSIMAFAITSE</t>
  </si>
  <si>
    <t>ZAMASY</t>
  </si>
  <si>
    <t>ANKILIABO</t>
  </si>
  <si>
    <t>AGNENA</t>
  </si>
  <si>
    <t>AMPANORITA</t>
  </si>
  <si>
    <t>ANDAMONTY</t>
  </si>
  <si>
    <t>ANJAMISARO</t>
  </si>
  <si>
    <t>ANOSA</t>
  </si>
  <si>
    <t>BEHAVANDRA</t>
  </si>
  <si>
    <t>BETAIMBALA</t>
  </si>
  <si>
    <t>EKELELAHY</t>
  </si>
  <si>
    <t>EMALO</t>
  </si>
  <si>
    <t>ETAKAKE</t>
  </si>
  <si>
    <t>REAKALY</t>
  </si>
  <si>
    <t>REAMBONDRO</t>
  </si>
  <si>
    <t>TSIJOBOGNE</t>
  </si>
  <si>
    <t>ANKILIMIVORY</t>
  </si>
  <si>
    <t>AGNARAMITERAKE</t>
  </si>
  <si>
    <t>AMBATOLAHITSIRARA</t>
  </si>
  <si>
    <t>AMBOAIDO</t>
  </si>
  <si>
    <t>ANDRAKIA_CENTRE</t>
  </si>
  <si>
    <t>ANKILIMARA</t>
  </si>
  <si>
    <t>BEFAMATA</t>
  </si>
  <si>
    <t>MAROHOLA NORD</t>
  </si>
  <si>
    <t>MAROHOLA_SUD</t>
  </si>
  <si>
    <t>SAROTSAHATAY</t>
  </si>
  <si>
    <t>TANAMBAO</t>
  </si>
  <si>
    <t>TSIANDEO</t>
  </si>
  <si>
    <t>VOHIMIRORO_I</t>
  </si>
  <si>
    <t>VOHIMIRORO_II</t>
  </si>
  <si>
    <t>ANKILIZATO</t>
  </si>
  <si>
    <t>AMBATOROHEVA</t>
  </si>
  <si>
    <t>ANALAMATEZA_BAS</t>
  </si>
  <si>
    <t>ANALAMATEZA_BE</t>
  </si>
  <si>
    <t>ANDRANOLAVA</t>
  </si>
  <si>
    <t>ANDRAOMPE</t>
  </si>
  <si>
    <t>ANJEMBA</t>
  </si>
  <si>
    <t>ANJIDAVA</t>
  </si>
  <si>
    <t>ANKATRAKATRAKE</t>
  </si>
  <si>
    <t>BEFAMATA AMPANORITA</t>
  </si>
  <si>
    <t>BEKAKO CENTRE</t>
  </si>
  <si>
    <t>BEKAKO NORD</t>
  </si>
  <si>
    <t>BEKAKO_SUD</t>
  </si>
  <si>
    <t>BEVOAY</t>
  </si>
  <si>
    <t>MANORY</t>
  </si>
  <si>
    <t>MAROVAHO</t>
  </si>
  <si>
    <t>SAKAMASAY I</t>
  </si>
  <si>
    <t>SAKAMASAY II</t>
  </si>
  <si>
    <t>BELAFIKA HAUT</t>
  </si>
  <si>
    <t>AMBATOVAKY_HAUT</t>
  </si>
  <si>
    <t>AMPAMANTA</t>
  </si>
  <si>
    <t>ANAVIAVY_AMPH</t>
  </si>
  <si>
    <t>ANDAKATO</t>
  </si>
  <si>
    <t>ANKILIMASY_AMPH_BEL</t>
  </si>
  <si>
    <t>ANKILITELO_AMPH</t>
  </si>
  <si>
    <t>ANKININY</t>
  </si>
  <si>
    <t>BEADALA_ANTANISIRA</t>
  </si>
  <si>
    <t>BEADALA_BAS</t>
  </si>
  <si>
    <t>BEADALA_FAHARAZA</t>
  </si>
  <si>
    <t>BEADALA_HAUT</t>
  </si>
  <si>
    <t>BEKINAGNA_MANAKARALAHY</t>
  </si>
  <si>
    <t>BELAFIKA_BAS</t>
  </si>
  <si>
    <t>BELAFIKA_HAUT</t>
  </si>
  <si>
    <t>BELAFIKE_VOHIBE</t>
  </si>
  <si>
    <t>BELOLO_ANKAPIKY</t>
  </si>
  <si>
    <t>BELOLO_BAS</t>
  </si>
  <si>
    <t>HANIMBE_HAUT</t>
  </si>
  <si>
    <t>LALIKAMANY</t>
  </si>
  <si>
    <t>MIKAIKARIVO</t>
  </si>
  <si>
    <t>NAMELOMAMPIA</t>
  </si>
  <si>
    <t>NAMELOMAMPIA_BAS</t>
  </si>
  <si>
    <t>NAMELOMAMPIA_HAUT</t>
  </si>
  <si>
    <t>RANOHANDATSE_BE</t>
  </si>
  <si>
    <t>TAOLAMBOSITSE</t>
  </si>
  <si>
    <t>TRATSIOTSE_KANDE</t>
  </si>
  <si>
    <t>VINANITELO</t>
  </si>
  <si>
    <t>VINANITELO_ANKILIMARO</t>
  </si>
  <si>
    <t>EJEDA</t>
  </si>
  <si>
    <t>AMBATOKAPIKE</t>
  </si>
  <si>
    <t>AMBATOKAPIKE_ANIVORANO</t>
  </si>
  <si>
    <t>AMBATOVAKY-CENTRE</t>
  </si>
  <si>
    <t>AMBINDA_AMPH</t>
  </si>
  <si>
    <t>ANKOZOHOZO ANDAKILASY</t>
  </si>
  <si>
    <t>ANDOHARANO</t>
  </si>
  <si>
    <t>ANDRANOMENA</t>
  </si>
  <si>
    <t>ANTALY</t>
  </si>
  <si>
    <t>ANTSEVASEVA</t>
  </si>
  <si>
    <t>BEARA</t>
  </si>
  <si>
    <t>BEDEBOKE</t>
  </si>
  <si>
    <t>BEHATRAVY_AMPOTOMAINTY</t>
  </si>
  <si>
    <t>BEHATRAVY CENTRE</t>
  </si>
  <si>
    <t>BEHAZONDREGENTSE</t>
  </si>
  <si>
    <t>BEHOLIVA</t>
  </si>
  <si>
    <t>BEKINAGNA</t>
  </si>
  <si>
    <t>BESAKOA_LIAMBOSITSE</t>
  </si>
  <si>
    <t>BEVIRO_BETSONGO</t>
  </si>
  <si>
    <t>BEVIRO_CENTRE</t>
  </si>
  <si>
    <t>EJEDA CENTRE</t>
  </si>
  <si>
    <t>EJEDA_SUD</t>
  </si>
  <si>
    <t>ESIFAKE</t>
  </si>
  <si>
    <t>ETORY</t>
  </si>
  <si>
    <t>EVOVO_CENTRE</t>
  </si>
  <si>
    <t>FARAFATSE</t>
  </si>
  <si>
    <t>KILEMIDEGA</t>
  </si>
  <si>
    <t>MANAKARALAHY NORD</t>
  </si>
  <si>
    <t>MANAKARALAHY SUD</t>
  </si>
  <si>
    <t>MANAKARAVAVY</t>
  </si>
  <si>
    <t>MANDOPAKE I</t>
  </si>
  <si>
    <t>MANDOPAKE II</t>
  </si>
  <si>
    <t>MAROVAHATSE</t>
  </si>
  <si>
    <t>MIRAFE</t>
  </si>
  <si>
    <t>MITSORIAKE</t>
  </si>
  <si>
    <t>SANIRATANTE</t>
  </si>
  <si>
    <t>SEVASEVA_BEFOE</t>
  </si>
  <si>
    <t>TANANONDATY</t>
  </si>
  <si>
    <t>TSAMEREA_NORD</t>
  </si>
  <si>
    <t>TSIKOAKAHITSE</t>
  </si>
  <si>
    <t>TSIZARAE</t>
  </si>
  <si>
    <t>ANALABE</t>
  </si>
  <si>
    <t>BEPEHA</t>
  </si>
  <si>
    <t>FOTADREVO SUD</t>
  </si>
  <si>
    <t>SATRAGNARIVO</t>
  </si>
  <si>
    <t>SETA II</t>
  </si>
  <si>
    <t>GOGOGOGO</t>
  </si>
  <si>
    <t>AMBONDROKILY</t>
  </si>
  <si>
    <t>ANAMONTA</t>
  </si>
  <si>
    <t>ANKILIMANONDRO</t>
  </si>
  <si>
    <t>ANKILIMASY</t>
  </si>
  <si>
    <t>ANKININY_ABO</t>
  </si>
  <si>
    <t>BEADALA _BAS</t>
  </si>
  <si>
    <t>BEAVAKY</t>
  </si>
  <si>
    <t>BEFASY</t>
  </si>
  <si>
    <t>BEKOMPISTE</t>
  </si>
  <si>
    <t>BELAMBO_AMBOROTSE</t>
  </si>
  <si>
    <t>GOGOGOGO_I</t>
  </si>
  <si>
    <t>GOGOGOGO_II</t>
  </si>
  <si>
    <t>LOHAOSY</t>
  </si>
  <si>
    <t>SATRAPOTSY_BAS</t>
  </si>
  <si>
    <t>SATRAPOTY_MILANJA</t>
  </si>
  <si>
    <t>TAOLAMBOSITSE_ANKININY</t>
  </si>
  <si>
    <t>TAOLAMBOSITSE_HAUT</t>
  </si>
  <si>
    <t>TSIMAIMPAOSA</t>
  </si>
  <si>
    <t>VOHITANY</t>
  </si>
  <si>
    <t>AMBOROVORO</t>
  </si>
  <si>
    <t>ANDRANOMILITSE ANKILEMASY</t>
  </si>
  <si>
    <t>KINDRIA</t>
  </si>
  <si>
    <t xml:space="preserve">AMBATOFOTSY </t>
  </si>
  <si>
    <t>SOAMANONGA EST</t>
  </si>
  <si>
    <t>BEVAHY</t>
  </si>
  <si>
    <t>BELOLO ANTANIMENA</t>
  </si>
  <si>
    <t>AMBATOVAKY</t>
  </si>
  <si>
    <t>SOAMANONGA OUEST</t>
  </si>
  <si>
    <t>BEBALAHAZO</t>
  </si>
  <si>
    <t>BEAVOHA SUD</t>
  </si>
  <si>
    <t>TSIANDRIONA NORD</t>
  </si>
  <si>
    <t>BEFENGOKE</t>
  </si>
  <si>
    <t>BESELY_NORD</t>
  </si>
  <si>
    <t>BEVALA_</t>
  </si>
  <si>
    <t>ITAMPOLO_I</t>
  </si>
  <si>
    <t>ITAMPOLO_II</t>
  </si>
  <si>
    <t>SAKARIAKE</t>
  </si>
  <si>
    <t>MANIRY</t>
  </si>
  <si>
    <t>AMBAHOTERA</t>
  </si>
  <si>
    <t>AMBINANITELO</t>
  </si>
  <si>
    <t>ANJAMAROTEA</t>
  </si>
  <si>
    <t>ANKARAGNABO</t>
  </si>
  <si>
    <t>ANKARAHARA</t>
  </si>
  <si>
    <t>ANKILIMAHARE</t>
  </si>
  <si>
    <t>ANKILIMIHAMY</t>
  </si>
  <si>
    <t>BEGORAGO</t>
  </si>
  <si>
    <t>BEJABIHY</t>
  </si>
  <si>
    <t>BEKILY CENTRE</t>
  </si>
  <si>
    <t>BESALY</t>
  </si>
  <si>
    <t>BETRANDRAKY_BAS</t>
  </si>
  <si>
    <t>BETRANDRAKY_HAUT</t>
  </si>
  <si>
    <t>BETSAKO</t>
  </si>
  <si>
    <t>BOKONAKE</t>
  </si>
  <si>
    <t>EFOTY</t>
  </si>
  <si>
    <t>PINJO_BAS</t>
  </si>
  <si>
    <t>REAMBOHITSY</t>
  </si>
  <si>
    <t>REMENGOKE</t>
  </si>
  <si>
    <t>TSIASIMO</t>
  </si>
  <si>
    <t>VOHIDREKITSE</t>
  </si>
  <si>
    <t>VOTOVOATAVO</t>
  </si>
  <si>
    <t>AMBOVOMBE</t>
  </si>
  <si>
    <t>ORN Androy</t>
  </si>
  <si>
    <t>AMBAZOAMIRAFY</t>
  </si>
  <si>
    <t>AMBOASARY II</t>
  </si>
  <si>
    <t>ANJAKAMBA</t>
  </si>
  <si>
    <t>ANKANKA</t>
  </si>
  <si>
    <t>ANKARAMENA</t>
  </si>
  <si>
    <t>ANKILEFALY</t>
  </si>
  <si>
    <t>ANKILIMAFAITSE</t>
  </si>
  <si>
    <t>TSEREDREO(EX ANKILEMASY)</t>
  </si>
  <si>
    <t>ANTANATANAPOTY</t>
  </si>
  <si>
    <t>ANTSATRAHAMASY</t>
  </si>
  <si>
    <t>BEANIKE</t>
  </si>
  <si>
    <t>BEHABOBO</t>
  </si>
  <si>
    <t>BEHANTAMAREAGNE</t>
  </si>
  <si>
    <t>BEROROHA</t>
  </si>
  <si>
    <t>Tranobe Maromainty (EKONKA)</t>
  </si>
  <si>
    <t>ESANTA</t>
  </si>
  <si>
    <t>MALANGY</t>
  </si>
  <si>
    <t>MAROFANOGNE</t>
  </si>
  <si>
    <t>MAROMALAY</t>
  </si>
  <si>
    <t>ANDOZINY (EX MITSANGANA)</t>
  </si>
  <si>
    <t>ANKILIVINONJY (Ex SARIHANGY)</t>
  </si>
  <si>
    <t>SEVOHIPOTY</t>
  </si>
  <si>
    <t>TALAKY Centre</t>
  </si>
  <si>
    <t>MANGARIVOTSE (Ex TANAMBAO )</t>
  </si>
  <si>
    <t>TSIRANGOTY</t>
  </si>
  <si>
    <t>VANGAY AMBANEAVOHA</t>
  </si>
  <si>
    <t>EKONKA CENTRAL</t>
  </si>
  <si>
    <t>LAVANDRANDRA 1</t>
  </si>
  <si>
    <t>BERARY</t>
  </si>
  <si>
    <t>ANDABOLY</t>
  </si>
  <si>
    <t>Milahane Fenoarivo</t>
  </si>
  <si>
    <t>Amboro Bekokako</t>
  </si>
  <si>
    <t xml:space="preserve">Ambolomareagne </t>
  </si>
  <si>
    <t>AMBAZOA</t>
  </si>
  <si>
    <t>AMBOROMINENDRA</t>
  </si>
  <si>
    <t>ANTANAMIHERY</t>
  </si>
  <si>
    <t>IKOTOALA</t>
  </si>
  <si>
    <t xml:space="preserve">TSIFAHERA Ampaipaike </t>
  </si>
  <si>
    <t>AMBONAIVO</t>
  </si>
  <si>
    <t>MAROFOHY (ANALAVAO)</t>
  </si>
  <si>
    <t>ANKARANDOHA</t>
  </si>
  <si>
    <t xml:space="preserve">MAROLAVA </t>
  </si>
  <si>
    <t>ERADA</t>
  </si>
  <si>
    <t>Ambanekily sud</t>
  </si>
  <si>
    <t>Erada</t>
  </si>
  <si>
    <t>Habohabo Nord</t>
  </si>
  <si>
    <t xml:space="preserve">NISORONA </t>
  </si>
  <si>
    <t>ANJEKY TSIMANANADA</t>
  </si>
  <si>
    <t>Amboro</t>
  </si>
  <si>
    <t>Ankeoheo Marolava</t>
  </si>
  <si>
    <t>Ankilerandro Ambanisarike(Ankilerandro)</t>
  </si>
  <si>
    <t>Maroafo Marofoty</t>
  </si>
  <si>
    <t>Bekokako</t>
  </si>
  <si>
    <t>Marohafotse</t>
  </si>
  <si>
    <t>Mokofo</t>
  </si>
  <si>
    <t xml:space="preserve">Tsimihevo </t>
  </si>
  <si>
    <t>BOTREOKE</t>
  </si>
  <si>
    <t>MAROALOMAINTY</t>
  </si>
  <si>
    <t>Ankilehogo</t>
  </si>
  <si>
    <t xml:space="preserve">Ankororoke Mahazosoa </t>
  </si>
  <si>
    <t>Belambo Fanavaozana</t>
  </si>
  <si>
    <t>Betsimeda</t>
  </si>
  <si>
    <t>Erakoka</t>
  </si>
  <si>
    <t>Erakoka Andrefana</t>
  </si>
  <si>
    <t>Radabetsimivaky</t>
  </si>
  <si>
    <t>Vahavola centre</t>
  </si>
  <si>
    <t xml:space="preserve">Betsimeda Ankilimilaly </t>
  </si>
  <si>
    <t>MAROALOPOTY</t>
  </si>
  <si>
    <t xml:space="preserve"> Maropia  Ambohimazava</t>
  </si>
  <si>
    <t>Ampanavy Fototsambo</t>
  </si>
  <si>
    <t>Behabobo Nord</t>
  </si>
  <si>
    <t>Vohimiary</t>
  </si>
  <si>
    <t>Maroalopoty III</t>
  </si>
  <si>
    <t>Ambaro III</t>
  </si>
  <si>
    <t>Belitsake Dodo</t>
  </si>
  <si>
    <t>Antsomotsoy Centre</t>
  </si>
  <si>
    <t>Antsomotsoy Ankeloke</t>
  </si>
  <si>
    <t>Mahavokake</t>
  </si>
  <si>
    <t xml:space="preserve">Maroalopoty I </t>
  </si>
  <si>
    <t>Mareagne Tsihelegne</t>
  </si>
  <si>
    <t>Soatsifa Agnivorano</t>
  </si>
  <si>
    <t>Maropia Ankilibe</t>
  </si>
  <si>
    <t>Marodo Ankilemasy</t>
  </si>
  <si>
    <t>Belemboke Sevohitse</t>
  </si>
  <si>
    <t>Belemboke Ambany</t>
  </si>
  <si>
    <t>Maroalopoty II</t>
  </si>
  <si>
    <t>Maropia nord</t>
  </si>
  <si>
    <t>Savara centre</t>
  </si>
  <si>
    <t>Soatamea centre</t>
  </si>
  <si>
    <t>Soatsifa Haut</t>
  </si>
  <si>
    <t>Soatsifa I</t>
  </si>
  <si>
    <t>Tanambao Efaly</t>
  </si>
  <si>
    <t>Tanambao Sud</t>
  </si>
  <si>
    <t>Tsirandrany</t>
  </si>
  <si>
    <t xml:space="preserve">Ankalimboro Tsiavihandro </t>
  </si>
  <si>
    <t>Agnorike</t>
  </si>
  <si>
    <t xml:space="preserve">Ambovo </t>
  </si>
  <si>
    <t>Analahova</t>
  </si>
  <si>
    <t>Analaisoke</t>
  </si>
  <si>
    <t>Analaisoke I</t>
  </si>
  <si>
    <t>Andramanera II</t>
  </si>
  <si>
    <t>Ankilemiharatsy</t>
  </si>
  <si>
    <t>TSIMAVO MAGNARITSOA (Ankiletelo)</t>
  </si>
  <si>
    <t>Ankliabo Nord</t>
  </si>
  <si>
    <t>Ankiliabo Sud</t>
  </si>
  <si>
    <t>Belindo</t>
  </si>
  <si>
    <t>Ehavo</t>
  </si>
  <si>
    <t>Ianakafy</t>
  </si>
  <si>
    <t>Manja</t>
  </si>
  <si>
    <t>Mantsake</t>
  </si>
  <si>
    <t>Montombe II</t>
  </si>
  <si>
    <t xml:space="preserve">Morafeno </t>
  </si>
  <si>
    <t xml:space="preserve">Savilava </t>
  </si>
  <si>
    <t>Sihanamitohy I</t>
  </si>
  <si>
    <t>Tanandava</t>
  </si>
  <si>
    <t>Taranake</t>
  </si>
  <si>
    <t>Terabovo</t>
  </si>
  <si>
    <t>Tsiamaly Ankilemamy</t>
  </si>
  <si>
    <t>Tsilimbe Marofoty</t>
  </si>
  <si>
    <t xml:space="preserve">Zantelo </t>
  </si>
  <si>
    <t>AMBANISARIKE</t>
  </si>
  <si>
    <t>Ambanisarika Centre</t>
  </si>
  <si>
    <t>Etsoha</t>
  </si>
  <si>
    <t>AMBAROMANINTSY(Marofoty)</t>
  </si>
  <si>
    <t>Ankiliabon'Ibona</t>
  </si>
  <si>
    <t>Ankilimara</t>
  </si>
  <si>
    <t>RETOKA</t>
  </si>
  <si>
    <t>TANAMBAO Ankilifaly(Ex Androhondroho)</t>
  </si>
  <si>
    <t>AMBONDRO</t>
  </si>
  <si>
    <t>Ambondro I</t>
  </si>
  <si>
    <t>Ampisandrata</t>
  </si>
  <si>
    <t>Bebea</t>
  </si>
  <si>
    <t>Lamitihy sud</t>
  </si>
  <si>
    <t xml:space="preserve">Tsimagnanto </t>
  </si>
  <si>
    <t>ANJEKY ANKILIKIRA/ BEANANTARA</t>
  </si>
  <si>
    <t>Amboroke</t>
  </si>
  <si>
    <t xml:space="preserve">Anjeky Tanandava </t>
  </si>
  <si>
    <t>Anjoty Marolava II</t>
  </si>
  <si>
    <t>ZAFINDRAMIRY(Ankilikira)</t>
  </si>
  <si>
    <t>Antanimiare I</t>
  </si>
  <si>
    <t>BEANATARA Sud(Beanantara)</t>
  </si>
  <si>
    <t>Beanantara I</t>
  </si>
  <si>
    <t>Marovaho</t>
  </si>
  <si>
    <t>SEHAMIAVOTSE(Tombodriha )</t>
  </si>
  <si>
    <t>JAFARO</t>
  </si>
  <si>
    <t>ANKAMISY</t>
  </si>
  <si>
    <t>AMBATORATY</t>
  </si>
  <si>
    <t>AMBORY Haut (AMBORY Bas)</t>
  </si>
  <si>
    <t>ANJAKAMBA HAUT</t>
  </si>
  <si>
    <t>ANJEBA</t>
  </si>
  <si>
    <t>ANKOTSOBE</t>
  </si>
  <si>
    <t>BASAKOA BAS</t>
  </si>
  <si>
    <t>MANDILY</t>
  </si>
  <si>
    <t>IMANOMBO</t>
  </si>
  <si>
    <t xml:space="preserve"> AMBANENATO I ex A.BEDARO</t>
  </si>
  <si>
    <t>AMPILOFILO</t>
  </si>
  <si>
    <t>ANDEMBY</t>
  </si>
  <si>
    <t>AMPANASA</t>
  </si>
  <si>
    <t>ANDRANOVALO ex ANTESOAMAY</t>
  </si>
  <si>
    <t>IMANOMBO CENTRE</t>
  </si>
  <si>
    <t>AMPAMATA</t>
  </si>
  <si>
    <t>ANTAFIANAMPELA</t>
  </si>
  <si>
    <t>BESATRA SOARANO</t>
  </si>
  <si>
    <t>AMPAMATA CENTRE</t>
  </si>
  <si>
    <t>ANDALIPITO</t>
  </si>
  <si>
    <t>NANDROSOA</t>
  </si>
  <si>
    <t>ANDALATANOSY</t>
  </si>
  <si>
    <t>ANDALAKAOLO</t>
  </si>
  <si>
    <t>AKONDRIA</t>
  </si>
  <si>
    <t>ANDALATANOSY NORD</t>
  </si>
  <si>
    <t>VOHIPANDRANY</t>
  </si>
  <si>
    <t>EDASOTSE</t>
  </si>
  <si>
    <t>ANDALATANOSY SUD</t>
  </si>
  <si>
    <t>AMPAHEJOLOKE</t>
  </si>
  <si>
    <t>AMBONDROMBE</t>
  </si>
  <si>
    <t>VOHITSANOMBE</t>
  </si>
  <si>
    <t>MAROFANY</t>
  </si>
  <si>
    <t>MAROVATO BEFENO</t>
  </si>
  <si>
    <t>AMBENDRANA</t>
  </si>
  <si>
    <t>MITREAKE CENTRE</t>
  </si>
  <si>
    <t>MAROVATO LAHABE</t>
  </si>
  <si>
    <t>MAROVATO CENTRE</t>
  </si>
  <si>
    <t>MIANDRASOA</t>
  </si>
  <si>
    <t>NAMALAZA II</t>
  </si>
  <si>
    <t>ANTANIMORA</t>
  </si>
  <si>
    <t>BEFENO (Ex AMBALIANDRO)</t>
  </si>
  <si>
    <t>ANTSIRA</t>
  </si>
  <si>
    <t>ANDRANOGISO ANKILIMANINTSY (Ex ANTANIMORA CENTRE)</t>
  </si>
  <si>
    <t>ANALAMARE</t>
  </si>
  <si>
    <t>AGNAFONDRAVOAY</t>
  </si>
  <si>
    <t>ANJAMALINEKE</t>
  </si>
  <si>
    <t>MAROLAVA</t>
  </si>
  <si>
    <t>AMBOHIMALAZA</t>
  </si>
  <si>
    <t>Betioky Ampozy</t>
  </si>
  <si>
    <t>Antanantsoa</t>
  </si>
  <si>
    <t>Mahatomotse centre</t>
  </si>
  <si>
    <t>Savilava-Androy</t>
  </si>
  <si>
    <t>ANDRANOTSIRIRY MANKATRATSE</t>
  </si>
  <si>
    <t>ANKILETELO</t>
  </si>
  <si>
    <t>ANDRAGNANIVO</t>
  </si>
  <si>
    <t>Andragnanivo Centre</t>
  </si>
  <si>
    <t>Maregny</t>
  </si>
  <si>
    <t>Tsimagnarake centre</t>
  </si>
  <si>
    <t>Marosoritse Ouest (Marosoritsy Est)</t>
  </si>
  <si>
    <t>Androvamare II</t>
  </si>
  <si>
    <t>ANDOHARANO AMBINANY</t>
  </si>
  <si>
    <t>Ambinagny Est</t>
  </si>
  <si>
    <t>Ambararata Centre</t>
  </si>
  <si>
    <t>Andraketa centre</t>
  </si>
  <si>
    <t>Analave Foty</t>
  </si>
  <si>
    <t>AMBOASARY</t>
  </si>
  <si>
    <t>ORN ANOSY</t>
  </si>
  <si>
    <t>Tsivory</t>
  </si>
  <si>
    <t>Marovotry</t>
  </si>
  <si>
    <t>ELONTY</t>
  </si>
  <si>
    <t>Elonty</t>
  </si>
  <si>
    <t>Bemandresy</t>
  </si>
  <si>
    <t xml:space="preserve">Besakoa </t>
  </si>
  <si>
    <t>MAHALY</t>
  </si>
  <si>
    <t>Adabolava</t>
  </si>
  <si>
    <t>Amboangy</t>
  </si>
  <si>
    <t>Ankily</t>
  </si>
  <si>
    <t>EBELO</t>
  </si>
  <si>
    <t>MAROTSIRAKY</t>
  </si>
  <si>
    <t>Marotsiraky</t>
  </si>
  <si>
    <t>TOMBOARIVO</t>
  </si>
  <si>
    <t>MANEVY</t>
  </si>
  <si>
    <t>Manevy</t>
  </si>
  <si>
    <t>Maroantsiva</t>
  </si>
  <si>
    <t>Ampamatoha</t>
  </si>
  <si>
    <t>ESIRA</t>
  </si>
  <si>
    <t>Esira</t>
  </si>
  <si>
    <t>MAROMBY</t>
  </si>
  <si>
    <t>Tanandava Nord</t>
  </si>
  <si>
    <t>Andranondambo</t>
  </si>
  <si>
    <t>TRANOMARO</t>
  </si>
  <si>
    <t>Ampilira</t>
  </si>
  <si>
    <t>Tragnomaro</t>
  </si>
  <si>
    <t>Tsilamaha</t>
  </si>
  <si>
    <t>MAHABO</t>
  </si>
  <si>
    <t>RANOBE</t>
  </si>
  <si>
    <t>Fenoarivo</t>
  </si>
  <si>
    <t>Behalomboro</t>
  </si>
  <si>
    <t>Berano</t>
  </si>
  <si>
    <t>Manitsevo</t>
  </si>
  <si>
    <t>Ankilimanintsy</t>
  </si>
  <si>
    <t>Ifotaka</t>
  </si>
  <si>
    <t>Anjamahavelo</t>
  </si>
  <si>
    <t>Ifotaka DP</t>
  </si>
  <si>
    <t>Tsarapioky</t>
  </si>
  <si>
    <t>Analoalo</t>
  </si>
  <si>
    <t>Antsivavy Ankamena</t>
  </si>
  <si>
    <t>Ankilibe Vahavola</t>
  </si>
  <si>
    <t>Ambahy Ianakafy</t>
  </si>
  <si>
    <t>Manindra</t>
  </si>
  <si>
    <t>Ankilimanara</t>
  </si>
  <si>
    <t>Ankilimitraha</t>
  </si>
  <si>
    <t>Behara bas</t>
  </si>
  <si>
    <t>Ankirikirika</t>
  </si>
  <si>
    <t>Andavabaza</t>
  </si>
  <si>
    <t>Befaitsy</t>
  </si>
  <si>
    <t>Behara Haut</t>
  </si>
  <si>
    <t>Berenty</t>
  </si>
  <si>
    <t>TANANDAVA SUD</t>
  </si>
  <si>
    <t>Vohibary</t>
  </si>
  <si>
    <t>Tanambe</t>
  </si>
  <si>
    <t>Antsovela SAMA</t>
  </si>
  <si>
    <t>Maroloha</t>
  </si>
  <si>
    <t>Ampihamy/ Behabobo</t>
  </si>
  <si>
    <t>Talakifeno</t>
  </si>
  <si>
    <t>Morafeno/tan</t>
  </si>
  <si>
    <t>SSM</t>
  </si>
  <si>
    <t>Ankamena tanantsoa</t>
  </si>
  <si>
    <t>Limby</t>
  </si>
  <si>
    <t>Ankitry</t>
  </si>
  <si>
    <t>Belitsaka</t>
  </si>
  <si>
    <t>IANABINDA</t>
  </si>
  <si>
    <t>BEMELO</t>
  </si>
  <si>
    <t>ANTATABE</t>
  </si>
  <si>
    <t>ANTANIMAINTY</t>
  </si>
  <si>
    <t>ANKAROKA TOBY</t>
  </si>
  <si>
    <t>FENOARIVO</t>
  </si>
  <si>
    <t>BEVAHO IANABINDA</t>
  </si>
  <si>
    <t>VORONKAFOTRA</t>
  </si>
  <si>
    <t>BEKOROBO</t>
  </si>
  <si>
    <t>ITROHO</t>
  </si>
  <si>
    <t>BEKOROBO(Manandrotsy)</t>
  </si>
  <si>
    <t>MANANOVY</t>
  </si>
  <si>
    <t>MANINGAVAHATSY</t>
  </si>
  <si>
    <t>ANDALAMBY</t>
  </si>
  <si>
    <t>ISOANALA</t>
  </si>
  <si>
    <t>MAROVALA</t>
  </si>
  <si>
    <t>ANDARO</t>
  </si>
  <si>
    <t>LAVALILA</t>
  </si>
  <si>
    <t>ISOANALA NORD</t>
  </si>
  <si>
    <t>BENONOKY(Isoanala)</t>
  </si>
  <si>
    <t>BERAKETA SUD</t>
  </si>
  <si>
    <t>ANDROKA</t>
  </si>
  <si>
    <t>ANDRAGIRAGY</t>
  </si>
  <si>
    <t>ANTANANDAVA SUD</t>
  </si>
  <si>
    <t>VOHITSEVO</t>
  </si>
  <si>
    <t>ISOANALA SUD</t>
  </si>
  <si>
    <t>ANALAMARY</t>
  </si>
  <si>
    <t>BEPIA</t>
  </si>
  <si>
    <t>MANOMBO</t>
  </si>
  <si>
    <t>MARORA</t>
  </si>
  <si>
    <t>SAMBALAHY</t>
  </si>
  <si>
    <t xml:space="preserve">IABORANO(Analamary) </t>
  </si>
  <si>
    <t>RIANDAMPY</t>
  </si>
  <si>
    <t>ANKENIHENY</t>
  </si>
  <si>
    <t>BEADABO</t>
  </si>
  <si>
    <t>MAHABO(BENONOKY)</t>
  </si>
  <si>
    <t>MANDABE</t>
  </si>
  <si>
    <t>IABORANO(Mahabo)</t>
  </si>
  <si>
    <t>IANAKAFY</t>
  </si>
  <si>
    <t>APANDRATOLONY</t>
  </si>
  <si>
    <t>IHAZOFOTSY</t>
  </si>
  <si>
    <t>IANAKAFY/ANKATRAFAY</t>
  </si>
  <si>
    <t>MAHASOA OUEST</t>
  </si>
  <si>
    <t>TANANDAVA OUEST</t>
  </si>
  <si>
    <t>BEKININY</t>
  </si>
  <si>
    <t>VOHITELO</t>
  </si>
  <si>
    <t>AMBONGO</t>
  </si>
  <si>
    <t>AMBATOMIALA</t>
  </si>
  <si>
    <t>ANKASY</t>
  </si>
  <si>
    <t>ANKILIMARY</t>
  </si>
  <si>
    <t>BEVAHO IANAKAFY</t>
  </si>
  <si>
    <t>SAKAMAHILY</t>
  </si>
  <si>
    <t>AMBINANY SUD</t>
  </si>
  <si>
    <t>SAKAMAHILY OUEST</t>
  </si>
  <si>
    <t>AMBARARATA NORD(Antanimainty)</t>
  </si>
  <si>
    <t>MAHASOA NORD</t>
  </si>
  <si>
    <t>AMBATOMIVARY</t>
  </si>
  <si>
    <t>MITSINJO</t>
  </si>
  <si>
    <t>VOHITRAMBOA</t>
  </si>
  <si>
    <t>NANARENA BESAKOA</t>
  </si>
  <si>
    <t>BENATO TOBY</t>
  </si>
  <si>
    <t>AMBATOVITA</t>
  </si>
  <si>
    <t>IVOHITSOA</t>
  </si>
  <si>
    <t>AMBAHITA</t>
  </si>
  <si>
    <t>Ambahita centrale</t>
  </si>
  <si>
    <t>Ampany/ Androtsy</t>
  </si>
  <si>
    <t>Andranomatavy</t>
  </si>
  <si>
    <t>Beamalo</t>
  </si>
  <si>
    <t>AMBATOMAINTY</t>
  </si>
  <si>
    <t>Anarabe II</t>
  </si>
  <si>
    <t>AMBATOSOLA</t>
  </si>
  <si>
    <t>Ambatosola Centre</t>
  </si>
  <si>
    <t>Anadabolava</t>
  </si>
  <si>
    <t>Esaka</t>
  </si>
  <si>
    <t>Mandabe</t>
  </si>
  <si>
    <t>ANIVORANO MITSINJO</t>
  </si>
  <si>
    <t>Antanimena</t>
  </si>
  <si>
    <t>Ankilemivory Esogny</t>
  </si>
  <si>
    <t>ANJA-NORD</t>
  </si>
  <si>
    <t>Anja-Nord</t>
  </si>
  <si>
    <t>Besandraha</t>
  </si>
  <si>
    <t>Mikaikarivo I</t>
  </si>
  <si>
    <t xml:space="preserve">Ankatsakatsa </t>
  </si>
  <si>
    <t>ANKARANABO NORD</t>
  </si>
  <si>
    <t>Vohimary II</t>
  </si>
  <si>
    <t>Andriabe</t>
  </si>
  <si>
    <t>Andranomanitsy</t>
  </si>
  <si>
    <t>Ambinanivelo</t>
  </si>
  <si>
    <t>Ankaranabo Nord Centre</t>
  </si>
  <si>
    <t>Vohimary I</t>
  </si>
  <si>
    <t>Anarabe I</t>
  </si>
  <si>
    <t>ANTSAKOAMARO</t>
  </si>
  <si>
    <t>Ankazota</t>
  </si>
  <si>
    <t>BEKITRO</t>
  </si>
  <si>
    <t>Andamilamy</t>
  </si>
  <si>
    <t>Befangitsy</t>
  </si>
  <si>
    <t>Ankaboa</t>
  </si>
  <si>
    <t>Ankilemiary</t>
  </si>
  <si>
    <t>Menambahy I</t>
  </si>
  <si>
    <t>Marovaho-Bas</t>
  </si>
  <si>
    <t>Marovaho Haut</t>
  </si>
  <si>
    <t>Miary Haut</t>
  </si>
  <si>
    <t>BELINDO MAHASOA</t>
  </si>
  <si>
    <t>Ampanamperandrotsy</t>
  </si>
  <si>
    <t>Andranomavo</t>
  </si>
  <si>
    <t xml:space="preserve">Belindo </t>
  </si>
  <si>
    <t>Ankininy</t>
  </si>
  <si>
    <t>Beraketa I</t>
  </si>
  <si>
    <t>Beraketa II</t>
  </si>
  <si>
    <t>Ifarantsa</t>
  </si>
  <si>
    <t>Besakoa ifarantsa</t>
  </si>
  <si>
    <t>Ampandrandava</t>
  </si>
  <si>
    <t>Ambondrombe</t>
  </si>
  <si>
    <t>Besakoa Centrale</t>
  </si>
  <si>
    <t>Mahasoa Vohintany</t>
  </si>
  <si>
    <t>Ampany Anivorano</t>
  </si>
  <si>
    <t>BETEZA</t>
  </si>
  <si>
    <t>Beteza Centrale</t>
  </si>
  <si>
    <t>Ankilivalo Haut</t>
  </si>
  <si>
    <t>Antsosa I</t>
  </si>
  <si>
    <t>Ankarenantsoa</t>
  </si>
  <si>
    <t>Pelaraiky</t>
  </si>
  <si>
    <t>BEVITIKY</t>
  </si>
  <si>
    <t>Bevitiky Centre</t>
  </si>
  <si>
    <t>Anaviavy</t>
  </si>
  <si>
    <t>Andaro</t>
  </si>
  <si>
    <t>Antsatra</t>
  </si>
  <si>
    <t>Befamonty</t>
  </si>
  <si>
    <t>Anjatakary</t>
  </si>
  <si>
    <t>Tsioga Vohimary</t>
  </si>
  <si>
    <t>Vatoarivo</t>
  </si>
  <si>
    <t>MANAKOMPY</t>
  </si>
  <si>
    <t>ANKILISOASOMANGY</t>
  </si>
  <si>
    <t>AMBORIGNABO</t>
  </si>
  <si>
    <t>MAIKANDRO</t>
  </si>
  <si>
    <t>ANJA OUEST</t>
  </si>
  <si>
    <t>ANKAZOABO</t>
  </si>
  <si>
    <t>MAROVIRO</t>
  </si>
  <si>
    <t>Maroviro centre</t>
  </si>
  <si>
    <t>Andriambola nord</t>
  </si>
  <si>
    <t>Betaimbala Centre</t>
  </si>
  <si>
    <t>Sakoandroa</t>
  </si>
  <si>
    <t>Akonatsy</t>
  </si>
  <si>
    <t>Betaimbala Haut</t>
  </si>
  <si>
    <t>Marabory</t>
  </si>
  <si>
    <t>MORAFENO BEKILY</t>
  </si>
  <si>
    <t>Bedona</t>
  </si>
  <si>
    <t>Marofany</t>
  </si>
  <si>
    <t>Ambararata Ouest</t>
  </si>
  <si>
    <t>Andranomiteraky</t>
  </si>
  <si>
    <t>Ambohimandroso</t>
  </si>
  <si>
    <t>TANAMBAO TSIRANDRANY</t>
  </si>
  <si>
    <t>TANAMBAO TSIRANDRANY CENTRE</t>
  </si>
  <si>
    <t>MATSINJO</t>
  </si>
  <si>
    <t>MORAFENO TANANDAVA</t>
  </si>
  <si>
    <t>Sakara Haut</t>
  </si>
  <si>
    <t>Sarisambo</t>
  </si>
  <si>
    <t>Anantaka</t>
  </si>
  <si>
    <t>TSIKOLAKY</t>
  </si>
  <si>
    <t>ANJATSOA</t>
  </si>
  <si>
    <t>BELIO HAUT</t>
  </si>
  <si>
    <t>ANKILIMILOPAKY</t>
  </si>
  <si>
    <t>VOHIMANGA</t>
  </si>
  <si>
    <t>Vohimanga Centrale</t>
  </si>
  <si>
    <t>Mahatalaky</t>
  </si>
  <si>
    <t>Soakijaha</t>
  </si>
  <si>
    <t>Besamata</t>
  </si>
  <si>
    <t>Vohimanga I</t>
  </si>
  <si>
    <t>Andranolava</t>
  </si>
  <si>
    <t>Ambohivola</t>
  </si>
  <si>
    <t>Sihanadaly</t>
  </si>
  <si>
    <t>Angobegobe</t>
  </si>
  <si>
    <t>Sihanaboay</t>
  </si>
  <si>
    <t>Tirimby</t>
  </si>
  <si>
    <t>Sampeza</t>
  </si>
  <si>
    <t>Tsaniria/Ampatiolobe</t>
  </si>
  <si>
    <t>Beloha Atsimo</t>
  </si>
  <si>
    <t>Maheny</t>
  </si>
  <si>
    <t>Antaly/Agnena</t>
  </si>
  <si>
    <t>Andrambale</t>
  </si>
  <si>
    <t>Antsaniria</t>
  </si>
  <si>
    <t>Sakaraty</t>
  </si>
  <si>
    <t>Ampanagnira</t>
  </si>
  <si>
    <t>Marobasia Nord</t>
  </si>
  <si>
    <t>Marohery</t>
  </si>
  <si>
    <t>Andranotsikioe</t>
  </si>
  <si>
    <t>Antanemena</t>
  </si>
  <si>
    <t>Ambatotsivala</t>
  </si>
  <si>
    <t>Koronga</t>
  </si>
  <si>
    <t>Andingolingo</t>
  </si>
  <si>
    <t>Ankilivahary</t>
  </si>
  <si>
    <t>Tranoroa</t>
  </si>
  <si>
    <t>Vohibola</t>
  </si>
  <si>
    <t>Antsolo</t>
  </si>
  <si>
    <t>Rerango</t>
  </si>
  <si>
    <t>Saboko</t>
  </si>
  <si>
    <t>Andranohereke</t>
  </si>
  <si>
    <t>Marolinta</t>
  </si>
  <si>
    <t>Manombo Tanemena</t>
  </si>
  <si>
    <t>Ampotake</t>
  </si>
  <si>
    <t>Ambalamasy</t>
  </si>
  <si>
    <t>Andovoky/Ankilevalo</t>
  </si>
  <si>
    <t>Zandroe</t>
  </si>
  <si>
    <t>Lokoarivo</t>
  </si>
  <si>
    <t>Tanandava/Tesomangy</t>
  </si>
  <si>
    <t>Kopoky</t>
  </si>
  <si>
    <t>Ambatofoty</t>
  </si>
  <si>
    <t>Anjapoty Nord</t>
  </si>
  <si>
    <t>Ampilofilo</t>
  </si>
  <si>
    <t>Ananaja/Ananakirihitse</t>
  </si>
  <si>
    <t>Antseta</t>
  </si>
  <si>
    <t>Anjadavo</t>
  </si>
  <si>
    <t>Ankilisinao</t>
  </si>
  <si>
    <t>Ankilevalo I</t>
  </si>
  <si>
    <t>Ankilevalo II</t>
  </si>
  <si>
    <t>Betaimbolo</t>
  </si>
  <si>
    <t>Tsimilafike</t>
  </si>
  <si>
    <t>Barabay</t>
  </si>
  <si>
    <t>Masombaha</t>
  </si>
  <si>
    <t>Befamata</t>
  </si>
  <si>
    <t>Lavanono</t>
  </si>
  <si>
    <t>Vavaomby</t>
  </si>
  <si>
    <t>Soamanitra</t>
  </si>
  <si>
    <t>Ambazoamiloloke</t>
  </si>
  <si>
    <t>Savilintotse</t>
  </si>
  <si>
    <t>Agnalalava</t>
  </si>
  <si>
    <t>Andraseky</t>
  </si>
  <si>
    <t>Agnanademby</t>
  </si>
  <si>
    <t>Natomasy</t>
  </si>
  <si>
    <t>Angirazato</t>
  </si>
  <si>
    <t>Agnirinihamba</t>
  </si>
  <si>
    <t>Antaritarika</t>
  </si>
  <si>
    <t>Ambaromanoy</t>
  </si>
  <si>
    <t>Ambonaivo</t>
  </si>
  <si>
    <t>Anjira</t>
  </si>
  <si>
    <t>Andraketalahy</t>
  </si>
  <si>
    <t>Ihodo</t>
  </si>
  <si>
    <t>Talaky bas</t>
  </si>
  <si>
    <t>Beievotse Tanambao</t>
  </si>
  <si>
    <t>Marovato</t>
  </si>
  <si>
    <t>Ambaro</t>
  </si>
  <si>
    <t>Ambanikily Volankira</t>
  </si>
  <si>
    <t>Andranonagnombe</t>
  </si>
  <si>
    <t>Ankororoke</t>
  </si>
  <si>
    <t>Betaimborake</t>
  </si>
  <si>
    <t>Mantara</t>
  </si>
  <si>
    <t>Nosy Ala</t>
  </si>
  <si>
    <t>Belitsake</t>
  </si>
  <si>
    <t>Soramena</t>
  </si>
  <si>
    <t>Nikoly</t>
  </si>
  <si>
    <t>Anatsosa Centre</t>
  </si>
  <si>
    <t>Ambovotoka</t>
  </si>
  <si>
    <t>Ankilimigahy</t>
  </si>
  <si>
    <t>Maroakalo</t>
  </si>
  <si>
    <t>Namoia</t>
  </si>
  <si>
    <t>Tampototse Maromainte</t>
  </si>
  <si>
    <t>Tampototse Nord</t>
  </si>
  <si>
    <t>Tanamiary</t>
  </si>
  <si>
    <t>Tamonto Ankilimasy</t>
  </si>
  <si>
    <t>Avaradrova</t>
  </si>
  <si>
    <t>Antaranta</t>
  </si>
  <si>
    <t>Ankorakosy</t>
  </si>
  <si>
    <t>Anjatsampa</t>
  </si>
  <si>
    <t>Bevazavo</t>
  </si>
  <si>
    <t>Marohira Sud</t>
  </si>
  <si>
    <t>Marohira Nord</t>
  </si>
  <si>
    <t>Mahendrake</t>
  </si>
  <si>
    <t>Sakamasy</t>
  </si>
  <si>
    <t>Tsihombe I</t>
  </si>
  <si>
    <t>Tsihombe II</t>
  </si>
  <si>
    <t>Tsivorikely</t>
  </si>
  <si>
    <t>Tsindambo</t>
  </si>
  <si>
    <t>Antsakoantsoa</t>
  </si>
  <si>
    <t>Zafindravala</t>
  </si>
  <si>
    <t>Anjampaly</t>
  </si>
  <si>
    <t>Ankatamboalavo</t>
  </si>
  <si>
    <t>Ampengoke</t>
  </si>
  <si>
    <t>Ankarangotake</t>
  </si>
  <si>
    <t>Anteny Ouest</t>
  </si>
  <si>
    <t>Ankimbay</t>
  </si>
  <si>
    <t>Ampiha</t>
  </si>
  <si>
    <t>Andaza Ampahepoty</t>
  </si>
  <si>
    <t>Behodatse</t>
  </si>
  <si>
    <t>Tanamanjary</t>
  </si>
  <si>
    <t>Tsitindroke</t>
  </si>
  <si>
    <t>Anday</t>
  </si>
  <si>
    <t>Ambaromalanoy</t>
  </si>
  <si>
    <t>Antavy Nord</t>
  </si>
  <si>
    <t>Faux Cap</t>
  </si>
  <si>
    <t>Ankilitelo</t>
  </si>
  <si>
    <t>Anja Haut</t>
  </si>
  <si>
    <t>Ambotry</t>
  </si>
  <si>
    <t>Benonoke</t>
  </si>
  <si>
    <t>Ankilimiary</t>
  </si>
  <si>
    <t>Bema</t>
  </si>
  <si>
    <t>Behazomanga</t>
  </si>
  <si>
    <t>Anjatoka</t>
  </si>
  <si>
    <t>Ankilivalo I</t>
  </si>
  <si>
    <t>Ankilivalo II</t>
  </si>
  <si>
    <t>Namotaha</t>
  </si>
  <si>
    <t>Imongy</t>
  </si>
  <si>
    <t>Imongy Terebeke</t>
  </si>
  <si>
    <t>Marobe</t>
  </si>
  <si>
    <t>Ankoritsike</t>
  </si>
  <si>
    <t>Andramirava</t>
  </si>
  <si>
    <t>ORN Fitovinany</t>
  </si>
  <si>
    <t>Ifanire</t>
  </si>
  <si>
    <t>Atsimo Atsinanana</t>
  </si>
  <si>
    <t>ORN Atsimo Atsinanana</t>
  </si>
  <si>
    <t>Midongy</t>
  </si>
  <si>
    <t>DRS</t>
  </si>
  <si>
    <t>IKONGO</t>
  </si>
  <si>
    <t>Betroka</t>
  </si>
  <si>
    <t>Amoron'i Mania</t>
  </si>
  <si>
    <t>ANDINA</t>
  </si>
  <si>
    <t>Ampasina</t>
  </si>
  <si>
    <t>Ampiterena</t>
  </si>
  <si>
    <t>Andina</t>
  </si>
  <si>
    <t>Tananomby</t>
  </si>
  <si>
    <t>Vohitraivo</t>
  </si>
  <si>
    <t>ANKAZOAMBO</t>
  </si>
  <si>
    <t>Ambatomenaloha</t>
  </si>
  <si>
    <t>FAHIZAY</t>
  </si>
  <si>
    <t>Ambohitsoa</t>
  </si>
  <si>
    <t>Ampahipeno</t>
  </si>
  <si>
    <t>Ankorabe</t>
  </si>
  <si>
    <t>Anovy</t>
  </si>
  <si>
    <t>Soamandroso</t>
  </si>
  <si>
    <t>Soanierana Volazato</t>
  </si>
  <si>
    <t>IVATO CENTRE</t>
  </si>
  <si>
    <t>Ivato Centre</t>
  </si>
  <si>
    <t>Tsaingy</t>
  </si>
  <si>
    <t>IVONY MIARAMIASA</t>
  </si>
  <si>
    <t>Ivony Firaisantsoa</t>
  </si>
  <si>
    <t>Maintitondro</t>
  </si>
  <si>
    <t>Andriamanalina</t>
  </si>
  <si>
    <t>Antoetra</t>
  </si>
  <si>
    <t>Tanetibe</t>
  </si>
  <si>
    <t>Vatovory</t>
  </si>
  <si>
    <t>Analamanga</t>
  </si>
  <si>
    <t>ANDAKATANIKELY</t>
  </si>
  <si>
    <t>Kianjavola</t>
  </si>
  <si>
    <t>Soalazaina</t>
  </si>
  <si>
    <t>Vakinakaratra</t>
  </si>
  <si>
    <t>ALAKAMISY</t>
  </si>
  <si>
    <t>EPP MAHABODO</t>
  </si>
  <si>
    <t>HGSF</t>
  </si>
  <si>
    <t>AMBOHIBARY</t>
  </si>
  <si>
    <t>EPP AMBOHIBARY</t>
  </si>
  <si>
    <t>MANDROSOHASINA</t>
  </si>
  <si>
    <t>EPP KIANJANAKANGA</t>
  </si>
  <si>
    <t>ANTANAMBAO</t>
  </si>
  <si>
    <t>EPP INDROAMITA</t>
  </si>
  <si>
    <t>TSARAHONENANA</t>
  </si>
  <si>
    <t>EPP SOAVINARIVO</t>
  </si>
  <si>
    <t>Itasy</t>
  </si>
  <si>
    <t>SOAMAHAMANINA</t>
  </si>
  <si>
    <t>ECOLE COMMUNAUTAIRE MIANGOLABE</t>
  </si>
  <si>
    <t>AMBATOMANJAKA</t>
  </si>
  <si>
    <t>ECOLE COMMUNAUTAIRE SOANAVELA</t>
  </si>
  <si>
    <t>ANALAVORY</t>
  </si>
  <si>
    <t>EPP AMBOHIBARY I</t>
  </si>
  <si>
    <t>EPP ANTONGOMBATO</t>
  </si>
  <si>
    <t>MIARINARIVO II</t>
  </si>
  <si>
    <t>EPP IGARARANA</t>
  </si>
  <si>
    <t>ANDRANOMIELY</t>
  </si>
  <si>
    <t>EPP BONGAVATO</t>
  </si>
  <si>
    <t>MIANDRANDRA</t>
  </si>
  <si>
    <t>EPP BONGATSARA</t>
  </si>
  <si>
    <t>TSIMADILO</t>
  </si>
  <si>
    <t>EPP TALATA TSIMADILO</t>
  </si>
  <si>
    <t>BETROKA</t>
  </si>
  <si>
    <t>AMBALASOA</t>
  </si>
  <si>
    <t>EPP IRITSOKA</t>
  </si>
  <si>
    <t>ECOLE COMMUNAUTAIRE IFATAKA</t>
  </si>
  <si>
    <t>EPP MORARANO</t>
  </si>
  <si>
    <t>ECOLE COMMUNAUTAIRE SAHENY</t>
  </si>
  <si>
    <t>ECOLE COMMUNAUTAIRE SAKALALY</t>
  </si>
  <si>
    <t>ECOLE COMMUNAUTAIRE TSIHOTOY</t>
  </si>
  <si>
    <t>ECOLE COMMUNAUTAIRE FIADANA</t>
  </si>
  <si>
    <t>ECOLE COMMUNAUTAIRE NAGNARENA</t>
  </si>
  <si>
    <t>EPP ANDOHARANO</t>
  </si>
  <si>
    <t>AMBATOABO</t>
  </si>
  <si>
    <t>EPP BEROTSY</t>
  </si>
  <si>
    <t>TANANDAVA MADRERE</t>
  </si>
  <si>
    <t>EPP TANANDAVA</t>
  </si>
  <si>
    <t xml:space="preserve"> -   </t>
  </si>
  <si>
    <t>EPP VINANINTSAHA</t>
  </si>
  <si>
    <t>EPP TORONDREHY</t>
  </si>
  <si>
    <t>AMPASIMENA</t>
  </si>
  <si>
    <t>EPP AMPASY</t>
  </si>
  <si>
    <t>EPP AMBALALANGY</t>
  </si>
  <si>
    <t>EPP ANDASIBE</t>
  </si>
  <si>
    <t>EPP ANKARIA</t>
  </si>
  <si>
    <t>EPP AMBOTABE</t>
  </si>
  <si>
    <t>EPP MAHABO</t>
  </si>
  <si>
    <t>ECOLE COMMUNAUTAIRE MANGATSIAKY</t>
  </si>
  <si>
    <t>ECOLE COMMUNAUTAIRE AMBINAKY ENAKALA</t>
  </si>
  <si>
    <t>EPP MANGIBE</t>
  </si>
  <si>
    <t>ECOLE COMMUNAUTAIRE MORAFENO</t>
  </si>
  <si>
    <t>ECOLE COMMUNAUTAIRE BETSIPANGA</t>
  </si>
  <si>
    <t>AMPASY NAHAMPOANA</t>
  </si>
  <si>
    <t>AMBANIALA</t>
  </si>
  <si>
    <t>AMPASY NAHAMPONA</t>
  </si>
  <si>
    <t>EPP ENATO</t>
  </si>
  <si>
    <t>EPP MANGAIKY</t>
  </si>
  <si>
    <t>EPP ANKA MAROMAGNIRY</t>
  </si>
  <si>
    <t>EPP ANALAMBENDRANA</t>
  </si>
  <si>
    <t>ANALAPATSY</t>
  </si>
  <si>
    <t>Ambarobe</t>
  </si>
  <si>
    <t>EPP ANALAPATSY</t>
  </si>
  <si>
    <t>MAROAKY</t>
  </si>
  <si>
    <t>Analapatsy II</t>
  </si>
  <si>
    <t>EPP ANKOTRAKY</t>
  </si>
  <si>
    <t>EPP ANDRIVORY</t>
  </si>
  <si>
    <t>EPP ANDROTSY AGNAPOLY</t>
  </si>
  <si>
    <t>Namanona</t>
  </si>
  <si>
    <t>ANDRANOBORY</t>
  </si>
  <si>
    <t>EPP AMPASINDAVA</t>
  </si>
  <si>
    <t>EPP ANKAZOMALAGNY</t>
  </si>
  <si>
    <t>EPP BELAY</t>
  </si>
  <si>
    <t>EPP ANDEMBY</t>
  </si>
  <si>
    <t>ECOLE COMMUNAUTAIRE MORAFENO-SUD</t>
  </si>
  <si>
    <t>EPP ANKILIMIARY</t>
  </si>
  <si>
    <t>EPP ENAGNORASA</t>
  </si>
  <si>
    <t>ECOLE COMMUNAUTAIRE MORAFENO NORD</t>
  </si>
  <si>
    <t>EPP ANDRODAVA</t>
  </si>
  <si>
    <t>EPP ANKARAMENA</t>
  </si>
  <si>
    <t>EPP BEFENO</t>
  </si>
  <si>
    <t>Ebobaky</t>
  </si>
  <si>
    <t>EPP MANISY</t>
  </si>
  <si>
    <t>EPP TANAMBAO</t>
  </si>
  <si>
    <t>EPP TAVIALA</t>
  </si>
  <si>
    <t>Tsiatoro</t>
  </si>
  <si>
    <t>EPP ANALANDRAVY</t>
  </si>
  <si>
    <t>EPP ANDOHAVONDRO</t>
  </si>
  <si>
    <t>IABOAKOHO</t>
  </si>
  <si>
    <t>EPP IABOAKOHO</t>
  </si>
  <si>
    <t>MAHATALAKY</t>
  </si>
  <si>
    <t>EPP ANDRAMANAKA</t>
  </si>
  <si>
    <t>EPP ANENA</t>
  </si>
  <si>
    <t>EPP EMAGNEVY</t>
  </si>
  <si>
    <t>EPP ESOHIHY MITSINJO</t>
  </si>
  <si>
    <t>EPP FARAFARA-VATAMBE</t>
  </si>
  <si>
    <t>EPP MAHATALAKY</t>
  </si>
  <si>
    <t>EPP TSANORIHA</t>
  </si>
  <si>
    <t>EPP TSIHAROA</t>
  </si>
  <si>
    <t>EPP BEANDRY</t>
  </si>
  <si>
    <t>EPP MANANARA II</t>
  </si>
  <si>
    <t>EPP ANTAHOVARY</t>
  </si>
  <si>
    <t>MANAMBARO</t>
  </si>
  <si>
    <t>EPP NOSIBE</t>
  </si>
  <si>
    <t>EPP ESALO</t>
  </si>
  <si>
    <t>MANANTENINA</t>
  </si>
  <si>
    <t>EPP ANKAREFO</t>
  </si>
  <si>
    <t>MANDROMODROMOTRA</t>
  </si>
  <si>
    <t>EPP ITAPERA</t>
  </si>
  <si>
    <t>EPP MANDROMODROMOTRA</t>
  </si>
  <si>
    <t>EPP TANANOLO</t>
  </si>
  <si>
    <t>EPP EMONTY</t>
  </si>
  <si>
    <t>RANOPISO</t>
  </si>
  <si>
    <t>ANDREBASY</t>
  </si>
  <si>
    <t>EPP ANKAZOFOTSY I</t>
  </si>
  <si>
    <t>EPP ANKAZOFOTSY II</t>
  </si>
  <si>
    <t>ANKILIVALO</t>
  </si>
  <si>
    <t>EPP ANKILIVALO</t>
  </si>
  <si>
    <t>EPP MAROVATOFORIHA</t>
  </si>
  <si>
    <t>EPP ELOVOKY AMPANGALAKONGO</t>
  </si>
  <si>
    <t>EPP MAROVATOBE</t>
  </si>
  <si>
    <t>EPP AMPIKAZO</t>
  </si>
  <si>
    <t>EPP MAROMAINTY</t>
  </si>
  <si>
    <t>EPP ANJEKOVA</t>
  </si>
  <si>
    <t>EPP BEDARO</t>
  </si>
  <si>
    <t>ECOLE COMMUNAUTAIRE BERAKETA</t>
  </si>
  <si>
    <t>SARISAMBO</t>
  </si>
  <si>
    <t>EPP AMBOAVOLA</t>
  </si>
  <si>
    <t>EPP ITALY</t>
  </si>
  <si>
    <t>SOANIERANA</t>
  </si>
  <si>
    <t>EPP AMPASY-MORAFENO</t>
  </si>
  <si>
    <t>EPP ANDRAMAKA</t>
  </si>
  <si>
    <t>ANDRANARA</t>
  </si>
  <si>
    <t>EPP LAFITSINANANA</t>
  </si>
  <si>
    <t>EPP SOANIERANA</t>
  </si>
  <si>
    <t>TAOLANARO III</t>
  </si>
  <si>
    <t>EPP LOHALOVOKY</t>
  </si>
  <si>
    <t>EPP AMBINANIKELY</t>
  </si>
  <si>
    <t>TAOLANARO II</t>
  </si>
  <si>
    <t>EPP AMBOANATO</t>
  </si>
  <si>
    <t>EPP AMPAMAKIAMBATO</t>
  </si>
  <si>
    <t>EPP ANDRAKARAKA</t>
  </si>
  <si>
    <t>TAOLANARO I</t>
  </si>
  <si>
    <t>EPP CENTRE II</t>
  </si>
  <si>
    <t>EPP AMBINANIBE</t>
  </si>
  <si>
    <t>ANKARIERA</t>
  </si>
  <si>
    <t>EPP TSIMELAHY</t>
  </si>
  <si>
    <t>EPP ANKARIERA</t>
  </si>
  <si>
    <t>BERONGO</t>
  </si>
  <si>
    <t>EPP ANDREVAVO</t>
  </si>
  <si>
    <t>EPP BEVILANY</t>
  </si>
  <si>
    <t>SOAVARY</t>
  </si>
  <si>
    <t>EPP ANDRIAMBE</t>
  </si>
  <si>
    <t>EPP SOAVARY</t>
  </si>
  <si>
    <t>EPP BEVENTIHAZO</t>
  </si>
  <si>
    <t>EPP ANDROANGALAVA</t>
  </si>
  <si>
    <t>ECOLE COMMUNAUTAIRE ANTSIFOKONINA</t>
  </si>
  <si>
    <t>AMBOASARY I</t>
  </si>
  <si>
    <t>ANARABAJY</t>
  </si>
  <si>
    <t>ANKILEISOKE</t>
  </si>
  <si>
    <t>AMBOASARY III</t>
  </si>
  <si>
    <t>BERANO GALLOIS</t>
  </si>
  <si>
    <t>EPP HOVOTSOTSY</t>
  </si>
  <si>
    <t>EPP LOVASOA BEHABOBO</t>
  </si>
  <si>
    <t>ROMBAZY</t>
  </si>
  <si>
    <t>EPP SPSM</t>
  </si>
  <si>
    <t>EPP TARANTY-AMBENDRA</t>
  </si>
  <si>
    <t>TARANTSOA ANKITRY</t>
  </si>
  <si>
    <t>BEVALA DP</t>
  </si>
  <si>
    <t>EPP SOARAVINA LIMBY</t>
  </si>
  <si>
    <t>EPP ANDALOA BEDARO</t>
  </si>
  <si>
    <t>EPP TARANTY BAS</t>
  </si>
  <si>
    <t>BEHARA I</t>
  </si>
  <si>
    <t>EPP ANDAVABAZA</t>
  </si>
  <si>
    <t>BEHARA II</t>
  </si>
  <si>
    <t>ANKIRIKIRY</t>
  </si>
  <si>
    <t>EPP ANTSIVAVY</t>
  </si>
  <si>
    <t>EPP BEFAITSY</t>
  </si>
  <si>
    <t>EPP FANDIOVA</t>
  </si>
  <si>
    <t>EPP HELIBONDRO</t>
  </si>
  <si>
    <t>EPP MAROMENA</t>
  </si>
  <si>
    <t>EPP MASIABIBY</t>
  </si>
  <si>
    <t>RANOMAINTY</t>
  </si>
  <si>
    <t>EPP ANKASIKITOKA</t>
  </si>
  <si>
    <t>EPP MAROMENA I</t>
  </si>
  <si>
    <t>EPP ANDRANOGISO</t>
  </si>
  <si>
    <t>ECOLE COMMUNAUTAIRE ETSILA</t>
  </si>
  <si>
    <t>Ranomainty</t>
  </si>
  <si>
    <t>Eramamy</t>
  </si>
  <si>
    <t>EPP AMBANINATO</t>
  </si>
  <si>
    <t>Andranomanintsy</t>
  </si>
  <si>
    <t>IFOTAKA II</t>
  </si>
  <si>
    <t>EPP BEBARIMO</t>
  </si>
  <si>
    <t>IFOTAKA I</t>
  </si>
  <si>
    <t>Belay</t>
  </si>
  <si>
    <t>TSARIMPIOKY</t>
  </si>
  <si>
    <t>EPP BEFANTSIOLOTSY</t>
  </si>
  <si>
    <t>EPP AMBOVO</t>
  </si>
  <si>
    <t>EPP ANJAHAMAVELO II</t>
  </si>
  <si>
    <t>EPP LAVAKAPAHA</t>
  </si>
  <si>
    <t>EPP ANKAZOTA</t>
  </si>
  <si>
    <t>EPP AMBATOMAINTY</t>
  </si>
  <si>
    <t>Ankilimanitsy</t>
  </si>
  <si>
    <t>Befihamy</t>
  </si>
  <si>
    <t>EPP MAROMBY</t>
  </si>
  <si>
    <t>ANKILIMALAINDIO</t>
  </si>
  <si>
    <t>EPP EZAKA</t>
  </si>
  <si>
    <t>EPP MANINDRA</t>
  </si>
  <si>
    <t xml:space="preserve">VAHAVOLA </t>
  </si>
  <si>
    <t>EPP ANKILIMANARA</t>
  </si>
  <si>
    <t>EPP AMBANIZA</t>
  </si>
  <si>
    <t>AMPASIMPOLAKA</t>
  </si>
  <si>
    <t>EPP AMPOTOBATO</t>
  </si>
  <si>
    <t>EPP AMBOASARY CENTRE</t>
  </si>
  <si>
    <t>EPP MAROAIKY II</t>
  </si>
  <si>
    <t>EPP ANKARAHARA AMANDA</t>
  </si>
  <si>
    <t>Beza</t>
  </si>
  <si>
    <t>Tranomaro</t>
  </si>
  <si>
    <t>EPP ANKARAHARA NONOKY</t>
  </si>
  <si>
    <t>EPP BEVAHY</t>
  </si>
  <si>
    <t>EPP IMANJOLA</t>
  </si>
  <si>
    <t>EPP ANDROMASY</t>
  </si>
  <si>
    <t>EPP MANANDAVENOKA</t>
  </si>
  <si>
    <t>EPP TOMBOARIVO</t>
  </si>
  <si>
    <t>EPP AMBOLOVOHITSY</t>
  </si>
  <si>
    <t>EPP BEVOANGY</t>
  </si>
  <si>
    <t>EPP AMBASY TANAMBAO</t>
  </si>
  <si>
    <t>EPP AMBASY CENTRE</t>
  </si>
  <si>
    <t>EPP AMBOLOVOHITSE TANAMIARY</t>
  </si>
  <si>
    <t>Fangidraty</t>
  </si>
  <si>
    <t>EPP ANTSEJEBY</t>
  </si>
  <si>
    <t>EPP TSIMANATEBOLY</t>
  </si>
  <si>
    <t>EPP ANALOALO</t>
  </si>
  <si>
    <t>AMBANISARIKA</t>
  </si>
  <si>
    <t>classique</t>
  </si>
  <si>
    <t>EPP ANDROHONDROHO</t>
  </si>
  <si>
    <t>Hybride</t>
  </si>
  <si>
    <t>MAHALOTO</t>
  </si>
  <si>
    <t>TANAMBAO ANKILIFALY</t>
  </si>
  <si>
    <t>EPP ANKIRAVA</t>
  </si>
  <si>
    <t>ETSOHA ANKILIROMOTSY</t>
  </si>
  <si>
    <t>EPP ANTSAKOAMAMY</t>
  </si>
  <si>
    <t>AMBAZOAMAZAVA</t>
  </si>
  <si>
    <t>AMPAIPAIKA</t>
  </si>
  <si>
    <t>EPP ANTANIMIHERY</t>
  </si>
  <si>
    <t>TSIFAHERA</t>
  </si>
  <si>
    <t>IKOTOALABAS</t>
  </si>
  <si>
    <t>SATRIE</t>
  </si>
  <si>
    <t>AMBASY</t>
  </si>
  <si>
    <t>SOAMBOTRY</t>
  </si>
  <si>
    <t>ANDAMBOMITRO</t>
  </si>
  <si>
    <t>EPP ANKATRAFAIMAZAVA</t>
  </si>
  <si>
    <t>ANKILISANA</t>
  </si>
  <si>
    <t>BEVOALAVO</t>
  </si>
  <si>
    <t>EPP MAHATOMOTSY</t>
  </si>
  <si>
    <t>TATY</t>
  </si>
  <si>
    <t>MIARINTSOA</t>
  </si>
  <si>
    <t>EPP ANTANAMIARE ANKILITELO</t>
  </si>
  <si>
    <t>ANTRANOTSIEFA</t>
  </si>
  <si>
    <t>TANANDAVA MATOMBOLY</t>
  </si>
  <si>
    <t>AMPAMOLORA</t>
  </si>
  <si>
    <t>ANDOHALAMBO</t>
  </si>
  <si>
    <t>EPP ANKILEROE MAROLAVA</t>
  </si>
  <si>
    <t>EPP ANDOHATRAGNO MAHAVONJY</t>
  </si>
  <si>
    <t>AMBOKOKE</t>
  </si>
  <si>
    <t>BELALITSE</t>
  </si>
  <si>
    <t>MAROMAINTY</t>
  </si>
  <si>
    <t>EPP BEANGEA</t>
  </si>
  <si>
    <t>EPP AMPASEMAHASOA</t>
  </si>
  <si>
    <t>EPP AMBONDRO ANATIROVA</t>
  </si>
  <si>
    <t>ANDASARY</t>
  </si>
  <si>
    <t>EPP ANKAZOABO II</t>
  </si>
  <si>
    <t>ANTSOTRY FALIAKONDRO</t>
  </si>
  <si>
    <t>LAMITIHY BELANKY</t>
  </si>
  <si>
    <t>LAMITIHY SUD</t>
  </si>
  <si>
    <t>EPP MONTIFENO</t>
  </si>
  <si>
    <t>TSIMANANKIARAKY</t>
  </si>
  <si>
    <t>VAZOA</t>
  </si>
  <si>
    <t>BELAY MAROLAVA</t>
  </si>
  <si>
    <t>EPP IMONGY AMPIHAMY</t>
  </si>
  <si>
    <t>LAMITIHY BELAZA</t>
  </si>
  <si>
    <t>AMBOVOMBE I</t>
  </si>
  <si>
    <t>EPP AMBAZOAMIRAFY</t>
  </si>
  <si>
    <t>EPP AMBOASARY II</t>
  </si>
  <si>
    <t>EPP AMBOLOMAREAGNE</t>
  </si>
  <si>
    <t>AMBOVOMBE II</t>
  </si>
  <si>
    <t>ANTETEBEY</t>
  </si>
  <si>
    <t>EPP ANTSATRAHAMASY</t>
  </si>
  <si>
    <t>ANTSEKY NORD</t>
  </si>
  <si>
    <t>EPP BEVATO</t>
  </si>
  <si>
    <t>EPP ESANTA</t>
  </si>
  <si>
    <t>EPP MAROMALAY</t>
  </si>
  <si>
    <t>MITSANGANA</t>
  </si>
  <si>
    <t>EPP SEVOHIPOTY</t>
  </si>
  <si>
    <t>EPP TALAKY</t>
  </si>
  <si>
    <t>EPP TSEREDREO</t>
  </si>
  <si>
    <t>EPP BEABO</t>
  </si>
  <si>
    <t>EPP LAVANDRANDRA</t>
  </si>
  <si>
    <t>BEANIKEI</t>
  </si>
  <si>
    <t>EPP TSINGIVILAHY</t>
  </si>
  <si>
    <t>TOBY MAHAVELO</t>
  </si>
  <si>
    <t>EPP AMPAMATA CENTRE</t>
  </si>
  <si>
    <t>EPP AMPANAPERANDROTSY I</t>
  </si>
  <si>
    <t>EPP ANKALIRANO/BESATRA</t>
  </si>
  <si>
    <t>EPP BESATRA SOARANO</t>
  </si>
  <si>
    <t>EPP TAFIANAMPELA</t>
  </si>
  <si>
    <t>EPP AMBONDROMBE</t>
  </si>
  <si>
    <t>ANDRAMBAROTRA</t>
  </si>
  <si>
    <t>BEHENA HAUT</t>
  </si>
  <si>
    <t>BEKOPIKE NORD</t>
  </si>
  <si>
    <t>BEKOPIKE SUD</t>
  </si>
  <si>
    <t>ECOLE COMMUNAUTAIRE ANDEMBY</t>
  </si>
  <si>
    <t>BEANANTARA</t>
  </si>
  <si>
    <t>ANJEKY AMBOROKE</t>
  </si>
  <si>
    <t>EPP ANJEKY ENIKONTY</t>
  </si>
  <si>
    <t>ANJEKY ERADA</t>
  </si>
  <si>
    <t>ANKILIKIRA</t>
  </si>
  <si>
    <t>EPP MAROFOTY AVARADROVA</t>
  </si>
  <si>
    <t>MAROHO CENTRE</t>
  </si>
  <si>
    <t>EPP ANJEKY BEIEVOTSE</t>
  </si>
  <si>
    <t>EPP EDABA TANANTSOA</t>
  </si>
  <si>
    <t>EPP TSIMIHEVO</t>
  </si>
  <si>
    <t>ANTANIMORA-OUEST</t>
  </si>
  <si>
    <t>ANDABOLY ANTANIMORA SUD</t>
  </si>
  <si>
    <t>ANTANIMORA EST</t>
  </si>
  <si>
    <t>EPP ANKILIFALY</t>
  </si>
  <si>
    <t>ANKILEMASY TEDO TSIMIALONJAFY</t>
  </si>
  <si>
    <t>ANKILIMILOPAKE</t>
  </si>
  <si>
    <t>ANTANIMORA OUEST</t>
  </si>
  <si>
    <t>EPP ANTANIMORA CENTRE</t>
  </si>
  <si>
    <t>EPP MANAVY</t>
  </si>
  <si>
    <t>AMBINANY I</t>
  </si>
  <si>
    <t>EPP BEMAMBA AMPOZY</t>
  </si>
  <si>
    <t>EPP AMPOZY ANKARAMANOY</t>
  </si>
  <si>
    <t>AMBANIKILY NORD</t>
  </si>
  <si>
    <t>AMBORY I</t>
  </si>
  <si>
    <t>BELITSAKY</t>
  </si>
  <si>
    <t>MITREAKY</t>
  </si>
  <si>
    <t>NISOROGNA</t>
  </si>
  <si>
    <t>HABOHABONORD</t>
  </si>
  <si>
    <t>EPP BETSIRIRY</t>
  </si>
  <si>
    <t>EPP ANKARANANIVO</t>
  </si>
  <si>
    <t>ANKILIMIANDRA</t>
  </si>
  <si>
    <t>ANKOROKOROKE</t>
  </si>
  <si>
    <t>EPP BESAKOA BAS</t>
  </si>
  <si>
    <t>TSIABETSAKA</t>
  </si>
  <si>
    <t>EPP AMBATORATY</t>
  </si>
  <si>
    <t>EPP TSIMANARAKE</t>
  </si>
  <si>
    <t>ANKARANANDINDO</t>
  </si>
  <si>
    <t>LAGNANE</t>
  </si>
  <si>
    <t>ECOLE COMMUNAUTAIRE ANKISAKISAKE</t>
  </si>
  <si>
    <t>EPP ANKILIMALANGY</t>
  </si>
  <si>
    <t>EPP BEVOTRY</t>
  </si>
  <si>
    <t>EPP ANDROTOKA</t>
  </si>
  <si>
    <t>EPP AMPANIHY-HAUT</t>
  </si>
  <si>
    <t>ANKILIMANINTSY II</t>
  </si>
  <si>
    <t>ANKOROROKA MAHAZOSOA</t>
  </si>
  <si>
    <t>EPP ANKILIMAROALOKA</t>
  </si>
  <si>
    <t>VAHAVOLA ANKILESOA</t>
  </si>
  <si>
    <t>RADABETSIMIVAKY</t>
  </si>
  <si>
    <t>ERAKOKA</t>
  </si>
  <si>
    <t>ANKILIHOGO HAUT</t>
  </si>
  <si>
    <t>ANTSOMONTSOY</t>
  </si>
  <si>
    <t>BEHABOBO NORD</t>
  </si>
  <si>
    <t>MAROALOPOTY II</t>
  </si>
  <si>
    <t>SOATSIFA</t>
  </si>
  <si>
    <t>TANAMBAO SUD</t>
  </si>
  <si>
    <t>SOATAMEA MORAFENO</t>
  </si>
  <si>
    <t>SAVARA CENTRE</t>
  </si>
  <si>
    <t>EPP MAROPIA AMPISOPISO</t>
  </si>
  <si>
    <t>EPP AMBOROKAHAKE</t>
  </si>
  <si>
    <t>NAMALAZA I</t>
  </si>
  <si>
    <t>EPP TSITEKE HAZOLAVA</t>
  </si>
  <si>
    <t>EPP ANALAISOKE</t>
  </si>
  <si>
    <t>EPP ANALAMANOY</t>
  </si>
  <si>
    <t>EPP ANDRAMANERA</t>
  </si>
  <si>
    <t>ANKALITRANDRAKE</t>
  </si>
  <si>
    <t>ANKAZOMANGA</t>
  </si>
  <si>
    <t>ANKILIABO NORD</t>
  </si>
  <si>
    <t>EPP BELINDO/ANALAHOVA</t>
  </si>
  <si>
    <t>EPP MANTSAKE</t>
  </si>
  <si>
    <t>EPP MIANDRA</t>
  </si>
  <si>
    <t>EPP TERABOVO</t>
  </si>
  <si>
    <t>TONDROKE</t>
  </si>
  <si>
    <t>ECOLE COMMUNAUTAIRE SIHANAMITOHY MAROLAVA II</t>
  </si>
  <si>
    <t>TSIMANANADA</t>
  </si>
  <si>
    <t>ANKARA</t>
  </si>
  <si>
    <t>MOKOFO</t>
  </si>
  <si>
    <t>AMBITIKE I</t>
  </si>
  <si>
    <t>AMBITIKE II</t>
  </si>
  <si>
    <t>AGNANATSAKOA SOATAMEA</t>
  </si>
  <si>
    <t>EPP SOALIOKE</t>
  </si>
  <si>
    <t>ANJAMARO</t>
  </si>
  <si>
    <t>ANAFONDRAVOAY</t>
  </si>
  <si>
    <t>ANKILIMALANGY I</t>
  </si>
  <si>
    <t>ANKILIMALANGY II</t>
  </si>
  <si>
    <t>ANALAMARY CENTRE</t>
  </si>
  <si>
    <t>Androvamare</t>
  </si>
  <si>
    <t xml:space="preserve"> ANTANIMORA EST </t>
  </si>
  <si>
    <t xml:space="preserve"> Vohitsova </t>
  </si>
  <si>
    <t xml:space="preserve"> AMBOHIMALAZA </t>
  </si>
  <si>
    <t xml:space="preserve"> ANKAKO </t>
  </si>
  <si>
    <t>TSIHOMBE</t>
  </si>
  <si>
    <t>ANJAMPALY</t>
  </si>
  <si>
    <t>ANDAVAKIO</t>
  </si>
  <si>
    <t>ANDAY I</t>
  </si>
  <si>
    <t>ANDAZA</t>
  </si>
  <si>
    <t>ANKATAMBOALAVO</t>
  </si>
  <si>
    <t>ANTENY EST</t>
  </si>
  <si>
    <t>TANAMANJARY</t>
  </si>
  <si>
    <t>TSITINDROKA</t>
  </si>
  <si>
    <t>AMBATOMANOY</t>
  </si>
  <si>
    <t>ANDRANOMASY</t>
  </si>
  <si>
    <t>ANKILIVALO SUD</t>
  </si>
  <si>
    <t>EROMBAZA</t>
  </si>
  <si>
    <t>NAMOTAHA</t>
  </si>
  <si>
    <t>ANTARITARIKA NORD</t>
  </si>
  <si>
    <t>AMBOHITSE</t>
  </si>
  <si>
    <t>ANAKANIA</t>
  </si>
  <si>
    <t>ANDROVAMARE</t>
  </si>
  <si>
    <t>ANJAMPANANIKA</t>
  </si>
  <si>
    <t>ANJIRA</t>
  </si>
  <si>
    <t>BEHAZOMANGA</t>
  </si>
  <si>
    <t>AMBOVO NORD</t>
  </si>
  <si>
    <t>BEVARO I</t>
  </si>
  <si>
    <t>MAROHATAKE</t>
  </si>
  <si>
    <t>SENORO</t>
  </si>
  <si>
    <t>TAMONTO OUEST</t>
  </si>
  <si>
    <t>FAUX CAP EST</t>
  </si>
  <si>
    <t>AMBORY</t>
  </si>
  <si>
    <t>ANOVY SUD</t>
  </si>
  <si>
    <t>ANTAVY NORD</t>
  </si>
  <si>
    <t>MAROBE FAUX CAP</t>
  </si>
  <si>
    <t>FAUX CAP OUEST</t>
  </si>
  <si>
    <t>AMBOTRY</t>
  </si>
  <si>
    <t>ANJATELO</t>
  </si>
  <si>
    <t>BENONOKA</t>
  </si>
  <si>
    <t>BEVORY NORD</t>
  </si>
  <si>
    <t>FAUX CAP</t>
  </si>
  <si>
    <t>VOHIBE</t>
  </si>
  <si>
    <t>IMONGY EST</t>
  </si>
  <si>
    <t>AMBAROANINTSY</t>
  </si>
  <si>
    <t>ANDRATINO</t>
  </si>
  <si>
    <t>ANKILIMALANGY</t>
  </si>
  <si>
    <t>IMONGY</t>
  </si>
  <si>
    <t>ISINGO</t>
  </si>
  <si>
    <t>MAKIFAHA</t>
  </si>
  <si>
    <t>MAROFOHY CENTRE</t>
  </si>
  <si>
    <t>IMONGY OUEST</t>
  </si>
  <si>
    <t>ANALAISOKA</t>
  </si>
  <si>
    <t>ANKILIBE</t>
  </si>
  <si>
    <t>ANKORITSIKE</t>
  </si>
  <si>
    <t>ANTSANDRAHA</t>
  </si>
  <si>
    <t>BEMOSESY CENTRE</t>
  </si>
  <si>
    <t>SIHANADAVA</t>
  </si>
  <si>
    <t>TOMILY</t>
  </si>
  <si>
    <t>TSIANOHA</t>
  </si>
  <si>
    <t>MAROVATO EST</t>
  </si>
  <si>
    <t>ANKILITELOMISAVARA</t>
  </si>
  <si>
    <t>BEVARO SORAMENA</t>
  </si>
  <si>
    <t>MAROVATO</t>
  </si>
  <si>
    <t>MAROVATO OUEST</t>
  </si>
  <si>
    <t>AMBANIKILY VOLANKIRA</t>
  </si>
  <si>
    <t>ANDRANAGNOMBE</t>
  </si>
  <si>
    <t>ANJABIHY</t>
  </si>
  <si>
    <t>BAVARO BESENA</t>
  </si>
  <si>
    <t>MAROVATO SUD</t>
  </si>
  <si>
    <t>ANDRARAKE</t>
  </si>
  <si>
    <t>BETAIMBORAKA</t>
  </si>
  <si>
    <t>BEVALA</t>
  </si>
  <si>
    <t>KATRAVITRA</t>
  </si>
  <si>
    <t>NIKOLY EST</t>
  </si>
  <si>
    <t>AMBASIA I</t>
  </si>
  <si>
    <t>ANANAKIRIHITSE</t>
  </si>
  <si>
    <t>ANDAGOA NORD</t>
  </si>
  <si>
    <t>ANKILITOKA</t>
  </si>
  <si>
    <t>ANTANAMIARY</t>
  </si>
  <si>
    <t>BERONONO</t>
  </si>
  <si>
    <t>NIKOLY OUEST</t>
  </si>
  <si>
    <t>ANKILIMIGAHY</t>
  </si>
  <si>
    <t>ANTANAMALANGY</t>
  </si>
  <si>
    <t>BERENY</t>
  </si>
  <si>
    <t>NAMOIA</t>
  </si>
  <si>
    <t>TSIHOMBE EST</t>
  </si>
  <si>
    <t>AMBALIANDRO</t>
  </si>
  <si>
    <t>ANKARAMAROFOTY</t>
  </si>
  <si>
    <t>ANKORAKOSY</t>
  </si>
  <si>
    <t>ANTANA</t>
  </si>
  <si>
    <t>MAROHIRA AMBORY</t>
  </si>
  <si>
    <t>MAROHIRA SUD</t>
  </si>
  <si>
    <t>MAROTANA</t>
  </si>
  <si>
    <t>SAKAMASY</t>
  </si>
  <si>
    <t>TROKAGNOMBE</t>
  </si>
  <si>
    <t>TSIHOMBE CENTRE-I</t>
  </si>
  <si>
    <t>TSIHOMBE OUEST</t>
  </si>
  <si>
    <t>AFONDRALAMBO EVAZY</t>
  </si>
  <si>
    <t>AMBOVO l</t>
  </si>
  <si>
    <t>ANDOVOKE</t>
  </si>
  <si>
    <t>ANINAKY II</t>
  </si>
  <si>
    <t>ANKILILIRY</t>
  </si>
  <si>
    <t>ANTSOVELA</t>
  </si>
  <si>
    <t>BEAVOHA NORD</t>
  </si>
  <si>
    <t>BELEMBOKE</t>
  </si>
  <si>
    <t>BEROPITEKE</t>
  </si>
  <si>
    <t>BEVALA TAMBANDITSE</t>
  </si>
  <si>
    <t>TSIHOMBE CENTRE II</t>
  </si>
  <si>
    <t>ZAP ANTARITARIKA SUD</t>
  </si>
  <si>
    <t>AMBARO SUD</t>
  </si>
  <si>
    <t>ANTARITARIKA CENTRE</t>
  </si>
  <si>
    <t>DORISA</t>
  </si>
  <si>
    <t>MAROAFO</t>
  </si>
  <si>
    <t>BEKILY</t>
  </si>
  <si>
    <t>AMBATOMAINTY SAKOAMBELOMY</t>
  </si>
  <si>
    <t>SOAKIBANY</t>
  </si>
  <si>
    <t>SOARAVY</t>
  </si>
  <si>
    <t>MIKAIKARIVO AMBATOMAINTY</t>
  </si>
  <si>
    <t>AMPANY</t>
  </si>
  <si>
    <t>BEVATO II</t>
  </si>
  <si>
    <t>EPP VOHIPENO</t>
  </si>
  <si>
    <t>Ambatosola</t>
  </si>
  <si>
    <t>ECOLE COMMUNAUTAIRE BEVATO CENTRE</t>
  </si>
  <si>
    <t>Bekitro</t>
  </si>
  <si>
    <t>ECOLE COMMUNAUTAIRE ANKILIVAHO</t>
  </si>
  <si>
    <t>ESAKA MAHABO</t>
  </si>
  <si>
    <t>EPP AMBATOSOLA</t>
  </si>
  <si>
    <t>ANADABOLAVA</t>
  </si>
  <si>
    <t>MAHABO SUD</t>
  </si>
  <si>
    <t>ECOLE COMMUNAUTAIRE FENOARIVO SUD</t>
  </si>
  <si>
    <t>ANJA NORD</t>
  </si>
  <si>
    <t>ANALALAVA HAUT</t>
  </si>
  <si>
    <t>ECOLE COMMUNAUTAIRE BESANDRAHA</t>
  </si>
  <si>
    <t>ANARABE I</t>
  </si>
  <si>
    <t>ANDRANOMANINTSY II</t>
  </si>
  <si>
    <t>VOHIMARY I</t>
  </si>
  <si>
    <t>EPP ANKARANABO_NORD</t>
  </si>
  <si>
    <t>ANTABOARA HAUT</t>
  </si>
  <si>
    <t>ANTANIMARY</t>
  </si>
  <si>
    <t>AMBAROABO</t>
  </si>
  <si>
    <t>AMBATOFOTSY</t>
  </si>
  <si>
    <t>ANTSAKOAMIARY</t>
  </si>
  <si>
    <t>BEVOSITRA</t>
  </si>
  <si>
    <t>ECOLE COMMUNAUTAIRE SOALOKE</t>
  </si>
  <si>
    <t>AMBATOMAINTY ANIVORANO</t>
  </si>
  <si>
    <t>AMPIRIKY MAROVAHO</t>
  </si>
  <si>
    <t>EPP ANKERAKERAKY</t>
  </si>
  <si>
    <t>BEANGILY</t>
  </si>
  <si>
    <t>BEFANGITSY</t>
  </si>
  <si>
    <t>EPP BEMOITA</t>
  </si>
  <si>
    <t>MIARY_TOBY</t>
  </si>
  <si>
    <t>ECOLE COMMUNAUTAIRE VOHITSOSY</t>
  </si>
  <si>
    <t>IABORANO</t>
  </si>
  <si>
    <t>AMBATO</t>
  </si>
  <si>
    <t>ECOLE COMMUNAUTAIRE ANTSAHA</t>
  </si>
  <si>
    <t>ECOLE COMMUNAUTAIRE AMBOASARY</t>
  </si>
  <si>
    <t>ANANAKARAKY</t>
  </si>
  <si>
    <t>ECOLE COMMUNAUTAIRE ANDRANOFOTY</t>
  </si>
  <si>
    <t>ANDRANOMIHERY</t>
  </si>
  <si>
    <t>ECOLE COMMUNAUTAIRE SOASERAGNA</t>
  </si>
  <si>
    <t>AFONDRIAMBITA</t>
  </si>
  <si>
    <t>AMPANAMPERANDROTSY</t>
  </si>
  <si>
    <t>EPP ANDRANOMAVO I</t>
  </si>
  <si>
    <t>EPP ANDRANOMAVO II</t>
  </si>
  <si>
    <t>EPP BELINDO MAHASOA</t>
  </si>
  <si>
    <t>ECOLE COMMUNAUTAIRE AMBONAIVO</t>
  </si>
  <si>
    <t>ECOLE COMMUNAUTAIRE ANARABE</t>
  </si>
  <si>
    <t>ANTSELIBE</t>
  </si>
  <si>
    <t>ECOLE COMMUNAUTAIRE ANTSELY TOBY</t>
  </si>
  <si>
    <t>ANKANANAVY</t>
  </si>
  <si>
    <t>ECOLE COMMUNAUTAIRE ANTSOSA</t>
  </si>
  <si>
    <t>ANKILIVALO HAUT</t>
  </si>
  <si>
    <t>ANDAMOTIGNABO</t>
  </si>
  <si>
    <t>ANIVORANO</t>
  </si>
  <si>
    <t>ANIVORANO BEANGILY</t>
  </si>
  <si>
    <t>ECOLE COMMUNAUTAIRE ANTSATRA</t>
  </si>
  <si>
    <t>ECOLE COMMUNAUTAIRE BETSINTSY</t>
  </si>
  <si>
    <t>BEFAMONTY</t>
  </si>
  <si>
    <t>ECOLE COMMUNAUTAIRE AMPATIOLOTSE</t>
  </si>
  <si>
    <t>ANALAMAHAVELO</t>
  </si>
  <si>
    <t>ECOLE COMMUNAUTAIRE ANKILISOA SOMANGY</t>
  </si>
  <si>
    <t>ANTANAMARY</t>
  </si>
  <si>
    <t>ECOLE COMMUNAUTAIRE MAIKANDRO</t>
  </si>
  <si>
    <t>EPP MIRIA</t>
  </si>
  <si>
    <t>EPP TAMBAHY</t>
  </si>
  <si>
    <t>AMBORINABO</t>
  </si>
  <si>
    <t>EPP ANATO</t>
  </si>
  <si>
    <t>TSIANDRORA</t>
  </si>
  <si>
    <t>ANTSAKOAMASY</t>
  </si>
  <si>
    <t>ECOLE COMMUNAUTAIRE AMBOHITSY BEMAHATAZA</t>
  </si>
  <si>
    <t>ECOLE COMMUNAUTAIRE ANKILIMANINTSY</t>
  </si>
  <si>
    <t>ECOLE COMMUNAUTAIRE AMBARARATA OUEST</t>
  </si>
  <si>
    <t>BEKILY CENTRALE</t>
  </si>
  <si>
    <t>ECOLE COMMUNAUTAIRE BEFANGITSY</t>
  </si>
  <si>
    <t>ECOLE COMMUNAUTAIRE MAROFANY</t>
  </si>
  <si>
    <t>BEKILY I</t>
  </si>
  <si>
    <t>BEKILY II</t>
  </si>
  <si>
    <t>AMBALANOSY</t>
  </si>
  <si>
    <t>AMBOHITSE MORAFENO</t>
  </si>
  <si>
    <t>EPP IABOMARY II</t>
  </si>
  <si>
    <t>MAHASOA</t>
  </si>
  <si>
    <t>MORAFENO HAUT</t>
  </si>
  <si>
    <t>BEDONA</t>
  </si>
  <si>
    <t>ECOLE COMMUNAUTAIRE ANKILIMILOPAKY</t>
  </si>
  <si>
    <t>ECOLE COMMUNAUTAIRE BELIO_HAUT</t>
  </si>
  <si>
    <t>ANJANTSOA</t>
  </si>
  <si>
    <t>EPP ANTSAKOAMALANGY</t>
  </si>
  <si>
    <t>EPP TSIKOLAKY</t>
  </si>
  <si>
    <t>Tanambao Tsirandrany</t>
  </si>
  <si>
    <t>ECOLE COMMUNAUTAIRE TEMAGNALO</t>
  </si>
  <si>
    <t>EPP MITSINJO I</t>
  </si>
  <si>
    <t>EPP TANAMBAO TSIRANDRANY</t>
  </si>
  <si>
    <t>MANAKOLIVA</t>
  </si>
  <si>
    <t>Vohimanga</t>
  </si>
  <si>
    <t>ECOLE COMMUNAUTAIRE SAKOAMPOLO</t>
  </si>
  <si>
    <t>ECOLE COMMUNAUTAIRE BEKIJOLY</t>
  </si>
  <si>
    <t>ECOLE COMMUNAUTAIRE ANDARO</t>
  </si>
  <si>
    <t>MIKAIKARIVOAMBATOMAINTY</t>
  </si>
  <si>
    <t>ANDRANOMASY VOHITANY</t>
  </si>
  <si>
    <t>BESOHIHY</t>
  </si>
  <si>
    <t>ANDRANOMATAVY</t>
  </si>
  <si>
    <t>AMPANY ANIVORANO</t>
  </si>
  <si>
    <t>ECOLE COMMUNAUTAIRE FENOARIVO II</t>
  </si>
  <si>
    <t>BELOHA</t>
  </si>
  <si>
    <t>AMBATOTSIVALA</t>
  </si>
  <si>
    <t>ANDINGOLINGO</t>
  </si>
  <si>
    <t>EPP AGNALAMIHOATSE</t>
  </si>
  <si>
    <t>EPP AMBATOTSIVALA</t>
  </si>
  <si>
    <t>EPP ANKILIVAHARY</t>
  </si>
  <si>
    <t>KORONGA</t>
  </si>
  <si>
    <t>ANALALAVA-NORD</t>
  </si>
  <si>
    <t>ANDRANOLAVA-NORD</t>
  </si>
  <si>
    <t>ANTANIMENA-NORD</t>
  </si>
  <si>
    <t>BEMENA</t>
  </si>
  <si>
    <t>EPP ANTSAKOANTSOA</t>
  </si>
  <si>
    <t>EPP BEHABOBO</t>
  </si>
  <si>
    <t>MAROBASIA-NORD</t>
  </si>
  <si>
    <t>MAROBASIA-SUD</t>
  </si>
  <si>
    <t>MAROHERY</t>
  </si>
  <si>
    <t>SIHANADROTSY</t>
  </si>
  <si>
    <t>TSIMILOFO</t>
  </si>
  <si>
    <t>AMBOHIVOLA</t>
  </si>
  <si>
    <t>AMBOROGNEOKE</t>
  </si>
  <si>
    <t>ANKAZOMAGNITSE</t>
  </si>
  <si>
    <t>ANTREAKE</t>
  </si>
  <si>
    <t>BELOHA CENTRE</t>
  </si>
  <si>
    <t>EPP ANALALAVA OUEST</t>
  </si>
  <si>
    <t>EPP ANDOMBIRY</t>
  </si>
  <si>
    <t>EPP ANDRANOHAZONAILY</t>
  </si>
  <si>
    <t>EPP ANKILIBEHARA</t>
  </si>
  <si>
    <t>EPP BEBORODOKE</t>
  </si>
  <si>
    <t>KIRIMOSA</t>
  </si>
  <si>
    <t>MONTO</t>
  </si>
  <si>
    <t>NAMANDRIHA</t>
  </si>
  <si>
    <t>NIFANITSE</t>
  </si>
  <si>
    <t>ZAMBE</t>
  </si>
  <si>
    <t>KOPOKY</t>
  </si>
  <si>
    <t>AKILETOKA</t>
  </si>
  <si>
    <t>AMBOLITSIFA</t>
  </si>
  <si>
    <t>ANANAKOFANDRA SUD</t>
  </si>
  <si>
    <t>ANDAHIVOZAKE</t>
  </si>
  <si>
    <t>ANDRANOHAZOKILY</t>
  </si>
  <si>
    <t>ANJANDAVO</t>
  </si>
  <si>
    <t>ANJAPOTY</t>
  </si>
  <si>
    <t>ANJATOVO</t>
  </si>
  <si>
    <t>ANKILIVOANGY</t>
  </si>
  <si>
    <t>EPP AFONDRAVOATSY NORD</t>
  </si>
  <si>
    <t>EPP AGNANAKIRIHITSE</t>
  </si>
  <si>
    <t>EPP AMBOHIMAGNARE</t>
  </si>
  <si>
    <t>EPP ANTSETA</t>
  </si>
  <si>
    <t>EPP BETSAKO</t>
  </si>
  <si>
    <t>SIHANAKAMPAHA</t>
  </si>
  <si>
    <t>TRATRAVAKY</t>
  </si>
  <si>
    <t>TSIMAITO</t>
  </si>
  <si>
    <t>TSIMAITO-AMBANY</t>
  </si>
  <si>
    <t>VAREMARO</t>
  </si>
  <si>
    <t>MAHENY</t>
  </si>
  <si>
    <t>ANDRAMBALY</t>
  </si>
  <si>
    <t>BEHOROFA</t>
  </si>
  <si>
    <t>ECOLE COMMUNAUTAIRE ANTSAGNIRA</t>
  </si>
  <si>
    <t>EPP MAHENIMBE</t>
  </si>
  <si>
    <t>EPP MAHENY</t>
  </si>
  <si>
    <t>VONDROTE</t>
  </si>
  <si>
    <t>ANJAMIKORY</t>
  </si>
  <si>
    <t>ECOLE COMMUNAUTAIRE AMBOROTSE</t>
  </si>
  <si>
    <t>ECOLE COMMUNAUTAIRE ANKILISOA</t>
  </si>
  <si>
    <t>ECOLE COMMUNAUTAIRE ANKILIVALO MANDROSO</t>
  </si>
  <si>
    <t>ECOLE COMMUNAUTAIRE ANTANIMENA</t>
  </si>
  <si>
    <t>EPP AMPOTAKE</t>
  </si>
  <si>
    <t>EPP ANKILIMILALY</t>
  </si>
  <si>
    <t>EPP MANOMBO</t>
  </si>
  <si>
    <t>EPP MAROLINTA</t>
  </si>
  <si>
    <t>ANKIBAINIMAY</t>
  </si>
  <si>
    <t>ANKILIANAGNO</t>
  </si>
  <si>
    <t>ANTSAKOAMIAVOTSE</t>
  </si>
  <si>
    <t>ANTSOLO</t>
  </si>
  <si>
    <t>BOBOKE</t>
  </si>
  <si>
    <t>TRANOROA</t>
  </si>
  <si>
    <t>EPP ANDAMILAMY</t>
  </si>
  <si>
    <t>EPP ANDRANOHERIKE</t>
  </si>
  <si>
    <t>EPP ANTSAKOAMITONDRITSE NORD</t>
  </si>
  <si>
    <t>EPP ANTSIFITSE</t>
  </si>
  <si>
    <t>EPP JONTANY</t>
  </si>
  <si>
    <t>EPP KOBOARY</t>
  </si>
  <si>
    <t>EPP TSOTSO</t>
  </si>
  <si>
    <t>EPP VOHIBOLA</t>
  </si>
  <si>
    <t>KEREMBOLA</t>
  </si>
  <si>
    <t>MAROMASO</t>
  </si>
  <si>
    <t>RERANGO</t>
  </si>
  <si>
    <t>TRANOVAHO</t>
  </si>
  <si>
    <t>AMBORIMAHASOA</t>
  </si>
  <si>
    <t>AMPIHAMY</t>
  </si>
  <si>
    <t>ANDRASEKE SUD</t>
  </si>
  <si>
    <t>ANTANIMENA SUD</t>
  </si>
  <si>
    <t>ANTSAKOAMALANGY</t>
  </si>
  <si>
    <t>ECOLE COMMUNAUTAIRE AMBAZOAMILOLOKE</t>
  </si>
  <si>
    <t>ECOLE COMMUNAUTAIRE ANKILISINAO</t>
  </si>
  <si>
    <t>EPP AMBATOMASY</t>
  </si>
  <si>
    <t>EPP ANALALAVA</t>
  </si>
  <si>
    <t>EPP ANKAMBOA</t>
  </si>
  <si>
    <t>EPP BARABAY</t>
  </si>
  <si>
    <t>EPP BETINDRIA</t>
  </si>
  <si>
    <t>EPP LAVANONO</t>
  </si>
  <si>
    <t>EPP MAHILIVAZA</t>
  </si>
  <si>
    <t>EPP SARERIAKE</t>
  </si>
  <si>
    <t>EPP SOAMANITRA</t>
  </si>
  <si>
    <t>EPP TRANOVAHO</t>
  </si>
  <si>
    <t>EPP VAVAOMBY</t>
  </si>
  <si>
    <t>MAROVORO I</t>
  </si>
  <si>
    <t>TRAMBA</t>
  </si>
  <si>
    <t>Tamatave</t>
  </si>
  <si>
    <t>VANGAINDRANO</t>
  </si>
  <si>
    <t>AMPASIMALEMY</t>
  </si>
  <si>
    <t>Amboazokibo</t>
  </si>
  <si>
    <t>EPP AMBALAHORAKY</t>
  </si>
  <si>
    <t>EPP VAPAKY</t>
  </si>
  <si>
    <t>AMPATAKA</t>
  </si>
  <si>
    <t>EPP AMPATAKA</t>
  </si>
  <si>
    <t>Mahela II</t>
  </si>
  <si>
    <t>Sosobahy</t>
  </si>
  <si>
    <t>BEKARAOKY</t>
  </si>
  <si>
    <t>Bekaraoky</t>
  </si>
  <si>
    <t>ISAHARA</t>
  </si>
  <si>
    <t>EPP AMBALASAVOA</t>
  </si>
  <si>
    <t>EPP ANDRAREZO</t>
  </si>
  <si>
    <t>EPP SOATSIRANA</t>
  </si>
  <si>
    <t>LOPARY</t>
  </si>
  <si>
    <t>EPP ANAMBILAZO</t>
  </si>
  <si>
    <t>EPP BESAKAY</t>
  </si>
  <si>
    <t>EPP MAHAFASA</t>
  </si>
  <si>
    <t>EPP MATSINJO</t>
  </si>
  <si>
    <t>MAHATSINJO</t>
  </si>
  <si>
    <t>EPP BESAVOA</t>
  </si>
  <si>
    <t>RANOMENA</t>
  </si>
  <si>
    <t>EPP RANOMENA</t>
  </si>
  <si>
    <t>SOAMANOVA</t>
  </si>
  <si>
    <t>Iabovonany</t>
  </si>
  <si>
    <t>EPP MAROROKY ISERINY</t>
  </si>
  <si>
    <t>TSIATELY</t>
  </si>
  <si>
    <t>Anapatra</t>
  </si>
  <si>
    <t>Tsararano</t>
  </si>
  <si>
    <t>Tsitove</t>
  </si>
  <si>
    <t>Tanimena</t>
  </si>
  <si>
    <t>ECOLE COMMUNAUTAIRE ANDRANOTSARA</t>
  </si>
  <si>
    <t>VOHITRAMBO</t>
  </si>
  <si>
    <t>EPP MAHAVELO</t>
  </si>
  <si>
    <t>FONILAZA</t>
  </si>
  <si>
    <t>EPP MENAGNARAVONY</t>
  </si>
  <si>
    <t>Sahavoangy</t>
  </si>
  <si>
    <t>EPP VILIMENA</t>
  </si>
  <si>
    <t>EPP MATAVIRANO</t>
  </si>
  <si>
    <t>FARAFANGANA</t>
  </si>
  <si>
    <t>EPP TSARARANO</t>
  </si>
  <si>
    <t>AMBALATRAKA</t>
  </si>
  <si>
    <t>EPP ANANARA</t>
  </si>
  <si>
    <t>AMBOHIGOGO</t>
  </si>
  <si>
    <t>EPP NAMOHORA</t>
  </si>
  <si>
    <t>AMPOROFORO</t>
  </si>
  <si>
    <t>EPP MAIAKOHO</t>
  </si>
  <si>
    <t>Amibasy</t>
  </si>
  <si>
    <t>Amporoforo</t>
  </si>
  <si>
    <t>Anakona</t>
  </si>
  <si>
    <t>EPP TSIROBOY</t>
  </si>
  <si>
    <t>ANOSIVELO</t>
  </si>
  <si>
    <t>EPP AMBALAVOTAKA</t>
  </si>
  <si>
    <t>Egnelazana</t>
  </si>
  <si>
    <t>ANOSY TSARARAFA</t>
  </si>
  <si>
    <t>EPP AMPANARENA</t>
  </si>
  <si>
    <t>AMBATOLAMPY</t>
  </si>
  <si>
    <t>Ankazomasy Vazako</t>
  </si>
  <si>
    <t>Marozaza</t>
  </si>
  <si>
    <t>Sahafoza</t>
  </si>
  <si>
    <t>BEVOAY BERETRA</t>
  </si>
  <si>
    <t>EPP TAMBOHOBE</t>
  </si>
  <si>
    <t>ETROTROKA</t>
  </si>
  <si>
    <t>EPP SARINOSY</t>
  </si>
  <si>
    <t>MAHABO MANANIVO</t>
  </si>
  <si>
    <t>EPP KARIMBELO</t>
  </si>
  <si>
    <t>MAHABO MANANINO</t>
  </si>
  <si>
    <t>Lohagisy</t>
  </si>
  <si>
    <t>EPP LOVASOA IABOMARY</t>
  </si>
  <si>
    <t>Mahabo Mananino</t>
  </si>
  <si>
    <t>MANAMBOATRA SUD</t>
  </si>
  <si>
    <t>Andranoboaka</t>
  </si>
  <si>
    <t>Bekaraoka</t>
  </si>
  <si>
    <t>MANAMBOTRA SUD</t>
  </si>
  <si>
    <t>EPP MAROPANAHY</t>
  </si>
  <si>
    <t>Namohona</t>
  </si>
  <si>
    <t>VOHILENGO</t>
  </si>
  <si>
    <t>EPP AMBOLOLOMENA</t>
  </si>
  <si>
    <t>VOHIMASY</t>
  </si>
  <si>
    <t>Vohimasy</t>
  </si>
  <si>
    <t>Anosimahasoa</t>
  </si>
  <si>
    <t>VOHITROMBY</t>
  </si>
  <si>
    <t>Iaborano</t>
  </si>
  <si>
    <t>EPP MAHABO AMBANY</t>
  </si>
  <si>
    <t>NAMOHORA IABORANO</t>
  </si>
  <si>
    <t>EPP AMBATOLAMPY</t>
  </si>
  <si>
    <t>EPP ANIVOTSARA</t>
  </si>
  <si>
    <t>MANAKARA</t>
  </si>
  <si>
    <t>AMBILA</t>
  </si>
  <si>
    <t>EPP EZAKA AMBILA NORD</t>
  </si>
  <si>
    <t>AMBOANJO</t>
  </si>
  <si>
    <t>EPP ANKATAFANA</t>
  </si>
  <si>
    <t>ECOLE COMMUNAUTAIRE AMBALABE</t>
  </si>
  <si>
    <t>AMBORONDRA</t>
  </si>
  <si>
    <t>EPP AMBORONDRA</t>
  </si>
  <si>
    <t>Analavory</t>
  </si>
  <si>
    <t>ANOROMBATO</t>
  </si>
  <si>
    <t>EPP MAHASOA</t>
  </si>
  <si>
    <t>FENOMBY</t>
  </si>
  <si>
    <t>EPP AMBOHIMIARINA</t>
  </si>
  <si>
    <t>MITANTY</t>
  </si>
  <si>
    <t>EPP BETAMPONA II</t>
  </si>
  <si>
    <t>EPP MIDEBOKA II</t>
  </si>
  <si>
    <t>MIZILO GARA</t>
  </si>
  <si>
    <t>Ampasipotsy</t>
  </si>
  <si>
    <t>MIZILO GARE</t>
  </si>
  <si>
    <t>EPP ANALAMIDITRA</t>
  </si>
  <si>
    <t>EPP FENOARIVO</t>
  </si>
  <si>
    <t>MANANJARY</t>
  </si>
  <si>
    <t>AMBODINONOKA II</t>
  </si>
  <si>
    <t>EPP ANALAMARINA</t>
  </si>
  <si>
    <t>EPP FIADANANA</t>
  </si>
  <si>
    <t>ANOSIMPARIHY</t>
  </si>
  <si>
    <t>EPP AMBATOHARANANA</t>
  </si>
  <si>
    <t>ANOSIPARIHY</t>
  </si>
  <si>
    <t>Anosimparihy</t>
  </si>
  <si>
    <t>EPP IABORANO</t>
  </si>
  <si>
    <t>EPP VOHIBIAVY</t>
  </si>
  <si>
    <t>ANTSENAVOLO</t>
  </si>
  <si>
    <t>EPP AMBODIAKATRA</t>
  </si>
  <si>
    <t>Ambodivoangy</t>
  </si>
  <si>
    <t>Ankazotokana</t>
  </si>
  <si>
    <t>EPP ANTSENAVOLO</t>
  </si>
  <si>
    <t>AMBOHIMIARINA</t>
  </si>
  <si>
    <t>Irondro</t>
  </si>
  <si>
    <t>KIANJAVATO</t>
  </si>
  <si>
    <t>Ambalahosy sud</t>
  </si>
  <si>
    <t>Ambodibonary</t>
  </si>
  <si>
    <t>Fotobohitra</t>
  </si>
  <si>
    <t>Kianjavato</t>
  </si>
  <si>
    <t>MAHATSARA SUD</t>
  </si>
  <si>
    <t>Mahatsarasud</t>
  </si>
  <si>
    <t>EPP ANDOVOSIRA</t>
  </si>
  <si>
    <t>EPP FANGATO</t>
  </si>
  <si>
    <t>EPP JOSEPH ROBERT</t>
  </si>
  <si>
    <t>TSIATOSIKA II</t>
  </si>
  <si>
    <t>MAROKARIMA</t>
  </si>
  <si>
    <t>EPP AMBOANGIMASINA</t>
  </si>
  <si>
    <t>EPP MAROKARIMA</t>
  </si>
  <si>
    <t>EPP SANDRANGELY</t>
  </si>
  <si>
    <t>MAROSANGY</t>
  </si>
  <si>
    <t>EPP AMBALAKONDRO</t>
  </si>
  <si>
    <t>EPP IANKANA</t>
  </si>
  <si>
    <t>TSARAVARY</t>
  </si>
  <si>
    <t>EPP MAROFODY</t>
  </si>
  <si>
    <t>EPP MAROPAIKA</t>
  </si>
  <si>
    <t>EPP TANAMBAO MAROFODY</t>
  </si>
  <si>
    <t>Sahamara</t>
  </si>
  <si>
    <t>TSIATOSIKA I</t>
  </si>
  <si>
    <t>Ambalaromba</t>
  </si>
  <si>
    <t>EPP AMBATOLAHILETSIVITSY</t>
  </si>
  <si>
    <t>Ambatotsara</t>
  </si>
  <si>
    <t>EPP AMBOHIMIARINA I</t>
  </si>
  <si>
    <t>Andranomavo II</t>
  </si>
  <si>
    <t>EPP ANDRANOMITEKA</t>
  </si>
  <si>
    <t>Betampona</t>
  </si>
  <si>
    <t>ManakanaI</t>
  </si>
  <si>
    <t>Tsarahafatra</t>
  </si>
  <si>
    <t>EPP TSIATOSIKA</t>
  </si>
  <si>
    <t>VATOHANDRINA</t>
  </si>
  <si>
    <t>EPP VATOHANDRNA</t>
  </si>
  <si>
    <t>VOHILAVA II</t>
  </si>
  <si>
    <t>EPP AMBAKOANA</t>
  </si>
  <si>
    <t>EPP MAROHITA</t>
  </si>
  <si>
    <t>ANTARETRA</t>
  </si>
  <si>
    <t>ECOLE COMMUNAUTAIRE LAVAKIANJA</t>
  </si>
  <si>
    <t>AMBINANY</t>
  </si>
  <si>
    <t>BEVILANY</t>
  </si>
  <si>
    <t>ANDRANOMAINTSO</t>
  </si>
  <si>
    <t>VINETA ANDAMASINY</t>
  </si>
  <si>
    <t>AMBARARATA GOUDRON</t>
  </si>
  <si>
    <t>ANDRAVINDAHY II</t>
  </si>
  <si>
    <t>VINETA MAHASOA</t>
  </si>
  <si>
    <t>ANTRANOKAKY</t>
  </si>
  <si>
    <t>AMBOROMPOTSY</t>
  </si>
  <si>
    <t>ECOLE COMMUNAUTAIRE ANDAVABIBY</t>
  </si>
  <si>
    <t>EPP AMBOROMPOTSY</t>
  </si>
  <si>
    <t>ETSIFOHAVE</t>
  </si>
  <si>
    <t>MASINDRANO</t>
  </si>
  <si>
    <t>EPP ANTANIMAVO</t>
  </si>
  <si>
    <t>MOTOMBE</t>
  </si>
  <si>
    <t>AGNARAMAIKY</t>
  </si>
  <si>
    <t>ANTSAGNIRA</t>
  </si>
  <si>
    <t>AMPANIHY CENTRE</t>
  </si>
  <si>
    <t>EPP BELAZA</t>
  </si>
  <si>
    <t>LAFIBATO</t>
  </si>
  <si>
    <t>LAVAPOSA</t>
  </si>
  <si>
    <t>EPP AMBALATSIEFA</t>
  </si>
  <si>
    <t>EPP AMPANIHY CENTRE</t>
  </si>
  <si>
    <t>EPP ANDRANOMAMY</t>
  </si>
  <si>
    <t>ETANJO</t>
  </si>
  <si>
    <t>ETROBEKE</t>
  </si>
  <si>
    <t>EPP GOROGODA</t>
  </si>
  <si>
    <t>SIHANAMITOHY</t>
  </si>
  <si>
    <t>ANKILETOKA I</t>
  </si>
  <si>
    <t>AMBALAVATO CENTRE</t>
  </si>
  <si>
    <t>SIHANAMITOHY CENTRE</t>
  </si>
  <si>
    <t>AMBOLISARIKE</t>
  </si>
  <si>
    <t>ECOLE COMMUNAUTAIRE ANDRAPIDRAPIKE</t>
  </si>
  <si>
    <t>ANKEHEO</t>
  </si>
  <si>
    <t>EPP BELAMBO</t>
  </si>
  <si>
    <t>EMINA</t>
  </si>
  <si>
    <t>EVANGA</t>
  </si>
  <si>
    <t>ECOLE COMMUNAUTAIRE FANAMBOSA</t>
  </si>
  <si>
    <t>ECOLE COMMUNAUTAIRE HORINJA</t>
  </si>
  <si>
    <t>KALANGASA</t>
  </si>
  <si>
    <t>KILEMIRIMBO CENTRE</t>
  </si>
  <si>
    <t>KILIRO</t>
  </si>
  <si>
    <t>KILILIGNISA</t>
  </si>
  <si>
    <t>ECOLE COMMUNAUTAIRE LAHITSITELY</t>
  </si>
  <si>
    <t>KILIBORY</t>
  </si>
  <si>
    <t>MAHATSANDRY</t>
  </si>
  <si>
    <t>Ankilimivory</t>
  </si>
  <si>
    <t>MAROHOLA</t>
  </si>
  <si>
    <t>MASIADILY</t>
  </si>
  <si>
    <t>EPP ANKILIMIVORY</t>
  </si>
  <si>
    <t>REKOSO</t>
  </si>
  <si>
    <t>AMPAMORITA</t>
  </si>
  <si>
    <t>ANALAMATEZA-BAS</t>
  </si>
  <si>
    <t>BEKAKO-NORD</t>
  </si>
  <si>
    <t>ANALAMATEZA-HAUT</t>
  </si>
  <si>
    <t>Antaly</t>
  </si>
  <si>
    <t>ANTANAMAEVA</t>
  </si>
  <si>
    <t>BEAVAKE I</t>
  </si>
  <si>
    <t>PINJO II</t>
  </si>
  <si>
    <t>Beara</t>
  </si>
  <si>
    <t>BELAMOTY</t>
  </si>
  <si>
    <t>EPP BESALY BAS</t>
  </si>
  <si>
    <t>PINJO I</t>
  </si>
  <si>
    <t>SATRAPOTSY HAUT</t>
  </si>
  <si>
    <t>AMBATOMAINTY ANAVIAVY</t>
  </si>
  <si>
    <t>ANTANIMENA</t>
  </si>
  <si>
    <t>Belafike Haut</t>
  </si>
  <si>
    <t>AMBATOVAKY-HAUT</t>
  </si>
  <si>
    <t>BELOLO-BAS</t>
  </si>
  <si>
    <t>TRATRIOTSE-KANDE</t>
  </si>
  <si>
    <t>BELAFIKE HAUT</t>
  </si>
  <si>
    <t>BEADALA BAS</t>
  </si>
  <si>
    <t>BELAFIKE BAS</t>
  </si>
  <si>
    <t>TRATRIOTSE-BAS</t>
  </si>
  <si>
    <t>Beroy Sud</t>
  </si>
  <si>
    <t>AMBONIARIVO</t>
  </si>
  <si>
    <t>BEROY SUD</t>
  </si>
  <si>
    <t>EPP AMPANDRAMBE ANIVORANO</t>
  </si>
  <si>
    <t>BELOBAKA NORD</t>
  </si>
  <si>
    <t>BEROY NORD TANANDAVA</t>
  </si>
  <si>
    <t>AMBATOMITIKITSE</t>
  </si>
  <si>
    <t>Ejeda II</t>
  </si>
  <si>
    <t>AMBATOKAPEKE EJEDA</t>
  </si>
  <si>
    <t>EJEDA II</t>
  </si>
  <si>
    <t>ECOLE COMMUNAUTAIRE ANKILIMIDEGA</t>
  </si>
  <si>
    <t>ECOLE COMMUNAUTAIRE ANTANANONDATY</t>
  </si>
  <si>
    <t>Ejeda I</t>
  </si>
  <si>
    <t>ANTSEVASEVA ANKILIMALANGE</t>
  </si>
  <si>
    <t>BEHAZONDREGNETSE</t>
  </si>
  <si>
    <t>EJEDA I</t>
  </si>
  <si>
    <t>ECOLE COMMUNAUTAIRE BEKILY</t>
  </si>
  <si>
    <t>MATAVE NORD</t>
  </si>
  <si>
    <t>TRANOMBORO</t>
  </si>
  <si>
    <t>AMBATOVAKY CENTRE</t>
  </si>
  <si>
    <t>ANKAZOTA</t>
  </si>
  <si>
    <t>ANKOZOHOZO</t>
  </si>
  <si>
    <t>EPP BEKINAGNA</t>
  </si>
  <si>
    <t>EPP EJEDA</t>
  </si>
  <si>
    <t>MITSORIAKE SUD</t>
  </si>
  <si>
    <t>BEVIRO</t>
  </si>
  <si>
    <t>ANJAMIVARO</t>
  </si>
  <si>
    <t>MANAKARALAHY</t>
  </si>
  <si>
    <t>Fotadrevo</t>
  </si>
  <si>
    <t>BEAMPEMBA</t>
  </si>
  <si>
    <t>BETSINEFO ANDRANOMIBOA</t>
  </si>
  <si>
    <t>ECOLE COMMUNAUTAIRE SONJORANO</t>
  </si>
  <si>
    <t>Anavoha</t>
  </si>
  <si>
    <t>EPP AMBATOBE</t>
  </si>
  <si>
    <t>EPP ANALABE</t>
  </si>
  <si>
    <t>ANALAPANGITSY</t>
  </si>
  <si>
    <t>ANDRANOMASY HAUT</t>
  </si>
  <si>
    <t>ANIVORANO-I</t>
  </si>
  <si>
    <t>MORAFENO BEAMALO</t>
  </si>
  <si>
    <t>EPP BELINJO I</t>
  </si>
  <si>
    <t>EPP BETEZA BAS</t>
  </si>
  <si>
    <t>BEVARO FOTADREVO</t>
  </si>
  <si>
    <t>EPP FOTADREVO</t>
  </si>
  <si>
    <t>EPP SETA I</t>
  </si>
  <si>
    <t>SETA-II</t>
  </si>
  <si>
    <t>ECOLE COMMUNAUTAIRE ANKILIABO</t>
  </si>
  <si>
    <t>SAKOANABO BAS</t>
  </si>
  <si>
    <t>ECOLE COMMUNAUTAIRE ANDRANOMOLITSE HAUT</t>
  </si>
  <si>
    <t>ANKILIFOLO</t>
  </si>
  <si>
    <t>ECOLE COMMUNAUTAIRE TAOLAMBOSITRA</t>
  </si>
  <si>
    <t>ANKILINDREHOZOKE</t>
  </si>
  <si>
    <t>BETONAKE</t>
  </si>
  <si>
    <t>EPP SATRAPOTSY MILANJA</t>
  </si>
  <si>
    <t>Itampolo</t>
  </si>
  <si>
    <t>BESAVAVY NORD</t>
  </si>
  <si>
    <t>EKORITSIKE M</t>
  </si>
  <si>
    <t>Androimpano</t>
  </si>
  <si>
    <t>TSIANDRIONA-SUD</t>
  </si>
  <si>
    <t>AMBALABE BEAVOHA</t>
  </si>
  <si>
    <t>AMBALATSIMIVIKE</t>
  </si>
  <si>
    <t>BEMANATEZA-HAUT</t>
  </si>
  <si>
    <t>BESASAVY SUD</t>
  </si>
  <si>
    <t>ZOENARIVO BEVALA</t>
  </si>
  <si>
    <t>BESELY-NORD</t>
  </si>
  <si>
    <t>EPP ITAMPOLO</t>
  </si>
  <si>
    <t>ABC DOMINO Ankilibory</t>
  </si>
  <si>
    <t>ABC DOMINO Belitsaka</t>
  </si>
  <si>
    <t>Maniry</t>
  </si>
  <si>
    <t>BEKILY-CENTRE</t>
  </si>
  <si>
    <t>ECOLE COMMUNAUTAIRE EFOTY</t>
  </si>
  <si>
    <t>ECOLE COMMUNAUTAIRE REMENGOKE</t>
  </si>
  <si>
    <t>EPP BEGORAGO</t>
  </si>
  <si>
    <t>AMBATOFOTSY-II</t>
  </si>
  <si>
    <t>ANKILIMAMONDRO</t>
  </si>
  <si>
    <t>ECOLE COMMUNAUTAIRE ANKILIMASY</t>
  </si>
  <si>
    <t>BEVAHY HAUT</t>
  </si>
  <si>
    <t>AMBATOKAPEKE VOHITANY</t>
  </si>
  <si>
    <t>AMBOVONDREDADA</t>
  </si>
  <si>
    <t>BEFAMATA-BAS</t>
  </si>
  <si>
    <t>ECOLE COMMUNAUTAIRE REAMPOTOTSE</t>
  </si>
  <si>
    <t>EPP ANKILIABO</t>
  </si>
  <si>
    <t>BETIOKY</t>
  </si>
  <si>
    <t>Beahitse</t>
  </si>
  <si>
    <t>ANKARANTIHY</t>
  </si>
  <si>
    <t>BEAHITSE</t>
  </si>
  <si>
    <t>ECOLE COMMUNAUTAIRE ANKILIMANITSY CENTRE</t>
  </si>
  <si>
    <t>BELAMOTY SUD</t>
  </si>
  <si>
    <t>KOTOVOGNE</t>
  </si>
  <si>
    <t>HABOKE</t>
  </si>
  <si>
    <t>MAROFOTOTSE</t>
  </si>
  <si>
    <t>ECOLE COMMUNAUTAIRE SAKOANDAHY</t>
  </si>
  <si>
    <t>TALIMBOLA</t>
  </si>
  <si>
    <t>ANKILEMALANGE</t>
  </si>
  <si>
    <t>EPP BEVALA</t>
  </si>
  <si>
    <t>EPP EVOVO-NORD</t>
  </si>
  <si>
    <t>AGNENA SUD</t>
  </si>
  <si>
    <t>AGNENA CENTRE</t>
  </si>
  <si>
    <t>BELAMOTY NORD</t>
  </si>
  <si>
    <t>ECOLE COMMUNAUTAIRE BESELY</t>
  </si>
  <si>
    <t>ECOLE COMMUNAUTAIRE SAKIVE</t>
  </si>
  <si>
    <t>BEHOMBY</t>
  </si>
  <si>
    <t>ANTSARO</t>
  </si>
  <si>
    <t>BEHAVANDRA III</t>
  </si>
  <si>
    <t>EPP BEAHITSE</t>
  </si>
  <si>
    <t>AMBOHIMAHAVELONA</t>
  </si>
  <si>
    <t>EPP AMBIKY</t>
  </si>
  <si>
    <t>EPP MAROAMALONA (LOVASOA)</t>
  </si>
  <si>
    <t>EPP TANANDAVA MAHABO</t>
  </si>
  <si>
    <t>ANALAMISAMPY</t>
  </si>
  <si>
    <t>EPP AMPASIKIBO (MILAVONJY)</t>
  </si>
  <si>
    <t>SOAHAZO</t>
  </si>
  <si>
    <t>EPP BETSIOKY MANDATSA (NY HOAVY)</t>
  </si>
  <si>
    <t>EPP BETSIOKY SOMOTSE (MAHASOA)</t>
  </si>
  <si>
    <t>ANKILILOAKA</t>
  </si>
  <si>
    <t>EPP AMBOBOKA (TOLONA)</t>
  </si>
  <si>
    <t>EPP AMBONDRO</t>
  </si>
  <si>
    <t>ANTANILEBE</t>
  </si>
  <si>
    <t>ANTSEVA</t>
  </si>
  <si>
    <t>MILENAKA</t>
  </si>
  <si>
    <t>EPP AMBATOLILY</t>
  </si>
  <si>
    <t>EPP ANDAMBOLO</t>
  </si>
  <si>
    <t>Ankaraobato</t>
  </si>
  <si>
    <t>EPP ANTANIMENA RENDAITSE</t>
  </si>
  <si>
    <t>EPP ANTRANOLAHATRA</t>
  </si>
  <si>
    <t>EPP BELAVENOKA</t>
  </si>
  <si>
    <t>Milenake</t>
  </si>
  <si>
    <t>BEHELOKE</t>
  </si>
  <si>
    <t>EPP ITOMBOINA (LOVASOA)</t>
  </si>
  <si>
    <t>VATOLALAKE</t>
  </si>
  <si>
    <t>EFOETSE</t>
  </si>
  <si>
    <t>ABC DOMINO AMBOLA</t>
  </si>
  <si>
    <t>ABC DOMINO ANKILIMIVONY</t>
  </si>
  <si>
    <t>ABC DOMINO BEHELOKA</t>
  </si>
  <si>
    <t>BELALANDA</t>
  </si>
  <si>
    <t>EPP AMBOTSIBOTSIKE</t>
  </si>
  <si>
    <t>EPP BEKOAKE</t>
  </si>
  <si>
    <t>TSINJORIAKE</t>
  </si>
  <si>
    <t>SAINT AUGUSTIN</t>
  </si>
  <si>
    <t>ANKEREREAKE</t>
  </si>
  <si>
    <t>EPP ANKILIBE</t>
  </si>
  <si>
    <t>EPP LAVENOMBATO (TSARAFANIRY)</t>
  </si>
  <si>
    <t>MANOROKA</t>
  </si>
  <si>
    <t>EPP LOVASOA SAINT AUGUSTIN</t>
  </si>
  <si>
    <t>MANOMBO SUD</t>
  </si>
  <si>
    <t>EPP MANOMBO I (LOVASOA)</t>
  </si>
  <si>
    <t>EPP MANOMBO II (MAHASOA)</t>
  </si>
  <si>
    <t>EPP FITSITIKA (TARATRA)</t>
  </si>
  <si>
    <t>MANOROFIFY</t>
  </si>
  <si>
    <t>EPP AVOTRA AMBATOLAMPY</t>
  </si>
  <si>
    <t>MAROMIANDRA</t>
  </si>
  <si>
    <t>EPP MAROMIANDRA (EZAKA LOVA SOA)</t>
  </si>
  <si>
    <t>EPP MITSINJO MAHAZOARIVO (TSITAMBATO)</t>
  </si>
  <si>
    <t>SOALARA SUD</t>
  </si>
  <si>
    <t>EPP ANKARANILA (SOATEZA)</t>
  </si>
  <si>
    <t>ABC DOMINO ANDRANOTOHOKY</t>
  </si>
  <si>
    <t>ANDRANOHINALY</t>
  </si>
  <si>
    <t>EPP MASIAKAMPY (LOVASOA)</t>
  </si>
  <si>
    <t>MITSINJO BETANIMENA</t>
  </si>
  <si>
    <t>EPP MITSINJO BETANIMENA (AKANISOA)</t>
  </si>
  <si>
    <t>TANANDAVA MIKAMBANA</t>
  </si>
  <si>
    <t>BETSINJAKA</t>
  </si>
  <si>
    <t>EPP ANDRANOMENA (NY FANDROSOANA)</t>
  </si>
  <si>
    <t>ANAKAO</t>
  </si>
  <si>
    <t>EPP MAROMENA (MIVOATSE)</t>
  </si>
  <si>
    <t>BEHOMPY</t>
  </si>
  <si>
    <t>EPP AMBOLOKIRA</t>
  </si>
  <si>
    <t>EPP BEHOMPY MAHASOA</t>
  </si>
  <si>
    <t>Sanfily</t>
  </si>
  <si>
    <t>Fanantenana</t>
  </si>
  <si>
    <t>ANKETA</t>
  </si>
  <si>
    <t>MAHAVATSE</t>
  </si>
  <si>
    <t>MAHAVATSE II</t>
  </si>
  <si>
    <t>EPP SAKABERA</t>
  </si>
  <si>
    <t>EPP TOLIARA CENTRE I</t>
  </si>
  <si>
    <t>EPP TOLIARA CENTRE II</t>
  </si>
  <si>
    <t>TSONGOBORY</t>
  </si>
  <si>
    <t>EPP BETAINDAMBO</t>
  </si>
  <si>
    <t>TONGAY</t>
  </si>
  <si>
    <t>EPP TSAKABALALA</t>
  </si>
  <si>
    <t>EPP TSIMATAHOMIKA</t>
  </si>
  <si>
    <t>EPP BEHELO</t>
  </si>
  <si>
    <t>EPP ANDRANOLAVA</t>
  </si>
  <si>
    <t>EPP ANDRANOMANINTSY</t>
  </si>
  <si>
    <t>BEANTAKE</t>
  </si>
  <si>
    <t>ANJAMBALO</t>
  </si>
  <si>
    <t>ANONTSY</t>
  </si>
  <si>
    <t>EPP BEFAHA</t>
  </si>
  <si>
    <t>Epp Besatra</t>
  </si>
  <si>
    <t>EPP MIHAIKY</t>
  </si>
  <si>
    <t>BETIOKY CENTRE</t>
  </si>
  <si>
    <t>AMPAKABO</t>
  </si>
  <si>
    <t>BETIOKY II</t>
  </si>
  <si>
    <t>Antsakoandahy</t>
  </si>
  <si>
    <t>EPP RANOFOTY</t>
  </si>
  <si>
    <t>BEZAHA II</t>
  </si>
  <si>
    <t>EPP AMPASIMAIKY</t>
  </si>
  <si>
    <t>BEZAHA I</t>
  </si>
  <si>
    <t>EPP AVARADROVA</t>
  </si>
  <si>
    <t>Epp Besakoa</t>
  </si>
  <si>
    <t>Fenoala</t>
  </si>
  <si>
    <t>Epp Mandiso</t>
  </si>
  <si>
    <t>Sakamalio</t>
  </si>
  <si>
    <t>EPP TANANDAVA TOBY</t>
  </si>
  <si>
    <t>FENOANDALA</t>
  </si>
  <si>
    <t>ANKILIMIRAFY</t>
  </si>
  <si>
    <t>EPP BESAHATSY</t>
  </si>
  <si>
    <t>EPP FENOANDALA</t>
  </si>
  <si>
    <t>EPP MAHAZO</t>
  </si>
  <si>
    <t>EPP SOAMANONGA/BEVAHO</t>
  </si>
  <si>
    <t>LAZARIVO</t>
  </si>
  <si>
    <t>SALOBE</t>
  </si>
  <si>
    <t>Magnasoa Fanjairo</t>
  </si>
  <si>
    <t>SOAMANONGA</t>
  </si>
  <si>
    <t>MAROFOTOTSY</t>
  </si>
  <si>
    <t>EPP SOAMANONGA</t>
  </si>
  <si>
    <t>VOHIPOTSY SUD</t>
  </si>
  <si>
    <t>SOASERANA</t>
  </si>
  <si>
    <t>TAMEANTSOA</t>
  </si>
  <si>
    <t>EPP ANDOHASATRA</t>
  </si>
  <si>
    <t>EPP BEMOKY</t>
  </si>
  <si>
    <t>EBORO</t>
  </si>
  <si>
    <t>EPP LEOBONDRO</t>
  </si>
  <si>
    <t>Epp Ranomay</t>
  </si>
  <si>
    <t>Epp Lazarivo</t>
  </si>
  <si>
    <t>EPP BEKOTIKA</t>
  </si>
  <si>
    <t>Epp Androvakely</t>
  </si>
  <si>
    <t>TONGOBORY</t>
  </si>
  <si>
    <t>AMPOEZY</t>
  </si>
  <si>
    <t>EPP FENOANIVO</t>
  </si>
  <si>
    <t>Epp Tongobory</t>
  </si>
  <si>
    <t>EPP Besely Est</t>
  </si>
  <si>
    <t>Epp Miary</t>
  </si>
  <si>
    <t>Epp Beavoha</t>
  </si>
  <si>
    <t>BEAVOHA</t>
  </si>
  <si>
    <t>EPP AGNALAMENA</t>
  </si>
  <si>
    <t>ANKAZOMANGA OUEST</t>
  </si>
  <si>
    <t>EPP ANKANDY</t>
  </si>
  <si>
    <t>VOVOMENA</t>
  </si>
  <si>
    <t>MAROARIVO</t>
  </si>
  <si>
    <t>Epp Analalentika</t>
  </si>
  <si>
    <t>ANDREMBA CENTRE</t>
  </si>
  <si>
    <t>ANDRANOKOTOTO</t>
  </si>
  <si>
    <t>BESELY</t>
  </si>
  <si>
    <t>EPP BESELY</t>
  </si>
  <si>
    <t>EPP SAKOAMARO</t>
  </si>
  <si>
    <t>MAROSAVOA BAS</t>
  </si>
  <si>
    <t>Ambahikily</t>
  </si>
  <si>
    <t>Epp  Andranomanitsy</t>
  </si>
  <si>
    <t>TANANDAVA STATION</t>
  </si>
  <si>
    <t>Epp Tanandava Village</t>
  </si>
  <si>
    <t>EPP ANKILIMAHAVELO</t>
  </si>
  <si>
    <t xml:space="preserve">EPP Mahazoarivo </t>
  </si>
  <si>
    <t>Epp Tanadava Sation</t>
  </si>
  <si>
    <t>EPP TANANDAVA VILLAGE</t>
  </si>
  <si>
    <t>AMBAHIKILY</t>
  </si>
  <si>
    <t>EPP BEHIBAKE</t>
  </si>
  <si>
    <t>ANTANIMIEVA</t>
  </si>
  <si>
    <t>EPP ANTANIMIEVA</t>
  </si>
  <si>
    <t>EPP MANOMBIKA</t>
  </si>
  <si>
    <t>EPP MILOMBOKA</t>
  </si>
  <si>
    <t>Basibasy</t>
  </si>
  <si>
    <t>Epp Basibasy</t>
  </si>
  <si>
    <t>BASIBASY</t>
  </si>
  <si>
    <t>EPP BEMOKA</t>
  </si>
  <si>
    <t>EPP MANDEVIBE</t>
  </si>
  <si>
    <t>BEFANDRIANA SUD</t>
  </si>
  <si>
    <t>EPP SIHANAKA</t>
  </si>
  <si>
    <t>EPP BELITSAKE</t>
  </si>
  <si>
    <t>EPP MAMONO</t>
  </si>
  <si>
    <t>Morombe</t>
  </si>
  <si>
    <t>Epp Mangolovolo</t>
  </si>
  <si>
    <t>ANKATSAKANTSA SUD</t>
  </si>
  <si>
    <t>EPP ANADABO</t>
  </si>
  <si>
    <t>EPP ANDRANOBOKA</t>
  </si>
  <si>
    <t>BEFANDEFA</t>
  </si>
  <si>
    <t>EPP BEFANDEFA</t>
  </si>
  <si>
    <t xml:space="preserve">Befandefa </t>
  </si>
  <si>
    <t>Epp Ambalorao</t>
  </si>
  <si>
    <t>EPP ANKINDRANOKE</t>
  </si>
  <si>
    <t xml:space="preserve"> Epp Ankilimalinike</t>
  </si>
  <si>
    <t>EPP ANKILILOAKE</t>
  </si>
  <si>
    <t>Epp Mampagnarivo</t>
  </si>
  <si>
    <t>ASSOS</t>
  </si>
  <si>
    <t xml:space="preserve"> Ambahatrazo </t>
  </si>
  <si>
    <t xml:space="preserve"> Ampasimanjeva </t>
  </si>
  <si>
    <t xml:space="preserve"> Anosiala </t>
  </si>
  <si>
    <t xml:space="preserve"> Mangatsiotra </t>
  </si>
  <si>
    <t xml:space="preserve"> Manjarivo </t>
  </si>
  <si>
    <t xml:space="preserve"> Mitanty </t>
  </si>
  <si>
    <t xml:space="preserve"> Sakoana </t>
  </si>
  <si>
    <t xml:space="preserve"> Sorombo </t>
  </si>
  <si>
    <t xml:space="preserve"> Vohimasina Nord </t>
  </si>
  <si>
    <t xml:space="preserve"> Tsarahafatra </t>
  </si>
  <si>
    <t xml:space="preserve"> Ampataka </t>
  </si>
  <si>
    <t xml:space="preserve"> Fonilaza </t>
  </si>
  <si>
    <t xml:space="preserve"> Isahara </t>
  </si>
  <si>
    <t xml:space="preserve"> Tsianofana </t>
  </si>
  <si>
    <t xml:space="preserve"> Vohitrambo </t>
  </si>
  <si>
    <t xml:space="preserve"> Antokonala </t>
  </si>
  <si>
    <t xml:space="preserve"> Amborobe </t>
  </si>
  <si>
    <t xml:space="preserve"> Anoloka </t>
  </si>
  <si>
    <t xml:space="preserve"> Lanivo </t>
  </si>
  <si>
    <t xml:space="preserve"> Savana </t>
  </si>
  <si>
    <t xml:space="preserve"> NY TANINTSIKA </t>
  </si>
  <si>
    <t xml:space="preserve"> Belemoke </t>
  </si>
  <si>
    <t xml:space="preserve"> Kalafotsy </t>
  </si>
  <si>
    <t xml:space="preserve"> Ambohitsara Est </t>
  </si>
  <si>
    <t xml:space="preserve"> Ankatafana </t>
  </si>
  <si>
    <t xml:space="preserve"> Mahatsara Iefaka </t>
  </si>
  <si>
    <t xml:space="preserve"> Mahatsara Sud </t>
  </si>
  <si>
    <t xml:space="preserve"> Mahavoky Nord </t>
  </si>
  <si>
    <t xml:space="preserve"> Mahela </t>
  </si>
  <si>
    <t xml:space="preserve"> Marosangy </t>
  </si>
  <si>
    <t xml:space="preserve"> Ambatolava </t>
  </si>
  <si>
    <t xml:space="preserve"> Bekaraoky </t>
  </si>
  <si>
    <t xml:space="preserve"> Vatanato </t>
  </si>
  <si>
    <t xml:space="preserve"> Vohipaho </t>
  </si>
  <si>
    <t> </t>
  </si>
  <si>
    <t xml:space="preserve"> Ny Tanintsika </t>
  </si>
  <si>
    <t xml:space="preserve"> Belemoka </t>
  </si>
  <si>
    <t xml:space="preserve"> TBD </t>
  </si>
  <si>
    <t xml:space="preserve">      -  </t>
  </si>
  <si>
    <t xml:space="preserve">         -  </t>
  </si>
  <si>
    <t xml:space="preserve">          -  </t>
  </si>
  <si>
    <t xml:space="preserve">              -  </t>
  </si>
  <si>
    <t xml:space="preserve">                         -  </t>
  </si>
  <si>
    <t>Manjarivo</t>
  </si>
  <si>
    <t xml:space="preserve"> YPA </t>
  </si>
  <si>
    <t xml:space="preserve"> Ambohitara Est </t>
  </si>
  <si>
    <t xml:space="preserve"> Mahatsara Lefaka </t>
  </si>
  <si>
    <t xml:space="preserve"> ASSOS </t>
  </si>
  <si>
    <t>SAVA</t>
  </si>
  <si>
    <t>CARE</t>
  </si>
  <si>
    <t xml:space="preserve">Bobakindro </t>
  </si>
  <si>
    <t>Analamaho</t>
  </si>
  <si>
    <t>Bemanevika</t>
  </si>
  <si>
    <t xml:space="preserve">Tanambao Daoud </t>
  </si>
  <si>
    <t xml:space="preserve">Nosiarina </t>
  </si>
  <si>
    <t xml:space="preserve">Ampondra </t>
  </si>
  <si>
    <t xml:space="preserve">Andravory </t>
  </si>
  <si>
    <t xml:space="preserve">Tsarabaria </t>
  </si>
  <si>
    <t>Ambodisambalahy</t>
  </si>
  <si>
    <t>Ampisikinana</t>
  </si>
  <si>
    <t>Nosibe</t>
  </si>
  <si>
    <t>Milanoa</t>
  </si>
  <si>
    <t>Ambinanin'Andravory</t>
  </si>
  <si>
    <t>Andrafainkona</t>
  </si>
  <si>
    <t>Belambo</t>
  </si>
  <si>
    <t>Antsirabe Nord</t>
  </si>
  <si>
    <t>Ambalasatrana</t>
  </si>
  <si>
    <t>Amboriala</t>
  </si>
  <si>
    <t>Livraison pour 4 mois d'intervention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</si>
</sst>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_-* #,##0_-;\-* #,##0_-;_-* &quot;-&quot;??_-;_-@_-"/>
    <numFmt numFmtId="169" formatCode="_-* #,##0.00\ _€_-;\-* #,##0.00\ _€_-;_-* &quot;-&quot;??\ _€_-;_-@_-"/>
    <numFmt numFmtId="170" formatCode="0.000"/>
    <numFmt numFmtId="171" formatCode="#,##0.000"/>
    <numFmt numFmtId="172" formatCode="_(* #,##0.000_);_(* \(#,##0.000\);_(* &quot;-&quot;?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badi"/>
      <family val="2"/>
    </font>
    <font>
      <sz val="14"/>
      <color theme="1"/>
      <name val="Abadi"/>
      <family val="2"/>
    </font>
    <font>
      <sz val="14"/>
      <color rgb="FF000000"/>
      <name val="Abadi"/>
      <family val="2"/>
    </font>
    <font>
      <sz val="14"/>
      <name val="Abad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theme="9"/>
      <name val="Calibri"/>
      <family val="2"/>
    </font>
    <font>
      <b/>
      <sz val="10"/>
      <color rgb="FFFFC000"/>
      <name val="Calibri"/>
      <family val="2"/>
    </font>
    <font>
      <sz val="10"/>
      <color rgb="FFFFC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6"/>
      <color rgb="FF000000"/>
      <name val="Tahoma"/>
      <family val="2"/>
    </font>
    <font>
      <sz val="11"/>
      <color rgb="FF000000"/>
      <name val="Calibri"/>
      <family val="2"/>
    </font>
    <font>
      <sz val="11"/>
      <name val="Abadi"/>
      <family val="2"/>
    </font>
    <font>
      <sz val="11"/>
      <color theme="1"/>
      <name val="Abad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166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67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2" xfId="0" applyFont="1" applyBorder="1" applyProtection="1">
      <protection locked="0"/>
    </xf>
    <xf numFmtId="166" fontId="3" fillId="0" borderId="0" xfId="1" applyNumberFormat="1" applyFont="1" applyAlignment="1" applyProtection="1">
      <protection locked="0"/>
    </xf>
    <xf numFmtId="166" fontId="3" fillId="0" borderId="0" xfId="1" applyNumberFormat="1" applyFont="1" applyProtection="1">
      <protection locked="0"/>
    </xf>
    <xf numFmtId="167" fontId="3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2" xfId="0" applyFont="1" applyBorder="1"/>
    <xf numFmtId="168" fontId="3" fillId="0" borderId="0" xfId="2" applyNumberFormat="1" applyFont="1" applyFill="1" applyAlignment="1"/>
    <xf numFmtId="168" fontId="3" fillId="0" borderId="0" xfId="2" applyNumberFormat="1" applyFont="1" applyFill="1" applyAlignment="1" applyProtection="1"/>
    <xf numFmtId="166" fontId="3" fillId="0" borderId="0" xfId="1" applyNumberFormat="1" applyFont="1" applyFill="1" applyAlignment="1"/>
    <xf numFmtId="166" fontId="3" fillId="0" borderId="0" xfId="1" applyNumberFormat="1" applyFont="1" applyAlignment="1" applyProtection="1"/>
    <xf numFmtId="166" fontId="3" fillId="0" borderId="0" xfId="1" applyNumberFormat="1" applyFont="1" applyProtection="1"/>
    <xf numFmtId="166" fontId="3" fillId="0" borderId="0" xfId="1" applyNumberFormat="1" applyFont="1" applyFill="1"/>
    <xf numFmtId="165" fontId="3" fillId="0" borderId="0" xfId="1" applyFont="1" applyProtection="1"/>
    <xf numFmtId="168" fontId="3" fillId="0" borderId="0" xfId="2" applyNumberFormat="1" applyFont="1" applyAlignment="1"/>
    <xf numFmtId="168" fontId="3" fillId="0" borderId="0" xfId="2" applyNumberFormat="1" applyFont="1" applyAlignment="1" applyProtection="1"/>
    <xf numFmtId="166" fontId="3" fillId="0" borderId="0" xfId="1" applyNumberFormat="1" applyFont="1" applyAlignment="1"/>
    <xf numFmtId="168" fontId="5" fillId="0" borderId="0" xfId="2" applyNumberFormat="1" applyFont="1" applyAlignment="1"/>
    <xf numFmtId="168" fontId="5" fillId="0" borderId="0" xfId="2" applyNumberFormat="1" applyFont="1" applyAlignment="1" applyProtection="1"/>
    <xf numFmtId="166" fontId="3" fillId="0" borderId="0" xfId="1" applyNumberFormat="1" applyFont="1"/>
    <xf numFmtId="168" fontId="5" fillId="0" borderId="0" xfId="2" applyNumberFormat="1" applyFont="1" applyFill="1" applyAlignment="1"/>
    <xf numFmtId="168" fontId="5" fillId="0" borderId="0" xfId="2" applyNumberFormat="1" applyFont="1" applyFill="1" applyAlignment="1" applyProtection="1"/>
    <xf numFmtId="166" fontId="3" fillId="0" borderId="0" xfId="1" applyNumberFormat="1" applyFont="1" applyFill="1" applyAlignment="1" applyProtection="1"/>
    <xf numFmtId="166" fontId="3" fillId="0" borderId="0" xfId="1" applyNumberFormat="1" applyFont="1" applyFill="1" applyProtection="1"/>
    <xf numFmtId="167" fontId="3" fillId="0" borderId="0" xfId="1" applyNumberFormat="1" applyFont="1" applyFill="1"/>
    <xf numFmtId="165" fontId="3" fillId="0" borderId="0" xfId="1" applyFont="1" applyFill="1" applyProtection="1"/>
    <xf numFmtId="168" fontId="5" fillId="0" borderId="0" xfId="2" applyNumberFormat="1" applyFont="1" applyFill="1" applyBorder="1" applyAlignment="1"/>
    <xf numFmtId="168" fontId="5" fillId="0" borderId="0" xfId="2" applyNumberFormat="1" applyFont="1" applyFill="1" applyBorder="1" applyAlignment="1" applyProtection="1"/>
    <xf numFmtId="167" fontId="3" fillId="5" borderId="0" xfId="1" applyNumberFormat="1" applyFont="1" applyFill="1"/>
    <xf numFmtId="0" fontId="6" fillId="0" borderId="0" xfId="0" applyFont="1" applyProtection="1">
      <protection locked="0"/>
    </xf>
    <xf numFmtId="166" fontId="3" fillId="0" borderId="0" xfId="3" applyNumberFormat="1" applyFont="1" applyAlignment="1" applyProtection="1">
      <protection locked="0"/>
    </xf>
    <xf numFmtId="166" fontId="3" fillId="0" borderId="0" xfId="1" applyNumberFormat="1" applyFont="1" applyFill="1" applyAlignment="1" applyProtection="1">
      <protection locked="0"/>
    </xf>
    <xf numFmtId="0" fontId="0" fillId="0" borderId="0" xfId="0" pivotButton="1"/>
    <xf numFmtId="170" fontId="0" fillId="0" borderId="0" xfId="0" applyNumberFormat="1"/>
    <xf numFmtId="170" fontId="0" fillId="0" borderId="0" xfId="0" pivotButton="1" applyNumberFormat="1"/>
    <xf numFmtId="0" fontId="6" fillId="0" borderId="0" xfId="0" applyFont="1"/>
    <xf numFmtId="167" fontId="0" fillId="0" borderId="0" xfId="0" applyNumberFormat="1"/>
    <xf numFmtId="0" fontId="8" fillId="0" borderId="0" xfId="0" applyFont="1" applyProtection="1">
      <protection locked="0"/>
    </xf>
    <xf numFmtId="166" fontId="0" fillId="0" borderId="0" xfId="0" applyNumberFormat="1"/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7" fillId="0" borderId="8" xfId="0" applyFont="1" applyBorder="1"/>
    <xf numFmtId="0" fontId="7" fillId="0" borderId="9" xfId="0" applyFont="1" applyBorder="1" applyAlignment="1">
      <alignment wrapText="1"/>
    </xf>
    <xf numFmtId="0" fontId="7" fillId="0" borderId="10" xfId="0" applyFont="1" applyBorder="1"/>
    <xf numFmtId="0" fontId="7" fillId="7" borderId="5" xfId="0" applyFont="1" applyFill="1" applyBorder="1" applyAlignment="1">
      <alignment wrapText="1"/>
    </xf>
    <xf numFmtId="0" fontId="7" fillId="6" borderId="1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wrapText="1"/>
    </xf>
    <xf numFmtId="0" fontId="7" fillId="8" borderId="12" xfId="0" applyFont="1" applyFill="1" applyBorder="1" applyAlignment="1">
      <alignment wrapText="1"/>
    </xf>
    <xf numFmtId="0" fontId="7" fillId="9" borderId="13" xfId="0" applyFont="1" applyFill="1" applyBorder="1" applyAlignment="1">
      <alignment wrapText="1"/>
    </xf>
    <xf numFmtId="0" fontId="7" fillId="0" borderId="3" xfId="0" applyFont="1" applyBorder="1" applyAlignment="1">
      <alignment vertical="top"/>
    </xf>
    <xf numFmtId="0" fontId="0" fillId="0" borderId="16" xfId="0" applyBorder="1"/>
    <xf numFmtId="0" fontId="0" fillId="7" borderId="17" xfId="0" applyFill="1" applyBorder="1"/>
    <xf numFmtId="0" fontId="0" fillId="6" borderId="18" xfId="0" applyFill="1" applyBorder="1"/>
    <xf numFmtId="0" fontId="0" fillId="6" borderId="16" xfId="0" applyFill="1" applyBorder="1"/>
    <xf numFmtId="0" fontId="0" fillId="8" borderId="19" xfId="0" applyFill="1" applyBorder="1"/>
    <xf numFmtId="0" fontId="0" fillId="0" borderId="20" xfId="0" applyBorder="1"/>
    <xf numFmtId="0" fontId="0" fillId="0" borderId="3" xfId="0" applyBorder="1" applyAlignment="1">
      <alignment vertical="top" wrapText="1"/>
    </xf>
    <xf numFmtId="0" fontId="9" fillId="0" borderId="1" xfId="0" applyFont="1" applyBorder="1" applyAlignment="1">
      <alignment vertical="center"/>
    </xf>
    <xf numFmtId="0" fontId="0" fillId="7" borderId="22" xfId="0" applyFill="1" applyBorder="1"/>
    <xf numFmtId="0" fontId="0" fillId="6" borderId="11" xfId="0" applyFill="1" applyBorder="1"/>
    <xf numFmtId="0" fontId="0" fillId="6" borderId="1" xfId="0" applyFill="1" applyBorder="1"/>
    <xf numFmtId="0" fontId="0" fillId="10" borderId="1" xfId="0" applyFill="1" applyBorder="1"/>
    <xf numFmtId="0" fontId="0" fillId="0" borderId="13" xfId="0" applyBorder="1"/>
    <xf numFmtId="0" fontId="0" fillId="0" borderId="13" xfId="0" applyBorder="1" applyAlignment="1">
      <alignment vertical="top"/>
    </xf>
    <xf numFmtId="0" fontId="10" fillId="0" borderId="1" xfId="0" applyFont="1" applyBorder="1" applyAlignment="1">
      <alignment vertical="center"/>
    </xf>
    <xf numFmtId="0" fontId="10" fillId="7" borderId="22" xfId="0" applyFont="1" applyFill="1" applyBorder="1" applyAlignment="1">
      <alignment vertical="center"/>
    </xf>
    <xf numFmtId="0" fontId="0" fillId="0" borderId="3" xfId="0" applyBorder="1" applyAlignment="1">
      <alignment vertical="top"/>
    </xf>
    <xf numFmtId="0" fontId="7" fillId="7" borderId="24" xfId="0" applyFont="1" applyFill="1" applyBorder="1"/>
    <xf numFmtId="0" fontId="0" fillId="6" borderId="25" xfId="0" applyFill="1" applyBorder="1"/>
    <xf numFmtId="0" fontId="0" fillId="6" borderId="26" xfId="0" applyFill="1" applyBorder="1"/>
    <xf numFmtId="0" fontId="7" fillId="8" borderId="27" xfId="0" applyFont="1" applyFill="1" applyBorder="1"/>
    <xf numFmtId="0" fontId="0" fillId="0" borderId="28" xfId="0" applyBorder="1" applyAlignment="1">
      <alignment vertical="top"/>
    </xf>
    <xf numFmtId="0" fontId="0" fillId="0" borderId="31" xfId="0" applyBorder="1"/>
    <xf numFmtId="0" fontId="0" fillId="0" borderId="32" xfId="0" applyBorder="1"/>
    <xf numFmtId="0" fontId="0" fillId="7" borderId="4" xfId="0" applyFill="1" applyBorder="1"/>
    <xf numFmtId="0" fontId="0" fillId="6" borderId="31" xfId="0" applyFill="1" applyBorder="1"/>
    <xf numFmtId="0" fontId="0" fillId="6" borderId="32" xfId="0" applyFill="1" applyBorder="1"/>
    <xf numFmtId="0" fontId="0" fillId="8" borderId="33" xfId="0" applyFill="1" applyBorder="1"/>
    <xf numFmtId="0" fontId="0" fillId="0" borderId="34" xfId="0" applyBorder="1"/>
    <xf numFmtId="0" fontId="0" fillId="0" borderId="6" xfId="0" applyBorder="1" applyAlignment="1">
      <alignment vertical="top"/>
    </xf>
    <xf numFmtId="0" fontId="9" fillId="0" borderId="11" xfId="0" applyFont="1" applyBorder="1" applyAlignment="1">
      <alignment vertical="center"/>
    </xf>
    <xf numFmtId="0" fontId="0" fillId="0" borderId="36" xfId="0" applyBorder="1" applyAlignment="1">
      <alignment vertical="top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9" fillId="7" borderId="39" xfId="0" applyFont="1" applyFill="1" applyBorder="1" applyAlignment="1">
      <alignment vertical="center"/>
    </xf>
    <xf numFmtId="0" fontId="0" fillId="6" borderId="40" xfId="0" applyFill="1" applyBorder="1"/>
    <xf numFmtId="0" fontId="0" fillId="6" borderId="41" xfId="0" applyFill="1" applyBorder="1"/>
    <xf numFmtId="0" fontId="7" fillId="8" borderId="42" xfId="0" applyFont="1" applyFill="1" applyBorder="1"/>
    <xf numFmtId="0" fontId="0" fillId="0" borderId="43" xfId="0" applyBorder="1"/>
    <xf numFmtId="0" fontId="0" fillId="0" borderId="44" xfId="0" applyBorder="1" applyAlignment="1">
      <alignment vertical="top"/>
    </xf>
    <xf numFmtId="0" fontId="11" fillId="0" borderId="16" xfId="0" applyFont="1" applyBorder="1" applyAlignment="1">
      <alignment vertical="center"/>
    </xf>
    <xf numFmtId="0" fontId="12" fillId="7" borderId="17" xfId="0" applyFont="1" applyFill="1" applyBorder="1" applyAlignment="1">
      <alignment horizontal="right" vertical="center"/>
    </xf>
    <xf numFmtId="4" fontId="0" fillId="0" borderId="20" xfId="0" applyNumberFormat="1" applyBorder="1"/>
    <xf numFmtId="0" fontId="0" fillId="0" borderId="45" xfId="0" applyBorder="1" applyAlignment="1">
      <alignment wrapText="1"/>
    </xf>
    <xf numFmtId="0" fontId="0" fillId="0" borderId="1" xfId="0" applyBorder="1"/>
    <xf numFmtId="0" fontId="13" fillId="0" borderId="1" xfId="0" applyFont="1" applyBorder="1"/>
    <xf numFmtId="4" fontId="14" fillId="7" borderId="22" xfId="0" applyNumberFormat="1" applyFont="1" applyFill="1" applyBorder="1"/>
    <xf numFmtId="0" fontId="0" fillId="8" borderId="12" xfId="0" applyFill="1" applyBorder="1"/>
    <xf numFmtId="4" fontId="0" fillId="0" borderId="13" xfId="0" applyNumberFormat="1" applyBorder="1"/>
    <xf numFmtId="171" fontId="0" fillId="6" borderId="1" xfId="0" applyNumberFormat="1" applyFill="1" applyBorder="1"/>
    <xf numFmtId="4" fontId="0" fillId="6" borderId="1" xfId="0" applyNumberFormat="1" applyFill="1" applyBorder="1"/>
    <xf numFmtId="4" fontId="13" fillId="7" borderId="37" xfId="0" applyNumberFormat="1" applyFont="1" applyFill="1" applyBorder="1"/>
    <xf numFmtId="0" fontId="0" fillId="6" borderId="46" xfId="0" applyFill="1" applyBorder="1"/>
    <xf numFmtId="0" fontId="0" fillId="6" borderId="47" xfId="0" applyFill="1" applyBorder="1"/>
    <xf numFmtId="4" fontId="7" fillId="0" borderId="43" xfId="0" applyNumberFormat="1" applyFont="1" applyBorder="1"/>
    <xf numFmtId="0" fontId="15" fillId="0" borderId="49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15" fillId="7" borderId="17" xfId="0" applyFont="1" applyFill="1" applyBorder="1" applyAlignment="1">
      <alignment horizontal="right" vertical="center"/>
    </xf>
    <xf numFmtId="2" fontId="0" fillId="6" borderId="18" xfId="0" applyNumberFormat="1" applyFill="1" applyBorder="1"/>
    <xf numFmtId="2" fontId="0" fillId="6" borderId="16" xfId="0" applyNumberFormat="1" applyFill="1" applyBorder="1"/>
    <xf numFmtId="2" fontId="0" fillId="8" borderId="19" xfId="0" applyNumberFormat="1" applyFill="1" applyBorder="1"/>
    <xf numFmtId="2" fontId="0" fillId="0" borderId="20" xfId="0" applyNumberFormat="1" applyBorder="1"/>
    <xf numFmtId="0" fontId="0" fillId="0" borderId="45" xfId="0" applyBorder="1" applyAlignment="1">
      <alignment vertical="top"/>
    </xf>
    <xf numFmtId="0" fontId="15" fillId="0" borderId="50" xfId="0" applyFont="1" applyBorder="1" applyAlignment="1">
      <alignment vertical="center" wrapText="1"/>
    </xf>
    <xf numFmtId="0" fontId="15" fillId="7" borderId="22" xfId="0" applyFont="1" applyFill="1" applyBorder="1" applyAlignment="1">
      <alignment horizontal="right" vertical="center"/>
    </xf>
    <xf numFmtId="2" fontId="0" fillId="6" borderId="11" xfId="0" applyNumberFormat="1" applyFill="1" applyBorder="1"/>
    <xf numFmtId="0" fontId="15" fillId="0" borderId="51" xfId="0" applyFont="1" applyBorder="1" applyAlignment="1">
      <alignment vertical="center" wrapText="1"/>
    </xf>
    <xf numFmtId="0" fontId="9" fillId="0" borderId="50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15" fillId="7" borderId="24" xfId="0" applyFont="1" applyFill="1" applyBorder="1" applyAlignment="1">
      <alignment horizontal="right" vertical="center"/>
    </xf>
    <xf numFmtId="0" fontId="9" fillId="7" borderId="24" xfId="0" applyFont="1" applyFill="1" applyBorder="1" applyAlignment="1">
      <alignment horizontal="right" vertical="center"/>
    </xf>
    <xf numFmtId="2" fontId="7" fillId="8" borderId="27" xfId="0" applyNumberFormat="1" applyFont="1" applyFill="1" applyBorder="1"/>
    <xf numFmtId="0" fontId="0" fillId="0" borderId="52" xfId="0" applyBorder="1"/>
    <xf numFmtId="0" fontId="0" fillId="0" borderId="8" xfId="0" applyBorder="1"/>
    <xf numFmtId="0" fontId="15" fillId="0" borderId="53" xfId="0" applyFont="1" applyBorder="1" applyAlignment="1">
      <alignment vertical="center" wrapText="1"/>
    </xf>
    <xf numFmtId="0" fontId="0" fillId="0" borderId="10" xfId="0" applyBorder="1"/>
    <xf numFmtId="0" fontId="9" fillId="0" borderId="10" xfId="0" applyFont="1" applyBorder="1" applyAlignment="1">
      <alignment vertical="center"/>
    </xf>
    <xf numFmtId="0" fontId="15" fillId="0" borderId="54" xfId="0" applyFont="1" applyBorder="1" applyAlignment="1">
      <alignment horizontal="right" vertical="center"/>
    </xf>
    <xf numFmtId="0" fontId="0" fillId="6" borderId="8" xfId="0" applyFill="1" applyBorder="1"/>
    <xf numFmtId="0" fontId="0" fillId="6" borderId="10" xfId="0" applyFill="1" applyBorder="1"/>
    <xf numFmtId="0" fontId="0" fillId="0" borderId="9" xfId="0" applyBorder="1"/>
    <xf numFmtId="0" fontId="0" fillId="0" borderId="55" xfId="0" applyBorder="1"/>
    <xf numFmtId="0" fontId="0" fillId="0" borderId="56" xfId="0" applyBorder="1" applyAlignment="1">
      <alignment vertical="top"/>
    </xf>
    <xf numFmtId="170" fontId="2" fillId="2" borderId="1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1" fontId="3" fillId="0" borderId="0" xfId="1" applyNumberFormat="1" applyFont="1"/>
    <xf numFmtId="0" fontId="3" fillId="4" borderId="0" xfId="0" applyFont="1" applyFill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170" fontId="2" fillId="0" borderId="0" xfId="1" applyNumberFormat="1" applyFont="1" applyFill="1" applyBorder="1" applyAlignment="1">
      <alignment horizontal="center" vertical="center" wrapText="1"/>
    </xf>
    <xf numFmtId="167" fontId="2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3" fillId="0" borderId="0" xfId="1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66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172" fontId="0" fillId="0" borderId="0" xfId="0" applyNumberFormat="1"/>
    <xf numFmtId="0" fontId="19" fillId="0" borderId="0" xfId="0" applyFont="1"/>
    <xf numFmtId="167" fontId="3" fillId="0" borderId="0" xfId="1" applyNumberFormat="1" applyFont="1" applyFill="1" applyBorder="1" applyAlignment="1">
      <alignment horizontal="center" vertical="center" wrapText="1"/>
    </xf>
    <xf numFmtId="0" fontId="20" fillId="11" borderId="57" xfId="0" applyFont="1" applyFill="1" applyBorder="1"/>
    <xf numFmtId="0" fontId="20" fillId="11" borderId="58" xfId="0" applyFont="1" applyFill="1" applyBorder="1"/>
    <xf numFmtId="0" fontId="20" fillId="12" borderId="59" xfId="0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1" applyNumberFormat="1" applyFont="1" applyFill="1"/>
    <xf numFmtId="164" fontId="0" fillId="0" borderId="0" xfId="4" applyFont="1" applyFill="1"/>
    <xf numFmtId="1" fontId="0" fillId="0" borderId="0" xfId="0" applyNumberFormat="1"/>
    <xf numFmtId="0" fontId="0" fillId="14" borderId="0" xfId="0" applyFill="1"/>
    <xf numFmtId="166" fontId="0" fillId="14" borderId="0" xfId="1" applyNumberFormat="1" applyFont="1" applyFill="1"/>
    <xf numFmtId="3" fontId="4" fillId="0" borderId="0" xfId="0" applyNumberFormat="1" applyFont="1"/>
    <xf numFmtId="3" fontId="4" fillId="13" borderId="0" xfId="0" applyNumberFormat="1" applyFont="1" applyFill="1"/>
    <xf numFmtId="0" fontId="4" fillId="13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166" fontId="3" fillId="0" borderId="0" xfId="1" applyNumberFormat="1" applyFont="1" applyAlignment="1" applyProtection="1">
      <alignment horizontal="center"/>
      <protection locked="0"/>
    </xf>
    <xf numFmtId="165" fontId="0" fillId="0" borderId="0" xfId="1" applyFont="1"/>
    <xf numFmtId="3" fontId="21" fillId="15" borderId="1" xfId="0" applyNumberFormat="1" applyFont="1" applyFill="1" applyBorder="1" applyAlignment="1">
      <alignment horizontal="center" vertical="center"/>
    </xf>
    <xf numFmtId="3" fontId="21" fillId="16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3" fontId="21" fillId="5" borderId="1" xfId="0" applyNumberFormat="1" applyFont="1" applyFill="1" applyBorder="1" applyAlignment="1">
      <alignment horizontal="center" vertical="center"/>
    </xf>
    <xf numFmtId="168" fontId="5" fillId="2" borderId="0" xfId="2" applyNumberFormat="1" applyFont="1" applyFill="1" applyAlignment="1" applyProtection="1"/>
    <xf numFmtId="168" fontId="5" fillId="2" borderId="0" xfId="2" applyNumberFormat="1" applyFont="1" applyFill="1" applyBorder="1" applyAlignment="1" applyProtection="1"/>
    <xf numFmtId="1" fontId="22" fillId="1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3" fontId="22" fillId="14" borderId="1" xfId="0" applyNumberFormat="1" applyFont="1" applyFill="1" applyBorder="1" applyAlignment="1">
      <alignment horizontal="center" vertical="center"/>
    </xf>
    <xf numFmtId="0" fontId="0" fillId="5" borderId="0" xfId="0" applyFill="1"/>
    <xf numFmtId="167" fontId="0" fillId="0" borderId="0" xfId="1" applyNumberFormat="1" applyFont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4" fillId="6" borderId="2" xfId="0" applyFont="1" applyFill="1" applyBorder="1"/>
    <xf numFmtId="168" fontId="3" fillId="6" borderId="0" xfId="2" applyNumberFormat="1" applyFont="1" applyFill="1" applyAlignment="1"/>
    <xf numFmtId="168" fontId="3" fillId="6" borderId="0" xfId="2" applyNumberFormat="1" applyFont="1" applyFill="1" applyAlignment="1" applyProtection="1"/>
    <xf numFmtId="166" fontId="3" fillId="6" borderId="0" xfId="1" applyNumberFormat="1" applyFont="1" applyFill="1" applyAlignment="1"/>
    <xf numFmtId="0" fontId="22" fillId="6" borderId="1" xfId="0" applyFont="1" applyFill="1" applyBorder="1" applyAlignment="1">
      <alignment horizontal="center" vertical="center"/>
    </xf>
    <xf numFmtId="166" fontId="3" fillId="6" borderId="0" xfId="1" applyNumberFormat="1" applyFont="1" applyFill="1" applyProtection="1"/>
    <xf numFmtId="167" fontId="3" fillId="6" borderId="0" xfId="1" applyNumberFormat="1" applyFont="1" applyFill="1"/>
    <xf numFmtId="166" fontId="3" fillId="6" borderId="0" xfId="1" applyNumberFormat="1" applyFont="1" applyFill="1"/>
    <xf numFmtId="165" fontId="3" fillId="6" borderId="0" xfId="1" applyFont="1" applyFill="1" applyProtection="1"/>
    <xf numFmtId="3" fontId="22" fillId="6" borderId="1" xfId="0" applyNumberFormat="1" applyFont="1" applyFill="1" applyBorder="1" applyAlignment="1">
      <alignment horizontal="center" vertical="center"/>
    </xf>
    <xf numFmtId="168" fontId="5" fillId="6" borderId="0" xfId="2" applyNumberFormat="1" applyFont="1" applyFill="1" applyAlignment="1"/>
    <xf numFmtId="168" fontId="5" fillId="6" borderId="0" xfId="2" applyNumberFormat="1" applyFont="1" applyFill="1" applyAlignment="1" applyProtection="1"/>
    <xf numFmtId="3" fontId="21" fillId="6" borderId="1" xfId="0" applyNumberFormat="1" applyFont="1" applyFill="1" applyBorder="1" applyAlignment="1">
      <alignment horizontal="center" vertical="center"/>
    </xf>
    <xf numFmtId="167" fontId="3" fillId="6" borderId="0" xfId="1" applyNumberFormat="1" applyFont="1" applyFill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66" fontId="3" fillId="0" borderId="0" xfId="1" applyNumberFormat="1" applyFont="1" applyFill="1" applyProtection="1">
      <protection locked="0"/>
    </xf>
    <xf numFmtId="1" fontId="4" fillId="0" borderId="0" xfId="0" applyNumberFormat="1" applyFont="1"/>
    <xf numFmtId="166" fontId="0" fillId="0" borderId="0" xfId="0" pivotButton="1" applyNumberFormat="1"/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/>
    </xf>
    <xf numFmtId="0" fontId="0" fillId="0" borderId="48" xfId="0" applyBorder="1" applyAlignment="1">
      <alignment horizontal="center" vertical="center"/>
    </xf>
  </cellXfs>
  <cellStyles count="5">
    <cellStyle name="Comma" xfId="1" builtinId="3"/>
    <cellStyle name="Comma 2" xfId="2" xr:uid="{D4280BF5-1805-4F6F-9A4A-8AC829E785A2}"/>
    <cellStyle name="Comma 3" xfId="3" xr:uid="{1EBD319C-A6C2-41AA-A01B-E6E7D7CAD31E}"/>
    <cellStyle name="Currency" xfId="4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* #,##0.000_);_(* \(#,##0.0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7" formatCode="_(* #,##0.000_);_(* \(#,##0.000\);_(* &quot;-&quot;??_);_(@_)"/>
    </dxf>
    <dxf>
      <numFmt numFmtId="167" formatCode="_(* #,##0.000_);_(* \(#,##0.0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7" formatCode="_(* #,##0.000_);_(* \(#,##0.00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7" formatCode="_(* #,##0.000_);_(* \(#,##0.000\);_(* &quot;-&quot;??_);_(@_)"/>
    </dxf>
    <dxf>
      <numFmt numFmtId="166" formatCode="_(* #,##0_);_(* \(#,##0\);_(* &quot;-&quot;??_);_(@_)"/>
    </dxf>
    <dxf>
      <numFmt numFmtId="167" formatCode="_(* #,##0.000_);_(* \(#,##0.000\);_(* &quot;-&quot;??_);_(@_)"/>
    </dxf>
    <dxf>
      <numFmt numFmtId="170" formatCode="0.000"/>
    </dxf>
    <dxf>
      <numFmt numFmtId="170" formatCode="0.000"/>
    </dxf>
    <dxf>
      <numFmt numFmtId="170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NutritionAntananarivo/Shared%20Documents/General/PDD/2024/Octobre/10.Plan%20de%20distribution%20Octobre%202024_25.09.2024.xlsx" TargetMode="External"/><Relationship Id="rId2" Type="http://schemas.openxmlformats.org/officeDocument/2006/relationships/externalLinkPath" Target="https://wfp.sharepoint.com/sites/NutritionAntananarivo/Shared%20Documents/General/PDD/2024/Octobre/10.Plan%20de%20distribution%20Octobre%202024_25.09.2024.xlsx" TargetMode="External"/><Relationship Id="rId1" Type="http://schemas.openxmlformats.org/officeDocument/2006/relationships/externalLinkPath" Target="/sites/NutritionAntananarivo/Shared%20Documents/General/PDD/2024/Octobre/10.Plan%20de%20distribution%20Octobre%202024_25.09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9avkk3IPUe5-rSuk-34RKTUQ1nOSfJEhtpqGaz91Vu1XWCiRCaYTY4PkvAaF_O6" itemId="01MKF7UAETTAZFBFSXSVDK7V5NO3ZYISWB">
      <xxl21:absoluteUrl r:id="rId2"/>
      <xxl21:relativeUrl r:id="rId3"/>
    </xxl21:alternateUrls>
    <sheetNames>
      <sheetName val="Sources"/>
      <sheetName val="recap_new"/>
      <sheetName val="Recap par activité et BT"/>
      <sheetName val="Octobre"/>
      <sheetName val="recap_old"/>
      <sheetName val="Analyse SC"/>
      <sheetName val="Sheet1"/>
      <sheetName val="info"/>
      <sheetName val="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ACCADEMIS</v>
          </cell>
          <cell r="F3" t="str">
            <v>IK</v>
          </cell>
        </row>
        <row r="4">
          <cell r="B4" t="str">
            <v>ACF</v>
          </cell>
          <cell r="F4" t="str">
            <v>Cash</v>
          </cell>
        </row>
        <row r="5">
          <cell r="B5" t="str">
            <v>ADRA</v>
          </cell>
          <cell r="F5" t="str">
            <v>Voucher</v>
          </cell>
        </row>
        <row r="6">
          <cell r="B6" t="str">
            <v>ANKOSI</v>
          </cell>
          <cell r="F6" t="str">
            <v>Hybrid-Sch</v>
          </cell>
        </row>
        <row r="7">
          <cell r="B7" t="str">
            <v>ASS ANKOSI</v>
          </cell>
        </row>
        <row r="8">
          <cell r="B8" t="str">
            <v>CARITAS</v>
          </cell>
        </row>
        <row r="9">
          <cell r="B9" t="str">
            <v>CDD</v>
          </cell>
        </row>
        <row r="10">
          <cell r="B10" t="str">
            <v>Circonscription scolaire</v>
          </cell>
          <cell r="E10" t="str">
            <v>Janvier</v>
          </cell>
          <cell r="F10">
            <v>2022</v>
          </cell>
        </row>
        <row r="11">
          <cell r="B11" t="str">
            <v>CRS</v>
          </cell>
          <cell r="E11" t="str">
            <v>Février</v>
          </cell>
          <cell r="F11">
            <v>2023</v>
          </cell>
        </row>
        <row r="12">
          <cell r="B12" t="str">
            <v>DFM</v>
          </cell>
          <cell r="E12" t="str">
            <v>Mars</v>
          </cell>
          <cell r="F12">
            <v>2024</v>
          </cell>
        </row>
        <row r="13">
          <cell r="B13" t="str">
            <v>FIHAMY</v>
          </cell>
          <cell r="E13" t="str">
            <v>Avril</v>
          </cell>
        </row>
        <row r="14">
          <cell r="B14" t="str">
            <v>FITAHIA</v>
          </cell>
          <cell r="E14" t="str">
            <v>Mai</v>
          </cell>
        </row>
        <row r="15">
          <cell r="B15" t="str">
            <v>MMDS</v>
          </cell>
          <cell r="E15" t="str">
            <v>Juin</v>
          </cell>
        </row>
        <row r="16">
          <cell r="B16" t="str">
            <v>NY TANINTSIKA</v>
          </cell>
          <cell r="E16" t="str">
            <v>Juillet</v>
          </cell>
        </row>
        <row r="17">
          <cell r="B17" t="str">
            <v>ONG FIHAMY</v>
          </cell>
          <cell r="E17" t="str">
            <v>Août</v>
          </cell>
        </row>
        <row r="18">
          <cell r="B18" t="str">
            <v>ORN AA</v>
          </cell>
          <cell r="E18" t="str">
            <v>September</v>
          </cell>
        </row>
        <row r="19">
          <cell r="B19" t="str">
            <v>ORN ANDROY</v>
          </cell>
          <cell r="E19" t="str">
            <v>Octobre</v>
          </cell>
        </row>
        <row r="20">
          <cell r="B20" t="str">
            <v>ORN ANOSY</v>
          </cell>
          <cell r="E20" t="str">
            <v>Novembre</v>
          </cell>
        </row>
        <row r="21">
          <cell r="B21" t="str">
            <v>SAF FJKM</v>
          </cell>
          <cell r="E21" t="str">
            <v>Décembre</v>
          </cell>
        </row>
        <row r="22">
          <cell r="B22" t="str">
            <v>SALFA EJEDA</v>
          </cell>
        </row>
        <row r="23">
          <cell r="B23" t="str">
            <v>SALFA TOLIARA</v>
          </cell>
        </row>
        <row r="24">
          <cell r="B24" t="str">
            <v>SPC</v>
          </cell>
        </row>
        <row r="25">
          <cell r="B25" t="str">
            <v>TBD</v>
          </cell>
        </row>
        <row r="26">
          <cell r="B26" t="str">
            <v>TEF</v>
          </cell>
        </row>
        <row r="27">
          <cell r="B27" t="str">
            <v>Tohana</v>
          </cell>
        </row>
        <row r="28">
          <cell r="B28" t="str">
            <v>TODISOA</v>
          </cell>
        </row>
        <row r="29">
          <cell r="B29" t="str">
            <v>WFP DIRECT</v>
          </cell>
        </row>
        <row r="30">
          <cell r="B30" t="str">
            <v>YPA</v>
          </cell>
        </row>
        <row r="31">
          <cell r="B31" t="str">
            <v>GRADE</v>
          </cell>
        </row>
      </sheetData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NutritionAntananarivo/Shared%20Documents/General/PDD/2024/Novembre/PDD_Global_Novembr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NOFELANA Andrianiry" refreshedDate="45576.447188541664" createdVersion="8" refreshedVersion="8" minRefreshableVersion="3" recordCount="1433" xr:uid="{B1E862B5-661A-4295-9ACB-DFE2C519BB29}">
  <cacheSource type="worksheet">
    <worksheetSource ref="A1:AK1048576" sheet="Detail" r:id="rId2"/>
  </cacheSource>
  <cacheFields count="37">
    <cacheField name="Mois" numFmtId="0">
      <sharedItems containsBlank="1" count="6">
        <s v="Octobre"/>
        <s v="Novembre"/>
        <s v="Décembre"/>
        <s v="Janvier"/>
        <m/>
        <s v="Decembre" u="1"/>
      </sharedItems>
    </cacheField>
    <cacheField name="Annee" numFmtId="0">
      <sharedItems containsString="0" containsBlank="1" containsNumber="1" containsInteger="1" minValue="2024" maxValue="2025"/>
    </cacheField>
    <cacheField name="WBS" numFmtId="0">
      <sharedItems containsBlank="1" count="3">
        <s v="URT1"/>
        <s v="NPA1"/>
        <m/>
      </sharedItems>
    </cacheField>
    <cacheField name="Act" numFmtId="0">
      <sharedItems containsBlank="1"/>
    </cacheField>
    <cacheField name="Activite ref Pipeline " numFmtId="0">
      <sharedItems containsBlank="1" count="6">
        <s v="GD drought "/>
        <s v="MAM PrevMa (PBW)"/>
        <s v="Stunting Prevention  (PLW)"/>
        <s v="Stunting Prevention Child"/>
        <s v="PEC FEFA"/>
        <m/>
      </sharedItems>
    </cacheField>
    <cacheField name="Activité tag-1 (COMET)" numFmtId="0">
      <sharedItems containsBlank="1"/>
    </cacheField>
    <cacheField name="Priorisation RAM" numFmtId="0">
      <sharedItems containsString="0" containsBlank="1" containsNumber="1" containsInteger="1" minValue="1" maxValue="2"/>
    </cacheField>
    <cacheField name="Priorisation _ livraison" numFmtId="0">
      <sharedItems containsNonDate="0" containsString="0" containsBlank="1"/>
    </cacheField>
    <cacheField name="Antenne" numFmtId="0">
      <sharedItems containsBlank="1"/>
    </cacheField>
    <cacheField name="Sous Bureau" numFmtId="0">
      <sharedItems containsBlank="1" count="12">
        <s v="Ambovombe"/>
        <s v="Ampanihy"/>
        <s v="Tuléar"/>
        <s v="Manakara"/>
        <s v="Amboasary"/>
        <m/>
        <s v="Taolagnaro" u="1"/>
        <s v="Androy" u="1"/>
        <s v="Atsimo Andrefana" u="1"/>
        <s v="Anosy" u="1"/>
        <s v="Atsimo Antsinana" u="1"/>
        <s v="Vatovavy" u="1"/>
      </sharedItems>
    </cacheField>
    <cacheField name="Corridor" numFmtId="0">
      <sharedItems containsBlank="1"/>
    </cacheField>
    <cacheField name="Region" numFmtId="0">
      <sharedItems containsBlank="1"/>
    </cacheField>
    <cacheField name="District" numFmtId="0">
      <sharedItems containsBlank="1"/>
    </cacheField>
    <cacheField name="Partenaires" numFmtId="0">
      <sharedItems containsBlank="1"/>
    </cacheField>
    <cacheField name="COMMUNE" numFmtId="0">
      <sharedItems containsBlank="1"/>
    </cacheField>
    <cacheField name="PDFs " numFmtId="0">
      <sharedItems containsBlank="1"/>
    </cacheField>
    <cacheField name="Male" numFmtId="0">
      <sharedItems containsString="0" containsBlank="1" containsNumber="1" containsInteger="1" minValue="0" maxValue="1111"/>
    </cacheField>
    <cacheField name="Female " numFmtId="0">
      <sharedItems containsString="0" containsBlank="1" containsNumber="1" minValue="0" maxValue="2595"/>
    </cacheField>
    <cacheField name="Total bénéficiaires" numFmtId="0">
      <sharedItems containsString="0" containsBlank="1" containsNumber="1" minValue="0" maxValue="35000"/>
    </cacheField>
    <cacheField name="Menages " numFmtId="0">
      <sharedItems containsString="0" containsBlank="1" containsNumber="1" minValue="50" maxValue="7000"/>
    </cacheField>
    <cacheField name="Modalites " numFmtId="0">
      <sharedItems containsBlank="1"/>
    </cacheField>
    <cacheField name="Jour" numFmtId="0">
      <sharedItems containsString="0" containsBlank="1" containsNumber="1" containsInteger="1" minValue="15" maxValue="30"/>
    </cacheField>
    <cacheField name="Riz" numFmtId="0">
      <sharedItems containsString="0" containsBlank="1" containsNumber="1" minValue="0" maxValue="210"/>
    </cacheField>
    <cacheField name="Mais Concassé" numFmtId="0">
      <sharedItems containsString="0" containsBlank="1" containsNumber="1" containsInteger="1" minValue="0" maxValue="0"/>
    </cacheField>
    <cacheField name="Sorgho" numFmtId="0">
      <sharedItems containsString="0" containsBlank="1" containsNumber="1" containsInteger="1" minValue="0" maxValue="0"/>
    </cacheField>
    <cacheField name="Mais en Grain" numFmtId="0">
      <sharedItems containsString="0" containsBlank="1" containsNumber="1" containsInteger="1" minValue="0" maxValue="0"/>
    </cacheField>
    <cacheField name="LS" numFmtId="0">
      <sharedItems containsString="0" containsBlank="1" containsNumber="1" minValue="0" maxValue="31.5"/>
    </cacheField>
    <cacheField name="Huile " numFmtId="0">
      <sharedItems containsString="0" containsBlank="1" containsNumber="1" minValue="0" maxValue="18.375"/>
    </cacheField>
    <cacheField name="MNP" numFmtId="0">
      <sharedItems containsString="0" containsBlank="1" containsNumber="1" containsInteger="1" minValue="0" maxValue="0"/>
    </cacheField>
    <cacheField name="P Sup" numFmtId="0">
      <sharedItems containsString="0" containsBlank="1" containsNumber="1" containsInteger="1" minValue="0" maxValue="0"/>
    </cacheField>
    <cacheField name="CSB+" numFmtId="0">
      <sharedItems containsString="0" containsBlank="1" containsNumber="1" minValue="0" maxValue="19.462499999999999"/>
    </cacheField>
    <cacheField name="CSB++" numFmtId="0">
      <sharedItems containsString="0" containsBlank="1" containsNumber="1" containsInteger="1" minValue="0" maxValue="0"/>
    </cacheField>
    <cacheField name="P Doz" numFmtId="0">
      <sharedItems containsString="0" containsBlank="1" containsNumber="1" minValue="0" maxValue="2.3384999999999998"/>
    </cacheField>
    <cacheField name="LNS-sq/Nutributter " numFmtId="0">
      <sharedItems containsString="0" containsBlank="1" containsNumber="1" containsInteger="1" minValue="0" maxValue="0"/>
    </cacheField>
    <cacheField name="Total - Food" numFmtId="0">
      <sharedItems containsString="0" containsBlank="1" containsNumber="1" minValue="0" maxValue="259.875"/>
    </cacheField>
    <cacheField name="Cash-MGA" numFmtId="0">
      <sharedItems containsString="0" containsBlank="1" containsNumber="1" containsInteger="1" minValue="0" maxValue="0"/>
    </cacheField>
    <cacheField name="Cash-USD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NOFELANA Andrianiry" refreshedDate="45602.475797569445" createdVersion="8" refreshedVersion="8" minRefreshableVersion="3" recordCount="3920" xr:uid="{2D76461A-FCEC-4309-BD6D-8D97ADFC7A0A}">
  <cacheSource type="worksheet">
    <worksheetSource ref="A5:AL1048576" sheet="Details"/>
  </cacheSource>
  <cacheFields count="38">
    <cacheField name="Mois" numFmtId="0">
      <sharedItems containsBlank="1" count="4">
        <s v="Novembre"/>
        <s v="Décembre"/>
        <s v="Janvier"/>
        <m/>
      </sharedItems>
    </cacheField>
    <cacheField name="Annee" numFmtId="0">
      <sharedItems containsString="0" containsBlank="1" containsNumber="1" containsInteger="1" minValue="2024" maxValue="2025"/>
    </cacheField>
    <cacheField name="WBS" numFmtId="0">
      <sharedItems containsBlank="1" count="5">
        <s v="CAR1"/>
        <s v="NPA1"/>
        <s v="URT1"/>
        <s v="SMP1"/>
        <m/>
      </sharedItems>
    </cacheField>
    <cacheField name="Act" numFmtId="0">
      <sharedItems containsBlank="1"/>
    </cacheField>
    <cacheField name="Activite ref Pipeline " numFmtId="0">
      <sharedItems containsBlank="1" count="17">
        <s v="Resilience"/>
        <s v="Stunting Prevention Child"/>
        <s v="Stunting Prevention  (PLW)"/>
        <s v="GD drought "/>
        <s v="MAM PrevMa (Children)"/>
        <s v="MAM PrevMa (PBW)"/>
        <s v="MAM:Treatment "/>
        <s v="PEC FEFA"/>
        <s v="School feeding"/>
        <s v="GD cyclone"/>
        <s v="MAM PrevMa (Children) Cyclonne"/>
        <s v="MAM PrevMa (PBW) Cyclonne"/>
        <s v="GD cyclone GAMANE"/>
        <s v="MAM PrevMa (Children) Cyclonne GAMANE"/>
        <s v="MAM PrevMa (PLW) Cyclonne GAMANE"/>
        <m/>
        <s v="MAM PrevMa (PLW) Cyclonne" u="1"/>
      </sharedItems>
    </cacheField>
    <cacheField name="Activité tag-1 (COMET)" numFmtId="0">
      <sharedItems containsBlank="1"/>
    </cacheField>
    <cacheField name="Priorisation RAM" numFmtId="0">
      <sharedItems containsString="0" containsBlank="1" containsNumber="1" containsInteger="1" minValue="1" maxValue="2"/>
    </cacheField>
    <cacheField name="Priorisation _ livraison" numFmtId="0">
      <sharedItems containsBlank="1"/>
    </cacheField>
    <cacheField name="Antenne" numFmtId="0">
      <sharedItems containsBlank="1"/>
    </cacheField>
    <cacheField name="Sous Bureau" numFmtId="0">
      <sharedItems containsBlank="1" count="8">
        <s v="Ambovombe"/>
        <s v="Manakara"/>
        <s v="Ampanihy"/>
        <s v="Tuléar"/>
        <s v="Antananarivo"/>
        <m/>
        <s v="Tulear" u="1"/>
        <s v="Amboasary" u="1"/>
      </sharedItems>
    </cacheField>
    <cacheField name="Corridor" numFmtId="0">
      <sharedItems containsBlank="1"/>
    </cacheField>
    <cacheField name="Region" numFmtId="0">
      <sharedItems containsBlank="1"/>
    </cacheField>
    <cacheField name="District" numFmtId="0">
      <sharedItems containsBlank="1" count="40">
        <s v="Amboasary"/>
        <s v="Ambovombe"/>
        <s v="Manakara"/>
        <s v="Bekily"/>
        <s v="Ampanihy Ouest"/>
        <s v="Taolagnaro"/>
        <s v="Nosy Varika"/>
        <s v="Betioky"/>
        <s v="Vondrozo"/>
        <s v="Midongy Atsimo"/>
        <s v="Vangaindrano"/>
        <s v="Befotaka"/>
        <s v="Beloha"/>
        <s v="Mananjary"/>
        <s v="Toliara"/>
        <s v="betroka"/>
        <s v="Tsihombe"/>
        <s v="Ikongo"/>
        <s v="Farafangana"/>
        <s v="AMBOSITRA"/>
        <s v="MANANDRIANA"/>
        <s v="ANTSIRABE II"/>
        <s v="Miarinarivo"/>
        <s v="ARIVONIMAMO"/>
        <s v="FORT DAUPHIN"/>
        <s v="AMBOASARY SUD"/>
        <s v="SAKARAHA"/>
        <s v="AMPANIHY"/>
        <s v="TOLIARA II"/>
        <s v="TOLIARA I"/>
        <s v="BETIOKY SUD"/>
        <s v="MOROMBE"/>
        <s v="Manakara Atsimo"/>
        <s v="Vohipeno"/>
        <s v=" Vangaindrano "/>
        <s v=" Vondrozo "/>
        <s v="Vohemar"/>
        <s v="Sambava"/>
        <m/>
        <s v=" AMBOVOMBE " u="1"/>
      </sharedItems>
    </cacheField>
    <cacheField name="Partenaires" numFmtId="0">
      <sharedItems containsBlank="1"/>
    </cacheField>
    <cacheField name="COMMUNE" numFmtId="0">
      <sharedItems containsBlank="1"/>
    </cacheField>
    <cacheField name="PDFs " numFmtId="0">
      <sharedItems containsBlank="1"/>
    </cacheField>
    <cacheField name="Male" numFmtId="0">
      <sharedItems containsBlank="1" containsMixedTypes="1" containsNumber="1" containsInteger="1" minValue="0" maxValue="1100"/>
    </cacheField>
    <cacheField name="Female " numFmtId="0">
      <sharedItems containsBlank="1" containsMixedTypes="1" containsNumber="1" minValue="0" maxValue="2595"/>
    </cacheField>
    <cacheField name="Total bénéficiaires" numFmtId="0">
      <sharedItems containsBlank="1" containsMixedTypes="1" containsNumber="1" minValue="0" maxValue="35000"/>
    </cacheField>
    <cacheField name="Menages " numFmtId="0">
      <sharedItems containsString="0" containsBlank="1" containsNumber="1" minValue="0" maxValue="7000"/>
    </cacheField>
    <cacheField name="Modalites " numFmtId="0">
      <sharedItems containsBlank="1" count="5">
        <s v="Cash"/>
        <s v="IK"/>
        <m/>
        <s v="hybride"/>
        <s v=" IK " u="1"/>
      </sharedItems>
    </cacheField>
    <cacheField name="Modèle" numFmtId="0">
      <sharedItems containsBlank="1"/>
    </cacheField>
    <cacheField name="Jour" numFmtId="0">
      <sharedItems containsString="0" containsBlank="1" containsNumber="1" containsInteger="1" minValue="0" maxValue="120"/>
    </cacheField>
    <cacheField name="Riz" numFmtId="0">
      <sharedItems containsBlank="1" containsMixedTypes="1" containsNumber="1" minValue="0" maxValue="320.12400000000002"/>
    </cacheField>
    <cacheField name="Mais Concassé" numFmtId="0">
      <sharedItems containsBlank="1" containsMixedTypes="1" containsNumber="1" containsInteger="1" minValue="0" maxValue="0"/>
    </cacheField>
    <cacheField name="Sorgho" numFmtId="0">
      <sharedItems containsBlank="1" containsMixedTypes="1" containsNumber="1" containsInteger="1" minValue="0" maxValue="0"/>
    </cacheField>
    <cacheField name="Mais en Grain" numFmtId="0">
      <sharedItems containsBlank="1" containsMixedTypes="1" containsNumber="1" containsInteger="1" minValue="0" maxValue="0"/>
    </cacheField>
    <cacheField name="LS" numFmtId="0">
      <sharedItems containsBlank="1" containsMixedTypes="1" containsNumber="1" minValue="0" maxValue="48.018599999999999"/>
    </cacheField>
    <cacheField name="Huile " numFmtId="0">
      <sharedItems containsBlank="1" containsMixedTypes="1" containsNumber="1" minValue="0" maxValue="28.010850000000001"/>
    </cacheField>
    <cacheField name="MNP" numFmtId="0">
      <sharedItems containsBlank="1" containsMixedTypes="1" containsNumber="1" containsInteger="1" minValue="0" maxValue="0"/>
    </cacheField>
    <cacheField name="P Sup" numFmtId="0">
      <sharedItems containsBlank="1" containsMixedTypes="1" containsNumber="1" minValue="0" maxValue="25.425000000000001"/>
    </cacheField>
    <cacheField name="CSB+" numFmtId="0">
      <sharedItems containsBlank="1" containsMixedTypes="1" containsNumber="1" minValue="0" maxValue="31.5"/>
    </cacheField>
    <cacheField name="CSB++" numFmtId="0">
      <sharedItems containsString="0" containsBlank="1" containsNumber="1" containsInteger="1" minValue="0" maxValue="0"/>
    </cacheField>
    <cacheField name="P Doz" numFmtId="0">
      <sharedItems containsString="0" containsBlank="1" containsNumber="1" minValue="0" maxValue="9.4499999999999993"/>
    </cacheField>
    <cacheField name="LNS-sq/Nutributter " numFmtId="0">
      <sharedItems containsString="0" containsBlank="1" containsNumber="1" containsInteger="1" minValue="0" maxValue="0"/>
    </cacheField>
    <cacheField name="Total - Food" numFmtId="0">
      <sharedItems containsBlank="1" containsMixedTypes="1" containsNumber="1" minValue="0" maxValue="396.15345000000002"/>
    </cacheField>
    <cacheField name="Cash-MGA" numFmtId="0">
      <sharedItems containsBlank="1" containsMixedTypes="1" containsNumber="1" containsInteger="1" minValue="0" maxValue="1623744000"/>
    </cacheField>
    <cacheField name="Cash-USD" numFmtId="0">
      <sharedItems containsString="0" containsBlank="1" containsNumber="1" minValue="0" maxValue="356151.37942682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NOFELANA Andrianiry" refreshedDate="45602.47579895833" createdVersion="8" refreshedVersion="8" minRefreshableVersion="3" recordCount="3911" xr:uid="{0F308E8B-4C4F-4F42-A7FD-ECC597211B81}">
  <cacheSource type="worksheet">
    <worksheetSource ref="A5:AL3916" sheet="Details"/>
  </cacheSource>
  <cacheFields count="38">
    <cacheField name="Mois" numFmtId="0">
      <sharedItems count="3">
        <s v="Novembre"/>
        <s v="Décembre"/>
        <s v="Janvier"/>
      </sharedItems>
    </cacheField>
    <cacheField name="Annee" numFmtId="0">
      <sharedItems containsSemiMixedTypes="0" containsString="0" containsNumber="1" containsInteger="1" minValue="2024" maxValue="2025"/>
    </cacheField>
    <cacheField name="WBS" numFmtId="0">
      <sharedItems count="4">
        <s v="CAR1"/>
        <s v="NPA1"/>
        <s v="URT1"/>
        <s v="SMP1"/>
      </sharedItems>
    </cacheField>
    <cacheField name="Act" numFmtId="0">
      <sharedItems/>
    </cacheField>
    <cacheField name="Activite ref Pipeline " numFmtId="0">
      <sharedItems count="16">
        <s v="Resilience"/>
        <s v="Stunting Prevention Child"/>
        <s v="Stunting Prevention  (PLW)"/>
        <s v="GD drought "/>
        <s v="MAM PrevMa (Children)"/>
        <s v="MAM PrevMa (PBW)"/>
        <s v="MAM:Treatment "/>
        <s v="PEC FEFA"/>
        <s v="School feeding"/>
        <s v="GD cyclone"/>
        <s v="MAM PrevMa (Children) Cyclonne"/>
        <s v="MAM PrevMa (PBW) Cyclonne"/>
        <s v="GD cyclone GAMANE"/>
        <s v="MAM PrevMa (Children) Cyclonne GAMANE"/>
        <s v="MAM PrevMa (PLW) Cyclonne GAMANE"/>
        <s v="MAM PrevMa (PLW) Cyclonne" u="1"/>
      </sharedItems>
    </cacheField>
    <cacheField name="Activité tag-1 (COMET)" numFmtId="0">
      <sharedItems/>
    </cacheField>
    <cacheField name="Priorisation RAM" numFmtId="0">
      <sharedItems containsString="0" containsBlank="1" containsNumber="1" containsInteger="1" minValue="1" maxValue="2"/>
    </cacheField>
    <cacheField name="Priorisation _ livraison" numFmtId="0">
      <sharedItems containsBlank="1"/>
    </cacheField>
    <cacheField name="Antenne" numFmtId="0">
      <sharedItems containsBlank="1"/>
    </cacheField>
    <cacheField name="Sous Bureau" numFmtId="0">
      <sharedItems count="5">
        <s v="Ambovombe"/>
        <s v="Manakara"/>
        <s v="Ampanihy"/>
        <s v="Tuléar"/>
        <s v="Antananarivo"/>
      </sharedItems>
    </cacheField>
    <cacheField name="Corridor" numFmtId="0">
      <sharedItems containsBlank="1"/>
    </cacheField>
    <cacheField name="Region" numFmtId="0">
      <sharedItems/>
    </cacheField>
    <cacheField name="District" numFmtId="0">
      <sharedItems/>
    </cacheField>
    <cacheField name="Partenaires" numFmtId="0">
      <sharedItems containsBlank="1"/>
    </cacheField>
    <cacheField name="COMMUNE" numFmtId="0">
      <sharedItems containsBlank="1"/>
    </cacheField>
    <cacheField name="PDFs " numFmtId="0">
      <sharedItems containsBlank="1"/>
    </cacheField>
    <cacheField name="Male" numFmtId="0">
      <sharedItems containsBlank="1" containsMixedTypes="1" containsNumber="1" containsInteger="1" minValue="0" maxValue="1100"/>
    </cacheField>
    <cacheField name="Female " numFmtId="0">
      <sharedItems containsBlank="1" containsMixedTypes="1" containsNumber="1" minValue="0" maxValue="2595"/>
    </cacheField>
    <cacheField name="Total bénéficiaires" numFmtId="0">
      <sharedItems containsBlank="1" containsMixedTypes="1" containsNumber="1" minValue="0" maxValue="35000"/>
    </cacheField>
    <cacheField name="Menages " numFmtId="0">
      <sharedItems containsString="0" containsBlank="1" containsNumber="1" minValue="0" maxValue="7000"/>
    </cacheField>
    <cacheField name="Modalites " numFmtId="0">
      <sharedItems containsBlank="1" count="5">
        <s v="Cash"/>
        <s v="IK"/>
        <m/>
        <s v="hybride"/>
        <s v=" IK " u="1"/>
      </sharedItems>
    </cacheField>
    <cacheField name="Modèle" numFmtId="0">
      <sharedItems containsBlank="1"/>
    </cacheField>
    <cacheField name="Jour" numFmtId="0">
      <sharedItems containsString="0" containsBlank="1" containsNumber="1" containsInteger="1" minValue="0" maxValue="120"/>
    </cacheField>
    <cacheField name="Riz" numFmtId="0">
      <sharedItems containsBlank="1" containsMixedTypes="1" containsNumber="1" minValue="0" maxValue="320.12400000000002"/>
    </cacheField>
    <cacheField name="Mais Concassé" numFmtId="0">
      <sharedItems containsBlank="1" containsMixedTypes="1" containsNumber="1" containsInteger="1" minValue="0" maxValue="0"/>
    </cacheField>
    <cacheField name="Sorgho" numFmtId="0">
      <sharedItems containsBlank="1" containsMixedTypes="1" containsNumber="1" containsInteger="1" minValue="0" maxValue="0"/>
    </cacheField>
    <cacheField name="Mais en Grain" numFmtId="0">
      <sharedItems containsBlank="1" containsMixedTypes="1" containsNumber="1" containsInteger="1" minValue="0" maxValue="0"/>
    </cacheField>
    <cacheField name="LS" numFmtId="0">
      <sharedItems containsBlank="1" containsMixedTypes="1" containsNumber="1" minValue="0" maxValue="48.018599999999999"/>
    </cacheField>
    <cacheField name="Huile " numFmtId="0">
      <sharedItems containsBlank="1" containsMixedTypes="1" containsNumber="1" minValue="0" maxValue="28.010850000000001"/>
    </cacheField>
    <cacheField name="MNP" numFmtId="0">
      <sharedItems containsBlank="1" containsMixedTypes="1" containsNumber="1" containsInteger="1" minValue="0" maxValue="0"/>
    </cacheField>
    <cacheField name="P Sup" numFmtId="0">
      <sharedItems containsBlank="1" containsMixedTypes="1" containsNumber="1" minValue="0" maxValue="25.425000000000001"/>
    </cacheField>
    <cacheField name="CSB+" numFmtId="0">
      <sharedItems containsBlank="1" containsMixedTypes="1" containsNumber="1" minValue="0" maxValue="31.5"/>
    </cacheField>
    <cacheField name="CSB++" numFmtId="0">
      <sharedItems containsString="0" containsBlank="1" containsNumber="1" containsInteger="1" minValue="0" maxValue="0"/>
    </cacheField>
    <cacheField name="P Doz" numFmtId="0">
      <sharedItems containsString="0" containsBlank="1" containsNumber="1" minValue="0" maxValue="9.4499999999999993"/>
    </cacheField>
    <cacheField name="LNS-sq/Nutributter " numFmtId="0">
      <sharedItems containsString="0" containsBlank="1" containsNumber="1" containsInteger="1" minValue="0" maxValue="0"/>
    </cacheField>
    <cacheField name="Total - Food" numFmtId="0">
      <sharedItems containsBlank="1" containsMixedTypes="1" containsNumber="1" minValue="0" maxValue="396.15345000000002"/>
    </cacheField>
    <cacheField name="Cash-MGA" numFmtId="0">
      <sharedItems containsBlank="1" containsMixedTypes="1" containsNumber="1" containsInteger="1" minValue="0" maxValue="1623744000"/>
    </cacheField>
    <cacheField name="Cash-USD" numFmtId="0">
      <sharedItems containsString="0" containsBlank="1" containsNumber="1" minValue="0" maxValue="356151.37942682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">
  <r>
    <x v="0"/>
    <n v="2024"/>
    <x v="0"/>
    <s v="GD"/>
    <x v="0"/>
    <s v="URT_GD: General Distribution"/>
    <n v="1"/>
    <m/>
    <s v="Bekily"/>
    <x v="0"/>
    <s v="Taolagnaro"/>
    <s v="Androy"/>
    <s v="Bekily"/>
    <m/>
    <s v="Ambahita"/>
    <m/>
    <m/>
    <m/>
    <n v="16706"/>
    <n v="3341.2"/>
    <s v="IK"/>
    <n v="15"/>
    <n v="100.236"/>
    <n v="0"/>
    <n v="0"/>
    <n v="0"/>
    <n v="15.035399999999999"/>
    <n v="8.7706499999999998"/>
    <n v="0"/>
    <n v="0"/>
    <n v="0"/>
    <n v="0"/>
    <m/>
    <n v="0"/>
    <n v="124.04205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Amborompotsy"/>
    <m/>
    <m/>
    <m/>
    <n v="17635"/>
    <n v="3527"/>
    <s v="IK"/>
    <n v="15"/>
    <n v="105.81"/>
    <n v="0"/>
    <n v="0"/>
    <n v="0"/>
    <n v="15.871499999999999"/>
    <n v="9.2583749999999991"/>
    <n v="0"/>
    <n v="0"/>
    <n v="0"/>
    <n v="0"/>
    <m/>
    <n v="0"/>
    <n v="130.939875"/>
    <n v="0"/>
    <n v="0"/>
  </r>
  <r>
    <x v="0"/>
    <n v="2024"/>
    <x v="0"/>
    <s v="GD"/>
    <x v="0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s v="IK"/>
    <n v="15"/>
    <n v="202.96799999999999"/>
    <n v="0"/>
    <n v="0"/>
    <n v="0"/>
    <n v="30.4452"/>
    <n v="17.759699999999999"/>
    <n v="0"/>
    <n v="0"/>
    <n v="0"/>
    <n v="0"/>
    <m/>
    <n v="0"/>
    <n v="251.1729"/>
    <n v="0"/>
    <n v="0"/>
  </r>
  <r>
    <x v="0"/>
    <n v="2024"/>
    <x v="0"/>
    <s v="GD"/>
    <x v="0"/>
    <s v="URT_GD: General Distribution"/>
    <n v="2"/>
    <m/>
    <s v="Amboasary"/>
    <x v="0"/>
    <s v="Taolagnaro"/>
    <s v="Anosy"/>
    <s v="Taolagnaro"/>
    <m/>
    <s v="Andranobory"/>
    <m/>
    <m/>
    <m/>
    <n v="7275"/>
    <n v="1455"/>
    <s v="IK"/>
    <n v="15"/>
    <n v="43.65"/>
    <n v="0"/>
    <n v="0"/>
    <n v="0"/>
    <n v="6.5475000000000003"/>
    <n v="3.819375"/>
    <n v="0"/>
    <n v="0"/>
    <n v="0"/>
    <n v="0"/>
    <m/>
    <n v="0"/>
    <n v="54.016874999999999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Androipano"/>
    <m/>
    <m/>
    <m/>
    <n v="11555"/>
    <n v="2311"/>
    <s v="IK"/>
    <n v="15"/>
    <n v="69.33"/>
    <n v="0"/>
    <n v="0"/>
    <n v="0"/>
    <n v="10.3995"/>
    <n v="6.0663749999999999"/>
    <n v="0"/>
    <n v="0"/>
    <n v="0"/>
    <n v="0"/>
    <m/>
    <n v="0"/>
    <n v="85.795874999999995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Androka"/>
    <m/>
    <m/>
    <m/>
    <n v="35000"/>
    <n v="7000"/>
    <s v="IK"/>
    <n v="15"/>
    <n v="210"/>
    <n v="0"/>
    <n v="0"/>
    <n v="0"/>
    <n v="31.5"/>
    <n v="18.375"/>
    <n v="0"/>
    <n v="0"/>
    <n v="0"/>
    <n v="0"/>
    <m/>
    <n v="0"/>
    <n v="259.875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Anivorano Mitsinjo"/>
    <m/>
    <m/>
    <m/>
    <n v="6800"/>
    <n v="1360"/>
    <s v="IK"/>
    <n v="15"/>
    <n v="40.799999999999997"/>
    <n v="0"/>
    <n v="0"/>
    <n v="0"/>
    <n v="6.12"/>
    <n v="3.57"/>
    <n v="0"/>
    <n v="0"/>
    <n v="0"/>
    <n v="0"/>
    <m/>
    <n v="0"/>
    <n v="50.489999999999995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Anja Nord"/>
    <m/>
    <m/>
    <m/>
    <n v="3770"/>
    <n v="754"/>
    <s v="IK"/>
    <n v="15"/>
    <n v="22.62"/>
    <n v="0"/>
    <n v="0"/>
    <n v="0"/>
    <n v="3.3929999999999998"/>
    <n v="1.97925"/>
    <n v="0"/>
    <n v="0"/>
    <n v="0"/>
    <n v="0"/>
    <m/>
    <n v="0"/>
    <n v="27.992250000000002"/>
    <n v="0"/>
    <n v="0"/>
  </r>
  <r>
    <x v="0"/>
    <n v="2024"/>
    <x v="0"/>
    <s v="GD"/>
    <x v="0"/>
    <s v="URT_GD: General Distribution"/>
    <n v="1"/>
    <m/>
    <s v="Ambovombe"/>
    <x v="0"/>
    <s v="Taolagnaro"/>
    <s v="Androy"/>
    <s v="Ambovombe"/>
    <m/>
    <s v="Ampamata"/>
    <m/>
    <m/>
    <m/>
    <n v="10150"/>
    <n v="2030"/>
    <s v="IK"/>
    <n v="15"/>
    <n v="60.9"/>
    <n v="0"/>
    <n v="0"/>
    <n v="0"/>
    <n v="9.1349999999999998"/>
    <n v="5.3287500000000003"/>
    <n v="0"/>
    <n v="0"/>
    <n v="0"/>
    <n v="0"/>
    <m/>
    <n v="0"/>
    <n v="75.363749999999996"/>
    <n v="0"/>
    <n v="0"/>
  </r>
  <r>
    <x v="0"/>
    <n v="2024"/>
    <x v="0"/>
    <s v="GD"/>
    <x v="0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s v="IK"/>
    <n v="15"/>
    <n v="113.28"/>
    <n v="0"/>
    <n v="0"/>
    <n v="0"/>
    <n v="16.992000000000001"/>
    <n v="9.9120000000000008"/>
    <n v="0"/>
    <n v="0"/>
    <n v="0"/>
    <n v="0"/>
    <m/>
    <n v="0"/>
    <n v="140.184"/>
    <n v="0"/>
    <n v="0"/>
  </r>
  <r>
    <x v="0"/>
    <n v="2024"/>
    <x v="0"/>
    <s v="GD"/>
    <x v="0"/>
    <s v="URT_GD: General Distribution"/>
    <n v="2"/>
    <m/>
    <s v="Tuléar"/>
    <x v="2"/>
    <s v="Tuléar"/>
    <s v="Atsimo Andrefana"/>
    <s v="Betioky"/>
    <m/>
    <s v="Ankazombalala"/>
    <m/>
    <m/>
    <m/>
    <n v="12000"/>
    <n v="2400"/>
    <s v="IK"/>
    <n v="15"/>
    <n v="72"/>
    <n v="0"/>
    <n v="0"/>
    <n v="0"/>
    <n v="10.8"/>
    <n v="6.3"/>
    <n v="0"/>
    <n v="0"/>
    <n v="0"/>
    <n v="0"/>
    <m/>
    <n v="0"/>
    <n v="89.1"/>
    <n v="0"/>
    <n v="0"/>
  </r>
  <r>
    <x v="0"/>
    <n v="2024"/>
    <x v="0"/>
    <s v="GD"/>
    <x v="0"/>
    <s v="URT_GD: General Distribution"/>
    <n v="2"/>
    <m/>
    <m/>
    <x v="3"/>
    <m/>
    <s v="Atsimo Antsinana"/>
    <s v="Vondrozo"/>
    <m/>
    <s v="Anandravy"/>
    <m/>
    <m/>
    <m/>
    <n v="4797"/>
    <n v="959.4"/>
    <s v="IK"/>
    <n v="15"/>
    <n v="28.782"/>
    <n v="0"/>
    <n v="0"/>
    <n v="0"/>
    <n v="4.3173000000000004"/>
    <n v="2.5184250000000001"/>
    <n v="0"/>
    <n v="0"/>
    <n v="0"/>
    <n v="0"/>
    <m/>
    <n v="0"/>
    <n v="35.617725"/>
    <n v="0"/>
    <n v="0"/>
  </r>
  <r>
    <x v="0"/>
    <n v="2024"/>
    <x v="0"/>
    <s v="GD"/>
    <x v="0"/>
    <s v="URT_GD: General Distribution"/>
    <n v="2"/>
    <m/>
    <s v="Ampanihy"/>
    <x v="1"/>
    <s v="Tuléar"/>
    <s v="Atsimo Andrefana"/>
    <s v="Ampanihy Ouest"/>
    <m/>
    <s v="Ankiliabo"/>
    <m/>
    <m/>
    <m/>
    <n v="18100"/>
    <n v="3620"/>
    <s v="IK"/>
    <n v="15"/>
    <n v="108.6"/>
    <n v="0"/>
    <n v="0"/>
    <n v="0"/>
    <n v="16.29"/>
    <n v="9.5024999999999995"/>
    <n v="0"/>
    <n v="0"/>
    <n v="0"/>
    <n v="0"/>
    <m/>
    <n v="0"/>
    <n v="134.39249999999998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Antsakoamaro"/>
    <m/>
    <m/>
    <m/>
    <n v="6201"/>
    <n v="1240.2"/>
    <s v="IK"/>
    <n v="15"/>
    <n v="37.206000000000003"/>
    <n v="0"/>
    <n v="0"/>
    <n v="0"/>
    <n v="5.5808999999999997"/>
    <n v="3.255525"/>
    <n v="0"/>
    <n v="0"/>
    <n v="0"/>
    <n v="0"/>
    <m/>
    <n v="0"/>
    <n v="46.042425000000001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Belafike haut"/>
    <m/>
    <m/>
    <m/>
    <n v="10195"/>
    <n v="2039"/>
    <s v="IK"/>
    <n v="15"/>
    <n v="61.17"/>
    <n v="0"/>
    <n v="0"/>
    <n v="0"/>
    <n v="9.1754999999999995"/>
    <n v="5.3523750000000003"/>
    <n v="0"/>
    <n v="0"/>
    <n v="0"/>
    <n v="0"/>
    <m/>
    <n v="0"/>
    <n v="75.697874999999996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Belindo Mahasoa"/>
    <m/>
    <m/>
    <m/>
    <n v="15000"/>
    <n v="3000"/>
    <s v="IK"/>
    <n v="15"/>
    <n v="90"/>
    <n v="0"/>
    <n v="0"/>
    <n v="0"/>
    <n v="13.5"/>
    <n v="7.875"/>
    <n v="0"/>
    <n v="0"/>
    <n v="0"/>
    <n v="0"/>
    <m/>
    <n v="0"/>
    <n v="111.375"/>
    <n v="0"/>
    <n v="0"/>
  </r>
  <r>
    <x v="0"/>
    <n v="2024"/>
    <x v="0"/>
    <s v="GD"/>
    <x v="0"/>
    <s v="URT_GD: General Distribution"/>
    <n v="1"/>
    <m/>
    <s v="Tuléar"/>
    <x v="2"/>
    <s v="Tuléar"/>
    <s v="Atsimo Andrefana"/>
    <s v="Betioky"/>
    <m/>
    <s v="Beora"/>
    <m/>
    <m/>
    <m/>
    <n v="1000"/>
    <n v="200"/>
    <s v="IK"/>
    <n v="15"/>
    <n v="6"/>
    <n v="0"/>
    <n v="0"/>
    <n v="0"/>
    <n v="0.9"/>
    <n v="0.52500000000000002"/>
    <n v="0"/>
    <n v="0"/>
    <n v="0"/>
    <n v="0"/>
    <m/>
    <n v="0"/>
    <n v="7.4250000000000007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Bevitiky"/>
    <m/>
    <m/>
    <m/>
    <n v="6341"/>
    <n v="1268.2"/>
    <s v="IK"/>
    <n v="15"/>
    <n v="38.045999999999999"/>
    <n v="0"/>
    <n v="0"/>
    <n v="0"/>
    <n v="5.7069000000000001"/>
    <n v="3.3290250000000001"/>
    <n v="0"/>
    <n v="0"/>
    <n v="0"/>
    <n v="0"/>
    <m/>
    <n v="0"/>
    <n v="47.081924999999998"/>
    <n v="0"/>
    <n v="0"/>
  </r>
  <r>
    <x v="0"/>
    <n v="2024"/>
    <x v="0"/>
    <s v="GD"/>
    <x v="0"/>
    <s v="URT_GD: General Distribution"/>
    <n v="1"/>
    <m/>
    <s v="Amboasary"/>
    <x v="0"/>
    <s v="Taolagnaro"/>
    <s v="Anosy"/>
    <s v="Amboasary"/>
    <m/>
    <s v="Ebelo"/>
    <m/>
    <m/>
    <m/>
    <n v="13542"/>
    <n v="2708.4"/>
    <s v="IK"/>
    <n v="15"/>
    <n v="81.251999999999995"/>
    <n v="0"/>
    <n v="0"/>
    <n v="0"/>
    <n v="12.187799999999999"/>
    <n v="7.1095499999999996"/>
    <n v="0"/>
    <n v="0"/>
    <n v="0"/>
    <n v="0"/>
    <m/>
    <n v="0"/>
    <n v="100.54934999999999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Gogogogo"/>
    <m/>
    <m/>
    <m/>
    <n v="18955"/>
    <n v="3791"/>
    <s v="IK"/>
    <n v="15"/>
    <n v="113.73"/>
    <n v="0"/>
    <n v="0"/>
    <n v="0"/>
    <n v="17.0595"/>
    <n v="9.9513750000000005"/>
    <n v="0"/>
    <n v="0"/>
    <n v="0"/>
    <n v="0"/>
    <m/>
    <n v="0"/>
    <n v="140.74087500000002"/>
    <n v="0"/>
    <n v="0"/>
  </r>
  <r>
    <x v="0"/>
    <n v="2024"/>
    <x v="0"/>
    <s v="GD"/>
    <x v="0"/>
    <s v="URT_GD: General Distribution"/>
    <n v="2"/>
    <m/>
    <s v="Tuléar"/>
    <x v="2"/>
    <s v="Tuléar"/>
    <s v="Atsimo Andrefana"/>
    <s v="Betioky"/>
    <m/>
    <s v="Lazarivo"/>
    <m/>
    <m/>
    <m/>
    <n v="10900"/>
    <n v="2180"/>
    <s v="IK"/>
    <n v="15"/>
    <n v="65.400000000000006"/>
    <n v="0"/>
    <n v="0"/>
    <n v="0"/>
    <n v="9.81"/>
    <n v="5.7225000000000001"/>
    <n v="0"/>
    <n v="0"/>
    <n v="0"/>
    <n v="0"/>
    <m/>
    <n v="0"/>
    <n v="80.932500000000005"/>
    <n v="0"/>
    <n v="0"/>
  </r>
  <r>
    <x v="0"/>
    <n v="2024"/>
    <x v="0"/>
    <s v="GD"/>
    <x v="0"/>
    <s v="URT_GD: General Distribution"/>
    <n v="1"/>
    <m/>
    <s v="Amboasary"/>
    <x v="0"/>
    <s v="Taolagnaro"/>
    <s v="Anosy"/>
    <s v="Amboasary"/>
    <m/>
    <s v="Mahabo"/>
    <m/>
    <m/>
    <m/>
    <n v="5759"/>
    <n v="1151.8"/>
    <s v="IK"/>
    <n v="15"/>
    <n v="34.554000000000002"/>
    <n v="0"/>
    <n v="0"/>
    <n v="0"/>
    <n v="5.1830999999999996"/>
    <n v="3.0234749999999999"/>
    <n v="0"/>
    <n v="0"/>
    <n v="0"/>
    <n v="0"/>
    <m/>
    <n v="0"/>
    <n v="42.760574999999996"/>
    <n v="0"/>
    <n v="0"/>
  </r>
  <r>
    <x v="0"/>
    <n v="2024"/>
    <x v="0"/>
    <s v="GD"/>
    <x v="0"/>
    <s v="URT_GD: General Distribution"/>
    <n v="1"/>
    <m/>
    <s v="Amboasary"/>
    <x v="0"/>
    <s v="Taolagnaro"/>
    <s v="Anosy"/>
    <s v="Amboasary"/>
    <m/>
    <s v="Mahaly"/>
    <m/>
    <m/>
    <m/>
    <n v="20745"/>
    <n v="4149"/>
    <s v="IK"/>
    <n v="15"/>
    <n v="124.47"/>
    <n v="0"/>
    <n v="0"/>
    <n v="0"/>
    <n v="18.670500000000001"/>
    <n v="10.891125000000001"/>
    <n v="0"/>
    <n v="0"/>
    <n v="0"/>
    <n v="0"/>
    <m/>
    <n v="0"/>
    <n v="154.03162499999999"/>
    <n v="0"/>
    <n v="0"/>
  </r>
  <r>
    <x v="0"/>
    <n v="2024"/>
    <x v="0"/>
    <s v="GD"/>
    <x v="0"/>
    <s v="URT_GD: General Distribution"/>
    <n v="2"/>
    <m/>
    <m/>
    <x v="3"/>
    <m/>
    <s v="Atsimo Antsinana"/>
    <s v="Vondrozo"/>
    <m/>
    <s v="Mahatsinjo"/>
    <m/>
    <m/>
    <m/>
    <n v="7686"/>
    <n v="1537.2"/>
    <s v="IK"/>
    <n v="15"/>
    <n v="46.116"/>
    <n v="0"/>
    <n v="0"/>
    <n v="0"/>
    <n v="6.9173999999999998"/>
    <n v="4.0351499999999998"/>
    <n v="0"/>
    <n v="0"/>
    <n v="0"/>
    <n v="0"/>
    <m/>
    <n v="0"/>
    <n v="57.068550000000002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Manakompy"/>
    <m/>
    <m/>
    <m/>
    <n v="6759"/>
    <n v="1351.8"/>
    <s v="IK"/>
    <n v="15"/>
    <n v="40.554000000000002"/>
    <n v="0"/>
    <n v="0"/>
    <n v="0"/>
    <n v="6.0831"/>
    <n v="3.5484749999999998"/>
    <n v="0"/>
    <n v="0"/>
    <n v="0"/>
    <n v="0"/>
    <m/>
    <n v="0"/>
    <n v="50.185575"/>
    <n v="0"/>
    <n v="0"/>
  </r>
  <r>
    <x v="0"/>
    <n v="2024"/>
    <x v="0"/>
    <s v="GD"/>
    <x v="0"/>
    <s v="URT_GD: General Distribution"/>
    <n v="2"/>
    <m/>
    <s v="Amboasary"/>
    <x v="0"/>
    <s v="Taolagnaro"/>
    <s v="Anosy"/>
    <s v="Amboasary"/>
    <m/>
    <s v="Maromby"/>
    <m/>
    <m/>
    <m/>
    <n v="15242"/>
    <n v="3048.4"/>
    <s v="IK"/>
    <n v="15"/>
    <n v="91.451999999999998"/>
    <n v="0"/>
    <n v="0"/>
    <n v="0"/>
    <n v="13.7178"/>
    <n v="8.0020500000000006"/>
    <n v="0"/>
    <n v="0"/>
    <n v="0"/>
    <n v="0"/>
    <m/>
    <n v="0"/>
    <n v="113.17184999999999"/>
    <n v="0"/>
    <n v="0"/>
  </r>
  <r>
    <x v="0"/>
    <n v="2024"/>
    <x v="0"/>
    <s v="GD"/>
    <x v="0"/>
    <s v="URT_GD: General Distribution"/>
    <n v="1"/>
    <m/>
    <s v="Ampanihy"/>
    <x v="1"/>
    <s v="Tuléar"/>
    <s v="Atsimo Andrefana"/>
    <s v="Ampanihy Ouest"/>
    <m/>
    <s v="Ankilizato"/>
    <m/>
    <m/>
    <m/>
    <n v="7940"/>
    <n v="1588"/>
    <s v="IK"/>
    <n v="15"/>
    <n v="47.64"/>
    <n v="0"/>
    <n v="0"/>
    <n v="0"/>
    <n v="7.1459999999999999"/>
    <n v="4.1684999999999999"/>
    <n v="0"/>
    <n v="0"/>
    <n v="0"/>
    <n v="0"/>
    <m/>
    <n v="0"/>
    <n v="58.954500000000003"/>
    <n v="0"/>
    <n v="0"/>
  </r>
  <r>
    <x v="0"/>
    <n v="2024"/>
    <x v="0"/>
    <s v="GD"/>
    <x v="0"/>
    <s v="URT_GD: General Distribution"/>
    <n v="1"/>
    <m/>
    <s v="Tuléar"/>
    <x v="2"/>
    <s v="Tuléar"/>
    <s v="Atsimo Andrefana"/>
    <s v="Betioky"/>
    <m/>
    <s v="Marosavoa"/>
    <m/>
    <m/>
    <m/>
    <n v="3766"/>
    <n v="753.2"/>
    <s v="IK"/>
    <n v="15"/>
    <n v="22.596"/>
    <n v="0"/>
    <n v="0"/>
    <n v="0"/>
    <n v="3.3894000000000002"/>
    <n v="1.97715"/>
    <n v="0"/>
    <n v="0"/>
    <n v="0"/>
    <n v="0"/>
    <m/>
    <n v="0"/>
    <n v="27.96255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Maroviro"/>
    <m/>
    <m/>
    <m/>
    <n v="12420"/>
    <n v="2484"/>
    <s v="IK"/>
    <n v="15"/>
    <n v="74.52"/>
    <n v="0"/>
    <n v="0"/>
    <n v="0"/>
    <n v="11.178000000000001"/>
    <n v="6.5205000000000002"/>
    <n v="0"/>
    <n v="0"/>
    <n v="0"/>
    <n v="0"/>
    <m/>
    <n v="0"/>
    <n v="92.218499999999992"/>
    <n v="0"/>
    <n v="0"/>
  </r>
  <r>
    <x v="0"/>
    <n v="2024"/>
    <x v="0"/>
    <s v="GD"/>
    <x v="0"/>
    <s v="URT_GD: General Distribution"/>
    <n v="1"/>
    <m/>
    <m/>
    <x v="3"/>
    <m/>
    <s v="Atsimo Antsinana"/>
    <s v="Vangaindrano"/>
    <m/>
    <s v="Matanga"/>
    <m/>
    <m/>
    <m/>
    <n v="13734"/>
    <n v="2746.8"/>
    <s v="IK"/>
    <n v="15"/>
    <n v="82.403999999999996"/>
    <n v="0"/>
    <n v="0"/>
    <n v="0"/>
    <n v="12.3606"/>
    <n v="7.21035"/>
    <n v="0"/>
    <n v="0"/>
    <n v="0"/>
    <n v="0"/>
    <m/>
    <n v="0"/>
    <n v="101.97495000000001"/>
    <n v="0"/>
    <n v="0"/>
  </r>
  <r>
    <x v="0"/>
    <n v="2024"/>
    <x v="0"/>
    <s v="GD"/>
    <x v="0"/>
    <s v="URT_GD: General Distribution"/>
    <n v="1"/>
    <m/>
    <m/>
    <x v="3"/>
    <m/>
    <s v="Atsimo Antsinana"/>
    <s v="Befotaka"/>
    <m/>
    <s v="Antondabe"/>
    <m/>
    <m/>
    <m/>
    <n v="5174"/>
    <n v="1034.8"/>
    <s v="IK"/>
    <n v="15"/>
    <n v="31.044"/>
    <n v="0"/>
    <n v="0"/>
    <n v="0"/>
    <n v="4.6566000000000001"/>
    <n v="2.7163499999999998"/>
    <n v="0"/>
    <n v="0"/>
    <n v="0"/>
    <n v="0"/>
    <m/>
    <n v="0"/>
    <n v="38.41695"/>
    <n v="0"/>
    <n v="0"/>
  </r>
  <r>
    <x v="0"/>
    <n v="2024"/>
    <x v="0"/>
    <s v="GD"/>
    <x v="0"/>
    <s v="URT_GD: General Distribution"/>
    <n v="1"/>
    <m/>
    <s v="Amboasary"/>
    <x v="0"/>
    <s v="Taolagnaro"/>
    <s v="Anosy"/>
    <s v="Amboasary"/>
    <m/>
    <s v="Ranobe"/>
    <m/>
    <m/>
    <m/>
    <n v="8462"/>
    <n v="1692.4"/>
    <s v="IK"/>
    <n v="15"/>
    <n v="50.771999999999998"/>
    <n v="0"/>
    <n v="0"/>
    <n v="0"/>
    <n v="7.6158000000000001"/>
    <n v="4.4425499999999998"/>
    <n v="0"/>
    <n v="0"/>
    <n v="0"/>
    <n v="0"/>
    <m/>
    <n v="0"/>
    <n v="62.830349999999996"/>
    <n v="0"/>
    <n v="0"/>
  </r>
  <r>
    <x v="0"/>
    <n v="2024"/>
    <x v="0"/>
    <s v="GD"/>
    <x v="0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s v="IK"/>
    <n v="15"/>
    <n v="66.197999999999993"/>
    <n v="0"/>
    <n v="0"/>
    <n v="0"/>
    <n v="9.9297000000000004"/>
    <n v="5.7923249999999999"/>
    <n v="0"/>
    <n v="0"/>
    <n v="0"/>
    <n v="0"/>
    <m/>
    <n v="0"/>
    <n v="81.920024999999995"/>
    <n v="0"/>
    <n v="0"/>
  </r>
  <r>
    <x v="0"/>
    <n v="2024"/>
    <x v="0"/>
    <s v="GD"/>
    <x v="0"/>
    <s v="URT_GD: General Distribution"/>
    <n v="1"/>
    <m/>
    <s v="Ambovombe"/>
    <x v="0"/>
    <s v="Taolagnaro"/>
    <s v="Androy"/>
    <s v="Ambovombe"/>
    <m/>
    <s v="Jafaro"/>
    <m/>
    <m/>
    <m/>
    <n v="26677"/>
    <n v="5335.4"/>
    <s v="IK"/>
    <n v="15"/>
    <n v="160.06200000000001"/>
    <n v="0"/>
    <n v="0"/>
    <n v="0"/>
    <n v="24.0093"/>
    <n v="14.005425000000001"/>
    <n v="0"/>
    <n v="0"/>
    <n v="0"/>
    <n v="0"/>
    <m/>
    <n v="0"/>
    <n v="198.07672500000001"/>
    <n v="0"/>
    <n v="0"/>
  </r>
  <r>
    <x v="0"/>
    <n v="2024"/>
    <x v="0"/>
    <s v="GD"/>
    <x v="0"/>
    <s v="URT_GD: General Distribution"/>
    <n v="2"/>
    <m/>
    <s v="Tuléar"/>
    <x v="2"/>
    <s v="Tuléar"/>
    <s v="Atsimo Andrefana"/>
    <s v="Betioky"/>
    <m/>
    <s v="Tongobory"/>
    <m/>
    <m/>
    <m/>
    <n v="8716"/>
    <n v="1743.2"/>
    <s v="IK"/>
    <n v="15"/>
    <n v="52.295999999999999"/>
    <n v="0"/>
    <n v="0"/>
    <n v="0"/>
    <n v="7.8444000000000003"/>
    <n v="4.5758999999999999"/>
    <n v="0"/>
    <n v="0"/>
    <n v="0"/>
    <n v="0"/>
    <m/>
    <n v="0"/>
    <n v="64.716300000000004"/>
    <n v="0"/>
    <n v="0"/>
  </r>
  <r>
    <x v="0"/>
    <n v="2024"/>
    <x v="0"/>
    <s v="GD"/>
    <x v="0"/>
    <s v="URT_GD: General Distribution"/>
    <n v="1"/>
    <m/>
    <m/>
    <x v="3"/>
    <m/>
    <s v="Atsimo Antsinana"/>
    <s v="Vangaindrano"/>
    <m/>
    <s v="Manambondro"/>
    <m/>
    <m/>
    <m/>
    <n v="4868"/>
    <n v="973.6"/>
    <s v="IK"/>
    <n v="15"/>
    <n v="29.207999999999998"/>
    <n v="0"/>
    <n v="0"/>
    <n v="0"/>
    <n v="4.3811999999999998"/>
    <n v="2.5556999999999999"/>
    <n v="0"/>
    <n v="0"/>
    <n v="0"/>
    <n v="0"/>
    <m/>
    <n v="0"/>
    <n v="36.1449"/>
    <n v="0"/>
    <n v="0"/>
  </r>
  <r>
    <x v="0"/>
    <n v="2024"/>
    <x v="0"/>
    <s v="GD"/>
    <x v="0"/>
    <s v="URT_GD: General Distribution"/>
    <n v="1"/>
    <m/>
    <m/>
    <x v="3"/>
    <m/>
    <s v="Atsimo Antsinana"/>
    <s v="Vangaindrano"/>
    <m/>
    <s v="Marokibo"/>
    <m/>
    <m/>
    <m/>
    <n v="4267"/>
    <n v="853.4"/>
    <s v="IK"/>
    <n v="15"/>
    <n v="25.602"/>
    <n v="0"/>
    <n v="0"/>
    <n v="0"/>
    <n v="3.8403"/>
    <n v="2.2401749999999998"/>
    <n v="0"/>
    <n v="0"/>
    <n v="0"/>
    <n v="0"/>
    <m/>
    <n v="0"/>
    <n v="31.682475"/>
    <n v="0"/>
    <n v="0"/>
  </r>
  <r>
    <x v="0"/>
    <n v="2024"/>
    <x v="0"/>
    <s v="GD"/>
    <x v="0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s v="IK"/>
    <n v="15"/>
    <n v="75.774000000000001"/>
    <n v="0"/>
    <n v="0"/>
    <n v="0"/>
    <n v="11.366099999999999"/>
    <n v="6.6302250000000003"/>
    <n v="0"/>
    <n v="0"/>
    <n v="0"/>
    <n v="0"/>
    <m/>
    <n v="0"/>
    <n v="93.770325"/>
    <n v="0"/>
    <n v="0"/>
  </r>
  <r>
    <x v="0"/>
    <n v="2024"/>
    <x v="0"/>
    <s v="GD"/>
    <x v="0"/>
    <s v="URT_GD: General Distribution"/>
    <n v="1"/>
    <m/>
    <m/>
    <x v="3"/>
    <m/>
    <s v="Atsimo Antsinana"/>
    <s v="Vangaindrano"/>
    <m/>
    <s v="Masianaka"/>
    <m/>
    <m/>
    <m/>
    <n v="19824"/>
    <n v="3964.8"/>
    <s v="IK"/>
    <n v="15"/>
    <n v="118.944"/>
    <n v="0"/>
    <n v="0"/>
    <n v="0"/>
    <n v="17.8416"/>
    <n v="10.4076"/>
    <n v="0"/>
    <n v="0"/>
    <n v="0"/>
    <n v="0"/>
    <m/>
    <n v="0"/>
    <n v="147.19319999999999"/>
    <n v="0"/>
    <n v="0"/>
  </r>
  <r>
    <x v="0"/>
    <n v="2024"/>
    <x v="0"/>
    <s v="GD"/>
    <x v="0"/>
    <s v="URT_GD: General Distribution"/>
    <n v="1"/>
    <m/>
    <m/>
    <x v="3"/>
    <m/>
    <s v="Atsimo Antsinana"/>
    <s v="Vangaindrano"/>
    <m/>
    <s v="Ranomena"/>
    <m/>
    <m/>
    <m/>
    <n v="17521"/>
    <n v="3504.2"/>
    <s v="IK"/>
    <n v="15"/>
    <n v="105.126"/>
    <n v="0"/>
    <n v="0"/>
    <n v="0"/>
    <n v="15.7689"/>
    <n v="9.1985250000000001"/>
    <n v="0"/>
    <n v="0"/>
    <n v="0"/>
    <n v="0"/>
    <m/>
    <n v="0"/>
    <n v="130.093425"/>
    <n v="0"/>
    <n v="0"/>
  </r>
  <r>
    <x v="0"/>
    <n v="2024"/>
    <x v="0"/>
    <s v="GD"/>
    <x v="0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s v="IK"/>
    <n v="15"/>
    <n v="34.488"/>
    <n v="0"/>
    <n v="0"/>
    <n v="0"/>
    <n v="5.1731999999999996"/>
    <n v="3.0177"/>
    <n v="0"/>
    <n v="0"/>
    <n v="0"/>
    <n v="0"/>
    <m/>
    <n v="0"/>
    <n v="42.678899999999999"/>
    <n v="0"/>
    <n v="0"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Ambahita"/>
    <m/>
    <m/>
    <m/>
    <n v="835"/>
    <n v="835"/>
    <s v="IK"/>
    <n v="30"/>
    <m/>
    <n v="0"/>
    <n v="0"/>
    <n v="0"/>
    <n v="0"/>
    <n v="0.501"/>
    <n v="0"/>
    <n v="0"/>
    <n v="5.01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Amborompotsy"/>
    <m/>
    <m/>
    <m/>
    <n v="882"/>
    <n v="882"/>
    <s v="IK"/>
    <n v="30"/>
    <m/>
    <n v="0"/>
    <n v="0"/>
    <n v="0"/>
    <n v="0"/>
    <n v="0.5292"/>
    <n v="0"/>
    <n v="0"/>
    <n v="5.2919999999999998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Ambovombe"/>
    <m/>
    <s v="Andalatanosy"/>
    <m/>
    <m/>
    <m/>
    <n v="1691"/>
    <n v="1691"/>
    <s v="IK"/>
    <n v="30"/>
    <m/>
    <n v="0"/>
    <n v="0"/>
    <n v="0"/>
    <n v="0"/>
    <n v="1.0145999999999999"/>
    <n v="0"/>
    <n v="0"/>
    <n v="10.146000000000001"/>
    <n v="0"/>
    <m/>
    <n v="0"/>
    <n v="0"/>
    <m/>
    <m/>
  </r>
  <r>
    <x v="0"/>
    <n v="2024"/>
    <x v="0"/>
    <s v="Nutrition"/>
    <x v="1"/>
    <s v="URT_PREV:Prevention of acute malnutrition"/>
    <n v="2"/>
    <m/>
    <m/>
    <x v="0"/>
    <s v="Taolagnaro"/>
    <s v="Anosy"/>
    <s v="Taolagnaro"/>
    <m/>
    <s v="Andranobory"/>
    <m/>
    <m/>
    <m/>
    <n v="364"/>
    <n v="364"/>
    <s v="IK"/>
    <n v="30"/>
    <m/>
    <n v="0"/>
    <n v="0"/>
    <n v="0"/>
    <n v="0"/>
    <n v="0.21840000000000001"/>
    <n v="0"/>
    <n v="0"/>
    <n v="2.1840000000000002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ipano"/>
    <m/>
    <m/>
    <m/>
    <n v="578"/>
    <n v="578"/>
    <s v="IK"/>
    <n v="30"/>
    <m/>
    <n v="0"/>
    <n v="0"/>
    <n v="0"/>
    <n v="0"/>
    <n v="0.3468"/>
    <n v="0"/>
    <n v="0"/>
    <n v="3.468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ka"/>
    <m/>
    <m/>
    <m/>
    <n v="1750"/>
    <n v="1750"/>
    <s v="IK"/>
    <n v="30"/>
    <m/>
    <n v="0"/>
    <n v="0"/>
    <n v="0"/>
    <n v="0"/>
    <n v="1.05"/>
    <n v="0"/>
    <n v="0"/>
    <n v="10.5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Vatovavy"/>
    <s v="Nosy Varika"/>
    <m/>
    <s v="Ambahy"/>
    <m/>
    <m/>
    <m/>
    <n v="187"/>
    <n v="187"/>
    <s v="IK"/>
    <n v="30"/>
    <n v="0"/>
    <n v="0"/>
    <n v="0"/>
    <n v="0"/>
    <n v="0"/>
    <n v="0.11219999999999999"/>
    <n v="0"/>
    <n v="0"/>
    <n v="1.1220000000000001"/>
    <n v="0"/>
    <n v="0"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Anivorano Mitsinjo"/>
    <m/>
    <m/>
    <m/>
    <n v="340"/>
    <n v="340"/>
    <s v="IK"/>
    <n v="30"/>
    <m/>
    <n v="0"/>
    <n v="0"/>
    <n v="0"/>
    <n v="0"/>
    <n v="0.20399999999999999"/>
    <n v="0"/>
    <n v="0"/>
    <n v="2.04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Vatovavy"/>
    <s v="Nosy Varika"/>
    <m/>
    <s v="Ambodirian'I Sahafary"/>
    <m/>
    <m/>
    <m/>
    <n v="911"/>
    <n v="911"/>
    <s v="IK"/>
    <n v="30"/>
    <n v="0"/>
    <n v="0"/>
    <n v="0"/>
    <n v="0"/>
    <n v="0"/>
    <n v="0.54659999999999997"/>
    <n v="0"/>
    <n v="0"/>
    <n v="5.4660000000000002"/>
    <n v="0"/>
    <n v="0"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Anja Nord"/>
    <m/>
    <m/>
    <m/>
    <n v="189"/>
    <n v="189"/>
    <s v="IK"/>
    <n v="30"/>
    <m/>
    <n v="0"/>
    <n v="0"/>
    <n v="0"/>
    <n v="0"/>
    <n v="0.1134"/>
    <n v="0"/>
    <n v="0"/>
    <n v="1.1339999999999999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Ambovombe"/>
    <m/>
    <s v="Ampamata"/>
    <m/>
    <m/>
    <m/>
    <n v="508"/>
    <n v="508"/>
    <s v="IK"/>
    <n v="30"/>
    <m/>
    <n v="0"/>
    <n v="0"/>
    <n v="0"/>
    <n v="0"/>
    <n v="0.30480000000000002"/>
    <n v="0"/>
    <n v="0"/>
    <n v="3.048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s v="IK"/>
    <n v="30"/>
    <m/>
    <n v="0"/>
    <n v="0"/>
    <n v="0"/>
    <n v="0"/>
    <n v="0.56640000000000001"/>
    <n v="0"/>
    <n v="0"/>
    <n v="5.6639999999999997"/>
    <n v="0"/>
    <m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Ankazombalala"/>
    <m/>
    <m/>
    <m/>
    <n v="600"/>
    <n v="600"/>
    <s v="IK"/>
    <n v="30"/>
    <m/>
    <n v="0"/>
    <n v="0"/>
    <n v="0"/>
    <n v="0"/>
    <n v="0.36"/>
    <n v="0"/>
    <n v="0"/>
    <n v="3.6"/>
    <n v="0"/>
    <m/>
    <n v="0"/>
    <n v="0"/>
    <m/>
    <m/>
  </r>
  <r>
    <x v="0"/>
    <n v="2024"/>
    <x v="0"/>
    <s v="Nutrition"/>
    <x v="1"/>
    <s v="URT_PREV:Prevention of acute malnutrition"/>
    <n v="2"/>
    <m/>
    <m/>
    <x v="1"/>
    <s v="Tuléar"/>
    <s v="Atsimo Andrefana"/>
    <s v="Ampanihy Ouest"/>
    <m/>
    <s v="Ankiliabo"/>
    <m/>
    <m/>
    <m/>
    <n v="905"/>
    <n v="905"/>
    <s v="IK"/>
    <n v="30"/>
    <m/>
    <n v="0"/>
    <n v="0"/>
    <n v="0"/>
    <n v="0"/>
    <n v="0.54300000000000004"/>
    <n v="0"/>
    <n v="0"/>
    <n v="5.43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Antsakoamaro"/>
    <m/>
    <m/>
    <m/>
    <n v="310"/>
    <n v="310"/>
    <s v="IK"/>
    <n v="30"/>
    <m/>
    <n v="0"/>
    <n v="0"/>
    <n v="0"/>
    <n v="0"/>
    <n v="0.186"/>
    <n v="0"/>
    <n v="0"/>
    <n v="1.86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Belafike haut"/>
    <m/>
    <m/>
    <m/>
    <n v="510"/>
    <n v="510"/>
    <s v="IK"/>
    <n v="30"/>
    <m/>
    <n v="0"/>
    <n v="0"/>
    <n v="0"/>
    <n v="0"/>
    <n v="0.30599999999999999"/>
    <n v="0"/>
    <n v="0"/>
    <n v="3.06"/>
    <n v="0"/>
    <m/>
    <n v="0"/>
    <n v="0"/>
    <m/>
    <m/>
  </r>
  <r>
    <x v="0"/>
    <n v="2024"/>
    <x v="0"/>
    <s v="Nutrition"/>
    <x v="1"/>
    <s v="URT_PREV:Prevention of acute malnutrition"/>
    <n v="2"/>
    <m/>
    <m/>
    <x v="3"/>
    <m/>
    <s v="Atsimo Antsinana"/>
    <s v="Vondrozo"/>
    <m/>
    <s v="Anandravy"/>
    <m/>
    <m/>
    <m/>
    <n v="240"/>
    <n v="240"/>
    <s v="IK"/>
    <n v="30"/>
    <m/>
    <n v="0"/>
    <n v="0"/>
    <n v="0"/>
    <n v="0"/>
    <n v="0.14399999999999999"/>
    <n v="0"/>
    <n v="0"/>
    <n v="1.44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Belindo Mahasoa"/>
    <m/>
    <m/>
    <m/>
    <n v="750"/>
    <n v="750"/>
    <s v="IK"/>
    <n v="30"/>
    <m/>
    <n v="0"/>
    <n v="0"/>
    <n v="0"/>
    <n v="0"/>
    <n v="0.45"/>
    <n v="0"/>
    <n v="0"/>
    <n v="4.5"/>
    <n v="0"/>
    <m/>
    <n v="0"/>
    <n v="0"/>
    <m/>
    <m/>
  </r>
  <r>
    <x v="0"/>
    <n v="2024"/>
    <x v="0"/>
    <s v="Nutrition"/>
    <x v="1"/>
    <s v="URT_PREV:Prevention of acute malnutrition"/>
    <n v="2"/>
    <m/>
    <m/>
    <x v="3"/>
    <m/>
    <s v="Atsimo Antsinana"/>
    <s v="Midongy Atsimo"/>
    <m/>
    <s v="Andranolalina"/>
    <m/>
    <m/>
    <m/>
    <n v="367"/>
    <n v="367"/>
    <s v="IK"/>
    <n v="30"/>
    <n v="0"/>
    <n v="0"/>
    <n v="0"/>
    <n v="0"/>
    <n v="0"/>
    <n v="0.22020000000000001"/>
    <n v="0"/>
    <n v="0"/>
    <n v="2.202"/>
    <n v="0"/>
    <n v="0"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Ankazomanga Ouest"/>
    <m/>
    <m/>
    <m/>
    <n v="181"/>
    <n v="181"/>
    <s v="IK"/>
    <n v="30"/>
    <n v="0"/>
    <n v="0"/>
    <n v="0"/>
    <n v="0"/>
    <n v="0"/>
    <n v="0.1086"/>
    <n v="0"/>
    <n v="0"/>
    <n v="1.0860000000000001"/>
    <n v="0"/>
    <n v="0"/>
    <n v="0"/>
    <n v="0"/>
    <m/>
    <m/>
  </r>
  <r>
    <x v="0"/>
    <n v="2024"/>
    <x v="0"/>
    <s v="Nutrition"/>
    <x v="1"/>
    <s v="URT_PREV:Prevention of acute malnutrition"/>
    <n v="1"/>
    <m/>
    <m/>
    <x v="2"/>
    <s v="Tuléar"/>
    <s v="Atsimo Andrefana"/>
    <s v="Betioky"/>
    <m/>
    <s v="Beora"/>
    <m/>
    <m/>
    <m/>
    <n v="50"/>
    <n v="50"/>
    <s v="IK"/>
    <n v="30"/>
    <m/>
    <n v="0"/>
    <n v="0"/>
    <n v="0"/>
    <n v="0"/>
    <n v="0.03"/>
    <n v="0"/>
    <n v="0"/>
    <n v="0.3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Bevitiky"/>
    <m/>
    <m/>
    <m/>
    <n v="317"/>
    <n v="317"/>
    <s v="IK"/>
    <n v="30"/>
    <m/>
    <n v="0"/>
    <n v="0"/>
    <n v="0"/>
    <n v="0"/>
    <n v="0.19020000000000001"/>
    <n v="0"/>
    <n v="0"/>
    <n v="1.9019999999999999"/>
    <n v="0"/>
    <m/>
    <n v="0"/>
    <n v="0"/>
    <m/>
    <m/>
  </r>
  <r>
    <x v="0"/>
    <n v="2024"/>
    <x v="0"/>
    <s v="Nutrition"/>
    <x v="1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s v="IK"/>
    <n v="30"/>
    <m/>
    <n v="0"/>
    <n v="0"/>
    <n v="0"/>
    <n v="0"/>
    <n v="0.40620000000000001"/>
    <n v="0"/>
    <n v="0"/>
    <n v="4.0620000000000003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Gogogogo"/>
    <m/>
    <m/>
    <m/>
    <n v="948"/>
    <n v="948"/>
    <s v="IK"/>
    <n v="30"/>
    <m/>
    <n v="0"/>
    <n v="0"/>
    <n v="0"/>
    <n v="0"/>
    <n v="0.56879999999999997"/>
    <n v="0"/>
    <n v="0"/>
    <n v="5.6879999999999997"/>
    <n v="0"/>
    <m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Lazarivo"/>
    <m/>
    <m/>
    <m/>
    <n v="545"/>
    <n v="545"/>
    <s v="IK"/>
    <n v="30"/>
    <m/>
    <n v="0"/>
    <n v="0"/>
    <n v="0"/>
    <n v="0"/>
    <n v="0.32700000000000001"/>
    <n v="0"/>
    <n v="0"/>
    <n v="3.27"/>
    <n v="0"/>
    <m/>
    <n v="0"/>
    <n v="0"/>
    <m/>
    <m/>
  </r>
  <r>
    <x v="0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s v="IK"/>
    <n v="30"/>
    <m/>
    <n v="0"/>
    <n v="0"/>
    <n v="0"/>
    <n v="0"/>
    <n v="0.17280000000000001"/>
    <n v="0"/>
    <n v="0"/>
    <n v="1.728"/>
    <n v="0"/>
    <m/>
    <n v="0"/>
    <n v="0"/>
    <m/>
    <m/>
  </r>
  <r>
    <x v="0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s v="IK"/>
    <n v="30"/>
    <m/>
    <n v="0"/>
    <n v="0"/>
    <n v="0"/>
    <n v="0"/>
    <n v="0.62219999999999998"/>
    <n v="0"/>
    <n v="0"/>
    <n v="6.2220000000000004"/>
    <n v="0"/>
    <m/>
    <n v="0"/>
    <n v="0"/>
    <m/>
    <m/>
  </r>
  <r>
    <x v="0"/>
    <n v="2024"/>
    <x v="0"/>
    <s v="Nutrition"/>
    <x v="1"/>
    <s v="URT_PREV:Prevention of acute malnutrition"/>
    <n v="2"/>
    <m/>
    <m/>
    <x v="3"/>
    <m/>
    <s v="Atsimo Antsinana"/>
    <s v="Vondrozo"/>
    <m/>
    <s v="Mahatsinjo"/>
    <m/>
    <m/>
    <m/>
    <n v="384"/>
    <n v="384"/>
    <s v="IK"/>
    <n v="30"/>
    <m/>
    <n v="0"/>
    <n v="0"/>
    <n v="0"/>
    <n v="0"/>
    <n v="0.23039999999999999"/>
    <n v="0"/>
    <n v="0"/>
    <n v="2.3039999999999998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Manakompy"/>
    <m/>
    <m/>
    <m/>
    <n v="338"/>
    <n v="338"/>
    <s v="IK"/>
    <n v="30"/>
    <m/>
    <n v="0"/>
    <n v="0"/>
    <n v="0"/>
    <n v="0"/>
    <n v="0.20280000000000001"/>
    <n v="0"/>
    <n v="0"/>
    <n v="2.028"/>
    <n v="0"/>
    <m/>
    <n v="0"/>
    <n v="0"/>
    <m/>
    <m/>
  </r>
  <r>
    <x v="0"/>
    <n v="2024"/>
    <x v="0"/>
    <s v="Nutrition"/>
    <x v="1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s v="IK"/>
    <n v="30"/>
    <m/>
    <n v="0"/>
    <n v="0"/>
    <n v="0"/>
    <n v="0"/>
    <n v="0.4572"/>
    <n v="0"/>
    <n v="0"/>
    <n v="4.5720000000000001"/>
    <n v="0"/>
    <m/>
    <n v="0"/>
    <n v="0"/>
    <m/>
    <m/>
  </r>
  <r>
    <x v="0"/>
    <n v="2024"/>
    <x v="0"/>
    <s v="Nutrition"/>
    <x v="1"/>
    <s v="URT_PREV:Prevention of acute malnutrition"/>
    <n v="1"/>
    <m/>
    <m/>
    <x v="2"/>
    <s v="Tuléar"/>
    <s v="Atsimo Andrefana"/>
    <s v="Betioky"/>
    <m/>
    <s v="Marosavoa"/>
    <m/>
    <m/>
    <m/>
    <n v="188"/>
    <n v="188"/>
    <s v="IK"/>
    <n v="30"/>
    <m/>
    <n v="0"/>
    <n v="0"/>
    <n v="0"/>
    <n v="0"/>
    <n v="0.1128"/>
    <n v="0"/>
    <n v="0"/>
    <n v="1.1279999999999999"/>
    <n v="0"/>
    <m/>
    <n v="0"/>
    <n v="0"/>
    <m/>
    <m/>
  </r>
  <r>
    <x v="0"/>
    <n v="2024"/>
    <x v="0"/>
    <s v="Nutrition"/>
    <x v="1"/>
    <s v="URT_PREV:Prevention of acute malnutrition"/>
    <n v="1"/>
    <m/>
    <m/>
    <x v="1"/>
    <s v="Tuléar"/>
    <s v="Atsimo Andrefana"/>
    <s v="Ampanihy Ouest"/>
    <m/>
    <s v="Ankilizato"/>
    <m/>
    <m/>
    <m/>
    <n v="397"/>
    <n v="397"/>
    <s v="IK"/>
    <n v="30"/>
    <m/>
    <n v="0"/>
    <n v="0"/>
    <n v="0"/>
    <n v="0"/>
    <n v="0.2382"/>
    <n v="0"/>
    <n v="0"/>
    <n v="2.3820000000000001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Maroviro"/>
    <m/>
    <m/>
    <m/>
    <n v="621"/>
    <n v="621"/>
    <s v="IK"/>
    <n v="30"/>
    <m/>
    <n v="0"/>
    <n v="0"/>
    <n v="0"/>
    <n v="0"/>
    <n v="0.37259999999999999"/>
    <n v="0"/>
    <n v="0"/>
    <n v="3.726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s v="IK"/>
    <n v="30"/>
    <n v="0"/>
    <n v="0"/>
    <n v="0"/>
    <n v="0"/>
    <n v="0"/>
    <n v="0.79200000000000004"/>
    <n v="0"/>
    <n v="0"/>
    <n v="7.92"/>
    <n v="0"/>
    <n v="0"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Vangaindrano"/>
    <m/>
    <s v="Matanga"/>
    <m/>
    <m/>
    <m/>
    <n v="687"/>
    <n v="687"/>
    <s v="IK"/>
    <n v="30"/>
    <m/>
    <n v="0"/>
    <n v="0"/>
    <n v="0"/>
    <n v="0"/>
    <n v="0.41220000000000001"/>
    <n v="0"/>
    <n v="0"/>
    <n v="4.1219999999999999"/>
    <n v="0"/>
    <m/>
    <n v="0"/>
    <n v="0"/>
    <m/>
    <m/>
  </r>
  <r>
    <x v="0"/>
    <n v="2024"/>
    <x v="0"/>
    <s v="Nutrition"/>
    <x v="1"/>
    <s v="URT_PREV:Prevention of acute malnutrition"/>
    <n v="2"/>
    <m/>
    <m/>
    <x v="3"/>
    <m/>
    <s v="Atsimo Antsinana"/>
    <s v="Befotaka"/>
    <m/>
    <s v="Antondabe"/>
    <m/>
    <m/>
    <m/>
    <n v="259"/>
    <n v="259"/>
    <s v="IK"/>
    <n v="30"/>
    <m/>
    <n v="0"/>
    <n v="0"/>
    <n v="0"/>
    <n v="0"/>
    <n v="0.15540000000000001"/>
    <n v="0"/>
    <n v="0"/>
    <n v="1.554"/>
    <n v="0"/>
    <m/>
    <n v="0"/>
    <n v="0"/>
    <m/>
    <m/>
  </r>
  <r>
    <x v="0"/>
    <n v="2024"/>
    <x v="0"/>
    <s v="Nutrition"/>
    <x v="1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s v="IK"/>
    <n v="30"/>
    <m/>
    <n v="0"/>
    <n v="0"/>
    <n v="0"/>
    <n v="0"/>
    <n v="0.25380000000000003"/>
    <n v="0"/>
    <n v="0"/>
    <n v="2.5379999999999998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Befotaka"/>
    <m/>
    <s v="Befotaka Sud"/>
    <m/>
    <m/>
    <m/>
    <n v="513"/>
    <n v="513"/>
    <s v="IK"/>
    <n v="30"/>
    <n v="0"/>
    <n v="0"/>
    <n v="0"/>
    <n v="0"/>
    <n v="0"/>
    <n v="0.30780000000000002"/>
    <n v="0"/>
    <n v="0"/>
    <n v="3.0779999999999998"/>
    <n v="0"/>
    <n v="0"/>
    <n v="0"/>
    <n v="0"/>
    <m/>
    <m/>
  </r>
  <r>
    <x v="0"/>
    <n v="2024"/>
    <x v="0"/>
    <s v="Nutrition"/>
    <x v="1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s v="IK"/>
    <n v="30"/>
    <m/>
    <n v="0"/>
    <n v="0"/>
    <n v="0"/>
    <n v="0"/>
    <n v="0.33119999999999999"/>
    <n v="0"/>
    <n v="0"/>
    <n v="3.3119999999999998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Vatovavy"/>
    <s v="Nosy Varika"/>
    <m/>
    <s v="Fanivelona"/>
    <m/>
    <m/>
    <m/>
    <n v="512"/>
    <n v="512"/>
    <s v="IK"/>
    <n v="30"/>
    <n v="0"/>
    <n v="0"/>
    <n v="0"/>
    <n v="0"/>
    <n v="0"/>
    <n v="0.30719999999999997"/>
    <n v="0"/>
    <n v="0"/>
    <n v="3.0720000000000001"/>
    <n v="0"/>
    <n v="0"/>
    <n v="0"/>
    <n v="0"/>
    <m/>
    <m/>
  </r>
  <r>
    <x v="0"/>
    <n v="2024"/>
    <x v="0"/>
    <s v="Nutrition"/>
    <x v="1"/>
    <s v="URT_PREV:Prevention of acute malnutrition"/>
    <n v="1"/>
    <m/>
    <m/>
    <x v="3"/>
    <m/>
    <s v="Vatovavy"/>
    <s v="Nosy Varika"/>
    <m/>
    <s v="Fiadanana"/>
    <m/>
    <m/>
    <m/>
    <n v="640"/>
    <n v="640"/>
    <s v="IK"/>
    <n v="30"/>
    <n v="0"/>
    <n v="0"/>
    <n v="0"/>
    <n v="0"/>
    <n v="0"/>
    <n v="0.38400000000000001"/>
    <n v="0"/>
    <n v="0"/>
    <n v="3.84"/>
    <n v="0"/>
    <n v="0"/>
    <n v="0"/>
    <n v="0"/>
    <m/>
    <m/>
  </r>
  <r>
    <x v="0"/>
    <n v="2024"/>
    <x v="0"/>
    <s v="Nutrition"/>
    <x v="1"/>
    <s v="URT_PREV:Prevention of acute malnutrition"/>
    <n v="2"/>
    <m/>
    <m/>
    <x v="3"/>
    <m/>
    <s v="Atsimo Antsinana"/>
    <s v="Midongy Atsimo"/>
    <m/>
    <s v="Ivondro"/>
    <m/>
    <m/>
    <m/>
    <n v="374"/>
    <n v="374"/>
    <s v="IK"/>
    <n v="30"/>
    <n v="0"/>
    <n v="0"/>
    <n v="0"/>
    <n v="0"/>
    <n v="0"/>
    <n v="0.22439999999999999"/>
    <n v="0"/>
    <n v="0"/>
    <n v="2.2440000000000002"/>
    <n v="0"/>
    <n v="0"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Ambovombe"/>
    <m/>
    <s v="Jafaro"/>
    <m/>
    <m/>
    <m/>
    <n v="1334"/>
    <n v="1334"/>
    <s v="IK"/>
    <n v="30"/>
    <m/>
    <n v="0"/>
    <n v="0"/>
    <n v="0"/>
    <n v="0"/>
    <n v="0.8004"/>
    <n v="0"/>
    <n v="0"/>
    <n v="8.0039999999999996"/>
    <n v="0"/>
    <m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Tongobory"/>
    <m/>
    <m/>
    <m/>
    <n v="436"/>
    <n v="436"/>
    <s v="IK"/>
    <n v="30"/>
    <m/>
    <n v="0"/>
    <n v="0"/>
    <n v="0"/>
    <n v="0"/>
    <n v="0.2616"/>
    <n v="0"/>
    <n v="0"/>
    <n v="2.6160000000000001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Vangaindrano"/>
    <m/>
    <s v="Manambondro"/>
    <m/>
    <m/>
    <m/>
    <n v="243"/>
    <n v="243"/>
    <s v="IK"/>
    <n v="30"/>
    <m/>
    <n v="0"/>
    <n v="0"/>
    <n v="0"/>
    <n v="0"/>
    <n v="0.14580000000000001"/>
    <n v="0"/>
    <n v="0"/>
    <n v="1.458"/>
    <n v="0"/>
    <m/>
    <n v="0"/>
    <n v="0"/>
    <m/>
    <m/>
  </r>
  <r>
    <x v="0"/>
    <n v="2024"/>
    <x v="0"/>
    <s v="Nutrition"/>
    <x v="1"/>
    <s v="URT_PREV:Prevention of acute malnutrition"/>
    <n v="1"/>
    <m/>
    <m/>
    <x v="2"/>
    <s v="Tuléar"/>
    <s v="Atsimo Andrefana"/>
    <s v="Betioky"/>
    <m/>
    <s v="Maroarivo Ankazomanga"/>
    <m/>
    <m/>
    <m/>
    <n v="323"/>
    <n v="323"/>
    <s v="IK"/>
    <n v="30"/>
    <n v="0"/>
    <n v="0"/>
    <n v="0"/>
    <n v="0"/>
    <n v="0"/>
    <n v="0.1938"/>
    <n v="0"/>
    <n v="0"/>
    <n v="1.9379999999999999"/>
    <n v="0"/>
    <n v="0"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Vangaindrano"/>
    <m/>
    <s v="Marokibo"/>
    <m/>
    <m/>
    <m/>
    <n v="213"/>
    <n v="213"/>
    <s v="IK"/>
    <n v="30"/>
    <m/>
    <n v="0"/>
    <n v="0"/>
    <n v="0"/>
    <n v="0"/>
    <n v="0.1278"/>
    <n v="0"/>
    <n v="0"/>
    <n v="1.278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loha"/>
    <m/>
    <s v="Tranovaho"/>
    <m/>
    <m/>
    <m/>
    <n v="631"/>
    <n v="631"/>
    <s v="IK"/>
    <n v="30"/>
    <m/>
    <n v="0"/>
    <n v="0"/>
    <n v="0"/>
    <n v="0"/>
    <n v="0.37859999999999999"/>
    <n v="0"/>
    <n v="0"/>
    <n v="3.786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Vangaindrano"/>
    <m/>
    <s v="Masianaka"/>
    <m/>
    <m/>
    <m/>
    <n v="991"/>
    <n v="991"/>
    <s v="IK"/>
    <n v="30"/>
    <m/>
    <n v="0"/>
    <n v="0"/>
    <n v="0"/>
    <n v="0"/>
    <n v="0.59460000000000002"/>
    <n v="0"/>
    <n v="0"/>
    <n v="5.9459999999999997"/>
    <n v="0"/>
    <m/>
    <n v="0"/>
    <n v="0"/>
    <m/>
    <m/>
  </r>
  <r>
    <x v="0"/>
    <n v="2024"/>
    <x v="0"/>
    <s v="Nutrition"/>
    <x v="1"/>
    <s v="URT_PREV:Prevention of acute malnutrition"/>
    <n v="1"/>
    <m/>
    <m/>
    <x v="3"/>
    <m/>
    <s v="Atsimo Antsinana"/>
    <s v="Vangaindrano"/>
    <m/>
    <s v="Ranomena"/>
    <m/>
    <m/>
    <m/>
    <n v="876"/>
    <n v="876"/>
    <s v="IK"/>
    <n v="30"/>
    <m/>
    <n v="0"/>
    <n v="0"/>
    <n v="0"/>
    <n v="0"/>
    <n v="0.52559999999999996"/>
    <n v="0"/>
    <n v="0"/>
    <n v="5.2560000000000002"/>
    <n v="0"/>
    <m/>
    <n v="0"/>
    <n v="0"/>
    <m/>
    <m/>
  </r>
  <r>
    <x v="0"/>
    <n v="2024"/>
    <x v="0"/>
    <s v="Nutrition"/>
    <x v="1"/>
    <s v="URT_PREV:Prevention of acute malnutrition"/>
    <n v="1"/>
    <m/>
    <m/>
    <x v="0"/>
    <s v="Taolagnaro"/>
    <s v="Androy"/>
    <s v="Bekily"/>
    <m/>
    <s v="Tsikolaky"/>
    <m/>
    <m/>
    <m/>
    <n v="287"/>
    <n v="287"/>
    <s v="IK"/>
    <n v="30"/>
    <m/>
    <n v="0"/>
    <n v="0"/>
    <n v="0"/>
    <n v="0"/>
    <n v="0.17219999999999999"/>
    <n v="0"/>
    <n v="0"/>
    <n v="1.722"/>
    <n v="0"/>
    <m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Salobe"/>
    <m/>
    <m/>
    <m/>
    <n v="222"/>
    <n v="222"/>
    <s v="IK"/>
    <n v="30"/>
    <n v="0"/>
    <n v="0"/>
    <n v="0"/>
    <n v="0"/>
    <n v="0"/>
    <n v="0.13320000000000001"/>
    <n v="0"/>
    <n v="0"/>
    <n v="1.3320000000000001"/>
    <n v="0"/>
    <n v="0"/>
    <n v="0"/>
    <n v="0"/>
    <m/>
    <m/>
  </r>
  <r>
    <x v="0"/>
    <n v="2024"/>
    <x v="0"/>
    <s v="Nutrition"/>
    <x v="1"/>
    <s v="URT_PREV:Prevention of acute malnutrition"/>
    <n v="2"/>
    <m/>
    <m/>
    <x v="2"/>
    <s v="Tuléar"/>
    <s v="Atsimo Andrefana"/>
    <s v="Betioky"/>
    <m/>
    <s v="Tanambao Haut"/>
    <m/>
    <m/>
    <m/>
    <n v="288"/>
    <n v="288"/>
    <s v="IK"/>
    <n v="30"/>
    <n v="0"/>
    <n v="0"/>
    <n v="0"/>
    <n v="0"/>
    <n v="0"/>
    <n v="0.17280000000000001"/>
    <n v="0"/>
    <n v="0"/>
    <n v="1.728"/>
    <n v="0"/>
    <n v="0"/>
    <n v="0"/>
    <n v="0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BORY NORD"/>
    <m/>
    <m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ANINDRATO"/>
    <m/>
    <m/>
    <n v="350"/>
    <m/>
    <s v="IK"/>
    <n v="30"/>
    <m/>
    <m/>
    <m/>
    <m/>
    <m/>
    <n v="0.21"/>
    <m/>
    <m/>
    <n v="2.1"/>
    <m/>
    <m/>
    <m/>
    <n v="2.3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TELO II"/>
    <m/>
    <m/>
    <n v="270"/>
    <m/>
    <s v="IK"/>
    <n v="30"/>
    <m/>
    <m/>
    <m/>
    <m/>
    <m/>
    <n v="0.16200000000000001"/>
    <m/>
    <m/>
    <n v="1.62"/>
    <m/>
    <m/>
    <m/>
    <n v="1.78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JABELITSAKY"/>
    <m/>
    <m/>
    <n v="339"/>
    <m/>
    <s v="IK"/>
    <n v="30"/>
    <m/>
    <m/>
    <m/>
    <m/>
    <m/>
    <n v="0.2034"/>
    <m/>
    <m/>
    <n v="2.0339999999999998"/>
    <m/>
    <m/>
    <m/>
    <n v="2.2373999999999996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SELY NORD"/>
    <m/>
    <m/>
    <n v="619"/>
    <m/>
    <s v="IK"/>
    <n v="30"/>
    <m/>
    <m/>
    <m/>
    <m/>
    <m/>
    <n v="0.37140000000000001"/>
    <m/>
    <m/>
    <n v="3.714"/>
    <m/>
    <m/>
    <m/>
    <n v="4.0853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FOLOTSE"/>
    <m/>
    <m/>
    <n v="271"/>
    <m/>
    <s v="IK"/>
    <n v="30"/>
    <m/>
    <m/>
    <m/>
    <m/>
    <m/>
    <n v="0.16259999999999999"/>
    <m/>
    <m/>
    <n v="1.6259999999999999"/>
    <m/>
    <m/>
    <m/>
    <n v="1.7886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TIKITIKY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ROJA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MPITANAKE"/>
    <m/>
    <m/>
    <n v="297"/>
    <m/>
    <s v="IK"/>
    <n v="30"/>
    <m/>
    <m/>
    <m/>
    <m/>
    <m/>
    <n v="0.1782"/>
    <m/>
    <m/>
    <n v="1.782"/>
    <m/>
    <m/>
    <m/>
    <n v="1.9601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ONGAENO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ROLINTA"/>
    <m/>
    <m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ITAMPOLO II"/>
    <m/>
    <m/>
    <n v="459"/>
    <m/>
    <s v="IK"/>
    <n v="30"/>
    <m/>
    <m/>
    <m/>
    <m/>
    <m/>
    <n v="0.27539999999999998"/>
    <m/>
    <m/>
    <n v="2.754"/>
    <m/>
    <m/>
    <m/>
    <n v="3.0293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MBE"/>
    <m/>
    <m/>
    <n v="243"/>
    <m/>
    <s v="IK"/>
    <n v="30"/>
    <m/>
    <m/>
    <m/>
    <m/>
    <m/>
    <n v="0.14580000000000001"/>
    <m/>
    <m/>
    <n v="1.458"/>
    <m/>
    <m/>
    <m/>
    <n v="1.6037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/RIONA NORD"/>
    <m/>
    <m/>
    <n v="425"/>
    <m/>
    <s v="IK"/>
    <n v="30"/>
    <m/>
    <m/>
    <m/>
    <m/>
    <m/>
    <n v="0.255"/>
    <m/>
    <m/>
    <n v="2.5499999999999998"/>
    <m/>
    <m/>
    <m/>
    <n v="2.8049999999999997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DRANOVAO"/>
    <m/>
    <m/>
    <n v="220"/>
    <m/>
    <s v="IK"/>
    <n v="30"/>
    <m/>
    <m/>
    <m/>
    <m/>
    <m/>
    <n v="0.13200000000000001"/>
    <m/>
    <m/>
    <n v="1.32"/>
    <m/>
    <m/>
    <m/>
    <n v="1.45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/MASINTSOA"/>
    <m/>
    <m/>
    <n v="251"/>
    <m/>
    <s v="IK"/>
    <n v="30"/>
    <m/>
    <m/>
    <m/>
    <m/>
    <m/>
    <n v="0.15060000000000001"/>
    <m/>
    <m/>
    <n v="1.506"/>
    <m/>
    <m/>
    <m/>
    <n v="1.6566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LANGERIAKY"/>
    <m/>
    <m/>
    <n v="239"/>
    <m/>
    <s v="IK"/>
    <n v="30"/>
    <m/>
    <m/>
    <m/>
    <m/>
    <m/>
    <n v="0.1434"/>
    <m/>
    <m/>
    <n v="1.4339999999999999"/>
    <m/>
    <m/>
    <m/>
    <n v="1.5773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NDROIPANO"/>
    <m/>
    <m/>
    <n v="661"/>
    <m/>
    <s v="IK"/>
    <n v="30"/>
    <m/>
    <m/>
    <m/>
    <m/>
    <m/>
    <n v="0.39660000000000001"/>
    <m/>
    <m/>
    <n v="3.9660000000000002"/>
    <m/>
    <m/>
    <m/>
    <n v="4.3626000000000005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BESELY SUD"/>
    <m/>
    <m/>
    <n v="582"/>
    <m/>
    <s v="IK"/>
    <n v="30"/>
    <m/>
    <m/>
    <m/>
    <m/>
    <m/>
    <n v="0.34920000000000001"/>
    <m/>
    <m/>
    <n v="3.492"/>
    <m/>
    <m/>
    <m/>
    <n v="3.841200000000000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TSIANDRIONA SUD"/>
    <m/>
    <m/>
    <n v="562"/>
    <m/>
    <s v="IK"/>
    <n v="30"/>
    <m/>
    <m/>
    <m/>
    <m/>
    <m/>
    <n v="0.3372"/>
    <m/>
    <m/>
    <n v="3.3719999999999999"/>
    <m/>
    <m/>
    <m/>
    <n v="3.7092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ALATSIMIVIKY"/>
    <m/>
    <m/>
    <n v="1411"/>
    <m/>
    <s v="IK"/>
    <n v="30"/>
    <m/>
    <m/>
    <m/>
    <m/>
    <m/>
    <n v="0.84660000000000002"/>
    <m/>
    <m/>
    <n v="8.4659999999999993"/>
    <m/>
    <m/>
    <m/>
    <n v="9.3125999999999998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OLOSOGNO"/>
    <m/>
    <m/>
    <n v="228"/>
    <m/>
    <s v="IK"/>
    <n v="30"/>
    <m/>
    <m/>
    <m/>
    <m/>
    <m/>
    <n v="0.1368"/>
    <m/>
    <m/>
    <n v="1.3680000000000001"/>
    <m/>
    <m/>
    <m/>
    <n v="1.5048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BORY NORD"/>
    <n v="69"/>
    <n v="54"/>
    <n v="123"/>
    <m/>
    <s v="IK"/>
    <n v="30"/>
    <m/>
    <m/>
    <m/>
    <m/>
    <m/>
    <m/>
    <m/>
    <m/>
    <m/>
    <m/>
    <n v="0.1845"/>
    <m/>
    <n v="0.1845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ANINDRATO"/>
    <n v="84"/>
    <n v="40"/>
    <n v="124"/>
    <m/>
    <s v="IK"/>
    <n v="30"/>
    <m/>
    <m/>
    <m/>
    <m/>
    <m/>
    <m/>
    <m/>
    <m/>
    <m/>
    <m/>
    <n v="0.186"/>
    <m/>
    <n v="0.186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TELO II"/>
    <n v="103"/>
    <n v="115"/>
    <n v="218"/>
    <m/>
    <s v="IK"/>
    <n v="30"/>
    <m/>
    <m/>
    <m/>
    <m/>
    <m/>
    <m/>
    <m/>
    <m/>
    <m/>
    <m/>
    <n v="0.32700000000000001"/>
    <m/>
    <n v="0.327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JABELITSAKY"/>
    <n v="84"/>
    <n v="29"/>
    <n v="113"/>
    <m/>
    <s v="IK"/>
    <n v="30"/>
    <m/>
    <m/>
    <m/>
    <m/>
    <m/>
    <m/>
    <m/>
    <m/>
    <m/>
    <m/>
    <n v="0.16950000000000001"/>
    <m/>
    <n v="0.1695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SELY NORD"/>
    <n v="84"/>
    <n v="114"/>
    <n v="198"/>
    <m/>
    <s v="IK"/>
    <n v="30"/>
    <m/>
    <m/>
    <m/>
    <m/>
    <m/>
    <m/>
    <m/>
    <m/>
    <m/>
    <m/>
    <n v="0.29699999999999999"/>
    <m/>
    <n v="0.2969999999999999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FOLOTSE"/>
    <n v="82"/>
    <n v="60"/>
    <n v="142"/>
    <m/>
    <s v="IK"/>
    <n v="30"/>
    <m/>
    <m/>
    <m/>
    <m/>
    <m/>
    <m/>
    <m/>
    <m/>
    <m/>
    <m/>
    <n v="0.21299999999999999"/>
    <m/>
    <n v="0.2129999999999999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TIKITIKY"/>
    <n v="24"/>
    <n v="18"/>
    <n v="42"/>
    <m/>
    <s v="IK"/>
    <n v="30"/>
    <m/>
    <m/>
    <m/>
    <m/>
    <m/>
    <m/>
    <m/>
    <m/>
    <m/>
    <m/>
    <n v="6.3E-2"/>
    <m/>
    <n v="6.3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ROJA"/>
    <n v="14"/>
    <n v="7"/>
    <n v="21"/>
    <m/>
    <s v="IK"/>
    <n v="30"/>
    <m/>
    <m/>
    <m/>
    <m/>
    <m/>
    <m/>
    <m/>
    <m/>
    <m/>
    <m/>
    <n v="3.15E-2"/>
    <m/>
    <n v="3.15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MPITANAKE"/>
    <n v="98"/>
    <n v="88"/>
    <n v="186"/>
    <m/>
    <s v="IK"/>
    <n v="30"/>
    <m/>
    <m/>
    <m/>
    <m/>
    <m/>
    <m/>
    <m/>
    <m/>
    <m/>
    <m/>
    <n v="0.27900000000000003"/>
    <m/>
    <n v="0.27900000000000003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ONGAENORO"/>
    <n v="49"/>
    <n v="97"/>
    <n v="146"/>
    <m/>
    <s v="IK"/>
    <n v="30"/>
    <m/>
    <m/>
    <m/>
    <m/>
    <m/>
    <m/>
    <m/>
    <m/>
    <m/>
    <m/>
    <n v="0.219"/>
    <m/>
    <n v="0.21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ROLINTA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ITAMPOLO II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MBE"/>
    <n v="82"/>
    <n v="50"/>
    <n v="132"/>
    <m/>
    <s v="IK"/>
    <n v="30"/>
    <m/>
    <m/>
    <m/>
    <m/>
    <m/>
    <m/>
    <m/>
    <m/>
    <m/>
    <m/>
    <n v="0.19800000000000001"/>
    <m/>
    <n v="0.198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/RIONA NORD"/>
    <n v="87"/>
    <n v="96"/>
    <n v="183"/>
    <m/>
    <s v="IK"/>
    <n v="30"/>
    <m/>
    <m/>
    <m/>
    <m/>
    <m/>
    <m/>
    <m/>
    <m/>
    <m/>
    <m/>
    <n v="0.27450000000000002"/>
    <m/>
    <n v="0.2745000000000000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DRANOVAO"/>
    <n v="68"/>
    <n v="60"/>
    <n v="128"/>
    <m/>
    <s v="IK"/>
    <n v="30"/>
    <m/>
    <m/>
    <m/>
    <m/>
    <m/>
    <m/>
    <m/>
    <m/>
    <m/>
    <m/>
    <n v="0.192"/>
    <m/>
    <n v="0.19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/MASINTSOA"/>
    <n v="50"/>
    <n v="40"/>
    <n v="90"/>
    <m/>
    <s v="IK"/>
    <n v="30"/>
    <m/>
    <m/>
    <m/>
    <m/>
    <m/>
    <m/>
    <m/>
    <m/>
    <m/>
    <m/>
    <n v="0.13500000000000001"/>
    <m/>
    <n v="0.135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LANGERIAKY"/>
    <n v="27"/>
    <n v="42"/>
    <n v="69"/>
    <m/>
    <s v="IK"/>
    <n v="30"/>
    <m/>
    <m/>
    <m/>
    <m/>
    <m/>
    <m/>
    <m/>
    <m/>
    <m/>
    <m/>
    <n v="0.10349999999999999"/>
    <m/>
    <n v="0.1034999999999999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NDROIPANO"/>
    <n v="157"/>
    <n v="129"/>
    <n v="286"/>
    <m/>
    <s v="IK"/>
    <n v="30"/>
    <m/>
    <m/>
    <m/>
    <m/>
    <m/>
    <m/>
    <m/>
    <m/>
    <m/>
    <m/>
    <n v="0.42899999999999999"/>
    <m/>
    <n v="0.4289999999999999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BESELY SUD"/>
    <n v="4"/>
    <n v="118"/>
    <n v="122"/>
    <m/>
    <s v="IK"/>
    <n v="30"/>
    <m/>
    <m/>
    <m/>
    <m/>
    <m/>
    <m/>
    <m/>
    <m/>
    <m/>
    <m/>
    <n v="0.183"/>
    <m/>
    <n v="0.183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TSIANDRIONA SUD"/>
    <n v="60"/>
    <n v="111"/>
    <n v="171"/>
    <m/>
    <s v="IK"/>
    <n v="30"/>
    <m/>
    <m/>
    <m/>
    <m/>
    <m/>
    <m/>
    <m/>
    <m/>
    <m/>
    <m/>
    <n v="0.25650000000000001"/>
    <m/>
    <n v="0.2565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ALATSIMIVIKY"/>
    <n v="213"/>
    <n v="180"/>
    <n v="393"/>
    <m/>
    <s v="IK"/>
    <n v="30"/>
    <m/>
    <m/>
    <m/>
    <m/>
    <m/>
    <m/>
    <m/>
    <m/>
    <m/>
    <m/>
    <n v="0.58950000000000002"/>
    <m/>
    <n v="0.5895000000000000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OLOSOGNO"/>
    <n v="26"/>
    <n v="29"/>
    <n v="55"/>
    <m/>
    <s v="IK"/>
    <n v="30"/>
    <m/>
    <m/>
    <m/>
    <m/>
    <m/>
    <m/>
    <m/>
    <m/>
    <m/>
    <m/>
    <n v="8.2500000000000004E-2"/>
    <m/>
    <n v="8.2500000000000004E-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AMALO"/>
    <m/>
    <m/>
    <n v="341"/>
    <m/>
    <s v="IK"/>
    <n v="30"/>
    <m/>
    <m/>
    <m/>
    <m/>
    <m/>
    <n v="0.2046"/>
    <m/>
    <m/>
    <n v="2.0459999999999998"/>
    <m/>
    <m/>
    <m/>
    <n v="2.2505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VARO"/>
    <m/>
    <m/>
    <n v="185"/>
    <m/>
    <s v="IK"/>
    <n v="30"/>
    <m/>
    <m/>
    <m/>
    <m/>
    <m/>
    <n v="0.111"/>
    <m/>
    <m/>
    <n v="1.1100000000000001"/>
    <m/>
    <m/>
    <m/>
    <n v="1.2210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KISENY"/>
    <m/>
    <m/>
    <n v="128"/>
    <m/>
    <s v="IK"/>
    <n v="30"/>
    <m/>
    <m/>
    <m/>
    <m/>
    <m/>
    <n v="7.6799999999999993E-2"/>
    <m/>
    <m/>
    <n v="0.76800000000000002"/>
    <m/>
    <m/>
    <m/>
    <n v="0.8448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ARABEMOKO"/>
    <m/>
    <m/>
    <n v="63"/>
    <m/>
    <s v="IK"/>
    <n v="30"/>
    <m/>
    <m/>
    <m/>
    <m/>
    <m/>
    <n v="3.78E-2"/>
    <m/>
    <m/>
    <n v="0.378"/>
    <m/>
    <m/>
    <m/>
    <n v="0.4158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TANANTSOA"/>
    <m/>
    <m/>
    <n v="158"/>
    <m/>
    <s v="IK"/>
    <n v="30"/>
    <m/>
    <m/>
    <m/>
    <m/>
    <m/>
    <n v="9.4799999999999995E-2"/>
    <m/>
    <m/>
    <n v="0.94799999999999995"/>
    <m/>
    <m/>
    <m/>
    <n v="1.0427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ILANY HAUT"/>
    <m/>
    <m/>
    <n v="70"/>
    <m/>
    <s v="IK"/>
    <n v="30"/>
    <m/>
    <m/>
    <m/>
    <m/>
    <m/>
    <n v="4.2000000000000003E-2"/>
    <m/>
    <m/>
    <n v="0.42"/>
    <m/>
    <m/>
    <m/>
    <n v="0.46199999999999997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ONDROMENA"/>
    <m/>
    <m/>
    <n v="76"/>
    <m/>
    <s v="IK"/>
    <n v="30"/>
    <m/>
    <m/>
    <m/>
    <m/>
    <m/>
    <n v="4.5600000000000002E-2"/>
    <m/>
    <m/>
    <n v="0.45600000000000002"/>
    <m/>
    <m/>
    <m/>
    <n v="0.50160000000000005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MILITSE"/>
    <m/>
    <m/>
    <n v="240"/>
    <m/>
    <s v="IK"/>
    <n v="30"/>
    <m/>
    <m/>
    <m/>
    <m/>
    <m/>
    <n v="0.14399999999999999"/>
    <m/>
    <m/>
    <n v="1.44"/>
    <m/>
    <m/>
    <m/>
    <n v="1.5839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SETA I"/>
    <m/>
    <m/>
    <n v="569"/>
    <m/>
    <s v="IK"/>
    <n v="30"/>
    <m/>
    <m/>
    <m/>
    <m/>
    <m/>
    <n v="0.34139999999999998"/>
    <m/>
    <m/>
    <n v="3.4140000000000001"/>
    <m/>
    <m/>
    <m/>
    <n v="3.7554000000000003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NY"/>
    <m/>
    <m/>
    <n v="100"/>
    <m/>
    <s v="IK"/>
    <n v="30"/>
    <m/>
    <m/>
    <m/>
    <m/>
    <m/>
    <n v="0.06"/>
    <m/>
    <m/>
    <n v="0.6"/>
    <m/>
    <m/>
    <m/>
    <n v="0.6599999999999999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FOTADREVO CENTRE"/>
    <m/>
    <m/>
    <n v="818"/>
    <m/>
    <s v="IK"/>
    <n v="30"/>
    <m/>
    <m/>
    <m/>
    <m/>
    <m/>
    <n v="0.49080000000000001"/>
    <m/>
    <m/>
    <n v="4.9080000000000004"/>
    <m/>
    <m/>
    <m/>
    <n v="5.3988000000000005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ZA HAUT"/>
    <m/>
    <m/>
    <n v="575"/>
    <m/>
    <s v="IK"/>
    <n v="30"/>
    <m/>
    <m/>
    <m/>
    <m/>
    <m/>
    <n v="0.34499999999999997"/>
    <m/>
    <m/>
    <n v="3.45"/>
    <m/>
    <m/>
    <m/>
    <n v="3.7949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SAKOA"/>
    <m/>
    <m/>
    <n v="330"/>
    <m/>
    <s v="IK"/>
    <n v="30"/>
    <m/>
    <m/>
    <m/>
    <m/>
    <m/>
    <n v="0.19800000000000001"/>
    <m/>
    <m/>
    <n v="1.98"/>
    <m/>
    <m/>
    <m/>
    <n v="2.177999999999999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TSIRIRY"/>
    <m/>
    <m/>
    <n v="328"/>
    <m/>
    <s v="IK"/>
    <n v="30"/>
    <m/>
    <m/>
    <m/>
    <m/>
    <m/>
    <n v="0.1968"/>
    <m/>
    <m/>
    <n v="1.968"/>
    <m/>
    <m/>
    <m/>
    <n v="2.1648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LINJO"/>
    <m/>
    <m/>
    <n v="215"/>
    <m/>
    <s v="IK"/>
    <n v="30"/>
    <m/>
    <m/>
    <m/>
    <m/>
    <m/>
    <n v="0.129"/>
    <m/>
    <m/>
    <n v="1.29"/>
    <m/>
    <m/>
    <m/>
    <n v="1.41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TOHABATO"/>
    <m/>
    <m/>
    <n v="197"/>
    <m/>
    <s v="IK"/>
    <n v="30"/>
    <m/>
    <m/>
    <m/>
    <m/>
    <m/>
    <n v="0.1182"/>
    <m/>
    <m/>
    <n v="1.1819999999999999"/>
    <m/>
    <m/>
    <m/>
    <n v="1.300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CENTRE"/>
    <m/>
    <m/>
    <n v="178"/>
    <m/>
    <s v="IK"/>
    <n v="30"/>
    <m/>
    <m/>
    <m/>
    <m/>
    <m/>
    <n v="0.10680000000000001"/>
    <m/>
    <m/>
    <n v="1.0680000000000001"/>
    <m/>
    <m/>
    <m/>
    <n v="1.1748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I"/>
    <m/>
    <m/>
    <n v="113"/>
    <m/>
    <s v="IK"/>
    <n v="30"/>
    <m/>
    <m/>
    <m/>
    <m/>
    <m/>
    <n v="6.7799999999999999E-2"/>
    <m/>
    <m/>
    <n v="0.67800000000000005"/>
    <m/>
    <m/>
    <m/>
    <n v="0.7458000000000000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ALATANY"/>
    <m/>
    <m/>
    <n v="60"/>
    <m/>
    <s v="IK"/>
    <n v="30"/>
    <m/>
    <m/>
    <m/>
    <m/>
    <m/>
    <n v="3.5999999999999997E-2"/>
    <m/>
    <m/>
    <n v="0.36"/>
    <m/>
    <m/>
    <m/>
    <n v="0.39599999999999996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SONJO "/>
    <m/>
    <m/>
    <n v="98"/>
    <m/>
    <s v="IK"/>
    <n v="30"/>
    <m/>
    <m/>
    <m/>
    <m/>
    <m/>
    <n v="5.8799999999999998E-2"/>
    <m/>
    <m/>
    <n v="0.58799999999999997"/>
    <m/>
    <m/>
    <m/>
    <n v="0.64679999999999993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BAKAKA"/>
    <m/>
    <m/>
    <n v="211"/>
    <m/>
    <s v="IK"/>
    <n v="30"/>
    <m/>
    <m/>
    <m/>
    <m/>
    <m/>
    <n v="0.12659999999999999"/>
    <m/>
    <m/>
    <n v="1.266"/>
    <m/>
    <m/>
    <m/>
    <n v="1.3926000000000001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KATRAFAY"/>
    <m/>
    <m/>
    <n v="465"/>
    <m/>
    <s v="IK"/>
    <n v="30"/>
    <m/>
    <m/>
    <m/>
    <m/>
    <m/>
    <n v="0.27900000000000003"/>
    <m/>
    <m/>
    <n v="2.79"/>
    <m/>
    <m/>
    <m/>
    <n v="3.069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GNAVOHA CENTRE"/>
    <m/>
    <m/>
    <n v="625"/>
    <m/>
    <s v="IK"/>
    <n v="30"/>
    <m/>
    <m/>
    <m/>
    <m/>
    <m/>
    <n v="0.375"/>
    <m/>
    <m/>
    <n v="3.75"/>
    <m/>
    <m/>
    <m/>
    <n v="4.125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MANDABE ANKILIMA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TANANDAVA I"/>
    <m/>
    <m/>
    <n v="292"/>
    <m/>
    <s v="IK"/>
    <n v="30"/>
    <m/>
    <m/>
    <m/>
    <m/>
    <m/>
    <n v="0.17519999999999999"/>
    <m/>
    <m/>
    <n v="1.752"/>
    <m/>
    <m/>
    <m/>
    <n v="1.9272"/>
    <m/>
    <m/>
  </r>
  <r>
    <x v="0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ALAFANTSIKY"/>
    <m/>
    <m/>
    <n v="250"/>
    <m/>
    <s v="IK"/>
    <n v="30"/>
    <m/>
    <m/>
    <m/>
    <m/>
    <m/>
    <n v="0.15"/>
    <m/>
    <m/>
    <n v="1.5"/>
    <m/>
    <m/>
    <m/>
    <n v="1.65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AMALO"/>
    <n v="117"/>
    <n v="123"/>
    <n v="240"/>
    <m/>
    <s v="IK"/>
    <n v="30"/>
    <m/>
    <m/>
    <m/>
    <m/>
    <m/>
    <m/>
    <m/>
    <m/>
    <m/>
    <m/>
    <n v="0.36"/>
    <m/>
    <n v="0.36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VARO"/>
    <n v="38"/>
    <n v="55"/>
    <n v="93"/>
    <m/>
    <s v="IK"/>
    <n v="30"/>
    <m/>
    <m/>
    <m/>
    <m/>
    <m/>
    <m/>
    <m/>
    <m/>
    <m/>
    <m/>
    <n v="0.13950000000000001"/>
    <m/>
    <n v="0.1395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KISENY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ARABEMOKO"/>
    <n v="39"/>
    <n v="31"/>
    <n v="70"/>
    <m/>
    <s v="IK"/>
    <n v="30"/>
    <m/>
    <m/>
    <m/>
    <m/>
    <m/>
    <m/>
    <m/>
    <m/>
    <m/>
    <m/>
    <n v="0.105"/>
    <m/>
    <n v="0.105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TANANTSOA"/>
    <n v="40"/>
    <n v="60"/>
    <n v="100"/>
    <m/>
    <s v="IK"/>
    <n v="30"/>
    <m/>
    <m/>
    <m/>
    <m/>
    <m/>
    <m/>
    <m/>
    <m/>
    <m/>
    <m/>
    <n v="0.15"/>
    <m/>
    <n v="0.15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ILANY HAUT"/>
    <n v="36"/>
    <n v="48"/>
    <n v="84"/>
    <m/>
    <s v="IK"/>
    <n v="30"/>
    <m/>
    <m/>
    <m/>
    <m/>
    <m/>
    <m/>
    <m/>
    <m/>
    <m/>
    <m/>
    <n v="0.126"/>
    <m/>
    <n v="0.126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ONDROMENA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MILITSE"/>
    <n v="88"/>
    <n v="106"/>
    <n v="194"/>
    <m/>
    <s v="IK"/>
    <n v="30"/>
    <m/>
    <m/>
    <m/>
    <m/>
    <m/>
    <m/>
    <m/>
    <m/>
    <m/>
    <m/>
    <n v="0.29099999999999998"/>
    <m/>
    <n v="0.29099999999999998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SETA I"/>
    <n v="42"/>
    <n v="47"/>
    <n v="89"/>
    <m/>
    <s v="IK"/>
    <n v="30"/>
    <m/>
    <m/>
    <m/>
    <m/>
    <m/>
    <m/>
    <m/>
    <m/>
    <m/>
    <m/>
    <n v="0.13350000000000001"/>
    <m/>
    <n v="0.1335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NY"/>
    <n v="21"/>
    <n v="30"/>
    <n v="51"/>
    <m/>
    <s v="IK"/>
    <n v="30"/>
    <m/>
    <m/>
    <m/>
    <m/>
    <m/>
    <m/>
    <m/>
    <m/>
    <m/>
    <m/>
    <n v="7.6499999999999999E-2"/>
    <m/>
    <n v="7.6499999999999999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FOTADREVO CENTRE"/>
    <n v="122"/>
    <n v="138"/>
    <n v="260"/>
    <m/>
    <s v="IK"/>
    <n v="30"/>
    <m/>
    <m/>
    <m/>
    <m/>
    <m/>
    <m/>
    <m/>
    <m/>
    <m/>
    <m/>
    <n v="0.39"/>
    <m/>
    <n v="0.39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ZA HAUT"/>
    <n v="107"/>
    <n v="130"/>
    <n v="237"/>
    <m/>
    <s v="IK"/>
    <n v="30"/>
    <m/>
    <m/>
    <m/>
    <m/>
    <m/>
    <m/>
    <m/>
    <m/>
    <m/>
    <m/>
    <n v="0.35549999999999998"/>
    <m/>
    <n v="0.35549999999999998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SAKOA"/>
    <n v="49"/>
    <n v="61"/>
    <n v="110"/>
    <m/>
    <s v="IK"/>
    <n v="30"/>
    <m/>
    <m/>
    <m/>
    <m/>
    <m/>
    <m/>
    <m/>
    <m/>
    <m/>
    <m/>
    <n v="0.16500000000000001"/>
    <m/>
    <n v="0.165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TSIRIRY"/>
    <n v="77"/>
    <n v="102"/>
    <n v="179"/>
    <m/>
    <s v="IK"/>
    <n v="30"/>
    <m/>
    <m/>
    <m/>
    <m/>
    <m/>
    <m/>
    <m/>
    <m/>
    <m/>
    <m/>
    <n v="0.26850000000000002"/>
    <m/>
    <n v="0.2685000000000000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LINJO"/>
    <n v="19"/>
    <n v="35"/>
    <n v="54"/>
    <m/>
    <s v="IK"/>
    <n v="30"/>
    <m/>
    <m/>
    <m/>
    <m/>
    <m/>
    <m/>
    <m/>
    <m/>
    <m/>
    <m/>
    <n v="8.1000000000000003E-2"/>
    <m/>
    <n v="8.1000000000000003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TOHABATO"/>
    <n v="25"/>
    <n v="49"/>
    <n v="74"/>
    <m/>
    <s v="IK"/>
    <n v="30"/>
    <m/>
    <m/>
    <m/>
    <m/>
    <m/>
    <m/>
    <m/>
    <m/>
    <m/>
    <m/>
    <n v="0.111"/>
    <m/>
    <n v="0.11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CENTRE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I"/>
    <n v="30"/>
    <n v="31"/>
    <n v="61"/>
    <m/>
    <s v="IK"/>
    <n v="30"/>
    <m/>
    <m/>
    <m/>
    <m/>
    <m/>
    <m/>
    <m/>
    <m/>
    <m/>
    <m/>
    <n v="9.1499999999999998E-2"/>
    <m/>
    <n v="9.1499999999999998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ALATANY"/>
    <m/>
    <m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SONJO "/>
    <n v="26"/>
    <n v="52"/>
    <n v="78"/>
    <m/>
    <s v="IK"/>
    <n v="30"/>
    <m/>
    <m/>
    <m/>
    <m/>
    <m/>
    <m/>
    <m/>
    <m/>
    <m/>
    <m/>
    <n v="0.11700000000000001"/>
    <m/>
    <n v="0.117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BAKAKA"/>
    <n v="35"/>
    <n v="23"/>
    <n v="58"/>
    <m/>
    <s v="IK"/>
    <n v="30"/>
    <m/>
    <m/>
    <m/>
    <m/>
    <m/>
    <m/>
    <m/>
    <m/>
    <m/>
    <m/>
    <n v="8.6999999999999994E-2"/>
    <m/>
    <n v="8.6999999999999994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KATRAFAY"/>
    <n v="50"/>
    <n v="105"/>
    <n v="155"/>
    <m/>
    <s v="IK"/>
    <n v="30"/>
    <m/>
    <m/>
    <m/>
    <m/>
    <m/>
    <m/>
    <m/>
    <m/>
    <m/>
    <m/>
    <n v="0.23250000000000001"/>
    <m/>
    <n v="0.2325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GNAVOHA CENTRE"/>
    <n v="0"/>
    <n v="0"/>
    <n v="0"/>
    <m/>
    <s v="IK"/>
    <n v="30"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MANDABE ANKILIMARO"/>
    <n v="49"/>
    <n v="81"/>
    <n v="130"/>
    <m/>
    <s v="IK"/>
    <n v="30"/>
    <m/>
    <m/>
    <m/>
    <m/>
    <m/>
    <m/>
    <m/>
    <m/>
    <m/>
    <m/>
    <n v="0.19500000000000001"/>
    <m/>
    <n v="0.19500000000000001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TANANDAVA I"/>
    <n v="12"/>
    <n v="12"/>
    <n v="24"/>
    <m/>
    <s v="IK"/>
    <n v="30"/>
    <m/>
    <m/>
    <m/>
    <m/>
    <m/>
    <m/>
    <m/>
    <m/>
    <m/>
    <m/>
    <n v="3.5999999999999997E-2"/>
    <m/>
    <n v="3.5999999999999997E-2"/>
    <m/>
    <m/>
  </r>
  <r>
    <x v="0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ALAFANTSIKY"/>
    <n v="56"/>
    <n v="54"/>
    <n v="110"/>
    <m/>
    <s v="IK"/>
    <n v="30"/>
    <m/>
    <m/>
    <m/>
    <m/>
    <m/>
    <m/>
    <m/>
    <m/>
    <m/>
    <m/>
    <n v="0.16500000000000001"/>
    <m/>
    <n v="0.165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s v="IK"/>
    <n v="30"/>
    <m/>
    <m/>
    <m/>
    <m/>
    <m/>
    <m/>
    <m/>
    <m/>
    <m/>
    <m/>
    <n v="0.252"/>
    <m/>
    <n v="0.25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s v="IK"/>
    <n v="30"/>
    <m/>
    <m/>
    <m/>
    <m/>
    <m/>
    <m/>
    <m/>
    <m/>
    <m/>
    <m/>
    <n v="0.26850000000000002"/>
    <m/>
    <n v="0.2685000000000000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s v="IK"/>
    <n v="30"/>
    <m/>
    <m/>
    <m/>
    <m/>
    <m/>
    <m/>
    <m/>
    <m/>
    <m/>
    <m/>
    <n v="0.246"/>
    <m/>
    <n v="0.246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s v="IK"/>
    <n v="30"/>
    <m/>
    <m/>
    <m/>
    <m/>
    <m/>
    <m/>
    <m/>
    <m/>
    <m/>
    <m/>
    <n v="0.26100000000000001"/>
    <m/>
    <n v="0.261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s v="IK"/>
    <n v="30"/>
    <m/>
    <m/>
    <m/>
    <m/>
    <m/>
    <m/>
    <m/>
    <m/>
    <m/>
    <m/>
    <n v="0.252"/>
    <m/>
    <n v="0.25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s v="IK"/>
    <n v="30"/>
    <m/>
    <m/>
    <m/>
    <m/>
    <m/>
    <m/>
    <m/>
    <m/>
    <m/>
    <m/>
    <n v="0.48"/>
    <m/>
    <n v="0.4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s v="IK"/>
    <n v="30"/>
    <m/>
    <m/>
    <m/>
    <m/>
    <m/>
    <m/>
    <m/>
    <m/>
    <m/>
    <m/>
    <n v="0.27"/>
    <m/>
    <n v="0.2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s v="IK"/>
    <n v="30"/>
    <m/>
    <m/>
    <m/>
    <m/>
    <m/>
    <m/>
    <m/>
    <m/>
    <m/>
    <m/>
    <n v="0.28949999999999998"/>
    <m/>
    <n v="0.2894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EHAVO"/>
    <n v="126"/>
    <m/>
    <n v="126"/>
    <m/>
    <s v="IK"/>
    <n v="30"/>
    <m/>
    <m/>
    <m/>
    <m/>
    <m/>
    <m/>
    <m/>
    <m/>
    <m/>
    <m/>
    <n v="0.189"/>
    <m/>
    <n v="0.189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MORAFENO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SILIMOSA"/>
    <n v="595"/>
    <m/>
    <n v="595"/>
    <m/>
    <s v="IK"/>
    <n v="30"/>
    <m/>
    <m/>
    <m/>
    <m/>
    <m/>
    <m/>
    <m/>
    <m/>
    <m/>
    <m/>
    <n v="0.89249999999999996"/>
    <m/>
    <n v="0.89249999999999996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NANDAVA"/>
    <n v="483"/>
    <m/>
    <n v="483"/>
    <m/>
    <s v="IK"/>
    <n v="30"/>
    <m/>
    <m/>
    <m/>
    <m/>
    <m/>
    <m/>
    <m/>
    <m/>
    <m/>
    <m/>
    <n v="0.72450000000000003"/>
    <m/>
    <n v="0.72450000000000003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RANAKA ANKILIMENA"/>
    <n v="403"/>
    <m/>
    <n v="403"/>
    <m/>
    <s v="IK"/>
    <n v="30"/>
    <m/>
    <m/>
    <m/>
    <m/>
    <m/>
    <m/>
    <m/>
    <m/>
    <m/>
    <m/>
    <n v="0.60450000000000004"/>
    <m/>
    <n v="0.60450000000000004"/>
    <m/>
    <m/>
  </r>
  <r>
    <x v="0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ERABOVO"/>
    <n v="563"/>
    <m/>
    <n v="563"/>
    <m/>
    <s v="IK"/>
    <n v="30"/>
    <m/>
    <m/>
    <m/>
    <m/>
    <m/>
    <m/>
    <m/>
    <m/>
    <m/>
    <m/>
    <n v="0.84450000000000003"/>
    <m/>
    <n v="0.84450000000000003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IEBA"/>
    <n v="519"/>
    <m/>
    <n v="519"/>
    <m/>
    <s v="IK"/>
    <n v="30"/>
    <m/>
    <m/>
    <m/>
    <m/>
    <m/>
    <m/>
    <m/>
    <m/>
    <m/>
    <m/>
    <n v="0.77849999999999997"/>
    <m/>
    <n v="0.7784999999999999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AVABAZA"/>
    <n v="233"/>
    <m/>
    <n v="233"/>
    <m/>
    <s v="IK"/>
    <n v="30"/>
    <m/>
    <m/>
    <m/>
    <m/>
    <m/>
    <m/>
    <m/>
    <m/>
    <m/>
    <m/>
    <n v="0.34949999999999998"/>
    <m/>
    <n v="0.3494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HELIBONDRO HAUT"/>
    <n v="230"/>
    <m/>
    <n v="230"/>
    <m/>
    <s v="IK"/>
    <n v="30"/>
    <m/>
    <m/>
    <m/>
    <m/>
    <m/>
    <m/>
    <m/>
    <m/>
    <m/>
    <m/>
    <n v="0.34499999999999997"/>
    <m/>
    <n v="0.3449999999999999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RENTY"/>
    <n v="195"/>
    <m/>
    <n v="195"/>
    <m/>
    <s v="IK"/>
    <n v="30"/>
    <m/>
    <m/>
    <m/>
    <m/>
    <m/>
    <m/>
    <m/>
    <m/>
    <m/>
    <m/>
    <n v="0.29249999999999998"/>
    <m/>
    <n v="0.2924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REGNARA"/>
    <n v="107"/>
    <m/>
    <n v="107"/>
    <m/>
    <s v="IK"/>
    <n v="30"/>
    <m/>
    <m/>
    <m/>
    <m/>
    <m/>
    <m/>
    <m/>
    <m/>
    <m/>
    <m/>
    <n v="0.1605"/>
    <m/>
    <n v="0.1605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KIRIKIRIKE"/>
    <n v="468"/>
    <m/>
    <n v="468"/>
    <m/>
    <s v="IK"/>
    <n v="30"/>
    <m/>
    <m/>
    <m/>
    <m/>
    <m/>
    <m/>
    <m/>
    <m/>
    <m/>
    <m/>
    <n v="0.70199999999999996"/>
    <m/>
    <n v="0.70199999999999996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AROMENA CENTRE"/>
    <n v="150"/>
    <m/>
    <n v="150"/>
    <m/>
    <s v="IK"/>
    <n v="30"/>
    <m/>
    <m/>
    <m/>
    <m/>
    <m/>
    <m/>
    <m/>
    <m/>
    <m/>
    <m/>
    <n v="0.22500000000000001"/>
    <m/>
    <n v="0.225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FAITSY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FANDIOVA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MANITSEVO"/>
    <n v="330"/>
    <m/>
    <n v="330"/>
    <m/>
    <s v="IK"/>
    <n v="30"/>
    <m/>
    <m/>
    <m/>
    <m/>
    <m/>
    <m/>
    <m/>
    <m/>
    <m/>
    <m/>
    <n v="0.495"/>
    <m/>
    <n v="0.495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MPOTOBATO CENTRE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DAVABOAY MAROMENIKE"/>
    <n v="236"/>
    <m/>
    <n v="236"/>
    <m/>
    <s v="IK"/>
    <n v="30"/>
    <m/>
    <m/>
    <m/>
    <m/>
    <m/>
    <m/>
    <m/>
    <m/>
    <m/>
    <m/>
    <n v="0.35399999999999998"/>
    <m/>
    <n v="0.3539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KRABERANO"/>
    <n v="134"/>
    <m/>
    <n v="134"/>
    <m/>
    <s v="IK"/>
    <n v="30"/>
    <m/>
    <m/>
    <m/>
    <m/>
    <m/>
    <m/>
    <m/>
    <m/>
    <m/>
    <m/>
    <n v="0.20100000000000001"/>
    <m/>
    <n v="0.201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BERANO VILLE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IFOTAKA CENTRE"/>
    <n v="435"/>
    <m/>
    <n v="435"/>
    <m/>
    <s v="IK"/>
    <n v="30"/>
    <m/>
    <m/>
    <m/>
    <m/>
    <m/>
    <m/>
    <m/>
    <m/>
    <m/>
    <m/>
    <n v="0.65249999999999997"/>
    <m/>
    <n v="0.6524999999999999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ALOAL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RAKETA"/>
    <n v="299"/>
    <m/>
    <n v="299"/>
    <m/>
    <s v="IK"/>
    <n v="30"/>
    <m/>
    <m/>
    <m/>
    <m/>
    <m/>
    <m/>
    <m/>
    <m/>
    <m/>
    <m/>
    <n v="0.44850000000000001"/>
    <m/>
    <n v="0.448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FENOAIVO"/>
    <n v="138"/>
    <m/>
    <n v="138"/>
    <m/>
    <s v="IK"/>
    <n v="30"/>
    <m/>
    <m/>
    <m/>
    <m/>
    <m/>
    <m/>
    <m/>
    <m/>
    <m/>
    <m/>
    <n v="0.20699999999999999"/>
    <m/>
    <n v="0.20699999999999999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KIRIA CENTRE"/>
    <n v="262"/>
    <m/>
    <n v="262"/>
    <m/>
    <s v="IK"/>
    <n v="30"/>
    <m/>
    <m/>
    <m/>
    <m/>
    <m/>
    <m/>
    <m/>
    <m/>
    <m/>
    <m/>
    <n v="0.39300000000000002"/>
    <m/>
    <n v="0.3930000000000000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JAMAHAVELO"/>
    <n v="407"/>
    <m/>
    <n v="407"/>
    <m/>
    <s v="IK"/>
    <n v="30"/>
    <m/>
    <m/>
    <m/>
    <m/>
    <m/>
    <m/>
    <m/>
    <m/>
    <m/>
    <m/>
    <n v="0.61050000000000004"/>
    <m/>
    <n v="0.61050000000000004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KILIMITRAHA"/>
    <n v="246"/>
    <m/>
    <n v="246"/>
    <m/>
    <s v="IK"/>
    <n v="30"/>
    <m/>
    <m/>
    <m/>
    <m/>
    <m/>
    <m/>
    <m/>
    <m/>
    <m/>
    <m/>
    <n v="0.36899999999999999"/>
    <m/>
    <n v="0.36899999999999999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TANANDAVA"/>
    <n v="346"/>
    <m/>
    <n v="346"/>
    <m/>
    <s v="IK"/>
    <n v="30"/>
    <m/>
    <m/>
    <m/>
    <m/>
    <m/>
    <m/>
    <m/>
    <m/>
    <m/>
    <m/>
    <n v="0.51900000000000002"/>
    <m/>
    <n v="0.5190000000000000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VOHIBARY"/>
    <n v="38"/>
    <m/>
    <n v="38"/>
    <m/>
    <s v="IK"/>
    <n v="30"/>
    <m/>
    <m/>
    <m/>
    <m/>
    <m/>
    <m/>
    <m/>
    <m/>
    <m/>
    <m/>
    <n v="5.7000000000000002E-2"/>
    <m/>
    <n v="5.7000000000000002E-2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MBATOMENA"/>
    <n v="180"/>
    <m/>
    <n v="180"/>
    <m/>
    <s v="IK"/>
    <n v="30"/>
    <m/>
    <m/>
    <m/>
    <m/>
    <m/>
    <m/>
    <m/>
    <m/>
    <m/>
    <m/>
    <n v="0.27"/>
    <m/>
    <n v="0.2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MAROLOHA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TSOVELA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SAMPONA CENTRE"/>
    <n v="146"/>
    <m/>
    <n v="146"/>
    <m/>
    <s v="IK"/>
    <n v="30"/>
    <m/>
    <m/>
    <m/>
    <m/>
    <m/>
    <m/>
    <m/>
    <m/>
    <m/>
    <m/>
    <n v="0.219"/>
    <m/>
    <n v="0.219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KILIDOGA"/>
    <n v="180"/>
    <m/>
    <n v="180"/>
    <m/>
    <s v="IK"/>
    <n v="30"/>
    <m/>
    <m/>
    <m/>
    <m/>
    <m/>
    <m/>
    <m/>
    <m/>
    <m/>
    <m/>
    <n v="0.27"/>
    <m/>
    <n v="0.27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ANDROVASOA"/>
    <n v="218"/>
    <m/>
    <n v="218"/>
    <m/>
    <s v="IK"/>
    <n v="30"/>
    <m/>
    <m/>
    <m/>
    <m/>
    <m/>
    <m/>
    <m/>
    <m/>
    <m/>
    <m/>
    <n v="0.32700000000000001"/>
    <m/>
    <n v="0.3270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VAHAVOLA CENTRE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INDRA CENTRE"/>
    <n v="171"/>
    <m/>
    <n v="171"/>
    <m/>
    <s v="IK"/>
    <n v="30"/>
    <m/>
    <m/>
    <m/>
    <m/>
    <m/>
    <m/>
    <m/>
    <m/>
    <m/>
    <m/>
    <n v="0.25650000000000001"/>
    <m/>
    <n v="0.25650000000000001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DRAPASY"/>
    <n v="164"/>
    <m/>
    <n v="164"/>
    <m/>
    <s v="IK"/>
    <n v="30"/>
    <m/>
    <m/>
    <m/>
    <m/>
    <m/>
    <m/>
    <m/>
    <m/>
    <m/>
    <m/>
    <n v="0.246"/>
    <m/>
    <n v="0.246"/>
    <m/>
    <m/>
  </r>
  <r>
    <x v="0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SIHANAKARA"/>
    <n v="260"/>
    <m/>
    <n v="260"/>
    <m/>
    <s v="IK"/>
    <n v="30"/>
    <m/>
    <m/>
    <m/>
    <m/>
    <m/>
    <m/>
    <m/>
    <m/>
    <m/>
    <m/>
    <n v="0.39"/>
    <m/>
    <n v="0.3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s v="IK"/>
    <n v="30"/>
    <m/>
    <m/>
    <m/>
    <m/>
    <m/>
    <n v="9.4200000000000006E-2"/>
    <m/>
    <m/>
    <n v="0.94199999999999995"/>
    <m/>
    <m/>
    <m/>
    <n v="1.036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s v="IK"/>
    <n v="30"/>
    <m/>
    <m/>
    <m/>
    <m/>
    <m/>
    <n v="6.1199999999999997E-2"/>
    <m/>
    <m/>
    <n v="0.61199999999999999"/>
    <m/>
    <m/>
    <m/>
    <n v="0.6732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s v="IK"/>
    <n v="30"/>
    <m/>
    <m/>
    <m/>
    <m/>
    <m/>
    <n v="7.0800000000000002E-2"/>
    <m/>
    <m/>
    <n v="0.70799999999999996"/>
    <m/>
    <m/>
    <m/>
    <n v="0.7787999999999999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s v="IK"/>
    <n v="30"/>
    <m/>
    <m/>
    <m/>
    <m/>
    <m/>
    <n v="8.5199999999999998E-2"/>
    <m/>
    <m/>
    <n v="0.85199999999999998"/>
    <m/>
    <m/>
    <m/>
    <n v="0.93720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s v="IK"/>
    <n v="30"/>
    <m/>
    <m/>
    <m/>
    <m/>
    <m/>
    <n v="8.2199999999999995E-2"/>
    <m/>
    <m/>
    <n v="0.82199999999999995"/>
    <m/>
    <m/>
    <m/>
    <n v="0.9041999999999998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s v="IK"/>
    <n v="30"/>
    <m/>
    <m/>
    <m/>
    <m/>
    <m/>
    <n v="6.6000000000000003E-2"/>
    <m/>
    <m/>
    <n v="0.66"/>
    <m/>
    <m/>
    <m/>
    <n v="0.725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s v="IK"/>
    <n v="30"/>
    <m/>
    <m/>
    <m/>
    <m/>
    <m/>
    <n v="0.11219999999999999"/>
    <m/>
    <m/>
    <n v="1.1220000000000001"/>
    <m/>
    <m/>
    <m/>
    <n v="1.2342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s v="IK"/>
    <n v="30"/>
    <m/>
    <m/>
    <m/>
    <m/>
    <m/>
    <n v="9.06E-2"/>
    <m/>
    <m/>
    <n v="0.90600000000000003"/>
    <m/>
    <m/>
    <m/>
    <n v="0.9966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35"/>
    <n v="35"/>
    <m/>
    <s v="IK"/>
    <n v="30"/>
    <m/>
    <m/>
    <m/>
    <m/>
    <m/>
    <n v="2.1000000000000001E-2"/>
    <m/>
    <m/>
    <n v="0.21"/>
    <m/>
    <m/>
    <m/>
    <n v="0.230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188"/>
    <n v="188"/>
    <m/>
    <s v="IK"/>
    <n v="30"/>
    <m/>
    <m/>
    <m/>
    <m/>
    <m/>
    <n v="0.1128"/>
    <m/>
    <m/>
    <n v="1.1279999999999999"/>
    <m/>
    <m/>
    <m/>
    <n v="1.2407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254"/>
    <n v="254"/>
    <m/>
    <s v="IK"/>
    <n v="30"/>
    <m/>
    <m/>
    <m/>
    <m/>
    <m/>
    <n v="0.15240000000000001"/>
    <m/>
    <m/>
    <n v="1.524"/>
    <m/>
    <m/>
    <m/>
    <n v="1.6764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00"/>
    <n v="200"/>
    <m/>
    <s v="IK"/>
    <n v="30"/>
    <m/>
    <m/>
    <m/>
    <m/>
    <m/>
    <n v="0.12"/>
    <m/>
    <m/>
    <n v="1.2"/>
    <m/>
    <m/>
    <m/>
    <n v="1.31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272"/>
    <n v="272"/>
    <m/>
    <s v="IK"/>
    <n v="30"/>
    <m/>
    <m/>
    <m/>
    <m/>
    <m/>
    <n v="0.16320000000000001"/>
    <m/>
    <m/>
    <n v="1.6319999999999999"/>
    <m/>
    <m/>
    <m/>
    <n v="1.7951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68"/>
    <n v="368"/>
    <m/>
    <s v="IK"/>
    <n v="30"/>
    <m/>
    <m/>
    <m/>
    <m/>
    <m/>
    <n v="0.2208"/>
    <m/>
    <m/>
    <n v="2.2080000000000002"/>
    <m/>
    <m/>
    <m/>
    <n v="2.4288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68"/>
    <n v="168"/>
    <m/>
    <s v="IK"/>
    <n v="30"/>
    <m/>
    <m/>
    <m/>
    <m/>
    <m/>
    <n v="0.1008"/>
    <m/>
    <m/>
    <n v="1.008"/>
    <m/>
    <m/>
    <m/>
    <n v="1.108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 HAUT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75"/>
    <n v="175"/>
    <m/>
    <s v="IK"/>
    <n v="30"/>
    <m/>
    <m/>
    <m/>
    <m/>
    <m/>
    <n v="0.105"/>
    <m/>
    <m/>
    <n v="1.05"/>
    <m/>
    <m/>
    <m/>
    <n v="1.15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GNARA"/>
    <m/>
    <n v="125"/>
    <n v="125"/>
    <m/>
    <s v="IK"/>
    <n v="30"/>
    <m/>
    <m/>
    <m/>
    <m/>
    <m/>
    <n v="7.4999999999999997E-2"/>
    <m/>
    <m/>
    <n v="0.75"/>
    <m/>
    <m/>
    <m/>
    <n v="0.8249999999999999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12"/>
    <n v="312"/>
    <m/>
    <s v="IK"/>
    <n v="30"/>
    <m/>
    <m/>
    <m/>
    <m/>
    <m/>
    <n v="0.18720000000000001"/>
    <m/>
    <m/>
    <n v="1.8720000000000001"/>
    <m/>
    <m/>
    <m/>
    <n v="2.0592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Y"/>
    <m/>
    <n v="120"/>
    <n v="120"/>
    <m/>
    <s v="IK"/>
    <n v="30"/>
    <m/>
    <m/>
    <m/>
    <m/>
    <m/>
    <n v="7.1999999999999995E-2"/>
    <m/>
    <m/>
    <n v="0.72"/>
    <m/>
    <m/>
    <m/>
    <n v="0.7919999999999999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40"/>
    <n v="140"/>
    <m/>
    <s v="IK"/>
    <n v="30"/>
    <m/>
    <m/>
    <m/>
    <m/>
    <m/>
    <n v="8.4000000000000005E-2"/>
    <m/>
    <m/>
    <n v="0.84"/>
    <m/>
    <m/>
    <m/>
    <n v="0.9239999999999999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 CENTRE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 MAROMENIKE"/>
    <m/>
    <n v="208"/>
    <n v="208"/>
    <m/>
    <s v="IK"/>
    <n v="30"/>
    <m/>
    <m/>
    <m/>
    <m/>
    <m/>
    <n v="0.12479999999999999"/>
    <m/>
    <m/>
    <n v="1.248"/>
    <m/>
    <m/>
    <m/>
    <n v="1.372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RABERANO"/>
    <m/>
    <n v="74"/>
    <n v="74"/>
    <m/>
    <s v="IK"/>
    <n v="30"/>
    <m/>
    <m/>
    <m/>
    <m/>
    <m/>
    <n v="4.4400000000000002E-2"/>
    <m/>
    <m/>
    <n v="0.44400000000000001"/>
    <m/>
    <m/>
    <m/>
    <n v="0.488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9"/>
    <n v="139"/>
    <m/>
    <s v="IK"/>
    <n v="30"/>
    <m/>
    <m/>
    <m/>
    <m/>
    <m/>
    <n v="8.3400000000000002E-2"/>
    <m/>
    <m/>
    <n v="0.83399999999999996"/>
    <m/>
    <m/>
    <m/>
    <n v="0.91739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358"/>
    <n v="358"/>
    <m/>
    <s v="IK"/>
    <n v="30"/>
    <m/>
    <m/>
    <m/>
    <m/>
    <m/>
    <n v="0.21479999999999999"/>
    <m/>
    <m/>
    <n v="2.1480000000000001"/>
    <m/>
    <m/>
    <m/>
    <n v="2.362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222"/>
    <n v="222"/>
    <m/>
    <s v="IK"/>
    <n v="30"/>
    <m/>
    <m/>
    <m/>
    <m/>
    <m/>
    <n v="0.13320000000000001"/>
    <m/>
    <m/>
    <n v="1.3320000000000001"/>
    <m/>
    <m/>
    <m/>
    <n v="1.4652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106"/>
    <n v="106"/>
    <m/>
    <s v="IK"/>
    <n v="30"/>
    <m/>
    <m/>
    <m/>
    <m/>
    <m/>
    <n v="6.3600000000000004E-2"/>
    <m/>
    <m/>
    <n v="0.63600000000000001"/>
    <m/>
    <m/>
    <m/>
    <n v="0.699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 CENTRE"/>
    <m/>
    <n v="201"/>
    <n v="201"/>
    <m/>
    <s v="IK"/>
    <n v="30"/>
    <m/>
    <m/>
    <m/>
    <m/>
    <m/>
    <n v="0.1206"/>
    <m/>
    <m/>
    <n v="1.206"/>
    <m/>
    <m/>
    <m/>
    <n v="1.326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6"/>
    <n v="346"/>
    <m/>
    <s v="IK"/>
    <n v="30"/>
    <m/>
    <m/>
    <m/>
    <m/>
    <m/>
    <n v="0.20760000000000001"/>
    <m/>
    <m/>
    <n v="2.0760000000000001"/>
    <m/>
    <m/>
    <m/>
    <n v="2.2835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"/>
    <m/>
    <n v="190"/>
    <n v="190"/>
    <m/>
    <s v="IK"/>
    <n v="30"/>
    <m/>
    <m/>
    <m/>
    <m/>
    <m/>
    <n v="0.114"/>
    <m/>
    <m/>
    <n v="1.1399999999999999"/>
    <m/>
    <m/>
    <m/>
    <n v="1.25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TANANDAVA"/>
    <m/>
    <n v="362"/>
    <n v="362"/>
    <m/>
    <s v="IK"/>
    <n v="30"/>
    <m/>
    <m/>
    <m/>
    <m/>
    <m/>
    <n v="0.2172"/>
    <m/>
    <m/>
    <n v="2.1720000000000002"/>
    <m/>
    <m/>
    <m/>
    <n v="2.3892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OHIBARY"/>
    <m/>
    <n v="64"/>
    <n v="64"/>
    <m/>
    <s v="IK"/>
    <n v="30"/>
    <m/>
    <m/>
    <m/>
    <m/>
    <m/>
    <n v="3.8399999999999997E-2"/>
    <m/>
    <m/>
    <n v="0.38400000000000001"/>
    <m/>
    <m/>
    <m/>
    <n v="0.422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MBATOMENA"/>
    <m/>
    <n v="123"/>
    <n v="123"/>
    <m/>
    <s v="IK"/>
    <n v="30"/>
    <m/>
    <m/>
    <m/>
    <m/>
    <m/>
    <n v="7.3800000000000004E-2"/>
    <m/>
    <m/>
    <n v="0.73799999999999999"/>
    <m/>
    <m/>
    <m/>
    <n v="0.8117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ROLOHA"/>
    <m/>
    <n v="117"/>
    <n v="117"/>
    <m/>
    <s v="IK"/>
    <n v="30"/>
    <m/>
    <m/>
    <m/>
    <m/>
    <m/>
    <n v="7.0199999999999999E-2"/>
    <m/>
    <m/>
    <n v="0.70199999999999996"/>
    <m/>
    <m/>
    <m/>
    <n v="0.772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TSOVELA"/>
    <m/>
    <n v="202"/>
    <n v="202"/>
    <m/>
    <s v="IK"/>
    <n v="30"/>
    <m/>
    <m/>
    <m/>
    <m/>
    <m/>
    <n v="0.1212"/>
    <m/>
    <m/>
    <n v="1.212"/>
    <m/>
    <m/>
    <m/>
    <n v="1.3331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9"/>
    <n v="99"/>
    <m/>
    <s v="IK"/>
    <n v="30"/>
    <m/>
    <m/>
    <m/>
    <m/>
    <m/>
    <n v="5.9400000000000001E-2"/>
    <m/>
    <m/>
    <n v="0.59399999999999997"/>
    <m/>
    <m/>
    <m/>
    <n v="0.6533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GA"/>
    <m/>
    <n v="100"/>
    <n v="100"/>
    <m/>
    <s v="IK"/>
    <n v="30"/>
    <m/>
    <m/>
    <m/>
    <m/>
    <m/>
    <n v="0.06"/>
    <m/>
    <m/>
    <n v="0.6"/>
    <m/>
    <m/>
    <m/>
    <n v="0.6599999999999999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DROVASOA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AHAVOLA CENTRE"/>
    <m/>
    <n v="91"/>
    <n v="91"/>
    <m/>
    <s v="IK"/>
    <n v="30"/>
    <m/>
    <m/>
    <m/>
    <m/>
    <m/>
    <n v="5.4600000000000003E-2"/>
    <m/>
    <m/>
    <n v="0.54600000000000004"/>
    <m/>
    <m/>
    <m/>
    <n v="0.6006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INDRA CENTRE"/>
    <m/>
    <n v="103"/>
    <n v="103"/>
    <m/>
    <s v="IK"/>
    <n v="30"/>
    <m/>
    <m/>
    <m/>
    <m/>
    <m/>
    <n v="6.1800000000000001E-2"/>
    <m/>
    <m/>
    <n v="0.61799999999999999"/>
    <m/>
    <m/>
    <m/>
    <n v="0.6797999999999999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DRAPASY"/>
    <m/>
    <n v="116"/>
    <n v="116"/>
    <m/>
    <s v="IK"/>
    <n v="30"/>
    <m/>
    <m/>
    <m/>
    <m/>
    <m/>
    <n v="6.9599999999999995E-2"/>
    <m/>
    <m/>
    <n v="0.69599999999999995"/>
    <m/>
    <m/>
    <m/>
    <n v="0.7655999999999999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SIHANAKARA"/>
    <m/>
    <n v="290"/>
    <n v="290"/>
    <m/>
    <s v="IK"/>
    <n v="30"/>
    <m/>
    <m/>
    <m/>
    <m/>
    <m/>
    <n v="0.17399999999999999"/>
    <m/>
    <m/>
    <n v="1.74"/>
    <m/>
    <m/>
    <m/>
    <n v="1.9139999999999999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s v="IK"/>
    <n v="30"/>
    <m/>
    <m/>
    <m/>
    <m/>
    <m/>
    <n v="0.16919999999999999"/>
    <m/>
    <m/>
    <n v="1.6919999999999999"/>
    <m/>
    <m/>
    <m/>
    <n v="1.8612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s v="IK"/>
    <n v="30"/>
    <m/>
    <m/>
    <m/>
    <m/>
    <m/>
    <n v="0.255"/>
    <m/>
    <m/>
    <n v="2.5499999999999998"/>
    <m/>
    <m/>
    <m/>
    <n v="2.8049999999999997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s v="IK"/>
    <n v="30"/>
    <m/>
    <m/>
    <m/>
    <m/>
    <m/>
    <n v="0.57899999999999996"/>
    <m/>
    <m/>
    <n v="5.79"/>
    <m/>
    <m/>
    <m/>
    <n v="6.3689999999999998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s v="IK"/>
    <n v="30"/>
    <m/>
    <m/>
    <m/>
    <m/>
    <m/>
    <n v="0.28260000000000002"/>
    <m/>
    <m/>
    <n v="2.8260000000000001"/>
    <m/>
    <m/>
    <m/>
    <n v="3.1086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s v="IK"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s v="IK"/>
    <n v="30"/>
    <m/>
    <m/>
    <m/>
    <m/>
    <m/>
    <m/>
    <m/>
    <m/>
    <m/>
    <m/>
    <n v="0.74550000000000005"/>
    <m/>
    <n v="0.74550000000000005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s v="IK"/>
    <n v="30"/>
    <m/>
    <m/>
    <m/>
    <m/>
    <m/>
    <m/>
    <m/>
    <m/>
    <m/>
    <m/>
    <n v="1.0004999999999999"/>
    <m/>
    <n v="1.0004999999999999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s v="IK"/>
    <n v="30"/>
    <m/>
    <m/>
    <m/>
    <m/>
    <m/>
    <m/>
    <m/>
    <m/>
    <m/>
    <m/>
    <n v="1.5209999999999999"/>
    <m/>
    <n v="1.5209999999999999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s v="IK"/>
    <n v="30"/>
    <m/>
    <m/>
    <m/>
    <m/>
    <m/>
    <m/>
    <m/>
    <m/>
    <m/>
    <m/>
    <n v="2.3384999999999998"/>
    <m/>
    <n v="2.3384999999999998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s v="IK"/>
    <n v="30"/>
    <m/>
    <m/>
    <m/>
    <m/>
    <m/>
    <m/>
    <m/>
    <m/>
    <m/>
    <m/>
    <n v="0.77700000000000002"/>
    <m/>
    <n v="0.77700000000000002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akoa"/>
    <m/>
    <m/>
    <n v="0"/>
    <m/>
    <s v="IK"/>
    <m/>
    <m/>
    <m/>
    <m/>
    <m/>
    <m/>
    <m/>
    <m/>
    <m/>
    <m/>
    <m/>
    <n v="0"/>
    <m/>
    <n v="0"/>
    <m/>
    <m/>
  </r>
  <r>
    <x v="0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s v="IK"/>
    <n v="30"/>
    <m/>
    <m/>
    <m/>
    <m/>
    <m/>
    <m/>
    <m/>
    <m/>
    <m/>
    <m/>
    <n v="0.39600000000000002"/>
    <m/>
    <n v="0.39600000000000002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havo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hazoarivo"/>
    <m/>
    <n v="250"/>
    <n v="250"/>
    <m/>
    <s v="IK"/>
    <n v="30"/>
    <m/>
    <m/>
    <m/>
    <m/>
    <m/>
    <n v="0.15"/>
    <m/>
    <m/>
    <n v="1.5"/>
    <m/>
    <m/>
    <m/>
    <n v="1.65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nasoa Mahafaly"/>
    <m/>
    <n v="350"/>
    <n v="350"/>
    <m/>
    <s v="IK"/>
    <n v="30"/>
    <m/>
    <m/>
    <m/>
    <m/>
    <m/>
    <n v="0.21"/>
    <m/>
    <m/>
    <n v="2.1"/>
    <m/>
    <m/>
    <m/>
    <n v="2.31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ely Est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avoa centre"/>
    <m/>
    <n v="260"/>
    <n v="260"/>
    <m/>
    <s v="IK"/>
    <n v="30"/>
    <m/>
    <m/>
    <m/>
    <m/>
    <m/>
    <n v="0.156"/>
    <m/>
    <m/>
    <n v="1.56"/>
    <m/>
    <m/>
    <m/>
    <n v="1.716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Masiaboay"/>
    <m/>
    <n v="300"/>
    <n v="300"/>
    <m/>
    <s v="IK"/>
    <n v="30"/>
    <m/>
    <m/>
    <m/>
    <m/>
    <m/>
    <n v="0.18"/>
    <m/>
    <m/>
    <n v="1.8"/>
    <m/>
    <m/>
    <m/>
    <n v="1.98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dranotakatse"/>
    <m/>
    <n v="550"/>
    <n v="550"/>
    <m/>
    <s v="IK"/>
    <n v="30"/>
    <m/>
    <m/>
    <m/>
    <m/>
    <m/>
    <n v="0.33"/>
    <m/>
    <m/>
    <n v="3.3"/>
    <m/>
    <m/>
    <m/>
    <n v="3.63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tararaty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0"/>
    <n v="2024"/>
    <x v="1"/>
    <s v="Nutrition"/>
    <x v="2"/>
    <s v="NPA_STUN:Prevention of Stunting"/>
    <m/>
    <m/>
    <s v="Tuléar"/>
    <x v="2"/>
    <s v="Tuléar"/>
    <s v="Atsimo Andrefana"/>
    <s v="Betioky"/>
    <s v="TOHANA"/>
    <s v="SAKAMASAY"/>
    <s v="Sakamasay"/>
    <m/>
    <n v="155"/>
    <n v="155"/>
    <m/>
    <s v="IK"/>
    <n v="30"/>
    <m/>
    <m/>
    <m/>
    <m/>
    <m/>
    <n v="9.2999999999999999E-2"/>
    <m/>
    <m/>
    <n v="0.93"/>
    <m/>
    <m/>
    <m/>
    <n v="1.0230000000000001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m/>
    <n v="100"/>
    <n v="100"/>
    <m/>
    <s v="IK"/>
    <n v="30"/>
    <m/>
    <m/>
    <m/>
    <m/>
    <m/>
    <m/>
    <m/>
    <m/>
    <m/>
    <m/>
    <n v="0.15"/>
    <m/>
    <n v="0.15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havoa"/>
    <n v="495"/>
    <m/>
    <n v="495"/>
    <m/>
    <s v="IK"/>
    <n v="30"/>
    <m/>
    <m/>
    <m/>
    <m/>
    <m/>
    <m/>
    <m/>
    <m/>
    <m/>
    <m/>
    <n v="0.74250000000000005"/>
    <m/>
    <n v="0.74250000000000005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hazoarivo"/>
    <n v="500"/>
    <m/>
    <n v="500"/>
    <m/>
    <s v="IK"/>
    <n v="30"/>
    <m/>
    <m/>
    <m/>
    <m/>
    <m/>
    <m/>
    <m/>
    <m/>
    <m/>
    <m/>
    <n v="0.75"/>
    <m/>
    <n v="0.75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nasoa Mahafaly"/>
    <n v="510"/>
    <m/>
    <n v="510"/>
    <m/>
    <s v="IK"/>
    <n v="30"/>
    <m/>
    <m/>
    <m/>
    <m/>
    <m/>
    <m/>
    <m/>
    <m/>
    <m/>
    <m/>
    <n v="0.76500000000000001"/>
    <m/>
    <n v="0.76500000000000001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ely Est"/>
    <n v="580"/>
    <m/>
    <n v="580"/>
    <m/>
    <s v="IK"/>
    <n v="30"/>
    <m/>
    <m/>
    <m/>
    <m/>
    <m/>
    <m/>
    <m/>
    <m/>
    <m/>
    <m/>
    <n v="0.87"/>
    <m/>
    <n v="0.87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avoa centre"/>
    <n v="590"/>
    <m/>
    <n v="590"/>
    <m/>
    <s v="IK"/>
    <n v="30"/>
    <m/>
    <m/>
    <m/>
    <m/>
    <m/>
    <m/>
    <m/>
    <m/>
    <m/>
    <m/>
    <n v="0.88500000000000001"/>
    <m/>
    <n v="0.88500000000000001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Masiaboay"/>
    <n v="500"/>
    <m/>
    <n v="500"/>
    <m/>
    <s v="IK"/>
    <n v="30"/>
    <m/>
    <m/>
    <m/>
    <m/>
    <m/>
    <m/>
    <m/>
    <m/>
    <m/>
    <m/>
    <n v="0.75"/>
    <m/>
    <n v="0.75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dranotakatse"/>
    <n v="900"/>
    <m/>
    <n v="900"/>
    <m/>
    <s v="IK"/>
    <n v="30"/>
    <m/>
    <m/>
    <m/>
    <m/>
    <m/>
    <m/>
    <m/>
    <m/>
    <m/>
    <m/>
    <n v="1.35"/>
    <m/>
    <n v="1.35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tararat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Sakamasa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0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n v="160"/>
    <m/>
    <n v="160"/>
    <m/>
    <s v="IK"/>
    <n v="30"/>
    <m/>
    <m/>
    <m/>
    <m/>
    <m/>
    <m/>
    <m/>
    <m/>
    <m/>
    <m/>
    <n v="0.24"/>
    <m/>
    <n v="0.24"/>
    <m/>
    <m/>
  </r>
  <r>
    <x v="0"/>
    <n v="2024"/>
    <x v="1"/>
    <s v="Nutrition"/>
    <x v="3"/>
    <s v="NPA_STUN:Prevention of Stunting"/>
    <m/>
    <m/>
    <s v="Manakara"/>
    <x v="3"/>
    <m/>
    <s v="Fitovinany"/>
    <s v="Manakara"/>
    <s v="NY TANINTSIKA"/>
    <s v="Ambila"/>
    <s v="En cours"/>
    <n v="1111"/>
    <m/>
    <n v="1111"/>
    <m/>
    <s v="IK"/>
    <n v="30"/>
    <m/>
    <m/>
    <m/>
    <m/>
    <m/>
    <m/>
    <m/>
    <m/>
    <m/>
    <m/>
    <n v="1.6665000000000001"/>
    <m/>
    <n v="1.6665000000000001"/>
    <m/>
    <m/>
  </r>
  <r>
    <x v="0"/>
    <n v="2024"/>
    <x v="1"/>
    <s v="Nutrition"/>
    <x v="3"/>
    <s v="NPA_STUN:Prevention of Stunting"/>
    <m/>
    <m/>
    <s v="Manakara"/>
    <x v="3"/>
    <m/>
    <s v="Fitovinany"/>
    <s v="Manakara"/>
    <s v="NY TANINTSIKA"/>
    <s v="Anteza"/>
    <s v="En cours"/>
    <n v="393"/>
    <m/>
    <n v="393"/>
    <m/>
    <s v="IK"/>
    <n v="30"/>
    <m/>
    <m/>
    <m/>
    <m/>
    <m/>
    <m/>
    <m/>
    <m/>
    <m/>
    <m/>
    <n v="0.58950000000000002"/>
    <m/>
    <n v="0.58950000000000002"/>
    <m/>
    <m/>
  </r>
  <r>
    <x v="0"/>
    <n v="2024"/>
    <x v="1"/>
    <s v="Nutrition"/>
    <x v="2"/>
    <s v="NPA_STUN:Prevention of Stunting"/>
    <m/>
    <m/>
    <s v="Manakara"/>
    <x v="3"/>
    <m/>
    <s v="Fitovinany"/>
    <s v="Manakara"/>
    <s v="NY TANINTSIKA"/>
    <s v="Ambila"/>
    <s v="En cours"/>
    <m/>
    <n v="1283"/>
    <n v="1283"/>
    <m/>
    <s v="IK"/>
    <n v="30"/>
    <m/>
    <m/>
    <m/>
    <m/>
    <m/>
    <n v="0.76980000000000004"/>
    <m/>
    <m/>
    <n v="7.6980000000000004"/>
    <m/>
    <m/>
    <m/>
    <n v="8.4678000000000004"/>
    <m/>
    <m/>
  </r>
  <r>
    <x v="0"/>
    <n v="2024"/>
    <x v="1"/>
    <s v="Nutrition"/>
    <x v="2"/>
    <s v="NPA_STUN:Prevention of Stunting"/>
    <m/>
    <m/>
    <s v="Manakara"/>
    <x v="3"/>
    <m/>
    <s v="Fitovinany"/>
    <s v="Manakara"/>
    <s v="NY TANINTSIKA"/>
    <s v="Anteza"/>
    <s v="En cours"/>
    <m/>
    <n v="454"/>
    <n v="454"/>
    <m/>
    <s v="IK"/>
    <n v="30"/>
    <m/>
    <m/>
    <m/>
    <m/>
    <m/>
    <n v="0.27239999999999998"/>
    <m/>
    <m/>
    <n v="2.7240000000000002"/>
    <m/>
    <m/>
    <m/>
    <n v="2.9964000000000004"/>
    <m/>
    <m/>
  </r>
  <r>
    <x v="0"/>
    <n v="2024"/>
    <x v="1"/>
    <s v="Nutrition"/>
    <x v="3"/>
    <s v="NPA_STUN:Prevention of Stunting"/>
    <m/>
    <m/>
    <s v="Manakara"/>
    <x v="3"/>
    <m/>
    <s v="Vatovavy"/>
    <s v="Mananjary"/>
    <s v="NY TANINTSIKA"/>
    <s v="Mahatsara Sud"/>
    <s v="En cours"/>
    <n v="427"/>
    <m/>
    <n v="427"/>
    <m/>
    <s v="IK"/>
    <n v="30"/>
    <m/>
    <m/>
    <m/>
    <m/>
    <m/>
    <m/>
    <m/>
    <m/>
    <m/>
    <m/>
    <n v="0.64049999999999996"/>
    <m/>
    <n v="0.64049999999999996"/>
    <m/>
    <m/>
  </r>
  <r>
    <x v="0"/>
    <n v="2024"/>
    <x v="1"/>
    <s v="Nutrition"/>
    <x v="3"/>
    <s v="NPA_STUN:Prevention of Stunting"/>
    <m/>
    <m/>
    <s v="Manakara"/>
    <x v="3"/>
    <m/>
    <s v="Vatovavy"/>
    <s v="Mananjary"/>
    <s v="NY TANINTSIKA"/>
    <s v="Marokarima"/>
    <s v="En cours"/>
    <n v="721"/>
    <m/>
    <n v="721"/>
    <m/>
    <s v="IK"/>
    <n v="30"/>
    <m/>
    <m/>
    <m/>
    <m/>
    <m/>
    <m/>
    <m/>
    <m/>
    <m/>
    <m/>
    <n v="1.0814999999999999"/>
    <m/>
    <n v="1.0814999999999999"/>
    <m/>
    <m/>
  </r>
  <r>
    <x v="0"/>
    <n v="2024"/>
    <x v="1"/>
    <s v="Nutrition"/>
    <x v="3"/>
    <s v="NPA_STUN:Prevention of Stunting"/>
    <m/>
    <m/>
    <s v="Manakara"/>
    <x v="3"/>
    <m/>
    <s v="Vatovavy"/>
    <s v="Mananjary"/>
    <s v="NY TANINTSIKA"/>
    <s v="Tsaravary"/>
    <s v="En cours"/>
    <n v="380"/>
    <m/>
    <n v="380"/>
    <m/>
    <s v="IK"/>
    <n v="30"/>
    <m/>
    <m/>
    <m/>
    <m/>
    <m/>
    <m/>
    <m/>
    <m/>
    <m/>
    <m/>
    <n v="0.56999999999999995"/>
    <m/>
    <n v="0.56999999999999995"/>
    <m/>
    <m/>
  </r>
  <r>
    <x v="0"/>
    <n v="2024"/>
    <x v="1"/>
    <s v="Nutrition"/>
    <x v="3"/>
    <s v="NPA_STUN:Prevention of Stunting"/>
    <m/>
    <m/>
    <s v="Manakara"/>
    <x v="3"/>
    <m/>
    <s v="Vatovavy"/>
    <s v="Mananjary"/>
    <s v="NY TANINTSIKA"/>
    <s v="Tsiatosika"/>
    <s v="En cours"/>
    <n v="1061"/>
    <m/>
    <n v="1061"/>
    <m/>
    <s v="IK"/>
    <n v="30"/>
    <m/>
    <m/>
    <m/>
    <m/>
    <m/>
    <m/>
    <m/>
    <m/>
    <m/>
    <m/>
    <n v="1.5914999999999999"/>
    <m/>
    <n v="1.5914999999999999"/>
    <m/>
    <m/>
  </r>
  <r>
    <x v="0"/>
    <n v="2024"/>
    <x v="1"/>
    <s v="Nutrition"/>
    <x v="2"/>
    <s v="NPA_STUN:Prevention of Stunting"/>
    <m/>
    <m/>
    <s v="Manakara"/>
    <x v="3"/>
    <m/>
    <s v="Vatovavy"/>
    <s v="Mananjary"/>
    <s v="NY TANINTSIKA"/>
    <s v="Mahatsara Sud"/>
    <s v="En cours"/>
    <m/>
    <n v="493"/>
    <n v="493"/>
    <m/>
    <s v="IK"/>
    <n v="30"/>
    <m/>
    <m/>
    <m/>
    <m/>
    <m/>
    <n v="0.29580000000000001"/>
    <m/>
    <m/>
    <n v="2.9580000000000002"/>
    <m/>
    <m/>
    <m/>
    <n v="3.2538"/>
    <m/>
    <m/>
  </r>
  <r>
    <x v="0"/>
    <n v="2024"/>
    <x v="1"/>
    <s v="Nutrition"/>
    <x v="2"/>
    <s v="NPA_STUN:Prevention of Stunting"/>
    <m/>
    <m/>
    <s v="Manakara"/>
    <x v="3"/>
    <m/>
    <s v="Vatovavy"/>
    <s v="Mananjary"/>
    <s v="NY TANINTSIKA"/>
    <s v="Marokarima"/>
    <s v="En cours"/>
    <m/>
    <n v="833"/>
    <n v="833"/>
    <m/>
    <s v="IK"/>
    <n v="30"/>
    <m/>
    <m/>
    <m/>
    <m/>
    <m/>
    <n v="0.49980000000000002"/>
    <m/>
    <m/>
    <n v="4.9980000000000002"/>
    <m/>
    <m/>
    <m/>
    <n v="5.4977999999999998"/>
    <m/>
    <m/>
  </r>
  <r>
    <x v="0"/>
    <n v="2024"/>
    <x v="1"/>
    <s v="Nutrition"/>
    <x v="2"/>
    <s v="NPA_STUN:Prevention of Stunting"/>
    <m/>
    <m/>
    <s v="Manakara"/>
    <x v="3"/>
    <m/>
    <s v="Vatovavy"/>
    <s v="Mananjary"/>
    <s v="NY TANINTSIKA"/>
    <s v="Tsaravary"/>
    <s v="En cours"/>
    <m/>
    <n v="439"/>
    <n v="439"/>
    <m/>
    <s v="IK"/>
    <n v="30"/>
    <m/>
    <m/>
    <m/>
    <m/>
    <m/>
    <n v="0.26340000000000002"/>
    <m/>
    <m/>
    <n v="2.6339999999999999"/>
    <m/>
    <m/>
    <m/>
    <n v="2.8973999999999998"/>
    <m/>
    <m/>
  </r>
  <r>
    <x v="0"/>
    <n v="2024"/>
    <x v="1"/>
    <s v="Nutrition"/>
    <x v="2"/>
    <s v="NPA_STUN:Prevention of Stunting"/>
    <m/>
    <m/>
    <s v="Manakara"/>
    <x v="3"/>
    <m/>
    <s v="Vatovavy"/>
    <s v="Mananjary"/>
    <s v="NY TANINTSIKA"/>
    <s v="Tsiatosika"/>
    <s v="En cours"/>
    <m/>
    <n v="1225"/>
    <n v="1225"/>
    <m/>
    <s v="IK"/>
    <n v="30"/>
    <m/>
    <m/>
    <m/>
    <m/>
    <m/>
    <n v="0.73499999999999999"/>
    <m/>
    <m/>
    <n v="7.35"/>
    <m/>
    <m/>
    <m/>
    <n v="8.0849999999999991"/>
    <m/>
    <m/>
  </r>
  <r>
    <x v="1"/>
    <n v="2024"/>
    <x v="0"/>
    <s v="GD"/>
    <x v="0"/>
    <s v="URT_GD: General Distribution"/>
    <n v="1"/>
    <m/>
    <s v="Bekily"/>
    <x v="0"/>
    <s v="Taolagnaro"/>
    <s v="Androy"/>
    <s v="Bekily"/>
    <m/>
    <s v="Ambahita"/>
    <m/>
    <m/>
    <m/>
    <n v="16706"/>
    <n v="3341.2"/>
    <s v="IK"/>
    <n v="15"/>
    <n v="100.236"/>
    <n v="0"/>
    <n v="0"/>
    <n v="0"/>
    <n v="15.035399999999999"/>
    <n v="8.7706499999999998"/>
    <n v="0"/>
    <n v="0"/>
    <n v="0"/>
    <n v="0"/>
    <m/>
    <n v="0"/>
    <n v="124.04205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Amborompotsy"/>
    <m/>
    <m/>
    <m/>
    <n v="17635"/>
    <n v="3527"/>
    <s v="IK"/>
    <n v="15"/>
    <n v="105.81"/>
    <n v="0"/>
    <n v="0"/>
    <n v="0"/>
    <n v="15.871499999999999"/>
    <n v="9.2583749999999991"/>
    <n v="0"/>
    <n v="0"/>
    <n v="0"/>
    <n v="0"/>
    <m/>
    <n v="0"/>
    <n v="130.939875"/>
    <n v="0"/>
    <n v="0"/>
  </r>
  <r>
    <x v="1"/>
    <n v="2024"/>
    <x v="0"/>
    <s v="GD"/>
    <x v="0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s v="IK"/>
    <n v="15"/>
    <n v="202.96799999999999"/>
    <n v="0"/>
    <n v="0"/>
    <n v="0"/>
    <n v="30.4452"/>
    <n v="17.759699999999999"/>
    <n v="0"/>
    <n v="0"/>
    <n v="0"/>
    <n v="0"/>
    <m/>
    <n v="0"/>
    <n v="251.1729"/>
    <n v="0"/>
    <n v="0"/>
  </r>
  <r>
    <x v="1"/>
    <n v="2024"/>
    <x v="0"/>
    <s v="GD"/>
    <x v="0"/>
    <s v="URT_GD: General Distribution"/>
    <n v="2"/>
    <m/>
    <s v="Amboasary"/>
    <x v="0"/>
    <s v="Taolagnaro"/>
    <s v="Anosy"/>
    <s v="Taolagnaro"/>
    <m/>
    <s v="Andranobory"/>
    <m/>
    <m/>
    <m/>
    <n v="7275"/>
    <n v="1455"/>
    <s v="IK"/>
    <n v="15"/>
    <n v="43.65"/>
    <n v="0"/>
    <n v="0"/>
    <n v="0"/>
    <n v="6.5475000000000003"/>
    <n v="3.819375"/>
    <n v="0"/>
    <n v="0"/>
    <n v="0"/>
    <n v="0"/>
    <m/>
    <n v="0"/>
    <n v="54.016874999999999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Androipano"/>
    <m/>
    <m/>
    <m/>
    <n v="11555"/>
    <n v="2311"/>
    <s v="IK"/>
    <n v="15"/>
    <n v="69.33"/>
    <n v="0"/>
    <n v="0"/>
    <n v="0"/>
    <n v="10.3995"/>
    <n v="6.0663749999999999"/>
    <n v="0"/>
    <n v="0"/>
    <n v="0"/>
    <n v="0"/>
    <m/>
    <n v="0"/>
    <n v="85.795874999999995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Androka"/>
    <m/>
    <m/>
    <m/>
    <n v="35000"/>
    <n v="7000"/>
    <s v="IK"/>
    <n v="15"/>
    <n v="210"/>
    <n v="0"/>
    <n v="0"/>
    <n v="0"/>
    <n v="31.5"/>
    <n v="18.375"/>
    <n v="0"/>
    <n v="0"/>
    <n v="0"/>
    <n v="0"/>
    <m/>
    <n v="0"/>
    <n v="259.875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Anivorano Mitsinjo"/>
    <m/>
    <m/>
    <m/>
    <n v="6800"/>
    <n v="1360"/>
    <s v="IK"/>
    <n v="15"/>
    <n v="40.799999999999997"/>
    <n v="0"/>
    <n v="0"/>
    <n v="0"/>
    <n v="6.12"/>
    <n v="3.57"/>
    <n v="0"/>
    <n v="0"/>
    <n v="0"/>
    <n v="0"/>
    <m/>
    <n v="0"/>
    <n v="50.489999999999995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Anja Nord"/>
    <m/>
    <m/>
    <m/>
    <n v="3770"/>
    <n v="754"/>
    <s v="IK"/>
    <n v="15"/>
    <n v="22.62"/>
    <n v="0"/>
    <n v="0"/>
    <n v="0"/>
    <n v="3.3929999999999998"/>
    <n v="1.97925"/>
    <n v="0"/>
    <n v="0"/>
    <n v="0"/>
    <n v="0"/>
    <m/>
    <n v="0"/>
    <n v="27.992250000000002"/>
    <n v="0"/>
    <n v="0"/>
  </r>
  <r>
    <x v="1"/>
    <n v="2024"/>
    <x v="0"/>
    <s v="GD"/>
    <x v="0"/>
    <s v="URT_GD: General Distribution"/>
    <n v="1"/>
    <m/>
    <s v="Ambovombe"/>
    <x v="0"/>
    <s v="Taolagnaro"/>
    <s v="Androy"/>
    <s v="Ambovombe"/>
    <m/>
    <s v="Ampamata"/>
    <m/>
    <m/>
    <m/>
    <n v="10150"/>
    <n v="2030"/>
    <s v="IK"/>
    <n v="15"/>
    <n v="60.9"/>
    <n v="0"/>
    <n v="0"/>
    <n v="0"/>
    <n v="9.1349999999999998"/>
    <n v="5.3287500000000003"/>
    <n v="0"/>
    <n v="0"/>
    <n v="0"/>
    <n v="0"/>
    <m/>
    <n v="0"/>
    <n v="75.363749999999996"/>
    <n v="0"/>
    <n v="0"/>
  </r>
  <r>
    <x v="1"/>
    <n v="2024"/>
    <x v="0"/>
    <s v="GD"/>
    <x v="0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s v="IK"/>
    <n v="15"/>
    <n v="113.28"/>
    <n v="0"/>
    <n v="0"/>
    <n v="0"/>
    <n v="16.992000000000001"/>
    <n v="9.9120000000000008"/>
    <n v="0"/>
    <n v="0"/>
    <n v="0"/>
    <n v="0"/>
    <m/>
    <n v="0"/>
    <n v="140.184"/>
    <n v="0"/>
    <n v="0"/>
  </r>
  <r>
    <x v="1"/>
    <n v="2024"/>
    <x v="0"/>
    <s v="GD"/>
    <x v="0"/>
    <s v="URT_GD: General Distribution"/>
    <n v="2"/>
    <m/>
    <s v="Tuléar"/>
    <x v="2"/>
    <s v="Tuléar"/>
    <s v="Atsimo Andrefana"/>
    <s v="Betioky"/>
    <m/>
    <s v="Ankazombalala"/>
    <m/>
    <m/>
    <m/>
    <n v="12000"/>
    <n v="2400"/>
    <s v="IK"/>
    <n v="15"/>
    <n v="72"/>
    <n v="0"/>
    <n v="0"/>
    <n v="0"/>
    <n v="10.8"/>
    <n v="6.3"/>
    <n v="0"/>
    <n v="0"/>
    <n v="0"/>
    <n v="0"/>
    <m/>
    <n v="0"/>
    <n v="89.1"/>
    <n v="0"/>
    <n v="0"/>
  </r>
  <r>
    <x v="1"/>
    <n v="2024"/>
    <x v="0"/>
    <s v="GD"/>
    <x v="0"/>
    <s v="URT_GD: General Distribution"/>
    <n v="2"/>
    <m/>
    <m/>
    <x v="3"/>
    <m/>
    <s v="Atsimo Antsinana"/>
    <s v="Vondrozo"/>
    <m/>
    <s v="Anandravy"/>
    <m/>
    <m/>
    <m/>
    <n v="4797"/>
    <n v="959.4"/>
    <s v="IK"/>
    <n v="15"/>
    <n v="28.782"/>
    <n v="0"/>
    <n v="0"/>
    <n v="0"/>
    <n v="4.3173000000000004"/>
    <n v="2.5184250000000001"/>
    <n v="0"/>
    <n v="0"/>
    <n v="0"/>
    <n v="0"/>
    <m/>
    <n v="0"/>
    <n v="35.617725"/>
    <n v="0"/>
    <n v="0"/>
  </r>
  <r>
    <x v="1"/>
    <n v="2024"/>
    <x v="0"/>
    <s v="GD"/>
    <x v="0"/>
    <s v="URT_GD: General Distribution"/>
    <n v="2"/>
    <m/>
    <s v="Ampanihy"/>
    <x v="1"/>
    <s v="Tuléar"/>
    <s v="Atsimo Andrefana"/>
    <s v="Ampanihy Ouest"/>
    <m/>
    <s v="Ankiliabo"/>
    <m/>
    <m/>
    <m/>
    <n v="18100"/>
    <n v="3620"/>
    <s v="IK"/>
    <n v="15"/>
    <n v="108.6"/>
    <n v="0"/>
    <n v="0"/>
    <n v="0"/>
    <n v="16.29"/>
    <n v="9.5024999999999995"/>
    <n v="0"/>
    <n v="0"/>
    <n v="0"/>
    <n v="0"/>
    <m/>
    <n v="0"/>
    <n v="134.39249999999998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Antsakoamaro"/>
    <m/>
    <m/>
    <m/>
    <n v="6201"/>
    <n v="1240.2"/>
    <s v="IK"/>
    <n v="15"/>
    <n v="37.206000000000003"/>
    <n v="0"/>
    <n v="0"/>
    <n v="0"/>
    <n v="5.5808999999999997"/>
    <n v="3.255525"/>
    <n v="0"/>
    <n v="0"/>
    <n v="0"/>
    <n v="0"/>
    <m/>
    <n v="0"/>
    <n v="46.042425000000001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Belafike haut"/>
    <m/>
    <m/>
    <m/>
    <n v="10195"/>
    <n v="2039"/>
    <s v="IK"/>
    <n v="15"/>
    <n v="61.17"/>
    <n v="0"/>
    <n v="0"/>
    <n v="0"/>
    <n v="9.1754999999999995"/>
    <n v="5.3523750000000003"/>
    <n v="0"/>
    <n v="0"/>
    <n v="0"/>
    <n v="0"/>
    <m/>
    <n v="0"/>
    <n v="75.697874999999996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Belindo Mahasoa"/>
    <m/>
    <m/>
    <m/>
    <n v="15000"/>
    <n v="3000"/>
    <s v="IK"/>
    <n v="15"/>
    <n v="90"/>
    <n v="0"/>
    <n v="0"/>
    <n v="0"/>
    <n v="13.5"/>
    <n v="7.875"/>
    <n v="0"/>
    <n v="0"/>
    <n v="0"/>
    <n v="0"/>
    <m/>
    <n v="0"/>
    <n v="111.375"/>
    <n v="0"/>
    <n v="0"/>
  </r>
  <r>
    <x v="1"/>
    <n v="2024"/>
    <x v="0"/>
    <s v="GD"/>
    <x v="0"/>
    <s v="URT_GD: General Distribution"/>
    <n v="1"/>
    <m/>
    <s v="Tuléar"/>
    <x v="2"/>
    <s v="Tuléar"/>
    <s v="Atsimo Andrefana"/>
    <s v="Betioky"/>
    <m/>
    <s v="Beora"/>
    <m/>
    <m/>
    <m/>
    <n v="1000"/>
    <n v="200"/>
    <s v="IK"/>
    <n v="15"/>
    <n v="6"/>
    <n v="0"/>
    <n v="0"/>
    <n v="0"/>
    <n v="0.9"/>
    <n v="0.52500000000000002"/>
    <n v="0"/>
    <n v="0"/>
    <n v="0"/>
    <n v="0"/>
    <m/>
    <n v="0"/>
    <n v="7.4250000000000007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Bevitiky"/>
    <m/>
    <m/>
    <m/>
    <n v="6341"/>
    <n v="1268.2"/>
    <s v="IK"/>
    <n v="15"/>
    <n v="38.045999999999999"/>
    <n v="0"/>
    <n v="0"/>
    <n v="0"/>
    <n v="5.7069000000000001"/>
    <n v="3.3290250000000001"/>
    <n v="0"/>
    <n v="0"/>
    <n v="0"/>
    <n v="0"/>
    <m/>
    <n v="0"/>
    <n v="47.081924999999998"/>
    <n v="0"/>
    <n v="0"/>
  </r>
  <r>
    <x v="1"/>
    <n v="2024"/>
    <x v="0"/>
    <s v="GD"/>
    <x v="0"/>
    <s v="URT_GD: General Distribution"/>
    <n v="1"/>
    <m/>
    <s v="Amboasary"/>
    <x v="0"/>
    <s v="Taolagnaro"/>
    <s v="Anosy"/>
    <s v="Amboasary"/>
    <m/>
    <s v="Ebelo"/>
    <m/>
    <m/>
    <m/>
    <n v="13542"/>
    <n v="2708.4"/>
    <s v="IK"/>
    <n v="15"/>
    <n v="81.251999999999995"/>
    <n v="0"/>
    <n v="0"/>
    <n v="0"/>
    <n v="12.187799999999999"/>
    <n v="7.1095499999999996"/>
    <n v="0"/>
    <n v="0"/>
    <n v="0"/>
    <n v="0"/>
    <m/>
    <n v="0"/>
    <n v="100.54934999999999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Gogogogo"/>
    <m/>
    <m/>
    <m/>
    <n v="18955"/>
    <n v="3791"/>
    <s v="IK"/>
    <n v="15"/>
    <n v="113.73"/>
    <n v="0"/>
    <n v="0"/>
    <n v="0"/>
    <n v="17.0595"/>
    <n v="9.9513750000000005"/>
    <n v="0"/>
    <n v="0"/>
    <n v="0"/>
    <n v="0"/>
    <m/>
    <n v="0"/>
    <n v="140.74087500000002"/>
    <n v="0"/>
    <n v="0"/>
  </r>
  <r>
    <x v="1"/>
    <n v="2024"/>
    <x v="0"/>
    <s v="GD"/>
    <x v="0"/>
    <s v="URT_GD: General Distribution"/>
    <n v="2"/>
    <m/>
    <s v="Tuléar"/>
    <x v="2"/>
    <s v="Tuléar"/>
    <s v="Atsimo Andrefana"/>
    <s v="Betioky"/>
    <m/>
    <s v="Lazarivo"/>
    <m/>
    <m/>
    <m/>
    <n v="10900"/>
    <n v="2180"/>
    <s v="IK"/>
    <n v="15"/>
    <n v="65.400000000000006"/>
    <n v="0"/>
    <n v="0"/>
    <n v="0"/>
    <n v="9.81"/>
    <n v="5.7225000000000001"/>
    <n v="0"/>
    <n v="0"/>
    <n v="0"/>
    <n v="0"/>
    <m/>
    <n v="0"/>
    <n v="80.932500000000005"/>
    <n v="0"/>
    <n v="0"/>
  </r>
  <r>
    <x v="1"/>
    <n v="2024"/>
    <x v="0"/>
    <s v="GD"/>
    <x v="0"/>
    <s v="URT_GD: General Distribution"/>
    <n v="1"/>
    <m/>
    <s v="Amboasary"/>
    <x v="0"/>
    <s v="Taolagnaro"/>
    <s v="Anosy"/>
    <s v="Amboasary"/>
    <m/>
    <s v="Mahabo"/>
    <m/>
    <m/>
    <m/>
    <n v="5759"/>
    <n v="1151.8"/>
    <s v="IK"/>
    <n v="15"/>
    <n v="34.554000000000002"/>
    <n v="0"/>
    <n v="0"/>
    <n v="0"/>
    <n v="5.1830999999999996"/>
    <n v="3.0234749999999999"/>
    <n v="0"/>
    <n v="0"/>
    <n v="0"/>
    <n v="0"/>
    <m/>
    <n v="0"/>
    <n v="42.760574999999996"/>
    <n v="0"/>
    <n v="0"/>
  </r>
  <r>
    <x v="1"/>
    <n v="2024"/>
    <x v="0"/>
    <s v="GD"/>
    <x v="0"/>
    <s v="URT_GD: General Distribution"/>
    <n v="1"/>
    <m/>
    <s v="Amboasary"/>
    <x v="0"/>
    <s v="Taolagnaro"/>
    <s v="Anosy"/>
    <s v="Amboasary"/>
    <m/>
    <s v="Mahaly"/>
    <m/>
    <m/>
    <m/>
    <n v="20745"/>
    <n v="4149"/>
    <s v="IK"/>
    <n v="15"/>
    <n v="124.47"/>
    <n v="0"/>
    <n v="0"/>
    <n v="0"/>
    <n v="18.670500000000001"/>
    <n v="10.891125000000001"/>
    <n v="0"/>
    <n v="0"/>
    <n v="0"/>
    <n v="0"/>
    <m/>
    <n v="0"/>
    <n v="154.03162499999999"/>
    <n v="0"/>
    <n v="0"/>
  </r>
  <r>
    <x v="1"/>
    <n v="2024"/>
    <x v="0"/>
    <s v="GD"/>
    <x v="0"/>
    <s v="URT_GD: General Distribution"/>
    <n v="2"/>
    <m/>
    <m/>
    <x v="3"/>
    <m/>
    <s v="Atsimo Antsinana"/>
    <s v="Vondrozo"/>
    <m/>
    <s v="Mahatsinjo"/>
    <m/>
    <m/>
    <m/>
    <n v="7686"/>
    <n v="1537.2"/>
    <s v="IK"/>
    <n v="15"/>
    <n v="46.116"/>
    <n v="0"/>
    <n v="0"/>
    <n v="0"/>
    <n v="6.9173999999999998"/>
    <n v="4.0351499999999998"/>
    <n v="0"/>
    <n v="0"/>
    <n v="0"/>
    <n v="0"/>
    <m/>
    <n v="0"/>
    <n v="57.068550000000002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Manakompy"/>
    <m/>
    <m/>
    <m/>
    <n v="6759"/>
    <n v="1351.8"/>
    <s v="IK"/>
    <n v="15"/>
    <n v="40.554000000000002"/>
    <n v="0"/>
    <n v="0"/>
    <n v="0"/>
    <n v="6.0831"/>
    <n v="3.5484749999999998"/>
    <n v="0"/>
    <n v="0"/>
    <n v="0"/>
    <n v="0"/>
    <m/>
    <n v="0"/>
    <n v="50.185575"/>
    <n v="0"/>
    <n v="0"/>
  </r>
  <r>
    <x v="1"/>
    <n v="2024"/>
    <x v="0"/>
    <s v="GD"/>
    <x v="0"/>
    <s v="URT_GD: General Distribution"/>
    <n v="2"/>
    <m/>
    <s v="Amboasary"/>
    <x v="0"/>
    <s v="Taolagnaro"/>
    <s v="Anosy"/>
    <s v="Amboasary"/>
    <m/>
    <s v="Maromby"/>
    <m/>
    <m/>
    <m/>
    <n v="15242"/>
    <n v="3048.4"/>
    <s v="IK"/>
    <n v="15"/>
    <n v="91.451999999999998"/>
    <n v="0"/>
    <n v="0"/>
    <n v="0"/>
    <n v="13.7178"/>
    <n v="8.0020500000000006"/>
    <n v="0"/>
    <n v="0"/>
    <n v="0"/>
    <n v="0"/>
    <m/>
    <n v="0"/>
    <n v="113.17184999999999"/>
    <n v="0"/>
    <n v="0"/>
  </r>
  <r>
    <x v="1"/>
    <n v="2024"/>
    <x v="0"/>
    <s v="GD"/>
    <x v="0"/>
    <s v="URT_GD: General Distribution"/>
    <n v="1"/>
    <m/>
    <s v="Ampanihy"/>
    <x v="1"/>
    <s v="Tuléar"/>
    <s v="Atsimo Andrefana"/>
    <s v="Ampanihy Ouest"/>
    <m/>
    <s v="Ankilizato"/>
    <m/>
    <m/>
    <m/>
    <n v="7940"/>
    <n v="1588"/>
    <s v="IK"/>
    <n v="15"/>
    <n v="47.64"/>
    <n v="0"/>
    <n v="0"/>
    <n v="0"/>
    <n v="7.1459999999999999"/>
    <n v="4.1684999999999999"/>
    <n v="0"/>
    <n v="0"/>
    <n v="0"/>
    <n v="0"/>
    <m/>
    <n v="0"/>
    <n v="58.954500000000003"/>
    <n v="0"/>
    <n v="0"/>
  </r>
  <r>
    <x v="1"/>
    <n v="2024"/>
    <x v="0"/>
    <s v="GD"/>
    <x v="0"/>
    <s v="URT_GD: General Distribution"/>
    <n v="1"/>
    <m/>
    <s v="Tuléar"/>
    <x v="2"/>
    <s v="Tuléar"/>
    <s v="Atsimo Andrefana"/>
    <s v="Betioky"/>
    <m/>
    <s v="Marosavoa"/>
    <m/>
    <m/>
    <m/>
    <n v="3766"/>
    <n v="753.2"/>
    <s v="IK"/>
    <n v="15"/>
    <n v="22.596"/>
    <n v="0"/>
    <n v="0"/>
    <n v="0"/>
    <n v="3.3894000000000002"/>
    <n v="1.97715"/>
    <n v="0"/>
    <n v="0"/>
    <n v="0"/>
    <n v="0"/>
    <m/>
    <n v="0"/>
    <n v="27.96255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Maroviro"/>
    <m/>
    <m/>
    <m/>
    <n v="12420"/>
    <n v="2484"/>
    <s v="IK"/>
    <n v="15"/>
    <n v="74.52"/>
    <n v="0"/>
    <n v="0"/>
    <n v="0"/>
    <n v="11.178000000000001"/>
    <n v="6.5205000000000002"/>
    <n v="0"/>
    <n v="0"/>
    <n v="0"/>
    <n v="0"/>
    <m/>
    <n v="0"/>
    <n v="92.218499999999992"/>
    <n v="0"/>
    <n v="0"/>
  </r>
  <r>
    <x v="1"/>
    <n v="2024"/>
    <x v="0"/>
    <s v="GD"/>
    <x v="0"/>
    <s v="URT_GD: General Distribution"/>
    <n v="1"/>
    <m/>
    <m/>
    <x v="3"/>
    <m/>
    <s v="Atsimo Antsinana"/>
    <s v="Vangaindrano"/>
    <m/>
    <s v="Matanga"/>
    <m/>
    <m/>
    <m/>
    <n v="13734"/>
    <n v="2746.8"/>
    <s v="IK"/>
    <n v="15"/>
    <n v="82.403999999999996"/>
    <n v="0"/>
    <n v="0"/>
    <n v="0"/>
    <n v="12.3606"/>
    <n v="7.21035"/>
    <n v="0"/>
    <n v="0"/>
    <n v="0"/>
    <n v="0"/>
    <m/>
    <n v="0"/>
    <n v="101.97495000000001"/>
    <n v="0"/>
    <n v="0"/>
  </r>
  <r>
    <x v="1"/>
    <n v="2024"/>
    <x v="0"/>
    <s v="GD"/>
    <x v="0"/>
    <s v="URT_GD: General Distribution"/>
    <n v="1"/>
    <m/>
    <m/>
    <x v="3"/>
    <m/>
    <s v="Atsimo Antsinana"/>
    <s v="Befotaka"/>
    <m/>
    <s v="Antondabe"/>
    <m/>
    <m/>
    <m/>
    <n v="5174"/>
    <n v="1034.8"/>
    <s v="IK"/>
    <n v="15"/>
    <n v="31.044"/>
    <n v="0"/>
    <n v="0"/>
    <n v="0"/>
    <n v="4.6566000000000001"/>
    <n v="2.7163499999999998"/>
    <n v="0"/>
    <n v="0"/>
    <n v="0"/>
    <n v="0"/>
    <m/>
    <n v="0"/>
    <n v="38.41695"/>
    <n v="0"/>
    <n v="0"/>
  </r>
  <r>
    <x v="1"/>
    <n v="2024"/>
    <x v="0"/>
    <s v="GD"/>
    <x v="0"/>
    <s v="URT_GD: General Distribution"/>
    <n v="1"/>
    <m/>
    <s v="Amboasary"/>
    <x v="0"/>
    <s v="Taolagnaro"/>
    <s v="Anosy"/>
    <s v="Amboasary"/>
    <m/>
    <s v="Ranobe"/>
    <m/>
    <m/>
    <m/>
    <n v="8462"/>
    <n v="1692.4"/>
    <s v="IK"/>
    <n v="15"/>
    <n v="50.771999999999998"/>
    <n v="0"/>
    <n v="0"/>
    <n v="0"/>
    <n v="7.6158000000000001"/>
    <n v="4.4425499999999998"/>
    <n v="0"/>
    <n v="0"/>
    <n v="0"/>
    <n v="0"/>
    <m/>
    <n v="0"/>
    <n v="62.830349999999996"/>
    <n v="0"/>
    <n v="0"/>
  </r>
  <r>
    <x v="1"/>
    <n v="2024"/>
    <x v="0"/>
    <s v="GD"/>
    <x v="0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s v="IK"/>
    <n v="15"/>
    <n v="66.197999999999993"/>
    <n v="0"/>
    <n v="0"/>
    <n v="0"/>
    <n v="9.9297000000000004"/>
    <n v="5.7923249999999999"/>
    <n v="0"/>
    <n v="0"/>
    <n v="0"/>
    <n v="0"/>
    <m/>
    <n v="0"/>
    <n v="81.920024999999995"/>
    <n v="0"/>
    <n v="0"/>
  </r>
  <r>
    <x v="1"/>
    <n v="2024"/>
    <x v="0"/>
    <s v="GD"/>
    <x v="0"/>
    <s v="URT_GD: General Distribution"/>
    <n v="1"/>
    <m/>
    <s v="Ambovombe"/>
    <x v="0"/>
    <s v="Taolagnaro"/>
    <s v="Androy"/>
    <s v="Ambovombe"/>
    <m/>
    <s v="Jafaro"/>
    <m/>
    <m/>
    <m/>
    <n v="26677"/>
    <n v="5335.4"/>
    <s v="IK"/>
    <n v="15"/>
    <n v="160.06200000000001"/>
    <n v="0"/>
    <n v="0"/>
    <n v="0"/>
    <n v="24.0093"/>
    <n v="14.005425000000001"/>
    <n v="0"/>
    <n v="0"/>
    <n v="0"/>
    <n v="0"/>
    <m/>
    <n v="0"/>
    <n v="198.07672500000001"/>
    <n v="0"/>
    <n v="0"/>
  </r>
  <r>
    <x v="1"/>
    <n v="2024"/>
    <x v="0"/>
    <s v="GD"/>
    <x v="0"/>
    <s v="URT_GD: General Distribution"/>
    <n v="2"/>
    <m/>
    <s v="Tuléar"/>
    <x v="2"/>
    <s v="Tuléar"/>
    <s v="Atsimo Andrefana"/>
    <s v="Betioky"/>
    <m/>
    <s v="Tongobory"/>
    <m/>
    <m/>
    <m/>
    <n v="8716"/>
    <n v="1743.2"/>
    <s v="IK"/>
    <n v="15"/>
    <n v="52.295999999999999"/>
    <n v="0"/>
    <n v="0"/>
    <n v="0"/>
    <n v="7.8444000000000003"/>
    <n v="4.5758999999999999"/>
    <n v="0"/>
    <n v="0"/>
    <n v="0"/>
    <n v="0"/>
    <m/>
    <n v="0"/>
    <n v="64.716300000000004"/>
    <n v="0"/>
    <n v="0"/>
  </r>
  <r>
    <x v="1"/>
    <n v="2024"/>
    <x v="0"/>
    <s v="GD"/>
    <x v="0"/>
    <s v="URT_GD: General Distribution"/>
    <n v="1"/>
    <m/>
    <m/>
    <x v="3"/>
    <m/>
    <s v="Atsimo Antsinana"/>
    <s v="Vangaindrano"/>
    <m/>
    <s v="Manambondro"/>
    <m/>
    <m/>
    <m/>
    <n v="4868"/>
    <n v="973.6"/>
    <s v="IK"/>
    <n v="15"/>
    <n v="29.207999999999998"/>
    <n v="0"/>
    <n v="0"/>
    <n v="0"/>
    <n v="4.3811999999999998"/>
    <n v="2.5556999999999999"/>
    <n v="0"/>
    <n v="0"/>
    <n v="0"/>
    <n v="0"/>
    <m/>
    <n v="0"/>
    <n v="36.1449"/>
    <n v="0"/>
    <n v="0"/>
  </r>
  <r>
    <x v="1"/>
    <n v="2024"/>
    <x v="0"/>
    <s v="GD"/>
    <x v="0"/>
    <s v="URT_GD: General Distribution"/>
    <n v="1"/>
    <m/>
    <m/>
    <x v="3"/>
    <m/>
    <s v="Atsimo Antsinana"/>
    <s v="Vangaindrano"/>
    <m/>
    <s v="Marokibo"/>
    <m/>
    <m/>
    <m/>
    <n v="4267"/>
    <n v="853.4"/>
    <s v="IK"/>
    <n v="15"/>
    <n v="25.602"/>
    <n v="0"/>
    <n v="0"/>
    <n v="0"/>
    <n v="3.8403"/>
    <n v="2.2401749999999998"/>
    <n v="0"/>
    <n v="0"/>
    <n v="0"/>
    <n v="0"/>
    <m/>
    <n v="0"/>
    <n v="31.682475"/>
    <n v="0"/>
    <n v="0"/>
  </r>
  <r>
    <x v="1"/>
    <n v="2024"/>
    <x v="0"/>
    <s v="GD"/>
    <x v="0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s v="IK"/>
    <n v="15"/>
    <n v="75.774000000000001"/>
    <n v="0"/>
    <n v="0"/>
    <n v="0"/>
    <n v="11.366099999999999"/>
    <n v="6.6302250000000003"/>
    <n v="0"/>
    <n v="0"/>
    <n v="0"/>
    <n v="0"/>
    <m/>
    <n v="0"/>
    <n v="93.770325"/>
    <n v="0"/>
    <n v="0"/>
  </r>
  <r>
    <x v="1"/>
    <n v="2024"/>
    <x v="0"/>
    <s v="GD"/>
    <x v="0"/>
    <s v="URT_GD: General Distribution"/>
    <n v="1"/>
    <m/>
    <m/>
    <x v="3"/>
    <m/>
    <s v="Atsimo Antsinana"/>
    <s v="Vangaindrano"/>
    <m/>
    <s v="Masianaka"/>
    <m/>
    <m/>
    <m/>
    <n v="19824"/>
    <n v="3964.8"/>
    <s v="IK"/>
    <n v="15"/>
    <n v="118.944"/>
    <n v="0"/>
    <n v="0"/>
    <n v="0"/>
    <n v="17.8416"/>
    <n v="10.4076"/>
    <n v="0"/>
    <n v="0"/>
    <n v="0"/>
    <n v="0"/>
    <m/>
    <n v="0"/>
    <n v="147.19319999999999"/>
    <n v="0"/>
    <n v="0"/>
  </r>
  <r>
    <x v="1"/>
    <n v="2024"/>
    <x v="0"/>
    <s v="GD"/>
    <x v="0"/>
    <s v="URT_GD: General Distribution"/>
    <n v="1"/>
    <m/>
    <m/>
    <x v="3"/>
    <m/>
    <s v="Atsimo Antsinana"/>
    <s v="Vangaindrano"/>
    <m/>
    <s v="Ranomena"/>
    <m/>
    <m/>
    <m/>
    <n v="17521"/>
    <n v="3504.2"/>
    <s v="IK"/>
    <n v="15"/>
    <n v="105.126"/>
    <n v="0"/>
    <n v="0"/>
    <n v="0"/>
    <n v="15.7689"/>
    <n v="9.1985250000000001"/>
    <n v="0"/>
    <n v="0"/>
    <n v="0"/>
    <n v="0"/>
    <m/>
    <n v="0"/>
    <n v="130.093425"/>
    <n v="0"/>
    <n v="0"/>
  </r>
  <r>
    <x v="1"/>
    <n v="2024"/>
    <x v="0"/>
    <s v="GD"/>
    <x v="0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s v="IK"/>
    <n v="15"/>
    <n v="34.488"/>
    <n v="0"/>
    <n v="0"/>
    <n v="0"/>
    <n v="5.1731999999999996"/>
    <n v="3.0177"/>
    <n v="0"/>
    <n v="0"/>
    <n v="0"/>
    <n v="0"/>
    <m/>
    <n v="0"/>
    <n v="42.678899999999999"/>
    <n v="0"/>
    <n v="0"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Ambahita"/>
    <m/>
    <m/>
    <m/>
    <n v="835"/>
    <n v="835"/>
    <s v="IK"/>
    <n v="30"/>
    <m/>
    <n v="0"/>
    <n v="0"/>
    <n v="0"/>
    <n v="0"/>
    <n v="0.501"/>
    <n v="0"/>
    <n v="0"/>
    <n v="5.01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Amborompotsy"/>
    <m/>
    <m/>
    <m/>
    <n v="882"/>
    <n v="882"/>
    <s v="IK"/>
    <n v="30"/>
    <m/>
    <n v="0"/>
    <n v="0"/>
    <n v="0"/>
    <n v="0"/>
    <n v="0.5292"/>
    <n v="0"/>
    <n v="0"/>
    <n v="5.2919999999999998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Ambovombe"/>
    <m/>
    <s v="Andalatanosy"/>
    <m/>
    <m/>
    <m/>
    <n v="1691"/>
    <n v="1691"/>
    <s v="IK"/>
    <n v="30"/>
    <m/>
    <n v="0"/>
    <n v="0"/>
    <n v="0"/>
    <n v="0"/>
    <n v="1.0145999999999999"/>
    <n v="0"/>
    <n v="0"/>
    <n v="10.146000000000001"/>
    <n v="0"/>
    <m/>
    <n v="0"/>
    <n v="0"/>
    <m/>
    <m/>
  </r>
  <r>
    <x v="1"/>
    <n v="2024"/>
    <x v="0"/>
    <s v="Nutrition"/>
    <x v="1"/>
    <s v="URT_PREV:Prevention of acute malnutrition"/>
    <n v="2"/>
    <m/>
    <m/>
    <x v="0"/>
    <s v="Taolagnaro"/>
    <s v="Anosy"/>
    <s v="Taolagnaro"/>
    <m/>
    <s v="Andranobory"/>
    <m/>
    <m/>
    <m/>
    <n v="364"/>
    <n v="364"/>
    <s v="IK"/>
    <n v="30"/>
    <m/>
    <n v="0"/>
    <n v="0"/>
    <n v="0"/>
    <n v="0"/>
    <n v="0.21840000000000001"/>
    <n v="0"/>
    <n v="0"/>
    <n v="2.1840000000000002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ipano"/>
    <m/>
    <m/>
    <m/>
    <n v="578"/>
    <n v="578"/>
    <s v="IK"/>
    <n v="30"/>
    <m/>
    <n v="0"/>
    <n v="0"/>
    <n v="0"/>
    <n v="0"/>
    <n v="0.3468"/>
    <n v="0"/>
    <n v="0"/>
    <n v="3.468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ka"/>
    <m/>
    <m/>
    <m/>
    <n v="1750"/>
    <n v="1750"/>
    <s v="IK"/>
    <n v="30"/>
    <m/>
    <n v="0"/>
    <n v="0"/>
    <n v="0"/>
    <n v="0"/>
    <n v="1.05"/>
    <n v="0"/>
    <n v="0"/>
    <n v="10.5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Vatovavy"/>
    <s v="Nosy Varika"/>
    <m/>
    <s v="Ambahy"/>
    <m/>
    <m/>
    <m/>
    <n v="187"/>
    <n v="187"/>
    <s v="IK"/>
    <n v="30"/>
    <n v="0"/>
    <n v="0"/>
    <n v="0"/>
    <n v="0"/>
    <n v="0"/>
    <n v="0.11219999999999999"/>
    <n v="0"/>
    <n v="0"/>
    <n v="1.1220000000000001"/>
    <n v="0"/>
    <n v="0"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Anivorano Mitsinjo"/>
    <m/>
    <m/>
    <m/>
    <n v="340"/>
    <n v="340"/>
    <s v="IK"/>
    <n v="30"/>
    <m/>
    <n v="0"/>
    <n v="0"/>
    <n v="0"/>
    <n v="0"/>
    <n v="0.20399999999999999"/>
    <n v="0"/>
    <n v="0"/>
    <n v="2.04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Vatovavy"/>
    <s v="Nosy Varika"/>
    <m/>
    <s v="Ambodirian'I Sahafary"/>
    <m/>
    <m/>
    <m/>
    <n v="911"/>
    <n v="911"/>
    <s v="IK"/>
    <n v="30"/>
    <n v="0"/>
    <n v="0"/>
    <n v="0"/>
    <n v="0"/>
    <n v="0"/>
    <n v="0.54659999999999997"/>
    <n v="0"/>
    <n v="0"/>
    <n v="5.4660000000000002"/>
    <n v="0"/>
    <n v="0"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Anja Nord"/>
    <m/>
    <m/>
    <m/>
    <n v="189"/>
    <n v="189"/>
    <s v="IK"/>
    <n v="30"/>
    <m/>
    <n v="0"/>
    <n v="0"/>
    <n v="0"/>
    <n v="0"/>
    <n v="0.1134"/>
    <n v="0"/>
    <n v="0"/>
    <n v="1.1339999999999999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Ambovombe"/>
    <m/>
    <s v="Ampamata"/>
    <m/>
    <m/>
    <m/>
    <n v="508"/>
    <n v="508"/>
    <s v="IK"/>
    <n v="30"/>
    <m/>
    <n v="0"/>
    <n v="0"/>
    <n v="0"/>
    <n v="0"/>
    <n v="0.30480000000000002"/>
    <n v="0"/>
    <n v="0"/>
    <n v="3.048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s v="IK"/>
    <n v="30"/>
    <m/>
    <n v="0"/>
    <n v="0"/>
    <n v="0"/>
    <n v="0"/>
    <n v="0.56640000000000001"/>
    <n v="0"/>
    <n v="0"/>
    <n v="5.6639999999999997"/>
    <n v="0"/>
    <m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Ankazombalala"/>
    <m/>
    <m/>
    <m/>
    <n v="600"/>
    <n v="600"/>
    <s v="IK"/>
    <n v="30"/>
    <m/>
    <n v="0"/>
    <n v="0"/>
    <n v="0"/>
    <n v="0"/>
    <n v="0.36"/>
    <n v="0"/>
    <n v="0"/>
    <n v="3.6"/>
    <n v="0"/>
    <m/>
    <n v="0"/>
    <n v="0"/>
    <m/>
    <m/>
  </r>
  <r>
    <x v="1"/>
    <n v="2024"/>
    <x v="0"/>
    <s v="Nutrition"/>
    <x v="1"/>
    <s v="URT_PREV:Prevention of acute malnutrition"/>
    <n v="2"/>
    <m/>
    <m/>
    <x v="1"/>
    <s v="Tuléar"/>
    <s v="Atsimo Andrefana"/>
    <s v="Ampanihy Ouest"/>
    <m/>
    <s v="Ankiliabo"/>
    <m/>
    <m/>
    <m/>
    <n v="905"/>
    <n v="905"/>
    <s v="IK"/>
    <n v="30"/>
    <m/>
    <n v="0"/>
    <n v="0"/>
    <n v="0"/>
    <n v="0"/>
    <n v="0.54300000000000004"/>
    <n v="0"/>
    <n v="0"/>
    <n v="5.43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Antsakoamaro"/>
    <m/>
    <m/>
    <m/>
    <n v="310"/>
    <n v="310"/>
    <s v="IK"/>
    <n v="30"/>
    <m/>
    <n v="0"/>
    <n v="0"/>
    <n v="0"/>
    <n v="0"/>
    <n v="0.186"/>
    <n v="0"/>
    <n v="0"/>
    <n v="1.86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Belafike haut"/>
    <m/>
    <m/>
    <m/>
    <n v="510"/>
    <n v="510"/>
    <s v="IK"/>
    <n v="30"/>
    <m/>
    <n v="0"/>
    <n v="0"/>
    <n v="0"/>
    <n v="0"/>
    <n v="0.30599999999999999"/>
    <n v="0"/>
    <n v="0"/>
    <n v="3.06"/>
    <n v="0"/>
    <m/>
    <n v="0"/>
    <n v="0"/>
    <m/>
    <m/>
  </r>
  <r>
    <x v="1"/>
    <n v="2024"/>
    <x v="0"/>
    <s v="Nutrition"/>
    <x v="1"/>
    <s v="URT_PREV:Prevention of acute malnutrition"/>
    <n v="2"/>
    <m/>
    <m/>
    <x v="3"/>
    <m/>
    <s v="Atsimo Antsinana"/>
    <s v="Vondrozo"/>
    <m/>
    <s v="Anandravy"/>
    <m/>
    <m/>
    <m/>
    <n v="240"/>
    <n v="240"/>
    <s v="IK"/>
    <n v="30"/>
    <m/>
    <n v="0"/>
    <n v="0"/>
    <n v="0"/>
    <n v="0"/>
    <n v="0.14399999999999999"/>
    <n v="0"/>
    <n v="0"/>
    <n v="1.44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Belindo Mahasoa"/>
    <m/>
    <m/>
    <m/>
    <n v="750"/>
    <n v="750"/>
    <s v="IK"/>
    <n v="30"/>
    <m/>
    <n v="0"/>
    <n v="0"/>
    <n v="0"/>
    <n v="0"/>
    <n v="0.45"/>
    <n v="0"/>
    <n v="0"/>
    <n v="4.5"/>
    <n v="0"/>
    <m/>
    <n v="0"/>
    <n v="0"/>
    <m/>
    <m/>
  </r>
  <r>
    <x v="1"/>
    <n v="2024"/>
    <x v="0"/>
    <s v="Nutrition"/>
    <x v="1"/>
    <s v="URT_PREV:Prevention of acute malnutrition"/>
    <n v="2"/>
    <m/>
    <m/>
    <x v="3"/>
    <m/>
    <s v="Atsimo Antsinana"/>
    <s v="Midongy Atsimo"/>
    <m/>
    <s v="Andranolalina"/>
    <m/>
    <m/>
    <m/>
    <n v="367"/>
    <n v="367"/>
    <s v="IK"/>
    <n v="30"/>
    <n v="0"/>
    <n v="0"/>
    <n v="0"/>
    <n v="0"/>
    <n v="0"/>
    <n v="0.22020000000000001"/>
    <n v="0"/>
    <n v="0"/>
    <n v="2.202"/>
    <n v="0"/>
    <n v="0"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Ankazomanga Ouest"/>
    <m/>
    <m/>
    <m/>
    <n v="181"/>
    <n v="181"/>
    <s v="IK"/>
    <n v="30"/>
    <n v="0"/>
    <n v="0"/>
    <n v="0"/>
    <n v="0"/>
    <n v="0"/>
    <n v="0.1086"/>
    <n v="0"/>
    <n v="0"/>
    <n v="1.0860000000000001"/>
    <n v="0"/>
    <n v="0"/>
    <n v="0"/>
    <n v="0"/>
    <m/>
    <m/>
  </r>
  <r>
    <x v="1"/>
    <n v="2024"/>
    <x v="0"/>
    <s v="Nutrition"/>
    <x v="1"/>
    <s v="URT_PREV:Prevention of acute malnutrition"/>
    <n v="1"/>
    <m/>
    <m/>
    <x v="2"/>
    <s v="Tuléar"/>
    <s v="Atsimo Andrefana"/>
    <s v="Betioky"/>
    <m/>
    <s v="Beora"/>
    <m/>
    <m/>
    <m/>
    <n v="50"/>
    <n v="50"/>
    <s v="IK"/>
    <n v="30"/>
    <m/>
    <n v="0"/>
    <n v="0"/>
    <n v="0"/>
    <n v="0"/>
    <n v="0.03"/>
    <n v="0"/>
    <n v="0"/>
    <n v="0.3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Bevitiky"/>
    <m/>
    <m/>
    <m/>
    <n v="317"/>
    <n v="317"/>
    <s v="IK"/>
    <n v="30"/>
    <m/>
    <n v="0"/>
    <n v="0"/>
    <n v="0"/>
    <n v="0"/>
    <n v="0.19020000000000001"/>
    <n v="0"/>
    <n v="0"/>
    <n v="1.9019999999999999"/>
    <n v="0"/>
    <m/>
    <n v="0"/>
    <n v="0"/>
    <m/>
    <m/>
  </r>
  <r>
    <x v="1"/>
    <n v="2024"/>
    <x v="0"/>
    <s v="Nutrition"/>
    <x v="1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s v="IK"/>
    <n v="30"/>
    <m/>
    <n v="0"/>
    <n v="0"/>
    <n v="0"/>
    <n v="0"/>
    <n v="0.40620000000000001"/>
    <n v="0"/>
    <n v="0"/>
    <n v="4.0620000000000003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Gogogogo"/>
    <m/>
    <m/>
    <m/>
    <n v="948"/>
    <n v="948"/>
    <s v="IK"/>
    <n v="30"/>
    <m/>
    <n v="0"/>
    <n v="0"/>
    <n v="0"/>
    <n v="0"/>
    <n v="0.56879999999999997"/>
    <n v="0"/>
    <n v="0"/>
    <n v="5.6879999999999997"/>
    <n v="0"/>
    <m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Lazarivo"/>
    <m/>
    <m/>
    <m/>
    <n v="545"/>
    <n v="545"/>
    <s v="IK"/>
    <n v="30"/>
    <m/>
    <n v="0"/>
    <n v="0"/>
    <n v="0"/>
    <n v="0"/>
    <n v="0.32700000000000001"/>
    <n v="0"/>
    <n v="0"/>
    <n v="3.27"/>
    <n v="0"/>
    <m/>
    <n v="0"/>
    <n v="0"/>
    <m/>
    <m/>
  </r>
  <r>
    <x v="1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s v="IK"/>
    <n v="30"/>
    <m/>
    <n v="0"/>
    <n v="0"/>
    <n v="0"/>
    <n v="0"/>
    <n v="0.17280000000000001"/>
    <n v="0"/>
    <n v="0"/>
    <n v="1.728"/>
    <n v="0"/>
    <m/>
    <n v="0"/>
    <n v="0"/>
    <m/>
    <m/>
  </r>
  <r>
    <x v="1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s v="IK"/>
    <n v="30"/>
    <m/>
    <n v="0"/>
    <n v="0"/>
    <n v="0"/>
    <n v="0"/>
    <n v="0.62219999999999998"/>
    <n v="0"/>
    <n v="0"/>
    <n v="6.2220000000000004"/>
    <n v="0"/>
    <m/>
    <n v="0"/>
    <n v="0"/>
    <m/>
    <m/>
  </r>
  <r>
    <x v="1"/>
    <n v="2024"/>
    <x v="0"/>
    <s v="Nutrition"/>
    <x v="1"/>
    <s v="URT_PREV:Prevention of acute malnutrition"/>
    <n v="2"/>
    <m/>
    <m/>
    <x v="3"/>
    <m/>
    <s v="Atsimo Antsinana"/>
    <s v="Vondrozo"/>
    <m/>
    <s v="Mahatsinjo"/>
    <m/>
    <m/>
    <m/>
    <n v="384"/>
    <n v="384"/>
    <s v="IK"/>
    <n v="30"/>
    <m/>
    <n v="0"/>
    <n v="0"/>
    <n v="0"/>
    <n v="0"/>
    <n v="0.23039999999999999"/>
    <n v="0"/>
    <n v="0"/>
    <n v="2.3039999999999998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Manakompy"/>
    <m/>
    <m/>
    <m/>
    <n v="338"/>
    <n v="338"/>
    <s v="IK"/>
    <n v="30"/>
    <m/>
    <n v="0"/>
    <n v="0"/>
    <n v="0"/>
    <n v="0"/>
    <n v="0.20280000000000001"/>
    <n v="0"/>
    <n v="0"/>
    <n v="2.028"/>
    <n v="0"/>
    <m/>
    <n v="0"/>
    <n v="0"/>
    <m/>
    <m/>
  </r>
  <r>
    <x v="1"/>
    <n v="2024"/>
    <x v="0"/>
    <s v="Nutrition"/>
    <x v="1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s v="IK"/>
    <n v="30"/>
    <m/>
    <n v="0"/>
    <n v="0"/>
    <n v="0"/>
    <n v="0"/>
    <n v="0.4572"/>
    <n v="0"/>
    <n v="0"/>
    <n v="4.5720000000000001"/>
    <n v="0"/>
    <m/>
    <n v="0"/>
    <n v="0"/>
    <m/>
    <m/>
  </r>
  <r>
    <x v="1"/>
    <n v="2024"/>
    <x v="0"/>
    <s v="Nutrition"/>
    <x v="1"/>
    <s v="URT_PREV:Prevention of acute malnutrition"/>
    <n v="1"/>
    <m/>
    <m/>
    <x v="2"/>
    <s v="Tuléar"/>
    <s v="Atsimo Andrefana"/>
    <s v="Betioky"/>
    <m/>
    <s v="Marosavoa"/>
    <m/>
    <m/>
    <m/>
    <n v="188"/>
    <n v="188"/>
    <s v="IK"/>
    <n v="30"/>
    <m/>
    <n v="0"/>
    <n v="0"/>
    <n v="0"/>
    <n v="0"/>
    <n v="0.1128"/>
    <n v="0"/>
    <n v="0"/>
    <n v="1.1279999999999999"/>
    <n v="0"/>
    <m/>
    <n v="0"/>
    <n v="0"/>
    <m/>
    <m/>
  </r>
  <r>
    <x v="1"/>
    <n v="2024"/>
    <x v="0"/>
    <s v="Nutrition"/>
    <x v="1"/>
    <s v="URT_PREV:Prevention of acute malnutrition"/>
    <n v="1"/>
    <m/>
    <m/>
    <x v="1"/>
    <s v="Tuléar"/>
    <s v="Atsimo Andrefana"/>
    <s v="Ampanihy Ouest"/>
    <m/>
    <s v="Ankilizato"/>
    <m/>
    <m/>
    <m/>
    <n v="397"/>
    <n v="397"/>
    <s v="IK"/>
    <n v="30"/>
    <m/>
    <n v="0"/>
    <n v="0"/>
    <n v="0"/>
    <n v="0"/>
    <n v="0.2382"/>
    <n v="0"/>
    <n v="0"/>
    <n v="2.3820000000000001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Maroviro"/>
    <m/>
    <m/>
    <m/>
    <n v="621"/>
    <n v="621"/>
    <s v="IK"/>
    <n v="30"/>
    <m/>
    <n v="0"/>
    <n v="0"/>
    <n v="0"/>
    <n v="0"/>
    <n v="0.37259999999999999"/>
    <n v="0"/>
    <n v="0"/>
    <n v="3.726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s v="IK"/>
    <n v="30"/>
    <n v="0"/>
    <n v="0"/>
    <n v="0"/>
    <n v="0"/>
    <n v="0"/>
    <n v="0.79200000000000004"/>
    <n v="0"/>
    <n v="0"/>
    <n v="7.92"/>
    <n v="0"/>
    <n v="0"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Vangaindrano"/>
    <m/>
    <s v="Matanga"/>
    <m/>
    <m/>
    <m/>
    <n v="687"/>
    <n v="687"/>
    <s v="IK"/>
    <n v="30"/>
    <m/>
    <n v="0"/>
    <n v="0"/>
    <n v="0"/>
    <n v="0"/>
    <n v="0.41220000000000001"/>
    <n v="0"/>
    <n v="0"/>
    <n v="4.1219999999999999"/>
    <n v="0"/>
    <m/>
    <n v="0"/>
    <n v="0"/>
    <m/>
    <m/>
  </r>
  <r>
    <x v="1"/>
    <n v="2024"/>
    <x v="0"/>
    <s v="Nutrition"/>
    <x v="1"/>
    <s v="URT_PREV:Prevention of acute malnutrition"/>
    <n v="2"/>
    <m/>
    <m/>
    <x v="3"/>
    <m/>
    <s v="Atsimo Antsinana"/>
    <s v="Befotaka"/>
    <m/>
    <s v="Antondabe"/>
    <m/>
    <m/>
    <m/>
    <n v="259"/>
    <n v="259"/>
    <s v="IK"/>
    <n v="30"/>
    <m/>
    <n v="0"/>
    <n v="0"/>
    <n v="0"/>
    <n v="0"/>
    <n v="0.15540000000000001"/>
    <n v="0"/>
    <n v="0"/>
    <n v="1.554"/>
    <n v="0"/>
    <m/>
    <n v="0"/>
    <n v="0"/>
    <m/>
    <m/>
  </r>
  <r>
    <x v="1"/>
    <n v="2024"/>
    <x v="0"/>
    <s v="Nutrition"/>
    <x v="1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s v="IK"/>
    <n v="30"/>
    <m/>
    <n v="0"/>
    <n v="0"/>
    <n v="0"/>
    <n v="0"/>
    <n v="0.25380000000000003"/>
    <n v="0"/>
    <n v="0"/>
    <n v="2.5379999999999998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Befotaka"/>
    <m/>
    <s v="Befotaka Sud"/>
    <m/>
    <m/>
    <m/>
    <n v="513"/>
    <n v="513"/>
    <s v="IK"/>
    <n v="30"/>
    <n v="0"/>
    <n v="0"/>
    <n v="0"/>
    <n v="0"/>
    <n v="0"/>
    <n v="0.30780000000000002"/>
    <n v="0"/>
    <n v="0"/>
    <n v="3.0779999999999998"/>
    <n v="0"/>
    <n v="0"/>
    <n v="0"/>
    <n v="0"/>
    <m/>
    <m/>
  </r>
  <r>
    <x v="1"/>
    <n v="2024"/>
    <x v="0"/>
    <s v="Nutrition"/>
    <x v="1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s v="IK"/>
    <n v="30"/>
    <m/>
    <n v="0"/>
    <n v="0"/>
    <n v="0"/>
    <n v="0"/>
    <n v="0.33119999999999999"/>
    <n v="0"/>
    <n v="0"/>
    <n v="3.3119999999999998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Vatovavy"/>
    <s v="Nosy Varika"/>
    <m/>
    <s v="Fanivelona"/>
    <m/>
    <m/>
    <m/>
    <n v="512"/>
    <n v="512"/>
    <s v="IK"/>
    <n v="30"/>
    <n v="0"/>
    <n v="0"/>
    <n v="0"/>
    <n v="0"/>
    <n v="0"/>
    <n v="0.30719999999999997"/>
    <n v="0"/>
    <n v="0"/>
    <n v="3.0720000000000001"/>
    <n v="0"/>
    <n v="0"/>
    <n v="0"/>
    <n v="0"/>
    <m/>
    <m/>
  </r>
  <r>
    <x v="1"/>
    <n v="2024"/>
    <x v="0"/>
    <s v="Nutrition"/>
    <x v="1"/>
    <s v="URT_PREV:Prevention of acute malnutrition"/>
    <n v="1"/>
    <m/>
    <m/>
    <x v="3"/>
    <m/>
    <s v="Vatovavy"/>
    <s v="Nosy Varika"/>
    <m/>
    <s v="Fiadanana"/>
    <m/>
    <m/>
    <m/>
    <n v="640"/>
    <n v="640"/>
    <s v="IK"/>
    <n v="30"/>
    <n v="0"/>
    <n v="0"/>
    <n v="0"/>
    <n v="0"/>
    <n v="0"/>
    <n v="0.38400000000000001"/>
    <n v="0"/>
    <n v="0"/>
    <n v="3.84"/>
    <n v="0"/>
    <n v="0"/>
    <n v="0"/>
    <n v="0"/>
    <m/>
    <m/>
  </r>
  <r>
    <x v="1"/>
    <n v="2024"/>
    <x v="0"/>
    <s v="Nutrition"/>
    <x v="1"/>
    <s v="URT_PREV:Prevention of acute malnutrition"/>
    <n v="2"/>
    <m/>
    <m/>
    <x v="3"/>
    <m/>
    <s v="Atsimo Antsinana"/>
    <s v="Midongy Atsimo"/>
    <m/>
    <s v="Ivondro"/>
    <m/>
    <m/>
    <m/>
    <n v="374"/>
    <n v="374"/>
    <s v="IK"/>
    <n v="30"/>
    <n v="0"/>
    <n v="0"/>
    <n v="0"/>
    <n v="0"/>
    <n v="0"/>
    <n v="0.22439999999999999"/>
    <n v="0"/>
    <n v="0"/>
    <n v="2.2440000000000002"/>
    <n v="0"/>
    <n v="0"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Ambovombe"/>
    <m/>
    <s v="Jafaro"/>
    <m/>
    <m/>
    <m/>
    <n v="1334"/>
    <n v="1334"/>
    <s v="IK"/>
    <n v="30"/>
    <m/>
    <n v="0"/>
    <n v="0"/>
    <n v="0"/>
    <n v="0"/>
    <n v="0.8004"/>
    <n v="0"/>
    <n v="0"/>
    <n v="8.0039999999999996"/>
    <n v="0"/>
    <m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Tongobory"/>
    <m/>
    <m/>
    <m/>
    <n v="436"/>
    <n v="436"/>
    <s v="IK"/>
    <n v="30"/>
    <m/>
    <n v="0"/>
    <n v="0"/>
    <n v="0"/>
    <n v="0"/>
    <n v="0.2616"/>
    <n v="0"/>
    <n v="0"/>
    <n v="2.6160000000000001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Vangaindrano"/>
    <m/>
    <s v="Manambondro"/>
    <m/>
    <m/>
    <m/>
    <n v="243"/>
    <n v="243"/>
    <s v="IK"/>
    <n v="30"/>
    <m/>
    <n v="0"/>
    <n v="0"/>
    <n v="0"/>
    <n v="0"/>
    <n v="0.14580000000000001"/>
    <n v="0"/>
    <n v="0"/>
    <n v="1.458"/>
    <n v="0"/>
    <m/>
    <n v="0"/>
    <n v="0"/>
    <m/>
    <m/>
  </r>
  <r>
    <x v="1"/>
    <n v="2024"/>
    <x v="0"/>
    <s v="Nutrition"/>
    <x v="1"/>
    <s v="URT_PREV:Prevention of acute malnutrition"/>
    <n v="1"/>
    <m/>
    <m/>
    <x v="2"/>
    <s v="Tuléar"/>
    <s v="Atsimo Andrefana"/>
    <s v="Betioky"/>
    <m/>
    <s v="Maroarivo Ankazomanga"/>
    <m/>
    <m/>
    <m/>
    <n v="323"/>
    <n v="323"/>
    <s v="IK"/>
    <n v="30"/>
    <n v="0"/>
    <n v="0"/>
    <n v="0"/>
    <n v="0"/>
    <n v="0"/>
    <n v="0.1938"/>
    <n v="0"/>
    <n v="0"/>
    <n v="1.9379999999999999"/>
    <n v="0"/>
    <n v="0"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Vangaindrano"/>
    <m/>
    <s v="Marokibo"/>
    <m/>
    <m/>
    <m/>
    <n v="213"/>
    <n v="213"/>
    <s v="IK"/>
    <n v="30"/>
    <m/>
    <n v="0"/>
    <n v="0"/>
    <n v="0"/>
    <n v="0"/>
    <n v="0.1278"/>
    <n v="0"/>
    <n v="0"/>
    <n v="1.278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loha"/>
    <m/>
    <s v="Tranovaho"/>
    <m/>
    <m/>
    <m/>
    <n v="631"/>
    <n v="631"/>
    <s v="IK"/>
    <n v="30"/>
    <m/>
    <n v="0"/>
    <n v="0"/>
    <n v="0"/>
    <n v="0"/>
    <n v="0.37859999999999999"/>
    <n v="0"/>
    <n v="0"/>
    <n v="3.786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Vangaindrano"/>
    <m/>
    <s v="Masianaka"/>
    <m/>
    <m/>
    <m/>
    <n v="991"/>
    <n v="991"/>
    <s v="IK"/>
    <n v="30"/>
    <m/>
    <n v="0"/>
    <n v="0"/>
    <n v="0"/>
    <n v="0"/>
    <n v="0.59460000000000002"/>
    <n v="0"/>
    <n v="0"/>
    <n v="5.9459999999999997"/>
    <n v="0"/>
    <m/>
    <n v="0"/>
    <n v="0"/>
    <m/>
    <m/>
  </r>
  <r>
    <x v="1"/>
    <n v="2024"/>
    <x v="0"/>
    <s v="Nutrition"/>
    <x v="1"/>
    <s v="URT_PREV:Prevention of acute malnutrition"/>
    <n v="1"/>
    <m/>
    <m/>
    <x v="3"/>
    <m/>
    <s v="Atsimo Antsinana"/>
    <s v="Vangaindrano"/>
    <m/>
    <s v="Ranomena"/>
    <m/>
    <m/>
    <m/>
    <n v="876"/>
    <n v="876"/>
    <s v="IK"/>
    <n v="30"/>
    <m/>
    <n v="0"/>
    <n v="0"/>
    <n v="0"/>
    <n v="0"/>
    <n v="0.52559999999999996"/>
    <n v="0"/>
    <n v="0"/>
    <n v="5.2560000000000002"/>
    <n v="0"/>
    <m/>
    <n v="0"/>
    <n v="0"/>
    <m/>
    <m/>
  </r>
  <r>
    <x v="1"/>
    <n v="2024"/>
    <x v="0"/>
    <s v="Nutrition"/>
    <x v="1"/>
    <s v="URT_PREV:Prevention of acute malnutrition"/>
    <n v="1"/>
    <m/>
    <m/>
    <x v="0"/>
    <s v="Taolagnaro"/>
    <s v="Androy"/>
    <s v="Bekily"/>
    <m/>
    <s v="Tsikolaky"/>
    <m/>
    <m/>
    <m/>
    <n v="287"/>
    <n v="287"/>
    <s v="IK"/>
    <n v="30"/>
    <m/>
    <n v="0"/>
    <n v="0"/>
    <n v="0"/>
    <n v="0"/>
    <n v="0.17219999999999999"/>
    <n v="0"/>
    <n v="0"/>
    <n v="1.722"/>
    <n v="0"/>
    <m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Salobe"/>
    <m/>
    <m/>
    <m/>
    <n v="222"/>
    <n v="222"/>
    <s v="IK"/>
    <n v="30"/>
    <n v="0"/>
    <n v="0"/>
    <n v="0"/>
    <n v="0"/>
    <n v="0"/>
    <n v="0.13320000000000001"/>
    <n v="0"/>
    <n v="0"/>
    <n v="1.3320000000000001"/>
    <n v="0"/>
    <n v="0"/>
    <n v="0"/>
    <n v="0"/>
    <m/>
    <m/>
  </r>
  <r>
    <x v="1"/>
    <n v="2024"/>
    <x v="0"/>
    <s v="Nutrition"/>
    <x v="1"/>
    <s v="URT_PREV:Prevention of acute malnutrition"/>
    <n v="2"/>
    <m/>
    <m/>
    <x v="2"/>
    <s v="Tuléar"/>
    <s v="Atsimo Andrefana"/>
    <s v="Betioky"/>
    <m/>
    <s v="Tanambao Haut"/>
    <m/>
    <m/>
    <m/>
    <n v="288"/>
    <n v="288"/>
    <s v="IK"/>
    <n v="30"/>
    <n v="0"/>
    <n v="0"/>
    <n v="0"/>
    <n v="0"/>
    <n v="0"/>
    <n v="0.17280000000000001"/>
    <n v="0"/>
    <n v="0"/>
    <n v="1.728"/>
    <n v="0"/>
    <n v="0"/>
    <n v="0"/>
    <n v="0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BORY NORD"/>
    <m/>
    <m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ANINDRATO"/>
    <m/>
    <m/>
    <n v="350"/>
    <m/>
    <s v="IK"/>
    <n v="30"/>
    <m/>
    <m/>
    <m/>
    <m/>
    <m/>
    <n v="0.21"/>
    <m/>
    <m/>
    <n v="2.1"/>
    <m/>
    <m/>
    <m/>
    <n v="2.3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TELO II"/>
    <m/>
    <m/>
    <n v="270"/>
    <m/>
    <s v="IK"/>
    <n v="30"/>
    <m/>
    <m/>
    <m/>
    <m/>
    <m/>
    <n v="0.16200000000000001"/>
    <m/>
    <m/>
    <n v="1.62"/>
    <m/>
    <m/>
    <m/>
    <n v="1.78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JABELITSAKY"/>
    <m/>
    <m/>
    <n v="339"/>
    <m/>
    <s v="IK"/>
    <n v="30"/>
    <m/>
    <m/>
    <m/>
    <m/>
    <m/>
    <n v="0.2034"/>
    <m/>
    <m/>
    <n v="2.0339999999999998"/>
    <m/>
    <m/>
    <m/>
    <n v="2.2373999999999996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SELY NORD"/>
    <m/>
    <m/>
    <n v="619"/>
    <m/>
    <s v="IK"/>
    <n v="30"/>
    <m/>
    <m/>
    <m/>
    <m/>
    <m/>
    <n v="0.37140000000000001"/>
    <m/>
    <m/>
    <n v="3.714"/>
    <m/>
    <m/>
    <m/>
    <n v="4.0853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FOLOTSE"/>
    <m/>
    <m/>
    <n v="271"/>
    <m/>
    <s v="IK"/>
    <n v="30"/>
    <m/>
    <m/>
    <m/>
    <m/>
    <m/>
    <n v="0.16259999999999999"/>
    <m/>
    <m/>
    <n v="1.6259999999999999"/>
    <m/>
    <m/>
    <m/>
    <n v="1.7886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TIKITIKY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ROJA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MPITANAKE"/>
    <m/>
    <m/>
    <n v="297"/>
    <m/>
    <s v="IK"/>
    <n v="30"/>
    <m/>
    <m/>
    <m/>
    <m/>
    <m/>
    <n v="0.1782"/>
    <m/>
    <m/>
    <n v="1.782"/>
    <m/>
    <m/>
    <m/>
    <n v="1.9601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ONGAENO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ROLINTA"/>
    <m/>
    <m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ITAMPOLO II"/>
    <m/>
    <m/>
    <n v="459"/>
    <m/>
    <s v="IK"/>
    <n v="30"/>
    <m/>
    <m/>
    <m/>
    <m/>
    <m/>
    <n v="0.27539999999999998"/>
    <m/>
    <m/>
    <n v="2.754"/>
    <m/>
    <m/>
    <m/>
    <n v="3.0293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MBE"/>
    <m/>
    <m/>
    <n v="243"/>
    <m/>
    <s v="IK"/>
    <n v="30"/>
    <m/>
    <m/>
    <m/>
    <m/>
    <m/>
    <n v="0.14580000000000001"/>
    <m/>
    <m/>
    <n v="1.458"/>
    <m/>
    <m/>
    <m/>
    <n v="1.6037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/RIONA NORD"/>
    <m/>
    <m/>
    <n v="425"/>
    <m/>
    <s v="IK"/>
    <n v="30"/>
    <m/>
    <m/>
    <m/>
    <m/>
    <m/>
    <n v="0.255"/>
    <m/>
    <m/>
    <n v="2.5499999999999998"/>
    <m/>
    <m/>
    <m/>
    <n v="2.8049999999999997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DRANOVAO"/>
    <m/>
    <m/>
    <n v="220"/>
    <m/>
    <s v="IK"/>
    <n v="30"/>
    <m/>
    <m/>
    <m/>
    <m/>
    <m/>
    <n v="0.13200000000000001"/>
    <m/>
    <m/>
    <n v="1.32"/>
    <m/>
    <m/>
    <m/>
    <n v="1.45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/MASINTSOA"/>
    <m/>
    <m/>
    <n v="251"/>
    <m/>
    <s v="IK"/>
    <n v="30"/>
    <m/>
    <m/>
    <m/>
    <m/>
    <m/>
    <n v="0.15060000000000001"/>
    <m/>
    <m/>
    <n v="1.506"/>
    <m/>
    <m/>
    <m/>
    <n v="1.6566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LANGERIAKY"/>
    <m/>
    <m/>
    <n v="239"/>
    <m/>
    <s v="IK"/>
    <n v="30"/>
    <m/>
    <m/>
    <m/>
    <m/>
    <m/>
    <n v="0.1434"/>
    <m/>
    <m/>
    <n v="1.4339999999999999"/>
    <m/>
    <m/>
    <m/>
    <n v="1.5773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NDROIPANO"/>
    <m/>
    <m/>
    <n v="661"/>
    <m/>
    <s v="IK"/>
    <n v="30"/>
    <m/>
    <m/>
    <m/>
    <m/>
    <m/>
    <n v="0.39660000000000001"/>
    <m/>
    <m/>
    <n v="3.9660000000000002"/>
    <m/>
    <m/>
    <m/>
    <n v="4.3626000000000005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BESELY SUD"/>
    <m/>
    <m/>
    <n v="582"/>
    <m/>
    <s v="IK"/>
    <n v="30"/>
    <m/>
    <m/>
    <m/>
    <m/>
    <m/>
    <n v="0.34920000000000001"/>
    <m/>
    <m/>
    <n v="3.492"/>
    <m/>
    <m/>
    <m/>
    <n v="3.841200000000000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TSIANDRIONA SUD"/>
    <m/>
    <m/>
    <n v="562"/>
    <m/>
    <s v="IK"/>
    <n v="30"/>
    <m/>
    <m/>
    <m/>
    <m/>
    <m/>
    <n v="0.3372"/>
    <m/>
    <m/>
    <n v="3.3719999999999999"/>
    <m/>
    <m/>
    <m/>
    <n v="3.7092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ALATSIMIVIKY"/>
    <m/>
    <m/>
    <n v="1411"/>
    <m/>
    <s v="IK"/>
    <n v="30"/>
    <m/>
    <m/>
    <m/>
    <m/>
    <m/>
    <n v="0.84660000000000002"/>
    <m/>
    <m/>
    <n v="8.4659999999999993"/>
    <m/>
    <m/>
    <m/>
    <n v="9.3125999999999998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OLOSOGNO"/>
    <m/>
    <m/>
    <n v="228"/>
    <m/>
    <s v="IK"/>
    <n v="30"/>
    <m/>
    <m/>
    <m/>
    <m/>
    <m/>
    <n v="0.1368"/>
    <m/>
    <m/>
    <n v="1.3680000000000001"/>
    <m/>
    <m/>
    <m/>
    <n v="1.5048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BORY NORD"/>
    <n v="69"/>
    <n v="54"/>
    <n v="123"/>
    <m/>
    <s v="IK"/>
    <n v="30"/>
    <m/>
    <m/>
    <m/>
    <m/>
    <m/>
    <m/>
    <m/>
    <m/>
    <m/>
    <m/>
    <n v="0.1845"/>
    <m/>
    <n v="0.1845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ANINDRATO"/>
    <n v="84"/>
    <n v="40"/>
    <n v="124"/>
    <m/>
    <s v="IK"/>
    <n v="30"/>
    <m/>
    <m/>
    <m/>
    <m/>
    <m/>
    <m/>
    <m/>
    <m/>
    <m/>
    <m/>
    <n v="0.186"/>
    <m/>
    <n v="0.186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TELO II"/>
    <n v="103"/>
    <n v="115"/>
    <n v="218"/>
    <m/>
    <s v="IK"/>
    <n v="30"/>
    <m/>
    <m/>
    <m/>
    <m/>
    <m/>
    <m/>
    <m/>
    <m/>
    <m/>
    <m/>
    <n v="0.32700000000000001"/>
    <m/>
    <n v="0.327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JABELITSAKY"/>
    <n v="84"/>
    <n v="29"/>
    <n v="113"/>
    <m/>
    <s v="IK"/>
    <n v="30"/>
    <m/>
    <m/>
    <m/>
    <m/>
    <m/>
    <m/>
    <m/>
    <m/>
    <m/>
    <m/>
    <n v="0.16950000000000001"/>
    <m/>
    <n v="0.1695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SELY NORD"/>
    <n v="84"/>
    <n v="114"/>
    <n v="198"/>
    <m/>
    <s v="IK"/>
    <n v="30"/>
    <m/>
    <m/>
    <m/>
    <m/>
    <m/>
    <m/>
    <m/>
    <m/>
    <m/>
    <m/>
    <n v="0.29699999999999999"/>
    <m/>
    <n v="0.2969999999999999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FOLOTSE"/>
    <n v="82"/>
    <n v="60"/>
    <n v="142"/>
    <m/>
    <s v="IK"/>
    <n v="30"/>
    <m/>
    <m/>
    <m/>
    <m/>
    <m/>
    <m/>
    <m/>
    <m/>
    <m/>
    <m/>
    <n v="0.21299999999999999"/>
    <m/>
    <n v="0.2129999999999999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TIKITIKY"/>
    <n v="24"/>
    <n v="18"/>
    <n v="42"/>
    <m/>
    <s v="IK"/>
    <n v="30"/>
    <m/>
    <m/>
    <m/>
    <m/>
    <m/>
    <m/>
    <m/>
    <m/>
    <m/>
    <m/>
    <n v="6.3E-2"/>
    <m/>
    <n v="6.3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ROJA"/>
    <n v="14"/>
    <n v="7"/>
    <n v="21"/>
    <m/>
    <s v="IK"/>
    <n v="30"/>
    <m/>
    <m/>
    <m/>
    <m/>
    <m/>
    <m/>
    <m/>
    <m/>
    <m/>
    <m/>
    <n v="3.15E-2"/>
    <m/>
    <n v="3.15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MPITANAKE"/>
    <n v="98"/>
    <n v="88"/>
    <n v="186"/>
    <m/>
    <s v="IK"/>
    <n v="30"/>
    <m/>
    <m/>
    <m/>
    <m/>
    <m/>
    <m/>
    <m/>
    <m/>
    <m/>
    <m/>
    <n v="0.27900000000000003"/>
    <m/>
    <n v="0.27900000000000003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ONGAENORO"/>
    <n v="49"/>
    <n v="97"/>
    <n v="146"/>
    <m/>
    <s v="IK"/>
    <n v="30"/>
    <m/>
    <m/>
    <m/>
    <m/>
    <m/>
    <m/>
    <m/>
    <m/>
    <m/>
    <m/>
    <n v="0.219"/>
    <m/>
    <n v="0.21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ROLINTA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ITAMPOLO II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MBE"/>
    <n v="82"/>
    <n v="50"/>
    <n v="132"/>
    <m/>
    <s v="IK"/>
    <n v="30"/>
    <m/>
    <m/>
    <m/>
    <m/>
    <m/>
    <m/>
    <m/>
    <m/>
    <m/>
    <m/>
    <n v="0.19800000000000001"/>
    <m/>
    <n v="0.198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/RIONA NORD"/>
    <n v="87"/>
    <n v="96"/>
    <n v="183"/>
    <m/>
    <s v="IK"/>
    <n v="30"/>
    <m/>
    <m/>
    <m/>
    <m/>
    <m/>
    <m/>
    <m/>
    <m/>
    <m/>
    <m/>
    <n v="0.27450000000000002"/>
    <m/>
    <n v="0.2745000000000000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DRANOVAO"/>
    <n v="68"/>
    <n v="60"/>
    <n v="128"/>
    <m/>
    <s v="IK"/>
    <n v="30"/>
    <m/>
    <m/>
    <m/>
    <m/>
    <m/>
    <m/>
    <m/>
    <m/>
    <m/>
    <m/>
    <n v="0.192"/>
    <m/>
    <n v="0.19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/MASINTSOA"/>
    <n v="50"/>
    <n v="40"/>
    <n v="90"/>
    <m/>
    <s v="IK"/>
    <n v="30"/>
    <m/>
    <m/>
    <m/>
    <m/>
    <m/>
    <m/>
    <m/>
    <m/>
    <m/>
    <m/>
    <n v="0.13500000000000001"/>
    <m/>
    <n v="0.135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LANGERIAKY"/>
    <n v="27"/>
    <n v="42"/>
    <n v="69"/>
    <m/>
    <s v="IK"/>
    <n v="30"/>
    <m/>
    <m/>
    <m/>
    <m/>
    <m/>
    <m/>
    <m/>
    <m/>
    <m/>
    <m/>
    <n v="0.10349999999999999"/>
    <m/>
    <n v="0.1034999999999999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NDROIPANO"/>
    <n v="157"/>
    <n v="129"/>
    <n v="286"/>
    <m/>
    <s v="IK"/>
    <n v="30"/>
    <m/>
    <m/>
    <m/>
    <m/>
    <m/>
    <m/>
    <m/>
    <m/>
    <m/>
    <m/>
    <n v="0.42899999999999999"/>
    <m/>
    <n v="0.4289999999999999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BESELY SUD"/>
    <n v="4"/>
    <n v="118"/>
    <n v="122"/>
    <m/>
    <s v="IK"/>
    <n v="30"/>
    <m/>
    <m/>
    <m/>
    <m/>
    <m/>
    <m/>
    <m/>
    <m/>
    <m/>
    <m/>
    <n v="0.183"/>
    <m/>
    <n v="0.183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TSIANDRIONA SUD"/>
    <n v="60"/>
    <n v="111"/>
    <n v="171"/>
    <m/>
    <s v="IK"/>
    <n v="30"/>
    <m/>
    <m/>
    <m/>
    <m/>
    <m/>
    <m/>
    <m/>
    <m/>
    <m/>
    <m/>
    <n v="0.25650000000000001"/>
    <m/>
    <n v="0.2565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ALATSIMIVIKY"/>
    <n v="213"/>
    <n v="180"/>
    <n v="393"/>
    <m/>
    <s v="IK"/>
    <n v="30"/>
    <m/>
    <m/>
    <m/>
    <m/>
    <m/>
    <m/>
    <m/>
    <m/>
    <m/>
    <m/>
    <n v="0.58950000000000002"/>
    <m/>
    <n v="0.5895000000000000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OLOSOGNO"/>
    <n v="26"/>
    <n v="29"/>
    <n v="55"/>
    <m/>
    <s v="IK"/>
    <n v="30"/>
    <m/>
    <m/>
    <m/>
    <m/>
    <m/>
    <m/>
    <m/>
    <m/>
    <m/>
    <m/>
    <n v="8.2500000000000004E-2"/>
    <m/>
    <n v="8.2500000000000004E-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AMALO"/>
    <m/>
    <m/>
    <n v="341"/>
    <m/>
    <s v="IK"/>
    <n v="30"/>
    <m/>
    <m/>
    <m/>
    <m/>
    <m/>
    <n v="0.2046"/>
    <m/>
    <m/>
    <n v="2.0459999999999998"/>
    <m/>
    <m/>
    <m/>
    <n v="2.2505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VARO"/>
    <m/>
    <m/>
    <n v="185"/>
    <m/>
    <s v="IK"/>
    <n v="30"/>
    <m/>
    <m/>
    <m/>
    <m/>
    <m/>
    <n v="0.111"/>
    <m/>
    <m/>
    <n v="1.1100000000000001"/>
    <m/>
    <m/>
    <m/>
    <n v="1.2210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KISENY"/>
    <m/>
    <m/>
    <n v="128"/>
    <m/>
    <s v="IK"/>
    <n v="30"/>
    <m/>
    <m/>
    <m/>
    <m/>
    <m/>
    <n v="7.6799999999999993E-2"/>
    <m/>
    <m/>
    <n v="0.76800000000000002"/>
    <m/>
    <m/>
    <m/>
    <n v="0.8448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ARABEMOKO"/>
    <m/>
    <m/>
    <n v="63"/>
    <m/>
    <s v="IK"/>
    <n v="30"/>
    <m/>
    <m/>
    <m/>
    <m/>
    <m/>
    <n v="3.78E-2"/>
    <m/>
    <m/>
    <n v="0.378"/>
    <m/>
    <m/>
    <m/>
    <n v="0.4158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TANANTSOA"/>
    <m/>
    <m/>
    <n v="158"/>
    <m/>
    <s v="IK"/>
    <n v="30"/>
    <m/>
    <m/>
    <m/>
    <m/>
    <m/>
    <n v="9.4799999999999995E-2"/>
    <m/>
    <m/>
    <n v="0.94799999999999995"/>
    <m/>
    <m/>
    <m/>
    <n v="1.0427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ILANY HAUT"/>
    <m/>
    <m/>
    <n v="70"/>
    <m/>
    <s v="IK"/>
    <n v="30"/>
    <m/>
    <m/>
    <m/>
    <m/>
    <m/>
    <n v="4.2000000000000003E-2"/>
    <m/>
    <m/>
    <n v="0.42"/>
    <m/>
    <m/>
    <m/>
    <n v="0.46199999999999997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ONDROMENA"/>
    <m/>
    <m/>
    <n v="76"/>
    <m/>
    <s v="IK"/>
    <n v="30"/>
    <m/>
    <m/>
    <m/>
    <m/>
    <m/>
    <n v="4.5600000000000002E-2"/>
    <m/>
    <m/>
    <n v="0.45600000000000002"/>
    <m/>
    <m/>
    <m/>
    <n v="0.50160000000000005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MILITSE"/>
    <m/>
    <m/>
    <n v="240"/>
    <m/>
    <s v="IK"/>
    <n v="30"/>
    <m/>
    <m/>
    <m/>
    <m/>
    <m/>
    <n v="0.14399999999999999"/>
    <m/>
    <m/>
    <n v="1.44"/>
    <m/>
    <m/>
    <m/>
    <n v="1.5839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SETA I"/>
    <m/>
    <m/>
    <n v="569"/>
    <m/>
    <s v="IK"/>
    <n v="30"/>
    <m/>
    <m/>
    <m/>
    <m/>
    <m/>
    <n v="0.34139999999999998"/>
    <m/>
    <m/>
    <n v="3.4140000000000001"/>
    <m/>
    <m/>
    <m/>
    <n v="3.7554000000000003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NY"/>
    <m/>
    <m/>
    <n v="100"/>
    <m/>
    <s v="IK"/>
    <n v="30"/>
    <m/>
    <m/>
    <m/>
    <m/>
    <m/>
    <n v="0.06"/>
    <m/>
    <m/>
    <n v="0.6"/>
    <m/>
    <m/>
    <m/>
    <n v="0.6599999999999999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FOTADREVO CENTRE"/>
    <m/>
    <m/>
    <n v="818"/>
    <m/>
    <s v="IK"/>
    <n v="30"/>
    <m/>
    <m/>
    <m/>
    <m/>
    <m/>
    <n v="0.49080000000000001"/>
    <m/>
    <m/>
    <n v="4.9080000000000004"/>
    <m/>
    <m/>
    <m/>
    <n v="5.3988000000000005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ZA HAUT"/>
    <m/>
    <m/>
    <n v="575"/>
    <m/>
    <s v="IK"/>
    <n v="30"/>
    <m/>
    <m/>
    <m/>
    <m/>
    <m/>
    <n v="0.34499999999999997"/>
    <m/>
    <m/>
    <n v="3.45"/>
    <m/>
    <m/>
    <m/>
    <n v="3.7949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SAKOA"/>
    <m/>
    <m/>
    <n v="330"/>
    <m/>
    <s v="IK"/>
    <n v="30"/>
    <m/>
    <m/>
    <m/>
    <m/>
    <m/>
    <n v="0.19800000000000001"/>
    <m/>
    <m/>
    <n v="1.98"/>
    <m/>
    <m/>
    <m/>
    <n v="2.177999999999999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TSIRIRY"/>
    <m/>
    <m/>
    <n v="328"/>
    <m/>
    <s v="IK"/>
    <n v="30"/>
    <m/>
    <m/>
    <m/>
    <m/>
    <m/>
    <n v="0.1968"/>
    <m/>
    <m/>
    <n v="1.968"/>
    <m/>
    <m/>
    <m/>
    <n v="2.1648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LINJO"/>
    <m/>
    <m/>
    <n v="215"/>
    <m/>
    <s v="IK"/>
    <n v="30"/>
    <m/>
    <m/>
    <m/>
    <m/>
    <m/>
    <n v="0.129"/>
    <m/>
    <m/>
    <n v="1.29"/>
    <m/>
    <m/>
    <m/>
    <n v="1.41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TOHABATO"/>
    <m/>
    <m/>
    <n v="197"/>
    <m/>
    <s v="IK"/>
    <n v="30"/>
    <m/>
    <m/>
    <m/>
    <m/>
    <m/>
    <n v="0.1182"/>
    <m/>
    <m/>
    <n v="1.1819999999999999"/>
    <m/>
    <m/>
    <m/>
    <n v="1.300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CENTRE"/>
    <m/>
    <m/>
    <n v="178"/>
    <m/>
    <s v="IK"/>
    <n v="30"/>
    <m/>
    <m/>
    <m/>
    <m/>
    <m/>
    <n v="0.10680000000000001"/>
    <m/>
    <m/>
    <n v="1.0680000000000001"/>
    <m/>
    <m/>
    <m/>
    <n v="1.1748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I"/>
    <m/>
    <m/>
    <n v="113"/>
    <m/>
    <s v="IK"/>
    <n v="30"/>
    <m/>
    <m/>
    <m/>
    <m/>
    <m/>
    <n v="6.7799999999999999E-2"/>
    <m/>
    <m/>
    <n v="0.67800000000000005"/>
    <m/>
    <m/>
    <m/>
    <n v="0.7458000000000000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ALATANY"/>
    <m/>
    <m/>
    <n v="60"/>
    <m/>
    <s v="IK"/>
    <n v="30"/>
    <m/>
    <m/>
    <m/>
    <m/>
    <m/>
    <n v="3.5999999999999997E-2"/>
    <m/>
    <m/>
    <n v="0.36"/>
    <m/>
    <m/>
    <m/>
    <n v="0.39599999999999996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SONJO "/>
    <m/>
    <m/>
    <n v="98"/>
    <m/>
    <s v="IK"/>
    <n v="30"/>
    <m/>
    <m/>
    <m/>
    <m/>
    <m/>
    <n v="5.8799999999999998E-2"/>
    <m/>
    <m/>
    <n v="0.58799999999999997"/>
    <m/>
    <m/>
    <m/>
    <n v="0.64679999999999993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BAKAKA"/>
    <m/>
    <m/>
    <n v="211"/>
    <m/>
    <s v="IK"/>
    <n v="30"/>
    <m/>
    <m/>
    <m/>
    <m/>
    <m/>
    <n v="0.12659999999999999"/>
    <m/>
    <m/>
    <n v="1.266"/>
    <m/>
    <m/>
    <m/>
    <n v="1.3926000000000001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KATRAFAY"/>
    <m/>
    <m/>
    <n v="465"/>
    <m/>
    <s v="IK"/>
    <n v="30"/>
    <m/>
    <m/>
    <m/>
    <m/>
    <m/>
    <n v="0.27900000000000003"/>
    <m/>
    <m/>
    <n v="2.79"/>
    <m/>
    <m/>
    <m/>
    <n v="3.069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GNAVOHA CENTRE"/>
    <m/>
    <m/>
    <n v="625"/>
    <m/>
    <s v="IK"/>
    <n v="30"/>
    <m/>
    <m/>
    <m/>
    <m/>
    <m/>
    <n v="0.375"/>
    <m/>
    <m/>
    <n v="3.75"/>
    <m/>
    <m/>
    <m/>
    <n v="4.125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MANDABE ANKILIMA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TANANDAVA I"/>
    <m/>
    <m/>
    <n v="292"/>
    <m/>
    <s v="IK"/>
    <n v="30"/>
    <m/>
    <m/>
    <m/>
    <m/>
    <m/>
    <n v="0.17519999999999999"/>
    <m/>
    <m/>
    <n v="1.752"/>
    <m/>
    <m/>
    <m/>
    <n v="1.9272"/>
    <m/>
    <m/>
  </r>
  <r>
    <x v="1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ALAFANTSIKY"/>
    <m/>
    <m/>
    <n v="250"/>
    <m/>
    <s v="IK"/>
    <n v="30"/>
    <m/>
    <m/>
    <m/>
    <m/>
    <m/>
    <n v="0.15"/>
    <m/>
    <m/>
    <n v="1.5"/>
    <m/>
    <m/>
    <m/>
    <n v="1.65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AMALO"/>
    <n v="117"/>
    <n v="123"/>
    <n v="240"/>
    <m/>
    <s v="IK"/>
    <n v="30"/>
    <m/>
    <m/>
    <m/>
    <m/>
    <m/>
    <m/>
    <m/>
    <m/>
    <m/>
    <m/>
    <n v="0.36"/>
    <m/>
    <n v="0.36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VARO"/>
    <n v="38"/>
    <n v="55"/>
    <n v="93"/>
    <m/>
    <s v="IK"/>
    <n v="30"/>
    <m/>
    <m/>
    <m/>
    <m/>
    <m/>
    <m/>
    <m/>
    <m/>
    <m/>
    <m/>
    <n v="0.13950000000000001"/>
    <m/>
    <n v="0.1395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KISENY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ARABEMOKO"/>
    <n v="39"/>
    <n v="31"/>
    <n v="70"/>
    <m/>
    <s v="IK"/>
    <n v="30"/>
    <m/>
    <m/>
    <m/>
    <m/>
    <m/>
    <m/>
    <m/>
    <m/>
    <m/>
    <m/>
    <n v="0.105"/>
    <m/>
    <n v="0.105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TANANTSOA"/>
    <n v="40"/>
    <n v="60"/>
    <n v="100"/>
    <m/>
    <s v="IK"/>
    <n v="30"/>
    <m/>
    <m/>
    <m/>
    <m/>
    <m/>
    <m/>
    <m/>
    <m/>
    <m/>
    <m/>
    <n v="0.15"/>
    <m/>
    <n v="0.15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ILANY HAUT"/>
    <n v="36"/>
    <n v="48"/>
    <n v="84"/>
    <m/>
    <s v="IK"/>
    <n v="30"/>
    <m/>
    <m/>
    <m/>
    <m/>
    <m/>
    <m/>
    <m/>
    <m/>
    <m/>
    <m/>
    <n v="0.126"/>
    <m/>
    <n v="0.126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ONDROMENA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MILITSE"/>
    <n v="88"/>
    <n v="106"/>
    <n v="194"/>
    <m/>
    <s v="IK"/>
    <n v="30"/>
    <m/>
    <m/>
    <m/>
    <m/>
    <m/>
    <m/>
    <m/>
    <m/>
    <m/>
    <m/>
    <n v="0.29099999999999998"/>
    <m/>
    <n v="0.29099999999999998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SETA I"/>
    <n v="42"/>
    <n v="47"/>
    <n v="89"/>
    <m/>
    <s v="IK"/>
    <n v="30"/>
    <m/>
    <m/>
    <m/>
    <m/>
    <m/>
    <m/>
    <m/>
    <m/>
    <m/>
    <m/>
    <n v="0.13350000000000001"/>
    <m/>
    <n v="0.1335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NY"/>
    <n v="21"/>
    <n v="30"/>
    <n v="51"/>
    <m/>
    <s v="IK"/>
    <n v="30"/>
    <m/>
    <m/>
    <m/>
    <m/>
    <m/>
    <m/>
    <m/>
    <m/>
    <m/>
    <m/>
    <n v="7.6499999999999999E-2"/>
    <m/>
    <n v="7.6499999999999999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FOTADREVO CENTRE"/>
    <n v="122"/>
    <n v="138"/>
    <n v="260"/>
    <m/>
    <s v="IK"/>
    <n v="30"/>
    <m/>
    <m/>
    <m/>
    <m/>
    <m/>
    <m/>
    <m/>
    <m/>
    <m/>
    <m/>
    <n v="0.39"/>
    <m/>
    <n v="0.39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ZA HAUT"/>
    <n v="107"/>
    <n v="130"/>
    <n v="237"/>
    <m/>
    <s v="IK"/>
    <n v="30"/>
    <m/>
    <m/>
    <m/>
    <m/>
    <m/>
    <m/>
    <m/>
    <m/>
    <m/>
    <m/>
    <n v="0.35549999999999998"/>
    <m/>
    <n v="0.35549999999999998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SAKOA"/>
    <n v="49"/>
    <n v="61"/>
    <n v="110"/>
    <m/>
    <s v="IK"/>
    <n v="30"/>
    <m/>
    <m/>
    <m/>
    <m/>
    <m/>
    <m/>
    <m/>
    <m/>
    <m/>
    <m/>
    <n v="0.16500000000000001"/>
    <m/>
    <n v="0.165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TSIRIRY"/>
    <n v="77"/>
    <n v="102"/>
    <n v="179"/>
    <m/>
    <s v="IK"/>
    <n v="30"/>
    <m/>
    <m/>
    <m/>
    <m/>
    <m/>
    <m/>
    <m/>
    <m/>
    <m/>
    <m/>
    <n v="0.26850000000000002"/>
    <m/>
    <n v="0.2685000000000000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LINJO"/>
    <n v="19"/>
    <n v="35"/>
    <n v="54"/>
    <m/>
    <s v="IK"/>
    <n v="30"/>
    <m/>
    <m/>
    <m/>
    <m/>
    <m/>
    <m/>
    <m/>
    <m/>
    <m/>
    <m/>
    <n v="8.1000000000000003E-2"/>
    <m/>
    <n v="8.1000000000000003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TOHABATO"/>
    <n v="25"/>
    <n v="49"/>
    <n v="74"/>
    <m/>
    <s v="IK"/>
    <n v="30"/>
    <m/>
    <m/>
    <m/>
    <m/>
    <m/>
    <m/>
    <m/>
    <m/>
    <m/>
    <m/>
    <n v="0.111"/>
    <m/>
    <n v="0.11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CENTRE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I"/>
    <n v="30"/>
    <n v="31"/>
    <n v="61"/>
    <m/>
    <s v="IK"/>
    <n v="30"/>
    <m/>
    <m/>
    <m/>
    <m/>
    <m/>
    <m/>
    <m/>
    <m/>
    <m/>
    <m/>
    <n v="9.1499999999999998E-2"/>
    <m/>
    <n v="9.1499999999999998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ALATANY"/>
    <m/>
    <m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SONJO "/>
    <n v="26"/>
    <n v="52"/>
    <n v="78"/>
    <m/>
    <s v="IK"/>
    <n v="30"/>
    <m/>
    <m/>
    <m/>
    <m/>
    <m/>
    <m/>
    <m/>
    <m/>
    <m/>
    <m/>
    <n v="0.11700000000000001"/>
    <m/>
    <n v="0.117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BAKAKA"/>
    <n v="35"/>
    <n v="23"/>
    <n v="58"/>
    <m/>
    <s v="IK"/>
    <n v="30"/>
    <m/>
    <m/>
    <m/>
    <m/>
    <m/>
    <m/>
    <m/>
    <m/>
    <m/>
    <m/>
    <n v="8.6999999999999994E-2"/>
    <m/>
    <n v="8.6999999999999994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KATRAFAY"/>
    <n v="50"/>
    <n v="105"/>
    <n v="155"/>
    <m/>
    <s v="IK"/>
    <n v="30"/>
    <m/>
    <m/>
    <m/>
    <m/>
    <m/>
    <m/>
    <m/>
    <m/>
    <m/>
    <m/>
    <n v="0.23250000000000001"/>
    <m/>
    <n v="0.2325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GNAVOHA CENTRE"/>
    <n v="0"/>
    <n v="0"/>
    <n v="0"/>
    <m/>
    <s v="IK"/>
    <n v="30"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MANDABE ANKILIMARO"/>
    <n v="49"/>
    <n v="81"/>
    <n v="130"/>
    <m/>
    <s v="IK"/>
    <n v="30"/>
    <m/>
    <m/>
    <m/>
    <m/>
    <m/>
    <m/>
    <m/>
    <m/>
    <m/>
    <m/>
    <n v="0.19500000000000001"/>
    <m/>
    <n v="0.19500000000000001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TANANDAVA I"/>
    <n v="12"/>
    <n v="12"/>
    <n v="24"/>
    <m/>
    <s v="IK"/>
    <n v="30"/>
    <m/>
    <m/>
    <m/>
    <m/>
    <m/>
    <m/>
    <m/>
    <m/>
    <m/>
    <m/>
    <n v="3.5999999999999997E-2"/>
    <m/>
    <n v="3.5999999999999997E-2"/>
    <m/>
    <m/>
  </r>
  <r>
    <x v="1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ALAFANTSIKY"/>
    <n v="56"/>
    <n v="54"/>
    <n v="110"/>
    <m/>
    <s v="IK"/>
    <n v="30"/>
    <m/>
    <m/>
    <m/>
    <m/>
    <m/>
    <m/>
    <m/>
    <m/>
    <m/>
    <m/>
    <n v="0.16500000000000001"/>
    <m/>
    <n v="0.165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s v="IK"/>
    <n v="30"/>
    <m/>
    <m/>
    <m/>
    <m/>
    <m/>
    <m/>
    <m/>
    <m/>
    <m/>
    <m/>
    <n v="0.252"/>
    <m/>
    <n v="0.25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s v="IK"/>
    <n v="30"/>
    <m/>
    <m/>
    <m/>
    <m/>
    <m/>
    <m/>
    <m/>
    <m/>
    <m/>
    <m/>
    <n v="0.26850000000000002"/>
    <m/>
    <n v="0.2685000000000000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s v="IK"/>
    <n v="30"/>
    <m/>
    <m/>
    <m/>
    <m/>
    <m/>
    <m/>
    <m/>
    <m/>
    <m/>
    <m/>
    <n v="0.246"/>
    <m/>
    <n v="0.246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s v="IK"/>
    <n v="30"/>
    <m/>
    <m/>
    <m/>
    <m/>
    <m/>
    <m/>
    <m/>
    <m/>
    <m/>
    <m/>
    <n v="0.26100000000000001"/>
    <m/>
    <n v="0.261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s v="IK"/>
    <n v="30"/>
    <m/>
    <m/>
    <m/>
    <m/>
    <m/>
    <m/>
    <m/>
    <m/>
    <m/>
    <m/>
    <n v="0.252"/>
    <m/>
    <n v="0.25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s v="IK"/>
    <n v="30"/>
    <m/>
    <m/>
    <m/>
    <m/>
    <m/>
    <m/>
    <m/>
    <m/>
    <m/>
    <m/>
    <n v="0.48"/>
    <m/>
    <n v="0.4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s v="IK"/>
    <n v="30"/>
    <m/>
    <m/>
    <m/>
    <m/>
    <m/>
    <m/>
    <m/>
    <m/>
    <m/>
    <m/>
    <n v="0.27"/>
    <m/>
    <n v="0.2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s v="IK"/>
    <n v="30"/>
    <m/>
    <m/>
    <m/>
    <m/>
    <m/>
    <m/>
    <m/>
    <m/>
    <m/>
    <m/>
    <n v="0.28949999999999998"/>
    <m/>
    <n v="0.2894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EHAVO"/>
    <n v="126"/>
    <m/>
    <n v="126"/>
    <m/>
    <s v="IK"/>
    <n v="30"/>
    <m/>
    <m/>
    <m/>
    <m/>
    <m/>
    <m/>
    <m/>
    <m/>
    <m/>
    <m/>
    <n v="0.189"/>
    <m/>
    <n v="0.189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MORAFENO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SILIMOSA"/>
    <n v="595"/>
    <m/>
    <n v="595"/>
    <m/>
    <s v="IK"/>
    <n v="30"/>
    <m/>
    <m/>
    <m/>
    <m/>
    <m/>
    <m/>
    <m/>
    <m/>
    <m/>
    <m/>
    <n v="0.89249999999999996"/>
    <m/>
    <n v="0.89249999999999996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NANDAVA"/>
    <n v="483"/>
    <m/>
    <n v="483"/>
    <m/>
    <s v="IK"/>
    <n v="30"/>
    <m/>
    <m/>
    <m/>
    <m/>
    <m/>
    <m/>
    <m/>
    <m/>
    <m/>
    <m/>
    <n v="0.72450000000000003"/>
    <m/>
    <n v="0.72450000000000003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RANAKA ANKILIMENA"/>
    <n v="403"/>
    <m/>
    <n v="403"/>
    <m/>
    <s v="IK"/>
    <n v="30"/>
    <m/>
    <m/>
    <m/>
    <m/>
    <m/>
    <m/>
    <m/>
    <m/>
    <m/>
    <m/>
    <n v="0.60450000000000004"/>
    <m/>
    <n v="0.60450000000000004"/>
    <m/>
    <m/>
  </r>
  <r>
    <x v="1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ERABOVO"/>
    <n v="563"/>
    <m/>
    <n v="563"/>
    <m/>
    <s v="IK"/>
    <n v="30"/>
    <m/>
    <m/>
    <m/>
    <m/>
    <m/>
    <m/>
    <m/>
    <m/>
    <m/>
    <m/>
    <n v="0.84450000000000003"/>
    <m/>
    <n v="0.84450000000000003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IEBA"/>
    <n v="519"/>
    <m/>
    <n v="519"/>
    <m/>
    <s v="IK"/>
    <n v="30"/>
    <m/>
    <m/>
    <m/>
    <m/>
    <m/>
    <m/>
    <m/>
    <m/>
    <m/>
    <m/>
    <n v="0.77849999999999997"/>
    <m/>
    <n v="0.7784999999999999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AVABAZA"/>
    <n v="233"/>
    <m/>
    <n v="233"/>
    <m/>
    <s v="IK"/>
    <n v="30"/>
    <m/>
    <m/>
    <m/>
    <m/>
    <m/>
    <m/>
    <m/>
    <m/>
    <m/>
    <m/>
    <n v="0.34949999999999998"/>
    <m/>
    <n v="0.3494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HELIBONDRO HAUT"/>
    <n v="230"/>
    <m/>
    <n v="230"/>
    <m/>
    <s v="IK"/>
    <n v="30"/>
    <m/>
    <m/>
    <m/>
    <m/>
    <m/>
    <m/>
    <m/>
    <m/>
    <m/>
    <m/>
    <n v="0.34499999999999997"/>
    <m/>
    <n v="0.3449999999999999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RENTY"/>
    <n v="195"/>
    <m/>
    <n v="195"/>
    <m/>
    <s v="IK"/>
    <n v="30"/>
    <m/>
    <m/>
    <m/>
    <m/>
    <m/>
    <m/>
    <m/>
    <m/>
    <m/>
    <m/>
    <n v="0.29249999999999998"/>
    <m/>
    <n v="0.2924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REGNARA"/>
    <n v="107"/>
    <m/>
    <n v="107"/>
    <m/>
    <s v="IK"/>
    <n v="30"/>
    <m/>
    <m/>
    <m/>
    <m/>
    <m/>
    <m/>
    <m/>
    <m/>
    <m/>
    <m/>
    <n v="0.1605"/>
    <m/>
    <n v="0.1605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KIRIKIRIKE"/>
    <n v="468"/>
    <m/>
    <n v="468"/>
    <m/>
    <s v="IK"/>
    <n v="30"/>
    <m/>
    <m/>
    <m/>
    <m/>
    <m/>
    <m/>
    <m/>
    <m/>
    <m/>
    <m/>
    <n v="0.70199999999999996"/>
    <m/>
    <n v="0.70199999999999996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AROMENA CENTRE"/>
    <n v="150"/>
    <m/>
    <n v="150"/>
    <m/>
    <s v="IK"/>
    <n v="30"/>
    <m/>
    <m/>
    <m/>
    <m/>
    <m/>
    <m/>
    <m/>
    <m/>
    <m/>
    <m/>
    <n v="0.22500000000000001"/>
    <m/>
    <n v="0.225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FAITSY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FANDIOVA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MANITSEVO"/>
    <n v="330"/>
    <m/>
    <n v="330"/>
    <m/>
    <s v="IK"/>
    <n v="30"/>
    <m/>
    <m/>
    <m/>
    <m/>
    <m/>
    <m/>
    <m/>
    <m/>
    <m/>
    <m/>
    <n v="0.495"/>
    <m/>
    <n v="0.495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MPOTOBATO CENTRE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DAVABOAY MAROMENIKE"/>
    <n v="236"/>
    <m/>
    <n v="236"/>
    <m/>
    <s v="IK"/>
    <n v="30"/>
    <m/>
    <m/>
    <m/>
    <m/>
    <m/>
    <m/>
    <m/>
    <m/>
    <m/>
    <m/>
    <n v="0.35399999999999998"/>
    <m/>
    <n v="0.3539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KRABERANO"/>
    <n v="134"/>
    <m/>
    <n v="134"/>
    <m/>
    <s v="IK"/>
    <n v="30"/>
    <m/>
    <m/>
    <m/>
    <m/>
    <m/>
    <m/>
    <m/>
    <m/>
    <m/>
    <m/>
    <n v="0.20100000000000001"/>
    <m/>
    <n v="0.201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BERANO VILLE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IFOTAKA CENTRE"/>
    <n v="435"/>
    <m/>
    <n v="435"/>
    <m/>
    <s v="IK"/>
    <n v="30"/>
    <m/>
    <m/>
    <m/>
    <m/>
    <m/>
    <m/>
    <m/>
    <m/>
    <m/>
    <m/>
    <n v="0.65249999999999997"/>
    <m/>
    <n v="0.6524999999999999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ALOAL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RAKETA"/>
    <n v="299"/>
    <m/>
    <n v="299"/>
    <m/>
    <s v="IK"/>
    <n v="30"/>
    <m/>
    <m/>
    <m/>
    <m/>
    <m/>
    <m/>
    <m/>
    <m/>
    <m/>
    <m/>
    <n v="0.44850000000000001"/>
    <m/>
    <n v="0.448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FENOAIVO"/>
    <n v="138"/>
    <m/>
    <n v="138"/>
    <m/>
    <s v="IK"/>
    <n v="30"/>
    <m/>
    <m/>
    <m/>
    <m/>
    <m/>
    <m/>
    <m/>
    <m/>
    <m/>
    <m/>
    <n v="0.20699999999999999"/>
    <m/>
    <n v="0.20699999999999999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KIRIA CENTRE"/>
    <n v="262"/>
    <m/>
    <n v="262"/>
    <m/>
    <s v="IK"/>
    <n v="30"/>
    <m/>
    <m/>
    <m/>
    <m/>
    <m/>
    <m/>
    <m/>
    <m/>
    <m/>
    <m/>
    <n v="0.39300000000000002"/>
    <m/>
    <n v="0.3930000000000000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JAMAHAVELO"/>
    <n v="407"/>
    <m/>
    <n v="407"/>
    <m/>
    <s v="IK"/>
    <n v="30"/>
    <m/>
    <m/>
    <m/>
    <m/>
    <m/>
    <m/>
    <m/>
    <m/>
    <m/>
    <m/>
    <n v="0.61050000000000004"/>
    <m/>
    <n v="0.61050000000000004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KILIMITRAHA"/>
    <n v="246"/>
    <m/>
    <n v="246"/>
    <m/>
    <s v="IK"/>
    <n v="30"/>
    <m/>
    <m/>
    <m/>
    <m/>
    <m/>
    <m/>
    <m/>
    <m/>
    <m/>
    <m/>
    <n v="0.36899999999999999"/>
    <m/>
    <n v="0.36899999999999999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TANANDAVA"/>
    <n v="346"/>
    <m/>
    <n v="346"/>
    <m/>
    <s v="IK"/>
    <n v="30"/>
    <m/>
    <m/>
    <m/>
    <m/>
    <m/>
    <m/>
    <m/>
    <m/>
    <m/>
    <m/>
    <n v="0.51900000000000002"/>
    <m/>
    <n v="0.5190000000000000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VOHIBARY"/>
    <n v="38"/>
    <m/>
    <n v="38"/>
    <m/>
    <s v="IK"/>
    <n v="30"/>
    <m/>
    <m/>
    <m/>
    <m/>
    <m/>
    <m/>
    <m/>
    <m/>
    <m/>
    <m/>
    <n v="5.7000000000000002E-2"/>
    <m/>
    <n v="5.7000000000000002E-2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MBATOMENA"/>
    <n v="180"/>
    <m/>
    <n v="180"/>
    <m/>
    <s v="IK"/>
    <n v="30"/>
    <m/>
    <m/>
    <m/>
    <m/>
    <m/>
    <m/>
    <m/>
    <m/>
    <m/>
    <m/>
    <n v="0.27"/>
    <m/>
    <n v="0.2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MAROLOHA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TSOVELA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SAMPONA CENTRE"/>
    <n v="146"/>
    <m/>
    <n v="146"/>
    <m/>
    <s v="IK"/>
    <n v="30"/>
    <m/>
    <m/>
    <m/>
    <m/>
    <m/>
    <m/>
    <m/>
    <m/>
    <m/>
    <m/>
    <n v="0.219"/>
    <m/>
    <n v="0.219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KILIDOGA"/>
    <n v="180"/>
    <m/>
    <n v="180"/>
    <m/>
    <s v="IK"/>
    <n v="30"/>
    <m/>
    <m/>
    <m/>
    <m/>
    <m/>
    <m/>
    <m/>
    <m/>
    <m/>
    <m/>
    <n v="0.27"/>
    <m/>
    <n v="0.27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ANDROVASOA"/>
    <n v="218"/>
    <m/>
    <n v="218"/>
    <m/>
    <s v="IK"/>
    <n v="30"/>
    <m/>
    <m/>
    <m/>
    <m/>
    <m/>
    <m/>
    <m/>
    <m/>
    <m/>
    <m/>
    <n v="0.32700000000000001"/>
    <m/>
    <n v="0.3270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VAHAVOLA CENTRE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INDRA CENTRE"/>
    <n v="171"/>
    <m/>
    <n v="171"/>
    <m/>
    <s v="IK"/>
    <n v="30"/>
    <m/>
    <m/>
    <m/>
    <m/>
    <m/>
    <m/>
    <m/>
    <m/>
    <m/>
    <m/>
    <n v="0.25650000000000001"/>
    <m/>
    <n v="0.25650000000000001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DRAPASY"/>
    <n v="164"/>
    <m/>
    <n v="164"/>
    <m/>
    <s v="IK"/>
    <n v="30"/>
    <m/>
    <m/>
    <m/>
    <m/>
    <m/>
    <m/>
    <m/>
    <m/>
    <m/>
    <m/>
    <n v="0.246"/>
    <m/>
    <n v="0.246"/>
    <m/>
    <m/>
  </r>
  <r>
    <x v="1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SIHANAKARA"/>
    <n v="260"/>
    <m/>
    <n v="260"/>
    <m/>
    <s v="IK"/>
    <n v="30"/>
    <m/>
    <m/>
    <m/>
    <m/>
    <m/>
    <m/>
    <m/>
    <m/>
    <m/>
    <m/>
    <n v="0.39"/>
    <m/>
    <n v="0.3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s v="IK"/>
    <n v="30"/>
    <m/>
    <m/>
    <m/>
    <m/>
    <m/>
    <n v="9.4200000000000006E-2"/>
    <m/>
    <m/>
    <n v="0.94199999999999995"/>
    <m/>
    <m/>
    <m/>
    <n v="1.036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s v="IK"/>
    <n v="30"/>
    <m/>
    <m/>
    <m/>
    <m/>
    <m/>
    <n v="6.1199999999999997E-2"/>
    <m/>
    <m/>
    <n v="0.61199999999999999"/>
    <m/>
    <m/>
    <m/>
    <n v="0.6732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s v="IK"/>
    <n v="30"/>
    <m/>
    <m/>
    <m/>
    <m/>
    <m/>
    <n v="7.0800000000000002E-2"/>
    <m/>
    <m/>
    <n v="0.70799999999999996"/>
    <m/>
    <m/>
    <m/>
    <n v="0.7787999999999999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s v="IK"/>
    <n v="30"/>
    <m/>
    <m/>
    <m/>
    <m/>
    <m/>
    <n v="8.5199999999999998E-2"/>
    <m/>
    <m/>
    <n v="0.85199999999999998"/>
    <m/>
    <m/>
    <m/>
    <n v="0.93720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s v="IK"/>
    <n v="30"/>
    <m/>
    <m/>
    <m/>
    <m/>
    <m/>
    <n v="8.2199999999999995E-2"/>
    <m/>
    <m/>
    <n v="0.82199999999999995"/>
    <m/>
    <m/>
    <m/>
    <n v="0.9041999999999998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s v="IK"/>
    <n v="30"/>
    <m/>
    <m/>
    <m/>
    <m/>
    <m/>
    <n v="6.6000000000000003E-2"/>
    <m/>
    <m/>
    <n v="0.66"/>
    <m/>
    <m/>
    <m/>
    <n v="0.725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s v="IK"/>
    <n v="30"/>
    <m/>
    <m/>
    <m/>
    <m/>
    <m/>
    <n v="0.11219999999999999"/>
    <m/>
    <m/>
    <n v="1.1220000000000001"/>
    <m/>
    <m/>
    <m/>
    <n v="1.2342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s v="IK"/>
    <n v="30"/>
    <m/>
    <m/>
    <m/>
    <m/>
    <m/>
    <n v="9.06E-2"/>
    <m/>
    <m/>
    <n v="0.90600000000000003"/>
    <m/>
    <m/>
    <m/>
    <n v="0.9966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35"/>
    <n v="35"/>
    <m/>
    <s v="IK"/>
    <n v="30"/>
    <m/>
    <m/>
    <m/>
    <m/>
    <m/>
    <n v="2.1000000000000001E-2"/>
    <m/>
    <m/>
    <n v="0.21"/>
    <m/>
    <m/>
    <m/>
    <n v="0.230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188"/>
    <n v="188"/>
    <m/>
    <s v="IK"/>
    <n v="30"/>
    <m/>
    <m/>
    <m/>
    <m/>
    <m/>
    <n v="0.1128"/>
    <m/>
    <m/>
    <n v="1.1279999999999999"/>
    <m/>
    <m/>
    <m/>
    <n v="1.2407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254"/>
    <n v="254"/>
    <m/>
    <s v="IK"/>
    <n v="30"/>
    <m/>
    <m/>
    <m/>
    <m/>
    <m/>
    <n v="0.15240000000000001"/>
    <m/>
    <m/>
    <n v="1.524"/>
    <m/>
    <m/>
    <m/>
    <n v="1.6764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00"/>
    <n v="200"/>
    <m/>
    <s v="IK"/>
    <n v="30"/>
    <m/>
    <m/>
    <m/>
    <m/>
    <m/>
    <n v="0.12"/>
    <m/>
    <m/>
    <n v="1.2"/>
    <m/>
    <m/>
    <m/>
    <n v="1.31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272"/>
    <n v="272"/>
    <m/>
    <s v="IK"/>
    <n v="30"/>
    <m/>
    <m/>
    <m/>
    <m/>
    <m/>
    <n v="0.16320000000000001"/>
    <m/>
    <m/>
    <n v="1.6319999999999999"/>
    <m/>
    <m/>
    <m/>
    <n v="1.7951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68"/>
    <n v="368"/>
    <m/>
    <s v="IK"/>
    <n v="30"/>
    <m/>
    <m/>
    <m/>
    <m/>
    <m/>
    <n v="0.2208"/>
    <m/>
    <m/>
    <n v="2.2080000000000002"/>
    <m/>
    <m/>
    <m/>
    <n v="2.4288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68"/>
    <n v="168"/>
    <m/>
    <s v="IK"/>
    <n v="30"/>
    <m/>
    <m/>
    <m/>
    <m/>
    <m/>
    <n v="0.1008"/>
    <m/>
    <m/>
    <n v="1.008"/>
    <m/>
    <m/>
    <m/>
    <n v="1.108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 HAUT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75"/>
    <n v="175"/>
    <m/>
    <s v="IK"/>
    <n v="30"/>
    <m/>
    <m/>
    <m/>
    <m/>
    <m/>
    <n v="0.105"/>
    <m/>
    <m/>
    <n v="1.05"/>
    <m/>
    <m/>
    <m/>
    <n v="1.15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GNARA"/>
    <m/>
    <n v="125"/>
    <n v="125"/>
    <m/>
    <s v="IK"/>
    <n v="30"/>
    <m/>
    <m/>
    <m/>
    <m/>
    <m/>
    <n v="7.4999999999999997E-2"/>
    <m/>
    <m/>
    <n v="0.75"/>
    <m/>
    <m/>
    <m/>
    <n v="0.8249999999999999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12"/>
    <n v="312"/>
    <m/>
    <s v="IK"/>
    <n v="30"/>
    <m/>
    <m/>
    <m/>
    <m/>
    <m/>
    <n v="0.18720000000000001"/>
    <m/>
    <m/>
    <n v="1.8720000000000001"/>
    <m/>
    <m/>
    <m/>
    <n v="2.0592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Y"/>
    <m/>
    <n v="120"/>
    <n v="120"/>
    <m/>
    <s v="IK"/>
    <n v="30"/>
    <m/>
    <m/>
    <m/>
    <m/>
    <m/>
    <n v="7.1999999999999995E-2"/>
    <m/>
    <m/>
    <n v="0.72"/>
    <m/>
    <m/>
    <m/>
    <n v="0.7919999999999999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40"/>
    <n v="140"/>
    <m/>
    <s v="IK"/>
    <n v="30"/>
    <m/>
    <m/>
    <m/>
    <m/>
    <m/>
    <n v="8.4000000000000005E-2"/>
    <m/>
    <m/>
    <n v="0.84"/>
    <m/>
    <m/>
    <m/>
    <n v="0.9239999999999999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 CENTRE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 MAROMENIKE"/>
    <m/>
    <n v="208"/>
    <n v="208"/>
    <m/>
    <s v="IK"/>
    <n v="30"/>
    <m/>
    <m/>
    <m/>
    <m/>
    <m/>
    <n v="0.12479999999999999"/>
    <m/>
    <m/>
    <n v="1.248"/>
    <m/>
    <m/>
    <m/>
    <n v="1.372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RABERANO"/>
    <m/>
    <n v="74"/>
    <n v="74"/>
    <m/>
    <s v="IK"/>
    <n v="30"/>
    <m/>
    <m/>
    <m/>
    <m/>
    <m/>
    <n v="4.4400000000000002E-2"/>
    <m/>
    <m/>
    <n v="0.44400000000000001"/>
    <m/>
    <m/>
    <m/>
    <n v="0.488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9"/>
    <n v="139"/>
    <m/>
    <s v="IK"/>
    <n v="30"/>
    <m/>
    <m/>
    <m/>
    <m/>
    <m/>
    <n v="8.3400000000000002E-2"/>
    <m/>
    <m/>
    <n v="0.83399999999999996"/>
    <m/>
    <m/>
    <m/>
    <n v="0.91739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358"/>
    <n v="358"/>
    <m/>
    <s v="IK"/>
    <n v="30"/>
    <m/>
    <m/>
    <m/>
    <m/>
    <m/>
    <n v="0.21479999999999999"/>
    <m/>
    <m/>
    <n v="2.1480000000000001"/>
    <m/>
    <m/>
    <m/>
    <n v="2.362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222"/>
    <n v="222"/>
    <m/>
    <s v="IK"/>
    <n v="30"/>
    <m/>
    <m/>
    <m/>
    <m/>
    <m/>
    <n v="0.13320000000000001"/>
    <m/>
    <m/>
    <n v="1.3320000000000001"/>
    <m/>
    <m/>
    <m/>
    <n v="1.4652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106"/>
    <n v="106"/>
    <m/>
    <s v="IK"/>
    <n v="30"/>
    <m/>
    <m/>
    <m/>
    <m/>
    <m/>
    <n v="6.3600000000000004E-2"/>
    <m/>
    <m/>
    <n v="0.63600000000000001"/>
    <m/>
    <m/>
    <m/>
    <n v="0.699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 CENTRE"/>
    <m/>
    <n v="201"/>
    <n v="201"/>
    <m/>
    <s v="IK"/>
    <n v="30"/>
    <m/>
    <m/>
    <m/>
    <m/>
    <m/>
    <n v="0.1206"/>
    <m/>
    <m/>
    <n v="1.206"/>
    <m/>
    <m/>
    <m/>
    <n v="1.326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6"/>
    <n v="346"/>
    <m/>
    <s v="IK"/>
    <n v="30"/>
    <m/>
    <m/>
    <m/>
    <m/>
    <m/>
    <n v="0.20760000000000001"/>
    <m/>
    <m/>
    <n v="2.0760000000000001"/>
    <m/>
    <m/>
    <m/>
    <n v="2.2835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"/>
    <m/>
    <n v="190"/>
    <n v="190"/>
    <m/>
    <s v="IK"/>
    <n v="30"/>
    <m/>
    <m/>
    <m/>
    <m/>
    <m/>
    <n v="0.114"/>
    <m/>
    <m/>
    <n v="1.1399999999999999"/>
    <m/>
    <m/>
    <m/>
    <n v="1.25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TANANDAVA"/>
    <m/>
    <n v="362"/>
    <n v="362"/>
    <m/>
    <s v="IK"/>
    <n v="30"/>
    <m/>
    <m/>
    <m/>
    <m/>
    <m/>
    <n v="0.2172"/>
    <m/>
    <m/>
    <n v="2.1720000000000002"/>
    <m/>
    <m/>
    <m/>
    <n v="2.3892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OHIBARY"/>
    <m/>
    <n v="64"/>
    <n v="64"/>
    <m/>
    <s v="IK"/>
    <n v="30"/>
    <m/>
    <m/>
    <m/>
    <m/>
    <m/>
    <n v="3.8399999999999997E-2"/>
    <m/>
    <m/>
    <n v="0.38400000000000001"/>
    <m/>
    <m/>
    <m/>
    <n v="0.422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MBATOMENA"/>
    <m/>
    <n v="123"/>
    <n v="123"/>
    <m/>
    <s v="IK"/>
    <n v="30"/>
    <m/>
    <m/>
    <m/>
    <m/>
    <m/>
    <n v="7.3800000000000004E-2"/>
    <m/>
    <m/>
    <n v="0.73799999999999999"/>
    <m/>
    <m/>
    <m/>
    <n v="0.8117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ROLOHA"/>
    <m/>
    <n v="117"/>
    <n v="117"/>
    <m/>
    <s v="IK"/>
    <n v="30"/>
    <m/>
    <m/>
    <m/>
    <m/>
    <m/>
    <n v="7.0199999999999999E-2"/>
    <m/>
    <m/>
    <n v="0.70199999999999996"/>
    <m/>
    <m/>
    <m/>
    <n v="0.772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TSOVELA"/>
    <m/>
    <n v="202"/>
    <n v="202"/>
    <m/>
    <s v="IK"/>
    <n v="30"/>
    <m/>
    <m/>
    <m/>
    <m/>
    <m/>
    <n v="0.1212"/>
    <m/>
    <m/>
    <n v="1.212"/>
    <m/>
    <m/>
    <m/>
    <n v="1.3331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9"/>
    <n v="99"/>
    <m/>
    <s v="IK"/>
    <n v="30"/>
    <m/>
    <m/>
    <m/>
    <m/>
    <m/>
    <n v="5.9400000000000001E-2"/>
    <m/>
    <m/>
    <n v="0.59399999999999997"/>
    <m/>
    <m/>
    <m/>
    <n v="0.6533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GA"/>
    <m/>
    <n v="100"/>
    <n v="100"/>
    <m/>
    <s v="IK"/>
    <n v="30"/>
    <m/>
    <m/>
    <m/>
    <m/>
    <m/>
    <n v="0.06"/>
    <m/>
    <m/>
    <n v="0.6"/>
    <m/>
    <m/>
    <m/>
    <n v="0.6599999999999999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DROVASOA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AHAVOLA CENTRE"/>
    <m/>
    <n v="91"/>
    <n v="91"/>
    <m/>
    <s v="IK"/>
    <n v="30"/>
    <m/>
    <m/>
    <m/>
    <m/>
    <m/>
    <n v="5.4600000000000003E-2"/>
    <m/>
    <m/>
    <n v="0.54600000000000004"/>
    <m/>
    <m/>
    <m/>
    <n v="0.6006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INDRA CENTRE"/>
    <m/>
    <n v="103"/>
    <n v="103"/>
    <m/>
    <s v="IK"/>
    <n v="30"/>
    <m/>
    <m/>
    <m/>
    <m/>
    <m/>
    <n v="6.1800000000000001E-2"/>
    <m/>
    <m/>
    <n v="0.61799999999999999"/>
    <m/>
    <m/>
    <m/>
    <n v="0.6797999999999999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DRAPASY"/>
    <m/>
    <n v="116"/>
    <n v="116"/>
    <m/>
    <s v="IK"/>
    <n v="30"/>
    <m/>
    <m/>
    <m/>
    <m/>
    <m/>
    <n v="6.9599999999999995E-2"/>
    <m/>
    <m/>
    <n v="0.69599999999999995"/>
    <m/>
    <m/>
    <m/>
    <n v="0.7655999999999999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SIHANAKARA"/>
    <m/>
    <n v="290"/>
    <n v="290"/>
    <m/>
    <s v="IK"/>
    <n v="30"/>
    <m/>
    <m/>
    <m/>
    <m/>
    <m/>
    <n v="0.17399999999999999"/>
    <m/>
    <m/>
    <n v="1.74"/>
    <m/>
    <m/>
    <m/>
    <n v="1.9139999999999999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s v="IK"/>
    <n v="30"/>
    <m/>
    <m/>
    <m/>
    <m/>
    <m/>
    <n v="0.16919999999999999"/>
    <m/>
    <m/>
    <n v="1.6919999999999999"/>
    <m/>
    <m/>
    <m/>
    <n v="1.8612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s v="IK"/>
    <n v="30"/>
    <m/>
    <m/>
    <m/>
    <m/>
    <m/>
    <n v="0.255"/>
    <m/>
    <m/>
    <n v="2.5499999999999998"/>
    <m/>
    <m/>
    <m/>
    <n v="2.8049999999999997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s v="IK"/>
    <n v="30"/>
    <m/>
    <m/>
    <m/>
    <m/>
    <m/>
    <n v="0.57899999999999996"/>
    <m/>
    <m/>
    <n v="5.79"/>
    <m/>
    <m/>
    <m/>
    <n v="6.3689999999999998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s v="IK"/>
    <n v="30"/>
    <m/>
    <m/>
    <m/>
    <m/>
    <m/>
    <n v="0.28260000000000002"/>
    <m/>
    <m/>
    <n v="2.8260000000000001"/>
    <m/>
    <m/>
    <m/>
    <n v="3.1086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s v="IK"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s v="IK"/>
    <n v="30"/>
    <m/>
    <m/>
    <m/>
    <m/>
    <m/>
    <m/>
    <m/>
    <m/>
    <m/>
    <m/>
    <n v="0.74550000000000005"/>
    <m/>
    <n v="0.74550000000000005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s v="IK"/>
    <n v="30"/>
    <m/>
    <m/>
    <m/>
    <m/>
    <m/>
    <m/>
    <m/>
    <m/>
    <m/>
    <m/>
    <n v="1.0004999999999999"/>
    <m/>
    <n v="1.0004999999999999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s v="IK"/>
    <n v="30"/>
    <m/>
    <m/>
    <m/>
    <m/>
    <m/>
    <m/>
    <m/>
    <m/>
    <m/>
    <m/>
    <n v="1.5209999999999999"/>
    <m/>
    <n v="1.5209999999999999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s v="IK"/>
    <n v="30"/>
    <m/>
    <m/>
    <m/>
    <m/>
    <m/>
    <m/>
    <m/>
    <m/>
    <m/>
    <m/>
    <n v="2.3384999999999998"/>
    <m/>
    <n v="2.3384999999999998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s v="IK"/>
    <n v="30"/>
    <m/>
    <m/>
    <m/>
    <m/>
    <m/>
    <m/>
    <m/>
    <m/>
    <m/>
    <m/>
    <n v="0.77700000000000002"/>
    <m/>
    <n v="0.77700000000000002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akoa"/>
    <m/>
    <m/>
    <n v="0"/>
    <m/>
    <s v="IK"/>
    <m/>
    <m/>
    <m/>
    <m/>
    <m/>
    <m/>
    <m/>
    <m/>
    <m/>
    <m/>
    <m/>
    <n v="0"/>
    <m/>
    <n v="0"/>
    <m/>
    <m/>
  </r>
  <r>
    <x v="1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s v="IK"/>
    <n v="30"/>
    <m/>
    <m/>
    <m/>
    <m/>
    <m/>
    <m/>
    <m/>
    <m/>
    <m/>
    <m/>
    <n v="0.39600000000000002"/>
    <m/>
    <n v="0.39600000000000002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havo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hazoarivo"/>
    <m/>
    <n v="250"/>
    <n v="250"/>
    <m/>
    <s v="IK"/>
    <n v="30"/>
    <m/>
    <m/>
    <m/>
    <m/>
    <m/>
    <n v="0.15"/>
    <m/>
    <m/>
    <n v="1.5"/>
    <m/>
    <m/>
    <m/>
    <n v="1.65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nasoa Mahafaly"/>
    <m/>
    <n v="350"/>
    <n v="350"/>
    <m/>
    <s v="IK"/>
    <n v="30"/>
    <m/>
    <m/>
    <m/>
    <m/>
    <m/>
    <n v="0.21"/>
    <m/>
    <m/>
    <n v="2.1"/>
    <m/>
    <m/>
    <m/>
    <n v="2.31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ely Est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avoa centre"/>
    <m/>
    <n v="260"/>
    <n v="260"/>
    <m/>
    <s v="IK"/>
    <n v="30"/>
    <m/>
    <m/>
    <m/>
    <m/>
    <m/>
    <n v="0.156"/>
    <m/>
    <m/>
    <n v="1.56"/>
    <m/>
    <m/>
    <m/>
    <n v="1.716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Masiaboay"/>
    <m/>
    <n v="300"/>
    <n v="300"/>
    <m/>
    <s v="IK"/>
    <n v="30"/>
    <m/>
    <m/>
    <m/>
    <m/>
    <m/>
    <n v="0.18"/>
    <m/>
    <m/>
    <n v="1.8"/>
    <m/>
    <m/>
    <m/>
    <n v="1.98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dranotakatse"/>
    <m/>
    <n v="550"/>
    <n v="550"/>
    <m/>
    <s v="IK"/>
    <n v="30"/>
    <m/>
    <m/>
    <m/>
    <m/>
    <m/>
    <n v="0.33"/>
    <m/>
    <m/>
    <n v="3.3"/>
    <m/>
    <m/>
    <m/>
    <n v="3.63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tararaty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1"/>
    <n v="2024"/>
    <x v="1"/>
    <s v="Nutrition"/>
    <x v="2"/>
    <s v="NPA_STUN:Prevention of Stunting"/>
    <m/>
    <m/>
    <s v="Tuléar"/>
    <x v="2"/>
    <s v="Tuléar"/>
    <s v="Atsimo Andrefana"/>
    <s v="Betioky"/>
    <s v="TOHANA"/>
    <s v="SAKAMASAY"/>
    <s v="Sakamasay"/>
    <m/>
    <n v="155"/>
    <n v="155"/>
    <m/>
    <s v="IK"/>
    <n v="30"/>
    <m/>
    <m/>
    <m/>
    <m/>
    <m/>
    <n v="9.2999999999999999E-2"/>
    <m/>
    <m/>
    <n v="0.93"/>
    <m/>
    <m/>
    <m/>
    <n v="1.0230000000000001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m/>
    <n v="100"/>
    <n v="100"/>
    <m/>
    <s v="IK"/>
    <n v="30"/>
    <m/>
    <m/>
    <m/>
    <m/>
    <m/>
    <m/>
    <m/>
    <m/>
    <m/>
    <m/>
    <n v="0.15"/>
    <m/>
    <n v="0.15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havoa"/>
    <n v="495"/>
    <m/>
    <n v="495"/>
    <m/>
    <s v="IK"/>
    <n v="30"/>
    <m/>
    <m/>
    <m/>
    <m/>
    <m/>
    <m/>
    <m/>
    <m/>
    <m/>
    <m/>
    <n v="0.74250000000000005"/>
    <m/>
    <n v="0.74250000000000005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hazoarivo"/>
    <n v="500"/>
    <m/>
    <n v="500"/>
    <m/>
    <s v="IK"/>
    <n v="30"/>
    <m/>
    <m/>
    <m/>
    <m/>
    <m/>
    <m/>
    <m/>
    <m/>
    <m/>
    <m/>
    <n v="0.75"/>
    <m/>
    <n v="0.75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nasoa Mahafaly"/>
    <n v="510"/>
    <m/>
    <n v="510"/>
    <m/>
    <s v="IK"/>
    <n v="30"/>
    <m/>
    <m/>
    <m/>
    <m/>
    <m/>
    <m/>
    <m/>
    <m/>
    <m/>
    <m/>
    <n v="0.76500000000000001"/>
    <m/>
    <n v="0.76500000000000001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ely Est"/>
    <n v="580"/>
    <m/>
    <n v="580"/>
    <m/>
    <s v="IK"/>
    <n v="30"/>
    <m/>
    <m/>
    <m/>
    <m/>
    <m/>
    <m/>
    <m/>
    <m/>
    <m/>
    <m/>
    <n v="0.87"/>
    <m/>
    <n v="0.87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avoa centre"/>
    <n v="590"/>
    <m/>
    <n v="590"/>
    <m/>
    <s v="IK"/>
    <n v="30"/>
    <m/>
    <m/>
    <m/>
    <m/>
    <m/>
    <m/>
    <m/>
    <m/>
    <m/>
    <m/>
    <n v="0.88500000000000001"/>
    <m/>
    <n v="0.88500000000000001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Masiaboay"/>
    <n v="500"/>
    <m/>
    <n v="500"/>
    <m/>
    <s v="IK"/>
    <n v="30"/>
    <m/>
    <m/>
    <m/>
    <m/>
    <m/>
    <m/>
    <m/>
    <m/>
    <m/>
    <m/>
    <n v="0.75"/>
    <m/>
    <n v="0.75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dranotakatse"/>
    <n v="900"/>
    <m/>
    <n v="900"/>
    <m/>
    <s v="IK"/>
    <n v="30"/>
    <m/>
    <m/>
    <m/>
    <m/>
    <m/>
    <m/>
    <m/>
    <m/>
    <m/>
    <m/>
    <n v="1.35"/>
    <m/>
    <n v="1.35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tararat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Sakamasa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1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n v="160"/>
    <m/>
    <n v="160"/>
    <m/>
    <s v="IK"/>
    <n v="30"/>
    <m/>
    <m/>
    <m/>
    <m/>
    <m/>
    <m/>
    <m/>
    <m/>
    <m/>
    <m/>
    <n v="0.24"/>
    <m/>
    <n v="0.24"/>
    <m/>
    <m/>
  </r>
  <r>
    <x v="1"/>
    <n v="2024"/>
    <x v="1"/>
    <s v="Nutrition"/>
    <x v="3"/>
    <s v="NPA_STUN:Prevention of Stunting"/>
    <m/>
    <m/>
    <s v="Manakara"/>
    <x v="3"/>
    <m/>
    <s v="Fitovinany"/>
    <s v="Manakara"/>
    <s v="NY TANINTSIKA"/>
    <s v="Ambila"/>
    <s v="En cours"/>
    <n v="1111"/>
    <m/>
    <n v="1111"/>
    <m/>
    <s v="IK"/>
    <n v="30"/>
    <m/>
    <m/>
    <m/>
    <m/>
    <m/>
    <m/>
    <m/>
    <m/>
    <m/>
    <m/>
    <n v="1.6665000000000001"/>
    <m/>
    <m/>
    <m/>
    <m/>
  </r>
  <r>
    <x v="1"/>
    <n v="2024"/>
    <x v="1"/>
    <s v="Nutrition"/>
    <x v="3"/>
    <s v="NPA_STUN:Prevention of Stunting"/>
    <m/>
    <m/>
    <s v="Manakara"/>
    <x v="3"/>
    <m/>
    <s v="Fitovinany"/>
    <s v="Manakara"/>
    <s v="NY TANINTSIKA"/>
    <s v="Anteza"/>
    <s v="En cours"/>
    <n v="393"/>
    <m/>
    <n v="393"/>
    <m/>
    <s v="IK"/>
    <n v="30"/>
    <m/>
    <m/>
    <m/>
    <m/>
    <m/>
    <m/>
    <m/>
    <m/>
    <m/>
    <m/>
    <n v="0.58950000000000002"/>
    <m/>
    <m/>
    <m/>
    <m/>
  </r>
  <r>
    <x v="1"/>
    <n v="2024"/>
    <x v="1"/>
    <s v="Nutrition"/>
    <x v="2"/>
    <s v="NPA_STUN:Prevention of Stunting"/>
    <m/>
    <m/>
    <s v="Manakara"/>
    <x v="3"/>
    <m/>
    <s v="Fitovinany"/>
    <s v="Manakara"/>
    <s v="NY TANINTSIKA"/>
    <s v="Ambila"/>
    <s v="En cours"/>
    <m/>
    <n v="1283"/>
    <n v="1283"/>
    <m/>
    <s v="IK"/>
    <n v="30"/>
    <m/>
    <m/>
    <m/>
    <m/>
    <m/>
    <n v="0.76980000000000004"/>
    <m/>
    <m/>
    <n v="7.6980000000000004"/>
    <m/>
    <m/>
    <m/>
    <n v="8.4678000000000004"/>
    <m/>
    <m/>
  </r>
  <r>
    <x v="1"/>
    <n v="2024"/>
    <x v="1"/>
    <s v="Nutrition"/>
    <x v="2"/>
    <s v="NPA_STUN:Prevention of Stunting"/>
    <m/>
    <m/>
    <s v="Manakara"/>
    <x v="3"/>
    <m/>
    <s v="Fitovinany"/>
    <s v="Manakara"/>
    <s v="NY TANINTSIKA"/>
    <s v="Anteza"/>
    <s v="En cours"/>
    <m/>
    <n v="454"/>
    <n v="454"/>
    <m/>
    <s v="IK"/>
    <n v="30"/>
    <m/>
    <m/>
    <m/>
    <m/>
    <m/>
    <n v="0.27239999999999998"/>
    <m/>
    <m/>
    <n v="2.7240000000000002"/>
    <m/>
    <m/>
    <m/>
    <n v="2.9964000000000004"/>
    <m/>
    <m/>
  </r>
  <r>
    <x v="1"/>
    <n v="2024"/>
    <x v="1"/>
    <s v="Nutrition"/>
    <x v="3"/>
    <s v="NPA_STUN:Prevention of Stunting"/>
    <m/>
    <m/>
    <s v="Manakara"/>
    <x v="3"/>
    <m/>
    <s v="Vatovavy"/>
    <s v="Mananjary"/>
    <s v="NY TANINTSIKA"/>
    <s v="Mahatsara Sud"/>
    <s v="En cours"/>
    <n v="427"/>
    <m/>
    <n v="427"/>
    <m/>
    <s v="IK"/>
    <n v="30"/>
    <m/>
    <m/>
    <m/>
    <m/>
    <m/>
    <m/>
    <m/>
    <m/>
    <m/>
    <m/>
    <n v="0.64049999999999996"/>
    <m/>
    <m/>
    <m/>
    <m/>
  </r>
  <r>
    <x v="1"/>
    <n v="2024"/>
    <x v="1"/>
    <s v="Nutrition"/>
    <x v="3"/>
    <s v="NPA_STUN:Prevention of Stunting"/>
    <m/>
    <m/>
    <s v="Manakara"/>
    <x v="3"/>
    <m/>
    <s v="Vatovavy"/>
    <s v="Mananjary"/>
    <s v="NY TANINTSIKA"/>
    <s v="Marokarima"/>
    <s v="En cours"/>
    <n v="721"/>
    <m/>
    <n v="721"/>
    <m/>
    <s v="IK"/>
    <n v="30"/>
    <m/>
    <m/>
    <m/>
    <m/>
    <m/>
    <m/>
    <m/>
    <m/>
    <m/>
    <m/>
    <n v="1.0814999999999999"/>
    <m/>
    <m/>
    <m/>
    <m/>
  </r>
  <r>
    <x v="1"/>
    <n v="2024"/>
    <x v="1"/>
    <s v="Nutrition"/>
    <x v="3"/>
    <s v="NPA_STUN:Prevention of Stunting"/>
    <m/>
    <m/>
    <s v="Manakara"/>
    <x v="3"/>
    <m/>
    <s v="Vatovavy"/>
    <s v="Mananjary"/>
    <s v="NY TANINTSIKA"/>
    <s v="Tsaravary"/>
    <s v="En cours"/>
    <n v="380"/>
    <m/>
    <n v="380"/>
    <m/>
    <s v="IK"/>
    <n v="30"/>
    <m/>
    <m/>
    <m/>
    <m/>
    <m/>
    <m/>
    <m/>
    <m/>
    <m/>
    <m/>
    <n v="0.56999999999999995"/>
    <m/>
    <m/>
    <m/>
    <m/>
  </r>
  <r>
    <x v="1"/>
    <n v="2024"/>
    <x v="1"/>
    <s v="Nutrition"/>
    <x v="3"/>
    <s v="NPA_STUN:Prevention of Stunting"/>
    <m/>
    <m/>
    <s v="Manakara"/>
    <x v="3"/>
    <m/>
    <s v="Vatovavy"/>
    <s v="Mananjary"/>
    <s v="NY TANINTSIKA"/>
    <s v="Tsiatosika"/>
    <s v="En cours"/>
    <n v="1061"/>
    <m/>
    <n v="1061"/>
    <m/>
    <s v="IK"/>
    <n v="30"/>
    <m/>
    <m/>
    <m/>
    <m/>
    <m/>
    <m/>
    <m/>
    <m/>
    <m/>
    <m/>
    <n v="1.5914999999999999"/>
    <m/>
    <m/>
    <m/>
    <m/>
  </r>
  <r>
    <x v="1"/>
    <n v="2024"/>
    <x v="1"/>
    <s v="Nutrition"/>
    <x v="2"/>
    <s v="NPA_STUN:Prevention of Stunting"/>
    <m/>
    <m/>
    <s v="Manakara"/>
    <x v="3"/>
    <m/>
    <s v="Vatovavy"/>
    <s v="Mananjary"/>
    <s v="NY TANINTSIKA"/>
    <s v="Mahatsara Sud"/>
    <s v="En cours"/>
    <m/>
    <n v="493"/>
    <n v="493"/>
    <m/>
    <s v="IK"/>
    <n v="30"/>
    <m/>
    <m/>
    <m/>
    <m/>
    <m/>
    <n v="0.29580000000000001"/>
    <m/>
    <m/>
    <n v="2.9580000000000002"/>
    <m/>
    <m/>
    <m/>
    <n v="3.2538"/>
    <m/>
    <m/>
  </r>
  <r>
    <x v="1"/>
    <n v="2024"/>
    <x v="1"/>
    <s v="Nutrition"/>
    <x v="2"/>
    <s v="NPA_STUN:Prevention of Stunting"/>
    <m/>
    <m/>
    <s v="Manakara"/>
    <x v="3"/>
    <m/>
    <s v="Vatovavy"/>
    <s v="Mananjary"/>
    <s v="NY TANINTSIKA"/>
    <s v="Marokarima"/>
    <s v="En cours"/>
    <m/>
    <n v="833"/>
    <n v="833"/>
    <m/>
    <s v="IK"/>
    <n v="30"/>
    <m/>
    <m/>
    <m/>
    <m/>
    <m/>
    <n v="0.49980000000000002"/>
    <m/>
    <m/>
    <n v="4.9980000000000002"/>
    <m/>
    <m/>
    <m/>
    <n v="5.4977999999999998"/>
    <m/>
    <m/>
  </r>
  <r>
    <x v="1"/>
    <n v="2024"/>
    <x v="1"/>
    <s v="Nutrition"/>
    <x v="2"/>
    <s v="NPA_STUN:Prevention of Stunting"/>
    <m/>
    <m/>
    <s v="Manakara"/>
    <x v="3"/>
    <m/>
    <s v="Vatovavy"/>
    <s v="Mananjary"/>
    <s v="NY TANINTSIKA"/>
    <s v="Tsaravary"/>
    <s v="En cours"/>
    <m/>
    <n v="439"/>
    <n v="439"/>
    <m/>
    <s v="IK"/>
    <n v="30"/>
    <m/>
    <m/>
    <m/>
    <m/>
    <m/>
    <n v="0.26340000000000002"/>
    <m/>
    <m/>
    <n v="2.6339999999999999"/>
    <m/>
    <m/>
    <m/>
    <n v="2.8973999999999998"/>
    <m/>
    <m/>
  </r>
  <r>
    <x v="1"/>
    <n v="2024"/>
    <x v="1"/>
    <s v="Nutrition"/>
    <x v="2"/>
    <s v="NPA_STUN:Prevention of Stunting"/>
    <m/>
    <m/>
    <s v="Manakara"/>
    <x v="3"/>
    <m/>
    <s v="Vatovavy"/>
    <s v="Mananjary"/>
    <s v="NY TANINTSIKA"/>
    <s v="Tsiatosika"/>
    <s v="En cours"/>
    <m/>
    <n v="1225"/>
    <n v="1225"/>
    <m/>
    <s v="IK"/>
    <n v="30"/>
    <m/>
    <m/>
    <m/>
    <m/>
    <m/>
    <n v="0.73499999999999999"/>
    <m/>
    <m/>
    <n v="7.35"/>
    <m/>
    <m/>
    <m/>
    <n v="8.0849999999999991"/>
    <m/>
    <m/>
  </r>
  <r>
    <x v="2"/>
    <n v="2024"/>
    <x v="0"/>
    <s v="GD"/>
    <x v="0"/>
    <s v="URT_GD: General Distribution"/>
    <n v="1"/>
    <m/>
    <s v="Bekily"/>
    <x v="0"/>
    <s v="Taolagnaro"/>
    <s v="Androy"/>
    <s v="Bekily"/>
    <m/>
    <s v="Ambahita"/>
    <m/>
    <m/>
    <m/>
    <n v="16706"/>
    <n v="3341.2"/>
    <s v="IK"/>
    <n v="15"/>
    <n v="100.236"/>
    <n v="0"/>
    <n v="0"/>
    <n v="0"/>
    <n v="15.035399999999999"/>
    <n v="8.7706499999999998"/>
    <n v="0"/>
    <n v="0"/>
    <n v="0"/>
    <n v="0"/>
    <m/>
    <n v="0"/>
    <n v="124.04205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Amborompotsy"/>
    <m/>
    <m/>
    <m/>
    <n v="17635"/>
    <n v="3527"/>
    <s v="IK"/>
    <n v="15"/>
    <n v="105.81"/>
    <n v="0"/>
    <n v="0"/>
    <n v="0"/>
    <n v="15.871499999999999"/>
    <n v="9.2583749999999991"/>
    <n v="0"/>
    <n v="0"/>
    <n v="0"/>
    <n v="0"/>
    <m/>
    <n v="0"/>
    <n v="130.939875"/>
    <n v="0"/>
    <n v="0"/>
  </r>
  <r>
    <x v="2"/>
    <n v="2024"/>
    <x v="0"/>
    <s v="GD"/>
    <x v="0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s v="IK"/>
    <n v="15"/>
    <n v="202.96799999999999"/>
    <n v="0"/>
    <n v="0"/>
    <n v="0"/>
    <n v="30.4452"/>
    <n v="17.759699999999999"/>
    <n v="0"/>
    <n v="0"/>
    <n v="0"/>
    <n v="0"/>
    <m/>
    <n v="0"/>
    <n v="251.1729"/>
    <n v="0"/>
    <n v="0"/>
  </r>
  <r>
    <x v="2"/>
    <n v="2024"/>
    <x v="0"/>
    <s v="GD"/>
    <x v="0"/>
    <s v="URT_GD: General Distribution"/>
    <n v="2"/>
    <m/>
    <s v="Amboasary"/>
    <x v="0"/>
    <s v="Taolagnaro"/>
    <s v="Anosy"/>
    <s v="Taolagnaro"/>
    <m/>
    <s v="Andranobory"/>
    <m/>
    <m/>
    <m/>
    <n v="7275"/>
    <n v="1455"/>
    <s v="IK"/>
    <n v="15"/>
    <n v="43.65"/>
    <n v="0"/>
    <n v="0"/>
    <n v="0"/>
    <n v="6.5475000000000003"/>
    <n v="3.819375"/>
    <n v="0"/>
    <n v="0"/>
    <n v="0"/>
    <n v="0"/>
    <m/>
    <n v="0"/>
    <n v="54.016874999999999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Androipano"/>
    <m/>
    <m/>
    <m/>
    <n v="11555"/>
    <n v="2311"/>
    <s v="IK"/>
    <n v="15"/>
    <n v="69.33"/>
    <n v="0"/>
    <n v="0"/>
    <n v="0"/>
    <n v="10.3995"/>
    <n v="6.0663749999999999"/>
    <n v="0"/>
    <n v="0"/>
    <n v="0"/>
    <n v="0"/>
    <m/>
    <n v="0"/>
    <n v="85.795874999999995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Androka"/>
    <m/>
    <m/>
    <m/>
    <n v="35000"/>
    <n v="7000"/>
    <s v="IK"/>
    <n v="15"/>
    <n v="210"/>
    <n v="0"/>
    <n v="0"/>
    <n v="0"/>
    <n v="31.5"/>
    <n v="18.375"/>
    <n v="0"/>
    <n v="0"/>
    <n v="0"/>
    <n v="0"/>
    <m/>
    <n v="0"/>
    <n v="259.875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Anivorano Mitsinjo"/>
    <m/>
    <m/>
    <m/>
    <n v="6800"/>
    <n v="1360"/>
    <s v="IK"/>
    <n v="15"/>
    <n v="40.799999999999997"/>
    <n v="0"/>
    <n v="0"/>
    <n v="0"/>
    <n v="6.12"/>
    <n v="3.57"/>
    <n v="0"/>
    <n v="0"/>
    <n v="0"/>
    <n v="0"/>
    <m/>
    <n v="0"/>
    <n v="50.489999999999995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Anja Nord"/>
    <m/>
    <m/>
    <m/>
    <n v="3770"/>
    <n v="754"/>
    <s v="IK"/>
    <n v="15"/>
    <n v="22.62"/>
    <n v="0"/>
    <n v="0"/>
    <n v="0"/>
    <n v="3.3929999999999998"/>
    <n v="1.97925"/>
    <n v="0"/>
    <n v="0"/>
    <n v="0"/>
    <n v="0"/>
    <m/>
    <n v="0"/>
    <n v="27.992250000000002"/>
    <n v="0"/>
    <n v="0"/>
  </r>
  <r>
    <x v="2"/>
    <n v="2024"/>
    <x v="0"/>
    <s v="GD"/>
    <x v="0"/>
    <s v="URT_GD: General Distribution"/>
    <n v="1"/>
    <m/>
    <s v="Ambovombe"/>
    <x v="0"/>
    <s v="Taolagnaro"/>
    <s v="Androy"/>
    <s v="Ambovombe"/>
    <m/>
    <s v="Ampamata"/>
    <m/>
    <m/>
    <m/>
    <n v="10150"/>
    <n v="2030"/>
    <s v="IK"/>
    <n v="15"/>
    <n v="60.9"/>
    <n v="0"/>
    <n v="0"/>
    <n v="0"/>
    <n v="9.1349999999999998"/>
    <n v="5.3287500000000003"/>
    <n v="0"/>
    <n v="0"/>
    <n v="0"/>
    <n v="0"/>
    <m/>
    <n v="0"/>
    <n v="75.363749999999996"/>
    <n v="0"/>
    <n v="0"/>
  </r>
  <r>
    <x v="2"/>
    <n v="2024"/>
    <x v="0"/>
    <s v="GD"/>
    <x v="0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s v="IK"/>
    <n v="15"/>
    <n v="113.28"/>
    <n v="0"/>
    <n v="0"/>
    <n v="0"/>
    <n v="16.992000000000001"/>
    <n v="9.9120000000000008"/>
    <n v="0"/>
    <n v="0"/>
    <n v="0"/>
    <n v="0"/>
    <m/>
    <n v="0"/>
    <n v="140.184"/>
    <n v="0"/>
    <n v="0"/>
  </r>
  <r>
    <x v="2"/>
    <n v="2024"/>
    <x v="0"/>
    <s v="GD"/>
    <x v="0"/>
    <s v="URT_GD: General Distribution"/>
    <n v="2"/>
    <m/>
    <s v="Tuléar"/>
    <x v="2"/>
    <s v="Tuléar"/>
    <s v="Atsimo Andrefana"/>
    <s v="Betioky"/>
    <m/>
    <s v="Ankazombalala"/>
    <m/>
    <m/>
    <m/>
    <n v="12000"/>
    <n v="2400"/>
    <s v="IK"/>
    <n v="15"/>
    <n v="72"/>
    <n v="0"/>
    <n v="0"/>
    <n v="0"/>
    <n v="10.8"/>
    <n v="6.3"/>
    <n v="0"/>
    <n v="0"/>
    <n v="0"/>
    <n v="0"/>
    <m/>
    <n v="0"/>
    <n v="89.1"/>
    <n v="0"/>
    <n v="0"/>
  </r>
  <r>
    <x v="2"/>
    <n v="2024"/>
    <x v="0"/>
    <s v="GD"/>
    <x v="0"/>
    <s v="URT_GD: General Distribution"/>
    <n v="2"/>
    <m/>
    <m/>
    <x v="3"/>
    <m/>
    <s v="Atsimo Antsinana"/>
    <s v="Vondrozo"/>
    <m/>
    <s v="Anandravy"/>
    <m/>
    <m/>
    <m/>
    <n v="4797"/>
    <n v="959.4"/>
    <s v="IK"/>
    <n v="15"/>
    <n v="28.782"/>
    <n v="0"/>
    <n v="0"/>
    <n v="0"/>
    <n v="4.3173000000000004"/>
    <n v="2.5184250000000001"/>
    <n v="0"/>
    <n v="0"/>
    <n v="0"/>
    <n v="0"/>
    <m/>
    <n v="0"/>
    <n v="35.617725"/>
    <n v="0"/>
    <n v="0"/>
  </r>
  <r>
    <x v="2"/>
    <n v="2024"/>
    <x v="0"/>
    <s v="GD"/>
    <x v="0"/>
    <s v="URT_GD: General Distribution"/>
    <n v="2"/>
    <m/>
    <s v="Ampanihy"/>
    <x v="1"/>
    <s v="Tuléar"/>
    <s v="Atsimo Andrefana"/>
    <s v="Ampanihy Ouest"/>
    <m/>
    <s v="Ankiliabo"/>
    <m/>
    <m/>
    <m/>
    <n v="18100"/>
    <n v="3620"/>
    <s v="IK"/>
    <n v="15"/>
    <n v="108.6"/>
    <n v="0"/>
    <n v="0"/>
    <n v="0"/>
    <n v="16.29"/>
    <n v="9.5024999999999995"/>
    <n v="0"/>
    <n v="0"/>
    <n v="0"/>
    <n v="0"/>
    <m/>
    <n v="0"/>
    <n v="134.39249999999998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Antsakoamaro"/>
    <m/>
    <m/>
    <m/>
    <n v="6201"/>
    <n v="1240.2"/>
    <s v="IK"/>
    <n v="15"/>
    <n v="37.206000000000003"/>
    <n v="0"/>
    <n v="0"/>
    <n v="0"/>
    <n v="5.5808999999999997"/>
    <n v="3.255525"/>
    <n v="0"/>
    <n v="0"/>
    <n v="0"/>
    <n v="0"/>
    <m/>
    <n v="0"/>
    <n v="46.042425000000001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Belafike haut"/>
    <m/>
    <m/>
    <m/>
    <n v="10195"/>
    <n v="2039"/>
    <s v="IK"/>
    <n v="15"/>
    <n v="61.17"/>
    <n v="0"/>
    <n v="0"/>
    <n v="0"/>
    <n v="9.1754999999999995"/>
    <n v="5.3523750000000003"/>
    <n v="0"/>
    <n v="0"/>
    <n v="0"/>
    <n v="0"/>
    <m/>
    <n v="0"/>
    <n v="75.697874999999996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Belindo Mahasoa"/>
    <m/>
    <m/>
    <m/>
    <n v="15000"/>
    <n v="3000"/>
    <s v="IK"/>
    <n v="15"/>
    <n v="90"/>
    <n v="0"/>
    <n v="0"/>
    <n v="0"/>
    <n v="13.5"/>
    <n v="7.875"/>
    <n v="0"/>
    <n v="0"/>
    <n v="0"/>
    <n v="0"/>
    <m/>
    <n v="0"/>
    <n v="111.375"/>
    <n v="0"/>
    <n v="0"/>
  </r>
  <r>
    <x v="2"/>
    <n v="2024"/>
    <x v="0"/>
    <s v="GD"/>
    <x v="0"/>
    <s v="URT_GD: General Distribution"/>
    <n v="1"/>
    <m/>
    <s v="Tuléar"/>
    <x v="2"/>
    <s v="Tuléar"/>
    <s v="Atsimo Andrefana"/>
    <s v="Betioky"/>
    <m/>
    <s v="Beora"/>
    <m/>
    <m/>
    <m/>
    <n v="1000"/>
    <n v="200"/>
    <s v="IK"/>
    <n v="15"/>
    <n v="6"/>
    <n v="0"/>
    <n v="0"/>
    <n v="0"/>
    <n v="0.9"/>
    <n v="0.52500000000000002"/>
    <n v="0"/>
    <n v="0"/>
    <n v="0"/>
    <n v="0"/>
    <m/>
    <n v="0"/>
    <n v="7.4250000000000007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Bevitiky"/>
    <m/>
    <m/>
    <m/>
    <n v="6341"/>
    <n v="1268.2"/>
    <s v="IK"/>
    <n v="15"/>
    <n v="38.045999999999999"/>
    <n v="0"/>
    <n v="0"/>
    <n v="0"/>
    <n v="5.7069000000000001"/>
    <n v="3.3290250000000001"/>
    <n v="0"/>
    <n v="0"/>
    <n v="0"/>
    <n v="0"/>
    <m/>
    <n v="0"/>
    <n v="47.081924999999998"/>
    <n v="0"/>
    <n v="0"/>
  </r>
  <r>
    <x v="2"/>
    <n v="2024"/>
    <x v="0"/>
    <s v="GD"/>
    <x v="0"/>
    <s v="URT_GD: General Distribution"/>
    <n v="1"/>
    <m/>
    <s v="Amboasary"/>
    <x v="0"/>
    <s v="Taolagnaro"/>
    <s v="Anosy"/>
    <s v="Amboasary"/>
    <m/>
    <s v="Ebelo"/>
    <m/>
    <m/>
    <m/>
    <n v="13542"/>
    <n v="2708.4"/>
    <s v="IK"/>
    <n v="15"/>
    <n v="81.251999999999995"/>
    <n v="0"/>
    <n v="0"/>
    <n v="0"/>
    <n v="12.187799999999999"/>
    <n v="7.1095499999999996"/>
    <n v="0"/>
    <n v="0"/>
    <n v="0"/>
    <n v="0"/>
    <m/>
    <n v="0"/>
    <n v="100.54934999999999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Gogogogo"/>
    <m/>
    <m/>
    <m/>
    <n v="18955"/>
    <n v="3791"/>
    <s v="IK"/>
    <n v="15"/>
    <n v="113.73"/>
    <n v="0"/>
    <n v="0"/>
    <n v="0"/>
    <n v="17.0595"/>
    <n v="9.9513750000000005"/>
    <n v="0"/>
    <n v="0"/>
    <n v="0"/>
    <n v="0"/>
    <m/>
    <n v="0"/>
    <n v="140.74087500000002"/>
    <n v="0"/>
    <n v="0"/>
  </r>
  <r>
    <x v="2"/>
    <n v="2024"/>
    <x v="0"/>
    <s v="GD"/>
    <x v="0"/>
    <s v="URT_GD: General Distribution"/>
    <n v="2"/>
    <m/>
    <s v="Tuléar"/>
    <x v="2"/>
    <s v="Tuléar"/>
    <s v="Atsimo Andrefana"/>
    <s v="Betioky"/>
    <m/>
    <s v="Lazarivo"/>
    <m/>
    <m/>
    <m/>
    <n v="10900"/>
    <n v="2180"/>
    <s v="IK"/>
    <n v="15"/>
    <n v="65.400000000000006"/>
    <n v="0"/>
    <n v="0"/>
    <n v="0"/>
    <n v="9.81"/>
    <n v="5.7225000000000001"/>
    <n v="0"/>
    <n v="0"/>
    <n v="0"/>
    <n v="0"/>
    <m/>
    <n v="0"/>
    <n v="80.932500000000005"/>
    <n v="0"/>
    <n v="0"/>
  </r>
  <r>
    <x v="2"/>
    <n v="2024"/>
    <x v="0"/>
    <s v="GD"/>
    <x v="0"/>
    <s v="URT_GD: General Distribution"/>
    <n v="1"/>
    <m/>
    <s v="Amboasary"/>
    <x v="0"/>
    <s v="Taolagnaro"/>
    <s v="Anosy"/>
    <s v="Amboasary"/>
    <m/>
    <s v="Mahabo"/>
    <m/>
    <m/>
    <m/>
    <n v="5759"/>
    <n v="1151.8"/>
    <s v="IK"/>
    <n v="15"/>
    <n v="34.554000000000002"/>
    <n v="0"/>
    <n v="0"/>
    <n v="0"/>
    <n v="5.1830999999999996"/>
    <n v="3.0234749999999999"/>
    <n v="0"/>
    <n v="0"/>
    <n v="0"/>
    <n v="0"/>
    <m/>
    <n v="0"/>
    <n v="42.760574999999996"/>
    <n v="0"/>
    <n v="0"/>
  </r>
  <r>
    <x v="2"/>
    <n v="2024"/>
    <x v="0"/>
    <s v="GD"/>
    <x v="0"/>
    <s v="URT_GD: General Distribution"/>
    <n v="1"/>
    <m/>
    <s v="Amboasary"/>
    <x v="0"/>
    <s v="Taolagnaro"/>
    <s v="Anosy"/>
    <s v="Amboasary"/>
    <m/>
    <s v="Mahaly"/>
    <m/>
    <m/>
    <m/>
    <n v="20745"/>
    <n v="4149"/>
    <s v="IK"/>
    <n v="15"/>
    <n v="124.47"/>
    <n v="0"/>
    <n v="0"/>
    <n v="0"/>
    <n v="18.670500000000001"/>
    <n v="10.891125000000001"/>
    <n v="0"/>
    <n v="0"/>
    <n v="0"/>
    <n v="0"/>
    <m/>
    <n v="0"/>
    <n v="154.03162499999999"/>
    <n v="0"/>
    <n v="0"/>
  </r>
  <r>
    <x v="2"/>
    <n v="2024"/>
    <x v="0"/>
    <s v="GD"/>
    <x v="0"/>
    <s v="URT_GD: General Distribution"/>
    <n v="2"/>
    <m/>
    <m/>
    <x v="3"/>
    <m/>
    <s v="Atsimo Antsinana"/>
    <s v="Vondrozo"/>
    <m/>
    <s v="Mahatsinjo"/>
    <m/>
    <m/>
    <m/>
    <n v="7686"/>
    <n v="1537.2"/>
    <s v="IK"/>
    <n v="15"/>
    <n v="46.116"/>
    <n v="0"/>
    <n v="0"/>
    <n v="0"/>
    <n v="6.9173999999999998"/>
    <n v="4.0351499999999998"/>
    <n v="0"/>
    <n v="0"/>
    <n v="0"/>
    <n v="0"/>
    <m/>
    <n v="0"/>
    <n v="57.068550000000002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Manakompy"/>
    <m/>
    <m/>
    <m/>
    <n v="6759"/>
    <n v="1351.8"/>
    <s v="IK"/>
    <n v="15"/>
    <n v="40.554000000000002"/>
    <n v="0"/>
    <n v="0"/>
    <n v="0"/>
    <n v="6.0831"/>
    <n v="3.5484749999999998"/>
    <n v="0"/>
    <n v="0"/>
    <n v="0"/>
    <n v="0"/>
    <m/>
    <n v="0"/>
    <n v="50.185575"/>
    <n v="0"/>
    <n v="0"/>
  </r>
  <r>
    <x v="2"/>
    <n v="2024"/>
    <x v="0"/>
    <s v="GD"/>
    <x v="0"/>
    <s v="URT_GD: General Distribution"/>
    <n v="2"/>
    <m/>
    <s v="Amboasary"/>
    <x v="0"/>
    <s v="Taolagnaro"/>
    <s v="Anosy"/>
    <s v="Amboasary"/>
    <m/>
    <s v="Maromby"/>
    <m/>
    <m/>
    <m/>
    <n v="15242"/>
    <n v="3048.4"/>
    <s v="IK"/>
    <n v="15"/>
    <n v="91.451999999999998"/>
    <n v="0"/>
    <n v="0"/>
    <n v="0"/>
    <n v="13.7178"/>
    <n v="8.0020500000000006"/>
    <n v="0"/>
    <n v="0"/>
    <n v="0"/>
    <n v="0"/>
    <m/>
    <n v="0"/>
    <n v="113.17184999999999"/>
    <n v="0"/>
    <n v="0"/>
  </r>
  <r>
    <x v="2"/>
    <n v="2024"/>
    <x v="0"/>
    <s v="GD"/>
    <x v="0"/>
    <s v="URT_GD: General Distribution"/>
    <n v="1"/>
    <m/>
    <s v="Ampanihy"/>
    <x v="1"/>
    <s v="Tuléar"/>
    <s v="Atsimo Andrefana"/>
    <s v="Ampanihy Ouest"/>
    <m/>
    <s v="Ankilizato"/>
    <m/>
    <m/>
    <m/>
    <n v="7940"/>
    <n v="1588"/>
    <s v="IK"/>
    <n v="15"/>
    <n v="47.64"/>
    <n v="0"/>
    <n v="0"/>
    <n v="0"/>
    <n v="7.1459999999999999"/>
    <n v="4.1684999999999999"/>
    <n v="0"/>
    <n v="0"/>
    <n v="0"/>
    <n v="0"/>
    <m/>
    <n v="0"/>
    <n v="58.954500000000003"/>
    <n v="0"/>
    <n v="0"/>
  </r>
  <r>
    <x v="2"/>
    <n v="2024"/>
    <x v="0"/>
    <s v="GD"/>
    <x v="0"/>
    <s v="URT_GD: General Distribution"/>
    <n v="1"/>
    <m/>
    <s v="Tuléar"/>
    <x v="2"/>
    <s v="Tuléar"/>
    <s v="Atsimo Andrefana"/>
    <s v="Betioky"/>
    <m/>
    <s v="Marosavoa"/>
    <m/>
    <m/>
    <m/>
    <n v="3766"/>
    <n v="753.2"/>
    <s v="IK"/>
    <n v="15"/>
    <n v="22.596"/>
    <n v="0"/>
    <n v="0"/>
    <n v="0"/>
    <n v="3.3894000000000002"/>
    <n v="1.97715"/>
    <n v="0"/>
    <n v="0"/>
    <n v="0"/>
    <n v="0"/>
    <m/>
    <n v="0"/>
    <n v="27.96255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Maroviro"/>
    <m/>
    <m/>
    <m/>
    <n v="12420"/>
    <n v="2484"/>
    <s v="IK"/>
    <n v="15"/>
    <n v="74.52"/>
    <n v="0"/>
    <n v="0"/>
    <n v="0"/>
    <n v="11.178000000000001"/>
    <n v="6.5205000000000002"/>
    <n v="0"/>
    <n v="0"/>
    <n v="0"/>
    <n v="0"/>
    <m/>
    <n v="0"/>
    <n v="92.218499999999992"/>
    <n v="0"/>
    <n v="0"/>
  </r>
  <r>
    <x v="2"/>
    <n v="2024"/>
    <x v="0"/>
    <s v="GD"/>
    <x v="0"/>
    <s v="URT_GD: General Distribution"/>
    <n v="1"/>
    <m/>
    <m/>
    <x v="3"/>
    <m/>
    <s v="Atsimo Antsinana"/>
    <s v="Vangaindrano"/>
    <m/>
    <s v="Matanga"/>
    <m/>
    <m/>
    <m/>
    <n v="13734"/>
    <n v="2746.8"/>
    <s v="IK"/>
    <n v="15"/>
    <n v="82.403999999999996"/>
    <n v="0"/>
    <n v="0"/>
    <n v="0"/>
    <n v="12.3606"/>
    <n v="7.21035"/>
    <n v="0"/>
    <n v="0"/>
    <n v="0"/>
    <n v="0"/>
    <m/>
    <n v="0"/>
    <n v="101.97495000000001"/>
    <n v="0"/>
    <n v="0"/>
  </r>
  <r>
    <x v="2"/>
    <n v="2024"/>
    <x v="0"/>
    <s v="GD"/>
    <x v="0"/>
    <s v="URT_GD: General Distribution"/>
    <n v="1"/>
    <m/>
    <m/>
    <x v="3"/>
    <m/>
    <s v="Atsimo Antsinana"/>
    <s v="Befotaka"/>
    <m/>
    <s v="Antondabe"/>
    <m/>
    <m/>
    <m/>
    <n v="5174"/>
    <n v="1034.8"/>
    <s v="IK"/>
    <n v="15"/>
    <n v="31.044"/>
    <n v="0"/>
    <n v="0"/>
    <n v="0"/>
    <n v="4.6566000000000001"/>
    <n v="2.7163499999999998"/>
    <n v="0"/>
    <n v="0"/>
    <n v="0"/>
    <n v="0"/>
    <m/>
    <n v="0"/>
    <n v="38.41695"/>
    <n v="0"/>
    <n v="0"/>
  </r>
  <r>
    <x v="2"/>
    <n v="2024"/>
    <x v="0"/>
    <s v="GD"/>
    <x v="0"/>
    <s v="URT_GD: General Distribution"/>
    <n v="1"/>
    <m/>
    <s v="Amboasary"/>
    <x v="0"/>
    <s v="Taolagnaro"/>
    <s v="Anosy"/>
    <s v="Amboasary"/>
    <m/>
    <s v="Ranobe"/>
    <m/>
    <m/>
    <m/>
    <n v="8462"/>
    <n v="1692.4"/>
    <s v="IK"/>
    <n v="15"/>
    <n v="50.771999999999998"/>
    <n v="0"/>
    <n v="0"/>
    <n v="0"/>
    <n v="7.6158000000000001"/>
    <n v="4.4425499999999998"/>
    <n v="0"/>
    <n v="0"/>
    <n v="0"/>
    <n v="0"/>
    <m/>
    <n v="0"/>
    <n v="62.830349999999996"/>
    <n v="0"/>
    <n v="0"/>
  </r>
  <r>
    <x v="2"/>
    <n v="2024"/>
    <x v="0"/>
    <s v="GD"/>
    <x v="0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s v="IK"/>
    <n v="15"/>
    <n v="66.197999999999993"/>
    <n v="0"/>
    <n v="0"/>
    <n v="0"/>
    <n v="9.9297000000000004"/>
    <n v="5.7923249999999999"/>
    <n v="0"/>
    <n v="0"/>
    <n v="0"/>
    <n v="0"/>
    <m/>
    <n v="0"/>
    <n v="81.920024999999995"/>
    <n v="0"/>
    <n v="0"/>
  </r>
  <r>
    <x v="2"/>
    <n v="2024"/>
    <x v="0"/>
    <s v="GD"/>
    <x v="0"/>
    <s v="URT_GD: General Distribution"/>
    <n v="1"/>
    <m/>
    <s v="Ambovombe"/>
    <x v="0"/>
    <s v="Taolagnaro"/>
    <s v="Androy"/>
    <s v="Ambovombe"/>
    <m/>
    <s v="Jafaro"/>
    <m/>
    <m/>
    <m/>
    <n v="26677"/>
    <n v="5335.4"/>
    <s v="IK"/>
    <n v="15"/>
    <n v="160.06200000000001"/>
    <n v="0"/>
    <n v="0"/>
    <n v="0"/>
    <n v="24.0093"/>
    <n v="14.005425000000001"/>
    <n v="0"/>
    <n v="0"/>
    <n v="0"/>
    <n v="0"/>
    <m/>
    <n v="0"/>
    <n v="198.07672500000001"/>
    <n v="0"/>
    <n v="0"/>
  </r>
  <r>
    <x v="2"/>
    <n v="2024"/>
    <x v="0"/>
    <s v="GD"/>
    <x v="0"/>
    <s v="URT_GD: General Distribution"/>
    <n v="2"/>
    <m/>
    <s v="Tuléar"/>
    <x v="2"/>
    <s v="Tuléar"/>
    <s v="Atsimo Andrefana"/>
    <s v="Betioky"/>
    <m/>
    <s v="Tongobory"/>
    <m/>
    <m/>
    <m/>
    <n v="8716"/>
    <n v="1743.2"/>
    <s v="IK"/>
    <n v="15"/>
    <n v="52.295999999999999"/>
    <n v="0"/>
    <n v="0"/>
    <n v="0"/>
    <n v="7.8444000000000003"/>
    <n v="4.5758999999999999"/>
    <n v="0"/>
    <n v="0"/>
    <n v="0"/>
    <n v="0"/>
    <m/>
    <n v="0"/>
    <n v="64.716300000000004"/>
    <n v="0"/>
    <n v="0"/>
  </r>
  <r>
    <x v="2"/>
    <n v="2024"/>
    <x v="0"/>
    <s v="GD"/>
    <x v="0"/>
    <s v="URT_GD: General Distribution"/>
    <n v="1"/>
    <m/>
    <m/>
    <x v="3"/>
    <m/>
    <s v="Atsimo Antsinana"/>
    <s v="Vangaindrano"/>
    <m/>
    <s v="Manambondro"/>
    <m/>
    <m/>
    <m/>
    <n v="4868"/>
    <n v="973.6"/>
    <s v="IK"/>
    <n v="15"/>
    <n v="29.207999999999998"/>
    <n v="0"/>
    <n v="0"/>
    <n v="0"/>
    <n v="4.3811999999999998"/>
    <n v="2.5556999999999999"/>
    <n v="0"/>
    <n v="0"/>
    <n v="0"/>
    <n v="0"/>
    <m/>
    <n v="0"/>
    <n v="36.1449"/>
    <n v="0"/>
    <n v="0"/>
  </r>
  <r>
    <x v="2"/>
    <n v="2024"/>
    <x v="0"/>
    <s v="GD"/>
    <x v="0"/>
    <s v="URT_GD: General Distribution"/>
    <n v="1"/>
    <m/>
    <m/>
    <x v="3"/>
    <m/>
    <s v="Atsimo Antsinana"/>
    <s v="Vangaindrano"/>
    <m/>
    <s v="Marokibo"/>
    <m/>
    <m/>
    <m/>
    <n v="4267"/>
    <n v="853.4"/>
    <s v="IK"/>
    <n v="15"/>
    <n v="25.602"/>
    <n v="0"/>
    <n v="0"/>
    <n v="0"/>
    <n v="3.8403"/>
    <n v="2.2401749999999998"/>
    <n v="0"/>
    <n v="0"/>
    <n v="0"/>
    <n v="0"/>
    <m/>
    <n v="0"/>
    <n v="31.682475"/>
    <n v="0"/>
    <n v="0"/>
  </r>
  <r>
    <x v="2"/>
    <n v="2024"/>
    <x v="0"/>
    <s v="GD"/>
    <x v="0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s v="IK"/>
    <n v="15"/>
    <n v="75.774000000000001"/>
    <n v="0"/>
    <n v="0"/>
    <n v="0"/>
    <n v="11.366099999999999"/>
    <n v="6.6302250000000003"/>
    <n v="0"/>
    <n v="0"/>
    <n v="0"/>
    <n v="0"/>
    <m/>
    <n v="0"/>
    <n v="93.770325"/>
    <n v="0"/>
    <n v="0"/>
  </r>
  <r>
    <x v="2"/>
    <n v="2024"/>
    <x v="0"/>
    <s v="GD"/>
    <x v="0"/>
    <s v="URT_GD: General Distribution"/>
    <n v="1"/>
    <m/>
    <m/>
    <x v="3"/>
    <m/>
    <s v="Atsimo Antsinana"/>
    <s v="Vangaindrano"/>
    <m/>
    <s v="Masianaka"/>
    <m/>
    <m/>
    <m/>
    <n v="19824"/>
    <n v="3964.8"/>
    <s v="IK"/>
    <n v="15"/>
    <n v="118.944"/>
    <n v="0"/>
    <n v="0"/>
    <n v="0"/>
    <n v="17.8416"/>
    <n v="10.4076"/>
    <n v="0"/>
    <n v="0"/>
    <n v="0"/>
    <n v="0"/>
    <m/>
    <n v="0"/>
    <n v="147.19319999999999"/>
    <n v="0"/>
    <n v="0"/>
  </r>
  <r>
    <x v="2"/>
    <n v="2024"/>
    <x v="0"/>
    <s v="GD"/>
    <x v="0"/>
    <s v="URT_GD: General Distribution"/>
    <n v="1"/>
    <m/>
    <m/>
    <x v="3"/>
    <m/>
    <s v="Atsimo Antsinana"/>
    <s v="Vangaindrano"/>
    <m/>
    <s v="Ranomena"/>
    <m/>
    <m/>
    <m/>
    <n v="17521"/>
    <n v="3504.2"/>
    <s v="IK"/>
    <n v="15"/>
    <n v="105.126"/>
    <n v="0"/>
    <n v="0"/>
    <n v="0"/>
    <n v="15.7689"/>
    <n v="9.1985250000000001"/>
    <n v="0"/>
    <n v="0"/>
    <n v="0"/>
    <n v="0"/>
    <m/>
    <n v="0"/>
    <n v="130.093425"/>
    <n v="0"/>
    <n v="0"/>
  </r>
  <r>
    <x v="2"/>
    <n v="2024"/>
    <x v="0"/>
    <s v="GD"/>
    <x v="0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s v="IK"/>
    <n v="15"/>
    <n v="34.488"/>
    <n v="0"/>
    <n v="0"/>
    <n v="0"/>
    <n v="5.1731999999999996"/>
    <n v="3.0177"/>
    <n v="0"/>
    <n v="0"/>
    <n v="0"/>
    <n v="0"/>
    <m/>
    <n v="0"/>
    <n v="42.678899999999999"/>
    <n v="0"/>
    <n v="0"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Ambahita"/>
    <m/>
    <m/>
    <m/>
    <n v="835"/>
    <n v="835"/>
    <s v="IK"/>
    <n v="30"/>
    <m/>
    <n v="0"/>
    <n v="0"/>
    <n v="0"/>
    <n v="0"/>
    <n v="0.501"/>
    <n v="0"/>
    <n v="0"/>
    <n v="5.01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Amborompotsy"/>
    <m/>
    <m/>
    <m/>
    <n v="882"/>
    <n v="882"/>
    <s v="IK"/>
    <n v="30"/>
    <m/>
    <n v="0"/>
    <n v="0"/>
    <n v="0"/>
    <n v="0"/>
    <n v="0.5292"/>
    <n v="0"/>
    <n v="0"/>
    <n v="5.2919999999999998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Ambovombe"/>
    <m/>
    <s v="Andalatanosy"/>
    <m/>
    <m/>
    <m/>
    <n v="1691"/>
    <n v="1691"/>
    <s v="IK"/>
    <n v="30"/>
    <m/>
    <n v="0"/>
    <n v="0"/>
    <n v="0"/>
    <n v="0"/>
    <n v="1.0145999999999999"/>
    <n v="0"/>
    <n v="0"/>
    <n v="10.146000000000001"/>
    <n v="0"/>
    <m/>
    <n v="0"/>
    <n v="0"/>
    <m/>
    <m/>
  </r>
  <r>
    <x v="2"/>
    <n v="2024"/>
    <x v="0"/>
    <s v="Nutrition"/>
    <x v="1"/>
    <s v="URT_PREV:Prevention of acute malnutrition"/>
    <n v="2"/>
    <m/>
    <m/>
    <x v="0"/>
    <s v="Taolagnaro"/>
    <s v="Anosy"/>
    <s v="Taolagnaro"/>
    <m/>
    <s v="Andranobory"/>
    <m/>
    <m/>
    <m/>
    <n v="364"/>
    <n v="364"/>
    <s v="IK"/>
    <n v="30"/>
    <m/>
    <n v="0"/>
    <n v="0"/>
    <n v="0"/>
    <n v="0"/>
    <n v="0.21840000000000001"/>
    <n v="0"/>
    <n v="0"/>
    <n v="2.1840000000000002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ipano"/>
    <m/>
    <m/>
    <m/>
    <n v="578"/>
    <n v="578"/>
    <s v="IK"/>
    <n v="30"/>
    <m/>
    <n v="0"/>
    <n v="0"/>
    <n v="0"/>
    <n v="0"/>
    <n v="0.3468"/>
    <n v="0"/>
    <n v="0"/>
    <n v="3.468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Androka"/>
    <m/>
    <m/>
    <m/>
    <n v="1750"/>
    <n v="1750"/>
    <s v="IK"/>
    <n v="30"/>
    <m/>
    <n v="0"/>
    <n v="0"/>
    <n v="0"/>
    <n v="0"/>
    <n v="1.05"/>
    <n v="0"/>
    <n v="0"/>
    <n v="10.5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Vatovavy"/>
    <s v="Nosy Varika"/>
    <m/>
    <s v="Ambahy"/>
    <m/>
    <m/>
    <m/>
    <n v="187"/>
    <n v="187"/>
    <s v="IK"/>
    <n v="30"/>
    <n v="0"/>
    <n v="0"/>
    <n v="0"/>
    <n v="0"/>
    <n v="0"/>
    <n v="0.11219999999999999"/>
    <n v="0"/>
    <n v="0"/>
    <n v="1.1220000000000001"/>
    <n v="0"/>
    <n v="0"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Anivorano Mitsinjo"/>
    <m/>
    <m/>
    <m/>
    <n v="340"/>
    <n v="340"/>
    <s v="IK"/>
    <n v="30"/>
    <m/>
    <n v="0"/>
    <n v="0"/>
    <n v="0"/>
    <n v="0"/>
    <n v="0.20399999999999999"/>
    <n v="0"/>
    <n v="0"/>
    <n v="2.04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Vatovavy"/>
    <s v="Nosy Varika"/>
    <m/>
    <s v="Ambodirian'I Sahafary"/>
    <m/>
    <m/>
    <m/>
    <n v="911"/>
    <n v="911"/>
    <s v="IK"/>
    <n v="30"/>
    <n v="0"/>
    <n v="0"/>
    <n v="0"/>
    <n v="0"/>
    <n v="0"/>
    <n v="0.54659999999999997"/>
    <n v="0"/>
    <n v="0"/>
    <n v="5.4660000000000002"/>
    <n v="0"/>
    <n v="0"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Anja Nord"/>
    <m/>
    <m/>
    <m/>
    <n v="189"/>
    <n v="189"/>
    <s v="IK"/>
    <n v="30"/>
    <m/>
    <n v="0"/>
    <n v="0"/>
    <n v="0"/>
    <n v="0"/>
    <n v="0.1134"/>
    <n v="0"/>
    <n v="0"/>
    <n v="1.1339999999999999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Ambovombe"/>
    <m/>
    <s v="Ampamata"/>
    <m/>
    <m/>
    <m/>
    <n v="508"/>
    <n v="508"/>
    <s v="IK"/>
    <n v="30"/>
    <m/>
    <n v="0"/>
    <n v="0"/>
    <n v="0"/>
    <n v="0"/>
    <n v="0.30480000000000002"/>
    <n v="0"/>
    <n v="0"/>
    <n v="3.048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s v="IK"/>
    <n v="30"/>
    <m/>
    <n v="0"/>
    <n v="0"/>
    <n v="0"/>
    <n v="0"/>
    <n v="0.56640000000000001"/>
    <n v="0"/>
    <n v="0"/>
    <n v="5.6639999999999997"/>
    <n v="0"/>
    <m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Ankazombalala"/>
    <m/>
    <m/>
    <m/>
    <n v="600"/>
    <n v="600"/>
    <s v="IK"/>
    <n v="30"/>
    <m/>
    <n v="0"/>
    <n v="0"/>
    <n v="0"/>
    <n v="0"/>
    <n v="0.36"/>
    <n v="0"/>
    <n v="0"/>
    <n v="3.6"/>
    <n v="0"/>
    <m/>
    <n v="0"/>
    <n v="0"/>
    <m/>
    <m/>
  </r>
  <r>
    <x v="2"/>
    <n v="2024"/>
    <x v="0"/>
    <s v="Nutrition"/>
    <x v="1"/>
    <s v="URT_PREV:Prevention of acute malnutrition"/>
    <n v="2"/>
    <m/>
    <m/>
    <x v="1"/>
    <s v="Tuléar"/>
    <s v="Atsimo Andrefana"/>
    <s v="Ampanihy Ouest"/>
    <m/>
    <s v="Ankiliabo"/>
    <m/>
    <m/>
    <m/>
    <n v="905"/>
    <n v="905"/>
    <s v="IK"/>
    <n v="30"/>
    <m/>
    <n v="0"/>
    <n v="0"/>
    <n v="0"/>
    <n v="0"/>
    <n v="0.54300000000000004"/>
    <n v="0"/>
    <n v="0"/>
    <n v="5.43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Antsakoamaro"/>
    <m/>
    <m/>
    <m/>
    <n v="310"/>
    <n v="310"/>
    <s v="IK"/>
    <n v="30"/>
    <m/>
    <n v="0"/>
    <n v="0"/>
    <n v="0"/>
    <n v="0"/>
    <n v="0.186"/>
    <n v="0"/>
    <n v="0"/>
    <n v="1.86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Belafike haut"/>
    <m/>
    <m/>
    <m/>
    <n v="510"/>
    <n v="510"/>
    <s v="IK"/>
    <n v="30"/>
    <m/>
    <n v="0"/>
    <n v="0"/>
    <n v="0"/>
    <n v="0"/>
    <n v="0.30599999999999999"/>
    <n v="0"/>
    <n v="0"/>
    <n v="3.06"/>
    <n v="0"/>
    <m/>
    <n v="0"/>
    <n v="0"/>
    <m/>
    <m/>
  </r>
  <r>
    <x v="2"/>
    <n v="2024"/>
    <x v="0"/>
    <s v="Nutrition"/>
    <x v="1"/>
    <s v="URT_PREV:Prevention of acute malnutrition"/>
    <n v="2"/>
    <m/>
    <m/>
    <x v="3"/>
    <m/>
    <s v="Atsimo Antsinana"/>
    <s v="Vondrozo"/>
    <m/>
    <s v="Anandravy"/>
    <m/>
    <m/>
    <m/>
    <n v="240"/>
    <n v="240"/>
    <s v="IK"/>
    <n v="30"/>
    <m/>
    <n v="0"/>
    <n v="0"/>
    <n v="0"/>
    <n v="0"/>
    <n v="0.14399999999999999"/>
    <n v="0"/>
    <n v="0"/>
    <n v="1.44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Belindo Mahasoa"/>
    <m/>
    <m/>
    <m/>
    <n v="750"/>
    <n v="750"/>
    <s v="IK"/>
    <n v="30"/>
    <m/>
    <n v="0"/>
    <n v="0"/>
    <n v="0"/>
    <n v="0"/>
    <n v="0.45"/>
    <n v="0"/>
    <n v="0"/>
    <n v="4.5"/>
    <n v="0"/>
    <m/>
    <n v="0"/>
    <n v="0"/>
    <m/>
    <m/>
  </r>
  <r>
    <x v="2"/>
    <n v="2024"/>
    <x v="0"/>
    <s v="Nutrition"/>
    <x v="1"/>
    <s v="URT_PREV:Prevention of acute malnutrition"/>
    <n v="2"/>
    <m/>
    <m/>
    <x v="3"/>
    <m/>
    <s v="Atsimo Antsinana"/>
    <s v="Midongy Atsimo"/>
    <m/>
    <s v="Andranolalina"/>
    <m/>
    <m/>
    <m/>
    <n v="367"/>
    <n v="367"/>
    <s v="IK"/>
    <n v="30"/>
    <n v="0"/>
    <n v="0"/>
    <n v="0"/>
    <n v="0"/>
    <n v="0"/>
    <n v="0.22020000000000001"/>
    <n v="0"/>
    <n v="0"/>
    <n v="2.202"/>
    <n v="0"/>
    <n v="0"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Ankazomanga Ouest"/>
    <m/>
    <m/>
    <m/>
    <n v="181"/>
    <n v="181"/>
    <s v="IK"/>
    <n v="30"/>
    <n v="0"/>
    <n v="0"/>
    <n v="0"/>
    <n v="0"/>
    <n v="0"/>
    <n v="0.1086"/>
    <n v="0"/>
    <n v="0"/>
    <n v="1.0860000000000001"/>
    <n v="0"/>
    <n v="0"/>
    <n v="0"/>
    <n v="0"/>
    <m/>
    <m/>
  </r>
  <r>
    <x v="2"/>
    <n v="2024"/>
    <x v="0"/>
    <s v="Nutrition"/>
    <x v="1"/>
    <s v="URT_PREV:Prevention of acute malnutrition"/>
    <n v="1"/>
    <m/>
    <m/>
    <x v="2"/>
    <s v="Tuléar"/>
    <s v="Atsimo Andrefana"/>
    <s v="Betioky"/>
    <m/>
    <s v="Beora"/>
    <m/>
    <m/>
    <m/>
    <n v="50"/>
    <n v="50"/>
    <s v="IK"/>
    <n v="30"/>
    <m/>
    <n v="0"/>
    <n v="0"/>
    <n v="0"/>
    <n v="0"/>
    <n v="0.03"/>
    <n v="0"/>
    <n v="0"/>
    <n v="0.3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Bevitiky"/>
    <m/>
    <m/>
    <m/>
    <n v="317"/>
    <n v="317"/>
    <s v="IK"/>
    <n v="30"/>
    <m/>
    <n v="0"/>
    <n v="0"/>
    <n v="0"/>
    <n v="0"/>
    <n v="0.19020000000000001"/>
    <n v="0"/>
    <n v="0"/>
    <n v="1.9019999999999999"/>
    <n v="0"/>
    <m/>
    <n v="0"/>
    <n v="0"/>
    <m/>
    <m/>
  </r>
  <r>
    <x v="2"/>
    <n v="2024"/>
    <x v="0"/>
    <s v="Nutrition"/>
    <x v="1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s v="IK"/>
    <n v="30"/>
    <m/>
    <n v="0"/>
    <n v="0"/>
    <n v="0"/>
    <n v="0"/>
    <n v="0.40620000000000001"/>
    <n v="0"/>
    <n v="0"/>
    <n v="4.0620000000000003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Gogogogo"/>
    <m/>
    <m/>
    <m/>
    <n v="948"/>
    <n v="948"/>
    <s v="IK"/>
    <n v="30"/>
    <m/>
    <n v="0"/>
    <n v="0"/>
    <n v="0"/>
    <n v="0"/>
    <n v="0.56879999999999997"/>
    <n v="0"/>
    <n v="0"/>
    <n v="5.6879999999999997"/>
    <n v="0"/>
    <m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Lazarivo"/>
    <m/>
    <m/>
    <m/>
    <n v="545"/>
    <n v="545"/>
    <s v="IK"/>
    <n v="30"/>
    <m/>
    <n v="0"/>
    <n v="0"/>
    <n v="0"/>
    <n v="0"/>
    <n v="0.32700000000000001"/>
    <n v="0"/>
    <n v="0"/>
    <n v="3.27"/>
    <n v="0"/>
    <m/>
    <n v="0"/>
    <n v="0"/>
    <m/>
    <m/>
  </r>
  <r>
    <x v="2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s v="IK"/>
    <n v="30"/>
    <m/>
    <n v="0"/>
    <n v="0"/>
    <n v="0"/>
    <n v="0"/>
    <n v="0.17280000000000001"/>
    <n v="0"/>
    <n v="0"/>
    <n v="1.728"/>
    <n v="0"/>
    <m/>
    <n v="0"/>
    <n v="0"/>
    <m/>
    <m/>
  </r>
  <r>
    <x v="2"/>
    <n v="2024"/>
    <x v="0"/>
    <s v="Nutrition"/>
    <x v="1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s v="IK"/>
    <n v="30"/>
    <m/>
    <n v="0"/>
    <n v="0"/>
    <n v="0"/>
    <n v="0"/>
    <n v="0.62219999999999998"/>
    <n v="0"/>
    <n v="0"/>
    <n v="6.2220000000000004"/>
    <n v="0"/>
    <m/>
    <n v="0"/>
    <n v="0"/>
    <m/>
    <m/>
  </r>
  <r>
    <x v="2"/>
    <n v="2024"/>
    <x v="0"/>
    <s v="Nutrition"/>
    <x v="1"/>
    <s v="URT_PREV:Prevention of acute malnutrition"/>
    <n v="2"/>
    <m/>
    <m/>
    <x v="3"/>
    <m/>
    <s v="Atsimo Antsinana"/>
    <s v="Vondrozo"/>
    <m/>
    <s v="Mahatsinjo"/>
    <m/>
    <m/>
    <m/>
    <n v="384"/>
    <n v="384"/>
    <s v="IK"/>
    <n v="30"/>
    <m/>
    <n v="0"/>
    <n v="0"/>
    <n v="0"/>
    <n v="0"/>
    <n v="0.23039999999999999"/>
    <n v="0"/>
    <n v="0"/>
    <n v="2.3039999999999998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Manakompy"/>
    <m/>
    <m/>
    <m/>
    <n v="338"/>
    <n v="338"/>
    <s v="IK"/>
    <n v="30"/>
    <m/>
    <n v="0"/>
    <n v="0"/>
    <n v="0"/>
    <n v="0"/>
    <n v="0.20280000000000001"/>
    <n v="0"/>
    <n v="0"/>
    <n v="2.028"/>
    <n v="0"/>
    <m/>
    <n v="0"/>
    <n v="0"/>
    <m/>
    <m/>
  </r>
  <r>
    <x v="2"/>
    <n v="2024"/>
    <x v="0"/>
    <s v="Nutrition"/>
    <x v="1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s v="IK"/>
    <n v="30"/>
    <m/>
    <n v="0"/>
    <n v="0"/>
    <n v="0"/>
    <n v="0"/>
    <n v="0.4572"/>
    <n v="0"/>
    <n v="0"/>
    <n v="4.5720000000000001"/>
    <n v="0"/>
    <m/>
    <n v="0"/>
    <n v="0"/>
    <m/>
    <m/>
  </r>
  <r>
    <x v="2"/>
    <n v="2024"/>
    <x v="0"/>
    <s v="Nutrition"/>
    <x v="1"/>
    <s v="URT_PREV:Prevention of acute malnutrition"/>
    <n v="1"/>
    <m/>
    <m/>
    <x v="2"/>
    <s v="Tuléar"/>
    <s v="Atsimo Andrefana"/>
    <s v="Betioky"/>
    <m/>
    <s v="Marosavoa"/>
    <m/>
    <m/>
    <m/>
    <n v="188"/>
    <n v="188"/>
    <s v="IK"/>
    <n v="30"/>
    <m/>
    <n v="0"/>
    <n v="0"/>
    <n v="0"/>
    <n v="0"/>
    <n v="0.1128"/>
    <n v="0"/>
    <n v="0"/>
    <n v="1.1279999999999999"/>
    <n v="0"/>
    <m/>
    <n v="0"/>
    <n v="0"/>
    <m/>
    <m/>
  </r>
  <r>
    <x v="2"/>
    <n v="2024"/>
    <x v="0"/>
    <s v="Nutrition"/>
    <x v="1"/>
    <s v="URT_PREV:Prevention of acute malnutrition"/>
    <n v="1"/>
    <m/>
    <m/>
    <x v="1"/>
    <s v="Tuléar"/>
    <s v="Atsimo Andrefana"/>
    <s v="Ampanihy Ouest"/>
    <m/>
    <s v="Ankilizato"/>
    <m/>
    <m/>
    <m/>
    <n v="397"/>
    <n v="397"/>
    <s v="IK"/>
    <n v="30"/>
    <m/>
    <n v="0"/>
    <n v="0"/>
    <n v="0"/>
    <n v="0"/>
    <n v="0.2382"/>
    <n v="0"/>
    <n v="0"/>
    <n v="2.3820000000000001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Maroviro"/>
    <m/>
    <m/>
    <m/>
    <n v="621"/>
    <n v="621"/>
    <s v="IK"/>
    <n v="30"/>
    <m/>
    <n v="0"/>
    <n v="0"/>
    <n v="0"/>
    <n v="0"/>
    <n v="0.37259999999999999"/>
    <n v="0"/>
    <n v="0"/>
    <n v="3.726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s v="IK"/>
    <n v="30"/>
    <n v="0"/>
    <n v="0"/>
    <n v="0"/>
    <n v="0"/>
    <n v="0"/>
    <n v="0.79200000000000004"/>
    <n v="0"/>
    <n v="0"/>
    <n v="7.92"/>
    <n v="0"/>
    <n v="0"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Vangaindrano"/>
    <m/>
    <s v="Matanga"/>
    <m/>
    <m/>
    <m/>
    <n v="687"/>
    <n v="687"/>
    <s v="IK"/>
    <n v="30"/>
    <m/>
    <n v="0"/>
    <n v="0"/>
    <n v="0"/>
    <n v="0"/>
    <n v="0.41220000000000001"/>
    <n v="0"/>
    <n v="0"/>
    <n v="4.1219999999999999"/>
    <n v="0"/>
    <m/>
    <n v="0"/>
    <n v="0"/>
    <m/>
    <m/>
  </r>
  <r>
    <x v="2"/>
    <n v="2024"/>
    <x v="0"/>
    <s v="Nutrition"/>
    <x v="1"/>
    <s v="URT_PREV:Prevention of acute malnutrition"/>
    <n v="2"/>
    <m/>
    <m/>
    <x v="3"/>
    <m/>
    <s v="Atsimo Antsinana"/>
    <s v="Befotaka"/>
    <m/>
    <s v="Antondabe"/>
    <m/>
    <m/>
    <m/>
    <n v="259"/>
    <n v="259"/>
    <s v="IK"/>
    <n v="30"/>
    <m/>
    <n v="0"/>
    <n v="0"/>
    <n v="0"/>
    <n v="0"/>
    <n v="0.15540000000000001"/>
    <n v="0"/>
    <n v="0"/>
    <n v="1.554"/>
    <n v="0"/>
    <m/>
    <n v="0"/>
    <n v="0"/>
    <m/>
    <m/>
  </r>
  <r>
    <x v="2"/>
    <n v="2024"/>
    <x v="0"/>
    <s v="Nutrition"/>
    <x v="1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s v="IK"/>
    <n v="30"/>
    <m/>
    <n v="0"/>
    <n v="0"/>
    <n v="0"/>
    <n v="0"/>
    <n v="0.25380000000000003"/>
    <n v="0"/>
    <n v="0"/>
    <n v="2.5379999999999998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Befotaka"/>
    <m/>
    <s v="Befotaka Sud"/>
    <m/>
    <m/>
    <m/>
    <n v="513"/>
    <n v="513"/>
    <s v="IK"/>
    <n v="30"/>
    <n v="0"/>
    <n v="0"/>
    <n v="0"/>
    <n v="0"/>
    <n v="0"/>
    <n v="0.30780000000000002"/>
    <n v="0"/>
    <n v="0"/>
    <n v="3.0779999999999998"/>
    <n v="0"/>
    <n v="0"/>
    <n v="0"/>
    <n v="0"/>
    <m/>
    <m/>
  </r>
  <r>
    <x v="2"/>
    <n v="2024"/>
    <x v="0"/>
    <s v="Nutrition"/>
    <x v="1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s v="IK"/>
    <n v="30"/>
    <m/>
    <n v="0"/>
    <n v="0"/>
    <n v="0"/>
    <n v="0"/>
    <n v="0.33119999999999999"/>
    <n v="0"/>
    <n v="0"/>
    <n v="3.3119999999999998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Vatovavy"/>
    <s v="Nosy Varika"/>
    <m/>
    <s v="Fanivelona"/>
    <m/>
    <m/>
    <m/>
    <n v="512"/>
    <n v="512"/>
    <s v="IK"/>
    <n v="30"/>
    <n v="0"/>
    <n v="0"/>
    <n v="0"/>
    <n v="0"/>
    <n v="0"/>
    <n v="0.30719999999999997"/>
    <n v="0"/>
    <n v="0"/>
    <n v="3.0720000000000001"/>
    <n v="0"/>
    <n v="0"/>
    <n v="0"/>
    <n v="0"/>
    <m/>
    <m/>
  </r>
  <r>
    <x v="2"/>
    <n v="2024"/>
    <x v="0"/>
    <s v="Nutrition"/>
    <x v="1"/>
    <s v="URT_PREV:Prevention of acute malnutrition"/>
    <n v="1"/>
    <m/>
    <m/>
    <x v="3"/>
    <m/>
    <s v="Vatovavy"/>
    <s v="Nosy Varika"/>
    <m/>
    <s v="Fiadanana"/>
    <m/>
    <m/>
    <m/>
    <n v="640"/>
    <n v="640"/>
    <s v="IK"/>
    <n v="30"/>
    <n v="0"/>
    <n v="0"/>
    <n v="0"/>
    <n v="0"/>
    <n v="0"/>
    <n v="0.38400000000000001"/>
    <n v="0"/>
    <n v="0"/>
    <n v="3.84"/>
    <n v="0"/>
    <n v="0"/>
    <n v="0"/>
    <n v="0"/>
    <m/>
    <m/>
  </r>
  <r>
    <x v="2"/>
    <n v="2024"/>
    <x v="0"/>
    <s v="Nutrition"/>
    <x v="1"/>
    <s v="URT_PREV:Prevention of acute malnutrition"/>
    <n v="2"/>
    <m/>
    <m/>
    <x v="3"/>
    <m/>
    <s v="Atsimo Antsinana"/>
    <s v="Midongy Atsimo"/>
    <m/>
    <s v="Ivondro"/>
    <m/>
    <m/>
    <m/>
    <n v="374"/>
    <n v="374"/>
    <s v="IK"/>
    <n v="30"/>
    <n v="0"/>
    <n v="0"/>
    <n v="0"/>
    <n v="0"/>
    <n v="0"/>
    <n v="0.22439999999999999"/>
    <n v="0"/>
    <n v="0"/>
    <n v="2.2440000000000002"/>
    <n v="0"/>
    <n v="0"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Ambovombe"/>
    <m/>
    <s v="Jafaro"/>
    <m/>
    <m/>
    <m/>
    <n v="1334"/>
    <n v="1334"/>
    <s v="IK"/>
    <n v="30"/>
    <m/>
    <n v="0"/>
    <n v="0"/>
    <n v="0"/>
    <n v="0"/>
    <n v="0.8004"/>
    <n v="0"/>
    <n v="0"/>
    <n v="8.0039999999999996"/>
    <n v="0"/>
    <m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Tongobory"/>
    <m/>
    <m/>
    <m/>
    <n v="436"/>
    <n v="436"/>
    <s v="IK"/>
    <n v="30"/>
    <m/>
    <n v="0"/>
    <n v="0"/>
    <n v="0"/>
    <n v="0"/>
    <n v="0.2616"/>
    <n v="0"/>
    <n v="0"/>
    <n v="2.6160000000000001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Vangaindrano"/>
    <m/>
    <s v="Manambondro"/>
    <m/>
    <m/>
    <m/>
    <n v="243"/>
    <n v="243"/>
    <s v="IK"/>
    <n v="30"/>
    <m/>
    <n v="0"/>
    <n v="0"/>
    <n v="0"/>
    <n v="0"/>
    <n v="0.14580000000000001"/>
    <n v="0"/>
    <n v="0"/>
    <n v="1.458"/>
    <n v="0"/>
    <m/>
    <n v="0"/>
    <n v="0"/>
    <m/>
    <m/>
  </r>
  <r>
    <x v="2"/>
    <n v="2024"/>
    <x v="0"/>
    <s v="Nutrition"/>
    <x v="1"/>
    <s v="URT_PREV:Prevention of acute malnutrition"/>
    <n v="1"/>
    <m/>
    <m/>
    <x v="2"/>
    <s v="Tuléar"/>
    <s v="Atsimo Andrefana"/>
    <s v="Betioky"/>
    <m/>
    <s v="Maroarivo Ankazomanga"/>
    <m/>
    <m/>
    <m/>
    <n v="323"/>
    <n v="323"/>
    <s v="IK"/>
    <n v="30"/>
    <n v="0"/>
    <n v="0"/>
    <n v="0"/>
    <n v="0"/>
    <n v="0"/>
    <n v="0.1938"/>
    <n v="0"/>
    <n v="0"/>
    <n v="1.9379999999999999"/>
    <n v="0"/>
    <n v="0"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Vangaindrano"/>
    <m/>
    <s v="Marokibo"/>
    <m/>
    <m/>
    <m/>
    <n v="213"/>
    <n v="213"/>
    <s v="IK"/>
    <n v="30"/>
    <m/>
    <n v="0"/>
    <n v="0"/>
    <n v="0"/>
    <n v="0"/>
    <n v="0.1278"/>
    <n v="0"/>
    <n v="0"/>
    <n v="1.278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loha"/>
    <m/>
    <s v="Tranovaho"/>
    <m/>
    <m/>
    <m/>
    <n v="631"/>
    <n v="631"/>
    <s v="IK"/>
    <n v="30"/>
    <m/>
    <n v="0"/>
    <n v="0"/>
    <n v="0"/>
    <n v="0"/>
    <n v="0.37859999999999999"/>
    <n v="0"/>
    <n v="0"/>
    <n v="3.786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Vangaindrano"/>
    <m/>
    <s v="Masianaka"/>
    <m/>
    <m/>
    <m/>
    <n v="991"/>
    <n v="991"/>
    <s v="IK"/>
    <n v="30"/>
    <m/>
    <n v="0"/>
    <n v="0"/>
    <n v="0"/>
    <n v="0"/>
    <n v="0.59460000000000002"/>
    <n v="0"/>
    <n v="0"/>
    <n v="5.9459999999999997"/>
    <n v="0"/>
    <m/>
    <n v="0"/>
    <n v="0"/>
    <m/>
    <m/>
  </r>
  <r>
    <x v="2"/>
    <n v="2024"/>
    <x v="0"/>
    <s v="Nutrition"/>
    <x v="1"/>
    <s v="URT_PREV:Prevention of acute malnutrition"/>
    <n v="1"/>
    <m/>
    <m/>
    <x v="3"/>
    <m/>
    <s v="Atsimo Antsinana"/>
    <s v="Vangaindrano"/>
    <m/>
    <s v="Ranomena"/>
    <m/>
    <m/>
    <m/>
    <n v="876"/>
    <n v="876"/>
    <s v="IK"/>
    <n v="30"/>
    <m/>
    <n v="0"/>
    <n v="0"/>
    <n v="0"/>
    <n v="0"/>
    <n v="0.52559999999999996"/>
    <n v="0"/>
    <n v="0"/>
    <n v="5.2560000000000002"/>
    <n v="0"/>
    <m/>
    <n v="0"/>
    <n v="0"/>
    <m/>
    <m/>
  </r>
  <r>
    <x v="2"/>
    <n v="2024"/>
    <x v="0"/>
    <s v="Nutrition"/>
    <x v="1"/>
    <s v="URT_PREV:Prevention of acute malnutrition"/>
    <n v="1"/>
    <m/>
    <m/>
    <x v="0"/>
    <s v="Taolagnaro"/>
    <s v="Androy"/>
    <s v="Bekily"/>
    <m/>
    <s v="Tsikolaky"/>
    <m/>
    <m/>
    <m/>
    <n v="287"/>
    <n v="287"/>
    <s v="IK"/>
    <n v="30"/>
    <m/>
    <n v="0"/>
    <n v="0"/>
    <n v="0"/>
    <n v="0"/>
    <n v="0.17219999999999999"/>
    <n v="0"/>
    <n v="0"/>
    <n v="1.722"/>
    <n v="0"/>
    <m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Salobe"/>
    <m/>
    <m/>
    <m/>
    <n v="222"/>
    <n v="222"/>
    <s v="IK"/>
    <n v="30"/>
    <n v="0"/>
    <n v="0"/>
    <n v="0"/>
    <n v="0"/>
    <n v="0"/>
    <n v="0.13320000000000001"/>
    <n v="0"/>
    <n v="0"/>
    <n v="1.3320000000000001"/>
    <n v="0"/>
    <n v="0"/>
    <n v="0"/>
    <n v="0"/>
    <m/>
    <m/>
  </r>
  <r>
    <x v="2"/>
    <n v="2024"/>
    <x v="0"/>
    <s v="Nutrition"/>
    <x v="1"/>
    <s v="URT_PREV:Prevention of acute malnutrition"/>
    <n v="2"/>
    <m/>
    <m/>
    <x v="2"/>
    <s v="Tuléar"/>
    <s v="Atsimo Andrefana"/>
    <s v="Betioky"/>
    <m/>
    <s v="Tanambao Haut"/>
    <m/>
    <m/>
    <m/>
    <n v="288"/>
    <n v="288"/>
    <s v="IK"/>
    <n v="30"/>
    <n v="0"/>
    <n v="0"/>
    <n v="0"/>
    <n v="0"/>
    <n v="0"/>
    <n v="0.17280000000000001"/>
    <n v="0"/>
    <n v="0"/>
    <n v="1.728"/>
    <n v="0"/>
    <n v="0"/>
    <n v="0"/>
    <n v="0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BORY NORD"/>
    <m/>
    <m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ANINDRATO"/>
    <m/>
    <m/>
    <n v="350"/>
    <m/>
    <s v="IK"/>
    <n v="30"/>
    <m/>
    <m/>
    <m/>
    <m/>
    <m/>
    <n v="0.21"/>
    <m/>
    <m/>
    <n v="2.1"/>
    <m/>
    <m/>
    <m/>
    <n v="2.3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TELO II"/>
    <m/>
    <m/>
    <n v="270"/>
    <m/>
    <s v="IK"/>
    <n v="30"/>
    <m/>
    <m/>
    <m/>
    <m/>
    <m/>
    <n v="0.16200000000000001"/>
    <m/>
    <m/>
    <n v="1.62"/>
    <m/>
    <m/>
    <m/>
    <n v="1.78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JABELITSAKY"/>
    <m/>
    <m/>
    <n v="339"/>
    <m/>
    <s v="IK"/>
    <n v="30"/>
    <m/>
    <m/>
    <m/>
    <m/>
    <m/>
    <n v="0.2034"/>
    <m/>
    <m/>
    <n v="2.0339999999999998"/>
    <m/>
    <m/>
    <m/>
    <n v="2.2373999999999996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SELY NORD"/>
    <m/>
    <m/>
    <n v="619"/>
    <m/>
    <s v="IK"/>
    <n v="30"/>
    <m/>
    <m/>
    <m/>
    <m/>
    <m/>
    <n v="0.37140000000000001"/>
    <m/>
    <m/>
    <n v="3.714"/>
    <m/>
    <m/>
    <m/>
    <n v="4.0853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FOLOTSE"/>
    <m/>
    <m/>
    <n v="271"/>
    <m/>
    <s v="IK"/>
    <n v="30"/>
    <m/>
    <m/>
    <m/>
    <m/>
    <m/>
    <n v="0.16259999999999999"/>
    <m/>
    <m/>
    <n v="1.6259999999999999"/>
    <m/>
    <m/>
    <m/>
    <n v="1.7886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TIKITIKY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ROJA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MPITANAKE"/>
    <m/>
    <m/>
    <n v="297"/>
    <m/>
    <s v="IK"/>
    <n v="30"/>
    <m/>
    <m/>
    <m/>
    <m/>
    <m/>
    <n v="0.1782"/>
    <m/>
    <m/>
    <n v="1.782"/>
    <m/>
    <m/>
    <m/>
    <n v="1.9601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ONGAENO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ROLINTA"/>
    <m/>
    <m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ITAMPOLO II"/>
    <m/>
    <m/>
    <n v="459"/>
    <m/>
    <s v="IK"/>
    <n v="30"/>
    <m/>
    <m/>
    <m/>
    <m/>
    <m/>
    <n v="0.27539999999999998"/>
    <m/>
    <m/>
    <n v="2.754"/>
    <m/>
    <m/>
    <m/>
    <n v="3.0293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MBE"/>
    <m/>
    <m/>
    <n v="243"/>
    <m/>
    <s v="IK"/>
    <n v="30"/>
    <m/>
    <m/>
    <m/>
    <m/>
    <m/>
    <n v="0.14580000000000001"/>
    <m/>
    <m/>
    <n v="1.458"/>
    <m/>
    <m/>
    <m/>
    <n v="1.6037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/RIONA NORD"/>
    <m/>
    <m/>
    <n v="425"/>
    <m/>
    <s v="IK"/>
    <n v="30"/>
    <m/>
    <m/>
    <m/>
    <m/>
    <m/>
    <n v="0.255"/>
    <m/>
    <m/>
    <n v="2.5499999999999998"/>
    <m/>
    <m/>
    <m/>
    <n v="2.8049999999999997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DRANOVAO"/>
    <m/>
    <m/>
    <n v="220"/>
    <m/>
    <s v="IK"/>
    <n v="30"/>
    <m/>
    <m/>
    <m/>
    <m/>
    <m/>
    <n v="0.13200000000000001"/>
    <m/>
    <m/>
    <n v="1.32"/>
    <m/>
    <m/>
    <m/>
    <n v="1.45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/MASINTSOA"/>
    <m/>
    <m/>
    <n v="251"/>
    <m/>
    <s v="IK"/>
    <n v="30"/>
    <m/>
    <m/>
    <m/>
    <m/>
    <m/>
    <n v="0.15060000000000001"/>
    <m/>
    <m/>
    <n v="1.506"/>
    <m/>
    <m/>
    <m/>
    <n v="1.6566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LANGERIAKY"/>
    <m/>
    <m/>
    <n v="239"/>
    <m/>
    <s v="IK"/>
    <n v="30"/>
    <m/>
    <m/>
    <m/>
    <m/>
    <m/>
    <n v="0.1434"/>
    <m/>
    <m/>
    <n v="1.4339999999999999"/>
    <m/>
    <m/>
    <m/>
    <n v="1.5773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NDROIPANO"/>
    <m/>
    <m/>
    <n v="661"/>
    <m/>
    <s v="IK"/>
    <n v="30"/>
    <m/>
    <m/>
    <m/>
    <m/>
    <m/>
    <n v="0.39660000000000001"/>
    <m/>
    <m/>
    <n v="3.9660000000000002"/>
    <m/>
    <m/>
    <m/>
    <n v="4.3626000000000005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BESELY SUD"/>
    <m/>
    <m/>
    <n v="582"/>
    <m/>
    <s v="IK"/>
    <n v="30"/>
    <m/>
    <m/>
    <m/>
    <m/>
    <m/>
    <n v="0.34920000000000001"/>
    <m/>
    <m/>
    <n v="3.492"/>
    <m/>
    <m/>
    <m/>
    <n v="3.841200000000000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TSIANDRIONA SUD"/>
    <m/>
    <m/>
    <n v="562"/>
    <m/>
    <s v="IK"/>
    <n v="30"/>
    <m/>
    <m/>
    <m/>
    <m/>
    <m/>
    <n v="0.3372"/>
    <m/>
    <m/>
    <n v="3.3719999999999999"/>
    <m/>
    <m/>
    <m/>
    <n v="3.7092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ALATSIMIVIKY"/>
    <m/>
    <m/>
    <n v="1411"/>
    <m/>
    <s v="IK"/>
    <n v="30"/>
    <m/>
    <m/>
    <m/>
    <m/>
    <m/>
    <n v="0.84660000000000002"/>
    <m/>
    <m/>
    <n v="8.4659999999999993"/>
    <m/>
    <m/>
    <m/>
    <n v="9.3125999999999998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OLOSOGNO"/>
    <m/>
    <m/>
    <n v="228"/>
    <m/>
    <s v="IK"/>
    <n v="30"/>
    <m/>
    <m/>
    <m/>
    <m/>
    <m/>
    <n v="0.1368"/>
    <m/>
    <m/>
    <n v="1.3680000000000001"/>
    <m/>
    <m/>
    <m/>
    <n v="1.5048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BORY NORD"/>
    <n v="69"/>
    <n v="54"/>
    <n v="123"/>
    <m/>
    <s v="IK"/>
    <n v="30"/>
    <m/>
    <m/>
    <m/>
    <m/>
    <m/>
    <m/>
    <m/>
    <m/>
    <m/>
    <m/>
    <n v="0.1845"/>
    <m/>
    <n v="0.1845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ANINDRATO"/>
    <n v="84"/>
    <n v="40"/>
    <n v="124"/>
    <m/>
    <s v="IK"/>
    <n v="30"/>
    <m/>
    <m/>
    <m/>
    <m/>
    <m/>
    <m/>
    <m/>
    <m/>
    <m/>
    <m/>
    <n v="0.186"/>
    <m/>
    <n v="0.186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TELO II"/>
    <n v="103"/>
    <n v="115"/>
    <n v="218"/>
    <m/>
    <s v="IK"/>
    <n v="30"/>
    <m/>
    <m/>
    <m/>
    <m/>
    <m/>
    <m/>
    <m/>
    <m/>
    <m/>
    <m/>
    <n v="0.32700000000000001"/>
    <m/>
    <n v="0.327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JABELITSAKY"/>
    <n v="84"/>
    <n v="29"/>
    <n v="113"/>
    <m/>
    <s v="IK"/>
    <n v="30"/>
    <m/>
    <m/>
    <m/>
    <m/>
    <m/>
    <m/>
    <m/>
    <m/>
    <m/>
    <m/>
    <n v="0.16950000000000001"/>
    <m/>
    <n v="0.1695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SELY NORD"/>
    <n v="84"/>
    <n v="114"/>
    <n v="198"/>
    <m/>
    <s v="IK"/>
    <n v="30"/>
    <m/>
    <m/>
    <m/>
    <m/>
    <m/>
    <m/>
    <m/>
    <m/>
    <m/>
    <m/>
    <n v="0.29699999999999999"/>
    <m/>
    <n v="0.2969999999999999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FOLOTSE"/>
    <n v="82"/>
    <n v="60"/>
    <n v="142"/>
    <m/>
    <s v="IK"/>
    <n v="30"/>
    <m/>
    <m/>
    <m/>
    <m/>
    <m/>
    <m/>
    <m/>
    <m/>
    <m/>
    <m/>
    <n v="0.21299999999999999"/>
    <m/>
    <n v="0.2129999999999999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TIKITIKY"/>
    <n v="24"/>
    <n v="18"/>
    <n v="42"/>
    <m/>
    <s v="IK"/>
    <n v="30"/>
    <m/>
    <m/>
    <m/>
    <m/>
    <m/>
    <m/>
    <m/>
    <m/>
    <m/>
    <m/>
    <n v="6.3E-2"/>
    <m/>
    <n v="6.3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ROJA"/>
    <n v="14"/>
    <n v="7"/>
    <n v="21"/>
    <m/>
    <s v="IK"/>
    <n v="30"/>
    <m/>
    <m/>
    <m/>
    <m/>
    <m/>
    <m/>
    <m/>
    <m/>
    <m/>
    <m/>
    <n v="3.15E-2"/>
    <m/>
    <n v="3.15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MPITANAKE"/>
    <n v="98"/>
    <n v="88"/>
    <n v="186"/>
    <m/>
    <s v="IK"/>
    <n v="30"/>
    <m/>
    <m/>
    <m/>
    <m/>
    <m/>
    <m/>
    <m/>
    <m/>
    <m/>
    <m/>
    <n v="0.27900000000000003"/>
    <m/>
    <n v="0.27900000000000003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ONGAENORO"/>
    <n v="49"/>
    <n v="97"/>
    <n v="146"/>
    <m/>
    <s v="IK"/>
    <n v="30"/>
    <m/>
    <m/>
    <m/>
    <m/>
    <m/>
    <m/>
    <m/>
    <m/>
    <m/>
    <m/>
    <n v="0.219"/>
    <m/>
    <n v="0.21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ROLINTA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ITAMPOLO II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MBE"/>
    <n v="82"/>
    <n v="50"/>
    <n v="132"/>
    <m/>
    <s v="IK"/>
    <n v="30"/>
    <m/>
    <m/>
    <m/>
    <m/>
    <m/>
    <m/>
    <m/>
    <m/>
    <m/>
    <m/>
    <n v="0.19800000000000001"/>
    <m/>
    <n v="0.198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/RIONA NORD"/>
    <n v="87"/>
    <n v="96"/>
    <n v="183"/>
    <m/>
    <s v="IK"/>
    <n v="30"/>
    <m/>
    <m/>
    <m/>
    <m/>
    <m/>
    <m/>
    <m/>
    <m/>
    <m/>
    <m/>
    <n v="0.27450000000000002"/>
    <m/>
    <n v="0.2745000000000000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DRANOVAO"/>
    <n v="68"/>
    <n v="60"/>
    <n v="128"/>
    <m/>
    <s v="IK"/>
    <n v="30"/>
    <m/>
    <m/>
    <m/>
    <m/>
    <m/>
    <m/>
    <m/>
    <m/>
    <m/>
    <m/>
    <n v="0.192"/>
    <m/>
    <n v="0.19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/MASINTSOA"/>
    <n v="50"/>
    <n v="40"/>
    <n v="90"/>
    <m/>
    <s v="IK"/>
    <n v="30"/>
    <m/>
    <m/>
    <m/>
    <m/>
    <m/>
    <m/>
    <m/>
    <m/>
    <m/>
    <m/>
    <n v="0.13500000000000001"/>
    <m/>
    <n v="0.135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LANGERIAKY"/>
    <n v="27"/>
    <n v="42"/>
    <n v="69"/>
    <m/>
    <s v="IK"/>
    <n v="30"/>
    <m/>
    <m/>
    <m/>
    <m/>
    <m/>
    <m/>
    <m/>
    <m/>
    <m/>
    <m/>
    <n v="0.10349999999999999"/>
    <m/>
    <n v="0.1034999999999999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NDROIPANO"/>
    <n v="157"/>
    <n v="129"/>
    <n v="286"/>
    <m/>
    <s v="IK"/>
    <n v="30"/>
    <m/>
    <m/>
    <m/>
    <m/>
    <m/>
    <m/>
    <m/>
    <m/>
    <m/>
    <m/>
    <n v="0.42899999999999999"/>
    <m/>
    <n v="0.4289999999999999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BESELY SUD"/>
    <n v="4"/>
    <n v="118"/>
    <n v="122"/>
    <m/>
    <s v="IK"/>
    <n v="30"/>
    <m/>
    <m/>
    <m/>
    <m/>
    <m/>
    <m/>
    <m/>
    <m/>
    <m/>
    <m/>
    <n v="0.183"/>
    <m/>
    <n v="0.183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TSIANDRIONA SUD"/>
    <n v="60"/>
    <n v="111"/>
    <n v="171"/>
    <m/>
    <s v="IK"/>
    <n v="30"/>
    <m/>
    <m/>
    <m/>
    <m/>
    <m/>
    <m/>
    <m/>
    <m/>
    <m/>
    <m/>
    <n v="0.25650000000000001"/>
    <m/>
    <n v="0.2565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ALATSIMIVIKY"/>
    <n v="213"/>
    <n v="180"/>
    <n v="393"/>
    <m/>
    <s v="IK"/>
    <n v="30"/>
    <m/>
    <m/>
    <m/>
    <m/>
    <m/>
    <m/>
    <m/>
    <m/>
    <m/>
    <m/>
    <n v="0.58950000000000002"/>
    <m/>
    <n v="0.5895000000000000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OLOSOGNO"/>
    <n v="26"/>
    <n v="29"/>
    <n v="55"/>
    <m/>
    <s v="IK"/>
    <n v="30"/>
    <m/>
    <m/>
    <m/>
    <m/>
    <m/>
    <m/>
    <m/>
    <m/>
    <m/>
    <m/>
    <n v="8.2500000000000004E-2"/>
    <m/>
    <n v="8.2500000000000004E-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AMALO"/>
    <m/>
    <m/>
    <n v="341"/>
    <m/>
    <s v="IK"/>
    <n v="30"/>
    <m/>
    <m/>
    <m/>
    <m/>
    <m/>
    <n v="0.2046"/>
    <m/>
    <m/>
    <n v="2.0459999999999998"/>
    <m/>
    <m/>
    <m/>
    <n v="2.2505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VARO"/>
    <m/>
    <m/>
    <n v="185"/>
    <m/>
    <s v="IK"/>
    <n v="30"/>
    <m/>
    <m/>
    <m/>
    <m/>
    <m/>
    <n v="0.111"/>
    <m/>
    <m/>
    <n v="1.1100000000000001"/>
    <m/>
    <m/>
    <m/>
    <n v="1.2210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KISENY"/>
    <m/>
    <m/>
    <n v="128"/>
    <m/>
    <s v="IK"/>
    <n v="30"/>
    <m/>
    <m/>
    <m/>
    <m/>
    <m/>
    <n v="7.6799999999999993E-2"/>
    <m/>
    <m/>
    <n v="0.76800000000000002"/>
    <m/>
    <m/>
    <m/>
    <n v="0.8448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ARABEMOKO"/>
    <m/>
    <m/>
    <n v="63"/>
    <m/>
    <s v="IK"/>
    <n v="30"/>
    <m/>
    <m/>
    <m/>
    <m/>
    <m/>
    <n v="3.78E-2"/>
    <m/>
    <m/>
    <n v="0.378"/>
    <m/>
    <m/>
    <m/>
    <n v="0.4158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TANANTSOA"/>
    <m/>
    <m/>
    <n v="158"/>
    <m/>
    <s v="IK"/>
    <n v="30"/>
    <m/>
    <m/>
    <m/>
    <m/>
    <m/>
    <n v="9.4799999999999995E-2"/>
    <m/>
    <m/>
    <n v="0.94799999999999995"/>
    <m/>
    <m/>
    <m/>
    <n v="1.0427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ILANY HAUT"/>
    <m/>
    <m/>
    <n v="70"/>
    <m/>
    <s v="IK"/>
    <n v="30"/>
    <m/>
    <m/>
    <m/>
    <m/>
    <m/>
    <n v="4.2000000000000003E-2"/>
    <m/>
    <m/>
    <n v="0.42"/>
    <m/>
    <m/>
    <m/>
    <n v="0.46199999999999997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ONDROMENA"/>
    <m/>
    <m/>
    <n v="76"/>
    <m/>
    <s v="IK"/>
    <n v="30"/>
    <m/>
    <m/>
    <m/>
    <m/>
    <m/>
    <n v="4.5600000000000002E-2"/>
    <m/>
    <m/>
    <n v="0.45600000000000002"/>
    <m/>
    <m/>
    <m/>
    <n v="0.50160000000000005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MILITSE"/>
    <m/>
    <m/>
    <n v="240"/>
    <m/>
    <s v="IK"/>
    <n v="30"/>
    <m/>
    <m/>
    <m/>
    <m/>
    <m/>
    <n v="0.14399999999999999"/>
    <m/>
    <m/>
    <n v="1.44"/>
    <m/>
    <m/>
    <m/>
    <n v="1.5839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SETA I"/>
    <m/>
    <m/>
    <n v="569"/>
    <m/>
    <s v="IK"/>
    <n v="30"/>
    <m/>
    <m/>
    <m/>
    <m/>
    <m/>
    <n v="0.34139999999999998"/>
    <m/>
    <m/>
    <n v="3.4140000000000001"/>
    <m/>
    <m/>
    <m/>
    <n v="3.7554000000000003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NY"/>
    <m/>
    <m/>
    <n v="100"/>
    <m/>
    <s v="IK"/>
    <n v="30"/>
    <m/>
    <m/>
    <m/>
    <m/>
    <m/>
    <n v="0.06"/>
    <m/>
    <m/>
    <n v="0.6"/>
    <m/>
    <m/>
    <m/>
    <n v="0.6599999999999999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FOTADREVO CENTRE"/>
    <m/>
    <m/>
    <n v="818"/>
    <m/>
    <s v="IK"/>
    <n v="30"/>
    <m/>
    <m/>
    <m/>
    <m/>
    <m/>
    <n v="0.49080000000000001"/>
    <m/>
    <m/>
    <n v="4.9080000000000004"/>
    <m/>
    <m/>
    <m/>
    <n v="5.3988000000000005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ZA HAUT"/>
    <m/>
    <m/>
    <n v="575"/>
    <m/>
    <s v="IK"/>
    <n v="30"/>
    <m/>
    <m/>
    <m/>
    <m/>
    <m/>
    <n v="0.34499999999999997"/>
    <m/>
    <m/>
    <n v="3.45"/>
    <m/>
    <m/>
    <m/>
    <n v="3.7949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SAKOA"/>
    <m/>
    <m/>
    <n v="330"/>
    <m/>
    <s v="IK"/>
    <n v="30"/>
    <m/>
    <m/>
    <m/>
    <m/>
    <m/>
    <n v="0.19800000000000001"/>
    <m/>
    <m/>
    <n v="1.98"/>
    <m/>
    <m/>
    <m/>
    <n v="2.177999999999999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TSIRIRY"/>
    <m/>
    <m/>
    <n v="328"/>
    <m/>
    <s v="IK"/>
    <n v="30"/>
    <m/>
    <m/>
    <m/>
    <m/>
    <m/>
    <n v="0.1968"/>
    <m/>
    <m/>
    <n v="1.968"/>
    <m/>
    <m/>
    <m/>
    <n v="2.1648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LINJO"/>
    <m/>
    <m/>
    <n v="215"/>
    <m/>
    <s v="IK"/>
    <n v="30"/>
    <m/>
    <m/>
    <m/>
    <m/>
    <m/>
    <n v="0.129"/>
    <m/>
    <m/>
    <n v="1.29"/>
    <m/>
    <m/>
    <m/>
    <n v="1.41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TOHABATO"/>
    <m/>
    <m/>
    <n v="197"/>
    <m/>
    <s v="IK"/>
    <n v="30"/>
    <m/>
    <m/>
    <m/>
    <m/>
    <m/>
    <n v="0.1182"/>
    <m/>
    <m/>
    <n v="1.1819999999999999"/>
    <m/>
    <m/>
    <m/>
    <n v="1.300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CENTRE"/>
    <m/>
    <m/>
    <n v="178"/>
    <m/>
    <s v="IK"/>
    <n v="30"/>
    <m/>
    <m/>
    <m/>
    <m/>
    <m/>
    <n v="0.10680000000000001"/>
    <m/>
    <m/>
    <n v="1.0680000000000001"/>
    <m/>
    <m/>
    <m/>
    <n v="1.1748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I"/>
    <m/>
    <m/>
    <n v="113"/>
    <m/>
    <s v="IK"/>
    <n v="30"/>
    <m/>
    <m/>
    <m/>
    <m/>
    <m/>
    <n v="6.7799999999999999E-2"/>
    <m/>
    <m/>
    <n v="0.67800000000000005"/>
    <m/>
    <m/>
    <m/>
    <n v="0.7458000000000000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ALATANY"/>
    <m/>
    <m/>
    <n v="60"/>
    <m/>
    <s v="IK"/>
    <n v="30"/>
    <m/>
    <m/>
    <m/>
    <m/>
    <m/>
    <n v="3.5999999999999997E-2"/>
    <m/>
    <m/>
    <n v="0.36"/>
    <m/>
    <m/>
    <m/>
    <n v="0.39599999999999996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SONJO "/>
    <m/>
    <m/>
    <n v="98"/>
    <m/>
    <s v="IK"/>
    <n v="30"/>
    <m/>
    <m/>
    <m/>
    <m/>
    <m/>
    <n v="5.8799999999999998E-2"/>
    <m/>
    <m/>
    <n v="0.58799999999999997"/>
    <m/>
    <m/>
    <m/>
    <n v="0.64679999999999993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BAKAKA"/>
    <m/>
    <m/>
    <n v="211"/>
    <m/>
    <s v="IK"/>
    <n v="30"/>
    <m/>
    <m/>
    <m/>
    <m/>
    <m/>
    <n v="0.12659999999999999"/>
    <m/>
    <m/>
    <n v="1.266"/>
    <m/>
    <m/>
    <m/>
    <n v="1.3926000000000001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KATRAFAY"/>
    <m/>
    <m/>
    <n v="465"/>
    <m/>
    <s v="IK"/>
    <n v="30"/>
    <m/>
    <m/>
    <m/>
    <m/>
    <m/>
    <n v="0.27900000000000003"/>
    <m/>
    <m/>
    <n v="2.79"/>
    <m/>
    <m/>
    <m/>
    <n v="3.069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GNAVOHA CENTRE"/>
    <m/>
    <m/>
    <n v="625"/>
    <m/>
    <s v="IK"/>
    <n v="30"/>
    <m/>
    <m/>
    <m/>
    <m/>
    <m/>
    <n v="0.375"/>
    <m/>
    <m/>
    <n v="3.75"/>
    <m/>
    <m/>
    <m/>
    <n v="4.125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MANDABE ANKILIMA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TANANDAVA I"/>
    <m/>
    <m/>
    <n v="292"/>
    <m/>
    <s v="IK"/>
    <n v="30"/>
    <m/>
    <m/>
    <m/>
    <m/>
    <m/>
    <n v="0.17519999999999999"/>
    <m/>
    <m/>
    <n v="1.752"/>
    <m/>
    <m/>
    <m/>
    <n v="1.9272"/>
    <m/>
    <m/>
  </r>
  <r>
    <x v="2"/>
    <n v="2024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ALAFANTSIKY"/>
    <m/>
    <m/>
    <n v="250"/>
    <m/>
    <s v="IK"/>
    <n v="30"/>
    <m/>
    <m/>
    <m/>
    <m/>
    <m/>
    <n v="0.15"/>
    <m/>
    <m/>
    <n v="1.5"/>
    <m/>
    <m/>
    <m/>
    <n v="1.65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AMALO"/>
    <n v="117"/>
    <n v="123"/>
    <n v="240"/>
    <m/>
    <s v="IK"/>
    <n v="30"/>
    <m/>
    <m/>
    <m/>
    <m/>
    <m/>
    <m/>
    <m/>
    <m/>
    <m/>
    <m/>
    <n v="0.36"/>
    <m/>
    <n v="0.36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VARO"/>
    <n v="38"/>
    <n v="55"/>
    <n v="93"/>
    <m/>
    <s v="IK"/>
    <n v="30"/>
    <m/>
    <m/>
    <m/>
    <m/>
    <m/>
    <m/>
    <m/>
    <m/>
    <m/>
    <m/>
    <n v="0.13950000000000001"/>
    <m/>
    <n v="0.1395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KISENY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ARABEMOKO"/>
    <n v="39"/>
    <n v="31"/>
    <n v="70"/>
    <m/>
    <s v="IK"/>
    <n v="30"/>
    <m/>
    <m/>
    <m/>
    <m/>
    <m/>
    <m/>
    <m/>
    <m/>
    <m/>
    <m/>
    <n v="0.105"/>
    <m/>
    <n v="0.105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TANANTSOA"/>
    <n v="40"/>
    <n v="60"/>
    <n v="100"/>
    <m/>
    <s v="IK"/>
    <n v="30"/>
    <m/>
    <m/>
    <m/>
    <m/>
    <m/>
    <m/>
    <m/>
    <m/>
    <m/>
    <m/>
    <n v="0.15"/>
    <m/>
    <n v="0.15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ILANY HAUT"/>
    <n v="36"/>
    <n v="48"/>
    <n v="84"/>
    <m/>
    <s v="IK"/>
    <n v="30"/>
    <m/>
    <m/>
    <m/>
    <m/>
    <m/>
    <m/>
    <m/>
    <m/>
    <m/>
    <m/>
    <n v="0.126"/>
    <m/>
    <n v="0.126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ONDROMENA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MILITSE"/>
    <n v="88"/>
    <n v="106"/>
    <n v="194"/>
    <m/>
    <s v="IK"/>
    <n v="30"/>
    <m/>
    <m/>
    <m/>
    <m/>
    <m/>
    <m/>
    <m/>
    <m/>
    <m/>
    <m/>
    <n v="0.29099999999999998"/>
    <m/>
    <n v="0.29099999999999998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SETA I"/>
    <n v="42"/>
    <n v="47"/>
    <n v="89"/>
    <m/>
    <s v="IK"/>
    <n v="30"/>
    <m/>
    <m/>
    <m/>
    <m/>
    <m/>
    <m/>
    <m/>
    <m/>
    <m/>
    <m/>
    <n v="0.13350000000000001"/>
    <m/>
    <n v="0.1335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NY"/>
    <n v="21"/>
    <n v="30"/>
    <n v="51"/>
    <m/>
    <s v="IK"/>
    <n v="30"/>
    <m/>
    <m/>
    <m/>
    <m/>
    <m/>
    <m/>
    <m/>
    <m/>
    <m/>
    <m/>
    <n v="7.6499999999999999E-2"/>
    <m/>
    <n v="7.6499999999999999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FOTADREVO CENTRE"/>
    <n v="122"/>
    <n v="138"/>
    <n v="260"/>
    <m/>
    <s v="IK"/>
    <n v="30"/>
    <m/>
    <m/>
    <m/>
    <m/>
    <m/>
    <m/>
    <m/>
    <m/>
    <m/>
    <m/>
    <n v="0.39"/>
    <m/>
    <n v="0.39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ZA HAUT"/>
    <n v="107"/>
    <n v="130"/>
    <n v="237"/>
    <m/>
    <s v="IK"/>
    <n v="30"/>
    <m/>
    <m/>
    <m/>
    <m/>
    <m/>
    <m/>
    <m/>
    <m/>
    <m/>
    <m/>
    <n v="0.35549999999999998"/>
    <m/>
    <n v="0.35549999999999998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SAKOA"/>
    <n v="49"/>
    <n v="61"/>
    <n v="110"/>
    <m/>
    <s v="IK"/>
    <n v="30"/>
    <m/>
    <m/>
    <m/>
    <m/>
    <m/>
    <m/>
    <m/>
    <m/>
    <m/>
    <m/>
    <n v="0.16500000000000001"/>
    <m/>
    <n v="0.165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TSIRIRY"/>
    <n v="77"/>
    <n v="102"/>
    <n v="179"/>
    <m/>
    <s v="IK"/>
    <n v="30"/>
    <m/>
    <m/>
    <m/>
    <m/>
    <m/>
    <m/>
    <m/>
    <m/>
    <m/>
    <m/>
    <n v="0.26850000000000002"/>
    <m/>
    <n v="0.2685000000000000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LINJO"/>
    <n v="19"/>
    <n v="35"/>
    <n v="54"/>
    <m/>
    <s v="IK"/>
    <n v="30"/>
    <m/>
    <m/>
    <m/>
    <m/>
    <m/>
    <m/>
    <m/>
    <m/>
    <m/>
    <m/>
    <n v="8.1000000000000003E-2"/>
    <m/>
    <n v="8.1000000000000003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TOHABATO"/>
    <n v="25"/>
    <n v="49"/>
    <n v="74"/>
    <m/>
    <s v="IK"/>
    <n v="30"/>
    <m/>
    <m/>
    <m/>
    <m/>
    <m/>
    <m/>
    <m/>
    <m/>
    <m/>
    <m/>
    <n v="0.111"/>
    <m/>
    <n v="0.11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CENTRE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I"/>
    <n v="30"/>
    <n v="31"/>
    <n v="61"/>
    <m/>
    <s v="IK"/>
    <n v="30"/>
    <m/>
    <m/>
    <m/>
    <m/>
    <m/>
    <m/>
    <m/>
    <m/>
    <m/>
    <m/>
    <n v="9.1499999999999998E-2"/>
    <m/>
    <n v="9.1499999999999998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ALATANY"/>
    <m/>
    <m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SONJO "/>
    <n v="26"/>
    <n v="52"/>
    <n v="78"/>
    <m/>
    <s v="IK"/>
    <n v="30"/>
    <m/>
    <m/>
    <m/>
    <m/>
    <m/>
    <m/>
    <m/>
    <m/>
    <m/>
    <m/>
    <n v="0.11700000000000001"/>
    <m/>
    <n v="0.117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BAKAKA"/>
    <n v="35"/>
    <n v="23"/>
    <n v="58"/>
    <m/>
    <s v="IK"/>
    <n v="30"/>
    <m/>
    <m/>
    <m/>
    <m/>
    <m/>
    <m/>
    <m/>
    <m/>
    <m/>
    <m/>
    <n v="8.6999999999999994E-2"/>
    <m/>
    <n v="8.6999999999999994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KATRAFAY"/>
    <n v="50"/>
    <n v="105"/>
    <n v="155"/>
    <m/>
    <s v="IK"/>
    <n v="30"/>
    <m/>
    <m/>
    <m/>
    <m/>
    <m/>
    <m/>
    <m/>
    <m/>
    <m/>
    <m/>
    <n v="0.23250000000000001"/>
    <m/>
    <n v="0.2325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GNAVOHA CENTRE"/>
    <n v="0"/>
    <n v="0"/>
    <n v="0"/>
    <m/>
    <s v="IK"/>
    <n v="30"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MANDABE ANKILIMARO"/>
    <n v="49"/>
    <n v="81"/>
    <n v="130"/>
    <m/>
    <s v="IK"/>
    <n v="30"/>
    <m/>
    <m/>
    <m/>
    <m/>
    <m/>
    <m/>
    <m/>
    <m/>
    <m/>
    <m/>
    <n v="0.19500000000000001"/>
    <m/>
    <n v="0.19500000000000001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TANANDAVA I"/>
    <n v="12"/>
    <n v="12"/>
    <n v="24"/>
    <m/>
    <s v="IK"/>
    <n v="30"/>
    <m/>
    <m/>
    <m/>
    <m/>
    <m/>
    <m/>
    <m/>
    <m/>
    <m/>
    <m/>
    <n v="3.5999999999999997E-2"/>
    <m/>
    <n v="3.5999999999999997E-2"/>
    <m/>
    <m/>
  </r>
  <r>
    <x v="2"/>
    <n v="2024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ALAFANTSIKY"/>
    <n v="56"/>
    <n v="54"/>
    <n v="110"/>
    <m/>
    <s v="IK"/>
    <n v="30"/>
    <m/>
    <m/>
    <m/>
    <m/>
    <m/>
    <m/>
    <m/>
    <m/>
    <m/>
    <m/>
    <n v="0.16500000000000001"/>
    <m/>
    <n v="0.165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s v="IK"/>
    <n v="30"/>
    <m/>
    <m/>
    <m/>
    <m/>
    <m/>
    <m/>
    <m/>
    <m/>
    <m/>
    <m/>
    <n v="0.252"/>
    <m/>
    <n v="0.25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s v="IK"/>
    <n v="30"/>
    <m/>
    <m/>
    <m/>
    <m/>
    <m/>
    <m/>
    <m/>
    <m/>
    <m/>
    <m/>
    <n v="0.26850000000000002"/>
    <m/>
    <n v="0.2685000000000000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s v="IK"/>
    <n v="30"/>
    <m/>
    <m/>
    <m/>
    <m/>
    <m/>
    <m/>
    <m/>
    <m/>
    <m/>
    <m/>
    <n v="0.246"/>
    <m/>
    <n v="0.246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s v="IK"/>
    <n v="30"/>
    <m/>
    <m/>
    <m/>
    <m/>
    <m/>
    <m/>
    <m/>
    <m/>
    <m/>
    <m/>
    <n v="0.26100000000000001"/>
    <m/>
    <n v="0.261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s v="IK"/>
    <n v="30"/>
    <m/>
    <m/>
    <m/>
    <m/>
    <m/>
    <m/>
    <m/>
    <m/>
    <m/>
    <m/>
    <n v="0.252"/>
    <m/>
    <n v="0.25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s v="IK"/>
    <n v="30"/>
    <m/>
    <m/>
    <m/>
    <m/>
    <m/>
    <m/>
    <m/>
    <m/>
    <m/>
    <m/>
    <n v="0.48"/>
    <m/>
    <n v="0.4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s v="IK"/>
    <n v="30"/>
    <m/>
    <m/>
    <m/>
    <m/>
    <m/>
    <m/>
    <m/>
    <m/>
    <m/>
    <m/>
    <n v="0.27"/>
    <m/>
    <n v="0.2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s v="IK"/>
    <n v="30"/>
    <m/>
    <m/>
    <m/>
    <m/>
    <m/>
    <m/>
    <m/>
    <m/>
    <m/>
    <m/>
    <n v="0.28949999999999998"/>
    <m/>
    <n v="0.2894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EHAVO"/>
    <n v="126"/>
    <m/>
    <n v="126"/>
    <m/>
    <s v="IK"/>
    <n v="30"/>
    <m/>
    <m/>
    <m/>
    <m/>
    <m/>
    <m/>
    <m/>
    <m/>
    <m/>
    <m/>
    <n v="0.189"/>
    <m/>
    <n v="0.189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MORAFENO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SILIMOSA"/>
    <n v="595"/>
    <m/>
    <n v="595"/>
    <m/>
    <s v="IK"/>
    <n v="30"/>
    <m/>
    <m/>
    <m/>
    <m/>
    <m/>
    <m/>
    <m/>
    <m/>
    <m/>
    <m/>
    <n v="0.89249999999999996"/>
    <m/>
    <n v="0.89249999999999996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NANDAVA"/>
    <n v="483"/>
    <m/>
    <n v="483"/>
    <m/>
    <s v="IK"/>
    <n v="30"/>
    <m/>
    <m/>
    <m/>
    <m/>
    <m/>
    <m/>
    <m/>
    <m/>
    <m/>
    <m/>
    <n v="0.72450000000000003"/>
    <m/>
    <n v="0.72450000000000003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ARANAKA ANKILIMENA"/>
    <n v="403"/>
    <m/>
    <n v="403"/>
    <m/>
    <s v="IK"/>
    <n v="30"/>
    <m/>
    <m/>
    <m/>
    <m/>
    <m/>
    <m/>
    <m/>
    <m/>
    <m/>
    <m/>
    <n v="0.60450000000000004"/>
    <m/>
    <n v="0.60450000000000004"/>
    <m/>
    <m/>
  </r>
  <r>
    <x v="2"/>
    <n v="2024"/>
    <x v="1"/>
    <s v="Nutrition"/>
    <x v="3"/>
    <s v="NPA_STUN:Prevention of Stunting"/>
    <m/>
    <m/>
    <s v="Amboasary"/>
    <x v="0"/>
    <s v="Taolagnaro"/>
    <s v="Anosy"/>
    <s v="Ambovombe"/>
    <s v="YPA"/>
    <s v="SIHANAMARO"/>
    <s v="TERABOVO"/>
    <n v="563"/>
    <m/>
    <n v="563"/>
    <m/>
    <s v="IK"/>
    <n v="30"/>
    <m/>
    <m/>
    <m/>
    <m/>
    <m/>
    <m/>
    <m/>
    <m/>
    <m/>
    <m/>
    <n v="0.84450000000000003"/>
    <m/>
    <n v="0.84450000000000003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IEBA"/>
    <n v="519"/>
    <m/>
    <n v="519"/>
    <m/>
    <s v="IK"/>
    <n v="30"/>
    <m/>
    <m/>
    <m/>
    <m/>
    <m/>
    <m/>
    <m/>
    <m/>
    <m/>
    <m/>
    <n v="0.77849999999999997"/>
    <m/>
    <n v="0.7784999999999999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AVABAZA"/>
    <n v="233"/>
    <m/>
    <n v="233"/>
    <m/>
    <s v="IK"/>
    <n v="30"/>
    <m/>
    <m/>
    <m/>
    <m/>
    <m/>
    <m/>
    <m/>
    <m/>
    <m/>
    <m/>
    <n v="0.34949999999999998"/>
    <m/>
    <n v="0.3494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HELIBONDRO HAUT"/>
    <n v="230"/>
    <m/>
    <n v="230"/>
    <m/>
    <s v="IK"/>
    <n v="30"/>
    <m/>
    <m/>
    <m/>
    <m/>
    <m/>
    <m/>
    <m/>
    <m/>
    <m/>
    <m/>
    <n v="0.34499999999999997"/>
    <m/>
    <n v="0.3449999999999999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RENTY"/>
    <n v="195"/>
    <m/>
    <n v="195"/>
    <m/>
    <s v="IK"/>
    <n v="30"/>
    <m/>
    <m/>
    <m/>
    <m/>
    <m/>
    <m/>
    <m/>
    <m/>
    <m/>
    <m/>
    <n v="0.29249999999999998"/>
    <m/>
    <n v="0.2924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DREGNARA"/>
    <n v="107"/>
    <m/>
    <n v="107"/>
    <m/>
    <s v="IK"/>
    <n v="30"/>
    <m/>
    <m/>
    <m/>
    <m/>
    <m/>
    <m/>
    <m/>
    <m/>
    <m/>
    <m/>
    <n v="0.1605"/>
    <m/>
    <n v="0.1605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ANKIRIKIRIKE"/>
    <n v="468"/>
    <m/>
    <n v="468"/>
    <m/>
    <s v="IK"/>
    <n v="30"/>
    <m/>
    <m/>
    <m/>
    <m/>
    <m/>
    <m/>
    <m/>
    <m/>
    <m/>
    <m/>
    <n v="0.70199999999999996"/>
    <m/>
    <n v="0.70199999999999996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MAROMENA CENTRE"/>
    <n v="150"/>
    <m/>
    <n v="150"/>
    <m/>
    <s v="IK"/>
    <n v="30"/>
    <m/>
    <m/>
    <m/>
    <m/>
    <m/>
    <m/>
    <m/>
    <m/>
    <m/>
    <m/>
    <n v="0.22500000000000001"/>
    <m/>
    <n v="0.225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BEFAITSY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HARA"/>
    <s v="FANDIOVA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MANITSEVO"/>
    <n v="330"/>
    <m/>
    <n v="330"/>
    <m/>
    <s v="IK"/>
    <n v="30"/>
    <m/>
    <m/>
    <m/>
    <m/>
    <m/>
    <m/>
    <m/>
    <m/>
    <m/>
    <m/>
    <n v="0.495"/>
    <m/>
    <n v="0.495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MPOTOBATO CENTRE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DAVABOAY MAROMENIKE"/>
    <n v="236"/>
    <m/>
    <n v="236"/>
    <m/>
    <s v="IK"/>
    <n v="30"/>
    <m/>
    <m/>
    <m/>
    <m/>
    <m/>
    <m/>
    <m/>
    <m/>
    <m/>
    <m/>
    <n v="0.35399999999999998"/>
    <m/>
    <n v="0.3539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ANKRABERANO"/>
    <n v="134"/>
    <m/>
    <n v="134"/>
    <m/>
    <s v="IK"/>
    <n v="30"/>
    <m/>
    <m/>
    <m/>
    <m/>
    <m/>
    <m/>
    <m/>
    <m/>
    <m/>
    <m/>
    <n v="0.20100000000000001"/>
    <m/>
    <n v="0.201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BERANO"/>
    <s v="BERANO VILLE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IFOTAKA CENTRE"/>
    <n v="435"/>
    <m/>
    <n v="435"/>
    <m/>
    <s v="IK"/>
    <n v="30"/>
    <m/>
    <m/>
    <m/>
    <m/>
    <m/>
    <m/>
    <m/>
    <m/>
    <m/>
    <m/>
    <n v="0.65249999999999997"/>
    <m/>
    <n v="0.6524999999999999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ALOAL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RAKETA"/>
    <n v="299"/>
    <m/>
    <n v="299"/>
    <m/>
    <s v="IK"/>
    <n v="30"/>
    <m/>
    <m/>
    <m/>
    <m/>
    <m/>
    <m/>
    <m/>
    <m/>
    <m/>
    <m/>
    <n v="0.44850000000000001"/>
    <m/>
    <n v="0.448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FENOAIVO"/>
    <n v="138"/>
    <m/>
    <n v="138"/>
    <m/>
    <s v="IK"/>
    <n v="30"/>
    <m/>
    <m/>
    <m/>
    <m/>
    <m/>
    <m/>
    <m/>
    <m/>
    <m/>
    <m/>
    <n v="0.20699999999999999"/>
    <m/>
    <n v="0.20699999999999999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BEKIRIA CENTRE"/>
    <n v="262"/>
    <m/>
    <n v="262"/>
    <m/>
    <s v="IK"/>
    <n v="30"/>
    <m/>
    <m/>
    <m/>
    <m/>
    <m/>
    <m/>
    <m/>
    <m/>
    <m/>
    <m/>
    <n v="0.39300000000000002"/>
    <m/>
    <n v="0.3930000000000000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JAMAHAVELO"/>
    <n v="407"/>
    <m/>
    <n v="407"/>
    <m/>
    <s v="IK"/>
    <n v="30"/>
    <m/>
    <m/>
    <m/>
    <m/>
    <m/>
    <m/>
    <m/>
    <m/>
    <m/>
    <m/>
    <n v="0.61050000000000004"/>
    <m/>
    <n v="0.61050000000000004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IFOTAKA"/>
    <s v="ANKILIMITRAHA"/>
    <n v="246"/>
    <m/>
    <n v="246"/>
    <m/>
    <s v="IK"/>
    <n v="30"/>
    <m/>
    <m/>
    <m/>
    <m/>
    <m/>
    <m/>
    <m/>
    <m/>
    <m/>
    <m/>
    <n v="0.36899999999999999"/>
    <m/>
    <n v="0.36899999999999999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TANANDAVA"/>
    <n v="346"/>
    <m/>
    <n v="346"/>
    <m/>
    <s v="IK"/>
    <n v="30"/>
    <m/>
    <m/>
    <m/>
    <m/>
    <m/>
    <m/>
    <m/>
    <m/>
    <m/>
    <m/>
    <n v="0.51900000000000002"/>
    <m/>
    <n v="0.5190000000000000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VOHIBARY"/>
    <n v="38"/>
    <m/>
    <n v="38"/>
    <m/>
    <s v="IK"/>
    <n v="30"/>
    <m/>
    <m/>
    <m/>
    <m/>
    <m/>
    <m/>
    <m/>
    <m/>
    <m/>
    <m/>
    <n v="5.7000000000000002E-2"/>
    <m/>
    <n v="5.7000000000000002E-2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MBATOMENA"/>
    <n v="180"/>
    <m/>
    <n v="180"/>
    <m/>
    <s v="IK"/>
    <n v="30"/>
    <m/>
    <m/>
    <m/>
    <m/>
    <m/>
    <m/>
    <m/>
    <m/>
    <m/>
    <m/>
    <n v="0.27"/>
    <m/>
    <n v="0.2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MAROLOHA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TSOVELA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SAMPONA CENTRE"/>
    <n v="146"/>
    <m/>
    <n v="146"/>
    <m/>
    <s v="IK"/>
    <n v="30"/>
    <m/>
    <m/>
    <m/>
    <m/>
    <m/>
    <m/>
    <m/>
    <m/>
    <m/>
    <m/>
    <n v="0.219"/>
    <m/>
    <n v="0.219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SAMPONA"/>
    <s v="ANKILIDOGA"/>
    <n v="180"/>
    <m/>
    <n v="180"/>
    <m/>
    <s v="IK"/>
    <n v="30"/>
    <m/>
    <m/>
    <m/>
    <m/>
    <m/>
    <m/>
    <m/>
    <m/>
    <m/>
    <m/>
    <n v="0.27"/>
    <m/>
    <n v="0.27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ANDROVASOA"/>
    <n v="218"/>
    <m/>
    <n v="218"/>
    <m/>
    <s v="IK"/>
    <n v="30"/>
    <m/>
    <m/>
    <m/>
    <m/>
    <m/>
    <m/>
    <m/>
    <m/>
    <m/>
    <m/>
    <n v="0.32700000000000001"/>
    <m/>
    <n v="0.3270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VAHAVOLA CENTRE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INDRA CENTRE"/>
    <n v="171"/>
    <m/>
    <n v="171"/>
    <m/>
    <s v="IK"/>
    <n v="30"/>
    <m/>
    <m/>
    <m/>
    <m/>
    <m/>
    <m/>
    <m/>
    <m/>
    <m/>
    <m/>
    <n v="0.25650000000000001"/>
    <m/>
    <n v="0.25650000000000001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MANDRAPASY"/>
    <n v="164"/>
    <m/>
    <n v="164"/>
    <m/>
    <s v="IK"/>
    <n v="30"/>
    <m/>
    <m/>
    <m/>
    <m/>
    <m/>
    <m/>
    <m/>
    <m/>
    <m/>
    <m/>
    <n v="0.246"/>
    <m/>
    <n v="0.246"/>
    <m/>
    <m/>
  </r>
  <r>
    <x v="2"/>
    <n v="2024"/>
    <x v="1"/>
    <s v="Nutrition"/>
    <x v="3"/>
    <s v="NPA_STUN:Prevention of Stunting"/>
    <m/>
    <m/>
    <s v="Amboasary"/>
    <x v="0"/>
    <s v="Taolagnaro"/>
    <s v="Anosy"/>
    <s v="Amboasary"/>
    <s v="YPA"/>
    <s v="TANANDAVA"/>
    <s v="SIHANAKARA"/>
    <n v="260"/>
    <m/>
    <n v="260"/>
    <m/>
    <s v="IK"/>
    <n v="30"/>
    <m/>
    <m/>
    <m/>
    <m/>
    <m/>
    <m/>
    <m/>
    <m/>
    <m/>
    <m/>
    <n v="0.39"/>
    <m/>
    <n v="0.3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s v="IK"/>
    <n v="30"/>
    <m/>
    <m/>
    <m/>
    <m/>
    <m/>
    <n v="9.4200000000000006E-2"/>
    <m/>
    <m/>
    <n v="0.94199999999999995"/>
    <m/>
    <m/>
    <m/>
    <n v="1.036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s v="IK"/>
    <n v="30"/>
    <m/>
    <m/>
    <m/>
    <m/>
    <m/>
    <n v="6.1199999999999997E-2"/>
    <m/>
    <m/>
    <n v="0.61199999999999999"/>
    <m/>
    <m/>
    <m/>
    <n v="0.6732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s v="IK"/>
    <n v="30"/>
    <m/>
    <m/>
    <m/>
    <m/>
    <m/>
    <n v="7.0800000000000002E-2"/>
    <m/>
    <m/>
    <n v="0.70799999999999996"/>
    <m/>
    <m/>
    <m/>
    <n v="0.7787999999999999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s v="IK"/>
    <n v="30"/>
    <m/>
    <m/>
    <m/>
    <m/>
    <m/>
    <n v="8.5199999999999998E-2"/>
    <m/>
    <m/>
    <n v="0.85199999999999998"/>
    <m/>
    <m/>
    <m/>
    <n v="0.93720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s v="IK"/>
    <n v="30"/>
    <m/>
    <m/>
    <m/>
    <m/>
    <m/>
    <n v="8.2199999999999995E-2"/>
    <m/>
    <m/>
    <n v="0.82199999999999995"/>
    <m/>
    <m/>
    <m/>
    <n v="0.9041999999999998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s v="IK"/>
    <n v="30"/>
    <m/>
    <m/>
    <m/>
    <m/>
    <m/>
    <n v="6.6000000000000003E-2"/>
    <m/>
    <m/>
    <n v="0.66"/>
    <m/>
    <m/>
    <m/>
    <n v="0.725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s v="IK"/>
    <n v="30"/>
    <m/>
    <m/>
    <m/>
    <m/>
    <m/>
    <n v="0.11219999999999999"/>
    <m/>
    <m/>
    <n v="1.1220000000000001"/>
    <m/>
    <m/>
    <m/>
    <n v="1.2342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s v="IK"/>
    <n v="30"/>
    <m/>
    <m/>
    <m/>
    <m/>
    <m/>
    <n v="9.06E-2"/>
    <m/>
    <m/>
    <n v="0.90600000000000003"/>
    <m/>
    <m/>
    <m/>
    <n v="0.9966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35"/>
    <n v="35"/>
    <m/>
    <s v="IK"/>
    <n v="30"/>
    <m/>
    <m/>
    <m/>
    <m/>
    <m/>
    <n v="2.1000000000000001E-2"/>
    <m/>
    <m/>
    <n v="0.21"/>
    <m/>
    <m/>
    <m/>
    <n v="0.230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188"/>
    <n v="188"/>
    <m/>
    <s v="IK"/>
    <n v="30"/>
    <m/>
    <m/>
    <m/>
    <m/>
    <m/>
    <n v="0.1128"/>
    <m/>
    <m/>
    <n v="1.1279999999999999"/>
    <m/>
    <m/>
    <m/>
    <n v="1.2407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254"/>
    <n v="254"/>
    <m/>
    <s v="IK"/>
    <n v="30"/>
    <m/>
    <m/>
    <m/>
    <m/>
    <m/>
    <n v="0.15240000000000001"/>
    <m/>
    <m/>
    <n v="1.524"/>
    <m/>
    <m/>
    <m/>
    <n v="1.6764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00"/>
    <n v="200"/>
    <m/>
    <s v="IK"/>
    <n v="30"/>
    <m/>
    <m/>
    <m/>
    <m/>
    <m/>
    <n v="0.12"/>
    <m/>
    <m/>
    <n v="1.2"/>
    <m/>
    <m/>
    <m/>
    <n v="1.31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272"/>
    <n v="272"/>
    <m/>
    <s v="IK"/>
    <n v="30"/>
    <m/>
    <m/>
    <m/>
    <m/>
    <m/>
    <n v="0.16320000000000001"/>
    <m/>
    <m/>
    <n v="1.6319999999999999"/>
    <m/>
    <m/>
    <m/>
    <n v="1.7951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68"/>
    <n v="368"/>
    <m/>
    <s v="IK"/>
    <n v="30"/>
    <m/>
    <m/>
    <m/>
    <m/>
    <m/>
    <n v="0.2208"/>
    <m/>
    <m/>
    <n v="2.2080000000000002"/>
    <m/>
    <m/>
    <m/>
    <n v="2.4288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68"/>
    <n v="168"/>
    <m/>
    <s v="IK"/>
    <n v="30"/>
    <m/>
    <m/>
    <m/>
    <m/>
    <m/>
    <n v="0.1008"/>
    <m/>
    <m/>
    <n v="1.008"/>
    <m/>
    <m/>
    <m/>
    <n v="1.108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 HAUT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75"/>
    <n v="175"/>
    <m/>
    <s v="IK"/>
    <n v="30"/>
    <m/>
    <m/>
    <m/>
    <m/>
    <m/>
    <n v="0.105"/>
    <m/>
    <m/>
    <n v="1.05"/>
    <m/>
    <m/>
    <m/>
    <n v="1.15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GNARA"/>
    <m/>
    <n v="125"/>
    <n v="125"/>
    <m/>
    <s v="IK"/>
    <n v="30"/>
    <m/>
    <m/>
    <m/>
    <m/>
    <m/>
    <n v="7.4999999999999997E-2"/>
    <m/>
    <m/>
    <n v="0.75"/>
    <m/>
    <m/>
    <m/>
    <n v="0.8249999999999999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12"/>
    <n v="312"/>
    <m/>
    <s v="IK"/>
    <n v="30"/>
    <m/>
    <m/>
    <m/>
    <m/>
    <m/>
    <n v="0.18720000000000001"/>
    <m/>
    <m/>
    <n v="1.8720000000000001"/>
    <m/>
    <m/>
    <m/>
    <n v="2.0592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Y"/>
    <m/>
    <n v="120"/>
    <n v="120"/>
    <m/>
    <s v="IK"/>
    <n v="30"/>
    <m/>
    <m/>
    <m/>
    <m/>
    <m/>
    <n v="7.1999999999999995E-2"/>
    <m/>
    <m/>
    <n v="0.72"/>
    <m/>
    <m/>
    <m/>
    <n v="0.7919999999999999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40"/>
    <n v="140"/>
    <m/>
    <s v="IK"/>
    <n v="30"/>
    <m/>
    <m/>
    <m/>
    <m/>
    <m/>
    <n v="8.4000000000000005E-2"/>
    <m/>
    <m/>
    <n v="0.84"/>
    <m/>
    <m/>
    <m/>
    <n v="0.9239999999999999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 CENTRE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 MAROMENIKE"/>
    <m/>
    <n v="208"/>
    <n v="208"/>
    <m/>
    <s v="IK"/>
    <n v="30"/>
    <m/>
    <m/>
    <m/>
    <m/>
    <m/>
    <n v="0.12479999999999999"/>
    <m/>
    <m/>
    <n v="1.248"/>
    <m/>
    <m/>
    <m/>
    <n v="1.372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RABERANO"/>
    <m/>
    <n v="74"/>
    <n v="74"/>
    <m/>
    <s v="IK"/>
    <n v="30"/>
    <m/>
    <m/>
    <m/>
    <m/>
    <m/>
    <n v="4.4400000000000002E-2"/>
    <m/>
    <m/>
    <n v="0.44400000000000001"/>
    <m/>
    <m/>
    <m/>
    <n v="0.488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9"/>
    <n v="139"/>
    <m/>
    <s v="IK"/>
    <n v="30"/>
    <m/>
    <m/>
    <m/>
    <m/>
    <m/>
    <n v="8.3400000000000002E-2"/>
    <m/>
    <m/>
    <n v="0.83399999999999996"/>
    <m/>
    <m/>
    <m/>
    <n v="0.91739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358"/>
    <n v="358"/>
    <m/>
    <s v="IK"/>
    <n v="30"/>
    <m/>
    <m/>
    <m/>
    <m/>
    <m/>
    <n v="0.21479999999999999"/>
    <m/>
    <m/>
    <n v="2.1480000000000001"/>
    <m/>
    <m/>
    <m/>
    <n v="2.362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222"/>
    <n v="222"/>
    <m/>
    <s v="IK"/>
    <n v="30"/>
    <m/>
    <m/>
    <m/>
    <m/>
    <m/>
    <n v="0.13320000000000001"/>
    <m/>
    <m/>
    <n v="1.3320000000000001"/>
    <m/>
    <m/>
    <m/>
    <n v="1.4652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106"/>
    <n v="106"/>
    <m/>
    <s v="IK"/>
    <n v="30"/>
    <m/>
    <m/>
    <m/>
    <m/>
    <m/>
    <n v="6.3600000000000004E-2"/>
    <m/>
    <m/>
    <n v="0.63600000000000001"/>
    <m/>
    <m/>
    <m/>
    <n v="0.699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 CENTRE"/>
    <m/>
    <n v="201"/>
    <n v="201"/>
    <m/>
    <s v="IK"/>
    <n v="30"/>
    <m/>
    <m/>
    <m/>
    <m/>
    <m/>
    <n v="0.1206"/>
    <m/>
    <m/>
    <n v="1.206"/>
    <m/>
    <m/>
    <m/>
    <n v="1.326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6"/>
    <n v="346"/>
    <m/>
    <s v="IK"/>
    <n v="30"/>
    <m/>
    <m/>
    <m/>
    <m/>
    <m/>
    <n v="0.20760000000000001"/>
    <m/>
    <m/>
    <n v="2.0760000000000001"/>
    <m/>
    <m/>
    <m/>
    <n v="2.2835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"/>
    <m/>
    <n v="190"/>
    <n v="190"/>
    <m/>
    <s v="IK"/>
    <n v="30"/>
    <m/>
    <m/>
    <m/>
    <m/>
    <m/>
    <n v="0.114"/>
    <m/>
    <m/>
    <n v="1.1399999999999999"/>
    <m/>
    <m/>
    <m/>
    <n v="1.25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TANANDAVA"/>
    <m/>
    <n v="362"/>
    <n v="362"/>
    <m/>
    <s v="IK"/>
    <n v="30"/>
    <m/>
    <m/>
    <m/>
    <m/>
    <m/>
    <n v="0.2172"/>
    <m/>
    <m/>
    <n v="2.1720000000000002"/>
    <m/>
    <m/>
    <m/>
    <n v="2.3892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OHIBARY"/>
    <m/>
    <n v="64"/>
    <n v="64"/>
    <m/>
    <s v="IK"/>
    <n v="30"/>
    <m/>
    <m/>
    <m/>
    <m/>
    <m/>
    <n v="3.8399999999999997E-2"/>
    <m/>
    <m/>
    <n v="0.38400000000000001"/>
    <m/>
    <m/>
    <m/>
    <n v="0.422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MBATOMENA"/>
    <m/>
    <n v="123"/>
    <n v="123"/>
    <m/>
    <s v="IK"/>
    <n v="30"/>
    <m/>
    <m/>
    <m/>
    <m/>
    <m/>
    <n v="7.3800000000000004E-2"/>
    <m/>
    <m/>
    <n v="0.73799999999999999"/>
    <m/>
    <m/>
    <m/>
    <n v="0.8117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ROLOHA"/>
    <m/>
    <n v="117"/>
    <n v="117"/>
    <m/>
    <s v="IK"/>
    <n v="30"/>
    <m/>
    <m/>
    <m/>
    <m/>
    <m/>
    <n v="7.0199999999999999E-2"/>
    <m/>
    <m/>
    <n v="0.70199999999999996"/>
    <m/>
    <m/>
    <m/>
    <n v="0.772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TSOVELA"/>
    <m/>
    <n v="202"/>
    <n v="202"/>
    <m/>
    <s v="IK"/>
    <n v="30"/>
    <m/>
    <m/>
    <m/>
    <m/>
    <m/>
    <n v="0.1212"/>
    <m/>
    <m/>
    <n v="1.212"/>
    <m/>
    <m/>
    <m/>
    <n v="1.3331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9"/>
    <n v="99"/>
    <m/>
    <s v="IK"/>
    <n v="30"/>
    <m/>
    <m/>
    <m/>
    <m/>
    <m/>
    <n v="5.9400000000000001E-2"/>
    <m/>
    <m/>
    <n v="0.59399999999999997"/>
    <m/>
    <m/>
    <m/>
    <n v="0.6533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GA"/>
    <m/>
    <n v="100"/>
    <n v="100"/>
    <m/>
    <s v="IK"/>
    <n v="30"/>
    <m/>
    <m/>
    <m/>
    <m/>
    <m/>
    <n v="0.06"/>
    <m/>
    <m/>
    <n v="0.6"/>
    <m/>
    <m/>
    <m/>
    <n v="0.6599999999999999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DROVASOA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AHAVOLA CENTRE"/>
    <m/>
    <n v="91"/>
    <n v="91"/>
    <m/>
    <s v="IK"/>
    <n v="30"/>
    <m/>
    <m/>
    <m/>
    <m/>
    <m/>
    <n v="5.4600000000000003E-2"/>
    <m/>
    <m/>
    <n v="0.54600000000000004"/>
    <m/>
    <m/>
    <m/>
    <n v="0.6006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INDRA CENTRE"/>
    <m/>
    <n v="103"/>
    <n v="103"/>
    <m/>
    <s v="IK"/>
    <n v="30"/>
    <m/>
    <m/>
    <m/>
    <m/>
    <m/>
    <n v="6.1800000000000001E-2"/>
    <m/>
    <m/>
    <n v="0.61799999999999999"/>
    <m/>
    <m/>
    <m/>
    <n v="0.6797999999999999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NDRAPASY"/>
    <m/>
    <n v="116"/>
    <n v="116"/>
    <m/>
    <s v="IK"/>
    <n v="30"/>
    <m/>
    <m/>
    <m/>
    <m/>
    <m/>
    <n v="6.9599999999999995E-2"/>
    <m/>
    <m/>
    <n v="0.69599999999999995"/>
    <m/>
    <m/>
    <m/>
    <n v="0.7655999999999999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SIHANAKARA"/>
    <m/>
    <n v="290"/>
    <n v="290"/>
    <m/>
    <s v="IK"/>
    <n v="30"/>
    <m/>
    <m/>
    <m/>
    <m/>
    <m/>
    <n v="0.17399999999999999"/>
    <m/>
    <m/>
    <n v="1.74"/>
    <m/>
    <m/>
    <m/>
    <n v="1.9139999999999999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s v="IK"/>
    <n v="30"/>
    <m/>
    <m/>
    <m/>
    <m/>
    <m/>
    <n v="0.16919999999999999"/>
    <m/>
    <m/>
    <n v="1.6919999999999999"/>
    <m/>
    <m/>
    <m/>
    <n v="1.8612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s v="IK"/>
    <n v="30"/>
    <m/>
    <m/>
    <m/>
    <m/>
    <m/>
    <n v="0.255"/>
    <m/>
    <m/>
    <n v="2.5499999999999998"/>
    <m/>
    <m/>
    <m/>
    <n v="2.8049999999999997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s v="IK"/>
    <n v="30"/>
    <m/>
    <m/>
    <m/>
    <m/>
    <m/>
    <n v="0.57899999999999996"/>
    <m/>
    <m/>
    <n v="5.79"/>
    <m/>
    <m/>
    <m/>
    <n v="6.3689999999999998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s v="IK"/>
    <n v="30"/>
    <m/>
    <m/>
    <m/>
    <m/>
    <m/>
    <n v="0.28260000000000002"/>
    <m/>
    <m/>
    <n v="2.8260000000000001"/>
    <m/>
    <m/>
    <m/>
    <n v="3.1086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s v="IK"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s v="IK"/>
    <n v="30"/>
    <m/>
    <m/>
    <m/>
    <m/>
    <m/>
    <m/>
    <m/>
    <m/>
    <m/>
    <m/>
    <n v="0.74550000000000005"/>
    <m/>
    <n v="0.74550000000000005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s v="IK"/>
    <n v="30"/>
    <m/>
    <m/>
    <m/>
    <m/>
    <m/>
    <m/>
    <m/>
    <m/>
    <m/>
    <m/>
    <n v="1.0004999999999999"/>
    <m/>
    <n v="1.0004999999999999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s v="IK"/>
    <n v="30"/>
    <m/>
    <m/>
    <m/>
    <m/>
    <m/>
    <m/>
    <m/>
    <m/>
    <m/>
    <m/>
    <n v="1.5209999999999999"/>
    <m/>
    <n v="1.5209999999999999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s v="IK"/>
    <n v="30"/>
    <m/>
    <m/>
    <m/>
    <m/>
    <m/>
    <m/>
    <m/>
    <m/>
    <m/>
    <m/>
    <n v="2.3384999999999998"/>
    <m/>
    <n v="2.3384999999999998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s v="IK"/>
    <n v="30"/>
    <m/>
    <m/>
    <m/>
    <m/>
    <m/>
    <m/>
    <m/>
    <m/>
    <m/>
    <m/>
    <n v="0.77700000000000002"/>
    <m/>
    <n v="0.77700000000000002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akoa"/>
    <m/>
    <m/>
    <n v="0"/>
    <m/>
    <s v="IK"/>
    <m/>
    <m/>
    <m/>
    <m/>
    <m/>
    <m/>
    <m/>
    <m/>
    <m/>
    <m/>
    <m/>
    <n v="0"/>
    <m/>
    <n v="0"/>
    <m/>
    <m/>
  </r>
  <r>
    <x v="2"/>
    <n v="2024"/>
    <x v="1"/>
    <s v="Nutrition"/>
    <x v="3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s v="IK"/>
    <n v="30"/>
    <m/>
    <m/>
    <m/>
    <m/>
    <m/>
    <m/>
    <m/>
    <m/>
    <m/>
    <m/>
    <n v="0.39600000000000002"/>
    <m/>
    <n v="0.39600000000000002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havo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hazoarivo"/>
    <m/>
    <n v="250"/>
    <n v="250"/>
    <m/>
    <s v="IK"/>
    <n v="30"/>
    <m/>
    <m/>
    <m/>
    <m/>
    <m/>
    <n v="0.15"/>
    <m/>
    <m/>
    <n v="1.5"/>
    <m/>
    <m/>
    <m/>
    <n v="1.65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nasoa Mahafaly"/>
    <m/>
    <n v="350"/>
    <n v="350"/>
    <m/>
    <s v="IK"/>
    <n v="30"/>
    <m/>
    <m/>
    <m/>
    <m/>
    <m/>
    <n v="0.21"/>
    <m/>
    <m/>
    <n v="2.1"/>
    <m/>
    <m/>
    <m/>
    <n v="2.31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ely Est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avoa centre"/>
    <m/>
    <n v="260"/>
    <n v="260"/>
    <m/>
    <s v="IK"/>
    <n v="30"/>
    <m/>
    <m/>
    <m/>
    <m/>
    <m/>
    <n v="0.156"/>
    <m/>
    <m/>
    <n v="1.56"/>
    <m/>
    <m/>
    <m/>
    <n v="1.716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Masiaboay"/>
    <m/>
    <n v="300"/>
    <n v="300"/>
    <m/>
    <s v="IK"/>
    <n v="30"/>
    <m/>
    <m/>
    <m/>
    <m/>
    <m/>
    <n v="0.18"/>
    <m/>
    <m/>
    <n v="1.8"/>
    <m/>
    <m/>
    <m/>
    <n v="1.98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dranotakatse"/>
    <m/>
    <n v="550"/>
    <n v="550"/>
    <m/>
    <s v="IK"/>
    <n v="30"/>
    <m/>
    <m/>
    <m/>
    <m/>
    <m/>
    <n v="0.33"/>
    <m/>
    <m/>
    <n v="3.3"/>
    <m/>
    <m/>
    <m/>
    <n v="3.63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tararaty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2"/>
    <n v="2024"/>
    <x v="1"/>
    <s v="Nutrition"/>
    <x v="2"/>
    <s v="NPA_STUN:Prevention of Stunting"/>
    <m/>
    <m/>
    <s v="Tuléar"/>
    <x v="2"/>
    <s v="Tuléar"/>
    <s v="Atsimo Andrefana"/>
    <s v="Betioky"/>
    <s v="TOHANA"/>
    <s v="SAKAMASAY"/>
    <s v="Sakamasay"/>
    <m/>
    <n v="155"/>
    <n v="155"/>
    <m/>
    <s v="IK"/>
    <n v="30"/>
    <m/>
    <m/>
    <m/>
    <m/>
    <m/>
    <n v="9.2999999999999999E-2"/>
    <m/>
    <m/>
    <n v="0.93"/>
    <m/>
    <m/>
    <m/>
    <n v="1.0230000000000001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m/>
    <n v="100"/>
    <n v="100"/>
    <m/>
    <s v="IK"/>
    <n v="30"/>
    <m/>
    <m/>
    <m/>
    <m/>
    <m/>
    <m/>
    <m/>
    <m/>
    <m/>
    <m/>
    <n v="0.15"/>
    <m/>
    <n v="0.15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havoa"/>
    <n v="495"/>
    <m/>
    <n v="495"/>
    <m/>
    <s v="IK"/>
    <n v="30"/>
    <m/>
    <m/>
    <m/>
    <m/>
    <m/>
    <m/>
    <m/>
    <m/>
    <m/>
    <m/>
    <n v="0.74250000000000005"/>
    <m/>
    <n v="0.74250000000000005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hazoarivo"/>
    <n v="500"/>
    <m/>
    <n v="500"/>
    <m/>
    <s v="IK"/>
    <n v="30"/>
    <m/>
    <m/>
    <m/>
    <m/>
    <m/>
    <m/>
    <m/>
    <m/>
    <m/>
    <m/>
    <n v="0.75"/>
    <m/>
    <n v="0.75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nasoa Mahafaly"/>
    <n v="510"/>
    <m/>
    <n v="510"/>
    <m/>
    <s v="IK"/>
    <n v="30"/>
    <m/>
    <m/>
    <m/>
    <m/>
    <m/>
    <m/>
    <m/>
    <m/>
    <m/>
    <m/>
    <n v="0.76500000000000001"/>
    <m/>
    <n v="0.76500000000000001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ely Est"/>
    <n v="580"/>
    <m/>
    <n v="580"/>
    <m/>
    <s v="IK"/>
    <n v="30"/>
    <m/>
    <m/>
    <m/>
    <m/>
    <m/>
    <m/>
    <m/>
    <m/>
    <m/>
    <m/>
    <n v="0.87"/>
    <m/>
    <n v="0.87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avoa centre"/>
    <n v="590"/>
    <m/>
    <n v="590"/>
    <m/>
    <s v="IK"/>
    <n v="30"/>
    <m/>
    <m/>
    <m/>
    <m/>
    <m/>
    <m/>
    <m/>
    <m/>
    <m/>
    <m/>
    <n v="0.88500000000000001"/>
    <m/>
    <n v="0.88500000000000001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Masiaboay"/>
    <n v="500"/>
    <m/>
    <n v="500"/>
    <m/>
    <s v="IK"/>
    <n v="30"/>
    <m/>
    <m/>
    <m/>
    <m/>
    <m/>
    <m/>
    <m/>
    <m/>
    <m/>
    <m/>
    <n v="0.75"/>
    <m/>
    <n v="0.75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dranotakatse"/>
    <n v="900"/>
    <m/>
    <n v="900"/>
    <m/>
    <s v="IK"/>
    <n v="30"/>
    <m/>
    <m/>
    <m/>
    <m/>
    <m/>
    <m/>
    <m/>
    <m/>
    <m/>
    <m/>
    <n v="1.35"/>
    <m/>
    <n v="1.35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tararat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Sakamasa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2"/>
    <n v="2024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n v="160"/>
    <m/>
    <n v="160"/>
    <m/>
    <s v="IK"/>
    <n v="30"/>
    <m/>
    <m/>
    <m/>
    <m/>
    <m/>
    <m/>
    <m/>
    <m/>
    <m/>
    <m/>
    <n v="0.24"/>
    <m/>
    <n v="0.24"/>
    <m/>
    <m/>
  </r>
  <r>
    <x v="2"/>
    <n v="2024"/>
    <x v="1"/>
    <s v="Nutrition"/>
    <x v="3"/>
    <s v="NPA_STUN:Prevention of Stunting"/>
    <m/>
    <m/>
    <s v="Manakara"/>
    <x v="3"/>
    <m/>
    <s v="Fitovinany"/>
    <s v="Manakara"/>
    <s v="NY TANINTSIKA"/>
    <s v="Ambila"/>
    <s v="En cours"/>
    <n v="1111"/>
    <m/>
    <n v="1111"/>
    <m/>
    <s v="IK"/>
    <n v="30"/>
    <m/>
    <m/>
    <m/>
    <m/>
    <m/>
    <m/>
    <m/>
    <m/>
    <m/>
    <m/>
    <n v="1.6665000000000001"/>
    <m/>
    <n v="1.6665000000000001"/>
    <m/>
    <m/>
  </r>
  <r>
    <x v="2"/>
    <n v="2024"/>
    <x v="1"/>
    <s v="Nutrition"/>
    <x v="3"/>
    <s v="NPA_STUN:Prevention of Stunting"/>
    <m/>
    <m/>
    <s v="Manakara"/>
    <x v="3"/>
    <m/>
    <s v="Fitovinany"/>
    <s v="Manakara"/>
    <s v="NY TANINTSIKA"/>
    <s v="Anteza"/>
    <s v="En cours"/>
    <n v="393"/>
    <m/>
    <n v="393"/>
    <m/>
    <s v="IK"/>
    <n v="30"/>
    <m/>
    <m/>
    <m/>
    <m/>
    <m/>
    <m/>
    <m/>
    <m/>
    <m/>
    <m/>
    <n v="0.58950000000000002"/>
    <m/>
    <n v="0.58950000000000002"/>
    <m/>
    <m/>
  </r>
  <r>
    <x v="2"/>
    <n v="2024"/>
    <x v="1"/>
    <s v="Nutrition"/>
    <x v="2"/>
    <s v="NPA_STUN:Prevention of Stunting"/>
    <m/>
    <m/>
    <s v="Manakara"/>
    <x v="3"/>
    <m/>
    <s v="Fitovinany"/>
    <s v="Manakara"/>
    <s v="NY TANINTSIKA"/>
    <s v="Ambila"/>
    <s v="En cours"/>
    <m/>
    <n v="1283"/>
    <n v="1283"/>
    <m/>
    <s v="IK"/>
    <n v="30"/>
    <m/>
    <m/>
    <m/>
    <m/>
    <m/>
    <n v="0.76980000000000004"/>
    <m/>
    <m/>
    <n v="7.6980000000000004"/>
    <m/>
    <m/>
    <m/>
    <n v="8.4678000000000004"/>
    <m/>
    <m/>
  </r>
  <r>
    <x v="2"/>
    <n v="2024"/>
    <x v="1"/>
    <s v="Nutrition"/>
    <x v="2"/>
    <s v="NPA_STUN:Prevention of Stunting"/>
    <m/>
    <m/>
    <s v="Manakara"/>
    <x v="3"/>
    <m/>
    <s v="Fitovinany"/>
    <s v="Manakara"/>
    <s v="NY TANINTSIKA"/>
    <s v="Anteza"/>
    <s v="En cours"/>
    <m/>
    <n v="454"/>
    <n v="454"/>
    <m/>
    <s v="IK"/>
    <n v="30"/>
    <m/>
    <m/>
    <m/>
    <m/>
    <m/>
    <n v="0.27239999999999998"/>
    <m/>
    <m/>
    <n v="2.7240000000000002"/>
    <m/>
    <m/>
    <m/>
    <n v="2.9964000000000004"/>
    <m/>
    <m/>
  </r>
  <r>
    <x v="2"/>
    <n v="2024"/>
    <x v="1"/>
    <s v="Nutrition"/>
    <x v="3"/>
    <s v="NPA_STUN:Prevention of Stunting"/>
    <m/>
    <m/>
    <s v="Manakara"/>
    <x v="3"/>
    <m/>
    <s v="Vatovavy"/>
    <s v="Mananjary"/>
    <s v="NY TANINTSIKA"/>
    <s v="Mahatsara Sud"/>
    <s v="En cours"/>
    <n v="427"/>
    <m/>
    <n v="427"/>
    <m/>
    <s v="IK"/>
    <n v="30"/>
    <m/>
    <m/>
    <m/>
    <m/>
    <m/>
    <m/>
    <m/>
    <m/>
    <m/>
    <m/>
    <n v="0.64049999999999996"/>
    <m/>
    <n v="0.64049999999999996"/>
    <m/>
    <m/>
  </r>
  <r>
    <x v="2"/>
    <n v="2024"/>
    <x v="1"/>
    <s v="Nutrition"/>
    <x v="3"/>
    <s v="NPA_STUN:Prevention of Stunting"/>
    <m/>
    <m/>
    <s v="Manakara"/>
    <x v="3"/>
    <m/>
    <s v="Vatovavy"/>
    <s v="Mananjary"/>
    <s v="NY TANINTSIKA"/>
    <s v="Marokarima"/>
    <s v="En cours"/>
    <n v="721"/>
    <m/>
    <n v="721"/>
    <m/>
    <s v="IK"/>
    <n v="30"/>
    <m/>
    <m/>
    <m/>
    <m/>
    <m/>
    <m/>
    <m/>
    <m/>
    <m/>
    <m/>
    <n v="1.0814999999999999"/>
    <m/>
    <n v="1.0814999999999999"/>
    <m/>
    <m/>
  </r>
  <r>
    <x v="2"/>
    <n v="2024"/>
    <x v="1"/>
    <s v="Nutrition"/>
    <x v="3"/>
    <s v="NPA_STUN:Prevention of Stunting"/>
    <m/>
    <m/>
    <s v="Manakara"/>
    <x v="3"/>
    <m/>
    <s v="Vatovavy"/>
    <s v="Mananjary"/>
    <s v="NY TANINTSIKA"/>
    <s v="Tsaravary"/>
    <s v="En cours"/>
    <n v="380"/>
    <m/>
    <n v="380"/>
    <m/>
    <s v="IK"/>
    <n v="30"/>
    <m/>
    <m/>
    <m/>
    <m/>
    <m/>
    <m/>
    <m/>
    <m/>
    <m/>
    <m/>
    <n v="0.56999999999999995"/>
    <m/>
    <n v="0.56999999999999995"/>
    <m/>
    <m/>
  </r>
  <r>
    <x v="2"/>
    <n v="2024"/>
    <x v="1"/>
    <s v="Nutrition"/>
    <x v="3"/>
    <s v="NPA_STUN:Prevention of Stunting"/>
    <m/>
    <m/>
    <s v="Manakara"/>
    <x v="3"/>
    <m/>
    <s v="Vatovavy"/>
    <s v="Mananjary"/>
    <s v="NY TANINTSIKA"/>
    <s v="Tsiatosika"/>
    <s v="En cours"/>
    <n v="1061"/>
    <m/>
    <n v="1061"/>
    <m/>
    <s v="IK"/>
    <n v="30"/>
    <m/>
    <m/>
    <m/>
    <m/>
    <m/>
    <m/>
    <m/>
    <m/>
    <m/>
    <m/>
    <n v="1.5914999999999999"/>
    <m/>
    <n v="1.5914999999999999"/>
    <m/>
    <m/>
  </r>
  <r>
    <x v="2"/>
    <n v="2024"/>
    <x v="1"/>
    <s v="Nutrition"/>
    <x v="2"/>
    <s v="NPA_STUN:Prevention of Stunting"/>
    <m/>
    <m/>
    <s v="Manakara"/>
    <x v="3"/>
    <m/>
    <s v="Vatovavy"/>
    <s v="Mananjary"/>
    <s v="NY TANINTSIKA"/>
    <s v="Mahatsara Sud"/>
    <s v="En cours"/>
    <m/>
    <n v="493"/>
    <n v="493"/>
    <m/>
    <s v="IK"/>
    <n v="30"/>
    <m/>
    <m/>
    <m/>
    <m/>
    <m/>
    <n v="0.29580000000000001"/>
    <m/>
    <m/>
    <n v="2.9580000000000002"/>
    <m/>
    <m/>
    <m/>
    <n v="3.2538"/>
    <m/>
    <m/>
  </r>
  <r>
    <x v="2"/>
    <n v="2024"/>
    <x v="1"/>
    <s v="Nutrition"/>
    <x v="2"/>
    <s v="NPA_STUN:Prevention of Stunting"/>
    <m/>
    <m/>
    <s v="Manakara"/>
    <x v="3"/>
    <m/>
    <s v="Vatovavy"/>
    <s v="Mananjary"/>
    <s v="NY TANINTSIKA"/>
    <s v="Marokarima"/>
    <s v="En cours"/>
    <m/>
    <n v="833"/>
    <n v="833"/>
    <m/>
    <s v="IK"/>
    <n v="30"/>
    <m/>
    <m/>
    <m/>
    <m/>
    <m/>
    <n v="0.49980000000000002"/>
    <m/>
    <m/>
    <n v="4.9980000000000002"/>
    <m/>
    <m/>
    <m/>
    <n v="5.4977999999999998"/>
    <m/>
    <m/>
  </r>
  <r>
    <x v="2"/>
    <n v="2024"/>
    <x v="1"/>
    <s v="Nutrition"/>
    <x v="2"/>
    <s v="NPA_STUN:Prevention of Stunting"/>
    <m/>
    <m/>
    <s v="Manakara"/>
    <x v="3"/>
    <m/>
    <s v="Vatovavy"/>
    <s v="Mananjary"/>
    <s v="NY TANINTSIKA"/>
    <s v="Tsaravary"/>
    <s v="En cours"/>
    <m/>
    <n v="439"/>
    <n v="439"/>
    <m/>
    <s v="IK"/>
    <n v="30"/>
    <m/>
    <m/>
    <m/>
    <m/>
    <m/>
    <n v="0.26340000000000002"/>
    <m/>
    <m/>
    <n v="2.6339999999999999"/>
    <m/>
    <m/>
    <m/>
    <n v="2.8973999999999998"/>
    <m/>
    <m/>
  </r>
  <r>
    <x v="2"/>
    <n v="2024"/>
    <x v="1"/>
    <s v="Nutrition"/>
    <x v="2"/>
    <s v="NPA_STUN:Prevention of Stunting"/>
    <m/>
    <m/>
    <s v="Manakara"/>
    <x v="3"/>
    <m/>
    <s v="Vatovavy"/>
    <s v="Mananjary"/>
    <s v="NY TANINTSIKA"/>
    <s v="Tsiatosika"/>
    <s v="En cours"/>
    <m/>
    <n v="1225"/>
    <n v="1225"/>
    <m/>
    <s v="IK"/>
    <n v="30"/>
    <m/>
    <m/>
    <m/>
    <m/>
    <m/>
    <n v="0.73499999999999999"/>
    <m/>
    <m/>
    <n v="7.35"/>
    <m/>
    <m/>
    <m/>
    <n v="8.0849999999999991"/>
    <m/>
    <m/>
  </r>
  <r>
    <x v="3"/>
    <n v="2025"/>
    <x v="0"/>
    <s v="GD"/>
    <x v="0"/>
    <s v="URT_GD: General Distribution"/>
    <n v="1"/>
    <m/>
    <s v="Bekily"/>
    <x v="0"/>
    <s v="Taolagnaro"/>
    <s v="Androy"/>
    <s v="Bekily"/>
    <m/>
    <s v="Ambahita"/>
    <m/>
    <m/>
    <m/>
    <n v="16706"/>
    <n v="3341.2"/>
    <s v="IK"/>
    <n v="15"/>
    <n v="100.236"/>
    <n v="0"/>
    <n v="0"/>
    <n v="0"/>
    <n v="15.035399999999999"/>
    <n v="8.7706499999999998"/>
    <n v="0"/>
    <n v="0"/>
    <n v="0"/>
    <n v="0"/>
    <m/>
    <n v="0"/>
    <n v="124.04205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Amborompotsy"/>
    <m/>
    <m/>
    <m/>
    <n v="17635"/>
    <n v="3527"/>
    <s v="IK"/>
    <n v="15"/>
    <n v="105.81"/>
    <n v="0"/>
    <n v="0"/>
    <n v="0"/>
    <n v="15.871499999999999"/>
    <n v="9.2583749999999991"/>
    <n v="0"/>
    <n v="0"/>
    <n v="0"/>
    <n v="0"/>
    <m/>
    <n v="0"/>
    <n v="130.939875"/>
    <n v="0"/>
    <n v="0"/>
  </r>
  <r>
    <x v="3"/>
    <n v="2025"/>
    <x v="0"/>
    <s v="GD"/>
    <x v="0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s v="IK"/>
    <n v="15"/>
    <n v="202.96799999999999"/>
    <n v="0"/>
    <n v="0"/>
    <n v="0"/>
    <n v="30.4452"/>
    <n v="17.759699999999999"/>
    <n v="0"/>
    <n v="0"/>
    <n v="0"/>
    <n v="0"/>
    <m/>
    <n v="0"/>
    <n v="251.1729"/>
    <n v="0"/>
    <n v="0"/>
  </r>
  <r>
    <x v="3"/>
    <n v="2025"/>
    <x v="0"/>
    <s v="GD"/>
    <x v="0"/>
    <s v="URT_GD: General Distribution"/>
    <n v="2"/>
    <m/>
    <s v="Amboasary"/>
    <x v="0"/>
    <s v="Taolagnaro"/>
    <s v="Anosy"/>
    <s v="Taolagnaro"/>
    <m/>
    <s v="Andranobory"/>
    <m/>
    <m/>
    <m/>
    <n v="7275"/>
    <n v="1455"/>
    <s v="IK"/>
    <n v="15"/>
    <n v="43.65"/>
    <n v="0"/>
    <n v="0"/>
    <n v="0"/>
    <n v="6.5475000000000003"/>
    <n v="3.819375"/>
    <n v="0"/>
    <n v="0"/>
    <n v="0"/>
    <n v="0"/>
    <m/>
    <n v="0"/>
    <n v="54.016874999999999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Androipano"/>
    <m/>
    <m/>
    <m/>
    <n v="11555"/>
    <n v="2311"/>
    <s v="IK"/>
    <n v="15"/>
    <n v="69.33"/>
    <n v="0"/>
    <n v="0"/>
    <n v="0"/>
    <n v="10.3995"/>
    <n v="6.0663749999999999"/>
    <n v="0"/>
    <n v="0"/>
    <n v="0"/>
    <n v="0"/>
    <m/>
    <n v="0"/>
    <n v="85.795874999999995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Androka"/>
    <m/>
    <m/>
    <m/>
    <n v="35000"/>
    <n v="7000"/>
    <s v="IK"/>
    <n v="15"/>
    <n v="210"/>
    <n v="0"/>
    <n v="0"/>
    <n v="0"/>
    <n v="31.5"/>
    <n v="18.375"/>
    <n v="0"/>
    <n v="0"/>
    <n v="0"/>
    <n v="0"/>
    <m/>
    <n v="0"/>
    <n v="259.875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Anivorano Mitsinjo"/>
    <m/>
    <m/>
    <m/>
    <n v="6800"/>
    <n v="1360"/>
    <s v="IK"/>
    <n v="15"/>
    <n v="40.799999999999997"/>
    <n v="0"/>
    <n v="0"/>
    <n v="0"/>
    <n v="6.12"/>
    <n v="3.57"/>
    <n v="0"/>
    <n v="0"/>
    <n v="0"/>
    <n v="0"/>
    <m/>
    <n v="0"/>
    <n v="50.489999999999995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Anja Nord"/>
    <m/>
    <m/>
    <m/>
    <n v="3770"/>
    <n v="754"/>
    <s v="IK"/>
    <n v="15"/>
    <n v="22.62"/>
    <n v="0"/>
    <n v="0"/>
    <n v="0"/>
    <n v="3.3929999999999998"/>
    <n v="1.97925"/>
    <n v="0"/>
    <n v="0"/>
    <n v="0"/>
    <n v="0"/>
    <m/>
    <n v="0"/>
    <n v="27.992250000000002"/>
    <n v="0"/>
    <n v="0"/>
  </r>
  <r>
    <x v="3"/>
    <n v="2025"/>
    <x v="0"/>
    <s v="GD"/>
    <x v="0"/>
    <s v="URT_GD: General Distribution"/>
    <n v="1"/>
    <m/>
    <s v="Ambovombe"/>
    <x v="0"/>
    <s v="Taolagnaro"/>
    <s v="Androy"/>
    <s v="Ambovombe"/>
    <m/>
    <s v="Ampamata"/>
    <m/>
    <m/>
    <m/>
    <n v="10150"/>
    <n v="2030"/>
    <s v="IK"/>
    <n v="15"/>
    <n v="60.9"/>
    <n v="0"/>
    <n v="0"/>
    <n v="0"/>
    <n v="9.1349999999999998"/>
    <n v="5.3287500000000003"/>
    <n v="0"/>
    <n v="0"/>
    <n v="0"/>
    <n v="0"/>
    <m/>
    <n v="0"/>
    <n v="75.363749999999996"/>
    <n v="0"/>
    <n v="0"/>
  </r>
  <r>
    <x v="3"/>
    <n v="2025"/>
    <x v="0"/>
    <s v="GD"/>
    <x v="0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s v="IK"/>
    <n v="15"/>
    <n v="113.28"/>
    <n v="0"/>
    <n v="0"/>
    <n v="0"/>
    <n v="16.992000000000001"/>
    <n v="9.9120000000000008"/>
    <n v="0"/>
    <n v="0"/>
    <n v="0"/>
    <n v="0"/>
    <m/>
    <n v="0"/>
    <n v="140.184"/>
    <n v="0"/>
    <n v="0"/>
  </r>
  <r>
    <x v="3"/>
    <n v="2025"/>
    <x v="0"/>
    <s v="GD"/>
    <x v="0"/>
    <s v="URT_GD: General Distribution"/>
    <n v="2"/>
    <m/>
    <s v="Tuléar"/>
    <x v="2"/>
    <s v="Tuléar"/>
    <s v="Atsimo Andrefana"/>
    <s v="Betioky"/>
    <m/>
    <s v="Ankazombalala"/>
    <m/>
    <m/>
    <m/>
    <n v="12000"/>
    <n v="2400"/>
    <s v="IK"/>
    <n v="15"/>
    <n v="72"/>
    <n v="0"/>
    <n v="0"/>
    <n v="0"/>
    <n v="10.8"/>
    <n v="6.3"/>
    <n v="0"/>
    <n v="0"/>
    <n v="0"/>
    <n v="0"/>
    <m/>
    <n v="0"/>
    <n v="89.1"/>
    <n v="0"/>
    <n v="0"/>
  </r>
  <r>
    <x v="3"/>
    <n v="2025"/>
    <x v="0"/>
    <s v="GD"/>
    <x v="0"/>
    <s v="URT_GD: General Distribution"/>
    <n v="2"/>
    <m/>
    <m/>
    <x v="3"/>
    <m/>
    <s v="Atsimo Antsinana"/>
    <s v="Vondrozo"/>
    <m/>
    <s v="Anandravy"/>
    <m/>
    <m/>
    <m/>
    <n v="4797"/>
    <n v="959.4"/>
    <s v="IK"/>
    <n v="15"/>
    <n v="28.782"/>
    <n v="0"/>
    <n v="0"/>
    <n v="0"/>
    <n v="4.3173000000000004"/>
    <n v="2.5184250000000001"/>
    <n v="0"/>
    <n v="0"/>
    <n v="0"/>
    <n v="0"/>
    <m/>
    <n v="0"/>
    <n v="35.617725"/>
    <n v="0"/>
    <n v="0"/>
  </r>
  <r>
    <x v="3"/>
    <n v="2025"/>
    <x v="0"/>
    <s v="GD"/>
    <x v="0"/>
    <s v="URT_GD: General Distribution"/>
    <n v="2"/>
    <m/>
    <s v="Ampanihy"/>
    <x v="1"/>
    <s v="Tuléar"/>
    <s v="Atsimo Andrefana"/>
    <s v="Ampanihy Ouest"/>
    <m/>
    <s v="Ankiliabo"/>
    <m/>
    <m/>
    <m/>
    <n v="18100"/>
    <n v="3620"/>
    <s v="IK"/>
    <n v="15"/>
    <n v="108.6"/>
    <n v="0"/>
    <n v="0"/>
    <n v="0"/>
    <n v="16.29"/>
    <n v="9.5024999999999995"/>
    <n v="0"/>
    <n v="0"/>
    <n v="0"/>
    <n v="0"/>
    <m/>
    <n v="0"/>
    <n v="134.39249999999998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Antsakoamaro"/>
    <m/>
    <m/>
    <m/>
    <n v="6201"/>
    <n v="1240.2"/>
    <s v="IK"/>
    <n v="15"/>
    <n v="37.206000000000003"/>
    <n v="0"/>
    <n v="0"/>
    <n v="0"/>
    <n v="5.5808999999999997"/>
    <n v="3.255525"/>
    <n v="0"/>
    <n v="0"/>
    <n v="0"/>
    <n v="0"/>
    <m/>
    <n v="0"/>
    <n v="46.042425000000001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Belafike haut"/>
    <m/>
    <m/>
    <m/>
    <n v="10195"/>
    <n v="2039"/>
    <s v="IK"/>
    <n v="15"/>
    <n v="61.17"/>
    <n v="0"/>
    <n v="0"/>
    <n v="0"/>
    <n v="9.1754999999999995"/>
    <n v="5.3523750000000003"/>
    <n v="0"/>
    <n v="0"/>
    <n v="0"/>
    <n v="0"/>
    <m/>
    <n v="0"/>
    <n v="75.697874999999996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Belindo Mahasoa"/>
    <m/>
    <m/>
    <m/>
    <n v="15000"/>
    <n v="3000"/>
    <s v="IK"/>
    <n v="15"/>
    <n v="90"/>
    <n v="0"/>
    <n v="0"/>
    <n v="0"/>
    <n v="13.5"/>
    <n v="7.875"/>
    <n v="0"/>
    <n v="0"/>
    <n v="0"/>
    <n v="0"/>
    <m/>
    <n v="0"/>
    <n v="111.375"/>
    <n v="0"/>
    <n v="0"/>
  </r>
  <r>
    <x v="3"/>
    <n v="2025"/>
    <x v="0"/>
    <s v="GD"/>
    <x v="0"/>
    <s v="URT_GD: General Distribution"/>
    <n v="1"/>
    <m/>
    <s v="Tuléar"/>
    <x v="2"/>
    <s v="Tuléar"/>
    <s v="Atsimo Andrefana"/>
    <s v="Betioky"/>
    <m/>
    <s v="Beora"/>
    <m/>
    <m/>
    <m/>
    <n v="1000"/>
    <n v="200"/>
    <s v="IK"/>
    <n v="15"/>
    <n v="6"/>
    <n v="0"/>
    <n v="0"/>
    <n v="0"/>
    <n v="0.9"/>
    <n v="0.52500000000000002"/>
    <n v="0"/>
    <n v="0"/>
    <n v="0"/>
    <n v="0"/>
    <m/>
    <n v="0"/>
    <n v="7.4250000000000007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Bevitiky"/>
    <m/>
    <m/>
    <m/>
    <n v="6341"/>
    <n v="1268.2"/>
    <s v="IK"/>
    <n v="15"/>
    <n v="38.045999999999999"/>
    <n v="0"/>
    <n v="0"/>
    <n v="0"/>
    <n v="5.7069000000000001"/>
    <n v="3.3290250000000001"/>
    <n v="0"/>
    <n v="0"/>
    <n v="0"/>
    <n v="0"/>
    <m/>
    <n v="0"/>
    <n v="47.081924999999998"/>
    <n v="0"/>
    <n v="0"/>
  </r>
  <r>
    <x v="3"/>
    <n v="2025"/>
    <x v="0"/>
    <s v="GD"/>
    <x v="0"/>
    <s v="URT_GD: General Distribution"/>
    <n v="1"/>
    <m/>
    <s v="Amboasary"/>
    <x v="0"/>
    <s v="Taolagnaro"/>
    <s v="Anosy"/>
    <s v="Amboasary"/>
    <m/>
    <s v="Ebelo"/>
    <m/>
    <m/>
    <m/>
    <n v="13542"/>
    <n v="2708.4"/>
    <s v="IK"/>
    <n v="15"/>
    <n v="81.251999999999995"/>
    <n v="0"/>
    <n v="0"/>
    <n v="0"/>
    <n v="12.187799999999999"/>
    <n v="7.1095499999999996"/>
    <n v="0"/>
    <n v="0"/>
    <n v="0"/>
    <n v="0"/>
    <m/>
    <n v="0"/>
    <n v="100.54934999999999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Gogogogo"/>
    <m/>
    <m/>
    <m/>
    <n v="18955"/>
    <n v="3791"/>
    <s v="IK"/>
    <n v="15"/>
    <n v="113.73"/>
    <n v="0"/>
    <n v="0"/>
    <n v="0"/>
    <n v="17.0595"/>
    <n v="9.9513750000000005"/>
    <n v="0"/>
    <n v="0"/>
    <n v="0"/>
    <n v="0"/>
    <m/>
    <n v="0"/>
    <n v="140.74087500000002"/>
    <n v="0"/>
    <n v="0"/>
  </r>
  <r>
    <x v="3"/>
    <n v="2025"/>
    <x v="0"/>
    <s v="GD"/>
    <x v="0"/>
    <s v="URT_GD: General Distribution"/>
    <n v="2"/>
    <m/>
    <s v="Tuléar"/>
    <x v="2"/>
    <s v="Tuléar"/>
    <s v="Atsimo Andrefana"/>
    <s v="Betioky"/>
    <m/>
    <s v="Lazarivo"/>
    <m/>
    <m/>
    <m/>
    <n v="10900"/>
    <n v="2180"/>
    <s v="IK"/>
    <n v="15"/>
    <n v="65.400000000000006"/>
    <n v="0"/>
    <n v="0"/>
    <n v="0"/>
    <n v="9.81"/>
    <n v="5.7225000000000001"/>
    <n v="0"/>
    <n v="0"/>
    <n v="0"/>
    <n v="0"/>
    <m/>
    <n v="0"/>
    <n v="80.932500000000005"/>
    <n v="0"/>
    <n v="0"/>
  </r>
  <r>
    <x v="3"/>
    <n v="2025"/>
    <x v="0"/>
    <s v="GD"/>
    <x v="0"/>
    <s v="URT_GD: General Distribution"/>
    <n v="1"/>
    <m/>
    <s v="Amboasary"/>
    <x v="0"/>
    <s v="Taolagnaro"/>
    <s v="Anosy"/>
    <s v="Amboasary"/>
    <m/>
    <s v="Mahabo"/>
    <m/>
    <m/>
    <m/>
    <n v="5759"/>
    <n v="1151.8"/>
    <s v="IK"/>
    <n v="15"/>
    <n v="34.554000000000002"/>
    <n v="0"/>
    <n v="0"/>
    <n v="0"/>
    <n v="5.1830999999999996"/>
    <n v="3.0234749999999999"/>
    <n v="0"/>
    <n v="0"/>
    <n v="0"/>
    <n v="0"/>
    <m/>
    <n v="0"/>
    <n v="42.760574999999996"/>
    <n v="0"/>
    <n v="0"/>
  </r>
  <r>
    <x v="3"/>
    <n v="2025"/>
    <x v="0"/>
    <s v="GD"/>
    <x v="0"/>
    <s v="URT_GD: General Distribution"/>
    <n v="1"/>
    <m/>
    <s v="Amboasary"/>
    <x v="0"/>
    <s v="Taolagnaro"/>
    <s v="Anosy"/>
    <s v="Amboasary"/>
    <m/>
    <s v="Mahaly"/>
    <m/>
    <m/>
    <m/>
    <n v="20745"/>
    <n v="4149"/>
    <s v="IK"/>
    <n v="15"/>
    <n v="124.47"/>
    <n v="0"/>
    <n v="0"/>
    <n v="0"/>
    <n v="18.670500000000001"/>
    <n v="10.891125000000001"/>
    <n v="0"/>
    <n v="0"/>
    <n v="0"/>
    <n v="0"/>
    <m/>
    <n v="0"/>
    <n v="154.03162499999999"/>
    <n v="0"/>
    <n v="0"/>
  </r>
  <r>
    <x v="3"/>
    <n v="2025"/>
    <x v="0"/>
    <s v="GD"/>
    <x v="0"/>
    <s v="URT_GD: General Distribution"/>
    <n v="2"/>
    <m/>
    <m/>
    <x v="3"/>
    <m/>
    <s v="Atsimo Antsinana"/>
    <s v="Vondrozo"/>
    <m/>
    <s v="Mahatsinjo"/>
    <m/>
    <m/>
    <m/>
    <n v="7686"/>
    <n v="1537.2"/>
    <s v="IK"/>
    <n v="15"/>
    <n v="46.116"/>
    <n v="0"/>
    <n v="0"/>
    <n v="0"/>
    <n v="6.9173999999999998"/>
    <n v="4.0351499999999998"/>
    <n v="0"/>
    <n v="0"/>
    <n v="0"/>
    <n v="0"/>
    <m/>
    <n v="0"/>
    <n v="57.068550000000002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Manakompy"/>
    <m/>
    <m/>
    <m/>
    <n v="6759"/>
    <n v="1351.8"/>
    <s v="IK"/>
    <n v="15"/>
    <n v="40.554000000000002"/>
    <n v="0"/>
    <n v="0"/>
    <n v="0"/>
    <n v="6.0831"/>
    <n v="3.5484749999999998"/>
    <n v="0"/>
    <n v="0"/>
    <n v="0"/>
    <n v="0"/>
    <m/>
    <n v="0"/>
    <n v="50.185575"/>
    <n v="0"/>
    <n v="0"/>
  </r>
  <r>
    <x v="3"/>
    <n v="2025"/>
    <x v="0"/>
    <s v="GD"/>
    <x v="0"/>
    <s v="URT_GD: General Distribution"/>
    <n v="2"/>
    <m/>
    <s v="Amboasary"/>
    <x v="0"/>
    <s v="Taolagnaro"/>
    <s v="Anosy"/>
    <s v="Amboasary"/>
    <m/>
    <s v="Maromby"/>
    <m/>
    <m/>
    <m/>
    <n v="15242"/>
    <n v="3048.4"/>
    <s v="IK"/>
    <n v="15"/>
    <n v="91.451999999999998"/>
    <n v="0"/>
    <n v="0"/>
    <n v="0"/>
    <n v="13.7178"/>
    <n v="8.0020500000000006"/>
    <n v="0"/>
    <n v="0"/>
    <n v="0"/>
    <n v="0"/>
    <m/>
    <n v="0"/>
    <n v="113.17184999999999"/>
    <n v="0"/>
    <n v="0"/>
  </r>
  <r>
    <x v="3"/>
    <n v="2025"/>
    <x v="0"/>
    <s v="GD"/>
    <x v="0"/>
    <s v="URT_GD: General Distribution"/>
    <n v="1"/>
    <m/>
    <s v="Ampanihy"/>
    <x v="1"/>
    <s v="Tuléar"/>
    <s v="Atsimo Andrefana"/>
    <s v="Ampanihy Ouest"/>
    <m/>
    <s v="Ankilizato"/>
    <m/>
    <m/>
    <m/>
    <n v="7940"/>
    <n v="1588"/>
    <s v="IK"/>
    <n v="15"/>
    <n v="47.64"/>
    <n v="0"/>
    <n v="0"/>
    <n v="0"/>
    <n v="7.1459999999999999"/>
    <n v="4.1684999999999999"/>
    <n v="0"/>
    <n v="0"/>
    <n v="0"/>
    <n v="0"/>
    <m/>
    <n v="0"/>
    <n v="58.954500000000003"/>
    <n v="0"/>
    <n v="0"/>
  </r>
  <r>
    <x v="3"/>
    <n v="2025"/>
    <x v="0"/>
    <s v="GD"/>
    <x v="0"/>
    <s v="URT_GD: General Distribution"/>
    <n v="1"/>
    <m/>
    <s v="Tuléar"/>
    <x v="2"/>
    <s v="Tuléar"/>
    <s v="Atsimo Andrefana"/>
    <s v="Betioky"/>
    <m/>
    <s v="Marosavoa"/>
    <m/>
    <m/>
    <m/>
    <n v="3766"/>
    <n v="753.2"/>
    <s v="IK"/>
    <n v="15"/>
    <n v="22.596"/>
    <n v="0"/>
    <n v="0"/>
    <n v="0"/>
    <n v="3.3894000000000002"/>
    <n v="1.97715"/>
    <n v="0"/>
    <n v="0"/>
    <n v="0"/>
    <n v="0"/>
    <m/>
    <n v="0"/>
    <n v="27.96255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Maroviro"/>
    <m/>
    <m/>
    <m/>
    <n v="12420"/>
    <n v="2484"/>
    <s v="IK"/>
    <n v="15"/>
    <n v="74.52"/>
    <n v="0"/>
    <n v="0"/>
    <n v="0"/>
    <n v="11.178000000000001"/>
    <n v="6.5205000000000002"/>
    <n v="0"/>
    <n v="0"/>
    <n v="0"/>
    <n v="0"/>
    <m/>
    <n v="0"/>
    <n v="92.218499999999992"/>
    <n v="0"/>
    <n v="0"/>
  </r>
  <r>
    <x v="3"/>
    <n v="2025"/>
    <x v="0"/>
    <s v="GD"/>
    <x v="0"/>
    <s v="URT_GD: General Distribution"/>
    <n v="1"/>
    <m/>
    <m/>
    <x v="3"/>
    <m/>
    <s v="Atsimo Antsinana"/>
    <s v="Vangaindrano"/>
    <m/>
    <s v="Matanga"/>
    <m/>
    <m/>
    <m/>
    <n v="13734"/>
    <n v="2746.8"/>
    <s v="IK"/>
    <n v="15"/>
    <n v="82.403999999999996"/>
    <n v="0"/>
    <n v="0"/>
    <n v="0"/>
    <n v="12.3606"/>
    <n v="7.21035"/>
    <n v="0"/>
    <n v="0"/>
    <n v="0"/>
    <n v="0"/>
    <m/>
    <n v="0"/>
    <n v="101.97495000000001"/>
    <n v="0"/>
    <n v="0"/>
  </r>
  <r>
    <x v="3"/>
    <n v="2025"/>
    <x v="0"/>
    <s v="GD"/>
    <x v="0"/>
    <s v="URT_GD: General Distribution"/>
    <n v="1"/>
    <m/>
    <m/>
    <x v="3"/>
    <m/>
    <s v="Atsimo Antsinana"/>
    <s v="Befotaka"/>
    <m/>
    <s v="Antondabe"/>
    <m/>
    <m/>
    <m/>
    <n v="5174"/>
    <n v="1034.8"/>
    <s v="IK"/>
    <n v="15"/>
    <n v="31.044"/>
    <n v="0"/>
    <n v="0"/>
    <n v="0"/>
    <n v="4.6566000000000001"/>
    <n v="2.7163499999999998"/>
    <n v="0"/>
    <n v="0"/>
    <n v="0"/>
    <n v="0"/>
    <m/>
    <n v="0"/>
    <n v="38.41695"/>
    <n v="0"/>
    <n v="0"/>
  </r>
  <r>
    <x v="3"/>
    <n v="2025"/>
    <x v="0"/>
    <s v="GD"/>
    <x v="0"/>
    <s v="URT_GD: General Distribution"/>
    <n v="1"/>
    <m/>
    <s v="Amboasary"/>
    <x v="0"/>
    <s v="Taolagnaro"/>
    <s v="Anosy"/>
    <s v="Amboasary"/>
    <m/>
    <s v="Ranobe"/>
    <m/>
    <m/>
    <m/>
    <n v="8462"/>
    <n v="1692.4"/>
    <s v="IK"/>
    <n v="15"/>
    <n v="50.771999999999998"/>
    <n v="0"/>
    <n v="0"/>
    <n v="0"/>
    <n v="7.6158000000000001"/>
    <n v="4.4425499999999998"/>
    <n v="0"/>
    <n v="0"/>
    <n v="0"/>
    <n v="0"/>
    <m/>
    <n v="0"/>
    <n v="62.830349999999996"/>
    <n v="0"/>
    <n v="0"/>
  </r>
  <r>
    <x v="3"/>
    <n v="2025"/>
    <x v="0"/>
    <s v="GD"/>
    <x v="0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s v="IK"/>
    <n v="15"/>
    <n v="66.197999999999993"/>
    <n v="0"/>
    <n v="0"/>
    <n v="0"/>
    <n v="9.9297000000000004"/>
    <n v="5.7923249999999999"/>
    <n v="0"/>
    <n v="0"/>
    <n v="0"/>
    <n v="0"/>
    <m/>
    <n v="0"/>
    <n v="81.920024999999995"/>
    <n v="0"/>
    <n v="0"/>
  </r>
  <r>
    <x v="3"/>
    <n v="2025"/>
    <x v="0"/>
    <s v="GD"/>
    <x v="0"/>
    <s v="URT_GD: General Distribution"/>
    <n v="1"/>
    <m/>
    <s v="Ambovombe"/>
    <x v="0"/>
    <s v="Taolagnaro"/>
    <s v="Androy"/>
    <s v="Ambovombe"/>
    <m/>
    <s v="Jafaro"/>
    <m/>
    <m/>
    <m/>
    <n v="26677"/>
    <n v="5335.4"/>
    <s v="IK"/>
    <n v="15"/>
    <n v="160.06200000000001"/>
    <n v="0"/>
    <n v="0"/>
    <n v="0"/>
    <n v="24.0093"/>
    <n v="14.005425000000001"/>
    <n v="0"/>
    <n v="0"/>
    <n v="0"/>
    <n v="0"/>
    <m/>
    <n v="0"/>
    <n v="198.07672500000001"/>
    <n v="0"/>
    <n v="0"/>
  </r>
  <r>
    <x v="3"/>
    <n v="2025"/>
    <x v="0"/>
    <s v="GD"/>
    <x v="0"/>
    <s v="URT_GD: General Distribution"/>
    <n v="2"/>
    <m/>
    <s v="Tuléar"/>
    <x v="2"/>
    <s v="Tuléar"/>
    <s v="Atsimo Andrefana"/>
    <s v="Betioky"/>
    <m/>
    <s v="Tongobory"/>
    <m/>
    <m/>
    <m/>
    <n v="8716"/>
    <n v="1743.2"/>
    <s v="IK"/>
    <n v="15"/>
    <n v="52.295999999999999"/>
    <n v="0"/>
    <n v="0"/>
    <n v="0"/>
    <n v="7.8444000000000003"/>
    <n v="4.5758999999999999"/>
    <n v="0"/>
    <n v="0"/>
    <n v="0"/>
    <n v="0"/>
    <m/>
    <n v="0"/>
    <n v="64.716300000000004"/>
    <n v="0"/>
    <n v="0"/>
  </r>
  <r>
    <x v="3"/>
    <n v="2025"/>
    <x v="0"/>
    <s v="GD"/>
    <x v="0"/>
    <s v="URT_GD: General Distribution"/>
    <n v="1"/>
    <m/>
    <m/>
    <x v="3"/>
    <m/>
    <s v="Atsimo Antsinana"/>
    <s v="Vangaindrano"/>
    <m/>
    <s v="Manambondro"/>
    <m/>
    <m/>
    <m/>
    <n v="4868"/>
    <n v="973.6"/>
    <s v="IK"/>
    <n v="15"/>
    <n v="29.207999999999998"/>
    <n v="0"/>
    <n v="0"/>
    <n v="0"/>
    <n v="4.3811999999999998"/>
    <n v="2.5556999999999999"/>
    <n v="0"/>
    <n v="0"/>
    <n v="0"/>
    <n v="0"/>
    <m/>
    <n v="0"/>
    <n v="36.1449"/>
    <n v="0"/>
    <n v="0"/>
  </r>
  <r>
    <x v="3"/>
    <n v="2025"/>
    <x v="0"/>
    <s v="GD"/>
    <x v="0"/>
    <s v="URT_GD: General Distribution"/>
    <n v="1"/>
    <m/>
    <m/>
    <x v="3"/>
    <m/>
    <s v="Atsimo Antsinana"/>
    <s v="Vangaindrano"/>
    <m/>
    <s v="Marokibo"/>
    <m/>
    <m/>
    <m/>
    <n v="4267"/>
    <n v="853.4"/>
    <s v="IK"/>
    <n v="15"/>
    <n v="25.602"/>
    <n v="0"/>
    <n v="0"/>
    <n v="0"/>
    <n v="3.8403"/>
    <n v="2.2401749999999998"/>
    <n v="0"/>
    <n v="0"/>
    <n v="0"/>
    <n v="0"/>
    <m/>
    <n v="0"/>
    <n v="31.682475"/>
    <n v="0"/>
    <n v="0"/>
  </r>
  <r>
    <x v="3"/>
    <n v="2025"/>
    <x v="0"/>
    <s v="GD"/>
    <x v="0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s v="IK"/>
    <n v="15"/>
    <n v="75.774000000000001"/>
    <n v="0"/>
    <n v="0"/>
    <n v="0"/>
    <n v="11.366099999999999"/>
    <n v="6.6302250000000003"/>
    <n v="0"/>
    <n v="0"/>
    <n v="0"/>
    <n v="0"/>
    <m/>
    <n v="0"/>
    <n v="93.770325"/>
    <n v="0"/>
    <n v="0"/>
  </r>
  <r>
    <x v="3"/>
    <n v="2025"/>
    <x v="0"/>
    <s v="GD"/>
    <x v="0"/>
    <s v="URT_GD: General Distribution"/>
    <n v="1"/>
    <m/>
    <m/>
    <x v="3"/>
    <m/>
    <s v="Atsimo Antsinana"/>
    <s v="Vangaindrano"/>
    <m/>
    <s v="Masianaka"/>
    <m/>
    <m/>
    <m/>
    <n v="19824"/>
    <n v="3964.8"/>
    <s v="IK"/>
    <n v="15"/>
    <n v="118.944"/>
    <n v="0"/>
    <n v="0"/>
    <n v="0"/>
    <n v="17.8416"/>
    <n v="10.4076"/>
    <n v="0"/>
    <n v="0"/>
    <n v="0"/>
    <n v="0"/>
    <m/>
    <n v="0"/>
    <n v="147.19319999999999"/>
    <n v="0"/>
    <n v="0"/>
  </r>
  <r>
    <x v="3"/>
    <n v="2025"/>
    <x v="0"/>
    <s v="GD"/>
    <x v="0"/>
    <s v="URT_GD: General Distribution"/>
    <n v="1"/>
    <m/>
    <m/>
    <x v="3"/>
    <m/>
    <s v="Atsimo Antsinana"/>
    <s v="Vangaindrano"/>
    <m/>
    <s v="Ranomena"/>
    <m/>
    <m/>
    <m/>
    <n v="17521"/>
    <n v="3504.2"/>
    <s v="IK"/>
    <n v="15"/>
    <n v="105.126"/>
    <n v="0"/>
    <n v="0"/>
    <n v="0"/>
    <n v="15.7689"/>
    <n v="9.1985250000000001"/>
    <n v="0"/>
    <n v="0"/>
    <n v="0"/>
    <n v="0"/>
    <m/>
    <n v="0"/>
    <n v="130.093425"/>
    <n v="0"/>
    <n v="0"/>
  </r>
  <r>
    <x v="3"/>
    <n v="2025"/>
    <x v="0"/>
    <s v="GD"/>
    <x v="0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s v="IK"/>
    <n v="15"/>
    <n v="34.488"/>
    <n v="0"/>
    <n v="0"/>
    <n v="0"/>
    <n v="5.1731999999999996"/>
    <n v="3.0177"/>
    <n v="0"/>
    <n v="0"/>
    <n v="0"/>
    <n v="0"/>
    <m/>
    <n v="0"/>
    <n v="42.678899999999999"/>
    <n v="0"/>
    <n v="0"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Ambahita"/>
    <m/>
    <m/>
    <m/>
    <n v="835"/>
    <n v="835"/>
    <s v="IK"/>
    <n v="30"/>
    <m/>
    <n v="0"/>
    <n v="0"/>
    <n v="0"/>
    <n v="0"/>
    <n v="0.501"/>
    <n v="0"/>
    <n v="0"/>
    <n v="5.01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Amborompotsy"/>
    <m/>
    <m/>
    <m/>
    <n v="882"/>
    <n v="882"/>
    <s v="IK"/>
    <n v="30"/>
    <m/>
    <n v="0"/>
    <n v="0"/>
    <n v="0"/>
    <n v="0"/>
    <n v="0.5292"/>
    <n v="0"/>
    <n v="0"/>
    <n v="5.2919999999999998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Ambovombe"/>
    <m/>
    <s v="Andalatanosy"/>
    <m/>
    <m/>
    <m/>
    <n v="1691"/>
    <n v="1691"/>
    <s v="IK"/>
    <n v="30"/>
    <m/>
    <n v="0"/>
    <n v="0"/>
    <n v="0"/>
    <n v="0"/>
    <n v="1.0145999999999999"/>
    <n v="0"/>
    <n v="0"/>
    <n v="10.146000000000001"/>
    <n v="0"/>
    <m/>
    <n v="0"/>
    <n v="0"/>
    <m/>
    <m/>
  </r>
  <r>
    <x v="3"/>
    <n v="2025"/>
    <x v="0"/>
    <s v="Nutrition"/>
    <x v="1"/>
    <s v="URT_PREV:Prevention of acute malnutrition"/>
    <n v="2"/>
    <m/>
    <m/>
    <x v="0"/>
    <s v="Taolagnaro"/>
    <s v="Anosy"/>
    <s v="Taolagnaro"/>
    <m/>
    <s v="Andranobory"/>
    <m/>
    <m/>
    <m/>
    <n v="364"/>
    <n v="364"/>
    <s v="IK"/>
    <n v="30"/>
    <m/>
    <n v="0"/>
    <n v="0"/>
    <n v="0"/>
    <n v="0"/>
    <n v="0.21840000000000001"/>
    <n v="0"/>
    <n v="0"/>
    <n v="2.1840000000000002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Androipano"/>
    <m/>
    <m/>
    <m/>
    <n v="578"/>
    <n v="578"/>
    <s v="IK"/>
    <n v="30"/>
    <m/>
    <n v="0"/>
    <n v="0"/>
    <n v="0"/>
    <n v="0"/>
    <n v="0.3468"/>
    <n v="0"/>
    <n v="0"/>
    <n v="3.468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Androka"/>
    <m/>
    <m/>
    <m/>
    <n v="1750"/>
    <n v="1750"/>
    <s v="IK"/>
    <n v="30"/>
    <m/>
    <n v="0"/>
    <n v="0"/>
    <n v="0"/>
    <n v="0"/>
    <n v="1.05"/>
    <n v="0"/>
    <n v="0"/>
    <n v="10.5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Vatovavy"/>
    <s v="Nosy Varika"/>
    <m/>
    <s v="Ambahy"/>
    <m/>
    <m/>
    <m/>
    <n v="187"/>
    <n v="187"/>
    <s v="IK"/>
    <n v="30"/>
    <n v="0"/>
    <n v="0"/>
    <n v="0"/>
    <n v="0"/>
    <n v="0"/>
    <n v="0.11219999999999999"/>
    <n v="0"/>
    <n v="0"/>
    <n v="1.1220000000000001"/>
    <n v="0"/>
    <n v="0"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Anivorano Mitsinjo"/>
    <m/>
    <m/>
    <m/>
    <n v="340"/>
    <n v="340"/>
    <s v="IK"/>
    <n v="30"/>
    <m/>
    <n v="0"/>
    <n v="0"/>
    <n v="0"/>
    <n v="0"/>
    <n v="0.20399999999999999"/>
    <n v="0"/>
    <n v="0"/>
    <n v="2.04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Vatovavy"/>
    <s v="Nosy Varika"/>
    <m/>
    <s v="Ambodirian'I Sahafary"/>
    <m/>
    <m/>
    <m/>
    <n v="911"/>
    <n v="911"/>
    <s v="IK"/>
    <n v="30"/>
    <n v="0"/>
    <n v="0"/>
    <n v="0"/>
    <n v="0"/>
    <n v="0"/>
    <n v="0.54659999999999997"/>
    <n v="0"/>
    <n v="0"/>
    <n v="5.4660000000000002"/>
    <n v="0"/>
    <n v="0"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Anja Nord"/>
    <m/>
    <m/>
    <m/>
    <n v="189"/>
    <n v="189"/>
    <s v="IK"/>
    <n v="30"/>
    <m/>
    <n v="0"/>
    <n v="0"/>
    <n v="0"/>
    <n v="0"/>
    <n v="0.1134"/>
    <n v="0"/>
    <n v="0"/>
    <n v="1.1339999999999999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Ambovombe"/>
    <m/>
    <s v="Ampamata"/>
    <m/>
    <m/>
    <m/>
    <n v="508"/>
    <n v="508"/>
    <s v="IK"/>
    <n v="30"/>
    <m/>
    <n v="0"/>
    <n v="0"/>
    <n v="0"/>
    <n v="0"/>
    <n v="0.30480000000000002"/>
    <n v="0"/>
    <n v="0"/>
    <n v="3.048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s v="IK"/>
    <n v="30"/>
    <m/>
    <n v="0"/>
    <n v="0"/>
    <n v="0"/>
    <n v="0"/>
    <n v="0.56640000000000001"/>
    <n v="0"/>
    <n v="0"/>
    <n v="5.6639999999999997"/>
    <n v="0"/>
    <m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Ankazombalala"/>
    <m/>
    <m/>
    <m/>
    <n v="600"/>
    <n v="600"/>
    <s v="IK"/>
    <n v="30"/>
    <m/>
    <n v="0"/>
    <n v="0"/>
    <n v="0"/>
    <n v="0"/>
    <n v="0.36"/>
    <n v="0"/>
    <n v="0"/>
    <n v="3.6"/>
    <n v="0"/>
    <m/>
    <n v="0"/>
    <n v="0"/>
    <m/>
    <m/>
  </r>
  <r>
    <x v="3"/>
    <n v="2025"/>
    <x v="0"/>
    <s v="Nutrition"/>
    <x v="1"/>
    <s v="URT_PREV:Prevention of acute malnutrition"/>
    <n v="2"/>
    <m/>
    <m/>
    <x v="1"/>
    <s v="Tuléar"/>
    <s v="Atsimo Andrefana"/>
    <s v="Ampanihy Ouest"/>
    <m/>
    <s v="Ankiliabo"/>
    <m/>
    <m/>
    <m/>
    <n v="905"/>
    <n v="905"/>
    <s v="IK"/>
    <n v="30"/>
    <m/>
    <n v="0"/>
    <n v="0"/>
    <n v="0"/>
    <n v="0"/>
    <n v="0.54300000000000004"/>
    <n v="0"/>
    <n v="0"/>
    <n v="5.43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Antsakoamaro"/>
    <m/>
    <m/>
    <m/>
    <n v="310"/>
    <n v="310"/>
    <s v="IK"/>
    <n v="30"/>
    <m/>
    <n v="0"/>
    <n v="0"/>
    <n v="0"/>
    <n v="0"/>
    <n v="0.186"/>
    <n v="0"/>
    <n v="0"/>
    <n v="1.86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Belafike haut"/>
    <m/>
    <m/>
    <m/>
    <n v="510"/>
    <n v="510"/>
    <s v="IK"/>
    <n v="30"/>
    <m/>
    <n v="0"/>
    <n v="0"/>
    <n v="0"/>
    <n v="0"/>
    <n v="0.30599999999999999"/>
    <n v="0"/>
    <n v="0"/>
    <n v="3.06"/>
    <n v="0"/>
    <m/>
    <n v="0"/>
    <n v="0"/>
    <m/>
    <m/>
  </r>
  <r>
    <x v="3"/>
    <n v="2025"/>
    <x v="0"/>
    <s v="Nutrition"/>
    <x v="1"/>
    <s v="URT_PREV:Prevention of acute malnutrition"/>
    <n v="2"/>
    <m/>
    <m/>
    <x v="3"/>
    <m/>
    <s v="Atsimo Antsinana"/>
    <s v="Vondrozo"/>
    <m/>
    <s v="Anandravy"/>
    <m/>
    <m/>
    <m/>
    <n v="240"/>
    <n v="240"/>
    <s v="IK"/>
    <n v="30"/>
    <m/>
    <n v="0"/>
    <n v="0"/>
    <n v="0"/>
    <n v="0"/>
    <n v="0.14399999999999999"/>
    <n v="0"/>
    <n v="0"/>
    <n v="1.44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Belindo Mahasoa"/>
    <m/>
    <m/>
    <m/>
    <n v="750"/>
    <n v="750"/>
    <s v="IK"/>
    <n v="30"/>
    <m/>
    <n v="0"/>
    <n v="0"/>
    <n v="0"/>
    <n v="0"/>
    <n v="0.45"/>
    <n v="0"/>
    <n v="0"/>
    <n v="4.5"/>
    <n v="0"/>
    <m/>
    <n v="0"/>
    <n v="0"/>
    <m/>
    <m/>
  </r>
  <r>
    <x v="3"/>
    <n v="2025"/>
    <x v="0"/>
    <s v="Nutrition"/>
    <x v="1"/>
    <s v="URT_PREV:Prevention of acute malnutrition"/>
    <n v="2"/>
    <m/>
    <m/>
    <x v="3"/>
    <m/>
    <s v="Atsimo Antsinana"/>
    <s v="Midongy Atsimo"/>
    <m/>
    <s v="Andranolalina"/>
    <m/>
    <m/>
    <m/>
    <n v="367"/>
    <n v="367"/>
    <s v="IK"/>
    <n v="30"/>
    <n v="0"/>
    <n v="0"/>
    <n v="0"/>
    <n v="0"/>
    <n v="0"/>
    <n v="0.22020000000000001"/>
    <n v="0"/>
    <n v="0"/>
    <n v="2.202"/>
    <n v="0"/>
    <n v="0"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Ankazomanga Ouest"/>
    <m/>
    <m/>
    <m/>
    <n v="181"/>
    <n v="181"/>
    <s v="IK"/>
    <n v="30"/>
    <n v="0"/>
    <n v="0"/>
    <n v="0"/>
    <n v="0"/>
    <n v="0"/>
    <n v="0.1086"/>
    <n v="0"/>
    <n v="0"/>
    <n v="1.0860000000000001"/>
    <n v="0"/>
    <n v="0"/>
    <n v="0"/>
    <n v="0"/>
    <m/>
    <m/>
  </r>
  <r>
    <x v="3"/>
    <n v="2025"/>
    <x v="0"/>
    <s v="Nutrition"/>
    <x v="1"/>
    <s v="URT_PREV:Prevention of acute malnutrition"/>
    <n v="1"/>
    <m/>
    <m/>
    <x v="2"/>
    <s v="Tuléar"/>
    <s v="Atsimo Andrefana"/>
    <s v="Betioky"/>
    <m/>
    <s v="Beora"/>
    <m/>
    <m/>
    <m/>
    <n v="50"/>
    <n v="50"/>
    <s v="IK"/>
    <n v="30"/>
    <m/>
    <n v="0"/>
    <n v="0"/>
    <n v="0"/>
    <n v="0"/>
    <n v="0.03"/>
    <n v="0"/>
    <n v="0"/>
    <n v="0.3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Bevitiky"/>
    <m/>
    <m/>
    <m/>
    <n v="317"/>
    <n v="317"/>
    <s v="IK"/>
    <n v="30"/>
    <m/>
    <n v="0"/>
    <n v="0"/>
    <n v="0"/>
    <n v="0"/>
    <n v="0.19020000000000001"/>
    <n v="0"/>
    <n v="0"/>
    <n v="1.9019999999999999"/>
    <n v="0"/>
    <m/>
    <n v="0"/>
    <n v="0"/>
    <m/>
    <m/>
  </r>
  <r>
    <x v="3"/>
    <n v="2025"/>
    <x v="0"/>
    <s v="Nutrition"/>
    <x v="1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s v="IK"/>
    <n v="30"/>
    <m/>
    <n v="0"/>
    <n v="0"/>
    <n v="0"/>
    <n v="0"/>
    <n v="0.40620000000000001"/>
    <n v="0"/>
    <n v="0"/>
    <n v="4.0620000000000003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Gogogogo"/>
    <m/>
    <m/>
    <m/>
    <n v="948"/>
    <n v="948"/>
    <s v="IK"/>
    <n v="30"/>
    <m/>
    <n v="0"/>
    <n v="0"/>
    <n v="0"/>
    <n v="0"/>
    <n v="0.56879999999999997"/>
    <n v="0"/>
    <n v="0"/>
    <n v="5.6879999999999997"/>
    <n v="0"/>
    <m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Lazarivo"/>
    <m/>
    <m/>
    <m/>
    <n v="545"/>
    <n v="545"/>
    <s v="IK"/>
    <n v="30"/>
    <m/>
    <n v="0"/>
    <n v="0"/>
    <n v="0"/>
    <n v="0"/>
    <n v="0.32700000000000001"/>
    <n v="0"/>
    <n v="0"/>
    <n v="3.27"/>
    <n v="0"/>
    <m/>
    <n v="0"/>
    <n v="0"/>
    <m/>
    <m/>
  </r>
  <r>
    <x v="3"/>
    <n v="2025"/>
    <x v="0"/>
    <s v="Nutrition"/>
    <x v="1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s v="IK"/>
    <n v="30"/>
    <m/>
    <n v="0"/>
    <n v="0"/>
    <n v="0"/>
    <n v="0"/>
    <n v="0.17280000000000001"/>
    <n v="0"/>
    <n v="0"/>
    <n v="1.728"/>
    <n v="0"/>
    <m/>
    <n v="0"/>
    <n v="0"/>
    <m/>
    <m/>
  </r>
  <r>
    <x v="3"/>
    <n v="2025"/>
    <x v="0"/>
    <s v="Nutrition"/>
    <x v="1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s v="IK"/>
    <n v="30"/>
    <m/>
    <n v="0"/>
    <n v="0"/>
    <n v="0"/>
    <n v="0"/>
    <n v="0.62219999999999998"/>
    <n v="0"/>
    <n v="0"/>
    <n v="6.2220000000000004"/>
    <n v="0"/>
    <m/>
    <n v="0"/>
    <n v="0"/>
    <m/>
    <m/>
  </r>
  <r>
    <x v="3"/>
    <n v="2025"/>
    <x v="0"/>
    <s v="Nutrition"/>
    <x v="1"/>
    <s v="URT_PREV:Prevention of acute malnutrition"/>
    <n v="2"/>
    <m/>
    <m/>
    <x v="3"/>
    <m/>
    <s v="Atsimo Antsinana"/>
    <s v="Vondrozo"/>
    <m/>
    <s v="Mahatsinjo"/>
    <m/>
    <m/>
    <m/>
    <n v="384"/>
    <n v="384"/>
    <s v="IK"/>
    <n v="30"/>
    <m/>
    <n v="0"/>
    <n v="0"/>
    <n v="0"/>
    <n v="0"/>
    <n v="0.23039999999999999"/>
    <n v="0"/>
    <n v="0"/>
    <n v="2.3039999999999998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Manakompy"/>
    <m/>
    <m/>
    <m/>
    <n v="338"/>
    <n v="338"/>
    <s v="IK"/>
    <n v="30"/>
    <m/>
    <n v="0"/>
    <n v="0"/>
    <n v="0"/>
    <n v="0"/>
    <n v="0.20280000000000001"/>
    <n v="0"/>
    <n v="0"/>
    <n v="2.028"/>
    <n v="0"/>
    <m/>
    <n v="0"/>
    <n v="0"/>
    <m/>
    <m/>
  </r>
  <r>
    <x v="3"/>
    <n v="2025"/>
    <x v="0"/>
    <s v="Nutrition"/>
    <x v="1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s v="IK"/>
    <n v="30"/>
    <m/>
    <n v="0"/>
    <n v="0"/>
    <n v="0"/>
    <n v="0"/>
    <n v="0.4572"/>
    <n v="0"/>
    <n v="0"/>
    <n v="4.5720000000000001"/>
    <n v="0"/>
    <m/>
    <n v="0"/>
    <n v="0"/>
    <m/>
    <m/>
  </r>
  <r>
    <x v="3"/>
    <n v="2025"/>
    <x v="0"/>
    <s v="Nutrition"/>
    <x v="1"/>
    <s v="URT_PREV:Prevention of acute malnutrition"/>
    <n v="1"/>
    <m/>
    <m/>
    <x v="2"/>
    <s v="Tuléar"/>
    <s v="Atsimo Andrefana"/>
    <s v="Betioky"/>
    <m/>
    <s v="Marosavoa"/>
    <m/>
    <m/>
    <m/>
    <n v="188"/>
    <n v="188"/>
    <s v="IK"/>
    <n v="30"/>
    <m/>
    <n v="0"/>
    <n v="0"/>
    <n v="0"/>
    <n v="0"/>
    <n v="0.1128"/>
    <n v="0"/>
    <n v="0"/>
    <n v="1.1279999999999999"/>
    <n v="0"/>
    <m/>
    <n v="0"/>
    <n v="0"/>
    <m/>
    <m/>
  </r>
  <r>
    <x v="3"/>
    <n v="2025"/>
    <x v="0"/>
    <s v="Nutrition"/>
    <x v="1"/>
    <s v="URT_PREV:Prevention of acute malnutrition"/>
    <n v="1"/>
    <m/>
    <m/>
    <x v="1"/>
    <s v="Tuléar"/>
    <s v="Atsimo Andrefana"/>
    <s v="Ampanihy Ouest"/>
    <m/>
    <s v="Ankilizato"/>
    <m/>
    <m/>
    <m/>
    <n v="397"/>
    <n v="397"/>
    <s v="IK"/>
    <n v="30"/>
    <m/>
    <n v="0"/>
    <n v="0"/>
    <n v="0"/>
    <n v="0"/>
    <n v="0.2382"/>
    <n v="0"/>
    <n v="0"/>
    <n v="2.3820000000000001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Maroviro"/>
    <m/>
    <m/>
    <m/>
    <n v="621"/>
    <n v="621"/>
    <s v="IK"/>
    <n v="30"/>
    <m/>
    <n v="0"/>
    <n v="0"/>
    <n v="0"/>
    <n v="0"/>
    <n v="0.37259999999999999"/>
    <n v="0"/>
    <n v="0"/>
    <n v="3.726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s v="IK"/>
    <n v="30"/>
    <n v="0"/>
    <n v="0"/>
    <n v="0"/>
    <n v="0"/>
    <n v="0"/>
    <n v="0.79200000000000004"/>
    <n v="0"/>
    <n v="0"/>
    <n v="7.92"/>
    <n v="0"/>
    <n v="0"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Vangaindrano"/>
    <m/>
    <s v="Matanga"/>
    <m/>
    <m/>
    <m/>
    <n v="687"/>
    <n v="687"/>
    <s v="IK"/>
    <n v="30"/>
    <m/>
    <n v="0"/>
    <n v="0"/>
    <n v="0"/>
    <n v="0"/>
    <n v="0.41220000000000001"/>
    <n v="0"/>
    <n v="0"/>
    <n v="4.1219999999999999"/>
    <n v="0"/>
    <m/>
    <n v="0"/>
    <n v="0"/>
    <m/>
    <m/>
  </r>
  <r>
    <x v="3"/>
    <n v="2025"/>
    <x v="0"/>
    <s v="Nutrition"/>
    <x v="1"/>
    <s v="URT_PREV:Prevention of acute malnutrition"/>
    <n v="2"/>
    <m/>
    <m/>
    <x v="3"/>
    <m/>
    <s v="Atsimo Antsinana"/>
    <s v="Befotaka"/>
    <m/>
    <s v="Antondabe"/>
    <m/>
    <m/>
    <m/>
    <n v="259"/>
    <n v="259"/>
    <s v="IK"/>
    <n v="30"/>
    <m/>
    <n v="0"/>
    <n v="0"/>
    <n v="0"/>
    <n v="0"/>
    <n v="0.15540000000000001"/>
    <n v="0"/>
    <n v="0"/>
    <n v="1.554"/>
    <n v="0"/>
    <m/>
    <n v="0"/>
    <n v="0"/>
    <m/>
    <m/>
  </r>
  <r>
    <x v="3"/>
    <n v="2025"/>
    <x v="0"/>
    <s v="Nutrition"/>
    <x v="1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s v="IK"/>
    <n v="30"/>
    <m/>
    <n v="0"/>
    <n v="0"/>
    <n v="0"/>
    <n v="0"/>
    <n v="0.25380000000000003"/>
    <n v="0"/>
    <n v="0"/>
    <n v="2.5379999999999998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Befotaka"/>
    <m/>
    <s v="Befotaka Sud"/>
    <m/>
    <m/>
    <m/>
    <n v="513"/>
    <n v="513"/>
    <s v="IK"/>
    <n v="30"/>
    <n v="0"/>
    <n v="0"/>
    <n v="0"/>
    <n v="0"/>
    <n v="0"/>
    <n v="0.30780000000000002"/>
    <n v="0"/>
    <n v="0"/>
    <n v="3.0779999999999998"/>
    <n v="0"/>
    <n v="0"/>
    <n v="0"/>
    <n v="0"/>
    <m/>
    <m/>
  </r>
  <r>
    <x v="3"/>
    <n v="2025"/>
    <x v="0"/>
    <s v="Nutrition"/>
    <x v="1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s v="IK"/>
    <n v="30"/>
    <m/>
    <n v="0"/>
    <n v="0"/>
    <n v="0"/>
    <n v="0"/>
    <n v="0.33119999999999999"/>
    <n v="0"/>
    <n v="0"/>
    <n v="3.3119999999999998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Vatovavy"/>
    <s v="Nosy Varika"/>
    <m/>
    <s v="Fanivelona"/>
    <m/>
    <m/>
    <m/>
    <n v="512"/>
    <n v="512"/>
    <s v="IK"/>
    <n v="30"/>
    <n v="0"/>
    <n v="0"/>
    <n v="0"/>
    <n v="0"/>
    <n v="0"/>
    <n v="0.30719999999999997"/>
    <n v="0"/>
    <n v="0"/>
    <n v="3.0720000000000001"/>
    <n v="0"/>
    <n v="0"/>
    <n v="0"/>
    <n v="0"/>
    <m/>
    <m/>
  </r>
  <r>
    <x v="3"/>
    <n v="2025"/>
    <x v="0"/>
    <s v="Nutrition"/>
    <x v="1"/>
    <s v="URT_PREV:Prevention of acute malnutrition"/>
    <n v="1"/>
    <m/>
    <m/>
    <x v="3"/>
    <m/>
    <s v="Vatovavy"/>
    <s v="Nosy Varika"/>
    <m/>
    <s v="Fiadanana"/>
    <m/>
    <m/>
    <m/>
    <n v="640"/>
    <n v="640"/>
    <s v="IK"/>
    <n v="30"/>
    <n v="0"/>
    <n v="0"/>
    <n v="0"/>
    <n v="0"/>
    <n v="0"/>
    <n v="0.38400000000000001"/>
    <n v="0"/>
    <n v="0"/>
    <n v="3.84"/>
    <n v="0"/>
    <n v="0"/>
    <n v="0"/>
    <n v="0"/>
    <m/>
    <m/>
  </r>
  <r>
    <x v="3"/>
    <n v="2025"/>
    <x v="0"/>
    <s v="Nutrition"/>
    <x v="1"/>
    <s v="URT_PREV:Prevention of acute malnutrition"/>
    <n v="2"/>
    <m/>
    <m/>
    <x v="3"/>
    <m/>
    <s v="Atsimo Antsinana"/>
    <s v="Midongy Atsimo"/>
    <m/>
    <s v="Ivondro"/>
    <m/>
    <m/>
    <m/>
    <n v="374"/>
    <n v="374"/>
    <s v="IK"/>
    <n v="30"/>
    <n v="0"/>
    <n v="0"/>
    <n v="0"/>
    <n v="0"/>
    <n v="0"/>
    <n v="0.22439999999999999"/>
    <n v="0"/>
    <n v="0"/>
    <n v="2.2440000000000002"/>
    <n v="0"/>
    <n v="0"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Ambovombe"/>
    <m/>
    <s v="Jafaro"/>
    <m/>
    <m/>
    <m/>
    <n v="1334"/>
    <n v="1334"/>
    <s v="IK"/>
    <n v="30"/>
    <m/>
    <n v="0"/>
    <n v="0"/>
    <n v="0"/>
    <n v="0"/>
    <n v="0.8004"/>
    <n v="0"/>
    <n v="0"/>
    <n v="8.0039999999999996"/>
    <n v="0"/>
    <m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Tongobory"/>
    <m/>
    <m/>
    <m/>
    <n v="436"/>
    <n v="436"/>
    <s v="IK"/>
    <n v="30"/>
    <m/>
    <n v="0"/>
    <n v="0"/>
    <n v="0"/>
    <n v="0"/>
    <n v="0.2616"/>
    <n v="0"/>
    <n v="0"/>
    <n v="2.6160000000000001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Vangaindrano"/>
    <m/>
    <s v="Manambondro"/>
    <m/>
    <m/>
    <m/>
    <n v="243"/>
    <n v="243"/>
    <s v="IK"/>
    <n v="30"/>
    <m/>
    <n v="0"/>
    <n v="0"/>
    <n v="0"/>
    <n v="0"/>
    <n v="0.14580000000000001"/>
    <n v="0"/>
    <n v="0"/>
    <n v="1.458"/>
    <n v="0"/>
    <m/>
    <n v="0"/>
    <n v="0"/>
    <m/>
    <m/>
  </r>
  <r>
    <x v="3"/>
    <n v="2025"/>
    <x v="0"/>
    <s v="Nutrition"/>
    <x v="1"/>
    <s v="URT_PREV:Prevention of acute malnutrition"/>
    <n v="1"/>
    <m/>
    <m/>
    <x v="2"/>
    <s v="Tuléar"/>
    <s v="Atsimo Andrefana"/>
    <s v="Betioky"/>
    <m/>
    <s v="Maroarivo Ankazomanga"/>
    <m/>
    <m/>
    <m/>
    <n v="323"/>
    <n v="323"/>
    <s v="IK"/>
    <n v="30"/>
    <n v="0"/>
    <n v="0"/>
    <n v="0"/>
    <n v="0"/>
    <n v="0"/>
    <n v="0.1938"/>
    <n v="0"/>
    <n v="0"/>
    <n v="1.9379999999999999"/>
    <n v="0"/>
    <n v="0"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Vangaindrano"/>
    <m/>
    <s v="Marokibo"/>
    <m/>
    <m/>
    <m/>
    <n v="213"/>
    <n v="213"/>
    <s v="IK"/>
    <n v="30"/>
    <m/>
    <n v="0"/>
    <n v="0"/>
    <n v="0"/>
    <n v="0"/>
    <n v="0.1278"/>
    <n v="0"/>
    <n v="0"/>
    <n v="1.278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loha"/>
    <m/>
    <s v="Tranovaho"/>
    <m/>
    <m/>
    <m/>
    <n v="631"/>
    <n v="631"/>
    <s v="IK"/>
    <n v="30"/>
    <m/>
    <n v="0"/>
    <n v="0"/>
    <n v="0"/>
    <n v="0"/>
    <n v="0.37859999999999999"/>
    <n v="0"/>
    <n v="0"/>
    <n v="3.786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Vangaindrano"/>
    <m/>
    <s v="Masianaka"/>
    <m/>
    <m/>
    <m/>
    <n v="991"/>
    <n v="991"/>
    <s v="IK"/>
    <n v="30"/>
    <m/>
    <n v="0"/>
    <n v="0"/>
    <n v="0"/>
    <n v="0"/>
    <n v="0.59460000000000002"/>
    <n v="0"/>
    <n v="0"/>
    <n v="5.9459999999999997"/>
    <n v="0"/>
    <m/>
    <n v="0"/>
    <n v="0"/>
    <m/>
    <m/>
  </r>
  <r>
    <x v="3"/>
    <n v="2025"/>
    <x v="0"/>
    <s v="Nutrition"/>
    <x v="1"/>
    <s v="URT_PREV:Prevention of acute malnutrition"/>
    <n v="1"/>
    <m/>
    <m/>
    <x v="3"/>
    <m/>
    <s v="Atsimo Antsinana"/>
    <s v="Vangaindrano"/>
    <m/>
    <s v="Ranomena"/>
    <m/>
    <m/>
    <m/>
    <n v="876"/>
    <n v="876"/>
    <s v="IK"/>
    <n v="30"/>
    <m/>
    <n v="0"/>
    <n v="0"/>
    <n v="0"/>
    <n v="0"/>
    <n v="0.52559999999999996"/>
    <n v="0"/>
    <n v="0"/>
    <n v="5.2560000000000002"/>
    <n v="0"/>
    <m/>
    <n v="0"/>
    <n v="0"/>
    <m/>
    <m/>
  </r>
  <r>
    <x v="3"/>
    <n v="2025"/>
    <x v="0"/>
    <s v="Nutrition"/>
    <x v="1"/>
    <s v="URT_PREV:Prevention of acute malnutrition"/>
    <n v="1"/>
    <m/>
    <m/>
    <x v="0"/>
    <s v="Taolagnaro"/>
    <s v="Androy"/>
    <s v="Bekily"/>
    <m/>
    <s v="Tsikolaky"/>
    <m/>
    <m/>
    <m/>
    <n v="287"/>
    <n v="287"/>
    <s v="IK"/>
    <n v="30"/>
    <m/>
    <n v="0"/>
    <n v="0"/>
    <n v="0"/>
    <n v="0"/>
    <n v="0.17219999999999999"/>
    <n v="0"/>
    <n v="0"/>
    <n v="1.722"/>
    <n v="0"/>
    <m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Salobe"/>
    <m/>
    <m/>
    <m/>
    <n v="222"/>
    <n v="222"/>
    <s v="IK"/>
    <n v="30"/>
    <n v="0"/>
    <n v="0"/>
    <n v="0"/>
    <n v="0"/>
    <n v="0"/>
    <n v="0.13320000000000001"/>
    <n v="0"/>
    <n v="0"/>
    <n v="1.3320000000000001"/>
    <n v="0"/>
    <n v="0"/>
    <n v="0"/>
    <n v="0"/>
    <m/>
    <m/>
  </r>
  <r>
    <x v="3"/>
    <n v="2025"/>
    <x v="0"/>
    <s v="Nutrition"/>
    <x v="1"/>
    <s v="URT_PREV:Prevention of acute malnutrition"/>
    <n v="2"/>
    <m/>
    <m/>
    <x v="2"/>
    <s v="Tuléar"/>
    <s v="Atsimo Andrefana"/>
    <s v="Betioky"/>
    <m/>
    <s v="Tanambao Haut"/>
    <m/>
    <m/>
    <m/>
    <n v="288"/>
    <n v="288"/>
    <s v="IK"/>
    <n v="30"/>
    <n v="0"/>
    <n v="0"/>
    <n v="0"/>
    <n v="0"/>
    <n v="0"/>
    <n v="0.17280000000000001"/>
    <n v="0"/>
    <n v="0"/>
    <n v="1.728"/>
    <n v="0"/>
    <n v="0"/>
    <n v="0"/>
    <n v="0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BORY NORD"/>
    <m/>
    <m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ANINDRATO"/>
    <m/>
    <m/>
    <n v="350"/>
    <m/>
    <s v="IK"/>
    <n v="30"/>
    <m/>
    <m/>
    <m/>
    <m/>
    <m/>
    <n v="0.21"/>
    <m/>
    <m/>
    <n v="2.1"/>
    <m/>
    <m/>
    <m/>
    <n v="2.3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LITELO II"/>
    <m/>
    <m/>
    <n v="270"/>
    <m/>
    <s v="IK"/>
    <n v="30"/>
    <m/>
    <m/>
    <m/>
    <m/>
    <m/>
    <n v="0.16200000000000001"/>
    <m/>
    <m/>
    <n v="1.62"/>
    <m/>
    <m/>
    <m/>
    <n v="1.78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JABELITSAKY"/>
    <m/>
    <m/>
    <n v="339"/>
    <m/>
    <s v="IK"/>
    <n v="30"/>
    <m/>
    <m/>
    <m/>
    <m/>
    <m/>
    <n v="0.2034"/>
    <m/>
    <m/>
    <n v="2.0339999999999998"/>
    <m/>
    <m/>
    <m/>
    <n v="2.2373999999999996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SELY NORD"/>
    <m/>
    <m/>
    <n v="619"/>
    <m/>
    <s v="IK"/>
    <n v="30"/>
    <m/>
    <m/>
    <m/>
    <m/>
    <m/>
    <n v="0.37140000000000001"/>
    <m/>
    <m/>
    <n v="3.714"/>
    <m/>
    <m/>
    <m/>
    <n v="4.0853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BEFOLOTSE"/>
    <m/>
    <m/>
    <n v="271"/>
    <m/>
    <s v="IK"/>
    <n v="30"/>
    <m/>
    <m/>
    <m/>
    <m/>
    <m/>
    <n v="0.16259999999999999"/>
    <m/>
    <m/>
    <n v="1.6259999999999999"/>
    <m/>
    <m/>
    <m/>
    <n v="1.7886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KITIKITIKY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ROJA"/>
    <m/>
    <m/>
    <n v="122"/>
    <m/>
    <s v="IK"/>
    <n v="30"/>
    <m/>
    <m/>
    <m/>
    <m/>
    <m/>
    <n v="7.3200000000000001E-2"/>
    <m/>
    <m/>
    <n v="0.73199999999999998"/>
    <m/>
    <m/>
    <m/>
    <n v="0.80520000000000003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MPITANAKE"/>
    <m/>
    <m/>
    <n v="297"/>
    <m/>
    <s v="IK"/>
    <n v="30"/>
    <m/>
    <m/>
    <m/>
    <m/>
    <m/>
    <n v="0.1782"/>
    <m/>
    <m/>
    <n v="1.782"/>
    <m/>
    <m/>
    <m/>
    <n v="1.9601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ONGAENO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ROLINTA"/>
    <m/>
    <m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ITAMPOLO II"/>
    <m/>
    <m/>
    <n v="459"/>
    <m/>
    <s v="IK"/>
    <n v="30"/>
    <m/>
    <m/>
    <m/>
    <m/>
    <m/>
    <n v="0.27539999999999998"/>
    <m/>
    <m/>
    <n v="2.754"/>
    <m/>
    <m/>
    <m/>
    <n v="3.0293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VOMBE"/>
    <m/>
    <m/>
    <n v="243"/>
    <m/>
    <s v="IK"/>
    <n v="30"/>
    <m/>
    <m/>
    <m/>
    <m/>
    <m/>
    <n v="0.14580000000000001"/>
    <m/>
    <m/>
    <n v="1.458"/>
    <m/>
    <m/>
    <m/>
    <n v="1.6037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T/RIONA NORD"/>
    <m/>
    <m/>
    <n v="425"/>
    <m/>
    <s v="IK"/>
    <n v="30"/>
    <m/>
    <m/>
    <m/>
    <m/>
    <m/>
    <n v="0.255"/>
    <m/>
    <m/>
    <n v="2.5499999999999998"/>
    <m/>
    <m/>
    <m/>
    <n v="2.8049999999999997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NDRANOVAO"/>
    <m/>
    <m/>
    <n v="220"/>
    <m/>
    <s v="IK"/>
    <n v="30"/>
    <m/>
    <m/>
    <m/>
    <m/>
    <m/>
    <n v="0.13200000000000001"/>
    <m/>
    <m/>
    <n v="1.32"/>
    <m/>
    <m/>
    <m/>
    <n v="1.45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A/MASINTSOA"/>
    <m/>
    <m/>
    <n v="251"/>
    <m/>
    <s v="IK"/>
    <n v="30"/>
    <m/>
    <m/>
    <m/>
    <m/>
    <m/>
    <n v="0.15060000000000001"/>
    <m/>
    <m/>
    <n v="1.506"/>
    <m/>
    <m/>
    <m/>
    <n v="1.6566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ITAMPOLO"/>
    <s v="MALANGERIAKY"/>
    <m/>
    <m/>
    <n v="239"/>
    <m/>
    <s v="IK"/>
    <n v="30"/>
    <m/>
    <m/>
    <m/>
    <m/>
    <m/>
    <n v="0.1434"/>
    <m/>
    <m/>
    <n v="1.4339999999999999"/>
    <m/>
    <m/>
    <m/>
    <n v="1.5773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NDROIPANO"/>
    <m/>
    <m/>
    <n v="661"/>
    <m/>
    <s v="IK"/>
    <n v="30"/>
    <m/>
    <m/>
    <m/>
    <m/>
    <m/>
    <n v="0.39660000000000001"/>
    <m/>
    <m/>
    <n v="3.9660000000000002"/>
    <m/>
    <m/>
    <m/>
    <n v="4.3626000000000005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BESELY SUD"/>
    <m/>
    <m/>
    <n v="582"/>
    <m/>
    <s v="IK"/>
    <n v="30"/>
    <m/>
    <m/>
    <m/>
    <m/>
    <m/>
    <n v="0.34920000000000001"/>
    <m/>
    <m/>
    <n v="3.492"/>
    <m/>
    <m/>
    <m/>
    <n v="3.841200000000000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TSIANDRIONA SUD"/>
    <m/>
    <m/>
    <n v="562"/>
    <m/>
    <s v="IK"/>
    <n v="30"/>
    <m/>
    <m/>
    <m/>
    <m/>
    <m/>
    <n v="0.3372"/>
    <m/>
    <m/>
    <n v="3.3719999999999999"/>
    <m/>
    <m/>
    <m/>
    <n v="3.7092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ALATSIMIVIKY"/>
    <m/>
    <m/>
    <n v="1411"/>
    <m/>
    <s v="IK"/>
    <n v="30"/>
    <m/>
    <m/>
    <m/>
    <m/>
    <m/>
    <n v="0.84660000000000002"/>
    <m/>
    <m/>
    <n v="8.4659999999999993"/>
    <m/>
    <m/>
    <m/>
    <n v="9.3125999999999998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NDROIMPANO"/>
    <s v="AMBOLOSOGNO"/>
    <m/>
    <m/>
    <n v="228"/>
    <m/>
    <s v="IK"/>
    <n v="30"/>
    <m/>
    <m/>
    <m/>
    <m/>
    <m/>
    <n v="0.1368"/>
    <m/>
    <m/>
    <n v="1.3680000000000001"/>
    <m/>
    <m/>
    <m/>
    <n v="1.5048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BORY NORD"/>
    <n v="69"/>
    <n v="54"/>
    <n v="123"/>
    <m/>
    <s v="IK"/>
    <n v="30"/>
    <m/>
    <m/>
    <m/>
    <m/>
    <m/>
    <m/>
    <m/>
    <m/>
    <m/>
    <m/>
    <n v="0.1845"/>
    <m/>
    <n v="0.1845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ANINDRATO"/>
    <n v="84"/>
    <n v="40"/>
    <n v="124"/>
    <m/>
    <s v="IK"/>
    <n v="30"/>
    <m/>
    <m/>
    <m/>
    <m/>
    <m/>
    <m/>
    <m/>
    <m/>
    <m/>
    <m/>
    <n v="0.186"/>
    <m/>
    <n v="0.186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LITELO II"/>
    <n v="103"/>
    <n v="115"/>
    <n v="218"/>
    <m/>
    <s v="IK"/>
    <n v="30"/>
    <m/>
    <m/>
    <m/>
    <m/>
    <m/>
    <m/>
    <m/>
    <m/>
    <m/>
    <m/>
    <n v="0.32700000000000001"/>
    <m/>
    <n v="0.327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JABELITSAKY"/>
    <n v="84"/>
    <n v="29"/>
    <n v="113"/>
    <m/>
    <s v="IK"/>
    <n v="30"/>
    <m/>
    <m/>
    <m/>
    <m/>
    <m/>
    <m/>
    <m/>
    <m/>
    <m/>
    <m/>
    <n v="0.16950000000000001"/>
    <m/>
    <n v="0.1695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SELY NORD"/>
    <n v="84"/>
    <n v="114"/>
    <n v="198"/>
    <m/>
    <s v="IK"/>
    <n v="30"/>
    <m/>
    <m/>
    <m/>
    <m/>
    <m/>
    <m/>
    <m/>
    <m/>
    <m/>
    <m/>
    <n v="0.29699999999999999"/>
    <m/>
    <n v="0.2969999999999999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BEFOLOTSE"/>
    <n v="82"/>
    <n v="60"/>
    <n v="142"/>
    <m/>
    <s v="IK"/>
    <n v="30"/>
    <m/>
    <m/>
    <m/>
    <m/>
    <m/>
    <m/>
    <m/>
    <m/>
    <m/>
    <m/>
    <n v="0.21299999999999999"/>
    <m/>
    <n v="0.2129999999999999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KITIKITIKY"/>
    <n v="24"/>
    <n v="18"/>
    <n v="42"/>
    <m/>
    <s v="IK"/>
    <n v="30"/>
    <m/>
    <m/>
    <m/>
    <m/>
    <m/>
    <m/>
    <m/>
    <m/>
    <m/>
    <m/>
    <n v="6.3E-2"/>
    <m/>
    <n v="6.3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ROJA"/>
    <n v="14"/>
    <n v="7"/>
    <n v="21"/>
    <m/>
    <s v="IK"/>
    <n v="30"/>
    <m/>
    <m/>
    <m/>
    <m/>
    <m/>
    <m/>
    <m/>
    <m/>
    <m/>
    <m/>
    <n v="3.15E-2"/>
    <m/>
    <n v="3.15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MPITANAKE"/>
    <n v="98"/>
    <n v="88"/>
    <n v="186"/>
    <m/>
    <s v="IK"/>
    <n v="30"/>
    <m/>
    <m/>
    <m/>
    <m/>
    <m/>
    <m/>
    <m/>
    <m/>
    <m/>
    <m/>
    <n v="0.27900000000000003"/>
    <m/>
    <n v="0.27900000000000003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ONGAENORO"/>
    <n v="49"/>
    <n v="97"/>
    <n v="146"/>
    <m/>
    <s v="IK"/>
    <n v="30"/>
    <m/>
    <m/>
    <m/>
    <m/>
    <m/>
    <m/>
    <m/>
    <m/>
    <m/>
    <m/>
    <n v="0.219"/>
    <m/>
    <n v="0.21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ROLINTA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ITAMPOLO II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VOMBE"/>
    <n v="82"/>
    <n v="50"/>
    <n v="132"/>
    <m/>
    <s v="IK"/>
    <n v="30"/>
    <m/>
    <m/>
    <m/>
    <m/>
    <m/>
    <m/>
    <m/>
    <m/>
    <m/>
    <m/>
    <n v="0.19800000000000001"/>
    <m/>
    <n v="0.198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T/RIONA NORD"/>
    <n v="87"/>
    <n v="96"/>
    <n v="183"/>
    <m/>
    <s v="IK"/>
    <n v="30"/>
    <m/>
    <m/>
    <m/>
    <m/>
    <m/>
    <m/>
    <m/>
    <m/>
    <m/>
    <m/>
    <n v="0.27450000000000002"/>
    <m/>
    <n v="0.2745000000000000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NDRANOVAO"/>
    <n v="68"/>
    <n v="60"/>
    <n v="128"/>
    <m/>
    <s v="IK"/>
    <n v="30"/>
    <m/>
    <m/>
    <m/>
    <m/>
    <m/>
    <m/>
    <m/>
    <m/>
    <m/>
    <m/>
    <n v="0.192"/>
    <m/>
    <n v="0.19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A/MASINTSOA"/>
    <n v="50"/>
    <n v="40"/>
    <n v="90"/>
    <m/>
    <s v="IK"/>
    <n v="30"/>
    <m/>
    <m/>
    <m/>
    <m/>
    <m/>
    <m/>
    <m/>
    <m/>
    <m/>
    <m/>
    <n v="0.13500000000000001"/>
    <m/>
    <n v="0.135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ITAMPOLO"/>
    <s v="MALANGERIAKY"/>
    <n v="27"/>
    <n v="42"/>
    <n v="69"/>
    <m/>
    <s v="IK"/>
    <n v="30"/>
    <m/>
    <m/>
    <m/>
    <m/>
    <m/>
    <m/>
    <m/>
    <m/>
    <m/>
    <m/>
    <n v="0.10349999999999999"/>
    <m/>
    <n v="0.1034999999999999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NDROIPANO"/>
    <n v="157"/>
    <n v="129"/>
    <n v="286"/>
    <m/>
    <s v="IK"/>
    <n v="30"/>
    <m/>
    <m/>
    <m/>
    <m/>
    <m/>
    <m/>
    <m/>
    <m/>
    <m/>
    <m/>
    <n v="0.42899999999999999"/>
    <m/>
    <n v="0.4289999999999999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BESELY SUD"/>
    <n v="4"/>
    <n v="118"/>
    <n v="122"/>
    <m/>
    <s v="IK"/>
    <n v="30"/>
    <m/>
    <m/>
    <m/>
    <m/>
    <m/>
    <m/>
    <m/>
    <m/>
    <m/>
    <m/>
    <n v="0.183"/>
    <m/>
    <n v="0.183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TSIANDRIONA SUD"/>
    <n v="60"/>
    <n v="111"/>
    <n v="171"/>
    <m/>
    <s v="IK"/>
    <n v="30"/>
    <m/>
    <m/>
    <m/>
    <m/>
    <m/>
    <m/>
    <m/>
    <m/>
    <m/>
    <m/>
    <n v="0.25650000000000001"/>
    <m/>
    <n v="0.2565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ALATSIMIVIKY"/>
    <n v="213"/>
    <n v="180"/>
    <n v="393"/>
    <m/>
    <s v="IK"/>
    <n v="30"/>
    <m/>
    <m/>
    <m/>
    <m/>
    <m/>
    <m/>
    <m/>
    <m/>
    <m/>
    <m/>
    <n v="0.58950000000000002"/>
    <m/>
    <n v="0.5895000000000000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NDROIMPANO"/>
    <s v="AMBOLOSOGNO"/>
    <n v="26"/>
    <n v="29"/>
    <n v="55"/>
    <m/>
    <s v="IK"/>
    <n v="30"/>
    <m/>
    <m/>
    <m/>
    <m/>
    <m/>
    <m/>
    <m/>
    <m/>
    <m/>
    <m/>
    <n v="8.2500000000000004E-2"/>
    <m/>
    <n v="8.2500000000000004E-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AMALO"/>
    <m/>
    <m/>
    <n v="341"/>
    <m/>
    <s v="IK"/>
    <n v="30"/>
    <m/>
    <m/>
    <m/>
    <m/>
    <m/>
    <n v="0.2046"/>
    <m/>
    <m/>
    <n v="2.0459999999999998"/>
    <m/>
    <m/>
    <m/>
    <n v="2.2505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VARO"/>
    <m/>
    <m/>
    <n v="185"/>
    <m/>
    <s v="IK"/>
    <n v="30"/>
    <m/>
    <m/>
    <m/>
    <m/>
    <m/>
    <n v="0.111"/>
    <m/>
    <m/>
    <n v="1.1100000000000001"/>
    <m/>
    <m/>
    <m/>
    <n v="1.2210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KISENY"/>
    <m/>
    <m/>
    <n v="128"/>
    <m/>
    <s v="IK"/>
    <n v="30"/>
    <m/>
    <m/>
    <m/>
    <m/>
    <m/>
    <n v="7.6799999999999993E-2"/>
    <m/>
    <m/>
    <n v="0.76800000000000002"/>
    <m/>
    <m/>
    <m/>
    <n v="0.8448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ARABEMOKO"/>
    <m/>
    <m/>
    <n v="63"/>
    <m/>
    <s v="IK"/>
    <n v="30"/>
    <m/>
    <m/>
    <m/>
    <m/>
    <m/>
    <n v="3.78E-2"/>
    <m/>
    <m/>
    <n v="0.378"/>
    <m/>
    <m/>
    <m/>
    <n v="0.4158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TANANTSOA"/>
    <m/>
    <m/>
    <n v="158"/>
    <m/>
    <s v="IK"/>
    <n v="30"/>
    <m/>
    <m/>
    <m/>
    <m/>
    <m/>
    <n v="9.4799999999999995E-2"/>
    <m/>
    <m/>
    <n v="0.94799999999999995"/>
    <m/>
    <m/>
    <m/>
    <n v="1.0427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ILANY HAUT"/>
    <m/>
    <m/>
    <n v="70"/>
    <m/>
    <s v="IK"/>
    <n v="30"/>
    <m/>
    <m/>
    <m/>
    <m/>
    <m/>
    <n v="4.2000000000000003E-2"/>
    <m/>
    <m/>
    <n v="0.42"/>
    <m/>
    <m/>
    <m/>
    <n v="0.46199999999999997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ONDROMENA"/>
    <m/>
    <m/>
    <n v="76"/>
    <m/>
    <s v="IK"/>
    <n v="30"/>
    <m/>
    <m/>
    <m/>
    <m/>
    <m/>
    <n v="4.5600000000000002E-2"/>
    <m/>
    <m/>
    <n v="0.45600000000000002"/>
    <m/>
    <m/>
    <m/>
    <n v="0.50160000000000005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MILITSE"/>
    <m/>
    <m/>
    <n v="240"/>
    <m/>
    <s v="IK"/>
    <n v="30"/>
    <m/>
    <m/>
    <m/>
    <m/>
    <m/>
    <n v="0.14399999999999999"/>
    <m/>
    <m/>
    <n v="1.44"/>
    <m/>
    <m/>
    <m/>
    <n v="1.5839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SETA I"/>
    <m/>
    <m/>
    <n v="569"/>
    <m/>
    <s v="IK"/>
    <n v="30"/>
    <m/>
    <m/>
    <m/>
    <m/>
    <m/>
    <n v="0.34139999999999998"/>
    <m/>
    <m/>
    <n v="3.4140000000000001"/>
    <m/>
    <m/>
    <m/>
    <n v="3.7554000000000003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NY"/>
    <m/>
    <m/>
    <n v="100"/>
    <m/>
    <s v="IK"/>
    <n v="30"/>
    <m/>
    <m/>
    <m/>
    <m/>
    <m/>
    <n v="0.06"/>
    <m/>
    <m/>
    <n v="0.6"/>
    <m/>
    <m/>
    <m/>
    <n v="0.6599999999999999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FOTADREVO CENTRE"/>
    <m/>
    <m/>
    <n v="818"/>
    <m/>
    <s v="IK"/>
    <n v="30"/>
    <m/>
    <m/>
    <m/>
    <m/>
    <m/>
    <n v="0.49080000000000001"/>
    <m/>
    <m/>
    <n v="4.9080000000000004"/>
    <m/>
    <m/>
    <m/>
    <n v="5.3988000000000005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TEZA HAUT"/>
    <m/>
    <m/>
    <n v="575"/>
    <m/>
    <s v="IK"/>
    <n v="30"/>
    <m/>
    <m/>
    <m/>
    <m/>
    <m/>
    <n v="0.34499999999999997"/>
    <m/>
    <m/>
    <n v="3.45"/>
    <m/>
    <m/>
    <m/>
    <n v="3.7949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SAKOA"/>
    <m/>
    <m/>
    <n v="330"/>
    <m/>
    <s v="IK"/>
    <n v="30"/>
    <m/>
    <m/>
    <m/>
    <m/>
    <m/>
    <n v="0.19800000000000001"/>
    <m/>
    <m/>
    <n v="1.98"/>
    <m/>
    <m/>
    <m/>
    <n v="2.177999999999999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DRANOTSIRIRY"/>
    <m/>
    <m/>
    <n v="328"/>
    <m/>
    <s v="IK"/>
    <n v="30"/>
    <m/>
    <m/>
    <m/>
    <m/>
    <m/>
    <n v="0.1968"/>
    <m/>
    <m/>
    <n v="1.968"/>
    <m/>
    <m/>
    <m/>
    <n v="2.1648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LINJO"/>
    <m/>
    <m/>
    <n v="215"/>
    <m/>
    <s v="IK"/>
    <n v="30"/>
    <m/>
    <m/>
    <m/>
    <m/>
    <m/>
    <n v="0.129"/>
    <m/>
    <m/>
    <n v="1.29"/>
    <m/>
    <m/>
    <m/>
    <n v="1.41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TOHABATO"/>
    <m/>
    <m/>
    <n v="197"/>
    <m/>
    <s v="IK"/>
    <n v="30"/>
    <m/>
    <m/>
    <m/>
    <m/>
    <m/>
    <n v="0.1182"/>
    <m/>
    <m/>
    <n v="1.1819999999999999"/>
    <m/>
    <m/>
    <m/>
    <n v="1.300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CENTRE"/>
    <m/>
    <m/>
    <n v="178"/>
    <m/>
    <s v="IK"/>
    <n v="30"/>
    <m/>
    <m/>
    <m/>
    <m/>
    <m/>
    <n v="0.10680000000000001"/>
    <m/>
    <m/>
    <n v="1.0680000000000001"/>
    <m/>
    <m/>
    <m/>
    <n v="1.1748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NIVORANO I"/>
    <m/>
    <m/>
    <n v="113"/>
    <m/>
    <s v="IK"/>
    <n v="30"/>
    <m/>
    <m/>
    <m/>
    <m/>
    <m/>
    <n v="6.7799999999999999E-2"/>
    <m/>
    <m/>
    <n v="0.67800000000000005"/>
    <m/>
    <m/>
    <m/>
    <n v="0.7458000000000000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MBALATANY"/>
    <m/>
    <m/>
    <n v="60"/>
    <m/>
    <s v="IK"/>
    <n v="30"/>
    <m/>
    <m/>
    <m/>
    <m/>
    <m/>
    <n v="3.5999999999999997E-2"/>
    <m/>
    <m/>
    <n v="0.36"/>
    <m/>
    <m/>
    <m/>
    <n v="0.39599999999999996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ASONJO "/>
    <m/>
    <m/>
    <n v="98"/>
    <m/>
    <s v="IK"/>
    <n v="30"/>
    <m/>
    <m/>
    <m/>
    <m/>
    <m/>
    <n v="5.8799999999999998E-2"/>
    <m/>
    <m/>
    <n v="0.58799999999999997"/>
    <m/>
    <m/>
    <m/>
    <n v="0.64679999999999993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FOTADREVO"/>
    <s v="BEBAKAKA"/>
    <m/>
    <m/>
    <n v="211"/>
    <m/>
    <s v="IK"/>
    <n v="30"/>
    <m/>
    <m/>
    <m/>
    <m/>
    <m/>
    <n v="0.12659999999999999"/>
    <m/>
    <m/>
    <n v="1.266"/>
    <m/>
    <m/>
    <m/>
    <n v="1.3926000000000001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KATRAFAY"/>
    <m/>
    <m/>
    <n v="465"/>
    <m/>
    <s v="IK"/>
    <n v="30"/>
    <m/>
    <m/>
    <m/>
    <m/>
    <m/>
    <n v="0.27900000000000003"/>
    <m/>
    <m/>
    <n v="2.79"/>
    <m/>
    <m/>
    <m/>
    <n v="3.069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GNAVOHA CENTRE"/>
    <m/>
    <m/>
    <n v="625"/>
    <m/>
    <s v="IK"/>
    <n v="30"/>
    <m/>
    <m/>
    <m/>
    <m/>
    <m/>
    <n v="0.375"/>
    <m/>
    <m/>
    <n v="3.75"/>
    <m/>
    <m/>
    <m/>
    <n v="4.125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MANDABE ANKILIMARO"/>
    <m/>
    <m/>
    <n v="345"/>
    <m/>
    <s v="IK"/>
    <n v="30"/>
    <m/>
    <m/>
    <m/>
    <m/>
    <m/>
    <n v="0.20699999999999999"/>
    <m/>
    <m/>
    <n v="2.0699999999999998"/>
    <m/>
    <m/>
    <m/>
    <n v="2.2769999999999997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TANANDAVA I"/>
    <m/>
    <m/>
    <n v="292"/>
    <m/>
    <s v="IK"/>
    <n v="30"/>
    <m/>
    <m/>
    <m/>
    <m/>
    <m/>
    <n v="0.17519999999999999"/>
    <m/>
    <m/>
    <n v="1.752"/>
    <m/>
    <m/>
    <m/>
    <n v="1.9272"/>
    <m/>
    <m/>
  </r>
  <r>
    <x v="3"/>
    <n v="2025"/>
    <x v="1"/>
    <s v="Nutrition"/>
    <x v="2"/>
    <s v="NPA_STUN:Prevention of Stunting"/>
    <m/>
    <m/>
    <s v="Ampanihy"/>
    <x v="1"/>
    <s v="TOLIARA"/>
    <s v="Atsimo Andrefana"/>
    <s v="AMPANIHY"/>
    <s v="TOHANA"/>
    <s v="AGNAVOHA"/>
    <s v="ANALAFANTSIKY"/>
    <m/>
    <m/>
    <n v="250"/>
    <m/>
    <s v="IK"/>
    <n v="30"/>
    <m/>
    <m/>
    <m/>
    <m/>
    <m/>
    <n v="0.15"/>
    <m/>
    <m/>
    <n v="1.5"/>
    <m/>
    <m/>
    <m/>
    <n v="1.65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AMALO"/>
    <n v="117"/>
    <n v="123"/>
    <n v="240"/>
    <m/>
    <s v="IK"/>
    <n v="30"/>
    <m/>
    <m/>
    <m/>
    <m/>
    <m/>
    <m/>
    <m/>
    <m/>
    <m/>
    <m/>
    <n v="0.36"/>
    <m/>
    <n v="0.36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VARO"/>
    <n v="38"/>
    <n v="55"/>
    <n v="93"/>
    <m/>
    <s v="IK"/>
    <n v="30"/>
    <m/>
    <m/>
    <m/>
    <m/>
    <m/>
    <m/>
    <m/>
    <m/>
    <m/>
    <m/>
    <n v="0.13950000000000001"/>
    <m/>
    <n v="0.1395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KISENY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ARABEMOKO"/>
    <n v="39"/>
    <n v="31"/>
    <n v="70"/>
    <m/>
    <s v="IK"/>
    <n v="30"/>
    <m/>
    <m/>
    <m/>
    <m/>
    <m/>
    <m/>
    <m/>
    <m/>
    <m/>
    <m/>
    <n v="0.105"/>
    <m/>
    <n v="0.105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TANANTSOA"/>
    <n v="40"/>
    <n v="60"/>
    <n v="100"/>
    <m/>
    <s v="IK"/>
    <n v="30"/>
    <m/>
    <m/>
    <m/>
    <m/>
    <m/>
    <m/>
    <m/>
    <m/>
    <m/>
    <m/>
    <n v="0.15"/>
    <m/>
    <n v="0.15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ILANY HAUT"/>
    <n v="36"/>
    <n v="48"/>
    <n v="84"/>
    <m/>
    <s v="IK"/>
    <n v="30"/>
    <m/>
    <m/>
    <m/>
    <m/>
    <m/>
    <m/>
    <m/>
    <m/>
    <m/>
    <m/>
    <n v="0.126"/>
    <m/>
    <n v="0.126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ONDROMENA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MILITSE"/>
    <n v="88"/>
    <n v="106"/>
    <n v="194"/>
    <m/>
    <s v="IK"/>
    <n v="30"/>
    <m/>
    <m/>
    <m/>
    <m/>
    <m/>
    <m/>
    <m/>
    <m/>
    <m/>
    <m/>
    <n v="0.29099999999999998"/>
    <m/>
    <n v="0.29099999999999998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SETA I"/>
    <n v="42"/>
    <n v="47"/>
    <n v="89"/>
    <m/>
    <s v="IK"/>
    <n v="30"/>
    <m/>
    <m/>
    <m/>
    <m/>
    <m/>
    <m/>
    <m/>
    <m/>
    <m/>
    <m/>
    <n v="0.13350000000000001"/>
    <m/>
    <n v="0.1335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NY"/>
    <n v="21"/>
    <n v="30"/>
    <n v="51"/>
    <m/>
    <s v="IK"/>
    <n v="30"/>
    <m/>
    <m/>
    <m/>
    <m/>
    <m/>
    <m/>
    <m/>
    <m/>
    <m/>
    <m/>
    <n v="7.6499999999999999E-2"/>
    <m/>
    <n v="7.6499999999999999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FOTADREVO CENTRE"/>
    <n v="122"/>
    <n v="138"/>
    <n v="260"/>
    <m/>
    <s v="IK"/>
    <n v="30"/>
    <m/>
    <m/>
    <m/>
    <m/>
    <m/>
    <m/>
    <m/>
    <m/>
    <m/>
    <m/>
    <n v="0.39"/>
    <m/>
    <n v="0.39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TEZA HAUT"/>
    <n v="107"/>
    <n v="130"/>
    <n v="237"/>
    <m/>
    <s v="IK"/>
    <n v="30"/>
    <m/>
    <m/>
    <m/>
    <m/>
    <m/>
    <m/>
    <m/>
    <m/>
    <m/>
    <m/>
    <n v="0.35549999999999998"/>
    <m/>
    <n v="0.35549999999999998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SAKOA"/>
    <n v="49"/>
    <n v="61"/>
    <n v="110"/>
    <m/>
    <s v="IK"/>
    <n v="30"/>
    <m/>
    <m/>
    <m/>
    <m/>
    <m/>
    <m/>
    <m/>
    <m/>
    <m/>
    <m/>
    <n v="0.16500000000000001"/>
    <m/>
    <n v="0.165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DRANOTSIRIRY"/>
    <n v="77"/>
    <n v="102"/>
    <n v="179"/>
    <m/>
    <s v="IK"/>
    <n v="30"/>
    <m/>
    <m/>
    <m/>
    <m/>
    <m/>
    <m/>
    <m/>
    <m/>
    <m/>
    <m/>
    <n v="0.26850000000000002"/>
    <m/>
    <n v="0.2685000000000000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LINJO"/>
    <n v="19"/>
    <n v="35"/>
    <n v="54"/>
    <m/>
    <s v="IK"/>
    <n v="30"/>
    <m/>
    <m/>
    <m/>
    <m/>
    <m/>
    <m/>
    <m/>
    <m/>
    <m/>
    <m/>
    <n v="8.1000000000000003E-2"/>
    <m/>
    <n v="8.1000000000000003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TOHABATO"/>
    <n v="25"/>
    <n v="49"/>
    <n v="74"/>
    <m/>
    <s v="IK"/>
    <n v="30"/>
    <m/>
    <m/>
    <m/>
    <m/>
    <m/>
    <m/>
    <m/>
    <m/>
    <m/>
    <m/>
    <n v="0.111"/>
    <m/>
    <n v="0.11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CENTRE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NIVORANO I"/>
    <n v="30"/>
    <n v="31"/>
    <n v="61"/>
    <m/>
    <s v="IK"/>
    <n v="30"/>
    <m/>
    <m/>
    <m/>
    <m/>
    <m/>
    <m/>
    <m/>
    <m/>
    <m/>
    <m/>
    <n v="9.1499999999999998E-2"/>
    <m/>
    <n v="9.1499999999999998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MBALATANY"/>
    <m/>
    <m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ASONJO "/>
    <n v="26"/>
    <n v="52"/>
    <n v="78"/>
    <m/>
    <s v="IK"/>
    <n v="30"/>
    <m/>
    <m/>
    <m/>
    <m/>
    <m/>
    <m/>
    <m/>
    <m/>
    <m/>
    <m/>
    <n v="0.11700000000000001"/>
    <m/>
    <n v="0.117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FOTADREVO"/>
    <s v="BEBAKAKA"/>
    <n v="35"/>
    <n v="23"/>
    <n v="58"/>
    <m/>
    <s v="IK"/>
    <n v="30"/>
    <m/>
    <m/>
    <m/>
    <m/>
    <m/>
    <m/>
    <m/>
    <m/>
    <m/>
    <m/>
    <n v="8.6999999999999994E-2"/>
    <m/>
    <n v="8.6999999999999994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KATRAFAY"/>
    <n v="50"/>
    <n v="105"/>
    <n v="155"/>
    <m/>
    <s v="IK"/>
    <n v="30"/>
    <m/>
    <m/>
    <m/>
    <m/>
    <m/>
    <m/>
    <m/>
    <m/>
    <m/>
    <m/>
    <n v="0.23250000000000001"/>
    <m/>
    <n v="0.2325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GNAVOHA CENTRE"/>
    <n v="0"/>
    <n v="0"/>
    <n v="0"/>
    <m/>
    <s v="IK"/>
    <n v="30"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MANDABE ANKILIMARO"/>
    <n v="49"/>
    <n v="81"/>
    <n v="130"/>
    <m/>
    <s v="IK"/>
    <n v="30"/>
    <m/>
    <m/>
    <m/>
    <m/>
    <m/>
    <m/>
    <m/>
    <m/>
    <m/>
    <m/>
    <n v="0.19500000000000001"/>
    <m/>
    <n v="0.19500000000000001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TANANDAVA I"/>
    <n v="12"/>
    <n v="12"/>
    <n v="24"/>
    <m/>
    <s v="IK"/>
    <n v="30"/>
    <m/>
    <m/>
    <m/>
    <m/>
    <m/>
    <m/>
    <m/>
    <m/>
    <m/>
    <m/>
    <n v="3.5999999999999997E-2"/>
    <m/>
    <n v="3.5999999999999997E-2"/>
    <m/>
    <m/>
  </r>
  <r>
    <x v="3"/>
    <n v="2025"/>
    <x v="1"/>
    <s v="Nutrition"/>
    <x v="3"/>
    <s v="NPA_STUN:Prevention of Stunting"/>
    <m/>
    <m/>
    <s v="Ampanihy"/>
    <x v="1"/>
    <s v="TOLIARA"/>
    <s v="Atsimo Andrefana"/>
    <s v="AMPANIHY"/>
    <s v="TOHANA"/>
    <s v="AGNAVOHA"/>
    <s v="ANALAFANTSIKY"/>
    <n v="56"/>
    <n v="54"/>
    <n v="110"/>
    <m/>
    <s v="IK"/>
    <n v="30"/>
    <m/>
    <m/>
    <m/>
    <m/>
    <m/>
    <m/>
    <m/>
    <m/>
    <m/>
    <m/>
    <n v="0.16500000000000001"/>
    <m/>
    <n v="0.165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s v="IK"/>
    <n v="30"/>
    <m/>
    <m/>
    <m/>
    <m/>
    <m/>
    <m/>
    <m/>
    <m/>
    <m/>
    <m/>
    <n v="0.252"/>
    <m/>
    <n v="0.25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s v="IK"/>
    <n v="30"/>
    <m/>
    <m/>
    <m/>
    <m/>
    <m/>
    <m/>
    <m/>
    <m/>
    <m/>
    <m/>
    <n v="0.26850000000000002"/>
    <m/>
    <n v="0.2685000000000000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s v="IK"/>
    <n v="30"/>
    <m/>
    <m/>
    <m/>
    <m/>
    <m/>
    <m/>
    <m/>
    <m/>
    <m/>
    <m/>
    <n v="0.246"/>
    <m/>
    <n v="0.246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s v="IK"/>
    <n v="30"/>
    <m/>
    <m/>
    <m/>
    <m/>
    <m/>
    <m/>
    <m/>
    <m/>
    <m/>
    <m/>
    <n v="0.26100000000000001"/>
    <m/>
    <n v="0.261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s v="IK"/>
    <n v="30"/>
    <m/>
    <m/>
    <m/>
    <m/>
    <m/>
    <m/>
    <m/>
    <m/>
    <m/>
    <m/>
    <n v="0.252"/>
    <m/>
    <n v="0.25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s v="IK"/>
    <n v="30"/>
    <m/>
    <m/>
    <m/>
    <m/>
    <m/>
    <m/>
    <m/>
    <m/>
    <m/>
    <m/>
    <n v="0.48"/>
    <m/>
    <n v="0.4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s v="IK"/>
    <n v="30"/>
    <m/>
    <m/>
    <m/>
    <m/>
    <m/>
    <m/>
    <m/>
    <m/>
    <m/>
    <m/>
    <n v="0.27"/>
    <m/>
    <n v="0.2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s v="IK"/>
    <n v="30"/>
    <m/>
    <m/>
    <m/>
    <m/>
    <m/>
    <m/>
    <m/>
    <m/>
    <m/>
    <m/>
    <n v="0.28949999999999998"/>
    <m/>
    <n v="0.2894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s v="IK"/>
    <n v="30"/>
    <m/>
    <m/>
    <m/>
    <m/>
    <m/>
    <m/>
    <m/>
    <m/>
    <m/>
    <m/>
    <n v="0.25950000000000001"/>
    <m/>
    <n v="0.259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EHAVO"/>
    <n v="126"/>
    <m/>
    <n v="126"/>
    <m/>
    <s v="IK"/>
    <n v="30"/>
    <m/>
    <m/>
    <m/>
    <m/>
    <m/>
    <m/>
    <m/>
    <m/>
    <m/>
    <m/>
    <n v="0.189"/>
    <m/>
    <n v="0.189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MORAFENO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SILIMOSA"/>
    <n v="595"/>
    <m/>
    <n v="595"/>
    <m/>
    <s v="IK"/>
    <n v="30"/>
    <m/>
    <m/>
    <m/>
    <m/>
    <m/>
    <m/>
    <m/>
    <m/>
    <m/>
    <m/>
    <n v="0.89249999999999996"/>
    <m/>
    <n v="0.89249999999999996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TANANDAVA"/>
    <n v="483"/>
    <m/>
    <n v="483"/>
    <m/>
    <s v="IK"/>
    <n v="30"/>
    <m/>
    <m/>
    <m/>
    <m/>
    <m/>
    <m/>
    <m/>
    <m/>
    <m/>
    <m/>
    <n v="0.72450000000000003"/>
    <m/>
    <n v="0.72450000000000003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TARANAKA ANKILIMENA"/>
    <n v="403"/>
    <m/>
    <n v="403"/>
    <m/>
    <s v="IK"/>
    <n v="30"/>
    <m/>
    <m/>
    <m/>
    <m/>
    <m/>
    <m/>
    <m/>
    <m/>
    <m/>
    <m/>
    <n v="0.60450000000000004"/>
    <m/>
    <n v="0.60450000000000004"/>
    <m/>
    <m/>
  </r>
  <r>
    <x v="3"/>
    <n v="2025"/>
    <x v="1"/>
    <s v="Nutrition"/>
    <x v="3"/>
    <s v="NPA_STUN:Prevention of Stunting"/>
    <m/>
    <m/>
    <s v="Amboasary"/>
    <x v="0"/>
    <s v="Taolagnaro"/>
    <s v="Anosy"/>
    <s v="Ambovombe"/>
    <s v="YPA"/>
    <s v="SIHANAMARO"/>
    <s v="TERABOVO"/>
    <n v="563"/>
    <m/>
    <n v="563"/>
    <m/>
    <s v="IK"/>
    <n v="30"/>
    <m/>
    <m/>
    <m/>
    <m/>
    <m/>
    <m/>
    <m/>
    <m/>
    <m/>
    <m/>
    <n v="0.84450000000000003"/>
    <m/>
    <n v="0.84450000000000003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MIEBA"/>
    <n v="519"/>
    <m/>
    <n v="519"/>
    <m/>
    <s v="IK"/>
    <n v="30"/>
    <m/>
    <m/>
    <m/>
    <m/>
    <m/>
    <m/>
    <m/>
    <m/>
    <m/>
    <m/>
    <n v="0.77849999999999997"/>
    <m/>
    <n v="0.7784999999999999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ANDAVABAZA"/>
    <n v="233"/>
    <m/>
    <n v="233"/>
    <m/>
    <s v="IK"/>
    <n v="30"/>
    <m/>
    <m/>
    <m/>
    <m/>
    <m/>
    <m/>
    <m/>
    <m/>
    <m/>
    <m/>
    <n v="0.34949999999999998"/>
    <m/>
    <n v="0.3494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HELIBONDRO HAUT"/>
    <n v="230"/>
    <m/>
    <n v="230"/>
    <m/>
    <s v="IK"/>
    <n v="30"/>
    <m/>
    <m/>
    <m/>
    <m/>
    <m/>
    <m/>
    <m/>
    <m/>
    <m/>
    <m/>
    <n v="0.34499999999999997"/>
    <m/>
    <n v="0.3449999999999999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BERENTY"/>
    <n v="195"/>
    <m/>
    <n v="195"/>
    <m/>
    <s v="IK"/>
    <n v="30"/>
    <m/>
    <m/>
    <m/>
    <m/>
    <m/>
    <m/>
    <m/>
    <m/>
    <m/>
    <m/>
    <n v="0.29249999999999998"/>
    <m/>
    <n v="0.2924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ANDREGNARA"/>
    <n v="107"/>
    <m/>
    <n v="107"/>
    <m/>
    <s v="IK"/>
    <n v="30"/>
    <m/>
    <m/>
    <m/>
    <m/>
    <m/>
    <m/>
    <m/>
    <m/>
    <m/>
    <m/>
    <n v="0.1605"/>
    <m/>
    <n v="0.1605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ANKIRIKIRIKE"/>
    <n v="468"/>
    <m/>
    <n v="468"/>
    <m/>
    <s v="IK"/>
    <n v="30"/>
    <m/>
    <m/>
    <m/>
    <m/>
    <m/>
    <m/>
    <m/>
    <m/>
    <m/>
    <m/>
    <n v="0.70199999999999996"/>
    <m/>
    <n v="0.70199999999999996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MAROMENA CENTRE"/>
    <n v="150"/>
    <m/>
    <n v="150"/>
    <m/>
    <s v="IK"/>
    <n v="30"/>
    <m/>
    <m/>
    <m/>
    <m/>
    <m/>
    <m/>
    <m/>
    <m/>
    <m/>
    <m/>
    <n v="0.22500000000000001"/>
    <m/>
    <n v="0.225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BEFAITSY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HARA"/>
    <s v="FANDIOVA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RANO"/>
    <s v="MANITSEVO"/>
    <n v="330"/>
    <m/>
    <n v="330"/>
    <m/>
    <s v="IK"/>
    <n v="30"/>
    <m/>
    <m/>
    <m/>
    <m/>
    <m/>
    <m/>
    <m/>
    <m/>
    <m/>
    <m/>
    <n v="0.495"/>
    <m/>
    <n v="0.495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RANO"/>
    <s v="AMPOTOBATO CENTRE"/>
    <n v="186"/>
    <m/>
    <n v="186"/>
    <m/>
    <s v="IK"/>
    <n v="30"/>
    <m/>
    <m/>
    <m/>
    <m/>
    <m/>
    <m/>
    <m/>
    <m/>
    <m/>
    <m/>
    <n v="0.27900000000000003"/>
    <m/>
    <n v="0.27900000000000003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RANO"/>
    <s v="ANDAVABOAY MAROMENIKE"/>
    <n v="236"/>
    <m/>
    <n v="236"/>
    <m/>
    <s v="IK"/>
    <n v="30"/>
    <m/>
    <m/>
    <m/>
    <m/>
    <m/>
    <m/>
    <m/>
    <m/>
    <m/>
    <m/>
    <n v="0.35399999999999998"/>
    <m/>
    <n v="0.3539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RANO"/>
    <s v="ANKRABERANO"/>
    <n v="134"/>
    <m/>
    <n v="134"/>
    <m/>
    <s v="IK"/>
    <n v="30"/>
    <m/>
    <m/>
    <m/>
    <m/>
    <m/>
    <m/>
    <m/>
    <m/>
    <m/>
    <m/>
    <n v="0.20100000000000001"/>
    <m/>
    <n v="0.201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BERANO"/>
    <s v="BERANO VILLE"/>
    <n v="214"/>
    <m/>
    <n v="214"/>
    <m/>
    <s v="IK"/>
    <n v="30"/>
    <m/>
    <m/>
    <m/>
    <m/>
    <m/>
    <m/>
    <m/>
    <m/>
    <m/>
    <m/>
    <n v="0.32100000000000001"/>
    <m/>
    <n v="0.321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IFOTAKA CENTRE"/>
    <n v="435"/>
    <m/>
    <n v="435"/>
    <m/>
    <s v="IK"/>
    <n v="30"/>
    <m/>
    <m/>
    <m/>
    <m/>
    <m/>
    <m/>
    <m/>
    <m/>
    <m/>
    <m/>
    <n v="0.65249999999999997"/>
    <m/>
    <n v="0.6524999999999999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ANALOALO"/>
    <n v="192"/>
    <m/>
    <n v="192"/>
    <m/>
    <s v="IK"/>
    <n v="30"/>
    <m/>
    <m/>
    <m/>
    <m/>
    <m/>
    <m/>
    <m/>
    <m/>
    <m/>
    <m/>
    <n v="0.28799999999999998"/>
    <m/>
    <n v="0.28799999999999998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BERAKETA"/>
    <n v="299"/>
    <m/>
    <n v="299"/>
    <m/>
    <s v="IK"/>
    <n v="30"/>
    <m/>
    <m/>
    <m/>
    <m/>
    <m/>
    <m/>
    <m/>
    <m/>
    <m/>
    <m/>
    <n v="0.44850000000000001"/>
    <m/>
    <n v="0.448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FENOAIVO"/>
    <n v="138"/>
    <m/>
    <n v="138"/>
    <m/>
    <s v="IK"/>
    <n v="30"/>
    <m/>
    <m/>
    <m/>
    <m/>
    <m/>
    <m/>
    <m/>
    <m/>
    <m/>
    <m/>
    <n v="0.20699999999999999"/>
    <m/>
    <n v="0.20699999999999999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BEKIRIA CENTRE"/>
    <n v="262"/>
    <m/>
    <n v="262"/>
    <m/>
    <s v="IK"/>
    <n v="30"/>
    <m/>
    <m/>
    <m/>
    <m/>
    <m/>
    <m/>
    <m/>
    <m/>
    <m/>
    <m/>
    <n v="0.39300000000000002"/>
    <m/>
    <n v="0.3930000000000000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ANJAMAHAVELO"/>
    <n v="407"/>
    <m/>
    <n v="407"/>
    <m/>
    <s v="IK"/>
    <n v="30"/>
    <m/>
    <m/>
    <m/>
    <m/>
    <m/>
    <m/>
    <m/>
    <m/>
    <m/>
    <m/>
    <n v="0.61050000000000004"/>
    <m/>
    <n v="0.61050000000000004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IFOTAKA"/>
    <s v="ANKILIMITRAHA"/>
    <n v="246"/>
    <m/>
    <n v="246"/>
    <m/>
    <s v="IK"/>
    <n v="30"/>
    <m/>
    <m/>
    <m/>
    <m/>
    <m/>
    <m/>
    <m/>
    <m/>
    <m/>
    <m/>
    <n v="0.36899999999999999"/>
    <m/>
    <n v="0.36899999999999999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TANANDAVA"/>
    <n v="346"/>
    <m/>
    <n v="346"/>
    <m/>
    <s v="IK"/>
    <n v="30"/>
    <m/>
    <m/>
    <m/>
    <m/>
    <m/>
    <m/>
    <m/>
    <m/>
    <m/>
    <m/>
    <n v="0.51900000000000002"/>
    <m/>
    <n v="0.5190000000000000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VOHIBARY"/>
    <n v="38"/>
    <m/>
    <n v="38"/>
    <m/>
    <s v="IK"/>
    <n v="30"/>
    <m/>
    <m/>
    <m/>
    <m/>
    <m/>
    <m/>
    <m/>
    <m/>
    <m/>
    <m/>
    <n v="5.7000000000000002E-2"/>
    <m/>
    <n v="5.7000000000000002E-2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AMBATOMENA"/>
    <n v="180"/>
    <m/>
    <n v="180"/>
    <m/>
    <s v="IK"/>
    <n v="30"/>
    <m/>
    <m/>
    <m/>
    <m/>
    <m/>
    <m/>
    <m/>
    <m/>
    <m/>
    <m/>
    <n v="0.27"/>
    <m/>
    <n v="0.2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MAROLOHA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ANTSOVELA"/>
    <n v="353"/>
    <m/>
    <n v="353"/>
    <m/>
    <s v="IK"/>
    <n v="30"/>
    <m/>
    <m/>
    <m/>
    <m/>
    <m/>
    <m/>
    <m/>
    <m/>
    <m/>
    <m/>
    <n v="0.52949999999999997"/>
    <m/>
    <n v="0.5294999999999999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SAMPONA CENTRE"/>
    <n v="146"/>
    <m/>
    <n v="146"/>
    <m/>
    <s v="IK"/>
    <n v="30"/>
    <m/>
    <m/>
    <m/>
    <m/>
    <m/>
    <m/>
    <m/>
    <m/>
    <m/>
    <m/>
    <n v="0.219"/>
    <m/>
    <n v="0.219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SAMPONA"/>
    <s v="ANKILIDOGA"/>
    <n v="180"/>
    <m/>
    <n v="180"/>
    <m/>
    <s v="IK"/>
    <n v="30"/>
    <m/>
    <m/>
    <m/>
    <m/>
    <m/>
    <m/>
    <m/>
    <m/>
    <m/>
    <m/>
    <n v="0.27"/>
    <m/>
    <n v="0.27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TANANDAVA"/>
    <s v="ANDROVASOA"/>
    <n v="218"/>
    <m/>
    <n v="218"/>
    <m/>
    <s v="IK"/>
    <n v="30"/>
    <m/>
    <m/>
    <m/>
    <m/>
    <m/>
    <m/>
    <m/>
    <m/>
    <m/>
    <m/>
    <n v="0.32700000000000001"/>
    <m/>
    <n v="0.3270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TANANDAVA"/>
    <s v="VAHAVOLA CENTRE"/>
    <n v="213"/>
    <m/>
    <n v="213"/>
    <m/>
    <s v="IK"/>
    <n v="30"/>
    <m/>
    <m/>
    <m/>
    <m/>
    <m/>
    <m/>
    <m/>
    <m/>
    <m/>
    <m/>
    <n v="0.31950000000000001"/>
    <m/>
    <n v="0.319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TANANDAVA"/>
    <s v="MANINDRA CENTRE"/>
    <n v="171"/>
    <m/>
    <n v="171"/>
    <m/>
    <s v="IK"/>
    <n v="30"/>
    <m/>
    <m/>
    <m/>
    <m/>
    <m/>
    <m/>
    <m/>
    <m/>
    <m/>
    <m/>
    <n v="0.25650000000000001"/>
    <m/>
    <n v="0.25650000000000001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TANANDAVA"/>
    <s v="MANDRAPASY"/>
    <n v="164"/>
    <m/>
    <n v="164"/>
    <m/>
    <s v="IK"/>
    <n v="30"/>
    <m/>
    <m/>
    <m/>
    <m/>
    <m/>
    <m/>
    <m/>
    <m/>
    <m/>
    <m/>
    <n v="0.246"/>
    <m/>
    <n v="0.246"/>
    <m/>
    <m/>
  </r>
  <r>
    <x v="3"/>
    <n v="2025"/>
    <x v="1"/>
    <s v="Nutrition"/>
    <x v="3"/>
    <s v="NPA_STUN:Prevention of Stunting"/>
    <m/>
    <m/>
    <s v="Amboasary"/>
    <x v="0"/>
    <s v="Taolagnaro"/>
    <s v="Anosy"/>
    <s v="Amboasary"/>
    <s v="YPA"/>
    <s v="TANANDAVA"/>
    <s v="SIHANAKARA"/>
    <n v="260"/>
    <m/>
    <n v="260"/>
    <m/>
    <s v="IK"/>
    <n v="30"/>
    <m/>
    <m/>
    <m/>
    <m/>
    <m/>
    <m/>
    <m/>
    <m/>
    <m/>
    <m/>
    <n v="0.39"/>
    <m/>
    <n v="0.3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s v="IK"/>
    <n v="30"/>
    <m/>
    <m/>
    <m/>
    <m/>
    <m/>
    <n v="9.4200000000000006E-2"/>
    <m/>
    <m/>
    <n v="0.94199999999999995"/>
    <m/>
    <m/>
    <m/>
    <n v="1.036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s v="IK"/>
    <n v="30"/>
    <m/>
    <m/>
    <m/>
    <m/>
    <m/>
    <n v="6.1199999999999997E-2"/>
    <m/>
    <m/>
    <n v="0.61199999999999999"/>
    <m/>
    <m/>
    <m/>
    <n v="0.6732000000000000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s v="IK"/>
    <n v="30"/>
    <m/>
    <m/>
    <m/>
    <m/>
    <m/>
    <n v="7.0800000000000002E-2"/>
    <m/>
    <m/>
    <n v="0.70799999999999996"/>
    <m/>
    <m/>
    <m/>
    <n v="0.7787999999999999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s v="IK"/>
    <n v="30"/>
    <m/>
    <m/>
    <m/>
    <m/>
    <m/>
    <n v="8.5199999999999998E-2"/>
    <m/>
    <m/>
    <n v="0.85199999999999998"/>
    <m/>
    <m/>
    <m/>
    <n v="0.93720000000000003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s v="IK"/>
    <n v="30"/>
    <m/>
    <m/>
    <m/>
    <m/>
    <m/>
    <n v="8.2199999999999995E-2"/>
    <m/>
    <m/>
    <n v="0.82199999999999995"/>
    <m/>
    <m/>
    <m/>
    <n v="0.9041999999999998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s v="IK"/>
    <n v="30"/>
    <m/>
    <m/>
    <m/>
    <m/>
    <m/>
    <n v="6.6000000000000003E-2"/>
    <m/>
    <m/>
    <n v="0.66"/>
    <m/>
    <m/>
    <m/>
    <n v="0.725999999999999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s v="IK"/>
    <n v="30"/>
    <m/>
    <m/>
    <m/>
    <m/>
    <m/>
    <n v="0.11219999999999999"/>
    <m/>
    <m/>
    <n v="1.1220000000000001"/>
    <m/>
    <m/>
    <m/>
    <n v="1.234200000000000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s v="IK"/>
    <n v="30"/>
    <m/>
    <m/>
    <m/>
    <m/>
    <m/>
    <n v="9.06E-2"/>
    <m/>
    <m/>
    <n v="0.90600000000000003"/>
    <m/>
    <m/>
    <m/>
    <n v="0.9966000000000000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35"/>
    <n v="35"/>
    <m/>
    <s v="IK"/>
    <n v="30"/>
    <m/>
    <m/>
    <m/>
    <m/>
    <m/>
    <n v="2.1000000000000001E-2"/>
    <m/>
    <m/>
    <n v="0.21"/>
    <m/>
    <m/>
    <m/>
    <n v="0.230999999999999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188"/>
    <n v="188"/>
    <m/>
    <s v="IK"/>
    <n v="30"/>
    <m/>
    <m/>
    <m/>
    <m/>
    <m/>
    <n v="0.1128"/>
    <m/>
    <m/>
    <n v="1.1279999999999999"/>
    <m/>
    <m/>
    <m/>
    <n v="1.2407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254"/>
    <n v="254"/>
    <m/>
    <s v="IK"/>
    <n v="30"/>
    <m/>
    <m/>
    <m/>
    <m/>
    <m/>
    <n v="0.15240000000000001"/>
    <m/>
    <m/>
    <n v="1.524"/>
    <m/>
    <m/>
    <m/>
    <n v="1.6764000000000001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00"/>
    <n v="200"/>
    <m/>
    <s v="IK"/>
    <n v="30"/>
    <m/>
    <m/>
    <m/>
    <m/>
    <m/>
    <n v="0.12"/>
    <m/>
    <m/>
    <n v="1.2"/>
    <m/>
    <m/>
    <m/>
    <n v="1.31999999999999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272"/>
    <n v="272"/>
    <m/>
    <s v="IK"/>
    <n v="30"/>
    <m/>
    <m/>
    <m/>
    <m/>
    <m/>
    <n v="0.16320000000000001"/>
    <m/>
    <m/>
    <n v="1.6319999999999999"/>
    <m/>
    <m/>
    <m/>
    <n v="1.7951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68"/>
    <n v="368"/>
    <m/>
    <s v="IK"/>
    <n v="30"/>
    <m/>
    <m/>
    <m/>
    <m/>
    <m/>
    <n v="0.2208"/>
    <m/>
    <m/>
    <n v="2.2080000000000002"/>
    <m/>
    <m/>
    <m/>
    <n v="2.4288000000000003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68"/>
    <n v="168"/>
    <m/>
    <s v="IK"/>
    <n v="30"/>
    <m/>
    <m/>
    <m/>
    <m/>
    <m/>
    <n v="0.1008"/>
    <m/>
    <m/>
    <n v="1.008"/>
    <m/>
    <m/>
    <m/>
    <n v="1.108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 HAUT"/>
    <m/>
    <n v="153"/>
    <n v="153"/>
    <m/>
    <s v="IK"/>
    <n v="30"/>
    <m/>
    <m/>
    <m/>
    <m/>
    <m/>
    <n v="9.1800000000000007E-2"/>
    <m/>
    <m/>
    <n v="0.91800000000000004"/>
    <m/>
    <m/>
    <m/>
    <n v="1.00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75"/>
    <n v="175"/>
    <m/>
    <s v="IK"/>
    <n v="30"/>
    <m/>
    <m/>
    <m/>
    <m/>
    <m/>
    <n v="0.105"/>
    <m/>
    <m/>
    <n v="1.05"/>
    <m/>
    <m/>
    <m/>
    <n v="1.155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ANDREGNARA"/>
    <m/>
    <n v="125"/>
    <n v="125"/>
    <m/>
    <s v="IK"/>
    <n v="30"/>
    <m/>
    <m/>
    <m/>
    <m/>
    <m/>
    <n v="7.4999999999999997E-2"/>
    <m/>
    <m/>
    <n v="0.75"/>
    <m/>
    <m/>
    <m/>
    <n v="0.82499999999999996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12"/>
    <n v="312"/>
    <m/>
    <s v="IK"/>
    <n v="30"/>
    <m/>
    <m/>
    <m/>
    <m/>
    <m/>
    <n v="0.18720000000000001"/>
    <m/>
    <m/>
    <n v="1.8720000000000001"/>
    <m/>
    <m/>
    <m/>
    <n v="2.0592000000000001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s v="IK"/>
    <n v="30"/>
    <m/>
    <m/>
    <m/>
    <m/>
    <m/>
    <n v="7.7399999999999997E-2"/>
    <m/>
    <m/>
    <n v="0.77400000000000002"/>
    <m/>
    <m/>
    <m/>
    <n v="0.85140000000000005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BEFAITSY"/>
    <m/>
    <n v="120"/>
    <n v="120"/>
    <m/>
    <s v="IK"/>
    <n v="30"/>
    <m/>
    <m/>
    <m/>
    <m/>
    <m/>
    <n v="7.1999999999999995E-2"/>
    <m/>
    <m/>
    <n v="0.72"/>
    <m/>
    <m/>
    <m/>
    <n v="0.79199999999999993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40"/>
    <n v="140"/>
    <m/>
    <s v="IK"/>
    <n v="30"/>
    <m/>
    <m/>
    <m/>
    <m/>
    <m/>
    <n v="8.4000000000000005E-2"/>
    <m/>
    <m/>
    <n v="0.84"/>
    <m/>
    <m/>
    <m/>
    <n v="0.92399999999999993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64"/>
    <n v="164"/>
    <m/>
    <s v="IK"/>
    <n v="30"/>
    <m/>
    <m/>
    <m/>
    <m/>
    <m/>
    <n v="9.8400000000000001E-2"/>
    <m/>
    <m/>
    <n v="0.98399999999999999"/>
    <m/>
    <m/>
    <m/>
    <n v="1.082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 CENTRE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 MAROMENIKE"/>
    <m/>
    <n v="208"/>
    <n v="208"/>
    <m/>
    <s v="IK"/>
    <n v="30"/>
    <m/>
    <m/>
    <m/>
    <m/>
    <m/>
    <n v="0.12479999999999999"/>
    <m/>
    <m/>
    <n v="1.248"/>
    <m/>
    <m/>
    <m/>
    <n v="1.372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RANO"/>
    <s v="ANKRABERANO"/>
    <m/>
    <n v="74"/>
    <n v="74"/>
    <m/>
    <s v="IK"/>
    <n v="30"/>
    <m/>
    <m/>
    <m/>
    <m/>
    <m/>
    <n v="4.4400000000000002E-2"/>
    <m/>
    <m/>
    <n v="0.44400000000000001"/>
    <m/>
    <m/>
    <m/>
    <n v="0.488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9"/>
    <n v="139"/>
    <m/>
    <s v="IK"/>
    <n v="30"/>
    <m/>
    <m/>
    <m/>
    <m/>
    <m/>
    <n v="8.3400000000000002E-2"/>
    <m/>
    <m/>
    <n v="0.83399999999999996"/>
    <m/>
    <m/>
    <m/>
    <n v="0.91739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358"/>
    <n v="358"/>
    <m/>
    <s v="IK"/>
    <n v="30"/>
    <m/>
    <m/>
    <m/>
    <m/>
    <m/>
    <n v="0.21479999999999999"/>
    <m/>
    <m/>
    <n v="2.1480000000000001"/>
    <m/>
    <m/>
    <m/>
    <n v="2.362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222"/>
    <n v="222"/>
    <m/>
    <s v="IK"/>
    <n v="30"/>
    <m/>
    <m/>
    <m/>
    <m/>
    <m/>
    <n v="0.13320000000000001"/>
    <m/>
    <m/>
    <n v="1.3320000000000001"/>
    <m/>
    <m/>
    <m/>
    <n v="1.4652000000000001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106"/>
    <n v="106"/>
    <m/>
    <s v="IK"/>
    <n v="30"/>
    <m/>
    <m/>
    <m/>
    <m/>
    <m/>
    <n v="6.3600000000000004E-2"/>
    <m/>
    <m/>
    <n v="0.63600000000000001"/>
    <m/>
    <m/>
    <m/>
    <n v="0.6996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BEKIRIA CENTRE"/>
    <m/>
    <n v="201"/>
    <n v="201"/>
    <m/>
    <s v="IK"/>
    <n v="30"/>
    <m/>
    <m/>
    <m/>
    <m/>
    <m/>
    <n v="0.1206"/>
    <m/>
    <m/>
    <n v="1.206"/>
    <m/>
    <m/>
    <m/>
    <n v="1.3266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6"/>
    <n v="346"/>
    <m/>
    <s v="IK"/>
    <n v="30"/>
    <m/>
    <m/>
    <m/>
    <m/>
    <m/>
    <n v="0.20760000000000001"/>
    <m/>
    <m/>
    <n v="2.0760000000000001"/>
    <m/>
    <m/>
    <m/>
    <n v="2.2835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"/>
    <m/>
    <n v="190"/>
    <n v="190"/>
    <m/>
    <s v="IK"/>
    <n v="30"/>
    <m/>
    <m/>
    <m/>
    <m/>
    <m/>
    <n v="0.114"/>
    <m/>
    <m/>
    <n v="1.1399999999999999"/>
    <m/>
    <m/>
    <m/>
    <n v="1.25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TANANDAVA"/>
    <m/>
    <n v="362"/>
    <n v="362"/>
    <m/>
    <s v="IK"/>
    <n v="30"/>
    <m/>
    <m/>
    <m/>
    <m/>
    <m/>
    <n v="0.2172"/>
    <m/>
    <m/>
    <n v="2.1720000000000002"/>
    <m/>
    <m/>
    <m/>
    <n v="2.389200000000000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VOHIBARY"/>
    <m/>
    <n v="64"/>
    <n v="64"/>
    <m/>
    <s v="IK"/>
    <n v="30"/>
    <m/>
    <m/>
    <m/>
    <m/>
    <m/>
    <n v="3.8399999999999997E-2"/>
    <m/>
    <m/>
    <n v="0.38400000000000001"/>
    <m/>
    <m/>
    <m/>
    <n v="0.4224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AMBATOMENA"/>
    <m/>
    <n v="123"/>
    <n v="123"/>
    <m/>
    <s v="IK"/>
    <n v="30"/>
    <m/>
    <m/>
    <m/>
    <m/>
    <m/>
    <n v="7.3800000000000004E-2"/>
    <m/>
    <m/>
    <n v="0.73799999999999999"/>
    <m/>
    <m/>
    <m/>
    <n v="0.81179999999999997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MAROLOHA"/>
    <m/>
    <n v="117"/>
    <n v="117"/>
    <m/>
    <s v="IK"/>
    <n v="30"/>
    <m/>
    <m/>
    <m/>
    <m/>
    <m/>
    <n v="7.0199999999999999E-2"/>
    <m/>
    <m/>
    <n v="0.70199999999999996"/>
    <m/>
    <m/>
    <m/>
    <n v="0.772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ANTSOVELA"/>
    <m/>
    <n v="202"/>
    <n v="202"/>
    <m/>
    <s v="IK"/>
    <n v="30"/>
    <m/>
    <m/>
    <m/>
    <m/>
    <m/>
    <n v="0.1212"/>
    <m/>
    <m/>
    <n v="1.212"/>
    <m/>
    <m/>
    <m/>
    <n v="1.3331999999999999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9"/>
    <n v="99"/>
    <m/>
    <s v="IK"/>
    <n v="30"/>
    <m/>
    <m/>
    <m/>
    <m/>
    <m/>
    <n v="5.9400000000000001E-2"/>
    <m/>
    <m/>
    <n v="0.59399999999999997"/>
    <m/>
    <m/>
    <m/>
    <n v="0.65339999999999998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GA"/>
    <m/>
    <n v="100"/>
    <n v="100"/>
    <m/>
    <s v="IK"/>
    <n v="30"/>
    <m/>
    <m/>
    <m/>
    <m/>
    <m/>
    <n v="0.06"/>
    <m/>
    <m/>
    <n v="0.6"/>
    <m/>
    <m/>
    <m/>
    <n v="0.6599999999999999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TANANDAVA"/>
    <s v="ANDROVASOA"/>
    <m/>
    <n v="156"/>
    <n v="156"/>
    <m/>
    <s v="IK"/>
    <n v="30"/>
    <m/>
    <m/>
    <m/>
    <m/>
    <m/>
    <n v="9.3600000000000003E-2"/>
    <m/>
    <m/>
    <n v="0.93600000000000005"/>
    <m/>
    <m/>
    <m/>
    <n v="1.0296000000000001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TANANDAVA"/>
    <s v="VAHAVOLA CENTRE"/>
    <m/>
    <n v="91"/>
    <n v="91"/>
    <m/>
    <s v="IK"/>
    <n v="30"/>
    <m/>
    <m/>
    <m/>
    <m/>
    <m/>
    <n v="5.4600000000000003E-2"/>
    <m/>
    <m/>
    <n v="0.54600000000000004"/>
    <m/>
    <m/>
    <m/>
    <n v="0.60060000000000002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TANANDAVA"/>
    <s v="MANINDRA CENTRE"/>
    <m/>
    <n v="103"/>
    <n v="103"/>
    <m/>
    <s v="IK"/>
    <n v="30"/>
    <m/>
    <m/>
    <m/>
    <m/>
    <m/>
    <n v="6.1800000000000001E-2"/>
    <m/>
    <m/>
    <n v="0.61799999999999999"/>
    <m/>
    <m/>
    <m/>
    <n v="0.67979999999999996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TANANDAVA"/>
    <s v="MANDRAPASY"/>
    <m/>
    <n v="116"/>
    <n v="116"/>
    <m/>
    <s v="IK"/>
    <n v="30"/>
    <m/>
    <m/>
    <m/>
    <m/>
    <m/>
    <n v="6.9599999999999995E-2"/>
    <m/>
    <m/>
    <n v="0.69599999999999995"/>
    <m/>
    <m/>
    <m/>
    <n v="0.76559999999999995"/>
    <m/>
    <m/>
  </r>
  <r>
    <x v="3"/>
    <n v="2025"/>
    <x v="1"/>
    <s v="Nutrition"/>
    <x v="2"/>
    <s v="NPA_STUN:Prevention of Stunting"/>
    <m/>
    <m/>
    <s v="Amboasary"/>
    <x v="0"/>
    <s v="Taolagnaro"/>
    <s v="Anosy"/>
    <s v="Amboasary"/>
    <s v="YPA"/>
    <s v="TANANDAVA"/>
    <s v="SIHANAKARA"/>
    <m/>
    <n v="290"/>
    <n v="290"/>
    <m/>
    <s v="IK"/>
    <n v="30"/>
    <m/>
    <m/>
    <m/>
    <m/>
    <m/>
    <n v="0.17399999999999999"/>
    <m/>
    <m/>
    <n v="1.74"/>
    <m/>
    <m/>
    <m/>
    <n v="1.9139999999999999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s v="IK"/>
    <n v="30"/>
    <m/>
    <m/>
    <m/>
    <m/>
    <m/>
    <n v="0.16919999999999999"/>
    <m/>
    <m/>
    <n v="1.6919999999999999"/>
    <m/>
    <m/>
    <m/>
    <n v="1.8612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s v="IK"/>
    <n v="30"/>
    <m/>
    <m/>
    <m/>
    <m/>
    <m/>
    <n v="0.255"/>
    <m/>
    <m/>
    <n v="2.5499999999999998"/>
    <m/>
    <m/>
    <m/>
    <n v="2.8049999999999997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s v="IK"/>
    <n v="30"/>
    <m/>
    <m/>
    <m/>
    <m/>
    <m/>
    <n v="0.57899999999999996"/>
    <m/>
    <m/>
    <n v="5.79"/>
    <m/>
    <m/>
    <m/>
    <n v="6.3689999999999998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s v="IK"/>
    <n v="30"/>
    <m/>
    <m/>
    <m/>
    <m/>
    <m/>
    <n v="0.28260000000000002"/>
    <m/>
    <m/>
    <n v="2.8260000000000001"/>
    <m/>
    <m/>
    <m/>
    <n v="3.1086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s v="IK"/>
    <m/>
    <m/>
    <m/>
    <m/>
    <m/>
    <m/>
    <n v="0"/>
    <m/>
    <m/>
    <n v="0"/>
    <m/>
    <m/>
    <m/>
    <n v="0"/>
    <m/>
    <m/>
  </r>
  <r>
    <x v="3"/>
    <n v="2025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s v="IK"/>
    <n v="30"/>
    <m/>
    <m/>
    <m/>
    <m/>
    <m/>
    <n v="0.183"/>
    <m/>
    <m/>
    <n v="1.83"/>
    <m/>
    <m/>
    <m/>
    <n v="2.0129999999999999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s v="IK"/>
    <n v="30"/>
    <m/>
    <m/>
    <m/>
    <m/>
    <m/>
    <m/>
    <m/>
    <m/>
    <m/>
    <m/>
    <n v="0.74550000000000005"/>
    <m/>
    <n v="0.74550000000000005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s v="IK"/>
    <n v="30"/>
    <m/>
    <m/>
    <m/>
    <m/>
    <m/>
    <m/>
    <m/>
    <m/>
    <m/>
    <m/>
    <n v="1.0004999999999999"/>
    <m/>
    <n v="1.0004999999999999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s v="IK"/>
    <n v="30"/>
    <m/>
    <m/>
    <m/>
    <m/>
    <m/>
    <m/>
    <m/>
    <m/>
    <m/>
    <m/>
    <n v="1.5209999999999999"/>
    <m/>
    <n v="1.5209999999999999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s v="IK"/>
    <n v="30"/>
    <m/>
    <m/>
    <m/>
    <m/>
    <m/>
    <m/>
    <m/>
    <m/>
    <m/>
    <m/>
    <n v="2.3384999999999998"/>
    <m/>
    <n v="2.3384999999999998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Analabe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Beadabo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Ifanrantsa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raketa"/>
    <s v="Tomboarivo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s v="IK"/>
    <n v="30"/>
    <m/>
    <m/>
    <m/>
    <m/>
    <m/>
    <m/>
    <m/>
    <m/>
    <m/>
    <m/>
    <n v="0.77700000000000002"/>
    <m/>
    <n v="0.77700000000000002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sakoa"/>
    <s v="Besakoa"/>
    <m/>
    <m/>
    <n v="0"/>
    <m/>
    <s v="IK"/>
    <m/>
    <m/>
    <m/>
    <m/>
    <m/>
    <m/>
    <m/>
    <m/>
    <m/>
    <m/>
    <m/>
    <n v="0"/>
    <m/>
    <n v="0"/>
    <m/>
    <m/>
  </r>
  <r>
    <x v="3"/>
    <n v="2025"/>
    <x v="1"/>
    <s v="Nutrition"/>
    <x v="3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s v="IK"/>
    <n v="30"/>
    <m/>
    <m/>
    <m/>
    <m/>
    <m/>
    <m/>
    <m/>
    <m/>
    <m/>
    <m/>
    <n v="0.39600000000000002"/>
    <m/>
    <n v="0.39600000000000002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havoa"/>
    <m/>
    <n v="220"/>
    <n v="220"/>
    <m/>
    <s v="IK"/>
    <n v="30"/>
    <m/>
    <m/>
    <m/>
    <m/>
    <m/>
    <n v="0.13200000000000001"/>
    <m/>
    <m/>
    <n v="1.32"/>
    <m/>
    <m/>
    <m/>
    <n v="1.452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hazoarivo"/>
    <m/>
    <n v="250"/>
    <n v="250"/>
    <m/>
    <s v="IK"/>
    <n v="30"/>
    <m/>
    <m/>
    <m/>
    <m/>
    <m/>
    <n v="0.15"/>
    <m/>
    <m/>
    <n v="1.5"/>
    <m/>
    <m/>
    <m/>
    <n v="1.65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Manasoa Mahafaly"/>
    <m/>
    <n v="350"/>
    <n v="350"/>
    <m/>
    <s v="IK"/>
    <n v="30"/>
    <m/>
    <m/>
    <m/>
    <m/>
    <m/>
    <n v="0.21"/>
    <m/>
    <m/>
    <n v="2.1"/>
    <m/>
    <m/>
    <m/>
    <n v="2.31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ely Est"/>
    <m/>
    <n v="420"/>
    <n v="420"/>
    <m/>
    <s v="IK"/>
    <n v="30"/>
    <m/>
    <m/>
    <m/>
    <m/>
    <m/>
    <n v="0.252"/>
    <m/>
    <m/>
    <n v="2.52"/>
    <m/>
    <m/>
    <m/>
    <n v="2.7720000000000002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BEAVOHA/ANKAZOMBALALA"/>
    <s v="Besavoa centre"/>
    <m/>
    <n v="260"/>
    <n v="260"/>
    <m/>
    <s v="IK"/>
    <n v="30"/>
    <m/>
    <m/>
    <m/>
    <m/>
    <m/>
    <n v="0.156"/>
    <m/>
    <m/>
    <n v="1.56"/>
    <m/>
    <m/>
    <m/>
    <n v="1.716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Masiaboay"/>
    <m/>
    <n v="300"/>
    <n v="300"/>
    <m/>
    <s v="IK"/>
    <n v="30"/>
    <m/>
    <m/>
    <m/>
    <m/>
    <m/>
    <n v="0.18"/>
    <m/>
    <m/>
    <n v="1.8"/>
    <m/>
    <m/>
    <m/>
    <n v="1.98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dranotakatse"/>
    <m/>
    <n v="550"/>
    <n v="550"/>
    <m/>
    <s v="IK"/>
    <n v="30"/>
    <m/>
    <m/>
    <m/>
    <m/>
    <m/>
    <n v="0.33"/>
    <m/>
    <m/>
    <n v="3.3"/>
    <m/>
    <m/>
    <m/>
    <n v="3.63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MASIABOAY"/>
    <s v="Antararaty"/>
    <m/>
    <n v="160"/>
    <n v="160"/>
    <m/>
    <s v="IK"/>
    <n v="30"/>
    <m/>
    <m/>
    <m/>
    <m/>
    <m/>
    <n v="9.6000000000000002E-2"/>
    <m/>
    <m/>
    <n v="0.96"/>
    <m/>
    <m/>
    <m/>
    <n v="1.056"/>
    <m/>
    <m/>
  </r>
  <r>
    <x v="3"/>
    <n v="2025"/>
    <x v="1"/>
    <s v="Nutrition"/>
    <x v="2"/>
    <s v="NPA_STUN:Prevention of Stunting"/>
    <m/>
    <m/>
    <s v="Tuléar"/>
    <x v="2"/>
    <s v="Tuléar"/>
    <s v="Atsimo Andrefana"/>
    <s v="Betioky"/>
    <s v="TOHANA"/>
    <s v="SAKAMASAY"/>
    <s v="Sakamasay"/>
    <m/>
    <n v="155"/>
    <n v="155"/>
    <m/>
    <s v="IK"/>
    <n v="30"/>
    <m/>
    <m/>
    <m/>
    <m/>
    <m/>
    <n v="9.2999999999999999E-2"/>
    <m/>
    <m/>
    <n v="0.93"/>
    <m/>
    <m/>
    <m/>
    <n v="1.0230000000000001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m/>
    <n v="100"/>
    <n v="100"/>
    <m/>
    <s v="IK"/>
    <n v="30"/>
    <m/>
    <m/>
    <m/>
    <m/>
    <m/>
    <m/>
    <m/>
    <m/>
    <m/>
    <m/>
    <n v="0.15"/>
    <m/>
    <n v="0.15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havoa"/>
    <n v="495"/>
    <m/>
    <n v="495"/>
    <m/>
    <s v="IK"/>
    <n v="30"/>
    <m/>
    <m/>
    <m/>
    <m/>
    <m/>
    <m/>
    <m/>
    <m/>
    <m/>
    <m/>
    <n v="0.74250000000000005"/>
    <m/>
    <n v="0.74250000000000005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hazoarivo"/>
    <n v="500"/>
    <m/>
    <n v="500"/>
    <m/>
    <s v="IK"/>
    <n v="30"/>
    <m/>
    <m/>
    <m/>
    <m/>
    <m/>
    <m/>
    <m/>
    <m/>
    <m/>
    <m/>
    <n v="0.75"/>
    <m/>
    <n v="0.75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Manasoa Mahafaly"/>
    <n v="510"/>
    <m/>
    <n v="510"/>
    <m/>
    <s v="IK"/>
    <n v="30"/>
    <m/>
    <m/>
    <m/>
    <m/>
    <m/>
    <m/>
    <m/>
    <m/>
    <m/>
    <m/>
    <n v="0.76500000000000001"/>
    <m/>
    <n v="0.76500000000000001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ely Est"/>
    <n v="580"/>
    <m/>
    <n v="580"/>
    <m/>
    <s v="IK"/>
    <n v="30"/>
    <m/>
    <m/>
    <m/>
    <m/>
    <m/>
    <m/>
    <m/>
    <m/>
    <m/>
    <m/>
    <n v="0.87"/>
    <m/>
    <n v="0.87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BEAVOHA/ANKAZOMBALALA"/>
    <s v="Besavoa centre"/>
    <n v="590"/>
    <m/>
    <n v="590"/>
    <m/>
    <s v="IK"/>
    <n v="30"/>
    <m/>
    <m/>
    <m/>
    <m/>
    <m/>
    <m/>
    <m/>
    <m/>
    <m/>
    <m/>
    <n v="0.88500000000000001"/>
    <m/>
    <n v="0.88500000000000001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Masiaboay"/>
    <n v="500"/>
    <m/>
    <n v="500"/>
    <m/>
    <s v="IK"/>
    <n v="30"/>
    <m/>
    <m/>
    <m/>
    <m/>
    <m/>
    <m/>
    <m/>
    <m/>
    <m/>
    <m/>
    <n v="0.75"/>
    <m/>
    <n v="0.75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dranotakatse"/>
    <n v="900"/>
    <m/>
    <n v="900"/>
    <m/>
    <s v="IK"/>
    <n v="30"/>
    <m/>
    <m/>
    <m/>
    <m/>
    <m/>
    <m/>
    <m/>
    <m/>
    <m/>
    <m/>
    <n v="1.35"/>
    <m/>
    <n v="1.35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MASIABOAY"/>
    <s v="Antararat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Sakamasay"/>
    <n v="270"/>
    <m/>
    <n v="270"/>
    <m/>
    <s v="IK"/>
    <n v="30"/>
    <m/>
    <m/>
    <m/>
    <m/>
    <m/>
    <m/>
    <m/>
    <m/>
    <m/>
    <m/>
    <n v="0.40500000000000003"/>
    <m/>
    <n v="0.40500000000000003"/>
    <m/>
    <m/>
  </r>
  <r>
    <x v="3"/>
    <n v="2025"/>
    <x v="1"/>
    <s v="Nutrition"/>
    <x v="3"/>
    <s v="NPA_STUN:Prevention of Stunting"/>
    <m/>
    <m/>
    <s v="Tuléar"/>
    <x v="2"/>
    <s v="Tuléar"/>
    <s v="Atsimo Andrefana"/>
    <s v="Betioky"/>
    <s v="TOHANA"/>
    <s v="SAKAMASAY"/>
    <s v="Antamotamo"/>
    <n v="160"/>
    <m/>
    <n v="160"/>
    <m/>
    <s v="IK"/>
    <n v="30"/>
    <m/>
    <m/>
    <m/>
    <m/>
    <m/>
    <m/>
    <m/>
    <m/>
    <m/>
    <m/>
    <n v="0.24"/>
    <m/>
    <n v="0.24"/>
    <m/>
    <m/>
  </r>
  <r>
    <x v="3"/>
    <n v="2025"/>
    <x v="1"/>
    <s v="Nutrition"/>
    <x v="3"/>
    <s v="NPA_STUN:Prevention of Stunting"/>
    <m/>
    <m/>
    <s v="Manakara"/>
    <x v="3"/>
    <m/>
    <s v="Fitovinany"/>
    <s v="Manakara"/>
    <s v="NY TANINTSIKA"/>
    <s v="Ambila"/>
    <s v="En cours"/>
    <n v="1111"/>
    <m/>
    <n v="1111"/>
    <m/>
    <s v="IK"/>
    <n v="30"/>
    <m/>
    <m/>
    <m/>
    <m/>
    <m/>
    <m/>
    <m/>
    <m/>
    <m/>
    <m/>
    <n v="1.6665000000000001"/>
    <m/>
    <n v="1.6665000000000001"/>
    <m/>
    <m/>
  </r>
  <r>
    <x v="3"/>
    <n v="2025"/>
    <x v="1"/>
    <s v="Nutrition"/>
    <x v="3"/>
    <s v="NPA_STUN:Prevention of Stunting"/>
    <m/>
    <m/>
    <s v="Manakara"/>
    <x v="3"/>
    <m/>
    <s v="Fitovinany"/>
    <s v="Manakara"/>
    <s v="NY TANINTSIKA"/>
    <s v="Anteza"/>
    <s v="En cours"/>
    <n v="393"/>
    <m/>
    <n v="393"/>
    <m/>
    <s v="IK"/>
    <n v="30"/>
    <m/>
    <m/>
    <m/>
    <m/>
    <m/>
    <m/>
    <m/>
    <m/>
    <m/>
    <m/>
    <n v="0.58950000000000002"/>
    <m/>
    <n v="0.58950000000000002"/>
    <m/>
    <m/>
  </r>
  <r>
    <x v="3"/>
    <n v="2025"/>
    <x v="1"/>
    <s v="Nutrition"/>
    <x v="2"/>
    <s v="NPA_STUN:Prevention of Stunting"/>
    <m/>
    <m/>
    <s v="Manakara"/>
    <x v="3"/>
    <m/>
    <s v="Fitovinany"/>
    <s v="Manakara"/>
    <s v="NY TANINTSIKA"/>
    <s v="Ambila"/>
    <s v="En cours"/>
    <m/>
    <n v="1283"/>
    <n v="1283"/>
    <m/>
    <s v="IK"/>
    <n v="30"/>
    <m/>
    <m/>
    <m/>
    <m/>
    <m/>
    <n v="0.76980000000000004"/>
    <m/>
    <m/>
    <n v="7.6980000000000004"/>
    <m/>
    <m/>
    <m/>
    <n v="8.4678000000000004"/>
    <m/>
    <m/>
  </r>
  <r>
    <x v="3"/>
    <n v="2025"/>
    <x v="1"/>
    <s v="Nutrition"/>
    <x v="2"/>
    <s v="NPA_STUN:Prevention of Stunting"/>
    <m/>
    <m/>
    <s v="Manakara"/>
    <x v="3"/>
    <m/>
    <s v="Fitovinany"/>
    <s v="Manakara"/>
    <s v="NY TANINTSIKA"/>
    <s v="Anteza"/>
    <s v="En cours"/>
    <m/>
    <n v="454"/>
    <n v="454"/>
    <m/>
    <s v="IK"/>
    <n v="30"/>
    <m/>
    <m/>
    <m/>
    <m/>
    <m/>
    <n v="0.27239999999999998"/>
    <m/>
    <m/>
    <n v="2.7240000000000002"/>
    <m/>
    <m/>
    <m/>
    <n v="2.9964000000000004"/>
    <m/>
    <m/>
  </r>
  <r>
    <x v="3"/>
    <n v="2025"/>
    <x v="1"/>
    <s v="Nutrition"/>
    <x v="3"/>
    <s v="NPA_STUN:Prevention of Stunting"/>
    <m/>
    <m/>
    <s v="Manakara"/>
    <x v="3"/>
    <m/>
    <s v="Vatovavy"/>
    <s v="Mananjary"/>
    <s v="NY TANINTSIKA"/>
    <s v="Mahatsara Sud"/>
    <s v="En cours"/>
    <n v="427"/>
    <m/>
    <n v="427"/>
    <m/>
    <s v="IK"/>
    <n v="30"/>
    <m/>
    <m/>
    <m/>
    <m/>
    <m/>
    <m/>
    <m/>
    <m/>
    <m/>
    <m/>
    <n v="0.64049999999999996"/>
    <m/>
    <n v="0.64049999999999996"/>
    <m/>
    <m/>
  </r>
  <r>
    <x v="3"/>
    <n v="2025"/>
    <x v="1"/>
    <s v="Nutrition"/>
    <x v="3"/>
    <s v="NPA_STUN:Prevention of Stunting"/>
    <m/>
    <m/>
    <s v="Manakara"/>
    <x v="3"/>
    <m/>
    <s v="Vatovavy"/>
    <s v="Mananjary"/>
    <s v="NY TANINTSIKA"/>
    <s v="Marokarima"/>
    <s v="En cours"/>
    <n v="721"/>
    <m/>
    <n v="721"/>
    <m/>
    <s v="IK"/>
    <n v="30"/>
    <m/>
    <m/>
    <m/>
    <m/>
    <m/>
    <m/>
    <m/>
    <m/>
    <m/>
    <m/>
    <n v="1.0814999999999999"/>
    <m/>
    <n v="1.0814999999999999"/>
    <m/>
    <m/>
  </r>
  <r>
    <x v="3"/>
    <n v="2025"/>
    <x v="1"/>
    <s v="Nutrition"/>
    <x v="3"/>
    <s v="NPA_STUN:Prevention of Stunting"/>
    <m/>
    <m/>
    <s v="Manakara"/>
    <x v="3"/>
    <m/>
    <s v="Vatovavy"/>
    <s v="Mananjary"/>
    <s v="NY TANINTSIKA"/>
    <s v="Tsaravary"/>
    <s v="En cours"/>
    <n v="380"/>
    <m/>
    <n v="380"/>
    <m/>
    <s v="IK"/>
    <n v="30"/>
    <m/>
    <m/>
    <m/>
    <m/>
    <m/>
    <m/>
    <m/>
    <m/>
    <m/>
    <m/>
    <n v="0.56999999999999995"/>
    <m/>
    <n v="0.56999999999999995"/>
    <m/>
    <m/>
  </r>
  <r>
    <x v="3"/>
    <n v="2025"/>
    <x v="1"/>
    <s v="Nutrition"/>
    <x v="3"/>
    <s v="NPA_STUN:Prevention of Stunting"/>
    <m/>
    <m/>
    <s v="Manakara"/>
    <x v="3"/>
    <m/>
    <s v="Vatovavy"/>
    <s v="Mananjary"/>
    <s v="NY TANINTSIKA"/>
    <s v="Tsiatosika"/>
    <s v="En cours"/>
    <n v="1061"/>
    <m/>
    <n v="1061"/>
    <m/>
    <s v="IK"/>
    <n v="30"/>
    <m/>
    <m/>
    <m/>
    <m/>
    <m/>
    <m/>
    <m/>
    <m/>
    <m/>
    <m/>
    <n v="1.5914999999999999"/>
    <m/>
    <n v="1.5914999999999999"/>
    <m/>
    <m/>
  </r>
  <r>
    <x v="3"/>
    <n v="2025"/>
    <x v="1"/>
    <s v="Nutrition"/>
    <x v="2"/>
    <s v="NPA_STUN:Prevention of Stunting"/>
    <m/>
    <m/>
    <s v="Manakara"/>
    <x v="3"/>
    <m/>
    <s v="Vatovavy"/>
    <s v="Mananjary"/>
    <s v="NY TANINTSIKA"/>
    <s v="Mahatsara Sud"/>
    <s v="En cours"/>
    <m/>
    <n v="493"/>
    <n v="493"/>
    <m/>
    <s v="IK"/>
    <n v="30"/>
    <m/>
    <m/>
    <m/>
    <m/>
    <m/>
    <n v="0.29580000000000001"/>
    <m/>
    <m/>
    <n v="2.9580000000000002"/>
    <m/>
    <m/>
    <m/>
    <n v="3.2538"/>
    <m/>
    <m/>
  </r>
  <r>
    <x v="3"/>
    <n v="2025"/>
    <x v="1"/>
    <s v="Nutrition"/>
    <x v="2"/>
    <s v="NPA_STUN:Prevention of Stunting"/>
    <m/>
    <m/>
    <s v="Manakara"/>
    <x v="3"/>
    <m/>
    <s v="Vatovavy"/>
    <s v="Mananjary"/>
    <s v="NY TANINTSIKA"/>
    <s v="Marokarima"/>
    <s v="En cours"/>
    <m/>
    <n v="833"/>
    <n v="833"/>
    <m/>
    <s v="IK"/>
    <n v="30"/>
    <m/>
    <m/>
    <m/>
    <m/>
    <m/>
    <n v="0.49980000000000002"/>
    <m/>
    <m/>
    <n v="4.9980000000000002"/>
    <m/>
    <m/>
    <m/>
    <n v="5.4977999999999998"/>
    <m/>
    <m/>
  </r>
  <r>
    <x v="3"/>
    <n v="2025"/>
    <x v="1"/>
    <s v="Nutrition"/>
    <x v="2"/>
    <s v="NPA_STUN:Prevention of Stunting"/>
    <m/>
    <m/>
    <s v="Manakara"/>
    <x v="3"/>
    <m/>
    <s v="Vatovavy"/>
    <s v="Mananjary"/>
    <s v="NY TANINTSIKA"/>
    <s v="Tsaravary"/>
    <s v="En cours"/>
    <m/>
    <n v="439"/>
    <n v="439"/>
    <m/>
    <s v="IK"/>
    <n v="30"/>
    <m/>
    <m/>
    <m/>
    <m/>
    <m/>
    <n v="0.26340000000000002"/>
    <m/>
    <m/>
    <n v="2.6339999999999999"/>
    <m/>
    <m/>
    <m/>
    <n v="2.8973999999999998"/>
    <m/>
    <m/>
  </r>
  <r>
    <x v="3"/>
    <n v="2025"/>
    <x v="1"/>
    <s v="Nutrition"/>
    <x v="2"/>
    <s v="NPA_STUN:Prevention of Stunting"/>
    <m/>
    <m/>
    <s v="Manakara"/>
    <x v="3"/>
    <m/>
    <s v="Vatovavy"/>
    <s v="Mananjary"/>
    <s v="NY TANINTSIKA"/>
    <s v="Tsiatosika"/>
    <s v="En cours"/>
    <m/>
    <n v="1225"/>
    <n v="1225"/>
    <m/>
    <s v="IK"/>
    <n v="30"/>
    <m/>
    <m/>
    <m/>
    <m/>
    <m/>
    <n v="0.73499999999999999"/>
    <m/>
    <m/>
    <n v="7.35"/>
    <m/>
    <m/>
    <m/>
    <n v="8.0849999999999991"/>
    <m/>
    <m/>
  </r>
  <r>
    <x v="2"/>
    <n v="2025"/>
    <x v="0"/>
    <s v="Nutrition"/>
    <x v="4"/>
    <s v="PEC FEFA"/>
    <m/>
    <m/>
    <s v="Manakara"/>
    <x v="3"/>
    <s v="Manakara"/>
    <s v="Fitovinany"/>
    <s v="Manakara"/>
    <s v="DRS"/>
    <s v="Manakara"/>
    <s v="Manakara"/>
    <m/>
    <n v="1303.6122750000002"/>
    <n v="1303.6122750000002"/>
    <m/>
    <s v="IK"/>
    <n v="30"/>
    <m/>
    <m/>
    <m/>
    <m/>
    <m/>
    <n v="0.97770920625000013"/>
    <m/>
    <m/>
    <n v="9.7770920625000013"/>
    <m/>
    <m/>
    <m/>
    <n v="10.754801268750001"/>
    <m/>
    <m/>
  </r>
  <r>
    <x v="2"/>
    <n v="2025"/>
    <x v="0"/>
    <s v="Nutrition"/>
    <x v="4"/>
    <s v="PEC FEFA"/>
    <m/>
    <m/>
    <s v="Manakara"/>
    <x v="2"/>
    <s v="Manakara"/>
    <s v="Fitovinany"/>
    <s v="Manakara"/>
    <s v="DRS"/>
    <s v="IKONGO"/>
    <s v="IKONGO"/>
    <m/>
    <n v="1252.4223000000002"/>
    <n v="1252.4223000000002"/>
    <m/>
    <s v="IK"/>
    <n v="30"/>
    <m/>
    <m/>
    <m/>
    <m/>
    <m/>
    <n v="0.93931672500000019"/>
    <m/>
    <m/>
    <n v="9.3931672500000012"/>
    <m/>
    <m/>
    <m/>
    <n v="10.332483975000001"/>
    <m/>
    <m/>
  </r>
  <r>
    <x v="2"/>
    <n v="2025"/>
    <x v="0"/>
    <s v="Nutrition"/>
    <x v="4"/>
    <s v="PEC FEFA"/>
    <m/>
    <m/>
    <s v="Amboasary"/>
    <x v="4"/>
    <s v="Taolagnaro"/>
    <s v="Anosy"/>
    <s v="Amboasary"/>
    <s v="DRS"/>
    <s v="Amboasary"/>
    <s v="Amboasary"/>
    <m/>
    <n v="2049"/>
    <n v="2049"/>
    <m/>
    <s v="IK"/>
    <n v="30"/>
    <m/>
    <m/>
    <m/>
    <m/>
    <m/>
    <n v="1.5367500000000001"/>
    <m/>
    <m/>
    <n v="15.3675"/>
    <m/>
    <m/>
    <m/>
    <n v="16.904250000000001"/>
    <m/>
    <m/>
  </r>
  <r>
    <x v="2"/>
    <n v="2025"/>
    <x v="0"/>
    <s v="Nutrition"/>
    <x v="4"/>
    <s v="PEC FEFA"/>
    <m/>
    <m/>
    <s v="Amboasary"/>
    <x v="4"/>
    <s v="Taolagnaro"/>
    <s v="Anosy"/>
    <s v="Betroka"/>
    <s v="DRS"/>
    <s v="Betroka"/>
    <s v="Betroka"/>
    <m/>
    <n v="2595"/>
    <n v="2595"/>
    <m/>
    <s v="IK"/>
    <n v="30"/>
    <m/>
    <m/>
    <m/>
    <m/>
    <m/>
    <n v="1.94625"/>
    <m/>
    <m/>
    <n v="19.462499999999999"/>
    <m/>
    <m/>
    <m/>
    <n v="21.408749999999998"/>
    <m/>
    <m/>
  </r>
  <r>
    <x v="4"/>
    <m/>
    <x v="2"/>
    <m/>
    <x v="5"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0">
  <r>
    <x v="0"/>
    <n v="2024"/>
    <x v="0"/>
    <s v="Resilience"/>
    <x v="0"/>
    <s v="FFA"/>
    <m/>
    <m/>
    <s v="AMBOSARY"/>
    <x v="0"/>
    <m/>
    <s v="Anosy"/>
    <x v="0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0"/>
    <n v="2024"/>
    <x v="0"/>
    <s v="Resilience"/>
    <x v="0"/>
    <s v="FFA"/>
    <m/>
    <m/>
    <s v="AMBOSARY"/>
    <x v="0"/>
    <m/>
    <s v="Anosy"/>
    <x v="0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0"/>
    <n v="2024"/>
    <x v="0"/>
    <s v="Resilience"/>
    <x v="0"/>
    <s v="FFA"/>
    <m/>
    <m/>
    <s v="AMBOSARY"/>
    <x v="0"/>
    <m/>
    <s v="Anosy"/>
    <x v="0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0"/>
    <n v="2024"/>
    <x v="0"/>
    <s v="Resilience"/>
    <x v="0"/>
    <s v="FFA"/>
    <m/>
    <m/>
    <s v="AMBOSARY"/>
    <x v="0"/>
    <m/>
    <s v="Anosy"/>
    <x v="0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0"/>
    <n v="2024"/>
    <x v="0"/>
    <s v="Resilience"/>
    <x v="0"/>
    <s v="FFA"/>
    <m/>
    <m/>
    <s v="Ambovombe"/>
    <x v="0"/>
    <m/>
    <s v="Androy"/>
    <x v="1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0"/>
    <n v="2024"/>
    <x v="0"/>
    <s v="Resilience"/>
    <x v="0"/>
    <s v="FFA"/>
    <m/>
    <m/>
    <s v="Ambovombe"/>
    <x v="0"/>
    <m/>
    <s v="Androy"/>
    <x v="1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0"/>
    <n v="2024"/>
    <x v="0"/>
    <s v="Resilience"/>
    <x v="0"/>
    <s v="FFA"/>
    <m/>
    <m/>
    <s v="Ambovombe"/>
    <x v="0"/>
    <m/>
    <s v="Androy"/>
    <x v="1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0"/>
    <n v="2024"/>
    <x v="0"/>
    <s v="Resilience"/>
    <x v="0"/>
    <s v="FFA"/>
    <m/>
    <m/>
    <s v="Ambovombe"/>
    <x v="0"/>
    <m/>
    <s v="Androy"/>
    <x v="1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0"/>
    <n v="2025"/>
    <x v="0"/>
    <s v="Resilience"/>
    <x v="0"/>
    <s v="FFA"/>
    <m/>
    <m/>
    <s v="Ambovombe"/>
    <x v="0"/>
    <m/>
    <s v="Androy"/>
    <x v="1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0"/>
    <n v="2024"/>
    <x v="0"/>
    <s v="Resilience"/>
    <x v="0"/>
    <s v="FFA"/>
    <m/>
    <m/>
    <s v="Ambovombe"/>
    <x v="0"/>
    <m/>
    <s v="Androy"/>
    <x v="1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0"/>
    <n v="2024"/>
    <x v="0"/>
    <s v="Resilience"/>
    <x v="0"/>
    <s v="FFA"/>
    <m/>
    <m/>
    <s v="Manakara"/>
    <x v="1"/>
    <m/>
    <s v="Fitovinany"/>
    <x v="1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0"/>
    <n v="2024"/>
    <x v="0"/>
    <s v="Resilience"/>
    <x v="0"/>
    <s v="FFA"/>
    <m/>
    <m/>
    <s v="Manakara"/>
    <x v="1"/>
    <m/>
    <s v="Fitovinany"/>
    <x v="2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0"/>
    <n v="2024"/>
    <x v="0"/>
    <s v="Resilience"/>
    <x v="0"/>
    <s v="FFA"/>
    <m/>
    <m/>
    <s v="Manakara"/>
    <x v="1"/>
    <m/>
    <s v="Fitovinany"/>
    <x v="2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0"/>
    <n v="2024"/>
    <x v="0"/>
    <s v="Resilience"/>
    <x v="0"/>
    <s v="FFA"/>
    <m/>
    <m/>
    <s v="Manakara"/>
    <x v="1"/>
    <m/>
    <s v="Fitovinany"/>
    <x v="2"/>
    <m/>
    <s v="IVATO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1"/>
    <n v="2024"/>
    <x v="0"/>
    <s v="Resilience"/>
    <x v="0"/>
    <s v="FFA"/>
    <m/>
    <m/>
    <s v="AMBOSARY"/>
    <x v="0"/>
    <m/>
    <s v="Anosy"/>
    <x v="0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1"/>
    <n v="2024"/>
    <x v="0"/>
    <s v="Resilience"/>
    <x v="0"/>
    <s v="FFA"/>
    <m/>
    <m/>
    <s v="AMBOSARY"/>
    <x v="0"/>
    <m/>
    <s v="Anosy"/>
    <x v="0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1"/>
    <n v="2024"/>
    <x v="0"/>
    <s v="Resilience"/>
    <x v="0"/>
    <s v="FFA"/>
    <m/>
    <m/>
    <s v="AMBOSARY"/>
    <x v="0"/>
    <m/>
    <s v="Anosy"/>
    <x v="0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1"/>
    <n v="2024"/>
    <x v="0"/>
    <s v="Resilience"/>
    <x v="0"/>
    <s v="FFA"/>
    <m/>
    <m/>
    <s v="AMBOSARY"/>
    <x v="0"/>
    <m/>
    <s v="Anosy"/>
    <x v="0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1"/>
    <n v="2024"/>
    <x v="0"/>
    <s v="Resilience"/>
    <x v="0"/>
    <s v="FFA"/>
    <m/>
    <m/>
    <s v="Ambovombe"/>
    <x v="0"/>
    <m/>
    <s v="Androy"/>
    <x v="1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1"/>
    <n v="2024"/>
    <x v="0"/>
    <s v="Resilience"/>
    <x v="0"/>
    <s v="FFA"/>
    <m/>
    <m/>
    <s v="Ambovombe"/>
    <x v="0"/>
    <m/>
    <s v="Androy"/>
    <x v="1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1"/>
    <n v="2024"/>
    <x v="0"/>
    <s v="Resilience"/>
    <x v="0"/>
    <s v="FFA"/>
    <m/>
    <m/>
    <s v="Ambovombe"/>
    <x v="0"/>
    <m/>
    <s v="Androy"/>
    <x v="1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1"/>
    <n v="2024"/>
    <x v="0"/>
    <s v="Resilience"/>
    <x v="0"/>
    <s v="FFA"/>
    <m/>
    <m/>
    <s v="Ambovombe"/>
    <x v="0"/>
    <m/>
    <s v="Androy"/>
    <x v="1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1"/>
    <n v="2025"/>
    <x v="0"/>
    <s v="Resilience"/>
    <x v="0"/>
    <s v="FFA"/>
    <m/>
    <m/>
    <s v="Ambovombe"/>
    <x v="0"/>
    <m/>
    <s v="Androy"/>
    <x v="1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1"/>
    <n v="2024"/>
    <x v="0"/>
    <s v="Resilience"/>
    <x v="0"/>
    <s v="FFA"/>
    <m/>
    <m/>
    <s v="Ambovombe"/>
    <x v="0"/>
    <m/>
    <s v="Androy"/>
    <x v="1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1"/>
    <n v="2024"/>
    <x v="0"/>
    <s v="Resilience"/>
    <x v="0"/>
    <s v="FFA"/>
    <m/>
    <m/>
    <s v="Manakara"/>
    <x v="1"/>
    <m/>
    <s v="Fitovinany"/>
    <x v="1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1"/>
    <n v="2024"/>
    <x v="0"/>
    <s v="Resilience"/>
    <x v="0"/>
    <s v="FFA"/>
    <m/>
    <m/>
    <s v="Manakara"/>
    <x v="1"/>
    <m/>
    <s v="Fitovinany"/>
    <x v="2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1"/>
    <n v="2024"/>
    <x v="0"/>
    <s v="Resilience"/>
    <x v="0"/>
    <s v="FFA"/>
    <m/>
    <m/>
    <s v="Manakara"/>
    <x v="1"/>
    <m/>
    <s v="Fitovinany"/>
    <x v="2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1"/>
    <n v="2024"/>
    <x v="0"/>
    <s v="Resilience"/>
    <x v="0"/>
    <s v="FFA"/>
    <m/>
    <m/>
    <s v="Manakara"/>
    <x v="1"/>
    <m/>
    <s v="Fitovinany"/>
    <x v="2"/>
    <m/>
    <s v="Vohindava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2"/>
    <n v="2024"/>
    <x v="0"/>
    <s v="Resilience"/>
    <x v="0"/>
    <s v="FFA"/>
    <m/>
    <m/>
    <s v="AMBOSARY"/>
    <x v="0"/>
    <m/>
    <s v="Anosy"/>
    <x v="0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2"/>
    <n v="2024"/>
    <x v="0"/>
    <s v="Resilience"/>
    <x v="0"/>
    <s v="FFA"/>
    <m/>
    <m/>
    <s v="AMBOSARY"/>
    <x v="0"/>
    <m/>
    <s v="Anosy"/>
    <x v="0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2"/>
    <n v="2024"/>
    <x v="0"/>
    <s v="Resilience"/>
    <x v="0"/>
    <s v="FFA"/>
    <m/>
    <m/>
    <s v="AMBOSARY"/>
    <x v="0"/>
    <m/>
    <s v="Anosy"/>
    <x v="0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2"/>
    <n v="2024"/>
    <x v="0"/>
    <s v="Resilience"/>
    <x v="0"/>
    <s v="FFA"/>
    <m/>
    <m/>
    <s v="AMBOSARY"/>
    <x v="0"/>
    <m/>
    <s v="Anosy"/>
    <x v="0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2"/>
    <n v="2024"/>
    <x v="0"/>
    <s v="Resilience"/>
    <x v="0"/>
    <s v="FFA"/>
    <m/>
    <m/>
    <s v="Ambovombe"/>
    <x v="0"/>
    <m/>
    <s v="Androy"/>
    <x v="1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2"/>
    <n v="2024"/>
    <x v="0"/>
    <s v="Resilience"/>
    <x v="0"/>
    <s v="FFA"/>
    <m/>
    <m/>
    <s v="Ambovombe"/>
    <x v="0"/>
    <m/>
    <s v="Androy"/>
    <x v="1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2"/>
    <n v="2024"/>
    <x v="0"/>
    <s v="Resilience"/>
    <x v="0"/>
    <s v="FFA"/>
    <m/>
    <m/>
    <s v="Ambovombe"/>
    <x v="0"/>
    <m/>
    <s v="Androy"/>
    <x v="1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2"/>
    <n v="2024"/>
    <x v="0"/>
    <s v="Resilience"/>
    <x v="0"/>
    <s v="FFA"/>
    <m/>
    <m/>
    <s v="Ambovombe"/>
    <x v="0"/>
    <m/>
    <s v="Androy"/>
    <x v="1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2"/>
    <n v="2025"/>
    <x v="0"/>
    <s v="Resilience"/>
    <x v="0"/>
    <s v="FFA"/>
    <m/>
    <m/>
    <s v="Ambovombe"/>
    <x v="0"/>
    <m/>
    <s v="Androy"/>
    <x v="1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2"/>
    <n v="2024"/>
    <x v="0"/>
    <s v="Resilience"/>
    <x v="0"/>
    <s v="FFA"/>
    <m/>
    <m/>
    <s v="Ambovombe"/>
    <x v="0"/>
    <m/>
    <s v="Androy"/>
    <x v="1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2"/>
    <n v="2024"/>
    <x v="0"/>
    <s v="Resilience"/>
    <x v="0"/>
    <s v="FFA"/>
    <m/>
    <m/>
    <s v="Manakara"/>
    <x v="1"/>
    <m/>
    <s v="Fitovinany"/>
    <x v="1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2"/>
    <n v="2024"/>
    <x v="0"/>
    <s v="Resilience"/>
    <x v="0"/>
    <s v="FFA"/>
    <m/>
    <m/>
    <s v="Manakara"/>
    <x v="1"/>
    <m/>
    <s v="Fitovinany"/>
    <x v="2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2"/>
    <n v="2024"/>
    <x v="0"/>
    <s v="Resilience"/>
    <x v="0"/>
    <s v="FFA"/>
    <m/>
    <m/>
    <s v="Manakara"/>
    <x v="1"/>
    <m/>
    <s v="Fitovinany"/>
    <x v="2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2"/>
    <n v="2024"/>
    <x v="0"/>
    <s v="Resilience"/>
    <x v="0"/>
    <s v="FFA"/>
    <m/>
    <m/>
    <s v="Manakara"/>
    <x v="1"/>
    <m/>
    <s v="Fitovinany"/>
    <x v="2"/>
    <m/>
    <s v="Vohindava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0"/>
    <n v="2024"/>
    <x v="1"/>
    <s v="Nutrition"/>
    <x v="1"/>
    <s v="NPA_STUN:Prevention of Stunting"/>
    <m/>
    <m/>
    <s v="Amboadary"/>
    <x v="0"/>
    <m/>
    <s v="Fort dauphin"/>
    <x v="0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0"/>
    <n v="2024"/>
    <x v="1"/>
    <s v="Nutrition"/>
    <x v="1"/>
    <s v="NPA_STUN:Prevention of Stunting"/>
    <m/>
    <m/>
    <s v="Amboadary"/>
    <x v="0"/>
    <m/>
    <s v="Fort dauphin"/>
    <x v="0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m/>
    <s v="Fort dauphin"/>
    <x v="0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0"/>
    <n v="2024"/>
    <x v="1"/>
    <s v="Nutrition"/>
    <x v="2"/>
    <s v="NPA_STUN:Prevention of Stunting"/>
    <m/>
    <m/>
    <s v="Amboadary"/>
    <x v="0"/>
    <m/>
    <s v="Fort dauphin"/>
    <x v="0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0"/>
    <n v="2024"/>
    <x v="1"/>
    <s v="Nutrition"/>
    <x v="2"/>
    <s v="NPA_STUN:Prevention of Stunting"/>
    <m/>
    <m/>
    <s v="Amboadary"/>
    <x v="0"/>
    <m/>
    <s v="Fort dauphin"/>
    <x v="0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m/>
    <s v="Fort dauphin"/>
    <x v="0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1"/>
    <n v="2024"/>
    <x v="1"/>
    <s v="Nutrition"/>
    <x v="1"/>
    <s v="NPA_STUN:Prevention of Stunting"/>
    <m/>
    <m/>
    <s v="Amboadary"/>
    <x v="0"/>
    <m/>
    <s v="Fort dauphin"/>
    <x v="0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1"/>
    <n v="2024"/>
    <x v="1"/>
    <s v="Nutrition"/>
    <x v="1"/>
    <s v="NPA_STUN:Prevention of Stunting"/>
    <m/>
    <m/>
    <s v="Amboadary"/>
    <x v="0"/>
    <m/>
    <s v="Fort dauphin"/>
    <x v="0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m/>
    <s v="Fort dauphin"/>
    <x v="0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1"/>
    <n v="2024"/>
    <x v="1"/>
    <s v="Nutrition"/>
    <x v="2"/>
    <s v="NPA_STUN:Prevention of Stunting"/>
    <m/>
    <m/>
    <s v="Amboadary"/>
    <x v="0"/>
    <m/>
    <s v="Fort dauphin"/>
    <x v="0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1"/>
    <n v="2024"/>
    <x v="1"/>
    <s v="Nutrition"/>
    <x v="2"/>
    <s v="NPA_STUN:Prevention of Stunting"/>
    <m/>
    <m/>
    <s v="Amboadary"/>
    <x v="0"/>
    <m/>
    <s v="Fort dauphin"/>
    <x v="0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m/>
    <s v="Fort dauphin"/>
    <x v="0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1"/>
    <s v="Nutrition"/>
    <x v="1"/>
    <s v="NPA_STUN:Prevention of Stunting"/>
    <m/>
    <m/>
    <s v="Amboadary"/>
    <x v="0"/>
    <m/>
    <s v="Fort dauphin"/>
    <x v="0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m/>
    <s v="Fort dauphin"/>
    <x v="0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m/>
    <s v="Fort dauphin"/>
    <x v="0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m/>
    <s v="Fort dauphin"/>
    <x v="0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1"/>
    <s v="Nutrition"/>
    <x v="1"/>
    <s v="NPA_STUN:Prevention of Stunting"/>
    <m/>
    <m/>
    <s v="Amboadary"/>
    <x v="0"/>
    <m/>
    <s v="Fort dauphin"/>
    <x v="0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m/>
    <s v="Fort dauphin"/>
    <x v="0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x v="0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m/>
    <s v="Fort dauphin"/>
    <x v="0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m/>
    <s v="Fort dauphin"/>
    <x v="0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x v="0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0"/>
    <n v="2024"/>
    <x v="2"/>
    <s v="GD"/>
    <x v="3"/>
    <s v="URT_GD: General Distribution"/>
    <n v="1"/>
    <m/>
    <s v="Bekily"/>
    <x v="0"/>
    <s v="Taolagnaro"/>
    <s v="Androy"/>
    <x v="3"/>
    <m/>
    <s v="Ambahita"/>
    <m/>
    <m/>
    <m/>
    <n v="16706"/>
    <n v="3341.2"/>
    <x v="1"/>
    <m/>
    <n v="30"/>
    <n v="200.47200000000001"/>
    <n v="0"/>
    <n v="0"/>
    <m/>
    <n v="30.070799999999998"/>
    <n v="17.5413"/>
    <m/>
    <n v="0"/>
    <n v="0"/>
    <n v="0"/>
    <m/>
    <n v="0"/>
    <n v="248.08410000000001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Amborompotsy"/>
    <m/>
    <m/>
    <m/>
    <n v="17635"/>
    <n v="3527"/>
    <x v="1"/>
    <m/>
    <n v="30"/>
    <n v="211.62"/>
    <n v="0"/>
    <n v="0"/>
    <m/>
    <n v="31.742999999999999"/>
    <n v="18.516749999999998"/>
    <m/>
    <n v="0"/>
    <n v="0"/>
    <n v="0"/>
    <m/>
    <n v="0"/>
    <n v="261.87975"/>
    <m/>
    <n v="0"/>
  </r>
  <r>
    <x v="0"/>
    <n v="2024"/>
    <x v="2"/>
    <s v="GD"/>
    <x v="3"/>
    <s v="URT_GD: General Distribution"/>
    <n v="1"/>
    <m/>
    <s v="Ambovombe"/>
    <x v="0"/>
    <s v="Taolagnaro"/>
    <s v="Androy"/>
    <x v="1"/>
    <m/>
    <s v="Andalatanosy"/>
    <m/>
    <m/>
    <m/>
    <n v="33828"/>
    <n v="6765.6"/>
    <x v="0"/>
    <m/>
    <n v="30"/>
    <m/>
    <m/>
    <m/>
    <m/>
    <m/>
    <m/>
    <m/>
    <n v="0"/>
    <n v="0"/>
    <n v="0"/>
    <m/>
    <n v="0"/>
    <n v="0"/>
    <n v="1623744000"/>
    <n v="356151.37942682172"/>
  </r>
  <r>
    <x v="0"/>
    <n v="2024"/>
    <x v="2"/>
    <s v="GD"/>
    <x v="3"/>
    <s v="URT_GD: General Distribution"/>
    <n v="2"/>
    <m/>
    <s v="Amboasary"/>
    <x v="0"/>
    <s v="Taolagnaro"/>
    <s v="Anosy"/>
    <x v="5"/>
    <m/>
    <s v="Andranobory"/>
    <m/>
    <m/>
    <m/>
    <n v="7275"/>
    <n v="1455"/>
    <x v="1"/>
    <m/>
    <n v="30"/>
    <n v="87.3"/>
    <n v="0"/>
    <n v="0"/>
    <m/>
    <n v="13.095000000000001"/>
    <n v="7.6387499999999999"/>
    <m/>
    <n v="0"/>
    <n v="0"/>
    <n v="0"/>
    <m/>
    <n v="0"/>
    <n v="108.03375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Androipano"/>
    <m/>
    <m/>
    <m/>
    <n v="11555"/>
    <n v="2311"/>
    <x v="1"/>
    <m/>
    <n v="30"/>
    <n v="138.66"/>
    <n v="0"/>
    <n v="0"/>
    <m/>
    <n v="20.798999999999999"/>
    <n v="12.13275"/>
    <m/>
    <n v="0"/>
    <n v="0"/>
    <n v="0"/>
    <m/>
    <n v="0"/>
    <n v="171.59174999999999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Androka"/>
    <m/>
    <m/>
    <m/>
    <n v="35000"/>
    <m/>
    <x v="1"/>
    <m/>
    <n v="15"/>
    <n v="210"/>
    <n v="0"/>
    <n v="0"/>
    <m/>
    <n v="31.5"/>
    <n v="18.375"/>
    <m/>
    <n v="0"/>
    <n v="0"/>
    <n v="0"/>
    <m/>
    <n v="0"/>
    <n v="259.875"/>
    <n v="0"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Androka"/>
    <m/>
    <m/>
    <m/>
    <m/>
    <n v="7000"/>
    <x v="0"/>
    <m/>
    <n v="15"/>
    <m/>
    <m/>
    <m/>
    <m/>
    <m/>
    <m/>
    <m/>
    <n v="0"/>
    <n v="0"/>
    <n v="0"/>
    <m/>
    <n v="0"/>
    <n v="0"/>
    <n v="840000000"/>
    <n v="184245.27432805308"/>
  </r>
  <r>
    <x v="0"/>
    <n v="2024"/>
    <x v="2"/>
    <s v="GD"/>
    <x v="3"/>
    <s v="URT_GD: General Distribution"/>
    <n v="1"/>
    <m/>
    <m/>
    <x v="1"/>
    <m/>
    <s v="Vatovavy"/>
    <x v="6"/>
    <m/>
    <s v="Ambahy"/>
    <m/>
    <m/>
    <m/>
    <n v="3744"/>
    <n v="748.8"/>
    <x v="0"/>
    <m/>
    <n v="30"/>
    <n v="0"/>
    <n v="0"/>
    <n v="0"/>
    <m/>
    <n v="0"/>
    <n v="0"/>
    <m/>
    <n v="0"/>
    <n v="0"/>
    <n v="0"/>
    <n v="0"/>
    <n v="0"/>
    <n v="0"/>
    <n v="179712000"/>
    <n v="39417.960404813188"/>
  </r>
  <r>
    <x v="0"/>
    <n v="2024"/>
    <x v="2"/>
    <s v="GD"/>
    <x v="3"/>
    <s v="URT_GD: General Distribution"/>
    <n v="1"/>
    <m/>
    <s v="Bekily"/>
    <x v="0"/>
    <s v="Taolagnaro"/>
    <s v="Androy"/>
    <x v="3"/>
    <m/>
    <s v="Anivorano Mitsinjo"/>
    <m/>
    <m/>
    <m/>
    <n v="6800"/>
    <n v="1360"/>
    <x v="1"/>
    <m/>
    <n v="30"/>
    <n v="81.599999999999994"/>
    <n v="0"/>
    <n v="0"/>
    <m/>
    <n v="12.24"/>
    <n v="7.14"/>
    <m/>
    <n v="0"/>
    <n v="0"/>
    <n v="0"/>
    <m/>
    <n v="0"/>
    <n v="100.97999999999999"/>
    <m/>
    <n v="0"/>
  </r>
  <r>
    <x v="0"/>
    <n v="2024"/>
    <x v="2"/>
    <s v="GD"/>
    <x v="3"/>
    <s v="URT_GD: General Distribution"/>
    <n v="1"/>
    <m/>
    <m/>
    <x v="1"/>
    <m/>
    <s v="Vatovavy"/>
    <x v="6"/>
    <m/>
    <s v="Ambodirian'I Sahafary"/>
    <m/>
    <m/>
    <m/>
    <n v="18225"/>
    <n v="3645"/>
    <x v="0"/>
    <m/>
    <n v="30"/>
    <n v="0"/>
    <n v="0"/>
    <n v="0"/>
    <m/>
    <n v="0"/>
    <n v="0"/>
    <m/>
    <n v="0"/>
    <n v="0"/>
    <n v="0"/>
    <n v="0"/>
    <n v="0"/>
    <n v="0"/>
    <n v="874800000"/>
    <n v="191878.29283592958"/>
  </r>
  <r>
    <x v="0"/>
    <n v="2024"/>
    <x v="2"/>
    <s v="GD"/>
    <x v="3"/>
    <s v="URT_GD: General Distribution"/>
    <n v="1"/>
    <m/>
    <s v="Bekily"/>
    <x v="0"/>
    <s v="Taolagnaro"/>
    <s v="Androy"/>
    <x v="3"/>
    <m/>
    <s v="Anja Nord"/>
    <m/>
    <m/>
    <m/>
    <n v="3770"/>
    <n v="754"/>
    <x v="1"/>
    <m/>
    <n v="30"/>
    <n v="45.24"/>
    <n v="0"/>
    <n v="0"/>
    <m/>
    <n v="6.7859999999999996"/>
    <n v="3.9584999999999999"/>
    <m/>
    <n v="0"/>
    <n v="0"/>
    <n v="0"/>
    <m/>
    <n v="0"/>
    <n v="55.984500000000004"/>
    <m/>
    <n v="0"/>
  </r>
  <r>
    <x v="0"/>
    <n v="2024"/>
    <x v="2"/>
    <s v="GD"/>
    <x v="3"/>
    <s v="URT_GD: General Distribution"/>
    <n v="1"/>
    <m/>
    <s v="Ambovombe"/>
    <x v="0"/>
    <s v="Taolagnaro"/>
    <s v="Androy"/>
    <x v="1"/>
    <m/>
    <s v="Ampamata"/>
    <m/>
    <m/>
    <m/>
    <n v="10150"/>
    <n v="2030"/>
    <x v="1"/>
    <m/>
    <n v="30"/>
    <n v="121.8"/>
    <n v="0"/>
    <n v="0"/>
    <m/>
    <n v="18.27"/>
    <n v="10.657500000000001"/>
    <m/>
    <n v="0"/>
    <n v="0"/>
    <n v="0"/>
    <m/>
    <n v="0"/>
    <n v="150.72749999999999"/>
    <m/>
    <n v="0"/>
  </r>
  <r>
    <x v="0"/>
    <n v="2024"/>
    <x v="2"/>
    <s v="GD"/>
    <x v="3"/>
    <s v="URT_GD: General Distribution"/>
    <n v="1"/>
    <m/>
    <s v="Ambovombe"/>
    <x v="0"/>
    <s v="Taolagnaro"/>
    <s v="Androy"/>
    <x v="1"/>
    <m/>
    <s v="Anjeky Ankilikira"/>
    <m/>
    <m/>
    <m/>
    <n v="18880"/>
    <n v="3776"/>
    <x v="1"/>
    <m/>
    <n v="30"/>
    <n v="226.56"/>
    <n v="0"/>
    <n v="0"/>
    <m/>
    <n v="33.984000000000002"/>
    <n v="19.824000000000002"/>
    <m/>
    <n v="0"/>
    <n v="0"/>
    <n v="0"/>
    <m/>
    <n v="0"/>
    <n v="280.36799999999999"/>
    <m/>
    <n v="0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Ankazombalala"/>
    <m/>
    <m/>
    <m/>
    <n v="12000"/>
    <n v="2400"/>
    <x v="0"/>
    <m/>
    <n v="30"/>
    <m/>
    <m/>
    <m/>
    <m/>
    <m/>
    <m/>
    <m/>
    <n v="0"/>
    <n v="0"/>
    <n v="0"/>
    <m/>
    <n v="0"/>
    <n v="0"/>
    <n v="576000000"/>
    <n v="126339.61668209355"/>
  </r>
  <r>
    <x v="0"/>
    <n v="2024"/>
    <x v="2"/>
    <s v="GD"/>
    <x v="3"/>
    <s v="URT_GD: General Distribution"/>
    <n v="2"/>
    <m/>
    <m/>
    <x v="1"/>
    <m/>
    <s v="Atsimo Antsinana"/>
    <x v="8"/>
    <m/>
    <s v="Anandravy"/>
    <m/>
    <m/>
    <m/>
    <n v="4797"/>
    <n v="959.4"/>
    <x v="1"/>
    <m/>
    <n v="30"/>
    <n v="57.564"/>
    <n v="0"/>
    <n v="0"/>
    <m/>
    <n v="8.6346000000000007"/>
    <n v="5.0368500000000003"/>
    <m/>
    <n v="0"/>
    <n v="0"/>
    <n v="0"/>
    <m/>
    <n v="0"/>
    <n v="71.23545"/>
    <m/>
    <n v="0"/>
  </r>
  <r>
    <x v="0"/>
    <n v="2024"/>
    <x v="2"/>
    <s v="GD"/>
    <x v="3"/>
    <s v="URT_GD: General Distribution"/>
    <n v="2"/>
    <m/>
    <s v="Ampanihy"/>
    <x v="2"/>
    <s v="Tuléar"/>
    <s v="Atsimo Andrefana"/>
    <x v="4"/>
    <m/>
    <s v="Ankiliabo"/>
    <m/>
    <m/>
    <m/>
    <n v="18100"/>
    <n v="3620"/>
    <x v="1"/>
    <m/>
    <n v="30"/>
    <n v="217.2"/>
    <n v="0"/>
    <n v="0"/>
    <m/>
    <n v="32.58"/>
    <n v="19.004999999999999"/>
    <m/>
    <n v="0"/>
    <n v="0"/>
    <n v="0"/>
    <m/>
    <n v="0"/>
    <n v="268.78499999999997"/>
    <m/>
    <n v="0"/>
  </r>
  <r>
    <x v="0"/>
    <n v="2024"/>
    <x v="2"/>
    <s v="GD"/>
    <x v="3"/>
    <s v="URT_GD: General Distribution"/>
    <n v="1"/>
    <m/>
    <s v="Bekily"/>
    <x v="0"/>
    <s v="Taolagnaro"/>
    <s v="Androy"/>
    <x v="3"/>
    <m/>
    <s v="Antsakoamaro"/>
    <m/>
    <m/>
    <m/>
    <n v="6201"/>
    <n v="1240.2"/>
    <x v="1"/>
    <m/>
    <n v="30"/>
    <n v="74.412000000000006"/>
    <n v="0"/>
    <n v="0"/>
    <m/>
    <n v="11.161799999999999"/>
    <n v="6.51105"/>
    <m/>
    <n v="0"/>
    <n v="0"/>
    <n v="0"/>
    <m/>
    <n v="0"/>
    <n v="92.084850000000003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Belafike haut"/>
    <m/>
    <m/>
    <m/>
    <n v="10195"/>
    <n v="2039"/>
    <x v="1"/>
    <m/>
    <n v="30"/>
    <n v="122.34"/>
    <n v="0"/>
    <n v="0"/>
    <m/>
    <n v="18.350999999999999"/>
    <n v="10.704750000000001"/>
    <m/>
    <n v="0"/>
    <n v="0"/>
    <n v="0"/>
    <m/>
    <n v="0"/>
    <n v="151.39574999999999"/>
    <m/>
    <n v="0"/>
  </r>
  <r>
    <x v="0"/>
    <n v="2024"/>
    <x v="2"/>
    <s v="GD"/>
    <x v="3"/>
    <s v="URT_GD: General Distribution"/>
    <n v="1"/>
    <m/>
    <s v="Bekily"/>
    <x v="0"/>
    <s v="Taolagnaro"/>
    <s v="Androy"/>
    <x v="3"/>
    <m/>
    <s v="Belindo Mahasoa"/>
    <m/>
    <m/>
    <m/>
    <n v="15000"/>
    <n v="3000"/>
    <x v="1"/>
    <m/>
    <n v="30"/>
    <n v="180"/>
    <n v="0"/>
    <n v="0"/>
    <m/>
    <n v="27"/>
    <n v="15.75"/>
    <m/>
    <n v="0"/>
    <n v="0"/>
    <n v="0"/>
    <m/>
    <n v="0"/>
    <n v="222.75"/>
    <m/>
    <n v="0"/>
  </r>
  <r>
    <x v="0"/>
    <n v="2024"/>
    <x v="2"/>
    <s v="GD"/>
    <x v="3"/>
    <s v="URT_GD: General Distribution"/>
    <n v="2"/>
    <m/>
    <m/>
    <x v="1"/>
    <m/>
    <s v="Atsimo Antsinana"/>
    <x v="9"/>
    <m/>
    <s v="Andranolalina"/>
    <m/>
    <m/>
    <m/>
    <n v="7334"/>
    <n v="1466.8"/>
    <x v="0"/>
    <m/>
    <n v="30"/>
    <n v="0"/>
    <n v="0"/>
    <n v="0"/>
    <m/>
    <n v="0"/>
    <n v="0"/>
    <m/>
    <n v="0"/>
    <n v="0"/>
    <n v="0"/>
    <n v="0"/>
    <n v="0"/>
    <n v="0"/>
    <n v="352032000"/>
    <n v="77214.562395539499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Ankazomanga Ouest"/>
    <m/>
    <m/>
    <m/>
    <n v="3627"/>
    <n v="725.4"/>
    <x v="0"/>
    <m/>
    <n v="30"/>
    <m/>
    <m/>
    <m/>
    <m/>
    <m/>
    <m/>
    <m/>
    <n v="0"/>
    <n v="0"/>
    <n v="0"/>
    <n v="0"/>
    <n v="0"/>
    <n v="0"/>
    <n v="174096000"/>
    <n v="38186.149142162772"/>
  </r>
  <r>
    <x v="0"/>
    <n v="2024"/>
    <x v="2"/>
    <s v="GD"/>
    <x v="3"/>
    <s v="URT_GD: General Distribution"/>
    <n v="1"/>
    <m/>
    <s v="Tuléar"/>
    <x v="3"/>
    <s v="Tuléar"/>
    <s v="Atsimo Andrefana"/>
    <x v="7"/>
    <m/>
    <s v="Beora"/>
    <m/>
    <m/>
    <m/>
    <n v="1000"/>
    <n v="200"/>
    <x v="1"/>
    <m/>
    <n v="30"/>
    <n v="12"/>
    <n v="0"/>
    <n v="0"/>
    <m/>
    <n v="1.8"/>
    <n v="1.05"/>
    <m/>
    <n v="0"/>
    <n v="0"/>
    <n v="0"/>
    <m/>
    <n v="0"/>
    <n v="14.850000000000001"/>
    <m/>
    <n v="0"/>
  </r>
  <r>
    <x v="0"/>
    <n v="2024"/>
    <x v="2"/>
    <s v="GD"/>
    <x v="3"/>
    <s v="URT_GD: General Distribution"/>
    <n v="1"/>
    <m/>
    <s v="Bekily"/>
    <x v="0"/>
    <s v="Taolagnaro"/>
    <s v="Androy"/>
    <x v="3"/>
    <m/>
    <s v="Bevitiky"/>
    <m/>
    <m/>
    <m/>
    <n v="6341"/>
    <n v="1268.2"/>
    <x v="1"/>
    <m/>
    <n v="30"/>
    <n v="76.091999999999999"/>
    <n v="0"/>
    <n v="0"/>
    <m/>
    <n v="11.4138"/>
    <n v="6.6580500000000002"/>
    <m/>
    <n v="0"/>
    <n v="0"/>
    <n v="0"/>
    <m/>
    <n v="0"/>
    <n v="94.163849999999996"/>
    <m/>
    <n v="0"/>
  </r>
  <r>
    <x v="0"/>
    <n v="2024"/>
    <x v="2"/>
    <s v="GD"/>
    <x v="3"/>
    <s v="URT_GD: General Distribution"/>
    <n v="1"/>
    <m/>
    <s v="Amboasary"/>
    <x v="0"/>
    <s v="Taolagnaro"/>
    <s v="Anosy"/>
    <x v="0"/>
    <m/>
    <s v="Ebelo"/>
    <m/>
    <m/>
    <m/>
    <n v="13542"/>
    <n v="2708.4"/>
    <x v="1"/>
    <m/>
    <n v="30"/>
    <n v="162.50399999999999"/>
    <n v="0"/>
    <n v="0"/>
    <m/>
    <n v="24.375599999999999"/>
    <n v="14.219099999999999"/>
    <m/>
    <n v="0"/>
    <n v="0"/>
    <n v="0"/>
    <m/>
    <n v="0"/>
    <n v="201.09869999999998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Gogogogo"/>
    <m/>
    <m/>
    <m/>
    <n v="18955"/>
    <n v="3791"/>
    <x v="1"/>
    <m/>
    <n v="30"/>
    <n v="227.46"/>
    <n v="0"/>
    <n v="0"/>
    <m/>
    <n v="34.119"/>
    <n v="19.902750000000001"/>
    <m/>
    <n v="0"/>
    <n v="0"/>
    <n v="0"/>
    <m/>
    <n v="0"/>
    <n v="281.48175000000003"/>
    <m/>
    <n v="0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Lazarivo"/>
    <m/>
    <m/>
    <m/>
    <n v="10900"/>
    <n v="2180"/>
    <x v="1"/>
    <m/>
    <n v="30"/>
    <n v="130.80000000000001"/>
    <n v="0"/>
    <n v="0"/>
    <m/>
    <n v="19.62"/>
    <n v="11.445"/>
    <m/>
    <n v="0"/>
    <n v="0"/>
    <n v="0"/>
    <m/>
    <n v="0"/>
    <n v="161.86500000000001"/>
    <m/>
    <n v="0"/>
  </r>
  <r>
    <x v="0"/>
    <n v="2024"/>
    <x v="2"/>
    <s v="GD"/>
    <x v="3"/>
    <s v="URT_GD: General Distribution"/>
    <n v="1"/>
    <m/>
    <s v="Amboasary"/>
    <x v="0"/>
    <s v="Taolagnaro"/>
    <s v="Anosy"/>
    <x v="0"/>
    <m/>
    <s v="Mahabo"/>
    <m/>
    <m/>
    <m/>
    <n v="5759"/>
    <n v="1151.8"/>
    <x v="1"/>
    <m/>
    <n v="30"/>
    <n v="69.108000000000004"/>
    <n v="0"/>
    <n v="0"/>
    <m/>
    <n v="10.366199999999999"/>
    <n v="6.0469499999999998"/>
    <m/>
    <n v="0"/>
    <n v="0"/>
    <n v="0"/>
    <m/>
    <n v="0"/>
    <n v="85.521149999999992"/>
    <m/>
    <n v="0"/>
  </r>
  <r>
    <x v="0"/>
    <n v="2024"/>
    <x v="2"/>
    <s v="GD"/>
    <x v="3"/>
    <s v="URT_GD: General Distribution"/>
    <n v="1"/>
    <m/>
    <s v="Amboasary"/>
    <x v="0"/>
    <s v="Taolagnaro"/>
    <s v="Anosy"/>
    <x v="0"/>
    <m/>
    <s v="Mahaly"/>
    <m/>
    <m/>
    <m/>
    <n v="20745"/>
    <n v="4149"/>
    <x v="1"/>
    <m/>
    <n v="30"/>
    <n v="248.94"/>
    <n v="0"/>
    <n v="0"/>
    <m/>
    <n v="37.341000000000001"/>
    <n v="21.782250000000001"/>
    <m/>
    <n v="0"/>
    <n v="0"/>
    <n v="0"/>
    <m/>
    <n v="0"/>
    <n v="308.06324999999998"/>
    <m/>
    <n v="0"/>
  </r>
  <r>
    <x v="0"/>
    <n v="2024"/>
    <x v="2"/>
    <s v="GD"/>
    <x v="3"/>
    <s v="URT_GD: General Distribution"/>
    <n v="2"/>
    <m/>
    <m/>
    <x v="1"/>
    <m/>
    <s v="Atsimo Antsinana"/>
    <x v="8"/>
    <m/>
    <s v="Mahatsinjo"/>
    <m/>
    <m/>
    <m/>
    <n v="7686"/>
    <n v="1537.2"/>
    <x v="1"/>
    <m/>
    <n v="30"/>
    <n v="92.231999999999999"/>
    <n v="0"/>
    <n v="0"/>
    <m/>
    <n v="13.8348"/>
    <n v="8.0702999999999996"/>
    <m/>
    <n v="0"/>
    <n v="0"/>
    <n v="0"/>
    <m/>
    <n v="0"/>
    <n v="114.1371"/>
    <m/>
    <n v="0"/>
  </r>
  <r>
    <x v="0"/>
    <n v="2024"/>
    <x v="2"/>
    <s v="GD"/>
    <x v="3"/>
    <s v="URT_GD: General Distribution"/>
    <n v="1"/>
    <m/>
    <s v="Bekily"/>
    <x v="0"/>
    <s v="Taolagnaro"/>
    <s v="Androy"/>
    <x v="3"/>
    <m/>
    <s v="Manakompy"/>
    <m/>
    <m/>
    <m/>
    <n v="6759"/>
    <n v="1351.8"/>
    <x v="1"/>
    <m/>
    <n v="30"/>
    <n v="81.108000000000004"/>
    <n v="0"/>
    <n v="0"/>
    <m/>
    <n v="12.1662"/>
    <n v="7.0969499999999996"/>
    <m/>
    <n v="0"/>
    <n v="0"/>
    <n v="0"/>
    <m/>
    <n v="0"/>
    <n v="100.37115"/>
    <m/>
    <n v="0"/>
  </r>
  <r>
    <x v="0"/>
    <n v="2024"/>
    <x v="2"/>
    <s v="GD"/>
    <x v="3"/>
    <s v="URT_GD: General Distribution"/>
    <n v="2"/>
    <m/>
    <s v="Amboasary"/>
    <x v="0"/>
    <s v="Taolagnaro"/>
    <s v="Anosy"/>
    <x v="0"/>
    <m/>
    <s v="Maromby"/>
    <m/>
    <m/>
    <m/>
    <n v="15242"/>
    <n v="3048.4"/>
    <x v="1"/>
    <m/>
    <n v="30"/>
    <n v="182.904"/>
    <n v="0"/>
    <n v="0"/>
    <m/>
    <n v="27.435600000000001"/>
    <n v="16.004100000000001"/>
    <m/>
    <n v="0"/>
    <n v="0"/>
    <n v="0"/>
    <m/>
    <n v="0"/>
    <n v="226.34369999999998"/>
    <m/>
    <n v="0"/>
  </r>
  <r>
    <x v="0"/>
    <n v="2024"/>
    <x v="2"/>
    <s v="GD"/>
    <x v="3"/>
    <s v="URT_GD: General Distribution"/>
    <n v="1"/>
    <m/>
    <s v="Ampanihy"/>
    <x v="2"/>
    <s v="Tuléar"/>
    <s v="Atsimo Andrefana"/>
    <x v="4"/>
    <m/>
    <s v="Ankilizato"/>
    <m/>
    <m/>
    <m/>
    <n v="7940"/>
    <n v="1588"/>
    <x v="1"/>
    <m/>
    <n v="30"/>
    <n v="95.28"/>
    <n v="0"/>
    <n v="0"/>
    <m/>
    <n v="14.292"/>
    <n v="8.3369999999999997"/>
    <m/>
    <n v="0"/>
    <n v="0"/>
    <n v="0"/>
    <m/>
    <n v="0"/>
    <n v="117.90900000000001"/>
    <m/>
    <n v="0"/>
  </r>
  <r>
    <x v="0"/>
    <n v="2024"/>
    <x v="2"/>
    <s v="GD"/>
    <x v="3"/>
    <s v="URT_GD: General Distribution"/>
    <n v="1"/>
    <m/>
    <s v="Tuléar"/>
    <x v="3"/>
    <s v="Tuléar"/>
    <s v="Atsimo Andrefana"/>
    <x v="7"/>
    <m/>
    <s v="Marosavoa"/>
    <m/>
    <m/>
    <m/>
    <n v="3766"/>
    <n v="753.2"/>
    <x v="1"/>
    <m/>
    <n v="30"/>
    <n v="45.192"/>
    <n v="0"/>
    <n v="0"/>
    <m/>
    <n v="6.7788000000000004"/>
    <n v="3.9542999999999999"/>
    <m/>
    <n v="0"/>
    <n v="0"/>
    <n v="0"/>
    <m/>
    <n v="0"/>
    <n v="55.9251"/>
    <m/>
    <n v="0"/>
  </r>
  <r>
    <x v="0"/>
    <n v="2024"/>
    <x v="2"/>
    <s v="GD"/>
    <x v="3"/>
    <s v="URT_GD: General Distribution"/>
    <n v="1"/>
    <m/>
    <s v="Bekily"/>
    <x v="0"/>
    <s v="Taolagnaro"/>
    <s v="Androy"/>
    <x v="3"/>
    <m/>
    <s v="Maroviro"/>
    <m/>
    <m/>
    <m/>
    <n v="12420"/>
    <n v="2484"/>
    <x v="1"/>
    <m/>
    <n v="30"/>
    <n v="149.04"/>
    <n v="0"/>
    <n v="0"/>
    <m/>
    <n v="22.356000000000002"/>
    <n v="13.041"/>
    <m/>
    <n v="0"/>
    <n v="0"/>
    <n v="0"/>
    <m/>
    <n v="0"/>
    <n v="184.43699999999998"/>
    <m/>
    <n v="0"/>
  </r>
  <r>
    <x v="0"/>
    <n v="2024"/>
    <x v="2"/>
    <s v="GD"/>
    <x v="3"/>
    <s v="URT_GD: General Distribution"/>
    <n v="1"/>
    <m/>
    <s v="Ambovombe"/>
    <x v="0"/>
    <s v="Taolagnaro"/>
    <s v="Androy"/>
    <x v="1"/>
    <m/>
    <s v="Antanimora Atsimo"/>
    <m/>
    <m/>
    <m/>
    <n v="26403"/>
    <n v="5280.6"/>
    <x v="0"/>
    <m/>
    <n v="30"/>
    <n v="0"/>
    <n v="0"/>
    <n v="0"/>
    <m/>
    <n v="0"/>
    <n v="0"/>
    <m/>
    <n v="0"/>
    <n v="0"/>
    <n v="0"/>
    <n v="0"/>
    <n v="0"/>
    <n v="0"/>
    <n v="1267344000"/>
    <n v="277978.7416047763"/>
  </r>
  <r>
    <x v="0"/>
    <n v="2024"/>
    <x v="2"/>
    <s v="GD"/>
    <x v="3"/>
    <s v="URT_GD: General Distribution"/>
    <n v="1"/>
    <m/>
    <m/>
    <x v="1"/>
    <m/>
    <s v="Atsimo Antsinana"/>
    <x v="10"/>
    <m/>
    <s v="Matanga"/>
    <m/>
    <m/>
    <m/>
    <n v="13734"/>
    <n v="2746.8"/>
    <x v="1"/>
    <m/>
    <n v="30"/>
    <n v="164.80799999999999"/>
    <n v="0"/>
    <n v="0"/>
    <m/>
    <n v="24.7212"/>
    <n v="14.4207"/>
    <m/>
    <n v="0"/>
    <n v="0"/>
    <n v="0"/>
    <m/>
    <n v="0"/>
    <n v="203.94990000000001"/>
    <m/>
    <n v="0"/>
  </r>
  <r>
    <x v="0"/>
    <n v="2024"/>
    <x v="2"/>
    <s v="GD"/>
    <x v="3"/>
    <s v="URT_GD: General Distribution"/>
    <n v="1"/>
    <m/>
    <m/>
    <x v="1"/>
    <m/>
    <s v="Atsimo Antsinana"/>
    <x v="11"/>
    <m/>
    <s v="Antondabe"/>
    <m/>
    <m/>
    <m/>
    <n v="5174"/>
    <n v="1034.8"/>
    <x v="1"/>
    <m/>
    <n v="30"/>
    <n v="62.088000000000001"/>
    <m/>
    <m/>
    <m/>
    <n v="9.3132000000000001"/>
    <n v="5.4326999999999996"/>
    <m/>
    <n v="0"/>
    <n v="0"/>
    <n v="0"/>
    <m/>
    <n v="0"/>
    <n v="76.8339"/>
    <m/>
    <n v="0"/>
  </r>
  <r>
    <x v="0"/>
    <n v="2024"/>
    <x v="2"/>
    <s v="GD"/>
    <x v="3"/>
    <s v="URT_GD: General Distribution"/>
    <n v="1"/>
    <m/>
    <s v="Amboasary"/>
    <x v="0"/>
    <s v="Taolagnaro"/>
    <s v="Anosy"/>
    <x v="0"/>
    <m/>
    <s v="Ranobe"/>
    <m/>
    <m/>
    <m/>
    <n v="8462"/>
    <n v="1692.4"/>
    <x v="1"/>
    <m/>
    <n v="30"/>
    <n v="101.544"/>
    <n v="0"/>
    <n v="0"/>
    <m/>
    <n v="15.2316"/>
    <n v="8.8850999999999996"/>
    <m/>
    <n v="0"/>
    <n v="0"/>
    <n v="0"/>
    <m/>
    <n v="0"/>
    <n v="125.66069999999999"/>
    <m/>
    <n v="0"/>
  </r>
  <r>
    <x v="0"/>
    <n v="2024"/>
    <x v="2"/>
    <s v="GD"/>
    <x v="3"/>
    <s v="URT_GD: General Distribution"/>
    <n v="2"/>
    <m/>
    <s v="Amboasary"/>
    <x v="0"/>
    <s v="Taolagnaro"/>
    <s v="Anosy"/>
    <x v="0"/>
    <m/>
    <s v="Tanandva Sud"/>
    <m/>
    <m/>
    <m/>
    <n v="11033"/>
    <n v="2206.6"/>
    <x v="1"/>
    <m/>
    <n v="30"/>
    <n v="132.39599999999999"/>
    <n v="0"/>
    <n v="0"/>
    <m/>
    <n v="19.859400000000001"/>
    <n v="11.58465"/>
    <m/>
    <n v="0"/>
    <n v="0"/>
    <n v="0"/>
    <m/>
    <n v="0"/>
    <n v="163.84004999999999"/>
    <m/>
    <n v="0"/>
  </r>
  <r>
    <x v="0"/>
    <n v="2024"/>
    <x v="2"/>
    <s v="GD"/>
    <x v="3"/>
    <s v="URT_GD: General Distribution"/>
    <n v="1"/>
    <m/>
    <m/>
    <x v="1"/>
    <m/>
    <s v="Atsimo Antsinana"/>
    <x v="11"/>
    <m/>
    <s v="Befotaka Sud"/>
    <m/>
    <m/>
    <m/>
    <n v="10257"/>
    <n v="2051.4"/>
    <x v="0"/>
    <m/>
    <n v="30"/>
    <n v="0"/>
    <n v="0"/>
    <n v="0"/>
    <m/>
    <n v="0"/>
    <n v="0"/>
    <m/>
    <n v="0"/>
    <n v="0"/>
    <n v="0"/>
    <n v="0"/>
    <n v="0"/>
    <n v="0"/>
    <n v="492336000"/>
    <n v="107988.78735901945"/>
  </r>
  <r>
    <x v="0"/>
    <n v="2024"/>
    <x v="2"/>
    <s v="GD"/>
    <x v="3"/>
    <s v="URT_GD: General Distribution"/>
    <n v="1"/>
    <m/>
    <m/>
    <x v="1"/>
    <m/>
    <s v="Vatovavy"/>
    <x v="6"/>
    <m/>
    <s v="Fanivelona"/>
    <m/>
    <m/>
    <m/>
    <n v="10240"/>
    <n v="2048"/>
    <x v="0"/>
    <m/>
    <n v="30"/>
    <n v="0"/>
    <n v="0"/>
    <n v="0"/>
    <m/>
    <n v="0"/>
    <n v="0"/>
    <m/>
    <n v="0"/>
    <n v="0"/>
    <n v="0"/>
    <n v="0"/>
    <n v="0"/>
    <n v="0"/>
    <n v="491520000"/>
    <n v="107809.8062353865"/>
  </r>
  <r>
    <x v="0"/>
    <n v="2024"/>
    <x v="2"/>
    <s v="GD"/>
    <x v="3"/>
    <s v="URT_GD: General Distribution"/>
    <n v="1"/>
    <m/>
    <m/>
    <x v="1"/>
    <m/>
    <s v="Vatovavy"/>
    <x v="6"/>
    <m/>
    <s v="Fiadanana"/>
    <m/>
    <m/>
    <m/>
    <n v="12803"/>
    <n v="2560.6"/>
    <x v="0"/>
    <m/>
    <n v="30"/>
    <n v="0"/>
    <n v="0"/>
    <n v="0"/>
    <m/>
    <n v="0"/>
    <n v="0"/>
    <m/>
    <n v="0"/>
    <n v="0"/>
    <n v="0"/>
    <n v="0"/>
    <n v="0"/>
    <n v="0"/>
    <n v="614544000"/>
    <n v="134793.84269840363"/>
  </r>
  <r>
    <x v="0"/>
    <n v="2024"/>
    <x v="2"/>
    <s v="GD"/>
    <x v="3"/>
    <s v="URT_GD: General Distribution"/>
    <n v="2"/>
    <m/>
    <m/>
    <x v="1"/>
    <m/>
    <s v="Atsimo Antsinana"/>
    <x v="9"/>
    <m/>
    <s v="Ivondro"/>
    <m/>
    <m/>
    <m/>
    <n v="7475"/>
    <n v="1495"/>
    <x v="0"/>
    <m/>
    <n v="30"/>
    <n v="0"/>
    <n v="0"/>
    <n v="0"/>
    <m/>
    <n v="0"/>
    <n v="0"/>
    <m/>
    <n v="0"/>
    <n v="0"/>
    <n v="0"/>
    <n v="0"/>
    <n v="0"/>
    <n v="0"/>
    <n v="358800000"/>
    <n v="78699.052891554107"/>
  </r>
  <r>
    <x v="0"/>
    <n v="2024"/>
    <x v="2"/>
    <s v="GD"/>
    <x v="3"/>
    <s v="URT_GD: General Distribution"/>
    <n v="1"/>
    <m/>
    <s v="Ambovombe"/>
    <x v="0"/>
    <s v="Taolagnaro"/>
    <s v="Androy"/>
    <x v="1"/>
    <m/>
    <s v="Jafaro"/>
    <m/>
    <m/>
    <m/>
    <n v="26677"/>
    <n v="5335.4"/>
    <x v="1"/>
    <m/>
    <n v="30"/>
    <n v="320.12400000000002"/>
    <n v="0"/>
    <n v="0"/>
    <m/>
    <n v="48.018599999999999"/>
    <n v="28.010850000000001"/>
    <m/>
    <n v="0"/>
    <n v="0"/>
    <n v="0"/>
    <m/>
    <n v="0"/>
    <n v="396.15345000000002"/>
    <m/>
    <n v="0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Tongobory"/>
    <m/>
    <m/>
    <m/>
    <n v="8716"/>
    <n v="1743.2"/>
    <x v="1"/>
    <m/>
    <n v="30"/>
    <n v="104.592"/>
    <n v="0"/>
    <n v="0"/>
    <m/>
    <n v="15.688800000000001"/>
    <n v="9.1517999999999997"/>
    <m/>
    <n v="0"/>
    <n v="0"/>
    <n v="0"/>
    <m/>
    <n v="0"/>
    <n v="129.43260000000001"/>
    <m/>
    <n v="0"/>
  </r>
  <r>
    <x v="0"/>
    <n v="2024"/>
    <x v="2"/>
    <s v="GD"/>
    <x v="3"/>
    <s v="URT_GD: General Distribution"/>
    <n v="1"/>
    <m/>
    <m/>
    <x v="1"/>
    <m/>
    <s v="Atsimo Antsinana"/>
    <x v="10"/>
    <m/>
    <s v="Manambondro"/>
    <m/>
    <m/>
    <m/>
    <n v="4868"/>
    <n v="973.6"/>
    <x v="0"/>
    <m/>
    <n v="30"/>
    <m/>
    <m/>
    <m/>
    <m/>
    <m/>
    <m/>
    <m/>
    <n v="0"/>
    <n v="0"/>
    <n v="0"/>
    <m/>
    <n v="0"/>
    <n v="0"/>
    <n v="233664000"/>
    <n v="51251.771167369283"/>
  </r>
  <r>
    <x v="0"/>
    <n v="2024"/>
    <x v="2"/>
    <s v="GD"/>
    <x v="3"/>
    <s v="URT_GD: General Distribution"/>
    <n v="1"/>
    <m/>
    <s v="Tuléar"/>
    <x v="3"/>
    <s v="Tuléar"/>
    <s v="Atsimo Andrefana"/>
    <x v="7"/>
    <m/>
    <s v="Maroarivo Ankazomanga"/>
    <m/>
    <m/>
    <m/>
    <n v="6455"/>
    <n v="1291"/>
    <x v="1"/>
    <m/>
    <n v="30"/>
    <n v="77.459999999999994"/>
    <n v="0"/>
    <n v="0"/>
    <m/>
    <n v="11.619"/>
    <n v="6.7777500000000002"/>
    <m/>
    <n v="0"/>
    <n v="0"/>
    <n v="0"/>
    <n v="0"/>
    <n v="0"/>
    <n v="95.856749999999991"/>
    <m/>
    <n v="0"/>
  </r>
  <r>
    <x v="0"/>
    <n v="2024"/>
    <x v="2"/>
    <s v="GD"/>
    <x v="3"/>
    <s v="URT_GD: General Distribution"/>
    <n v="1"/>
    <m/>
    <m/>
    <x v="1"/>
    <m/>
    <s v="Atsimo Antsinana"/>
    <x v="10"/>
    <m/>
    <s v="Marokibo"/>
    <m/>
    <m/>
    <m/>
    <n v="4267"/>
    <n v="853.4"/>
    <x v="1"/>
    <m/>
    <n v="30"/>
    <n v="51.204000000000001"/>
    <n v="0"/>
    <n v="0"/>
    <m/>
    <n v="7.6806000000000001"/>
    <n v="4.4803499999999996"/>
    <m/>
    <n v="0"/>
    <n v="0"/>
    <n v="0"/>
    <m/>
    <n v="0"/>
    <n v="63.36495"/>
    <m/>
    <n v="0"/>
  </r>
  <r>
    <x v="0"/>
    <n v="2024"/>
    <x v="2"/>
    <s v="GD"/>
    <x v="3"/>
    <s v="URT_GD: General Distribution"/>
    <n v="1"/>
    <m/>
    <s v="Tsihombe"/>
    <x v="0"/>
    <s v="Taolagnaro"/>
    <s v="Androy"/>
    <x v="12"/>
    <m/>
    <s v="Tranovaho"/>
    <m/>
    <m/>
    <m/>
    <n v="12629"/>
    <n v="2525.8000000000002"/>
    <x v="1"/>
    <m/>
    <n v="30"/>
    <n v="151.548"/>
    <n v="0"/>
    <n v="0"/>
    <m/>
    <n v="22.732199999999999"/>
    <n v="13.260450000000001"/>
    <m/>
    <n v="0"/>
    <n v="0"/>
    <n v="0"/>
    <m/>
    <n v="0"/>
    <n v="187.54065"/>
    <m/>
    <n v="0"/>
  </r>
  <r>
    <x v="0"/>
    <n v="2024"/>
    <x v="2"/>
    <s v="GD"/>
    <x v="3"/>
    <s v="URT_GD: General Distribution"/>
    <n v="1"/>
    <m/>
    <m/>
    <x v="1"/>
    <m/>
    <s v="Atsimo Antsinana"/>
    <x v="10"/>
    <m/>
    <s v="Masianaka"/>
    <m/>
    <m/>
    <m/>
    <n v="19824"/>
    <n v="3964.8"/>
    <x v="1"/>
    <m/>
    <n v="30"/>
    <n v="237.88800000000001"/>
    <n v="0"/>
    <n v="0"/>
    <m/>
    <n v="35.683199999999999"/>
    <n v="20.815200000000001"/>
    <m/>
    <n v="0"/>
    <n v="0"/>
    <n v="0"/>
    <m/>
    <n v="0"/>
    <n v="294.38639999999998"/>
    <m/>
    <n v="0"/>
  </r>
  <r>
    <x v="0"/>
    <n v="2024"/>
    <x v="2"/>
    <s v="GD"/>
    <x v="3"/>
    <s v="URT_GD: General Distribution"/>
    <n v="1"/>
    <m/>
    <m/>
    <x v="1"/>
    <m/>
    <s v="Atsimo Antsinana"/>
    <x v="10"/>
    <m/>
    <s v="Ranomena"/>
    <m/>
    <m/>
    <m/>
    <n v="17521"/>
    <n v="3504.2"/>
    <x v="0"/>
    <m/>
    <n v="30"/>
    <m/>
    <m/>
    <m/>
    <m/>
    <m/>
    <m/>
    <m/>
    <n v="0"/>
    <n v="0"/>
    <n v="0"/>
    <m/>
    <n v="0"/>
    <n v="0"/>
    <n v="841008000"/>
    <n v="184466.36865724676"/>
  </r>
  <r>
    <x v="0"/>
    <n v="2024"/>
    <x v="2"/>
    <s v="GD"/>
    <x v="3"/>
    <s v="URT_GD: General Distribution"/>
    <n v="1"/>
    <m/>
    <s v="Bekily"/>
    <x v="0"/>
    <s v="Taolagnaro"/>
    <s v="Androy"/>
    <x v="3"/>
    <m/>
    <s v="Tsikolaky"/>
    <m/>
    <m/>
    <m/>
    <n v="5748"/>
    <n v="1149.5999999999999"/>
    <x v="1"/>
    <m/>
    <n v="30"/>
    <n v="68.975999999999999"/>
    <n v="0"/>
    <n v="0"/>
    <m/>
    <n v="10.346399999999999"/>
    <n v="6.0354000000000001"/>
    <m/>
    <n v="0"/>
    <n v="0"/>
    <n v="0"/>
    <m/>
    <n v="0"/>
    <n v="85.357799999999997"/>
    <m/>
    <n v="0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Salobe"/>
    <m/>
    <m/>
    <m/>
    <n v="4446"/>
    <n v="889.2"/>
    <x v="0"/>
    <m/>
    <n v="30"/>
    <n v="0"/>
    <n v="0"/>
    <n v="0"/>
    <m/>
    <n v="0"/>
    <n v="0"/>
    <m/>
    <n v="0"/>
    <n v="0"/>
    <n v="0"/>
    <n v="0"/>
    <n v="0"/>
    <n v="0"/>
    <n v="213408000"/>
    <n v="46808.827980715658"/>
  </r>
  <r>
    <x v="0"/>
    <n v="2024"/>
    <x v="2"/>
    <s v="GD"/>
    <x v="3"/>
    <s v="URT_GD: General Distribution"/>
    <n v="2"/>
    <m/>
    <s v="Tuléar"/>
    <x v="3"/>
    <s v="Tuléar"/>
    <s v="Atsimo Andrefana"/>
    <x v="7"/>
    <m/>
    <s v="Tanambao Haut"/>
    <m/>
    <m/>
    <m/>
    <n v="5765"/>
    <n v="1153"/>
    <x v="0"/>
    <m/>
    <n v="30"/>
    <n v="0"/>
    <n v="0"/>
    <n v="0"/>
    <m/>
    <n v="0"/>
    <n v="0"/>
    <m/>
    <n v="0"/>
    <n v="0"/>
    <n v="0"/>
    <n v="0"/>
    <n v="0"/>
    <n v="0"/>
    <n v="276720000"/>
    <n v="60695.657514355771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Ambahita"/>
    <m/>
    <m/>
    <m/>
    <n v="1002"/>
    <n v="1002"/>
    <x v="1"/>
    <m/>
    <n v="90"/>
    <n v="0"/>
    <n v="0"/>
    <n v="0"/>
    <n v="0"/>
    <n v="0"/>
    <n v="0"/>
    <n v="0"/>
    <n v="0"/>
    <n v="0"/>
    <n v="0"/>
    <n v="4.5090000000000003"/>
    <n v="0"/>
    <n v="4.5090000000000003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Amborompotsy"/>
    <m/>
    <m/>
    <m/>
    <n v="1058"/>
    <n v="1058"/>
    <x v="1"/>
    <m/>
    <n v="90"/>
    <n v="0"/>
    <n v="0"/>
    <n v="0"/>
    <n v="0"/>
    <n v="0"/>
    <n v="0"/>
    <n v="0"/>
    <n v="0"/>
    <n v="0"/>
    <n v="0"/>
    <n v="4.7610000000000001"/>
    <n v="0"/>
    <n v="4.761000000000000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1"/>
    <m/>
    <s v="Andalatanosy"/>
    <m/>
    <m/>
    <m/>
    <n v="2030"/>
    <n v="2030"/>
    <x v="1"/>
    <m/>
    <n v="90"/>
    <n v="0"/>
    <n v="0"/>
    <n v="0"/>
    <n v="0"/>
    <n v="0"/>
    <n v="0"/>
    <n v="0"/>
    <n v="0"/>
    <n v="0"/>
    <n v="0"/>
    <n v="9.1349999999999998"/>
    <n v="0"/>
    <n v="9.1349999999999998"/>
    <m/>
    <n v="0"/>
  </r>
  <r>
    <x v="0"/>
    <n v="2024"/>
    <x v="2"/>
    <s v="Nutrition"/>
    <x v="4"/>
    <s v="URT_PREV:Prevention of acute malnutrition"/>
    <n v="2"/>
    <m/>
    <m/>
    <x v="0"/>
    <s v="Taolagnaro"/>
    <s v="Anosy"/>
    <x v="5"/>
    <m/>
    <s v="Andranobory"/>
    <m/>
    <m/>
    <m/>
    <n v="437"/>
    <n v="437"/>
    <x v="1"/>
    <m/>
    <n v="90"/>
    <n v="0"/>
    <n v="0"/>
    <n v="0"/>
    <n v="0"/>
    <n v="0"/>
    <n v="0"/>
    <n v="0"/>
    <n v="0"/>
    <n v="0"/>
    <n v="0"/>
    <n v="1.9664999999999999"/>
    <n v="0"/>
    <n v="1.9664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Androipano"/>
    <m/>
    <m/>
    <m/>
    <m/>
    <n v="0"/>
    <x v="1"/>
    <m/>
    <n v="90"/>
    <n v="0"/>
    <n v="0"/>
    <n v="0"/>
    <n v="0"/>
    <n v="0"/>
    <n v="0"/>
    <n v="0"/>
    <n v="0"/>
    <n v="0"/>
    <n v="0"/>
    <n v="0"/>
    <n v="0"/>
    <n v="0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Androka"/>
    <m/>
    <m/>
    <m/>
    <n v="2100"/>
    <n v="2100"/>
    <x v="1"/>
    <m/>
    <n v="90"/>
    <n v="0"/>
    <n v="0"/>
    <n v="0"/>
    <n v="0"/>
    <n v="0"/>
    <n v="0"/>
    <n v="0"/>
    <n v="0"/>
    <n v="0"/>
    <n v="0"/>
    <n v="9.4499999999999993"/>
    <n v="0"/>
    <n v="9.4499999999999993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Anivorano Mitsinjo"/>
    <m/>
    <m/>
    <m/>
    <n v="408"/>
    <n v="408"/>
    <x v="1"/>
    <m/>
    <n v="90"/>
    <n v="0"/>
    <n v="0"/>
    <n v="0"/>
    <n v="0"/>
    <n v="0"/>
    <n v="0"/>
    <n v="0"/>
    <n v="0"/>
    <n v="0"/>
    <n v="0"/>
    <n v="1.8360000000000001"/>
    <n v="0"/>
    <n v="1.8360000000000001"/>
    <m/>
    <n v="0"/>
  </r>
  <r>
    <x v="0"/>
    <n v="2024"/>
    <x v="2"/>
    <s v="Nutrition"/>
    <x v="4"/>
    <s v="URT_PREV:Prevention of acute malnutrition"/>
    <n v="1"/>
    <m/>
    <m/>
    <x v="1"/>
    <m/>
    <s v="Vatovavy"/>
    <x v="6"/>
    <s v="YPA"/>
    <s v="Ambahy"/>
    <m/>
    <m/>
    <m/>
    <n v="225"/>
    <n v="225"/>
    <x v="1"/>
    <m/>
    <n v="90"/>
    <n v="0"/>
    <n v="0"/>
    <n v="0"/>
    <n v="0"/>
    <n v="0"/>
    <n v="0"/>
    <n v="0"/>
    <n v="0"/>
    <n v="0"/>
    <n v="0"/>
    <n v="1.0125"/>
    <n v="0"/>
    <n v="1.0125"/>
    <m/>
    <m/>
  </r>
  <r>
    <x v="0"/>
    <n v="2024"/>
    <x v="2"/>
    <s v="Nutrition"/>
    <x v="4"/>
    <s v="URT_PREV:Prevention of acute malnutrition"/>
    <m/>
    <m/>
    <m/>
    <x v="1"/>
    <m/>
    <s v="Vatovavy"/>
    <x v="6"/>
    <s v="YPA"/>
    <s v="Ambodirian'I Sahafary"/>
    <m/>
    <m/>
    <m/>
    <n v="1094"/>
    <n v="1094"/>
    <x v="1"/>
    <m/>
    <n v="90"/>
    <n v="0"/>
    <n v="0"/>
    <n v="0"/>
    <n v="0"/>
    <n v="0"/>
    <n v="0"/>
    <n v="0"/>
    <n v="0"/>
    <n v="0"/>
    <n v="0"/>
    <n v="4.923"/>
    <n v="0"/>
    <n v="4.923"/>
    <m/>
    <m/>
  </r>
  <r>
    <x v="0"/>
    <n v="2024"/>
    <x v="2"/>
    <s v="Nutrition"/>
    <x v="4"/>
    <s v="URT_PREV:Prevention of acute malnutrition"/>
    <m/>
    <m/>
    <m/>
    <x v="1"/>
    <m/>
    <s v="Atsimo Antsinana"/>
    <x v="8"/>
    <s v="WHH"/>
    <s v="Anandravy"/>
    <m/>
    <m/>
    <m/>
    <n v="288"/>
    <n v="288"/>
    <x v="1"/>
    <m/>
    <n v="90"/>
    <n v="0"/>
    <n v="0"/>
    <n v="0"/>
    <n v="0"/>
    <n v="0"/>
    <n v="0"/>
    <n v="0"/>
    <n v="0"/>
    <n v="0"/>
    <n v="0"/>
    <n v="1.296"/>
    <n v="0"/>
    <n v="1.296"/>
    <m/>
    <n v="0"/>
  </r>
  <r>
    <x v="0"/>
    <n v="2024"/>
    <x v="2"/>
    <s v="Nutrition"/>
    <x v="4"/>
    <s v="URT_PREV:Prevention of acute malnutrition"/>
    <m/>
    <m/>
    <m/>
    <x v="1"/>
    <m/>
    <s v="Atsimo Antsinana"/>
    <x v="9"/>
    <s v="WHH"/>
    <s v="Andranolalina"/>
    <m/>
    <m/>
    <m/>
    <n v="440"/>
    <n v="440"/>
    <x v="1"/>
    <m/>
    <n v="90"/>
    <n v="0"/>
    <n v="0"/>
    <n v="0"/>
    <n v="0"/>
    <n v="0"/>
    <n v="0"/>
    <n v="0"/>
    <n v="0"/>
    <n v="0"/>
    <n v="0"/>
    <n v="1.98"/>
    <n v="0"/>
    <n v="1.98"/>
    <m/>
    <m/>
  </r>
  <r>
    <x v="0"/>
    <n v="2024"/>
    <x v="2"/>
    <s v="Nutrition"/>
    <x v="4"/>
    <s v="URT_PREV:Prevention of acute malnutrition"/>
    <m/>
    <m/>
    <m/>
    <x v="1"/>
    <m/>
    <s v="Atsimo Antsinana"/>
    <x v="8"/>
    <s v="WHH"/>
    <s v="Mahatsinjo"/>
    <m/>
    <m/>
    <m/>
    <n v="461"/>
    <n v="461"/>
    <x v="1"/>
    <m/>
    <n v="90"/>
    <n v="0"/>
    <n v="0"/>
    <n v="0"/>
    <n v="0"/>
    <n v="0"/>
    <n v="0"/>
    <n v="0"/>
    <n v="0"/>
    <n v="0"/>
    <n v="0"/>
    <n v="2.0745"/>
    <n v="0"/>
    <n v="2.0745"/>
    <m/>
    <n v="0"/>
  </r>
  <r>
    <x v="0"/>
    <n v="2024"/>
    <x v="2"/>
    <s v="Nutrition"/>
    <x v="4"/>
    <s v="URT_PREV:Prevention of acute malnutrition"/>
    <m/>
    <m/>
    <m/>
    <x v="1"/>
    <m/>
    <s v="Atsimo Antsinana"/>
    <x v="10"/>
    <s v="WHH"/>
    <s v="Matanga"/>
    <m/>
    <m/>
    <m/>
    <n v="824"/>
    <n v="824"/>
    <x v="1"/>
    <m/>
    <n v="90"/>
    <m/>
    <m/>
    <m/>
    <m/>
    <m/>
    <m/>
    <m/>
    <m/>
    <m/>
    <m/>
    <n v="3.7080000000000002"/>
    <n v="0"/>
    <n v="3.7080000000000002"/>
    <m/>
    <m/>
  </r>
  <r>
    <x v="0"/>
    <n v="2024"/>
    <x v="2"/>
    <s v="Nutrition"/>
    <x v="4"/>
    <s v="URT_PREV:Prevention of acute malnutrition"/>
    <m/>
    <m/>
    <m/>
    <x v="1"/>
    <m/>
    <s v="Atsimo Antsinana"/>
    <x v="11"/>
    <s v="WHH"/>
    <s v="Antondabe"/>
    <s v="TBD"/>
    <m/>
    <m/>
    <n v="310"/>
    <n v="310"/>
    <x v="1"/>
    <m/>
    <n v="90"/>
    <n v="0"/>
    <n v="0"/>
    <n v="0"/>
    <n v="0"/>
    <n v="0"/>
    <n v="0"/>
    <n v="0"/>
    <n v="0"/>
    <n v="0"/>
    <n v="0"/>
    <n v="1.395"/>
    <n v="0"/>
    <n v="1.395"/>
    <m/>
    <n v="0"/>
  </r>
  <r>
    <x v="0"/>
    <n v="2024"/>
    <x v="2"/>
    <s v="Nutrition"/>
    <x v="4"/>
    <s v="URT_PREV:Prevention of acute malnutrition"/>
    <m/>
    <m/>
    <m/>
    <x v="1"/>
    <m/>
    <s v="Atsimo Antsinana"/>
    <x v="11"/>
    <s v="WHH"/>
    <s v="Befotaka Sud"/>
    <s v="TBD"/>
    <m/>
    <m/>
    <n v="615"/>
    <n v="615"/>
    <x v="1"/>
    <m/>
    <n v="90"/>
    <n v="0"/>
    <n v="0"/>
    <n v="0"/>
    <n v="0"/>
    <n v="0"/>
    <n v="0"/>
    <n v="0"/>
    <n v="0"/>
    <n v="0"/>
    <n v="0"/>
    <n v="2.7675000000000001"/>
    <n v="0"/>
    <n v="2.7675000000000001"/>
    <m/>
    <n v="0"/>
  </r>
  <r>
    <x v="0"/>
    <n v="2024"/>
    <x v="2"/>
    <s v="Nutrition"/>
    <x v="4"/>
    <s v="URT_PREV:Prevention of acute malnutrition"/>
    <m/>
    <m/>
    <m/>
    <x v="1"/>
    <m/>
    <s v="Vatovavy"/>
    <x v="6"/>
    <s v="YPA"/>
    <s v="Fanivelona"/>
    <m/>
    <m/>
    <m/>
    <n v="614"/>
    <n v="614"/>
    <x v="1"/>
    <m/>
    <n v="90"/>
    <n v="0"/>
    <n v="0"/>
    <n v="0"/>
    <n v="0"/>
    <n v="0"/>
    <n v="0"/>
    <n v="0"/>
    <n v="0"/>
    <n v="0"/>
    <n v="0"/>
    <n v="2.7629999999999999"/>
    <n v="0"/>
    <n v="2.7629999999999999"/>
    <m/>
    <m/>
  </r>
  <r>
    <x v="0"/>
    <n v="2024"/>
    <x v="2"/>
    <s v="Nutrition"/>
    <x v="4"/>
    <s v="URT_PREV:Prevention of acute malnutrition"/>
    <m/>
    <m/>
    <m/>
    <x v="1"/>
    <m/>
    <s v="Vatovavy"/>
    <x v="6"/>
    <s v="YPA"/>
    <s v="Fiadanana"/>
    <m/>
    <m/>
    <m/>
    <n v="768"/>
    <n v="768"/>
    <x v="1"/>
    <m/>
    <n v="90"/>
    <n v="0"/>
    <n v="0"/>
    <n v="0"/>
    <n v="0"/>
    <n v="0"/>
    <n v="0"/>
    <n v="0"/>
    <n v="0"/>
    <n v="0"/>
    <n v="0"/>
    <n v="3.456"/>
    <n v="0"/>
    <n v="3.456"/>
    <m/>
    <m/>
  </r>
  <r>
    <x v="0"/>
    <n v="2024"/>
    <x v="2"/>
    <s v="Nutrition"/>
    <x v="4"/>
    <s v="URT_PREV:Prevention of acute malnutrition"/>
    <m/>
    <m/>
    <m/>
    <x v="1"/>
    <m/>
    <s v="Atsimo Antsinana"/>
    <x v="9"/>
    <s v="WHH"/>
    <s v="Ivondro"/>
    <m/>
    <m/>
    <m/>
    <n v="449"/>
    <n v="449"/>
    <x v="1"/>
    <m/>
    <n v="90"/>
    <n v="0"/>
    <n v="0"/>
    <n v="0"/>
    <n v="0"/>
    <n v="0"/>
    <n v="0"/>
    <n v="0"/>
    <n v="0"/>
    <n v="0"/>
    <n v="0"/>
    <n v="2.0205000000000002"/>
    <n v="0"/>
    <n v="2.0205000000000002"/>
    <m/>
    <m/>
  </r>
  <r>
    <x v="0"/>
    <n v="2024"/>
    <x v="2"/>
    <s v="Nutrition"/>
    <x v="4"/>
    <s v="URT_PREV:Prevention of acute malnutrition"/>
    <m/>
    <m/>
    <m/>
    <x v="1"/>
    <m/>
    <s v="Atsimo Antsinana"/>
    <x v="10"/>
    <s v="WHH"/>
    <s v="Manambondro"/>
    <m/>
    <m/>
    <m/>
    <n v="292"/>
    <n v="292"/>
    <x v="1"/>
    <m/>
    <n v="90"/>
    <m/>
    <m/>
    <m/>
    <m/>
    <m/>
    <m/>
    <m/>
    <m/>
    <m/>
    <m/>
    <n v="1.3140000000000001"/>
    <n v="0"/>
    <n v="1.3140000000000001"/>
    <m/>
    <m/>
  </r>
  <r>
    <x v="0"/>
    <n v="2024"/>
    <x v="2"/>
    <s v="Nutrition"/>
    <x v="4"/>
    <s v="URT_PREV:Prevention of acute malnutrition"/>
    <m/>
    <m/>
    <m/>
    <x v="1"/>
    <m/>
    <s v="Atsimo Antsinana"/>
    <x v="10"/>
    <s v="WHH"/>
    <s v="Marokibo"/>
    <m/>
    <m/>
    <m/>
    <n v="256"/>
    <n v="256"/>
    <x v="1"/>
    <m/>
    <n v="90"/>
    <m/>
    <m/>
    <m/>
    <m/>
    <m/>
    <m/>
    <m/>
    <m/>
    <m/>
    <m/>
    <n v="1.1519999999999999"/>
    <n v="0"/>
    <n v="1.1519999999999999"/>
    <m/>
    <m/>
  </r>
  <r>
    <x v="0"/>
    <n v="2024"/>
    <x v="2"/>
    <s v="Nutrition"/>
    <x v="4"/>
    <s v="URT_PREV:Prevention of acute malnutrition"/>
    <m/>
    <m/>
    <m/>
    <x v="1"/>
    <m/>
    <s v="Atsimo Antsinana"/>
    <x v="10"/>
    <s v="WHH"/>
    <s v="Masianaka"/>
    <m/>
    <m/>
    <m/>
    <n v="1189"/>
    <n v="1189"/>
    <x v="1"/>
    <m/>
    <n v="90"/>
    <m/>
    <m/>
    <m/>
    <m/>
    <m/>
    <m/>
    <m/>
    <m/>
    <m/>
    <m/>
    <n v="5.3505000000000003"/>
    <n v="0"/>
    <n v="5.3505000000000003"/>
    <m/>
    <m/>
  </r>
  <r>
    <x v="0"/>
    <n v="2024"/>
    <x v="2"/>
    <s v="Nutrition"/>
    <x v="4"/>
    <s v="URT_PREV:Prevention of acute malnutrition"/>
    <m/>
    <m/>
    <m/>
    <x v="1"/>
    <m/>
    <s v="Atsimo Antsinana"/>
    <x v="10"/>
    <s v="WHH"/>
    <s v="Ranomena"/>
    <m/>
    <m/>
    <m/>
    <n v="1051"/>
    <n v="1051"/>
    <x v="1"/>
    <m/>
    <n v="90"/>
    <m/>
    <m/>
    <m/>
    <m/>
    <m/>
    <m/>
    <m/>
    <m/>
    <m/>
    <m/>
    <n v="4.7294999999999998"/>
    <n v="0"/>
    <n v="4.7294999999999998"/>
    <m/>
    <m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Anja Nord"/>
    <m/>
    <m/>
    <m/>
    <n v="226"/>
    <n v="226"/>
    <x v="1"/>
    <m/>
    <n v="90"/>
    <n v="0"/>
    <n v="0"/>
    <n v="0"/>
    <n v="0"/>
    <n v="0"/>
    <n v="0"/>
    <n v="0"/>
    <n v="0"/>
    <n v="0"/>
    <n v="0"/>
    <n v="1.0169999999999999"/>
    <n v="0"/>
    <n v="1.0169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1"/>
    <m/>
    <s v="Ampamata"/>
    <m/>
    <m/>
    <m/>
    <n v="609"/>
    <n v="609"/>
    <x v="1"/>
    <m/>
    <n v="90"/>
    <n v="0"/>
    <n v="0"/>
    <n v="0"/>
    <n v="0"/>
    <n v="0"/>
    <n v="0"/>
    <n v="0"/>
    <n v="0"/>
    <n v="0"/>
    <n v="0"/>
    <n v="2.7404999999999999"/>
    <n v="0"/>
    <n v="2.7404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1"/>
    <m/>
    <s v="Anjeky Ankilikira"/>
    <m/>
    <m/>
    <m/>
    <n v="1133"/>
    <n v="1133"/>
    <x v="1"/>
    <m/>
    <n v="90"/>
    <n v="0"/>
    <n v="0"/>
    <n v="0"/>
    <n v="0"/>
    <n v="0"/>
    <n v="0"/>
    <n v="0"/>
    <n v="0"/>
    <n v="0"/>
    <n v="0"/>
    <n v="5.0984999999999996"/>
    <n v="0"/>
    <n v="5.0984999999999996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Ankazombalala"/>
    <m/>
    <m/>
    <m/>
    <n v="720"/>
    <n v="720"/>
    <x v="1"/>
    <m/>
    <n v="90"/>
    <n v="0"/>
    <n v="0"/>
    <n v="0"/>
    <n v="0"/>
    <n v="0"/>
    <n v="0"/>
    <n v="0"/>
    <n v="0"/>
    <n v="0"/>
    <n v="0"/>
    <n v="3.24"/>
    <n v="0"/>
    <n v="3.24"/>
    <m/>
    <n v="0"/>
  </r>
  <r>
    <x v="0"/>
    <n v="2024"/>
    <x v="2"/>
    <s v="Nutrition"/>
    <x v="4"/>
    <s v="URT_PREV:Prevention of acute malnutrition"/>
    <n v="2"/>
    <m/>
    <m/>
    <x v="2"/>
    <s v="Tuléar"/>
    <s v="Atsimo Andrefana"/>
    <x v="4"/>
    <m/>
    <s v="Ankiliabo"/>
    <m/>
    <m/>
    <m/>
    <n v="1086"/>
    <n v="1086"/>
    <x v="1"/>
    <m/>
    <n v="90"/>
    <n v="0"/>
    <n v="0"/>
    <n v="0"/>
    <n v="0"/>
    <n v="0"/>
    <n v="0"/>
    <n v="0"/>
    <n v="0"/>
    <n v="0"/>
    <n v="0"/>
    <n v="4.8869999999999996"/>
    <n v="0"/>
    <n v="4.8869999999999996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Antsakoamaro"/>
    <m/>
    <m/>
    <m/>
    <n v="372"/>
    <n v="372"/>
    <x v="1"/>
    <m/>
    <n v="90"/>
    <n v="0"/>
    <n v="0"/>
    <n v="0"/>
    <n v="0"/>
    <n v="0"/>
    <n v="0"/>
    <n v="0"/>
    <n v="0"/>
    <n v="0"/>
    <n v="0"/>
    <n v="1.6739999999999999"/>
    <n v="0"/>
    <n v="1.6739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Belafike haut"/>
    <m/>
    <m/>
    <m/>
    <n v="612"/>
    <n v="612"/>
    <x v="1"/>
    <m/>
    <n v="90"/>
    <n v="0"/>
    <n v="0"/>
    <n v="0"/>
    <n v="0"/>
    <n v="0"/>
    <n v="0"/>
    <n v="0"/>
    <n v="0"/>
    <n v="0"/>
    <n v="0"/>
    <n v="2.754"/>
    <n v="0"/>
    <n v="2.754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Belindo Mahasoa"/>
    <m/>
    <m/>
    <m/>
    <n v="900"/>
    <n v="900"/>
    <x v="1"/>
    <m/>
    <n v="90"/>
    <n v="0"/>
    <n v="0"/>
    <n v="0"/>
    <n v="0"/>
    <n v="0"/>
    <n v="0"/>
    <n v="0"/>
    <n v="0"/>
    <n v="0"/>
    <n v="0"/>
    <n v="4.05"/>
    <n v="0"/>
    <n v="4.05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Ankazomanga Ouest"/>
    <m/>
    <m/>
    <m/>
    <n v="218"/>
    <n v="218"/>
    <x v="1"/>
    <m/>
    <n v="90"/>
    <n v="0"/>
    <n v="0"/>
    <n v="0"/>
    <n v="0"/>
    <n v="0"/>
    <n v="0"/>
    <n v="0"/>
    <n v="0"/>
    <n v="0"/>
    <n v="0"/>
    <n v="0.98099999999999998"/>
    <n v="0"/>
    <n v="0.98099999999999998"/>
    <m/>
    <m/>
  </r>
  <r>
    <x v="0"/>
    <n v="2024"/>
    <x v="2"/>
    <s v="Nutrition"/>
    <x v="4"/>
    <s v="URT_PREV:Prevention of acute malnutrition"/>
    <n v="1"/>
    <m/>
    <m/>
    <x v="3"/>
    <s v="Tuléar"/>
    <s v="Atsimo Andrefana"/>
    <x v="7"/>
    <m/>
    <s v="Beora"/>
    <m/>
    <m/>
    <m/>
    <n v="60"/>
    <n v="60"/>
    <x v="1"/>
    <m/>
    <n v="90"/>
    <n v="0"/>
    <n v="0"/>
    <n v="0"/>
    <n v="0"/>
    <n v="0"/>
    <n v="0"/>
    <n v="0"/>
    <n v="0"/>
    <n v="0"/>
    <n v="0"/>
    <n v="0.27"/>
    <n v="0"/>
    <n v="0.27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Bevitiky"/>
    <m/>
    <m/>
    <m/>
    <n v="380"/>
    <n v="380"/>
    <x v="1"/>
    <m/>
    <n v="90"/>
    <n v="0"/>
    <n v="0"/>
    <n v="0"/>
    <n v="0"/>
    <n v="0"/>
    <n v="0"/>
    <n v="0"/>
    <n v="0"/>
    <n v="0"/>
    <n v="0"/>
    <n v="1.71"/>
    <n v="0"/>
    <n v="1.71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x v="0"/>
    <m/>
    <s v="Ebelo"/>
    <m/>
    <m/>
    <m/>
    <n v="813"/>
    <n v="813"/>
    <x v="1"/>
    <m/>
    <n v="90"/>
    <n v="0"/>
    <n v="0"/>
    <n v="0"/>
    <n v="0"/>
    <n v="0"/>
    <n v="0"/>
    <n v="0"/>
    <n v="0"/>
    <n v="0"/>
    <n v="0"/>
    <n v="3.6585000000000001"/>
    <n v="0"/>
    <n v="3.6585000000000001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Gogogogo"/>
    <m/>
    <m/>
    <m/>
    <n v="1137"/>
    <n v="1137"/>
    <x v="1"/>
    <m/>
    <n v="90"/>
    <n v="0"/>
    <n v="0"/>
    <n v="0"/>
    <n v="0"/>
    <n v="0"/>
    <n v="0"/>
    <n v="0"/>
    <n v="0"/>
    <n v="0"/>
    <n v="0"/>
    <n v="5.1165000000000003"/>
    <n v="0"/>
    <n v="5.1165000000000003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Lazarivo"/>
    <m/>
    <m/>
    <m/>
    <n v="654"/>
    <n v="654"/>
    <x v="1"/>
    <m/>
    <n v="90"/>
    <n v="0"/>
    <n v="0"/>
    <n v="0"/>
    <n v="0"/>
    <n v="0"/>
    <n v="0"/>
    <n v="0"/>
    <n v="0"/>
    <n v="0"/>
    <n v="0"/>
    <n v="2.9430000000000001"/>
    <n v="0"/>
    <n v="2.9430000000000001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x v="0"/>
    <m/>
    <s v="Mahabo"/>
    <m/>
    <m/>
    <m/>
    <n v="346"/>
    <n v="346"/>
    <x v="1"/>
    <m/>
    <n v="90"/>
    <n v="0"/>
    <n v="0"/>
    <n v="0"/>
    <n v="0"/>
    <n v="0"/>
    <n v="0"/>
    <n v="0"/>
    <n v="0"/>
    <n v="0"/>
    <n v="0"/>
    <n v="1.5569999999999999"/>
    <n v="0"/>
    <n v="1.5569999999999999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x v="0"/>
    <m/>
    <s v="Mahaly"/>
    <m/>
    <m/>
    <m/>
    <n v="1245"/>
    <n v="1245"/>
    <x v="1"/>
    <m/>
    <n v="90"/>
    <n v="0"/>
    <n v="0"/>
    <n v="0"/>
    <n v="0"/>
    <n v="0"/>
    <n v="0"/>
    <n v="0"/>
    <n v="0"/>
    <n v="0"/>
    <n v="0"/>
    <n v="5.6025"/>
    <n v="0"/>
    <n v="5.6025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Manakompy"/>
    <m/>
    <m/>
    <m/>
    <n v="406"/>
    <n v="406"/>
    <x v="1"/>
    <m/>
    <n v="90"/>
    <n v="0"/>
    <n v="0"/>
    <n v="0"/>
    <n v="0"/>
    <n v="0"/>
    <n v="0"/>
    <n v="0"/>
    <n v="0"/>
    <n v="0"/>
    <n v="0"/>
    <n v="1.827"/>
    <n v="0"/>
    <n v="1.827"/>
    <m/>
    <n v="0"/>
  </r>
  <r>
    <x v="0"/>
    <n v="2024"/>
    <x v="2"/>
    <s v="Nutrition"/>
    <x v="4"/>
    <s v="URT_PREV:Prevention of acute malnutrition"/>
    <n v="2"/>
    <m/>
    <s v="Amboasary"/>
    <x v="0"/>
    <s v="Taolagnaro"/>
    <s v="Anosy"/>
    <x v="0"/>
    <m/>
    <s v="Maromby"/>
    <m/>
    <m/>
    <m/>
    <n v="915"/>
    <n v="915"/>
    <x v="1"/>
    <m/>
    <n v="90"/>
    <n v="0"/>
    <n v="0"/>
    <n v="0"/>
    <n v="0"/>
    <n v="0"/>
    <n v="0"/>
    <n v="0"/>
    <n v="0"/>
    <n v="0"/>
    <n v="0"/>
    <n v="4.1174999999999997"/>
    <n v="0"/>
    <n v="4.1174999999999997"/>
    <m/>
    <n v="0"/>
  </r>
  <r>
    <x v="0"/>
    <n v="2024"/>
    <x v="2"/>
    <s v="Nutrition"/>
    <x v="4"/>
    <s v="URT_PREV:Prevention of acute malnutrition"/>
    <n v="1"/>
    <m/>
    <m/>
    <x v="3"/>
    <s v="Tuléar"/>
    <s v="Atsimo Andrefana"/>
    <x v="7"/>
    <m/>
    <s v="Marosavoa"/>
    <m/>
    <m/>
    <m/>
    <n v="226"/>
    <n v="226"/>
    <x v="1"/>
    <m/>
    <n v="90"/>
    <n v="0"/>
    <n v="0"/>
    <n v="0"/>
    <n v="0"/>
    <n v="0"/>
    <n v="0"/>
    <n v="0"/>
    <n v="0"/>
    <n v="0"/>
    <n v="0"/>
    <n v="1.0169999999999999"/>
    <n v="0"/>
    <n v="1.0169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x v="4"/>
    <m/>
    <s v="Ankilizato"/>
    <m/>
    <m/>
    <m/>
    <n v="476"/>
    <n v="476"/>
    <x v="1"/>
    <m/>
    <n v="90"/>
    <n v="0"/>
    <n v="0"/>
    <n v="0"/>
    <n v="0"/>
    <n v="0"/>
    <n v="0"/>
    <n v="0"/>
    <n v="0"/>
    <n v="0"/>
    <n v="0"/>
    <n v="2.1419999999999999"/>
    <n v="0"/>
    <n v="2.1419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Maroviro"/>
    <m/>
    <m/>
    <m/>
    <n v="745"/>
    <n v="745"/>
    <x v="1"/>
    <m/>
    <n v="90"/>
    <n v="0"/>
    <n v="0"/>
    <n v="0"/>
    <n v="0"/>
    <n v="0"/>
    <n v="0"/>
    <n v="0"/>
    <n v="0"/>
    <n v="0"/>
    <n v="0"/>
    <n v="3.3525"/>
    <n v="0"/>
    <n v="3.3525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1"/>
    <m/>
    <s v="Antanimora Atsimo"/>
    <m/>
    <m/>
    <m/>
    <n v="1584"/>
    <n v="1584"/>
    <x v="1"/>
    <m/>
    <n v="90"/>
    <n v="0"/>
    <n v="0"/>
    <n v="0"/>
    <n v="0"/>
    <n v="0"/>
    <n v="0"/>
    <n v="0"/>
    <n v="0"/>
    <n v="0"/>
    <n v="0"/>
    <n v="7.1280000000000001"/>
    <n v="0"/>
    <n v="7.1280000000000001"/>
    <m/>
    <m/>
  </r>
  <r>
    <x v="0"/>
    <n v="2024"/>
    <x v="2"/>
    <s v="Nutrition"/>
    <x v="4"/>
    <s v="URT_PREV:Prevention of acute malnutrition"/>
    <n v="1"/>
    <m/>
    <s v="Amboasary"/>
    <x v="0"/>
    <s v="Taolagnaro"/>
    <s v="Anosy"/>
    <x v="0"/>
    <m/>
    <s v="Ranobe"/>
    <m/>
    <m/>
    <m/>
    <n v="508"/>
    <n v="508"/>
    <x v="1"/>
    <m/>
    <n v="90"/>
    <n v="0"/>
    <n v="0"/>
    <n v="0"/>
    <n v="0"/>
    <n v="0"/>
    <n v="0"/>
    <n v="0"/>
    <n v="0"/>
    <n v="0"/>
    <n v="0"/>
    <n v="2.286"/>
    <n v="0"/>
    <n v="2.286"/>
    <m/>
    <n v="0"/>
  </r>
  <r>
    <x v="0"/>
    <n v="2024"/>
    <x v="2"/>
    <s v="Nutrition"/>
    <x v="4"/>
    <s v="URT_PREV:Prevention of acute malnutrition"/>
    <n v="2"/>
    <m/>
    <s v="Amboasary"/>
    <x v="0"/>
    <s v="Taolagnaro"/>
    <s v="Anosy"/>
    <x v="0"/>
    <m/>
    <s v="Tanandva Sud"/>
    <m/>
    <m/>
    <m/>
    <n v="662"/>
    <n v="662"/>
    <x v="1"/>
    <m/>
    <n v="90"/>
    <n v="0"/>
    <n v="0"/>
    <n v="0"/>
    <n v="0"/>
    <n v="0"/>
    <n v="0"/>
    <n v="0"/>
    <n v="0"/>
    <n v="0"/>
    <n v="0"/>
    <n v="2.9790000000000001"/>
    <n v="0"/>
    <n v="2.979000000000000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1"/>
    <m/>
    <s v="Jafaro"/>
    <m/>
    <m/>
    <m/>
    <n v="1601"/>
    <n v="1601"/>
    <x v="1"/>
    <m/>
    <n v="90"/>
    <n v="0"/>
    <n v="0"/>
    <n v="0"/>
    <n v="0"/>
    <n v="0"/>
    <n v="0"/>
    <n v="0"/>
    <n v="0"/>
    <n v="0"/>
    <n v="0"/>
    <n v="7.2045000000000003"/>
    <n v="0"/>
    <n v="7.2045000000000003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Tongobory"/>
    <m/>
    <m/>
    <m/>
    <n v="523"/>
    <n v="523"/>
    <x v="1"/>
    <m/>
    <n v="90"/>
    <n v="0"/>
    <n v="0"/>
    <n v="0"/>
    <n v="0"/>
    <n v="0"/>
    <n v="0"/>
    <n v="0"/>
    <n v="0"/>
    <n v="0"/>
    <n v="0"/>
    <n v="2.3534999999999999"/>
    <n v="0"/>
    <n v="2.3534999999999999"/>
    <m/>
    <n v="0"/>
  </r>
  <r>
    <x v="0"/>
    <n v="2024"/>
    <x v="2"/>
    <s v="Nutrition"/>
    <x v="4"/>
    <s v="URT_PREV:Prevention of acute malnutrition"/>
    <n v="1"/>
    <m/>
    <m/>
    <x v="3"/>
    <s v="Tuléar"/>
    <s v="Atsimo Andrefana"/>
    <x v="7"/>
    <m/>
    <s v="Maroarivo Ankazomanga"/>
    <m/>
    <m/>
    <m/>
    <n v="387"/>
    <n v="387"/>
    <x v="1"/>
    <m/>
    <n v="90"/>
    <n v="0"/>
    <n v="0"/>
    <n v="0"/>
    <n v="0"/>
    <n v="0"/>
    <n v="0"/>
    <n v="0"/>
    <n v="0"/>
    <n v="0"/>
    <n v="0"/>
    <n v="1.7415"/>
    <n v="0"/>
    <n v="1.7415"/>
    <m/>
    <m/>
  </r>
  <r>
    <x v="0"/>
    <n v="2024"/>
    <x v="2"/>
    <s v="Nutrition"/>
    <x v="4"/>
    <s v="URT_PREV:Prevention of acute malnutrition"/>
    <n v="1"/>
    <m/>
    <m/>
    <x v="0"/>
    <s v="Taolagnaro"/>
    <s v="Androy"/>
    <x v="12"/>
    <m/>
    <s v="Tranovaho"/>
    <m/>
    <m/>
    <m/>
    <n v="758"/>
    <n v="758"/>
    <x v="1"/>
    <m/>
    <n v="90"/>
    <n v="0"/>
    <n v="0"/>
    <n v="0"/>
    <n v="0"/>
    <n v="0"/>
    <n v="0"/>
    <n v="0"/>
    <n v="0"/>
    <n v="0"/>
    <n v="0"/>
    <n v="3.411"/>
    <n v="0"/>
    <n v="3.41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x v="3"/>
    <m/>
    <s v="Tsikolaky"/>
    <m/>
    <m/>
    <m/>
    <n v="345"/>
    <n v="345"/>
    <x v="1"/>
    <m/>
    <n v="90"/>
    <n v="0"/>
    <n v="0"/>
    <n v="0"/>
    <n v="0"/>
    <n v="0"/>
    <n v="0"/>
    <n v="0"/>
    <n v="0"/>
    <n v="0"/>
    <n v="0"/>
    <n v="1.5525"/>
    <n v="0"/>
    <n v="1.5525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Salobe"/>
    <m/>
    <m/>
    <m/>
    <n v="267"/>
    <n v="267"/>
    <x v="1"/>
    <m/>
    <n v="90"/>
    <n v="0"/>
    <n v="0"/>
    <n v="0"/>
    <n v="0"/>
    <n v="0"/>
    <n v="0"/>
    <n v="0"/>
    <n v="0"/>
    <n v="0"/>
    <n v="0"/>
    <n v="1.2015"/>
    <n v="0"/>
    <n v="1.2015"/>
    <m/>
    <m/>
  </r>
  <r>
    <x v="0"/>
    <n v="2024"/>
    <x v="2"/>
    <s v="Nutrition"/>
    <x v="4"/>
    <s v="URT_PREV:Prevention of acute malnutrition"/>
    <n v="2"/>
    <m/>
    <m/>
    <x v="3"/>
    <s v="Tuléar"/>
    <s v="Atsimo Andrefana"/>
    <x v="7"/>
    <m/>
    <s v="Tanambao Haut"/>
    <m/>
    <m/>
    <m/>
    <n v="346"/>
    <n v="346"/>
    <x v="1"/>
    <m/>
    <n v="90"/>
    <n v="0"/>
    <n v="0"/>
    <n v="0"/>
    <n v="0"/>
    <n v="0"/>
    <n v="0"/>
    <n v="0"/>
    <n v="0"/>
    <n v="0"/>
    <n v="0"/>
    <n v="1.5569999999999999"/>
    <n v="0"/>
    <n v="1.55699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Ambahita"/>
    <m/>
    <m/>
    <m/>
    <n v="835"/>
    <n v="835"/>
    <x v="1"/>
    <m/>
    <n v="90"/>
    <m/>
    <n v="0"/>
    <n v="0"/>
    <n v="0"/>
    <n v="0"/>
    <n v="1.5029999999999999"/>
    <m/>
    <n v="0"/>
    <n v="15.03"/>
    <n v="0"/>
    <m/>
    <n v="0"/>
    <n v="16.532999999999998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Amborompotsy"/>
    <m/>
    <m/>
    <m/>
    <n v="882"/>
    <n v="882"/>
    <x v="1"/>
    <m/>
    <n v="90"/>
    <m/>
    <n v="0"/>
    <n v="0"/>
    <n v="0"/>
    <n v="0"/>
    <n v="1.5875999999999999"/>
    <m/>
    <n v="0"/>
    <n v="15.875999999999999"/>
    <n v="0"/>
    <m/>
    <n v="0"/>
    <n v="17.4636"/>
    <m/>
    <m/>
  </r>
  <r>
    <x v="0"/>
    <n v="2024"/>
    <x v="2"/>
    <s v="Nutrition"/>
    <x v="5"/>
    <s v="URT_PREV:Prevention of acute malnutrition"/>
    <n v="1"/>
    <m/>
    <m/>
    <x v="0"/>
    <s v="Taolagnaro"/>
    <s v="Androy"/>
    <x v="1"/>
    <m/>
    <s v="Andalatanosy"/>
    <m/>
    <m/>
    <m/>
    <n v="1691"/>
    <n v="1691"/>
    <x v="1"/>
    <m/>
    <n v="90"/>
    <m/>
    <n v="0"/>
    <n v="0"/>
    <n v="0"/>
    <n v="0"/>
    <n v="3.0438000000000001"/>
    <m/>
    <n v="0"/>
    <n v="30.437999999999999"/>
    <n v="0"/>
    <m/>
    <n v="0"/>
    <n v="33.4818"/>
    <m/>
    <m/>
  </r>
  <r>
    <x v="0"/>
    <n v="2024"/>
    <x v="2"/>
    <s v="Nutrition"/>
    <x v="5"/>
    <s v="URT_PREV:Prevention of acute malnutrition"/>
    <n v="2"/>
    <m/>
    <m/>
    <x v="0"/>
    <s v="Taolagnaro"/>
    <s v="Anosy"/>
    <x v="5"/>
    <m/>
    <s v="Andranobory"/>
    <m/>
    <m/>
    <m/>
    <n v="364"/>
    <n v="364"/>
    <x v="1"/>
    <m/>
    <n v="90"/>
    <m/>
    <n v="0"/>
    <n v="0"/>
    <n v="0"/>
    <n v="0"/>
    <n v="0.6552"/>
    <m/>
    <n v="0"/>
    <n v="6.5519999999999996"/>
    <n v="0"/>
    <m/>
    <n v="0"/>
    <n v="7.2071999999999994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Androipano"/>
    <m/>
    <m/>
    <m/>
    <m/>
    <n v="0"/>
    <x v="2"/>
    <m/>
    <m/>
    <m/>
    <n v="0"/>
    <n v="0"/>
    <n v="0"/>
    <n v="0"/>
    <n v="0"/>
    <m/>
    <n v="0"/>
    <n v="0"/>
    <n v="0"/>
    <m/>
    <n v="0"/>
    <n v="0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Androka"/>
    <m/>
    <m/>
    <m/>
    <n v="1750"/>
    <n v="1750"/>
    <x v="1"/>
    <m/>
    <n v="90"/>
    <m/>
    <n v="0"/>
    <n v="0"/>
    <n v="0"/>
    <n v="0"/>
    <n v="3.15"/>
    <m/>
    <n v="0"/>
    <n v="31.5"/>
    <n v="0"/>
    <m/>
    <n v="0"/>
    <n v="34.65"/>
    <m/>
    <m/>
  </r>
  <r>
    <x v="0"/>
    <n v="2024"/>
    <x v="2"/>
    <s v="Nutrition"/>
    <x v="5"/>
    <s v="URT_PREV:Prevention of acute malnutrition"/>
    <n v="1"/>
    <m/>
    <m/>
    <x v="1"/>
    <m/>
    <s v="Vatovavy"/>
    <x v="6"/>
    <s v="YPA"/>
    <s v="Ambahy"/>
    <m/>
    <m/>
    <m/>
    <n v="187"/>
    <n v="187"/>
    <x v="1"/>
    <m/>
    <n v="90"/>
    <n v="0"/>
    <n v="0"/>
    <n v="0"/>
    <n v="0"/>
    <n v="0"/>
    <n v="0.33660000000000001"/>
    <m/>
    <n v="0"/>
    <n v="3.3660000000000001"/>
    <n v="0"/>
    <n v="0"/>
    <n v="0"/>
    <n v="3.7026000000000003"/>
    <m/>
    <m/>
  </r>
  <r>
    <x v="0"/>
    <n v="2024"/>
    <x v="2"/>
    <s v="Nutrition"/>
    <x v="5"/>
    <s v="URT_PREV:Prevention of acute malnutrition"/>
    <n v="1"/>
    <m/>
    <m/>
    <x v="1"/>
    <m/>
    <s v="Vatovavy"/>
    <x v="6"/>
    <s v="YPA"/>
    <s v="Ambodirian'I Sahafary"/>
    <m/>
    <m/>
    <m/>
    <n v="911"/>
    <n v="911"/>
    <x v="1"/>
    <m/>
    <n v="90"/>
    <n v="0"/>
    <n v="0"/>
    <n v="0"/>
    <n v="0"/>
    <n v="0"/>
    <n v="1.6397999999999999"/>
    <m/>
    <n v="0"/>
    <n v="16.398"/>
    <n v="0"/>
    <n v="0"/>
    <n v="0"/>
    <n v="18.037800000000001"/>
    <m/>
    <m/>
  </r>
  <r>
    <x v="0"/>
    <n v="2024"/>
    <x v="2"/>
    <s v="Nutrition"/>
    <x v="5"/>
    <s v="URT_PREV:Prevention of acute malnutrition"/>
    <n v="2"/>
    <m/>
    <m/>
    <x v="1"/>
    <m/>
    <s v="Atsimo Antsinana"/>
    <x v="8"/>
    <s v="WHH"/>
    <s v="Anandravy"/>
    <m/>
    <m/>
    <m/>
    <n v="240"/>
    <n v="240"/>
    <x v="1"/>
    <m/>
    <n v="90"/>
    <m/>
    <n v="0"/>
    <n v="0"/>
    <n v="0"/>
    <n v="0"/>
    <n v="0.432"/>
    <m/>
    <n v="0"/>
    <n v="4.32"/>
    <n v="0"/>
    <m/>
    <n v="0"/>
    <n v="4.7520000000000007"/>
    <m/>
    <m/>
  </r>
  <r>
    <x v="0"/>
    <n v="2024"/>
    <x v="2"/>
    <s v="Nutrition"/>
    <x v="5"/>
    <s v="URT_PREV:Prevention of acute malnutrition"/>
    <n v="2"/>
    <m/>
    <m/>
    <x v="1"/>
    <m/>
    <s v="Atsimo Antsinana"/>
    <x v="9"/>
    <s v="WHH"/>
    <s v="Andranolalina"/>
    <m/>
    <m/>
    <m/>
    <n v="367"/>
    <n v="367"/>
    <x v="1"/>
    <m/>
    <n v="90"/>
    <n v="0"/>
    <n v="0"/>
    <n v="0"/>
    <n v="0"/>
    <n v="0"/>
    <n v="0.66059999999999997"/>
    <m/>
    <n v="0"/>
    <n v="6.6059999999999999"/>
    <n v="0"/>
    <n v="0"/>
    <n v="0"/>
    <n v="7.2665999999999995"/>
    <m/>
    <m/>
  </r>
  <r>
    <x v="0"/>
    <n v="2024"/>
    <x v="2"/>
    <s v="Nutrition"/>
    <x v="5"/>
    <s v="URT_PREV:Prevention of acute malnutrition"/>
    <n v="2"/>
    <m/>
    <m/>
    <x v="1"/>
    <m/>
    <s v="Atsimo Antsinana"/>
    <x v="8"/>
    <s v="WHH"/>
    <s v="Mahatsinjo"/>
    <m/>
    <m/>
    <m/>
    <n v="384"/>
    <n v="384"/>
    <x v="1"/>
    <m/>
    <n v="90"/>
    <m/>
    <n v="0"/>
    <n v="0"/>
    <n v="0"/>
    <n v="0"/>
    <n v="0.69120000000000004"/>
    <m/>
    <n v="0"/>
    <n v="6.9119999999999999"/>
    <n v="0"/>
    <m/>
    <n v="0"/>
    <n v="7.6032000000000002"/>
    <m/>
    <m/>
  </r>
  <r>
    <x v="0"/>
    <n v="2024"/>
    <x v="2"/>
    <s v="Nutrition"/>
    <x v="5"/>
    <s v="URT_PREV:Prevention of acute malnutrition"/>
    <n v="1"/>
    <m/>
    <m/>
    <x v="1"/>
    <m/>
    <s v="Atsimo Antsinana"/>
    <x v="10"/>
    <s v="WHH"/>
    <s v="Matanga"/>
    <m/>
    <m/>
    <m/>
    <n v="687"/>
    <n v="687"/>
    <x v="1"/>
    <m/>
    <n v="90"/>
    <m/>
    <n v="0"/>
    <n v="0"/>
    <n v="0"/>
    <n v="0"/>
    <n v="1.2365999999999999"/>
    <m/>
    <n v="0"/>
    <n v="12.366"/>
    <n v="0"/>
    <m/>
    <n v="0"/>
    <n v="13.602599999999999"/>
    <m/>
    <m/>
  </r>
  <r>
    <x v="0"/>
    <n v="2024"/>
    <x v="2"/>
    <s v="Nutrition"/>
    <x v="5"/>
    <s v="URT_PREV:Prevention of acute malnutrition"/>
    <n v="2"/>
    <m/>
    <m/>
    <x v="1"/>
    <m/>
    <s v="Atsimo Antsinana"/>
    <x v="11"/>
    <s v="WHH"/>
    <s v="Antondabe"/>
    <m/>
    <m/>
    <m/>
    <n v="259"/>
    <n v="259"/>
    <x v="1"/>
    <m/>
    <n v="90"/>
    <m/>
    <n v="0"/>
    <n v="0"/>
    <n v="0"/>
    <n v="0"/>
    <n v="0.4662"/>
    <m/>
    <n v="0"/>
    <n v="4.6619999999999999"/>
    <n v="0"/>
    <m/>
    <n v="0"/>
    <n v="5.1281999999999996"/>
    <m/>
    <m/>
  </r>
  <r>
    <x v="0"/>
    <n v="2024"/>
    <x v="2"/>
    <s v="Nutrition"/>
    <x v="5"/>
    <s v="URT_PREV:Prevention of acute malnutrition"/>
    <n v="1"/>
    <m/>
    <m/>
    <x v="1"/>
    <m/>
    <s v="Atsimo Antsinana"/>
    <x v="11"/>
    <s v="WHH"/>
    <s v="Befotaka Sud"/>
    <m/>
    <m/>
    <m/>
    <n v="513"/>
    <n v="513"/>
    <x v="1"/>
    <m/>
    <n v="90"/>
    <n v="0"/>
    <n v="0"/>
    <n v="0"/>
    <n v="0"/>
    <n v="0"/>
    <n v="0.9234"/>
    <m/>
    <n v="0"/>
    <n v="9.234"/>
    <n v="0"/>
    <n v="0"/>
    <n v="0"/>
    <n v="10.157399999999999"/>
    <m/>
    <m/>
  </r>
  <r>
    <x v="0"/>
    <n v="2024"/>
    <x v="2"/>
    <s v="Nutrition"/>
    <x v="5"/>
    <s v="URT_PREV:Prevention of acute malnutrition"/>
    <n v="1"/>
    <m/>
    <m/>
    <x v="1"/>
    <m/>
    <s v="Vatovavy"/>
    <x v="6"/>
    <s v="YPA"/>
    <s v="Fanivelona"/>
    <m/>
    <m/>
    <m/>
    <n v="512"/>
    <n v="512"/>
    <x v="1"/>
    <m/>
    <n v="90"/>
    <n v="0"/>
    <n v="0"/>
    <n v="0"/>
    <n v="0"/>
    <n v="0"/>
    <n v="0.92159999999999997"/>
    <m/>
    <n v="0"/>
    <n v="9.2159999999999993"/>
    <n v="0"/>
    <n v="0"/>
    <n v="0"/>
    <n v="10.137599999999999"/>
    <m/>
    <m/>
  </r>
  <r>
    <x v="0"/>
    <n v="2024"/>
    <x v="2"/>
    <s v="Nutrition"/>
    <x v="5"/>
    <s v="URT_PREV:Prevention of acute malnutrition"/>
    <n v="1"/>
    <m/>
    <m/>
    <x v="1"/>
    <m/>
    <s v="Vatovavy"/>
    <x v="6"/>
    <s v="YPA"/>
    <s v="Fiadanana"/>
    <m/>
    <m/>
    <m/>
    <n v="640"/>
    <n v="640"/>
    <x v="1"/>
    <m/>
    <n v="90"/>
    <n v="0"/>
    <n v="0"/>
    <n v="0"/>
    <n v="0"/>
    <n v="0"/>
    <n v="1.1519999999999999"/>
    <m/>
    <n v="0"/>
    <n v="11.52"/>
    <n v="0"/>
    <n v="0"/>
    <n v="0"/>
    <n v="12.671999999999999"/>
    <m/>
    <m/>
  </r>
  <r>
    <x v="0"/>
    <n v="2024"/>
    <x v="2"/>
    <s v="Nutrition"/>
    <x v="5"/>
    <s v="URT_PREV:Prevention of acute malnutrition"/>
    <n v="2"/>
    <m/>
    <m/>
    <x v="1"/>
    <m/>
    <s v="Atsimo Antsinana"/>
    <x v="9"/>
    <s v="WHH"/>
    <s v="Ivondro"/>
    <m/>
    <m/>
    <m/>
    <n v="374"/>
    <n v="374"/>
    <x v="1"/>
    <m/>
    <n v="90"/>
    <n v="0"/>
    <n v="0"/>
    <n v="0"/>
    <n v="0"/>
    <n v="0"/>
    <n v="0.67320000000000002"/>
    <m/>
    <n v="0"/>
    <n v="6.7320000000000002"/>
    <n v="0"/>
    <n v="0"/>
    <n v="0"/>
    <n v="7.4052000000000007"/>
    <m/>
    <m/>
  </r>
  <r>
    <x v="0"/>
    <n v="2024"/>
    <x v="2"/>
    <s v="Nutrition"/>
    <x v="5"/>
    <s v="URT_PREV:Prevention of acute malnutrition"/>
    <n v="1"/>
    <m/>
    <m/>
    <x v="1"/>
    <m/>
    <s v="Atsimo Antsinana"/>
    <x v="10"/>
    <s v="WHH"/>
    <s v="Manambondro"/>
    <m/>
    <m/>
    <m/>
    <n v="243"/>
    <n v="243"/>
    <x v="1"/>
    <m/>
    <n v="90"/>
    <m/>
    <n v="0"/>
    <n v="0"/>
    <n v="0"/>
    <n v="0"/>
    <n v="0.43740000000000001"/>
    <m/>
    <n v="0"/>
    <n v="4.3739999999999997"/>
    <n v="0"/>
    <m/>
    <n v="0"/>
    <n v="4.8113999999999999"/>
    <m/>
    <m/>
  </r>
  <r>
    <x v="0"/>
    <n v="2024"/>
    <x v="2"/>
    <s v="Nutrition"/>
    <x v="5"/>
    <s v="URT_PREV:Prevention of acute malnutrition"/>
    <n v="1"/>
    <m/>
    <m/>
    <x v="1"/>
    <m/>
    <s v="Atsimo Antsinana"/>
    <x v="10"/>
    <s v="WHH"/>
    <s v="Marokibo"/>
    <m/>
    <m/>
    <m/>
    <n v="213"/>
    <n v="213"/>
    <x v="1"/>
    <m/>
    <n v="90"/>
    <m/>
    <n v="0"/>
    <n v="0"/>
    <n v="0"/>
    <n v="0"/>
    <n v="0.38340000000000002"/>
    <m/>
    <n v="0"/>
    <n v="3.8340000000000001"/>
    <n v="0"/>
    <m/>
    <n v="0"/>
    <n v="4.2174000000000005"/>
    <m/>
    <m/>
  </r>
  <r>
    <x v="0"/>
    <n v="2024"/>
    <x v="2"/>
    <s v="Nutrition"/>
    <x v="5"/>
    <s v="URT_PREV:Prevention of acute malnutrition"/>
    <n v="1"/>
    <m/>
    <m/>
    <x v="1"/>
    <m/>
    <s v="Atsimo Antsinana"/>
    <x v="10"/>
    <s v="WHH"/>
    <s v="Masianaka"/>
    <m/>
    <m/>
    <m/>
    <n v="991"/>
    <n v="991"/>
    <x v="1"/>
    <m/>
    <n v="90"/>
    <m/>
    <n v="0"/>
    <n v="0"/>
    <n v="0"/>
    <n v="0"/>
    <n v="1.7838000000000001"/>
    <m/>
    <n v="0"/>
    <n v="17.838000000000001"/>
    <n v="0"/>
    <m/>
    <n v="0"/>
    <n v="19.6218"/>
    <m/>
    <m/>
  </r>
  <r>
    <x v="0"/>
    <n v="2024"/>
    <x v="2"/>
    <s v="Nutrition"/>
    <x v="5"/>
    <s v="URT_PREV:Prevention of acute malnutrition"/>
    <n v="1"/>
    <m/>
    <m/>
    <x v="1"/>
    <m/>
    <s v="Atsimo Antsinana"/>
    <x v="10"/>
    <s v="WHH"/>
    <s v="Ranomena"/>
    <m/>
    <m/>
    <m/>
    <n v="876"/>
    <n v="876"/>
    <x v="1"/>
    <m/>
    <n v="90"/>
    <m/>
    <n v="0"/>
    <n v="0"/>
    <n v="0"/>
    <n v="0"/>
    <n v="1.5768"/>
    <m/>
    <n v="0"/>
    <n v="15.768000000000001"/>
    <n v="0"/>
    <m/>
    <n v="0"/>
    <n v="17.3447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Anivorano Mitsinjo"/>
    <m/>
    <m/>
    <m/>
    <n v="340"/>
    <n v="340"/>
    <x v="1"/>
    <m/>
    <n v="90"/>
    <m/>
    <n v="0"/>
    <n v="0"/>
    <n v="0"/>
    <n v="0"/>
    <n v="0.61199999999999999"/>
    <m/>
    <n v="0"/>
    <n v="6.12"/>
    <n v="0"/>
    <m/>
    <n v="0"/>
    <n v="6.7320000000000002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Anja Nord"/>
    <m/>
    <m/>
    <m/>
    <n v="189"/>
    <n v="189"/>
    <x v="1"/>
    <m/>
    <n v="90"/>
    <m/>
    <n v="0"/>
    <n v="0"/>
    <n v="0"/>
    <n v="0"/>
    <n v="0.3402"/>
    <m/>
    <n v="0"/>
    <n v="3.4020000000000001"/>
    <n v="0"/>
    <m/>
    <n v="0"/>
    <n v="3.7422"/>
    <m/>
    <m/>
  </r>
  <r>
    <x v="0"/>
    <n v="2024"/>
    <x v="2"/>
    <s v="Nutrition"/>
    <x v="5"/>
    <s v="URT_PREV:Prevention of acute malnutrition"/>
    <n v="1"/>
    <m/>
    <m/>
    <x v="0"/>
    <s v="Taolagnaro"/>
    <s v="Androy"/>
    <x v="1"/>
    <m/>
    <s v="Ampamata"/>
    <m/>
    <m/>
    <m/>
    <n v="508"/>
    <n v="508"/>
    <x v="1"/>
    <m/>
    <n v="90"/>
    <m/>
    <n v="0"/>
    <n v="0"/>
    <n v="0"/>
    <n v="0"/>
    <n v="0.91439999999999999"/>
    <m/>
    <n v="0"/>
    <n v="9.1440000000000001"/>
    <n v="0"/>
    <m/>
    <n v="0"/>
    <n v="10.058400000000001"/>
    <m/>
    <m/>
  </r>
  <r>
    <x v="0"/>
    <n v="2024"/>
    <x v="2"/>
    <s v="Nutrition"/>
    <x v="5"/>
    <s v="URT_PREV:Prevention of acute malnutrition"/>
    <n v="1"/>
    <m/>
    <m/>
    <x v="0"/>
    <s v="Taolagnaro"/>
    <s v="Androy"/>
    <x v="1"/>
    <m/>
    <s v="Anjeky Ankilikira"/>
    <m/>
    <m/>
    <m/>
    <n v="944"/>
    <n v="944"/>
    <x v="1"/>
    <m/>
    <n v="90"/>
    <m/>
    <n v="0"/>
    <n v="0"/>
    <n v="0"/>
    <n v="0"/>
    <n v="1.6992"/>
    <m/>
    <n v="0"/>
    <n v="16.992000000000001"/>
    <n v="0"/>
    <m/>
    <n v="0"/>
    <n v="18.691200000000002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Ankazombalala"/>
    <m/>
    <m/>
    <m/>
    <n v="600"/>
    <n v="600"/>
    <x v="1"/>
    <m/>
    <n v="90"/>
    <m/>
    <n v="0"/>
    <n v="0"/>
    <n v="0"/>
    <n v="0"/>
    <n v="1.08"/>
    <m/>
    <n v="0"/>
    <n v="10.8"/>
    <n v="0"/>
    <m/>
    <n v="0"/>
    <n v="11.88"/>
    <m/>
    <m/>
  </r>
  <r>
    <x v="0"/>
    <n v="2024"/>
    <x v="2"/>
    <s v="Nutrition"/>
    <x v="5"/>
    <s v="URT_PREV:Prevention of acute malnutrition"/>
    <n v="2"/>
    <m/>
    <m/>
    <x v="2"/>
    <s v="Tuléar"/>
    <s v="Atsimo Andrefana"/>
    <x v="4"/>
    <m/>
    <s v="Ankiliabo"/>
    <m/>
    <m/>
    <m/>
    <n v="905"/>
    <n v="905"/>
    <x v="1"/>
    <m/>
    <n v="90"/>
    <m/>
    <n v="0"/>
    <n v="0"/>
    <n v="0"/>
    <n v="0"/>
    <n v="1.629"/>
    <m/>
    <n v="0"/>
    <n v="16.29"/>
    <n v="0"/>
    <m/>
    <n v="0"/>
    <n v="17.919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Antsakoamaro"/>
    <m/>
    <m/>
    <m/>
    <n v="310"/>
    <n v="310"/>
    <x v="1"/>
    <m/>
    <n v="90"/>
    <m/>
    <n v="0"/>
    <n v="0"/>
    <n v="0"/>
    <n v="0"/>
    <n v="0.55800000000000005"/>
    <m/>
    <n v="0"/>
    <n v="5.58"/>
    <n v="0"/>
    <m/>
    <n v="0"/>
    <n v="6.1379999999999999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Belafike haut"/>
    <m/>
    <m/>
    <m/>
    <n v="510"/>
    <n v="510"/>
    <x v="1"/>
    <m/>
    <n v="90"/>
    <m/>
    <n v="0"/>
    <n v="0"/>
    <n v="0"/>
    <n v="0"/>
    <n v="0.91800000000000004"/>
    <m/>
    <n v="0"/>
    <n v="9.18"/>
    <n v="0"/>
    <m/>
    <n v="0"/>
    <n v="10.0979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Belindo Mahasoa"/>
    <m/>
    <m/>
    <m/>
    <n v="750"/>
    <n v="750"/>
    <x v="1"/>
    <m/>
    <n v="90"/>
    <m/>
    <n v="0"/>
    <n v="0"/>
    <n v="0"/>
    <n v="0"/>
    <n v="1.35"/>
    <m/>
    <n v="0"/>
    <n v="13.5"/>
    <n v="0"/>
    <m/>
    <n v="0"/>
    <n v="14.85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Ankazomanga Ouest"/>
    <m/>
    <m/>
    <m/>
    <n v="181"/>
    <n v="181"/>
    <x v="1"/>
    <m/>
    <n v="90"/>
    <n v="0"/>
    <n v="0"/>
    <n v="0"/>
    <n v="0"/>
    <n v="0"/>
    <n v="0.32579999999999998"/>
    <m/>
    <n v="0"/>
    <n v="3.258"/>
    <n v="0"/>
    <n v="0"/>
    <n v="0"/>
    <n v="3.5838000000000001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x v="7"/>
    <m/>
    <s v="Beora"/>
    <m/>
    <m/>
    <m/>
    <n v="50"/>
    <n v="50"/>
    <x v="1"/>
    <m/>
    <n v="90"/>
    <m/>
    <n v="0"/>
    <n v="0"/>
    <n v="0"/>
    <n v="0"/>
    <n v="0.09"/>
    <m/>
    <n v="0"/>
    <n v="0.9"/>
    <n v="0"/>
    <m/>
    <n v="0"/>
    <n v="0.99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Bevitiky"/>
    <m/>
    <m/>
    <m/>
    <n v="317"/>
    <n v="317"/>
    <x v="1"/>
    <m/>
    <n v="90"/>
    <m/>
    <n v="0"/>
    <n v="0"/>
    <n v="0"/>
    <n v="0"/>
    <n v="0.5706"/>
    <m/>
    <n v="0"/>
    <n v="5.7060000000000004"/>
    <n v="0"/>
    <m/>
    <n v="0"/>
    <n v="6.2766000000000002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x v="0"/>
    <m/>
    <s v="Ebelo"/>
    <m/>
    <m/>
    <m/>
    <n v="677"/>
    <n v="677"/>
    <x v="1"/>
    <m/>
    <n v="90"/>
    <m/>
    <n v="0"/>
    <n v="0"/>
    <n v="0"/>
    <n v="0"/>
    <n v="1.2185999999999999"/>
    <m/>
    <n v="0"/>
    <n v="12.186"/>
    <n v="0"/>
    <m/>
    <n v="0"/>
    <n v="13.4046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Gogogogo"/>
    <m/>
    <m/>
    <m/>
    <n v="948"/>
    <n v="948"/>
    <x v="1"/>
    <m/>
    <n v="90"/>
    <m/>
    <n v="0"/>
    <n v="0"/>
    <n v="0"/>
    <n v="0"/>
    <n v="1.7063999999999999"/>
    <m/>
    <n v="0"/>
    <n v="17.064"/>
    <n v="0"/>
    <m/>
    <n v="0"/>
    <n v="18.770399999999999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Lazarivo"/>
    <m/>
    <m/>
    <m/>
    <n v="545"/>
    <n v="545"/>
    <x v="1"/>
    <m/>
    <n v="90"/>
    <m/>
    <n v="0"/>
    <n v="0"/>
    <n v="0"/>
    <n v="0"/>
    <n v="0.98099999999999998"/>
    <m/>
    <n v="0"/>
    <n v="9.81"/>
    <n v="0"/>
    <m/>
    <n v="0"/>
    <n v="10.791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x v="0"/>
    <m/>
    <s v="Mahabo"/>
    <m/>
    <m/>
    <m/>
    <n v="288"/>
    <n v="288"/>
    <x v="1"/>
    <m/>
    <n v="90"/>
    <m/>
    <n v="0"/>
    <n v="0"/>
    <n v="0"/>
    <n v="0"/>
    <n v="0.51839999999999997"/>
    <m/>
    <n v="0"/>
    <n v="5.1840000000000002"/>
    <n v="0"/>
    <m/>
    <n v="0"/>
    <n v="5.7023999999999999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x v="0"/>
    <m/>
    <s v="Mahaly"/>
    <m/>
    <m/>
    <m/>
    <n v="1037"/>
    <n v="1037"/>
    <x v="1"/>
    <m/>
    <n v="90"/>
    <m/>
    <n v="0"/>
    <n v="0"/>
    <n v="0"/>
    <n v="0"/>
    <n v="1.8666"/>
    <m/>
    <n v="0"/>
    <n v="18.666"/>
    <n v="0"/>
    <m/>
    <n v="0"/>
    <n v="20.532600000000002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Manakompy"/>
    <m/>
    <m/>
    <m/>
    <n v="338"/>
    <n v="338"/>
    <x v="1"/>
    <m/>
    <n v="90"/>
    <m/>
    <n v="0"/>
    <n v="0"/>
    <n v="0"/>
    <n v="0"/>
    <n v="0.60840000000000005"/>
    <m/>
    <n v="0"/>
    <n v="6.0839999999999996"/>
    <n v="0"/>
    <m/>
    <n v="0"/>
    <n v="6.6923999999999992"/>
    <m/>
    <m/>
  </r>
  <r>
    <x v="0"/>
    <n v="2024"/>
    <x v="2"/>
    <s v="Nutrition"/>
    <x v="5"/>
    <s v="URT_PREV:Prevention of acute malnutrition"/>
    <n v="2"/>
    <m/>
    <s v="Amboasary"/>
    <x v="0"/>
    <s v="Taolagnaro"/>
    <s v="Anosy"/>
    <x v="0"/>
    <m/>
    <s v="Maromby"/>
    <m/>
    <m/>
    <m/>
    <n v="762"/>
    <n v="762"/>
    <x v="1"/>
    <m/>
    <n v="90"/>
    <m/>
    <n v="0"/>
    <n v="0"/>
    <n v="0"/>
    <n v="0"/>
    <n v="1.3715999999999999"/>
    <m/>
    <n v="0"/>
    <n v="13.715999999999999"/>
    <n v="0"/>
    <m/>
    <n v="0"/>
    <n v="15.087599999999998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x v="7"/>
    <m/>
    <s v="Marosavoa"/>
    <m/>
    <m/>
    <m/>
    <n v="188"/>
    <n v="188"/>
    <x v="1"/>
    <m/>
    <n v="90"/>
    <m/>
    <n v="0"/>
    <n v="0"/>
    <n v="0"/>
    <n v="0"/>
    <n v="0.33839999999999998"/>
    <m/>
    <n v="0"/>
    <n v="3.3839999999999999"/>
    <n v="0"/>
    <m/>
    <n v="0"/>
    <n v="3.7223999999999999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x v="4"/>
    <m/>
    <s v="Ankilizato"/>
    <m/>
    <m/>
    <m/>
    <n v="397"/>
    <n v="397"/>
    <x v="1"/>
    <m/>
    <n v="90"/>
    <m/>
    <n v="0"/>
    <n v="0"/>
    <n v="0"/>
    <n v="0"/>
    <n v="0.71460000000000001"/>
    <m/>
    <n v="0"/>
    <n v="7.1459999999999999"/>
    <n v="0"/>
    <m/>
    <n v="0"/>
    <n v="7.8605999999999998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Maroviro"/>
    <m/>
    <m/>
    <m/>
    <n v="621"/>
    <n v="621"/>
    <x v="1"/>
    <m/>
    <n v="90"/>
    <m/>
    <n v="0"/>
    <n v="0"/>
    <n v="0"/>
    <n v="0"/>
    <n v="1.1177999999999999"/>
    <m/>
    <n v="0"/>
    <n v="11.178000000000001"/>
    <n v="0"/>
    <m/>
    <n v="0"/>
    <n v="12.2958"/>
    <m/>
    <m/>
  </r>
  <r>
    <x v="0"/>
    <n v="2024"/>
    <x v="2"/>
    <s v="Nutrition"/>
    <x v="5"/>
    <s v="URT_PREV:Prevention of acute malnutrition"/>
    <n v="1"/>
    <m/>
    <m/>
    <x v="0"/>
    <s v="Taolagnaro"/>
    <s v="Androy"/>
    <x v="1"/>
    <m/>
    <s v="Antanimora Atsimo"/>
    <m/>
    <m/>
    <m/>
    <n v="1320"/>
    <n v="1320"/>
    <x v="1"/>
    <m/>
    <n v="90"/>
    <n v="0"/>
    <n v="0"/>
    <n v="0"/>
    <n v="0"/>
    <n v="0"/>
    <n v="2.3759999999999999"/>
    <m/>
    <n v="0"/>
    <n v="23.76"/>
    <n v="0"/>
    <n v="0"/>
    <n v="0"/>
    <n v="26.136000000000003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x v="0"/>
    <m/>
    <s v="Ranobe"/>
    <m/>
    <m/>
    <m/>
    <n v="423"/>
    <n v="423"/>
    <x v="1"/>
    <m/>
    <n v="90"/>
    <m/>
    <n v="0"/>
    <n v="0"/>
    <n v="0"/>
    <n v="0"/>
    <n v="0.76139999999999997"/>
    <m/>
    <n v="0"/>
    <n v="7.6139999999999999"/>
    <n v="0"/>
    <m/>
    <n v="0"/>
    <n v="8.3753999999999991"/>
    <m/>
    <m/>
  </r>
  <r>
    <x v="0"/>
    <n v="2024"/>
    <x v="2"/>
    <s v="Nutrition"/>
    <x v="5"/>
    <s v="URT_PREV:Prevention of acute malnutrition"/>
    <n v="2"/>
    <m/>
    <s v="Amboasary"/>
    <x v="0"/>
    <s v="Taolagnaro"/>
    <s v="Anosy"/>
    <x v="0"/>
    <m/>
    <s v="Tanandva Sud"/>
    <m/>
    <m/>
    <m/>
    <n v="552"/>
    <n v="552"/>
    <x v="1"/>
    <m/>
    <n v="90"/>
    <m/>
    <n v="0"/>
    <n v="0"/>
    <n v="0"/>
    <n v="0"/>
    <n v="0.99360000000000004"/>
    <m/>
    <n v="0"/>
    <n v="9.9359999999999999"/>
    <n v="0"/>
    <m/>
    <n v="0"/>
    <n v="10.929600000000001"/>
    <m/>
    <m/>
  </r>
  <r>
    <x v="0"/>
    <n v="2024"/>
    <x v="2"/>
    <s v="Nutrition"/>
    <x v="5"/>
    <s v="URT_PREV:Prevention of acute malnutrition"/>
    <n v="1"/>
    <m/>
    <m/>
    <x v="0"/>
    <s v="Taolagnaro"/>
    <s v="Androy"/>
    <x v="1"/>
    <m/>
    <s v="Jafaro"/>
    <m/>
    <m/>
    <m/>
    <n v="1334"/>
    <n v="1334"/>
    <x v="1"/>
    <m/>
    <n v="90"/>
    <m/>
    <n v="0"/>
    <n v="0"/>
    <n v="0"/>
    <n v="0"/>
    <n v="2.4011999999999998"/>
    <m/>
    <n v="0"/>
    <n v="24.012"/>
    <n v="0"/>
    <m/>
    <n v="0"/>
    <n v="26.4132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Tongobory"/>
    <m/>
    <m/>
    <m/>
    <n v="436"/>
    <n v="436"/>
    <x v="1"/>
    <m/>
    <n v="90"/>
    <m/>
    <n v="0"/>
    <n v="0"/>
    <n v="0"/>
    <n v="0"/>
    <n v="0.78480000000000005"/>
    <m/>
    <n v="0"/>
    <n v="7.8479999999999999"/>
    <n v="0"/>
    <m/>
    <n v="0"/>
    <n v="8.6327999999999996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x v="7"/>
    <m/>
    <s v="Maroarivo Ankazomanga"/>
    <m/>
    <m/>
    <m/>
    <n v="323"/>
    <n v="323"/>
    <x v="1"/>
    <m/>
    <n v="90"/>
    <n v="0"/>
    <n v="0"/>
    <n v="0"/>
    <n v="0"/>
    <n v="0"/>
    <n v="0.58140000000000003"/>
    <m/>
    <n v="0"/>
    <n v="5.8140000000000001"/>
    <n v="0"/>
    <n v="0"/>
    <n v="0"/>
    <n v="6.3954000000000004"/>
    <m/>
    <m/>
  </r>
  <r>
    <x v="0"/>
    <n v="2024"/>
    <x v="2"/>
    <s v="Nutrition"/>
    <x v="5"/>
    <s v="URT_PREV:Prevention of acute malnutrition"/>
    <n v="1"/>
    <m/>
    <m/>
    <x v="0"/>
    <s v="Taolagnaro"/>
    <s v="Androy"/>
    <x v="12"/>
    <m/>
    <s v="Tranovaho"/>
    <m/>
    <m/>
    <m/>
    <n v="631"/>
    <n v="631"/>
    <x v="1"/>
    <m/>
    <n v="90"/>
    <m/>
    <n v="0"/>
    <n v="0"/>
    <n v="0"/>
    <n v="0"/>
    <n v="1.1357999999999999"/>
    <m/>
    <n v="0"/>
    <n v="11.358000000000001"/>
    <n v="0"/>
    <m/>
    <n v="0"/>
    <n v="12.4938"/>
    <m/>
    <m/>
  </r>
  <r>
    <x v="0"/>
    <n v="2024"/>
    <x v="2"/>
    <s v="Nutrition"/>
    <x v="5"/>
    <s v="URT_PREV:Prevention of acute malnutrition"/>
    <n v="1"/>
    <m/>
    <m/>
    <x v="0"/>
    <s v="Taolagnaro"/>
    <s v="Androy"/>
    <x v="3"/>
    <m/>
    <s v="Tsikolaky"/>
    <m/>
    <m/>
    <m/>
    <n v="287"/>
    <n v="287"/>
    <x v="1"/>
    <m/>
    <n v="90"/>
    <m/>
    <n v="0"/>
    <n v="0"/>
    <n v="0"/>
    <n v="0"/>
    <n v="0.51659999999999995"/>
    <m/>
    <n v="0"/>
    <n v="5.1660000000000004"/>
    <n v="0"/>
    <m/>
    <n v="0"/>
    <n v="5.6826000000000008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Salobe"/>
    <m/>
    <m/>
    <m/>
    <n v="222"/>
    <n v="222"/>
    <x v="1"/>
    <m/>
    <n v="90"/>
    <n v="0"/>
    <n v="0"/>
    <n v="0"/>
    <n v="0"/>
    <n v="0"/>
    <n v="0.39960000000000001"/>
    <m/>
    <n v="0"/>
    <n v="3.996"/>
    <n v="0"/>
    <n v="0"/>
    <n v="0"/>
    <n v="4.3956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x v="7"/>
    <m/>
    <s v="Tanambao Haut"/>
    <m/>
    <m/>
    <m/>
    <n v="288"/>
    <n v="288"/>
    <x v="1"/>
    <m/>
    <n v="90"/>
    <n v="0"/>
    <n v="0"/>
    <n v="0"/>
    <n v="0"/>
    <n v="0"/>
    <n v="0.51839999999999997"/>
    <m/>
    <n v="0"/>
    <n v="5.1840000000000002"/>
    <n v="0"/>
    <n v="0"/>
    <n v="0"/>
    <n v="5.7023999999999999"/>
    <m/>
    <m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Ambahita"/>
    <m/>
    <m/>
    <m/>
    <n v="1002"/>
    <n v="1002"/>
    <x v="1"/>
    <m/>
    <n v="30"/>
    <n v="0"/>
    <n v="0"/>
    <n v="0"/>
    <n v="0"/>
    <n v="0"/>
    <n v="0"/>
    <n v="0"/>
    <n v="0"/>
    <n v="0"/>
    <n v="0"/>
    <n v="1.5029999999999999"/>
    <n v="0"/>
    <n v="1.5029999999999999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Amborompotsy"/>
    <m/>
    <m/>
    <m/>
    <n v="1058"/>
    <n v="1058"/>
    <x v="1"/>
    <m/>
    <n v="30"/>
    <n v="0"/>
    <n v="0"/>
    <n v="0"/>
    <n v="0"/>
    <n v="0"/>
    <n v="0"/>
    <n v="0"/>
    <n v="0"/>
    <n v="0"/>
    <n v="0"/>
    <n v="1.587"/>
    <n v="0"/>
    <n v="1.58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1"/>
    <m/>
    <s v="Andalatanosy"/>
    <m/>
    <m/>
    <m/>
    <n v="2030"/>
    <n v="2030"/>
    <x v="1"/>
    <m/>
    <n v="30"/>
    <n v="0"/>
    <n v="0"/>
    <n v="0"/>
    <n v="0"/>
    <n v="0"/>
    <n v="0"/>
    <n v="0"/>
    <n v="0"/>
    <n v="0"/>
    <n v="0"/>
    <n v="3.0449999999999999"/>
    <n v="0"/>
    <n v="3.0449999999999999"/>
    <m/>
    <n v="0"/>
  </r>
  <r>
    <x v="1"/>
    <n v="2024"/>
    <x v="2"/>
    <s v="Nutrition"/>
    <x v="4"/>
    <s v="URT_PREV:Prevention of acute malnutrition"/>
    <n v="2"/>
    <m/>
    <m/>
    <x v="0"/>
    <s v="Taolagnaro"/>
    <s v="Anosy"/>
    <x v="5"/>
    <m/>
    <s v="Andranobory"/>
    <m/>
    <m/>
    <m/>
    <n v="437"/>
    <n v="437"/>
    <x v="1"/>
    <m/>
    <n v="30"/>
    <n v="0"/>
    <n v="0"/>
    <n v="0"/>
    <n v="0"/>
    <n v="0"/>
    <n v="0"/>
    <n v="0"/>
    <n v="0"/>
    <n v="0"/>
    <n v="0"/>
    <n v="0.65549999999999997"/>
    <n v="0"/>
    <n v="0.65549999999999997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Androipano"/>
    <m/>
    <m/>
    <m/>
    <m/>
    <n v="0"/>
    <x v="1"/>
    <m/>
    <n v="30"/>
    <n v="0"/>
    <n v="0"/>
    <n v="0"/>
    <n v="0"/>
    <n v="0"/>
    <n v="0"/>
    <n v="0"/>
    <n v="0"/>
    <n v="0"/>
    <n v="0"/>
    <n v="0"/>
    <n v="0"/>
    <n v="0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Androka"/>
    <m/>
    <m/>
    <m/>
    <n v="2100"/>
    <n v="2100"/>
    <x v="1"/>
    <m/>
    <n v="30"/>
    <n v="0"/>
    <n v="0"/>
    <n v="0"/>
    <n v="0"/>
    <n v="0"/>
    <n v="0"/>
    <n v="0"/>
    <n v="0"/>
    <n v="0"/>
    <n v="0"/>
    <n v="3.15"/>
    <n v="0"/>
    <n v="3.15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Anivorano Mitsinjo"/>
    <m/>
    <m/>
    <m/>
    <n v="408"/>
    <n v="408"/>
    <x v="1"/>
    <m/>
    <n v="30"/>
    <n v="0"/>
    <n v="0"/>
    <n v="0"/>
    <n v="0"/>
    <n v="0"/>
    <n v="0"/>
    <n v="0"/>
    <n v="0"/>
    <n v="0"/>
    <n v="0"/>
    <n v="0.61199999999999999"/>
    <n v="0"/>
    <n v="0.61199999999999999"/>
    <m/>
    <n v="0"/>
  </r>
  <r>
    <x v="1"/>
    <n v="2024"/>
    <x v="2"/>
    <s v="Nutrition"/>
    <x v="4"/>
    <s v="URT_PREV:Prevention of acute malnutrition"/>
    <n v="1"/>
    <m/>
    <m/>
    <x v="1"/>
    <m/>
    <s v="Vatovavy"/>
    <x v="6"/>
    <s v="YPA"/>
    <s v="Ambahy"/>
    <m/>
    <m/>
    <m/>
    <n v="225"/>
    <n v="225"/>
    <x v="1"/>
    <m/>
    <n v="30"/>
    <n v="0"/>
    <n v="0"/>
    <n v="0"/>
    <n v="0"/>
    <n v="0"/>
    <n v="0"/>
    <n v="0"/>
    <n v="0"/>
    <n v="0"/>
    <n v="0"/>
    <n v="0.33750000000000002"/>
    <n v="0"/>
    <n v="0.33750000000000002"/>
    <m/>
    <m/>
  </r>
  <r>
    <x v="1"/>
    <n v="2024"/>
    <x v="2"/>
    <s v="Nutrition"/>
    <x v="4"/>
    <s v="URT_PREV:Prevention of acute malnutrition"/>
    <m/>
    <m/>
    <m/>
    <x v="1"/>
    <m/>
    <s v="Vatovavy"/>
    <x v="6"/>
    <s v="YPA"/>
    <s v="Ambodirian'I Sahafary"/>
    <m/>
    <m/>
    <m/>
    <n v="1094"/>
    <n v="1094"/>
    <x v="1"/>
    <m/>
    <n v="30"/>
    <n v="0"/>
    <n v="0"/>
    <n v="0"/>
    <n v="0"/>
    <n v="0"/>
    <n v="0"/>
    <n v="0"/>
    <n v="0"/>
    <n v="0"/>
    <n v="0"/>
    <n v="1.641"/>
    <n v="0"/>
    <n v="1.641"/>
    <m/>
    <m/>
  </r>
  <r>
    <x v="1"/>
    <n v="2024"/>
    <x v="2"/>
    <s v="Nutrition"/>
    <x v="4"/>
    <s v="URT_PREV:Prevention of acute malnutrition"/>
    <m/>
    <m/>
    <m/>
    <x v="1"/>
    <m/>
    <s v="Atsimo Antsinana"/>
    <x v="8"/>
    <s v="WHH"/>
    <s v="Anandravy"/>
    <m/>
    <m/>
    <m/>
    <n v="288"/>
    <n v="288"/>
    <x v="1"/>
    <m/>
    <n v="30"/>
    <n v="0"/>
    <n v="0"/>
    <n v="0"/>
    <n v="0"/>
    <n v="0"/>
    <n v="0"/>
    <n v="0"/>
    <n v="0"/>
    <n v="0"/>
    <n v="0"/>
    <n v="0.432"/>
    <n v="0"/>
    <n v="0.432"/>
    <m/>
    <n v="0"/>
  </r>
  <r>
    <x v="1"/>
    <n v="2024"/>
    <x v="2"/>
    <s v="Nutrition"/>
    <x v="4"/>
    <s v="URT_PREV:Prevention of acute malnutrition"/>
    <m/>
    <m/>
    <m/>
    <x v="1"/>
    <m/>
    <s v="Atsimo Antsinana"/>
    <x v="9"/>
    <s v="WHH"/>
    <s v="Andranolalina"/>
    <m/>
    <m/>
    <m/>
    <n v="440"/>
    <n v="440"/>
    <x v="1"/>
    <m/>
    <n v="30"/>
    <n v="0"/>
    <n v="0"/>
    <n v="0"/>
    <n v="0"/>
    <n v="0"/>
    <n v="0"/>
    <n v="0"/>
    <n v="0"/>
    <n v="0"/>
    <n v="0"/>
    <n v="0.66"/>
    <n v="0"/>
    <n v="0.66"/>
    <m/>
    <m/>
  </r>
  <r>
    <x v="1"/>
    <n v="2024"/>
    <x v="2"/>
    <s v="Nutrition"/>
    <x v="4"/>
    <s v="URT_PREV:Prevention of acute malnutrition"/>
    <m/>
    <m/>
    <m/>
    <x v="1"/>
    <m/>
    <s v="Atsimo Antsinana"/>
    <x v="8"/>
    <s v="WHH"/>
    <s v="Mahatsinjo"/>
    <m/>
    <m/>
    <m/>
    <n v="461"/>
    <n v="461"/>
    <x v="1"/>
    <m/>
    <n v="30"/>
    <n v="0"/>
    <n v="0"/>
    <n v="0"/>
    <n v="0"/>
    <n v="0"/>
    <n v="0"/>
    <n v="0"/>
    <n v="0"/>
    <n v="0"/>
    <n v="0"/>
    <n v="0.6915"/>
    <n v="0"/>
    <n v="0.6915"/>
    <m/>
    <n v="0"/>
  </r>
  <r>
    <x v="1"/>
    <n v="2024"/>
    <x v="2"/>
    <s v="Nutrition"/>
    <x v="4"/>
    <s v="URT_PREV:Prevention of acute malnutrition"/>
    <m/>
    <m/>
    <m/>
    <x v="1"/>
    <m/>
    <s v="Atsimo Antsinana"/>
    <x v="10"/>
    <s v="WHH"/>
    <s v="Matanga"/>
    <m/>
    <m/>
    <m/>
    <n v="824"/>
    <n v="824"/>
    <x v="1"/>
    <m/>
    <n v="30"/>
    <m/>
    <m/>
    <m/>
    <m/>
    <m/>
    <m/>
    <m/>
    <m/>
    <m/>
    <m/>
    <n v="1.236"/>
    <n v="0"/>
    <n v="1.236"/>
    <m/>
    <m/>
  </r>
  <r>
    <x v="1"/>
    <n v="2024"/>
    <x v="2"/>
    <s v="Nutrition"/>
    <x v="4"/>
    <s v="URT_PREV:Prevention of acute malnutrition"/>
    <m/>
    <m/>
    <m/>
    <x v="1"/>
    <m/>
    <s v="Atsimo Antsinana"/>
    <x v="11"/>
    <s v="WHH"/>
    <s v="Antondabe"/>
    <s v="TBD"/>
    <m/>
    <m/>
    <n v="310"/>
    <n v="310"/>
    <x v="1"/>
    <m/>
    <n v="30"/>
    <n v="0"/>
    <n v="0"/>
    <n v="0"/>
    <n v="0"/>
    <n v="0"/>
    <n v="0"/>
    <n v="0"/>
    <n v="0"/>
    <n v="0"/>
    <n v="0"/>
    <n v="0.46500000000000002"/>
    <n v="0"/>
    <n v="0.46500000000000002"/>
    <m/>
    <n v="0"/>
  </r>
  <r>
    <x v="1"/>
    <n v="2024"/>
    <x v="2"/>
    <s v="Nutrition"/>
    <x v="4"/>
    <s v="URT_PREV:Prevention of acute malnutrition"/>
    <m/>
    <m/>
    <m/>
    <x v="1"/>
    <m/>
    <s v="Atsimo Antsinana"/>
    <x v="11"/>
    <s v="WHH"/>
    <s v="Befotaka Sud"/>
    <s v="TBD"/>
    <m/>
    <m/>
    <n v="615"/>
    <n v="615"/>
    <x v="1"/>
    <m/>
    <n v="30"/>
    <n v="0"/>
    <n v="0"/>
    <n v="0"/>
    <n v="0"/>
    <n v="0"/>
    <n v="0"/>
    <n v="0"/>
    <n v="0"/>
    <n v="0"/>
    <n v="0"/>
    <n v="0.92249999999999999"/>
    <n v="0"/>
    <n v="0.92249999999999999"/>
    <m/>
    <n v="0"/>
  </r>
  <r>
    <x v="1"/>
    <n v="2024"/>
    <x v="2"/>
    <s v="Nutrition"/>
    <x v="4"/>
    <s v="URT_PREV:Prevention of acute malnutrition"/>
    <m/>
    <m/>
    <m/>
    <x v="1"/>
    <m/>
    <s v="Vatovavy"/>
    <x v="6"/>
    <s v="YPA"/>
    <s v="Fanivelona"/>
    <m/>
    <m/>
    <m/>
    <n v="614"/>
    <n v="614"/>
    <x v="1"/>
    <m/>
    <n v="30"/>
    <n v="0"/>
    <n v="0"/>
    <n v="0"/>
    <n v="0"/>
    <n v="0"/>
    <n v="0"/>
    <n v="0"/>
    <n v="0"/>
    <n v="0"/>
    <n v="0"/>
    <n v="0.92100000000000004"/>
    <n v="0"/>
    <n v="0.92100000000000004"/>
    <m/>
    <m/>
  </r>
  <r>
    <x v="1"/>
    <n v="2024"/>
    <x v="2"/>
    <s v="Nutrition"/>
    <x v="4"/>
    <s v="URT_PREV:Prevention of acute malnutrition"/>
    <m/>
    <m/>
    <m/>
    <x v="1"/>
    <m/>
    <s v="Vatovavy"/>
    <x v="6"/>
    <s v="YPA"/>
    <s v="Fiadanana"/>
    <m/>
    <m/>
    <m/>
    <n v="768"/>
    <n v="768"/>
    <x v="1"/>
    <m/>
    <n v="30"/>
    <n v="0"/>
    <n v="0"/>
    <n v="0"/>
    <n v="0"/>
    <n v="0"/>
    <n v="0"/>
    <n v="0"/>
    <n v="0"/>
    <n v="0"/>
    <n v="0"/>
    <n v="1.1519999999999999"/>
    <n v="0"/>
    <n v="1.1519999999999999"/>
    <m/>
    <m/>
  </r>
  <r>
    <x v="1"/>
    <n v="2024"/>
    <x v="2"/>
    <s v="Nutrition"/>
    <x v="4"/>
    <s v="URT_PREV:Prevention of acute malnutrition"/>
    <m/>
    <m/>
    <m/>
    <x v="1"/>
    <m/>
    <s v="Atsimo Antsinana"/>
    <x v="9"/>
    <s v="WHH"/>
    <s v="Ivondro"/>
    <m/>
    <m/>
    <m/>
    <n v="449"/>
    <n v="449"/>
    <x v="1"/>
    <m/>
    <n v="30"/>
    <n v="0"/>
    <n v="0"/>
    <n v="0"/>
    <n v="0"/>
    <n v="0"/>
    <n v="0"/>
    <n v="0"/>
    <n v="0"/>
    <n v="0"/>
    <n v="0"/>
    <n v="0.67349999999999999"/>
    <n v="0"/>
    <n v="0.67349999999999999"/>
    <m/>
    <m/>
  </r>
  <r>
    <x v="1"/>
    <n v="2024"/>
    <x v="2"/>
    <s v="Nutrition"/>
    <x v="4"/>
    <s v="URT_PREV:Prevention of acute malnutrition"/>
    <m/>
    <m/>
    <m/>
    <x v="1"/>
    <m/>
    <s v="Atsimo Antsinana"/>
    <x v="10"/>
    <s v="WHH"/>
    <s v="Manambondro"/>
    <m/>
    <m/>
    <m/>
    <n v="292"/>
    <n v="292"/>
    <x v="1"/>
    <m/>
    <n v="30"/>
    <m/>
    <m/>
    <m/>
    <m/>
    <m/>
    <m/>
    <m/>
    <m/>
    <m/>
    <m/>
    <n v="0.438"/>
    <n v="0"/>
    <n v="0.438"/>
    <m/>
    <m/>
  </r>
  <r>
    <x v="1"/>
    <n v="2024"/>
    <x v="2"/>
    <s v="Nutrition"/>
    <x v="4"/>
    <s v="URT_PREV:Prevention of acute malnutrition"/>
    <m/>
    <m/>
    <m/>
    <x v="1"/>
    <m/>
    <s v="Atsimo Antsinana"/>
    <x v="10"/>
    <s v="WHH"/>
    <s v="Marokibo"/>
    <m/>
    <m/>
    <m/>
    <n v="256"/>
    <n v="256"/>
    <x v="1"/>
    <m/>
    <n v="30"/>
    <m/>
    <m/>
    <m/>
    <m/>
    <m/>
    <m/>
    <m/>
    <m/>
    <m/>
    <m/>
    <n v="0.38400000000000001"/>
    <n v="0"/>
    <n v="0.38400000000000001"/>
    <m/>
    <m/>
  </r>
  <r>
    <x v="1"/>
    <n v="2024"/>
    <x v="2"/>
    <s v="Nutrition"/>
    <x v="4"/>
    <s v="URT_PREV:Prevention of acute malnutrition"/>
    <m/>
    <m/>
    <m/>
    <x v="1"/>
    <m/>
    <s v="Atsimo Antsinana"/>
    <x v="10"/>
    <s v="WHH"/>
    <s v="Masianaka"/>
    <m/>
    <m/>
    <m/>
    <n v="1189"/>
    <n v="1189"/>
    <x v="1"/>
    <m/>
    <n v="30"/>
    <m/>
    <m/>
    <m/>
    <m/>
    <m/>
    <m/>
    <m/>
    <m/>
    <m/>
    <m/>
    <n v="1.7835000000000001"/>
    <n v="0"/>
    <n v="1.7835000000000001"/>
    <m/>
    <m/>
  </r>
  <r>
    <x v="1"/>
    <n v="2024"/>
    <x v="2"/>
    <s v="Nutrition"/>
    <x v="4"/>
    <s v="URT_PREV:Prevention of acute malnutrition"/>
    <m/>
    <m/>
    <m/>
    <x v="1"/>
    <m/>
    <s v="Atsimo Antsinana"/>
    <x v="10"/>
    <s v="WHH"/>
    <s v="Ranomena"/>
    <m/>
    <m/>
    <m/>
    <n v="1051"/>
    <n v="1051"/>
    <x v="1"/>
    <m/>
    <n v="30"/>
    <m/>
    <m/>
    <m/>
    <m/>
    <m/>
    <m/>
    <m/>
    <m/>
    <m/>
    <m/>
    <n v="1.5765"/>
    <n v="0"/>
    <n v="1.5765"/>
    <m/>
    <m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Anja Nord"/>
    <m/>
    <m/>
    <m/>
    <n v="226"/>
    <n v="226"/>
    <x v="1"/>
    <m/>
    <n v="30"/>
    <n v="0"/>
    <n v="0"/>
    <n v="0"/>
    <n v="0"/>
    <n v="0"/>
    <n v="0"/>
    <n v="0"/>
    <n v="0"/>
    <n v="0"/>
    <n v="0"/>
    <n v="0.33900000000000002"/>
    <n v="0"/>
    <n v="0.33900000000000002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1"/>
    <m/>
    <s v="Ampamata"/>
    <m/>
    <m/>
    <m/>
    <n v="609"/>
    <n v="609"/>
    <x v="1"/>
    <m/>
    <n v="30"/>
    <n v="0"/>
    <n v="0"/>
    <n v="0"/>
    <n v="0"/>
    <n v="0"/>
    <n v="0"/>
    <n v="0"/>
    <n v="0"/>
    <n v="0"/>
    <n v="0"/>
    <n v="0.91349999999999998"/>
    <n v="0"/>
    <n v="0.91349999999999998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1"/>
    <m/>
    <s v="Anjeky Ankilikira"/>
    <m/>
    <m/>
    <m/>
    <n v="1133"/>
    <n v="1133"/>
    <x v="1"/>
    <m/>
    <n v="30"/>
    <n v="0"/>
    <n v="0"/>
    <n v="0"/>
    <n v="0"/>
    <n v="0"/>
    <n v="0"/>
    <n v="0"/>
    <n v="0"/>
    <n v="0"/>
    <n v="0"/>
    <n v="1.6995"/>
    <n v="0"/>
    <n v="1.699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Ankazombalala"/>
    <m/>
    <m/>
    <m/>
    <n v="720"/>
    <n v="720"/>
    <x v="1"/>
    <m/>
    <n v="30"/>
    <n v="0"/>
    <n v="0"/>
    <n v="0"/>
    <n v="0"/>
    <n v="0"/>
    <n v="0"/>
    <n v="0"/>
    <n v="0"/>
    <n v="0"/>
    <n v="0"/>
    <n v="1.08"/>
    <n v="0"/>
    <n v="1.08"/>
    <m/>
    <n v="0"/>
  </r>
  <r>
    <x v="1"/>
    <n v="2024"/>
    <x v="2"/>
    <s v="Nutrition"/>
    <x v="4"/>
    <s v="URT_PREV:Prevention of acute malnutrition"/>
    <n v="2"/>
    <m/>
    <m/>
    <x v="2"/>
    <s v="Tuléar"/>
    <s v="Atsimo Andrefana"/>
    <x v="4"/>
    <m/>
    <s v="Ankiliabo"/>
    <m/>
    <m/>
    <m/>
    <n v="1086"/>
    <n v="1086"/>
    <x v="1"/>
    <m/>
    <n v="30"/>
    <n v="0"/>
    <n v="0"/>
    <n v="0"/>
    <n v="0"/>
    <n v="0"/>
    <n v="0"/>
    <n v="0"/>
    <n v="0"/>
    <n v="0"/>
    <n v="0"/>
    <n v="1.629"/>
    <n v="0"/>
    <n v="1.62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Antsakoamaro"/>
    <m/>
    <m/>
    <m/>
    <n v="372"/>
    <n v="372"/>
    <x v="1"/>
    <m/>
    <n v="30"/>
    <n v="0"/>
    <n v="0"/>
    <n v="0"/>
    <n v="0"/>
    <n v="0"/>
    <n v="0"/>
    <n v="0"/>
    <n v="0"/>
    <n v="0"/>
    <n v="0"/>
    <n v="0.55800000000000005"/>
    <n v="0"/>
    <n v="0.55800000000000005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Belafike haut"/>
    <m/>
    <m/>
    <m/>
    <n v="612"/>
    <n v="612"/>
    <x v="1"/>
    <m/>
    <n v="30"/>
    <n v="0"/>
    <n v="0"/>
    <n v="0"/>
    <n v="0"/>
    <n v="0"/>
    <n v="0"/>
    <n v="0"/>
    <n v="0"/>
    <n v="0"/>
    <n v="0"/>
    <n v="0.91800000000000004"/>
    <n v="0"/>
    <n v="0.91800000000000004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Belindo Mahasoa"/>
    <m/>
    <m/>
    <m/>
    <n v="900"/>
    <n v="900"/>
    <x v="1"/>
    <m/>
    <n v="30"/>
    <n v="0"/>
    <n v="0"/>
    <n v="0"/>
    <n v="0"/>
    <n v="0"/>
    <n v="0"/>
    <n v="0"/>
    <n v="0"/>
    <n v="0"/>
    <n v="0"/>
    <n v="1.35"/>
    <n v="0"/>
    <n v="1.3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Ankazomanga Ouest"/>
    <m/>
    <m/>
    <m/>
    <n v="218"/>
    <n v="218"/>
    <x v="1"/>
    <m/>
    <n v="30"/>
    <n v="0"/>
    <n v="0"/>
    <n v="0"/>
    <n v="0"/>
    <n v="0"/>
    <n v="0"/>
    <n v="0"/>
    <n v="0"/>
    <n v="0"/>
    <n v="0"/>
    <n v="0.32700000000000001"/>
    <n v="0"/>
    <n v="0.32700000000000001"/>
    <m/>
    <m/>
  </r>
  <r>
    <x v="1"/>
    <n v="2024"/>
    <x v="2"/>
    <s v="Nutrition"/>
    <x v="4"/>
    <s v="URT_PREV:Prevention of acute malnutrition"/>
    <n v="1"/>
    <m/>
    <m/>
    <x v="3"/>
    <s v="Tuléar"/>
    <s v="Atsimo Andrefana"/>
    <x v="7"/>
    <m/>
    <s v="Beora"/>
    <m/>
    <m/>
    <m/>
    <n v="60"/>
    <n v="60"/>
    <x v="1"/>
    <m/>
    <n v="30"/>
    <n v="0"/>
    <n v="0"/>
    <n v="0"/>
    <n v="0"/>
    <n v="0"/>
    <n v="0"/>
    <n v="0"/>
    <n v="0"/>
    <n v="0"/>
    <n v="0"/>
    <n v="0.09"/>
    <n v="0"/>
    <n v="0.0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Bevitiky"/>
    <m/>
    <m/>
    <m/>
    <n v="380"/>
    <n v="380"/>
    <x v="1"/>
    <m/>
    <n v="30"/>
    <n v="0"/>
    <n v="0"/>
    <n v="0"/>
    <n v="0"/>
    <n v="0"/>
    <n v="0"/>
    <n v="0"/>
    <n v="0"/>
    <n v="0"/>
    <n v="0"/>
    <n v="0.56999999999999995"/>
    <n v="0"/>
    <n v="0.56999999999999995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x v="0"/>
    <m/>
    <s v="Ebelo"/>
    <m/>
    <m/>
    <m/>
    <n v="813"/>
    <n v="813"/>
    <x v="1"/>
    <m/>
    <n v="30"/>
    <n v="0"/>
    <n v="0"/>
    <n v="0"/>
    <n v="0"/>
    <n v="0"/>
    <n v="0"/>
    <n v="0"/>
    <n v="0"/>
    <n v="0"/>
    <n v="0"/>
    <n v="1.2195"/>
    <n v="0"/>
    <n v="1.2195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Gogogogo"/>
    <m/>
    <m/>
    <m/>
    <n v="1137"/>
    <n v="1137"/>
    <x v="1"/>
    <m/>
    <n v="30"/>
    <n v="0"/>
    <n v="0"/>
    <n v="0"/>
    <n v="0"/>
    <n v="0"/>
    <n v="0"/>
    <n v="0"/>
    <n v="0"/>
    <n v="0"/>
    <n v="0"/>
    <n v="1.7055"/>
    <n v="0"/>
    <n v="1.705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Lazarivo"/>
    <m/>
    <m/>
    <m/>
    <n v="654"/>
    <n v="654"/>
    <x v="1"/>
    <m/>
    <n v="30"/>
    <n v="0"/>
    <n v="0"/>
    <n v="0"/>
    <n v="0"/>
    <n v="0"/>
    <n v="0"/>
    <n v="0"/>
    <n v="0"/>
    <n v="0"/>
    <n v="0"/>
    <n v="0.98099999999999998"/>
    <n v="0"/>
    <n v="0.98099999999999998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x v="0"/>
    <m/>
    <s v="Mahabo"/>
    <m/>
    <m/>
    <m/>
    <n v="346"/>
    <n v="346"/>
    <x v="1"/>
    <m/>
    <n v="30"/>
    <n v="0"/>
    <n v="0"/>
    <n v="0"/>
    <n v="0"/>
    <n v="0"/>
    <n v="0"/>
    <n v="0"/>
    <n v="0"/>
    <n v="0"/>
    <n v="0"/>
    <n v="0.51900000000000002"/>
    <n v="0"/>
    <n v="0.51900000000000002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x v="0"/>
    <m/>
    <s v="Mahaly"/>
    <m/>
    <m/>
    <m/>
    <n v="1245"/>
    <n v="1245"/>
    <x v="1"/>
    <m/>
    <n v="30"/>
    <n v="0"/>
    <n v="0"/>
    <n v="0"/>
    <n v="0"/>
    <n v="0"/>
    <n v="0"/>
    <n v="0"/>
    <n v="0"/>
    <n v="0"/>
    <n v="0"/>
    <n v="1.8674999999999999"/>
    <n v="0"/>
    <n v="1.8674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Manakompy"/>
    <m/>
    <m/>
    <m/>
    <n v="406"/>
    <n v="406"/>
    <x v="1"/>
    <m/>
    <n v="30"/>
    <n v="0"/>
    <n v="0"/>
    <n v="0"/>
    <n v="0"/>
    <n v="0"/>
    <n v="0"/>
    <n v="0"/>
    <n v="0"/>
    <n v="0"/>
    <n v="0"/>
    <n v="0.60899999999999999"/>
    <n v="0"/>
    <n v="0.60899999999999999"/>
    <m/>
    <n v="0"/>
  </r>
  <r>
    <x v="1"/>
    <n v="2024"/>
    <x v="2"/>
    <s v="Nutrition"/>
    <x v="4"/>
    <s v="URT_PREV:Prevention of acute malnutrition"/>
    <n v="2"/>
    <m/>
    <s v="Amboasary"/>
    <x v="0"/>
    <s v="Taolagnaro"/>
    <s v="Anosy"/>
    <x v="0"/>
    <m/>
    <s v="Maromby"/>
    <m/>
    <m/>
    <m/>
    <n v="915"/>
    <n v="915"/>
    <x v="1"/>
    <m/>
    <n v="30"/>
    <n v="0"/>
    <n v="0"/>
    <n v="0"/>
    <n v="0"/>
    <n v="0"/>
    <n v="0"/>
    <n v="0"/>
    <n v="0"/>
    <n v="0"/>
    <n v="0"/>
    <n v="1.3725000000000001"/>
    <n v="0"/>
    <n v="1.3725000000000001"/>
    <m/>
    <n v="0"/>
  </r>
  <r>
    <x v="1"/>
    <n v="2024"/>
    <x v="2"/>
    <s v="Nutrition"/>
    <x v="4"/>
    <s v="URT_PREV:Prevention of acute malnutrition"/>
    <n v="1"/>
    <m/>
    <m/>
    <x v="3"/>
    <s v="Tuléar"/>
    <s v="Atsimo Andrefana"/>
    <x v="7"/>
    <m/>
    <s v="Marosavoa"/>
    <m/>
    <m/>
    <m/>
    <n v="226"/>
    <n v="226"/>
    <x v="1"/>
    <m/>
    <n v="30"/>
    <n v="0"/>
    <n v="0"/>
    <n v="0"/>
    <n v="0"/>
    <n v="0"/>
    <n v="0"/>
    <n v="0"/>
    <n v="0"/>
    <n v="0"/>
    <n v="0"/>
    <n v="0.33900000000000002"/>
    <n v="0"/>
    <n v="0.33900000000000002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x v="4"/>
    <m/>
    <s v="Ankilizato"/>
    <m/>
    <m/>
    <m/>
    <n v="476"/>
    <n v="476"/>
    <x v="1"/>
    <m/>
    <n v="30"/>
    <n v="0"/>
    <n v="0"/>
    <n v="0"/>
    <n v="0"/>
    <n v="0"/>
    <n v="0"/>
    <n v="0"/>
    <n v="0"/>
    <n v="0"/>
    <n v="0"/>
    <n v="0.71399999999999997"/>
    <n v="0"/>
    <n v="0.7139999999999999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Maroviro"/>
    <m/>
    <m/>
    <m/>
    <n v="745"/>
    <n v="745"/>
    <x v="1"/>
    <m/>
    <n v="30"/>
    <n v="0"/>
    <n v="0"/>
    <n v="0"/>
    <n v="0"/>
    <n v="0"/>
    <n v="0"/>
    <n v="0"/>
    <n v="0"/>
    <n v="0"/>
    <n v="0"/>
    <n v="1.1174999999999999"/>
    <n v="0"/>
    <n v="1.1174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1"/>
    <m/>
    <s v="Antanimora Atsimo"/>
    <m/>
    <m/>
    <m/>
    <n v="1584"/>
    <n v="1584"/>
    <x v="1"/>
    <m/>
    <n v="30"/>
    <n v="0"/>
    <n v="0"/>
    <n v="0"/>
    <n v="0"/>
    <n v="0"/>
    <n v="0"/>
    <n v="0"/>
    <n v="0"/>
    <n v="0"/>
    <n v="0"/>
    <n v="2.3759999999999999"/>
    <n v="0"/>
    <n v="2.3759999999999999"/>
    <m/>
    <m/>
  </r>
  <r>
    <x v="1"/>
    <n v="2024"/>
    <x v="2"/>
    <s v="Nutrition"/>
    <x v="4"/>
    <s v="URT_PREV:Prevention of acute malnutrition"/>
    <n v="1"/>
    <m/>
    <s v="Amboasary"/>
    <x v="0"/>
    <s v="Taolagnaro"/>
    <s v="Anosy"/>
    <x v="0"/>
    <m/>
    <s v="Ranobe"/>
    <m/>
    <m/>
    <m/>
    <n v="508"/>
    <n v="508"/>
    <x v="1"/>
    <m/>
    <n v="30"/>
    <n v="0"/>
    <n v="0"/>
    <n v="0"/>
    <n v="0"/>
    <n v="0"/>
    <n v="0"/>
    <n v="0"/>
    <n v="0"/>
    <n v="0"/>
    <n v="0"/>
    <n v="0.76200000000000001"/>
    <n v="0"/>
    <n v="0.76200000000000001"/>
    <m/>
    <n v="0"/>
  </r>
  <r>
    <x v="1"/>
    <n v="2024"/>
    <x v="2"/>
    <s v="Nutrition"/>
    <x v="4"/>
    <s v="URT_PREV:Prevention of acute malnutrition"/>
    <n v="2"/>
    <m/>
    <s v="Amboasary"/>
    <x v="0"/>
    <s v="Taolagnaro"/>
    <s v="Anosy"/>
    <x v="0"/>
    <m/>
    <s v="Tanandva Sud"/>
    <m/>
    <m/>
    <m/>
    <n v="662"/>
    <n v="662"/>
    <x v="1"/>
    <m/>
    <n v="30"/>
    <n v="0"/>
    <n v="0"/>
    <n v="0"/>
    <n v="0"/>
    <n v="0"/>
    <n v="0"/>
    <n v="0"/>
    <n v="0"/>
    <n v="0"/>
    <n v="0"/>
    <n v="0.99299999999999999"/>
    <n v="0"/>
    <n v="0.99299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1"/>
    <m/>
    <s v="Jafaro"/>
    <m/>
    <m/>
    <m/>
    <n v="1601"/>
    <n v="1601"/>
    <x v="1"/>
    <m/>
    <n v="30"/>
    <n v="0"/>
    <n v="0"/>
    <n v="0"/>
    <n v="0"/>
    <n v="0"/>
    <n v="0"/>
    <n v="0"/>
    <n v="0"/>
    <n v="0"/>
    <n v="0"/>
    <n v="2.4015"/>
    <n v="0"/>
    <n v="2.401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Tongobory"/>
    <m/>
    <m/>
    <m/>
    <n v="523"/>
    <n v="523"/>
    <x v="1"/>
    <m/>
    <n v="30"/>
    <n v="0"/>
    <n v="0"/>
    <n v="0"/>
    <n v="0"/>
    <n v="0"/>
    <n v="0"/>
    <n v="0"/>
    <n v="0"/>
    <n v="0"/>
    <n v="0"/>
    <n v="0.78449999999999998"/>
    <n v="0"/>
    <n v="0.78449999999999998"/>
    <m/>
    <n v="0"/>
  </r>
  <r>
    <x v="1"/>
    <n v="2024"/>
    <x v="2"/>
    <s v="Nutrition"/>
    <x v="4"/>
    <s v="URT_PREV:Prevention of acute malnutrition"/>
    <n v="1"/>
    <m/>
    <m/>
    <x v="3"/>
    <s v="Tuléar"/>
    <s v="Atsimo Andrefana"/>
    <x v="7"/>
    <m/>
    <s v="Maroarivo Ankazomanga"/>
    <m/>
    <m/>
    <m/>
    <n v="387"/>
    <n v="387"/>
    <x v="1"/>
    <m/>
    <n v="30"/>
    <n v="0"/>
    <n v="0"/>
    <n v="0"/>
    <n v="0"/>
    <n v="0"/>
    <n v="0"/>
    <n v="0"/>
    <n v="0"/>
    <n v="0"/>
    <n v="0"/>
    <n v="0.58050000000000002"/>
    <n v="0"/>
    <n v="0.58050000000000002"/>
    <m/>
    <m/>
  </r>
  <r>
    <x v="1"/>
    <n v="2024"/>
    <x v="2"/>
    <s v="Nutrition"/>
    <x v="4"/>
    <s v="URT_PREV:Prevention of acute malnutrition"/>
    <n v="1"/>
    <m/>
    <m/>
    <x v="0"/>
    <s v="Taolagnaro"/>
    <s v="Androy"/>
    <x v="12"/>
    <m/>
    <s v="Tranovaho"/>
    <m/>
    <m/>
    <m/>
    <n v="758"/>
    <n v="758"/>
    <x v="1"/>
    <m/>
    <n v="30"/>
    <n v="0"/>
    <n v="0"/>
    <n v="0"/>
    <n v="0"/>
    <n v="0"/>
    <n v="0"/>
    <n v="0"/>
    <n v="0"/>
    <n v="0"/>
    <n v="0"/>
    <n v="1.137"/>
    <n v="0"/>
    <n v="1.13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x v="3"/>
    <m/>
    <s v="Tsikolaky"/>
    <m/>
    <m/>
    <m/>
    <n v="345"/>
    <n v="345"/>
    <x v="1"/>
    <m/>
    <n v="30"/>
    <n v="0"/>
    <n v="0"/>
    <n v="0"/>
    <n v="0"/>
    <n v="0"/>
    <n v="0"/>
    <n v="0"/>
    <n v="0"/>
    <n v="0"/>
    <n v="0"/>
    <n v="0.51749999999999996"/>
    <n v="0"/>
    <n v="0.51749999999999996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Salobe"/>
    <m/>
    <m/>
    <m/>
    <n v="267"/>
    <n v="267"/>
    <x v="1"/>
    <m/>
    <n v="30"/>
    <n v="0"/>
    <n v="0"/>
    <n v="0"/>
    <n v="0"/>
    <n v="0"/>
    <n v="0"/>
    <n v="0"/>
    <n v="0"/>
    <n v="0"/>
    <n v="0"/>
    <n v="0.40050000000000002"/>
    <n v="0"/>
    <n v="0.40050000000000002"/>
    <m/>
    <m/>
  </r>
  <r>
    <x v="1"/>
    <n v="2024"/>
    <x v="2"/>
    <s v="Nutrition"/>
    <x v="4"/>
    <s v="URT_PREV:Prevention of acute malnutrition"/>
    <n v="2"/>
    <m/>
    <m/>
    <x v="3"/>
    <s v="Tuléar"/>
    <s v="Atsimo Andrefana"/>
    <x v="7"/>
    <m/>
    <s v="Tanambao Haut"/>
    <m/>
    <m/>
    <m/>
    <n v="346"/>
    <n v="346"/>
    <x v="1"/>
    <m/>
    <n v="30"/>
    <n v="0"/>
    <n v="0"/>
    <n v="0"/>
    <n v="0"/>
    <n v="0"/>
    <n v="0"/>
    <n v="0"/>
    <n v="0"/>
    <n v="0"/>
    <n v="0"/>
    <n v="0.51900000000000002"/>
    <n v="0"/>
    <n v="0.51900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Ambahita"/>
    <m/>
    <m/>
    <m/>
    <n v="835"/>
    <n v="835"/>
    <x v="1"/>
    <m/>
    <n v="30"/>
    <m/>
    <n v="0"/>
    <n v="0"/>
    <n v="0"/>
    <n v="0"/>
    <n v="0.501"/>
    <m/>
    <n v="0"/>
    <n v="5.01"/>
    <n v="0"/>
    <m/>
    <n v="0"/>
    <n v="5.5110000000000001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Amborompotsy"/>
    <m/>
    <m/>
    <m/>
    <n v="882"/>
    <n v="882"/>
    <x v="1"/>
    <m/>
    <n v="30"/>
    <m/>
    <n v="0"/>
    <n v="0"/>
    <n v="0"/>
    <n v="0"/>
    <n v="0.5292"/>
    <m/>
    <n v="0"/>
    <n v="5.2919999999999998"/>
    <n v="0"/>
    <m/>
    <n v="0"/>
    <n v="5.8212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x v="1"/>
    <m/>
    <s v="Andalatanosy"/>
    <m/>
    <m/>
    <m/>
    <n v="1691"/>
    <n v="1691"/>
    <x v="1"/>
    <m/>
    <n v="30"/>
    <m/>
    <n v="0"/>
    <n v="0"/>
    <n v="0"/>
    <n v="0"/>
    <n v="1.0145999999999999"/>
    <m/>
    <n v="0"/>
    <n v="10.146000000000001"/>
    <n v="0"/>
    <m/>
    <n v="0"/>
    <n v="11.160600000000001"/>
    <m/>
    <m/>
  </r>
  <r>
    <x v="1"/>
    <n v="2024"/>
    <x v="2"/>
    <s v="Nutrition"/>
    <x v="5"/>
    <s v="URT_PREV:Prevention of acute malnutrition"/>
    <n v="2"/>
    <m/>
    <m/>
    <x v="0"/>
    <s v="Taolagnaro"/>
    <s v="Anosy"/>
    <x v="5"/>
    <m/>
    <s v="Andranobory"/>
    <m/>
    <m/>
    <m/>
    <n v="364"/>
    <n v="364"/>
    <x v="1"/>
    <m/>
    <n v="30"/>
    <m/>
    <n v="0"/>
    <n v="0"/>
    <n v="0"/>
    <n v="0"/>
    <n v="0.21840000000000001"/>
    <m/>
    <n v="0"/>
    <n v="2.1840000000000002"/>
    <n v="0"/>
    <m/>
    <n v="0"/>
    <n v="2.4024000000000001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Androipano"/>
    <m/>
    <m/>
    <m/>
    <m/>
    <n v="0"/>
    <x v="2"/>
    <m/>
    <m/>
    <m/>
    <n v="0"/>
    <n v="0"/>
    <n v="0"/>
    <n v="0"/>
    <n v="0"/>
    <m/>
    <n v="0"/>
    <n v="0"/>
    <n v="0"/>
    <m/>
    <n v="0"/>
    <n v="0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Androka"/>
    <m/>
    <m/>
    <m/>
    <n v="1750"/>
    <n v="1750"/>
    <x v="1"/>
    <m/>
    <n v="30"/>
    <m/>
    <n v="0"/>
    <n v="0"/>
    <n v="0"/>
    <n v="0"/>
    <n v="1.05"/>
    <m/>
    <n v="0"/>
    <n v="10.5"/>
    <n v="0"/>
    <m/>
    <n v="0"/>
    <n v="11.55"/>
    <m/>
    <m/>
  </r>
  <r>
    <x v="1"/>
    <n v="2024"/>
    <x v="2"/>
    <s v="Nutrition"/>
    <x v="5"/>
    <s v="URT_PREV:Prevention of acute malnutrition"/>
    <n v="1"/>
    <m/>
    <m/>
    <x v="1"/>
    <m/>
    <s v="Vatovavy"/>
    <x v="6"/>
    <s v="YPA"/>
    <s v="Ambahy"/>
    <m/>
    <m/>
    <m/>
    <n v="187"/>
    <n v="187"/>
    <x v="1"/>
    <m/>
    <n v="30"/>
    <n v="0"/>
    <n v="0"/>
    <n v="0"/>
    <n v="0"/>
    <n v="0"/>
    <n v="0.11219999999999999"/>
    <m/>
    <n v="0"/>
    <n v="1.1220000000000001"/>
    <n v="0"/>
    <n v="0"/>
    <n v="0"/>
    <n v="1.2342000000000002"/>
    <m/>
    <m/>
  </r>
  <r>
    <x v="1"/>
    <n v="2024"/>
    <x v="2"/>
    <s v="Nutrition"/>
    <x v="5"/>
    <s v="URT_PREV:Prevention of acute malnutrition"/>
    <n v="1"/>
    <m/>
    <m/>
    <x v="1"/>
    <m/>
    <s v="Vatovavy"/>
    <x v="6"/>
    <s v="YPA"/>
    <s v="Ambodirian'I Sahafary"/>
    <m/>
    <m/>
    <m/>
    <n v="911"/>
    <n v="911"/>
    <x v="1"/>
    <m/>
    <n v="30"/>
    <n v="0"/>
    <n v="0"/>
    <n v="0"/>
    <n v="0"/>
    <n v="0"/>
    <n v="0.54659999999999997"/>
    <m/>
    <n v="0"/>
    <n v="5.4660000000000002"/>
    <n v="0"/>
    <n v="0"/>
    <n v="0"/>
    <n v="6.0125999999999999"/>
    <m/>
    <m/>
  </r>
  <r>
    <x v="1"/>
    <n v="2024"/>
    <x v="2"/>
    <s v="Nutrition"/>
    <x v="5"/>
    <s v="URT_PREV:Prevention of acute malnutrition"/>
    <n v="2"/>
    <m/>
    <m/>
    <x v="1"/>
    <m/>
    <s v="Atsimo Antsinana"/>
    <x v="8"/>
    <s v="WHH"/>
    <s v="Anandravy"/>
    <m/>
    <m/>
    <m/>
    <n v="240"/>
    <n v="240"/>
    <x v="1"/>
    <m/>
    <n v="30"/>
    <m/>
    <n v="0"/>
    <n v="0"/>
    <n v="0"/>
    <n v="0"/>
    <n v="0.14399999999999999"/>
    <m/>
    <n v="0"/>
    <n v="1.44"/>
    <n v="0"/>
    <m/>
    <n v="0"/>
    <n v="1.5839999999999999"/>
    <m/>
    <m/>
  </r>
  <r>
    <x v="1"/>
    <n v="2024"/>
    <x v="2"/>
    <s v="Nutrition"/>
    <x v="5"/>
    <s v="URT_PREV:Prevention of acute malnutrition"/>
    <n v="2"/>
    <m/>
    <m/>
    <x v="1"/>
    <m/>
    <s v="Atsimo Antsinana"/>
    <x v="9"/>
    <s v="WHH"/>
    <s v="Andranolalina"/>
    <m/>
    <m/>
    <m/>
    <n v="367"/>
    <n v="367"/>
    <x v="1"/>
    <m/>
    <n v="30"/>
    <n v="0"/>
    <n v="0"/>
    <n v="0"/>
    <n v="0"/>
    <n v="0"/>
    <n v="0.22020000000000001"/>
    <m/>
    <n v="0"/>
    <n v="2.202"/>
    <n v="0"/>
    <n v="0"/>
    <n v="0"/>
    <n v="2.4222000000000001"/>
    <m/>
    <m/>
  </r>
  <r>
    <x v="1"/>
    <n v="2024"/>
    <x v="2"/>
    <s v="Nutrition"/>
    <x v="5"/>
    <s v="URT_PREV:Prevention of acute malnutrition"/>
    <n v="2"/>
    <m/>
    <m/>
    <x v="1"/>
    <m/>
    <s v="Atsimo Antsinana"/>
    <x v="8"/>
    <s v="WHH"/>
    <s v="Mahatsinjo"/>
    <m/>
    <m/>
    <m/>
    <n v="384"/>
    <n v="384"/>
    <x v="1"/>
    <m/>
    <n v="30"/>
    <m/>
    <n v="0"/>
    <n v="0"/>
    <n v="0"/>
    <n v="0"/>
    <n v="0.23039999999999999"/>
    <m/>
    <n v="0"/>
    <n v="2.3039999999999998"/>
    <n v="0"/>
    <m/>
    <n v="0"/>
    <n v="2.5343999999999998"/>
    <m/>
    <m/>
  </r>
  <r>
    <x v="1"/>
    <n v="2024"/>
    <x v="2"/>
    <s v="Nutrition"/>
    <x v="5"/>
    <s v="URT_PREV:Prevention of acute malnutrition"/>
    <n v="1"/>
    <m/>
    <m/>
    <x v="1"/>
    <m/>
    <s v="Atsimo Antsinana"/>
    <x v="10"/>
    <s v="WHH"/>
    <s v="Matanga"/>
    <m/>
    <m/>
    <m/>
    <n v="687"/>
    <n v="687"/>
    <x v="1"/>
    <m/>
    <n v="30"/>
    <m/>
    <n v="0"/>
    <n v="0"/>
    <n v="0"/>
    <n v="0"/>
    <n v="0.41220000000000001"/>
    <m/>
    <n v="0"/>
    <n v="4.1219999999999999"/>
    <n v="0"/>
    <m/>
    <n v="0"/>
    <n v="4.5342000000000002"/>
    <m/>
    <m/>
  </r>
  <r>
    <x v="1"/>
    <n v="2024"/>
    <x v="2"/>
    <s v="Nutrition"/>
    <x v="5"/>
    <s v="URT_PREV:Prevention of acute malnutrition"/>
    <n v="2"/>
    <m/>
    <m/>
    <x v="1"/>
    <m/>
    <s v="Atsimo Antsinana"/>
    <x v="11"/>
    <s v="WHH"/>
    <s v="Antondabe"/>
    <m/>
    <m/>
    <m/>
    <n v="259"/>
    <n v="259"/>
    <x v="1"/>
    <m/>
    <n v="30"/>
    <m/>
    <n v="0"/>
    <n v="0"/>
    <n v="0"/>
    <n v="0"/>
    <n v="0.15540000000000001"/>
    <m/>
    <n v="0"/>
    <n v="1.554"/>
    <n v="0"/>
    <m/>
    <n v="0"/>
    <n v="1.7094"/>
    <m/>
    <m/>
  </r>
  <r>
    <x v="1"/>
    <n v="2024"/>
    <x v="2"/>
    <s v="Nutrition"/>
    <x v="5"/>
    <s v="URT_PREV:Prevention of acute malnutrition"/>
    <n v="1"/>
    <m/>
    <m/>
    <x v="1"/>
    <m/>
    <s v="Atsimo Antsinana"/>
    <x v="11"/>
    <s v="WHH"/>
    <s v="Befotaka Sud"/>
    <m/>
    <m/>
    <m/>
    <n v="513"/>
    <n v="513"/>
    <x v="1"/>
    <m/>
    <n v="30"/>
    <n v="0"/>
    <n v="0"/>
    <n v="0"/>
    <n v="0"/>
    <n v="0"/>
    <n v="0.30780000000000002"/>
    <m/>
    <n v="0"/>
    <n v="3.0779999999999998"/>
    <n v="0"/>
    <n v="0"/>
    <n v="0"/>
    <n v="3.3857999999999997"/>
    <m/>
    <m/>
  </r>
  <r>
    <x v="1"/>
    <n v="2024"/>
    <x v="2"/>
    <s v="Nutrition"/>
    <x v="5"/>
    <s v="URT_PREV:Prevention of acute malnutrition"/>
    <n v="1"/>
    <m/>
    <m/>
    <x v="1"/>
    <m/>
    <s v="Vatovavy"/>
    <x v="6"/>
    <s v="YPA"/>
    <s v="Fanivelona"/>
    <m/>
    <m/>
    <m/>
    <n v="512"/>
    <n v="512"/>
    <x v="1"/>
    <m/>
    <n v="30"/>
    <n v="0"/>
    <n v="0"/>
    <n v="0"/>
    <n v="0"/>
    <n v="0"/>
    <n v="0.30719999999999997"/>
    <m/>
    <n v="0"/>
    <n v="3.0720000000000001"/>
    <n v="0"/>
    <n v="0"/>
    <n v="0"/>
    <n v="3.3792"/>
    <m/>
    <m/>
  </r>
  <r>
    <x v="1"/>
    <n v="2024"/>
    <x v="2"/>
    <s v="Nutrition"/>
    <x v="5"/>
    <s v="URT_PREV:Prevention of acute malnutrition"/>
    <n v="1"/>
    <m/>
    <m/>
    <x v="1"/>
    <m/>
    <s v="Vatovavy"/>
    <x v="6"/>
    <s v="YPA"/>
    <s v="Fiadanana"/>
    <m/>
    <m/>
    <m/>
    <n v="640"/>
    <n v="640"/>
    <x v="1"/>
    <m/>
    <n v="30"/>
    <n v="0"/>
    <n v="0"/>
    <n v="0"/>
    <n v="0"/>
    <n v="0"/>
    <n v="0.38400000000000001"/>
    <m/>
    <n v="0"/>
    <n v="3.84"/>
    <n v="0"/>
    <n v="0"/>
    <n v="0"/>
    <n v="4.2240000000000002"/>
    <m/>
    <m/>
  </r>
  <r>
    <x v="1"/>
    <n v="2024"/>
    <x v="2"/>
    <s v="Nutrition"/>
    <x v="5"/>
    <s v="URT_PREV:Prevention of acute malnutrition"/>
    <n v="2"/>
    <m/>
    <m/>
    <x v="1"/>
    <m/>
    <s v="Atsimo Antsinana"/>
    <x v="9"/>
    <s v="WHH"/>
    <s v="Ivondro"/>
    <m/>
    <m/>
    <m/>
    <n v="374"/>
    <n v="374"/>
    <x v="1"/>
    <m/>
    <n v="30"/>
    <n v="0"/>
    <n v="0"/>
    <n v="0"/>
    <n v="0"/>
    <n v="0"/>
    <n v="0.22439999999999999"/>
    <m/>
    <n v="0"/>
    <n v="2.2440000000000002"/>
    <n v="0"/>
    <n v="0"/>
    <n v="0"/>
    <n v="2.4684000000000004"/>
    <m/>
    <m/>
  </r>
  <r>
    <x v="1"/>
    <n v="2024"/>
    <x v="2"/>
    <s v="Nutrition"/>
    <x v="5"/>
    <s v="URT_PREV:Prevention of acute malnutrition"/>
    <n v="1"/>
    <m/>
    <m/>
    <x v="1"/>
    <m/>
    <s v="Atsimo Antsinana"/>
    <x v="10"/>
    <s v="WHH"/>
    <s v="Manambondro"/>
    <m/>
    <m/>
    <m/>
    <n v="243"/>
    <n v="243"/>
    <x v="1"/>
    <m/>
    <n v="30"/>
    <m/>
    <n v="0"/>
    <n v="0"/>
    <n v="0"/>
    <n v="0"/>
    <n v="0.14580000000000001"/>
    <m/>
    <n v="0"/>
    <n v="1.458"/>
    <n v="0"/>
    <m/>
    <n v="0"/>
    <n v="1.6037999999999999"/>
    <m/>
    <m/>
  </r>
  <r>
    <x v="1"/>
    <n v="2024"/>
    <x v="2"/>
    <s v="Nutrition"/>
    <x v="5"/>
    <s v="URT_PREV:Prevention of acute malnutrition"/>
    <n v="1"/>
    <m/>
    <m/>
    <x v="1"/>
    <m/>
    <s v="Atsimo Antsinana"/>
    <x v="10"/>
    <s v="WHH"/>
    <s v="Marokibo"/>
    <m/>
    <m/>
    <m/>
    <n v="213"/>
    <n v="213"/>
    <x v="1"/>
    <m/>
    <n v="30"/>
    <m/>
    <n v="0"/>
    <n v="0"/>
    <n v="0"/>
    <n v="0"/>
    <n v="0.1278"/>
    <m/>
    <n v="0"/>
    <n v="1.278"/>
    <n v="0"/>
    <m/>
    <n v="0"/>
    <n v="1.4057999999999999"/>
    <m/>
    <m/>
  </r>
  <r>
    <x v="1"/>
    <n v="2024"/>
    <x v="2"/>
    <s v="Nutrition"/>
    <x v="5"/>
    <s v="URT_PREV:Prevention of acute malnutrition"/>
    <n v="1"/>
    <m/>
    <m/>
    <x v="1"/>
    <m/>
    <s v="Atsimo Antsinana"/>
    <x v="10"/>
    <s v="WHH"/>
    <s v="Masianaka"/>
    <m/>
    <m/>
    <m/>
    <n v="991"/>
    <n v="991"/>
    <x v="1"/>
    <m/>
    <n v="30"/>
    <m/>
    <n v="0"/>
    <n v="0"/>
    <n v="0"/>
    <n v="0"/>
    <n v="0.59460000000000002"/>
    <m/>
    <n v="0"/>
    <n v="5.9459999999999997"/>
    <n v="0"/>
    <m/>
    <n v="0"/>
    <n v="6.5405999999999995"/>
    <m/>
    <m/>
  </r>
  <r>
    <x v="1"/>
    <n v="2024"/>
    <x v="2"/>
    <s v="Nutrition"/>
    <x v="5"/>
    <s v="URT_PREV:Prevention of acute malnutrition"/>
    <n v="1"/>
    <m/>
    <m/>
    <x v="1"/>
    <m/>
    <s v="Atsimo Antsinana"/>
    <x v="10"/>
    <s v="WHH"/>
    <s v="Ranomena"/>
    <m/>
    <m/>
    <m/>
    <n v="876"/>
    <n v="876"/>
    <x v="1"/>
    <m/>
    <n v="30"/>
    <m/>
    <n v="0"/>
    <n v="0"/>
    <n v="0"/>
    <n v="0"/>
    <n v="0.52559999999999996"/>
    <m/>
    <n v="0"/>
    <n v="5.2560000000000002"/>
    <n v="0"/>
    <m/>
    <n v="0"/>
    <n v="5.7816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Anivorano Mitsinjo"/>
    <m/>
    <m/>
    <m/>
    <n v="340"/>
    <n v="340"/>
    <x v="1"/>
    <m/>
    <n v="30"/>
    <m/>
    <n v="0"/>
    <n v="0"/>
    <n v="0"/>
    <n v="0"/>
    <n v="0.20399999999999999"/>
    <m/>
    <n v="0"/>
    <n v="2.04"/>
    <n v="0"/>
    <m/>
    <n v="0"/>
    <n v="2.2440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Anja Nord"/>
    <m/>
    <m/>
    <m/>
    <n v="189"/>
    <n v="189"/>
    <x v="1"/>
    <m/>
    <n v="30"/>
    <m/>
    <n v="0"/>
    <n v="0"/>
    <n v="0"/>
    <n v="0"/>
    <n v="0.1134"/>
    <m/>
    <n v="0"/>
    <n v="1.1339999999999999"/>
    <n v="0"/>
    <m/>
    <n v="0"/>
    <n v="1.2473999999999998"/>
    <m/>
    <m/>
  </r>
  <r>
    <x v="1"/>
    <n v="2024"/>
    <x v="2"/>
    <s v="Nutrition"/>
    <x v="5"/>
    <s v="URT_PREV:Prevention of acute malnutrition"/>
    <n v="1"/>
    <m/>
    <m/>
    <x v="0"/>
    <s v="Taolagnaro"/>
    <s v="Androy"/>
    <x v="1"/>
    <m/>
    <s v="Ampamata"/>
    <m/>
    <m/>
    <m/>
    <n v="508"/>
    <n v="508"/>
    <x v="1"/>
    <m/>
    <n v="30"/>
    <m/>
    <n v="0"/>
    <n v="0"/>
    <n v="0"/>
    <n v="0"/>
    <n v="0.30480000000000002"/>
    <m/>
    <n v="0"/>
    <n v="3.048"/>
    <n v="0"/>
    <m/>
    <n v="0"/>
    <n v="3.3528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x v="1"/>
    <m/>
    <s v="Anjeky Ankilikira"/>
    <m/>
    <m/>
    <m/>
    <n v="944"/>
    <n v="944"/>
    <x v="1"/>
    <m/>
    <n v="30"/>
    <m/>
    <n v="0"/>
    <n v="0"/>
    <n v="0"/>
    <n v="0"/>
    <n v="0.56640000000000001"/>
    <m/>
    <n v="0"/>
    <n v="5.6639999999999997"/>
    <n v="0"/>
    <m/>
    <n v="0"/>
    <n v="6.2303999999999995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Ankazombalala"/>
    <m/>
    <m/>
    <m/>
    <n v="600"/>
    <n v="600"/>
    <x v="1"/>
    <m/>
    <n v="30"/>
    <m/>
    <n v="0"/>
    <n v="0"/>
    <n v="0"/>
    <n v="0"/>
    <n v="0.36"/>
    <m/>
    <n v="0"/>
    <n v="3.6"/>
    <n v="0"/>
    <m/>
    <n v="0"/>
    <n v="3.96"/>
    <m/>
    <m/>
  </r>
  <r>
    <x v="1"/>
    <n v="2024"/>
    <x v="2"/>
    <s v="Nutrition"/>
    <x v="5"/>
    <s v="URT_PREV:Prevention of acute malnutrition"/>
    <n v="2"/>
    <m/>
    <m/>
    <x v="2"/>
    <s v="Tuléar"/>
    <s v="Atsimo Andrefana"/>
    <x v="4"/>
    <m/>
    <s v="Ankiliabo"/>
    <m/>
    <m/>
    <m/>
    <n v="905"/>
    <n v="905"/>
    <x v="1"/>
    <m/>
    <n v="30"/>
    <m/>
    <n v="0"/>
    <n v="0"/>
    <n v="0"/>
    <n v="0"/>
    <n v="0.54300000000000004"/>
    <m/>
    <n v="0"/>
    <n v="5.43"/>
    <n v="0"/>
    <m/>
    <n v="0"/>
    <n v="5.9729999999999999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Antsakoamaro"/>
    <m/>
    <m/>
    <m/>
    <n v="310"/>
    <n v="310"/>
    <x v="1"/>
    <m/>
    <n v="30"/>
    <m/>
    <n v="0"/>
    <n v="0"/>
    <n v="0"/>
    <n v="0"/>
    <n v="0.186"/>
    <m/>
    <n v="0"/>
    <n v="1.86"/>
    <n v="0"/>
    <m/>
    <n v="0"/>
    <n v="2.0460000000000003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Belafike haut"/>
    <m/>
    <m/>
    <m/>
    <n v="510"/>
    <n v="510"/>
    <x v="1"/>
    <m/>
    <n v="30"/>
    <m/>
    <n v="0"/>
    <n v="0"/>
    <n v="0"/>
    <n v="0"/>
    <n v="0.30599999999999999"/>
    <m/>
    <n v="0"/>
    <n v="3.06"/>
    <n v="0"/>
    <m/>
    <n v="0"/>
    <n v="3.3660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Belindo Mahasoa"/>
    <m/>
    <m/>
    <m/>
    <n v="750"/>
    <n v="750"/>
    <x v="1"/>
    <m/>
    <n v="30"/>
    <m/>
    <n v="0"/>
    <n v="0"/>
    <n v="0"/>
    <n v="0"/>
    <n v="0.45"/>
    <m/>
    <n v="0"/>
    <n v="4.5"/>
    <n v="0"/>
    <m/>
    <n v="0"/>
    <n v="4.95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Ankazomanga Ouest"/>
    <m/>
    <m/>
    <m/>
    <n v="181"/>
    <n v="181"/>
    <x v="1"/>
    <m/>
    <n v="30"/>
    <n v="0"/>
    <n v="0"/>
    <n v="0"/>
    <n v="0"/>
    <n v="0"/>
    <n v="0.1086"/>
    <m/>
    <n v="0"/>
    <n v="1.0860000000000001"/>
    <n v="0"/>
    <n v="0"/>
    <n v="0"/>
    <n v="1.1946000000000001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x v="7"/>
    <m/>
    <s v="Beora"/>
    <m/>
    <m/>
    <m/>
    <n v="50"/>
    <n v="50"/>
    <x v="1"/>
    <m/>
    <n v="30"/>
    <m/>
    <n v="0"/>
    <n v="0"/>
    <n v="0"/>
    <n v="0"/>
    <n v="0.03"/>
    <m/>
    <n v="0"/>
    <n v="0.3"/>
    <n v="0"/>
    <m/>
    <n v="0"/>
    <n v="0.32999999999999996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Bevitiky"/>
    <m/>
    <m/>
    <m/>
    <n v="317"/>
    <n v="317"/>
    <x v="1"/>
    <m/>
    <n v="30"/>
    <m/>
    <n v="0"/>
    <n v="0"/>
    <n v="0"/>
    <n v="0"/>
    <n v="0.19020000000000001"/>
    <m/>
    <n v="0"/>
    <n v="1.9019999999999999"/>
    <n v="0"/>
    <m/>
    <n v="0"/>
    <n v="2.0922000000000001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x v="0"/>
    <m/>
    <s v="Ebelo"/>
    <m/>
    <m/>
    <m/>
    <n v="677"/>
    <n v="677"/>
    <x v="1"/>
    <m/>
    <n v="30"/>
    <m/>
    <n v="0"/>
    <n v="0"/>
    <n v="0"/>
    <n v="0"/>
    <n v="0.40620000000000001"/>
    <m/>
    <n v="0"/>
    <n v="4.0620000000000003"/>
    <n v="0"/>
    <m/>
    <n v="0"/>
    <n v="4.4682000000000004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Gogogogo"/>
    <m/>
    <m/>
    <m/>
    <n v="948"/>
    <n v="948"/>
    <x v="1"/>
    <m/>
    <n v="30"/>
    <m/>
    <n v="0"/>
    <n v="0"/>
    <n v="0"/>
    <n v="0"/>
    <n v="0.56879999999999997"/>
    <m/>
    <n v="0"/>
    <n v="5.6879999999999997"/>
    <n v="0"/>
    <m/>
    <n v="0"/>
    <n v="6.2568000000000001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Lazarivo"/>
    <m/>
    <m/>
    <m/>
    <n v="545"/>
    <n v="545"/>
    <x v="1"/>
    <m/>
    <n v="30"/>
    <m/>
    <n v="0"/>
    <n v="0"/>
    <n v="0"/>
    <n v="0"/>
    <n v="0.32700000000000001"/>
    <m/>
    <n v="0"/>
    <n v="3.27"/>
    <n v="0"/>
    <m/>
    <n v="0"/>
    <n v="3.597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x v="0"/>
    <m/>
    <s v="Mahabo"/>
    <m/>
    <m/>
    <m/>
    <n v="288"/>
    <n v="288"/>
    <x v="1"/>
    <m/>
    <n v="30"/>
    <m/>
    <n v="0"/>
    <n v="0"/>
    <n v="0"/>
    <n v="0"/>
    <n v="0.17280000000000001"/>
    <m/>
    <n v="0"/>
    <n v="1.728"/>
    <n v="0"/>
    <m/>
    <n v="0"/>
    <n v="1.9008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x v="0"/>
    <m/>
    <s v="Mahaly"/>
    <m/>
    <m/>
    <m/>
    <n v="1037"/>
    <n v="1037"/>
    <x v="1"/>
    <m/>
    <n v="30"/>
    <m/>
    <n v="0"/>
    <n v="0"/>
    <n v="0"/>
    <n v="0"/>
    <n v="0.62219999999999998"/>
    <m/>
    <n v="0"/>
    <n v="6.2220000000000004"/>
    <n v="0"/>
    <m/>
    <n v="0"/>
    <n v="6.8442000000000007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Manakompy"/>
    <m/>
    <m/>
    <m/>
    <n v="338"/>
    <n v="338"/>
    <x v="1"/>
    <m/>
    <n v="30"/>
    <m/>
    <n v="0"/>
    <n v="0"/>
    <n v="0"/>
    <n v="0"/>
    <n v="0.20280000000000001"/>
    <m/>
    <n v="0"/>
    <n v="2.028"/>
    <n v="0"/>
    <m/>
    <n v="0"/>
    <n v="2.2307999999999999"/>
    <m/>
    <m/>
  </r>
  <r>
    <x v="1"/>
    <n v="2024"/>
    <x v="2"/>
    <s v="Nutrition"/>
    <x v="5"/>
    <s v="URT_PREV:Prevention of acute malnutrition"/>
    <n v="2"/>
    <m/>
    <s v="Amboasary"/>
    <x v="0"/>
    <s v="Taolagnaro"/>
    <s v="Anosy"/>
    <x v="0"/>
    <m/>
    <s v="Maromby"/>
    <m/>
    <m/>
    <m/>
    <n v="762"/>
    <n v="762"/>
    <x v="1"/>
    <m/>
    <n v="30"/>
    <m/>
    <n v="0"/>
    <n v="0"/>
    <n v="0"/>
    <n v="0"/>
    <n v="0.4572"/>
    <m/>
    <n v="0"/>
    <n v="4.5720000000000001"/>
    <n v="0"/>
    <m/>
    <n v="0"/>
    <n v="5.0292000000000003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x v="7"/>
    <m/>
    <s v="Marosavoa"/>
    <m/>
    <m/>
    <m/>
    <n v="188"/>
    <n v="188"/>
    <x v="1"/>
    <m/>
    <n v="30"/>
    <m/>
    <n v="0"/>
    <n v="0"/>
    <n v="0"/>
    <n v="0"/>
    <n v="0.1128"/>
    <m/>
    <n v="0"/>
    <n v="1.1279999999999999"/>
    <n v="0"/>
    <m/>
    <n v="0"/>
    <n v="1.2407999999999999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x v="4"/>
    <m/>
    <s v="Ankilizato"/>
    <m/>
    <m/>
    <m/>
    <n v="397"/>
    <n v="397"/>
    <x v="1"/>
    <m/>
    <n v="30"/>
    <m/>
    <n v="0"/>
    <n v="0"/>
    <n v="0"/>
    <n v="0"/>
    <n v="0.2382"/>
    <m/>
    <n v="0"/>
    <n v="2.3820000000000001"/>
    <n v="0"/>
    <m/>
    <n v="0"/>
    <n v="2.6202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Maroviro"/>
    <m/>
    <m/>
    <m/>
    <n v="621"/>
    <n v="621"/>
    <x v="1"/>
    <m/>
    <n v="30"/>
    <m/>
    <n v="0"/>
    <n v="0"/>
    <n v="0"/>
    <n v="0"/>
    <n v="0.37259999999999999"/>
    <m/>
    <n v="0"/>
    <n v="3.726"/>
    <n v="0"/>
    <m/>
    <n v="0"/>
    <n v="4.0986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x v="1"/>
    <m/>
    <s v="Antanimora Atsimo"/>
    <m/>
    <m/>
    <m/>
    <n v="1320"/>
    <n v="1320"/>
    <x v="1"/>
    <m/>
    <n v="30"/>
    <n v="0"/>
    <n v="0"/>
    <n v="0"/>
    <n v="0"/>
    <n v="0"/>
    <n v="0.79200000000000004"/>
    <m/>
    <n v="0"/>
    <n v="7.92"/>
    <n v="0"/>
    <n v="0"/>
    <n v="0"/>
    <n v="8.7119999999999997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x v="0"/>
    <m/>
    <s v="Ranobe"/>
    <m/>
    <m/>
    <m/>
    <n v="423"/>
    <n v="423"/>
    <x v="1"/>
    <m/>
    <n v="30"/>
    <m/>
    <n v="0"/>
    <n v="0"/>
    <n v="0"/>
    <n v="0"/>
    <n v="0.25380000000000003"/>
    <m/>
    <n v="0"/>
    <n v="2.5379999999999998"/>
    <n v="0"/>
    <m/>
    <n v="0"/>
    <n v="2.7917999999999998"/>
    <m/>
    <m/>
  </r>
  <r>
    <x v="1"/>
    <n v="2024"/>
    <x v="2"/>
    <s v="Nutrition"/>
    <x v="5"/>
    <s v="URT_PREV:Prevention of acute malnutrition"/>
    <n v="2"/>
    <m/>
    <s v="Amboasary"/>
    <x v="0"/>
    <s v="Taolagnaro"/>
    <s v="Anosy"/>
    <x v="0"/>
    <m/>
    <s v="Tanandva Sud"/>
    <m/>
    <m/>
    <m/>
    <n v="552"/>
    <n v="552"/>
    <x v="1"/>
    <m/>
    <n v="30"/>
    <m/>
    <n v="0"/>
    <n v="0"/>
    <n v="0"/>
    <n v="0"/>
    <n v="0.33119999999999999"/>
    <m/>
    <n v="0"/>
    <n v="3.3119999999999998"/>
    <n v="0"/>
    <m/>
    <n v="0"/>
    <n v="3.6431999999999998"/>
    <m/>
    <m/>
  </r>
  <r>
    <x v="1"/>
    <n v="2024"/>
    <x v="2"/>
    <s v="Nutrition"/>
    <x v="5"/>
    <s v="URT_PREV:Prevention of acute malnutrition"/>
    <n v="1"/>
    <m/>
    <m/>
    <x v="0"/>
    <s v="Taolagnaro"/>
    <s v="Androy"/>
    <x v="1"/>
    <m/>
    <s v="Jafaro"/>
    <m/>
    <m/>
    <m/>
    <n v="1334"/>
    <n v="1334"/>
    <x v="1"/>
    <m/>
    <n v="30"/>
    <m/>
    <n v="0"/>
    <n v="0"/>
    <n v="0"/>
    <n v="0"/>
    <n v="0.8004"/>
    <m/>
    <n v="0"/>
    <n v="8.0039999999999996"/>
    <n v="0"/>
    <m/>
    <n v="0"/>
    <n v="8.8043999999999993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Tongobory"/>
    <m/>
    <m/>
    <m/>
    <n v="436"/>
    <n v="436"/>
    <x v="1"/>
    <m/>
    <n v="30"/>
    <m/>
    <n v="0"/>
    <n v="0"/>
    <n v="0"/>
    <n v="0"/>
    <n v="0.2616"/>
    <m/>
    <n v="0"/>
    <n v="2.6160000000000001"/>
    <n v="0"/>
    <m/>
    <n v="0"/>
    <n v="2.8776000000000002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x v="7"/>
    <m/>
    <s v="Maroarivo Ankazomanga"/>
    <m/>
    <m/>
    <m/>
    <n v="323"/>
    <n v="323"/>
    <x v="1"/>
    <m/>
    <n v="30"/>
    <n v="0"/>
    <n v="0"/>
    <n v="0"/>
    <n v="0"/>
    <n v="0"/>
    <n v="0.1938"/>
    <m/>
    <n v="0"/>
    <n v="1.9379999999999999"/>
    <n v="0"/>
    <n v="0"/>
    <n v="0"/>
    <n v="2.1318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x v="12"/>
    <m/>
    <s v="Tranovaho"/>
    <m/>
    <m/>
    <m/>
    <n v="631"/>
    <n v="631"/>
    <x v="1"/>
    <m/>
    <n v="30"/>
    <m/>
    <n v="0"/>
    <n v="0"/>
    <n v="0"/>
    <n v="0"/>
    <n v="0.37859999999999999"/>
    <m/>
    <n v="0"/>
    <n v="3.786"/>
    <n v="0"/>
    <m/>
    <n v="0"/>
    <n v="4.1646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x v="3"/>
    <m/>
    <s v="Tsikolaky"/>
    <m/>
    <m/>
    <m/>
    <n v="287"/>
    <n v="287"/>
    <x v="1"/>
    <m/>
    <n v="30"/>
    <m/>
    <n v="0"/>
    <n v="0"/>
    <n v="0"/>
    <n v="0"/>
    <n v="0.17219999999999999"/>
    <m/>
    <n v="0"/>
    <n v="1.722"/>
    <n v="0"/>
    <m/>
    <n v="0"/>
    <n v="1.8941999999999999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Salobe"/>
    <m/>
    <m/>
    <m/>
    <n v="222"/>
    <n v="222"/>
    <x v="1"/>
    <m/>
    <n v="30"/>
    <n v="0"/>
    <n v="0"/>
    <n v="0"/>
    <n v="0"/>
    <n v="0"/>
    <n v="0.13320000000000001"/>
    <m/>
    <n v="0"/>
    <n v="1.3320000000000001"/>
    <n v="0"/>
    <n v="0"/>
    <n v="0"/>
    <n v="1.4652000000000001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x v="7"/>
    <m/>
    <s v="Tanambao Haut"/>
    <m/>
    <m/>
    <m/>
    <n v="288"/>
    <n v="288"/>
    <x v="1"/>
    <m/>
    <n v="30"/>
    <n v="0"/>
    <n v="0"/>
    <n v="0"/>
    <n v="0"/>
    <n v="0"/>
    <n v="0.17280000000000001"/>
    <m/>
    <n v="0"/>
    <n v="1.728"/>
    <n v="0"/>
    <n v="0"/>
    <n v="0"/>
    <n v="1.9008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AMAL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VA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KISE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ARABEMOK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TANANTS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ILANY HAUT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ONDROMEN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MILITS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SETA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FOTADREVO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ZA HAUT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SAK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TSIRIR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LINJ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TOHABAT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ALATA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SONJO 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BAKAK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KATRAFA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GNAVOHA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MANDABE ANKILIMA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TANANDAVA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ALAFANTS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0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0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0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0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ar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d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0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0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0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atr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dr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1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1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1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aran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dr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2"/>
    <n v="2024"/>
    <x v="1"/>
    <s v="Nutrition"/>
    <x v="1"/>
    <s v="NPA_STUN:Prevention of Stunting"/>
    <m/>
    <m/>
    <s v="Manakara"/>
    <x v="1"/>
    <m/>
    <s v="Fitovinany"/>
    <x v="2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2"/>
    <n v="2024"/>
    <x v="1"/>
    <s v="Nutrition"/>
    <x v="1"/>
    <s v="NPA_STUN:Prevention of Stunting"/>
    <m/>
    <m/>
    <s v="Manakara"/>
    <x v="1"/>
    <m/>
    <s v="Vatovavy"/>
    <x v="13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Manakara"/>
    <x v="1"/>
    <m/>
    <s v="Fitovinany"/>
    <x v="2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2"/>
    <n v="2024"/>
    <x v="1"/>
    <s v="Nutrition"/>
    <x v="2"/>
    <s v="NPA_STUN:Prevention of Stunting"/>
    <m/>
    <m/>
    <s v="Manakara"/>
    <x v="1"/>
    <m/>
    <s v="Vatovavy"/>
    <x v="13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s v="Taolagnaro"/>
    <s v="Fort dauphin"/>
    <x v="0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AMAL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VAR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KISE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ARABEMOK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TANANTSO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ILANY HAUT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ONDROMEN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MILITS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SETA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FOTADREVO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ZA HAUT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SAKO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TSIRIR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LINJ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TOHABAT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ALATA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SONJO 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BAKAK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KATRAFA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GNAVOHA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MANDABE ANKILIMAR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TANANDAVA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ALAFANTSIK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1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1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1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1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s v="Taolagnaro"/>
    <s v="Anosy"/>
    <x v="0"/>
    <s v="YPA"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2"/>
    <s v="GD"/>
    <x v="3"/>
    <s v="URT_GD: General Distribution"/>
    <n v="1"/>
    <m/>
    <s v="Bekily"/>
    <x v="0"/>
    <s v="Taolagnaro"/>
    <s v="Androy"/>
    <x v="3"/>
    <m/>
    <s v="Ambahita"/>
    <m/>
    <m/>
    <m/>
    <n v="16706"/>
    <n v="3341.2"/>
    <x v="1"/>
    <m/>
    <n v="15"/>
    <n v="100.236"/>
    <n v="0"/>
    <n v="0"/>
    <m/>
    <n v="15.035399999999999"/>
    <n v="8.7706499999999998"/>
    <m/>
    <n v="0"/>
    <n v="0"/>
    <n v="0"/>
    <m/>
    <n v="0"/>
    <n v="124.04205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Amborompotsy"/>
    <m/>
    <m/>
    <m/>
    <n v="17635"/>
    <n v="3527"/>
    <x v="1"/>
    <m/>
    <n v="15"/>
    <n v="105.81"/>
    <n v="0"/>
    <n v="0"/>
    <m/>
    <n v="15.871499999999999"/>
    <n v="9.2583749999999991"/>
    <m/>
    <n v="0"/>
    <n v="0"/>
    <n v="0"/>
    <m/>
    <n v="0"/>
    <n v="130.939875"/>
    <m/>
    <n v="0"/>
  </r>
  <r>
    <x v="2"/>
    <n v="2024"/>
    <x v="2"/>
    <s v="GD"/>
    <x v="3"/>
    <s v="URT_GD: General Distribution"/>
    <n v="1"/>
    <m/>
    <s v="Ambovombe"/>
    <x v="0"/>
    <s v="Taolagnaro"/>
    <s v="Androy"/>
    <x v="1"/>
    <m/>
    <s v="Andalatanosy"/>
    <m/>
    <m/>
    <m/>
    <n v="33828"/>
    <n v="6765.6"/>
    <x v="1"/>
    <m/>
    <n v="15"/>
    <n v="202.96799999999999"/>
    <n v="0"/>
    <n v="0"/>
    <m/>
    <n v="30.4452"/>
    <n v="17.759699999999999"/>
    <m/>
    <n v="0"/>
    <n v="0"/>
    <n v="0"/>
    <m/>
    <n v="0"/>
    <n v="251.1729"/>
    <m/>
    <n v="0"/>
  </r>
  <r>
    <x v="2"/>
    <n v="2024"/>
    <x v="2"/>
    <s v="GD"/>
    <x v="3"/>
    <s v="URT_GD: General Distribution"/>
    <n v="2"/>
    <m/>
    <s v="Amboasary"/>
    <x v="0"/>
    <s v="Taolagnaro"/>
    <s v="Anosy"/>
    <x v="5"/>
    <m/>
    <s v="Andranobory"/>
    <m/>
    <m/>
    <m/>
    <n v="7275"/>
    <n v="1455"/>
    <x v="1"/>
    <m/>
    <n v="15"/>
    <n v="43.65"/>
    <n v="0"/>
    <n v="0"/>
    <m/>
    <n v="6.5475000000000003"/>
    <n v="3.819375"/>
    <m/>
    <n v="0"/>
    <n v="0"/>
    <n v="0"/>
    <m/>
    <n v="0"/>
    <n v="54.01687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Androipano"/>
    <m/>
    <m/>
    <m/>
    <n v="11555"/>
    <n v="2311"/>
    <x v="1"/>
    <m/>
    <n v="15"/>
    <n v="69.33"/>
    <n v="0"/>
    <n v="0"/>
    <m/>
    <n v="10.3995"/>
    <n v="6.0663749999999999"/>
    <m/>
    <n v="0"/>
    <n v="0"/>
    <n v="0"/>
    <m/>
    <n v="0"/>
    <n v="85.795874999999995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Androka"/>
    <m/>
    <m/>
    <m/>
    <n v="35000"/>
    <n v="7000"/>
    <x v="1"/>
    <m/>
    <n v="15"/>
    <n v="210"/>
    <n v="0"/>
    <n v="0"/>
    <m/>
    <n v="31.5"/>
    <n v="18.375"/>
    <m/>
    <n v="0"/>
    <n v="0"/>
    <n v="0"/>
    <m/>
    <n v="0"/>
    <n v="259.875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Anivorano Mitsinjo"/>
    <m/>
    <m/>
    <m/>
    <n v="6800"/>
    <n v="1360"/>
    <x v="1"/>
    <m/>
    <n v="15"/>
    <n v="40.799999999999997"/>
    <n v="0"/>
    <n v="0"/>
    <m/>
    <n v="6.12"/>
    <n v="3.57"/>
    <m/>
    <n v="0"/>
    <n v="0"/>
    <n v="0"/>
    <m/>
    <n v="0"/>
    <n v="50.489999999999995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Anja Nord"/>
    <m/>
    <m/>
    <m/>
    <n v="3770"/>
    <n v="754"/>
    <x v="1"/>
    <m/>
    <n v="15"/>
    <n v="22.62"/>
    <n v="0"/>
    <n v="0"/>
    <m/>
    <n v="3.3929999999999998"/>
    <n v="1.97925"/>
    <m/>
    <n v="0"/>
    <n v="0"/>
    <n v="0"/>
    <m/>
    <n v="0"/>
    <n v="27.992250000000002"/>
    <m/>
    <n v="0"/>
  </r>
  <r>
    <x v="2"/>
    <n v="2024"/>
    <x v="2"/>
    <s v="GD"/>
    <x v="3"/>
    <s v="URT_GD: General Distribution"/>
    <n v="1"/>
    <m/>
    <s v="Ambovombe"/>
    <x v="0"/>
    <s v="Taolagnaro"/>
    <s v="Androy"/>
    <x v="1"/>
    <m/>
    <s v="Ampamata"/>
    <m/>
    <m/>
    <m/>
    <n v="10150"/>
    <n v="2030"/>
    <x v="1"/>
    <m/>
    <n v="15"/>
    <n v="60.9"/>
    <n v="0"/>
    <n v="0"/>
    <m/>
    <n v="9.1349999999999998"/>
    <n v="5.3287500000000003"/>
    <m/>
    <n v="0"/>
    <n v="0"/>
    <n v="0"/>
    <m/>
    <n v="0"/>
    <n v="75.363749999999996"/>
    <m/>
    <n v="0"/>
  </r>
  <r>
    <x v="2"/>
    <n v="2024"/>
    <x v="2"/>
    <s v="GD"/>
    <x v="3"/>
    <s v="URT_GD: General Distribution"/>
    <n v="1"/>
    <m/>
    <s v="Ambovombe"/>
    <x v="0"/>
    <s v="Taolagnaro"/>
    <s v="Androy"/>
    <x v="1"/>
    <m/>
    <s v="Anjeky Ankilikira"/>
    <m/>
    <m/>
    <m/>
    <n v="18880"/>
    <n v="3776"/>
    <x v="1"/>
    <m/>
    <n v="15"/>
    <n v="113.28"/>
    <n v="0"/>
    <n v="0"/>
    <m/>
    <n v="16.992000000000001"/>
    <n v="9.9120000000000008"/>
    <m/>
    <n v="0"/>
    <n v="0"/>
    <n v="0"/>
    <m/>
    <n v="0"/>
    <n v="140.184"/>
    <m/>
    <n v="0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Ankazombalala"/>
    <m/>
    <m/>
    <m/>
    <n v="12000"/>
    <n v="2400"/>
    <x v="1"/>
    <m/>
    <n v="15"/>
    <n v="72"/>
    <n v="0"/>
    <n v="0"/>
    <m/>
    <n v="10.8"/>
    <n v="6.3"/>
    <m/>
    <n v="0"/>
    <n v="0"/>
    <n v="0"/>
    <m/>
    <n v="0"/>
    <n v="89.1"/>
    <m/>
    <n v="0"/>
  </r>
  <r>
    <x v="2"/>
    <n v="2024"/>
    <x v="2"/>
    <s v="GD"/>
    <x v="3"/>
    <s v="URT_GD: General Distribution"/>
    <n v="2"/>
    <m/>
    <m/>
    <x v="1"/>
    <m/>
    <s v="Atsimo Antsinana"/>
    <x v="8"/>
    <m/>
    <s v="Anandravy"/>
    <m/>
    <m/>
    <m/>
    <n v="4797"/>
    <n v="959.4"/>
    <x v="1"/>
    <m/>
    <n v="15"/>
    <n v="28.782"/>
    <n v="0"/>
    <n v="0"/>
    <m/>
    <n v="4.3173000000000004"/>
    <n v="2.5184250000000001"/>
    <m/>
    <n v="0"/>
    <n v="0"/>
    <n v="0"/>
    <m/>
    <n v="0"/>
    <n v="35.617725"/>
    <m/>
    <n v="0"/>
  </r>
  <r>
    <x v="2"/>
    <n v="2024"/>
    <x v="2"/>
    <s v="GD"/>
    <x v="3"/>
    <s v="URT_GD: General Distribution"/>
    <n v="2"/>
    <m/>
    <s v="Ampanihy"/>
    <x v="2"/>
    <s v="Tuléar"/>
    <s v="Atsimo Andrefana"/>
    <x v="4"/>
    <m/>
    <s v="Ankiliabo"/>
    <m/>
    <m/>
    <m/>
    <n v="18100"/>
    <n v="3620"/>
    <x v="1"/>
    <m/>
    <n v="15"/>
    <n v="108.6"/>
    <n v="0"/>
    <n v="0"/>
    <m/>
    <n v="16.29"/>
    <n v="9.5024999999999995"/>
    <m/>
    <n v="0"/>
    <n v="0"/>
    <n v="0"/>
    <m/>
    <n v="0"/>
    <n v="134.39249999999998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Antsakoamaro"/>
    <m/>
    <m/>
    <m/>
    <n v="6201"/>
    <n v="1240.2"/>
    <x v="1"/>
    <m/>
    <n v="15"/>
    <n v="37.206000000000003"/>
    <n v="0"/>
    <n v="0"/>
    <m/>
    <n v="5.5808999999999997"/>
    <n v="3.255525"/>
    <m/>
    <n v="0"/>
    <n v="0"/>
    <n v="0"/>
    <m/>
    <n v="0"/>
    <n v="46.042425000000001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Belafike haut"/>
    <m/>
    <m/>
    <m/>
    <n v="10195"/>
    <n v="2039"/>
    <x v="1"/>
    <m/>
    <n v="15"/>
    <n v="61.17"/>
    <n v="0"/>
    <n v="0"/>
    <m/>
    <n v="9.1754999999999995"/>
    <n v="5.3523750000000003"/>
    <m/>
    <n v="0"/>
    <n v="0"/>
    <n v="0"/>
    <m/>
    <n v="0"/>
    <n v="75.697874999999996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Belindo Mahasoa"/>
    <m/>
    <m/>
    <m/>
    <n v="15000"/>
    <n v="3000"/>
    <x v="1"/>
    <m/>
    <n v="15"/>
    <n v="90"/>
    <n v="0"/>
    <n v="0"/>
    <m/>
    <n v="13.5"/>
    <n v="7.875"/>
    <m/>
    <n v="0"/>
    <n v="0"/>
    <n v="0"/>
    <m/>
    <n v="0"/>
    <n v="111.375"/>
    <m/>
    <n v="0"/>
  </r>
  <r>
    <x v="2"/>
    <n v="2024"/>
    <x v="2"/>
    <s v="GD"/>
    <x v="3"/>
    <s v="URT_GD: General Distribution"/>
    <n v="1"/>
    <m/>
    <s v="Tuléar"/>
    <x v="3"/>
    <s v="Tuléar"/>
    <s v="Atsimo Andrefana"/>
    <x v="7"/>
    <m/>
    <s v="Beora"/>
    <m/>
    <m/>
    <m/>
    <n v="1000"/>
    <n v="200"/>
    <x v="1"/>
    <m/>
    <n v="15"/>
    <n v="6"/>
    <n v="0"/>
    <n v="0"/>
    <m/>
    <n v="0.9"/>
    <n v="0.52500000000000002"/>
    <m/>
    <n v="0"/>
    <n v="0"/>
    <n v="0"/>
    <m/>
    <n v="0"/>
    <n v="7.4250000000000007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Bevitiky"/>
    <m/>
    <m/>
    <m/>
    <n v="6341"/>
    <n v="1268.2"/>
    <x v="1"/>
    <m/>
    <n v="15"/>
    <n v="38.045999999999999"/>
    <n v="0"/>
    <n v="0"/>
    <m/>
    <n v="5.7069000000000001"/>
    <n v="3.3290250000000001"/>
    <m/>
    <n v="0"/>
    <n v="0"/>
    <n v="0"/>
    <m/>
    <n v="0"/>
    <n v="47.081924999999998"/>
    <m/>
    <n v="0"/>
  </r>
  <r>
    <x v="2"/>
    <n v="2024"/>
    <x v="2"/>
    <s v="GD"/>
    <x v="3"/>
    <s v="URT_GD: General Distribution"/>
    <n v="1"/>
    <m/>
    <s v="Amboasary"/>
    <x v="0"/>
    <s v="Taolagnaro"/>
    <s v="Anosy"/>
    <x v="0"/>
    <m/>
    <s v="Ebelo"/>
    <m/>
    <m/>
    <m/>
    <n v="13542"/>
    <n v="2708.4"/>
    <x v="1"/>
    <m/>
    <n v="15"/>
    <n v="81.251999999999995"/>
    <n v="0"/>
    <n v="0"/>
    <m/>
    <n v="12.187799999999999"/>
    <n v="7.1095499999999996"/>
    <m/>
    <n v="0"/>
    <n v="0"/>
    <n v="0"/>
    <m/>
    <n v="0"/>
    <n v="100.5493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Gogogogo"/>
    <m/>
    <m/>
    <m/>
    <n v="18955"/>
    <n v="3791"/>
    <x v="1"/>
    <m/>
    <n v="15"/>
    <n v="113.73"/>
    <n v="0"/>
    <n v="0"/>
    <m/>
    <n v="17.0595"/>
    <n v="9.9513750000000005"/>
    <m/>
    <n v="0"/>
    <n v="0"/>
    <n v="0"/>
    <m/>
    <n v="0"/>
    <n v="140.74087500000002"/>
    <m/>
    <n v="0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Lazarivo"/>
    <m/>
    <m/>
    <m/>
    <n v="10900"/>
    <n v="2180"/>
    <x v="1"/>
    <m/>
    <n v="15"/>
    <n v="65.400000000000006"/>
    <n v="0"/>
    <n v="0"/>
    <m/>
    <n v="9.81"/>
    <n v="5.7225000000000001"/>
    <m/>
    <n v="0"/>
    <n v="0"/>
    <n v="0"/>
    <m/>
    <n v="0"/>
    <n v="80.932500000000005"/>
    <m/>
    <n v="0"/>
  </r>
  <r>
    <x v="2"/>
    <n v="2024"/>
    <x v="2"/>
    <s v="GD"/>
    <x v="3"/>
    <s v="URT_GD: General Distribution"/>
    <n v="1"/>
    <m/>
    <s v="Amboasary"/>
    <x v="0"/>
    <s v="Taolagnaro"/>
    <s v="Anosy"/>
    <x v="0"/>
    <m/>
    <s v="Mahabo"/>
    <m/>
    <m/>
    <m/>
    <n v="5759"/>
    <n v="1151.8"/>
    <x v="1"/>
    <m/>
    <n v="15"/>
    <n v="34.554000000000002"/>
    <n v="0"/>
    <n v="0"/>
    <m/>
    <n v="5.1830999999999996"/>
    <n v="3.0234749999999999"/>
    <m/>
    <n v="0"/>
    <n v="0"/>
    <n v="0"/>
    <m/>
    <n v="0"/>
    <n v="42.760574999999996"/>
    <m/>
    <n v="0"/>
  </r>
  <r>
    <x v="2"/>
    <n v="2024"/>
    <x v="2"/>
    <s v="GD"/>
    <x v="3"/>
    <s v="URT_GD: General Distribution"/>
    <n v="1"/>
    <m/>
    <s v="Amboasary"/>
    <x v="0"/>
    <s v="Taolagnaro"/>
    <s v="Anosy"/>
    <x v="0"/>
    <m/>
    <s v="Mahaly"/>
    <m/>
    <m/>
    <m/>
    <n v="20745"/>
    <n v="4149"/>
    <x v="1"/>
    <m/>
    <n v="15"/>
    <n v="124.47"/>
    <n v="0"/>
    <n v="0"/>
    <m/>
    <n v="18.670500000000001"/>
    <n v="10.891125000000001"/>
    <m/>
    <n v="0"/>
    <n v="0"/>
    <n v="0"/>
    <m/>
    <n v="0"/>
    <n v="154.03162499999999"/>
    <m/>
    <n v="0"/>
  </r>
  <r>
    <x v="2"/>
    <n v="2024"/>
    <x v="2"/>
    <s v="GD"/>
    <x v="3"/>
    <s v="URT_GD: General Distribution"/>
    <n v="2"/>
    <m/>
    <m/>
    <x v="1"/>
    <m/>
    <s v="Atsimo Antsinana"/>
    <x v="8"/>
    <m/>
    <s v="Mahatsinjo"/>
    <m/>
    <m/>
    <m/>
    <n v="7686"/>
    <n v="1537.2"/>
    <x v="1"/>
    <m/>
    <n v="15"/>
    <n v="46.116"/>
    <n v="0"/>
    <n v="0"/>
    <m/>
    <n v="6.9173999999999998"/>
    <n v="4.0351499999999998"/>
    <m/>
    <n v="0"/>
    <n v="0"/>
    <n v="0"/>
    <m/>
    <n v="0"/>
    <n v="57.068550000000002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Manakompy"/>
    <m/>
    <m/>
    <m/>
    <n v="6759"/>
    <n v="1351.8"/>
    <x v="1"/>
    <m/>
    <n v="15"/>
    <n v="40.554000000000002"/>
    <n v="0"/>
    <n v="0"/>
    <m/>
    <n v="6.0831"/>
    <n v="3.5484749999999998"/>
    <m/>
    <n v="0"/>
    <n v="0"/>
    <n v="0"/>
    <m/>
    <n v="0"/>
    <n v="50.185575"/>
    <m/>
    <n v="0"/>
  </r>
  <r>
    <x v="2"/>
    <n v="2024"/>
    <x v="2"/>
    <s v="GD"/>
    <x v="3"/>
    <s v="URT_GD: General Distribution"/>
    <n v="2"/>
    <m/>
    <s v="Amboasary"/>
    <x v="0"/>
    <s v="Taolagnaro"/>
    <s v="Anosy"/>
    <x v="0"/>
    <m/>
    <s v="Maromby"/>
    <m/>
    <m/>
    <m/>
    <n v="15242"/>
    <n v="3048.4"/>
    <x v="1"/>
    <m/>
    <n v="15"/>
    <n v="91.451999999999998"/>
    <n v="0"/>
    <n v="0"/>
    <m/>
    <n v="13.7178"/>
    <n v="8.0020500000000006"/>
    <m/>
    <n v="0"/>
    <n v="0"/>
    <n v="0"/>
    <m/>
    <n v="0"/>
    <n v="113.1718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x v="4"/>
    <m/>
    <s v="Ankilizato"/>
    <m/>
    <m/>
    <m/>
    <n v="7940"/>
    <n v="1588"/>
    <x v="1"/>
    <m/>
    <n v="15"/>
    <n v="47.64"/>
    <n v="0"/>
    <n v="0"/>
    <m/>
    <n v="7.1459999999999999"/>
    <n v="4.1684999999999999"/>
    <m/>
    <n v="0"/>
    <n v="0"/>
    <n v="0"/>
    <m/>
    <n v="0"/>
    <n v="58.954500000000003"/>
    <m/>
    <n v="0"/>
  </r>
  <r>
    <x v="2"/>
    <n v="2024"/>
    <x v="2"/>
    <s v="GD"/>
    <x v="3"/>
    <s v="URT_GD: General Distribution"/>
    <n v="1"/>
    <m/>
    <s v="Tuléar"/>
    <x v="3"/>
    <s v="Tuléar"/>
    <s v="Atsimo Andrefana"/>
    <x v="7"/>
    <m/>
    <s v="Marosavoa"/>
    <m/>
    <m/>
    <m/>
    <n v="3766"/>
    <n v="753.2"/>
    <x v="1"/>
    <m/>
    <n v="15"/>
    <n v="22.596"/>
    <n v="0"/>
    <n v="0"/>
    <m/>
    <n v="3.3894000000000002"/>
    <n v="1.97715"/>
    <m/>
    <n v="0"/>
    <n v="0"/>
    <n v="0"/>
    <m/>
    <n v="0"/>
    <n v="27.96255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Maroviro"/>
    <m/>
    <m/>
    <m/>
    <n v="12420"/>
    <n v="2484"/>
    <x v="1"/>
    <m/>
    <n v="15"/>
    <n v="74.52"/>
    <n v="0"/>
    <n v="0"/>
    <m/>
    <n v="11.178000000000001"/>
    <n v="6.5205000000000002"/>
    <m/>
    <n v="0"/>
    <n v="0"/>
    <n v="0"/>
    <m/>
    <n v="0"/>
    <n v="92.218499999999992"/>
    <m/>
    <n v="0"/>
  </r>
  <r>
    <x v="2"/>
    <n v="2024"/>
    <x v="2"/>
    <s v="GD"/>
    <x v="3"/>
    <s v="URT_GD: General Distribution"/>
    <n v="1"/>
    <m/>
    <m/>
    <x v="1"/>
    <m/>
    <s v="Atsimo Antsinana"/>
    <x v="10"/>
    <m/>
    <s v="Matanga"/>
    <m/>
    <m/>
    <m/>
    <n v="13734"/>
    <n v="2746.8"/>
    <x v="1"/>
    <m/>
    <n v="15"/>
    <n v="82.403999999999996"/>
    <n v="0"/>
    <n v="0"/>
    <m/>
    <n v="12.3606"/>
    <n v="7.21035"/>
    <m/>
    <n v="0"/>
    <n v="0"/>
    <n v="0"/>
    <m/>
    <n v="0"/>
    <n v="101.97495000000001"/>
    <m/>
    <n v="0"/>
  </r>
  <r>
    <x v="2"/>
    <n v="2024"/>
    <x v="2"/>
    <s v="GD"/>
    <x v="3"/>
    <s v="URT_GD: General Distribution"/>
    <n v="1"/>
    <m/>
    <m/>
    <x v="1"/>
    <m/>
    <s v="Atsimo Antsinana"/>
    <x v="11"/>
    <m/>
    <s v="Antondabe"/>
    <m/>
    <m/>
    <m/>
    <n v="5174"/>
    <n v="1034.8"/>
    <x v="1"/>
    <m/>
    <n v="15"/>
    <n v="31.044"/>
    <n v="0"/>
    <n v="0"/>
    <m/>
    <n v="4.6566000000000001"/>
    <n v="2.7163499999999998"/>
    <m/>
    <n v="0"/>
    <n v="0"/>
    <n v="0"/>
    <m/>
    <n v="0"/>
    <n v="38.41695"/>
    <m/>
    <m/>
  </r>
  <r>
    <x v="2"/>
    <n v="2024"/>
    <x v="2"/>
    <s v="GD"/>
    <x v="3"/>
    <s v="URT_GD: General Distribution"/>
    <n v="1"/>
    <m/>
    <s v="Amboasary"/>
    <x v="0"/>
    <s v="Taolagnaro"/>
    <s v="Anosy"/>
    <x v="0"/>
    <m/>
    <s v="Ranobe"/>
    <m/>
    <m/>
    <m/>
    <n v="8462"/>
    <n v="1692.4"/>
    <x v="1"/>
    <m/>
    <n v="15"/>
    <n v="50.771999999999998"/>
    <n v="0"/>
    <n v="0"/>
    <m/>
    <n v="7.6158000000000001"/>
    <n v="4.4425499999999998"/>
    <m/>
    <n v="0"/>
    <n v="0"/>
    <n v="0"/>
    <m/>
    <n v="0"/>
    <n v="62.830349999999996"/>
    <m/>
    <n v="0"/>
  </r>
  <r>
    <x v="2"/>
    <n v="2024"/>
    <x v="2"/>
    <s v="GD"/>
    <x v="3"/>
    <s v="URT_GD: General Distribution"/>
    <n v="2"/>
    <m/>
    <s v="Amboasary"/>
    <x v="0"/>
    <s v="Taolagnaro"/>
    <s v="Anosy"/>
    <x v="0"/>
    <m/>
    <s v="Tanandva Sud"/>
    <m/>
    <m/>
    <m/>
    <n v="11033"/>
    <n v="2206.6"/>
    <x v="1"/>
    <m/>
    <n v="15"/>
    <n v="66.197999999999993"/>
    <n v="0"/>
    <n v="0"/>
    <m/>
    <n v="9.9297000000000004"/>
    <n v="5.7923249999999999"/>
    <m/>
    <n v="0"/>
    <n v="0"/>
    <n v="0"/>
    <m/>
    <n v="0"/>
    <n v="81.920024999999995"/>
    <m/>
    <n v="0"/>
  </r>
  <r>
    <x v="2"/>
    <n v="2024"/>
    <x v="2"/>
    <s v="GD"/>
    <x v="3"/>
    <s v="URT_GD: General Distribution"/>
    <n v="1"/>
    <m/>
    <s v="Ambovombe"/>
    <x v="0"/>
    <s v="Taolagnaro"/>
    <s v="Androy"/>
    <x v="1"/>
    <m/>
    <s v="Jafaro"/>
    <m/>
    <m/>
    <m/>
    <n v="26677"/>
    <n v="5335.4"/>
    <x v="1"/>
    <m/>
    <n v="15"/>
    <n v="160.06200000000001"/>
    <n v="0"/>
    <n v="0"/>
    <m/>
    <n v="24.0093"/>
    <n v="14.005425000000001"/>
    <m/>
    <n v="0"/>
    <n v="0"/>
    <n v="0"/>
    <m/>
    <n v="0"/>
    <n v="198.07672500000001"/>
    <m/>
    <n v="0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Tongobory"/>
    <m/>
    <m/>
    <m/>
    <n v="8716"/>
    <n v="1743.2"/>
    <x v="1"/>
    <m/>
    <n v="15"/>
    <n v="52.295999999999999"/>
    <n v="0"/>
    <n v="0"/>
    <m/>
    <n v="7.8444000000000003"/>
    <n v="4.5758999999999999"/>
    <m/>
    <n v="0"/>
    <n v="0"/>
    <n v="0"/>
    <m/>
    <n v="0"/>
    <n v="64.716300000000004"/>
    <m/>
    <n v="0"/>
  </r>
  <r>
    <x v="2"/>
    <n v="2024"/>
    <x v="2"/>
    <s v="GD"/>
    <x v="3"/>
    <s v="URT_GD: General Distribution"/>
    <n v="1"/>
    <m/>
    <m/>
    <x v="1"/>
    <m/>
    <s v="Atsimo Antsinana"/>
    <x v="10"/>
    <m/>
    <s v="Manambondro"/>
    <m/>
    <m/>
    <m/>
    <n v="4868"/>
    <n v="973.6"/>
    <x v="1"/>
    <m/>
    <n v="15"/>
    <n v="29.207999999999998"/>
    <n v="0"/>
    <n v="0"/>
    <m/>
    <n v="4.3811999999999998"/>
    <n v="2.5556999999999999"/>
    <m/>
    <n v="0"/>
    <n v="0"/>
    <n v="0"/>
    <m/>
    <n v="0"/>
    <n v="36.1449"/>
    <m/>
    <n v="0"/>
  </r>
  <r>
    <x v="2"/>
    <n v="2024"/>
    <x v="2"/>
    <s v="GD"/>
    <x v="3"/>
    <s v="URT_GD: General Distribution"/>
    <n v="1"/>
    <m/>
    <m/>
    <x v="1"/>
    <m/>
    <s v="Atsimo Antsinana"/>
    <x v="10"/>
    <m/>
    <s v="Marokibo"/>
    <m/>
    <m/>
    <m/>
    <n v="4267"/>
    <n v="853.4"/>
    <x v="1"/>
    <m/>
    <n v="15"/>
    <n v="25.602"/>
    <n v="0"/>
    <n v="0"/>
    <m/>
    <n v="3.8403"/>
    <n v="2.2401749999999998"/>
    <m/>
    <n v="0"/>
    <n v="0"/>
    <n v="0"/>
    <m/>
    <n v="0"/>
    <n v="31.682475"/>
    <m/>
    <n v="0"/>
  </r>
  <r>
    <x v="2"/>
    <n v="2024"/>
    <x v="2"/>
    <s v="GD"/>
    <x v="3"/>
    <s v="URT_GD: General Distribution"/>
    <n v="1"/>
    <m/>
    <s v="Tsihombe"/>
    <x v="0"/>
    <s v="Taolagnaro"/>
    <s v="Androy"/>
    <x v="12"/>
    <m/>
    <s v="Tranovaho"/>
    <m/>
    <m/>
    <m/>
    <n v="12629"/>
    <n v="2525.8000000000002"/>
    <x v="1"/>
    <m/>
    <n v="15"/>
    <n v="75.774000000000001"/>
    <n v="0"/>
    <n v="0"/>
    <m/>
    <n v="11.366099999999999"/>
    <n v="6.6302250000000003"/>
    <m/>
    <n v="0"/>
    <n v="0"/>
    <n v="0"/>
    <m/>
    <n v="0"/>
    <n v="93.770325"/>
    <m/>
    <n v="0"/>
  </r>
  <r>
    <x v="2"/>
    <n v="2024"/>
    <x v="2"/>
    <s v="GD"/>
    <x v="3"/>
    <s v="URT_GD: General Distribution"/>
    <n v="1"/>
    <m/>
    <m/>
    <x v="1"/>
    <m/>
    <s v="Atsimo Antsinana"/>
    <x v="10"/>
    <m/>
    <s v="Masianaka"/>
    <m/>
    <m/>
    <m/>
    <n v="19824"/>
    <n v="3964.8"/>
    <x v="1"/>
    <m/>
    <n v="15"/>
    <n v="118.944"/>
    <n v="0"/>
    <n v="0"/>
    <m/>
    <n v="17.8416"/>
    <n v="10.4076"/>
    <m/>
    <n v="0"/>
    <n v="0"/>
    <n v="0"/>
    <m/>
    <n v="0"/>
    <n v="147.19319999999999"/>
    <m/>
    <n v="0"/>
  </r>
  <r>
    <x v="2"/>
    <n v="2024"/>
    <x v="2"/>
    <s v="GD"/>
    <x v="3"/>
    <s v="URT_GD: General Distribution"/>
    <n v="1"/>
    <m/>
    <m/>
    <x v="1"/>
    <m/>
    <s v="Atsimo Antsinana"/>
    <x v="10"/>
    <m/>
    <s v="Ranomena"/>
    <m/>
    <m/>
    <m/>
    <n v="17521"/>
    <n v="3504.2"/>
    <x v="1"/>
    <m/>
    <n v="15"/>
    <n v="105.126"/>
    <n v="0"/>
    <n v="0"/>
    <m/>
    <n v="15.7689"/>
    <n v="9.1985250000000001"/>
    <m/>
    <n v="0"/>
    <n v="0"/>
    <n v="0"/>
    <m/>
    <n v="0"/>
    <n v="130.093425"/>
    <m/>
    <n v="0"/>
  </r>
  <r>
    <x v="2"/>
    <n v="2024"/>
    <x v="2"/>
    <s v="GD"/>
    <x v="3"/>
    <s v="URT_GD: General Distribution"/>
    <n v="1"/>
    <m/>
    <s v="Bekily"/>
    <x v="0"/>
    <s v="Taolagnaro"/>
    <s v="Androy"/>
    <x v="3"/>
    <m/>
    <s v="Tsikolaky"/>
    <m/>
    <m/>
    <m/>
    <n v="5748"/>
    <n v="1149.5999999999999"/>
    <x v="1"/>
    <m/>
    <n v="15"/>
    <n v="34.488"/>
    <n v="0"/>
    <n v="0"/>
    <m/>
    <n v="5.1731999999999996"/>
    <n v="3.0177"/>
    <m/>
    <n v="0"/>
    <n v="0"/>
    <n v="0"/>
    <m/>
    <n v="0"/>
    <n v="42.678899999999999"/>
    <m/>
    <n v="0"/>
  </r>
  <r>
    <x v="2"/>
    <n v="2024"/>
    <x v="2"/>
    <s v="GD"/>
    <x v="3"/>
    <s v="URT_GD: General Distribution"/>
    <n v="1"/>
    <m/>
    <m/>
    <x v="1"/>
    <m/>
    <s v="Vatovavy"/>
    <x v="6"/>
    <m/>
    <s v="Ambahy"/>
    <m/>
    <m/>
    <m/>
    <n v="3744"/>
    <n v="748.8"/>
    <x v="0"/>
    <m/>
    <n v="15"/>
    <n v="0"/>
    <n v="0"/>
    <n v="0"/>
    <n v="0"/>
    <n v="0"/>
    <n v="0"/>
    <n v="0"/>
    <n v="0"/>
    <n v="0"/>
    <n v="0"/>
    <n v="0"/>
    <n v="0"/>
    <n v="0"/>
    <n v="89856000"/>
    <n v="19708.980202406594"/>
  </r>
  <r>
    <x v="2"/>
    <n v="2024"/>
    <x v="2"/>
    <s v="GD"/>
    <x v="3"/>
    <s v="URT_GD: General Distribution"/>
    <n v="1"/>
    <m/>
    <m/>
    <x v="1"/>
    <m/>
    <s v="Vatovavy"/>
    <x v="6"/>
    <m/>
    <s v="Ambodirian'I Sahafary"/>
    <m/>
    <m/>
    <m/>
    <n v="18225"/>
    <n v="3645"/>
    <x v="0"/>
    <m/>
    <n v="15"/>
    <n v="0"/>
    <n v="0"/>
    <n v="0"/>
    <n v="0"/>
    <n v="0"/>
    <n v="0"/>
    <n v="0"/>
    <n v="0"/>
    <n v="0"/>
    <n v="0"/>
    <n v="0"/>
    <n v="0"/>
    <n v="0"/>
    <n v="437400000"/>
    <n v="95939.146417964788"/>
  </r>
  <r>
    <x v="2"/>
    <n v="2024"/>
    <x v="2"/>
    <s v="GD"/>
    <x v="3"/>
    <s v="URT_GD: General Distribution"/>
    <n v="2"/>
    <m/>
    <m/>
    <x v="1"/>
    <m/>
    <s v="Atsimo Antsinana"/>
    <x v="9"/>
    <m/>
    <s v="Andranolalina"/>
    <m/>
    <m/>
    <m/>
    <n v="7334"/>
    <n v="1466.8"/>
    <x v="0"/>
    <m/>
    <n v="15"/>
    <n v="0"/>
    <n v="0"/>
    <n v="0"/>
    <n v="0"/>
    <n v="0"/>
    <n v="0"/>
    <n v="0"/>
    <n v="0"/>
    <n v="0"/>
    <n v="0"/>
    <n v="0"/>
    <n v="0"/>
    <n v="0"/>
    <n v="176016000"/>
    <n v="38607.281197769749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Ankazomanga Ouest"/>
    <m/>
    <m/>
    <m/>
    <n v="3627"/>
    <n v="725.4"/>
    <x v="0"/>
    <m/>
    <n v="15"/>
    <n v="0"/>
    <n v="0"/>
    <n v="0"/>
    <n v="0"/>
    <n v="0"/>
    <n v="0"/>
    <n v="0"/>
    <n v="0"/>
    <n v="0"/>
    <n v="0"/>
    <n v="0"/>
    <n v="0"/>
    <n v="0"/>
    <n v="87048000"/>
    <n v="19093.074571081386"/>
  </r>
  <r>
    <x v="2"/>
    <n v="2024"/>
    <x v="2"/>
    <s v="GD"/>
    <x v="3"/>
    <s v="URT_GD: General Distribution"/>
    <n v="1"/>
    <m/>
    <s v="Ambovombe"/>
    <x v="0"/>
    <s v="Taolagnaro"/>
    <s v="Androy"/>
    <x v="1"/>
    <m/>
    <s v="Antanimora Atsimo"/>
    <m/>
    <m/>
    <m/>
    <n v="26403"/>
    <n v="5280.6"/>
    <x v="0"/>
    <m/>
    <n v="15"/>
    <n v="0"/>
    <n v="0"/>
    <n v="0"/>
    <n v="0"/>
    <n v="0"/>
    <n v="0"/>
    <n v="0"/>
    <n v="0"/>
    <n v="0"/>
    <n v="0"/>
    <n v="0"/>
    <n v="0"/>
    <n v="0"/>
    <n v="633672000"/>
    <n v="138989.37080238815"/>
  </r>
  <r>
    <x v="2"/>
    <n v="2024"/>
    <x v="2"/>
    <s v="GD"/>
    <x v="3"/>
    <s v="URT_GD: General Distribution"/>
    <n v="1"/>
    <m/>
    <m/>
    <x v="1"/>
    <m/>
    <s v="Atsimo Antsinana"/>
    <x v="11"/>
    <m/>
    <s v="Befotaka Sud"/>
    <m/>
    <m/>
    <m/>
    <n v="10257"/>
    <n v="2051.4"/>
    <x v="0"/>
    <m/>
    <n v="15"/>
    <n v="0"/>
    <n v="0"/>
    <n v="0"/>
    <n v="0"/>
    <n v="0"/>
    <n v="0"/>
    <n v="0"/>
    <n v="0"/>
    <n v="0"/>
    <n v="0"/>
    <n v="0"/>
    <n v="0"/>
    <n v="0"/>
    <n v="246168000"/>
    <n v="53994.393679509725"/>
  </r>
  <r>
    <x v="2"/>
    <n v="2024"/>
    <x v="2"/>
    <s v="GD"/>
    <x v="3"/>
    <s v="URT_GD: General Distribution"/>
    <n v="1"/>
    <m/>
    <m/>
    <x v="1"/>
    <m/>
    <s v="Vatovavy"/>
    <x v="6"/>
    <m/>
    <s v="Fanivelona"/>
    <m/>
    <m/>
    <m/>
    <n v="10240"/>
    <n v="2048"/>
    <x v="0"/>
    <m/>
    <n v="15"/>
    <n v="0"/>
    <n v="0"/>
    <n v="0"/>
    <n v="0"/>
    <n v="0"/>
    <n v="0"/>
    <n v="0"/>
    <n v="0"/>
    <n v="0"/>
    <n v="0"/>
    <n v="0"/>
    <n v="0"/>
    <n v="0"/>
    <n v="245760000"/>
    <n v="53904.903117693248"/>
  </r>
  <r>
    <x v="2"/>
    <n v="2024"/>
    <x v="2"/>
    <s v="GD"/>
    <x v="3"/>
    <s v="URT_GD: General Distribution"/>
    <n v="1"/>
    <m/>
    <m/>
    <x v="1"/>
    <m/>
    <s v="Vatovavy"/>
    <x v="6"/>
    <m/>
    <s v="Fiadanana"/>
    <m/>
    <m/>
    <m/>
    <n v="12803"/>
    <n v="2560.6"/>
    <x v="0"/>
    <m/>
    <n v="15"/>
    <n v="0"/>
    <n v="0"/>
    <n v="0"/>
    <n v="0"/>
    <n v="0"/>
    <n v="0"/>
    <n v="0"/>
    <n v="0"/>
    <n v="0"/>
    <n v="0"/>
    <n v="0"/>
    <n v="0"/>
    <n v="0"/>
    <n v="307272000"/>
    <n v="67396.921349201817"/>
  </r>
  <r>
    <x v="2"/>
    <n v="2024"/>
    <x v="2"/>
    <s v="GD"/>
    <x v="3"/>
    <s v="URT_GD: General Distribution"/>
    <n v="2"/>
    <m/>
    <m/>
    <x v="1"/>
    <m/>
    <s v="Atsimo Antsinana"/>
    <x v="9"/>
    <m/>
    <s v="Ivondro"/>
    <m/>
    <m/>
    <m/>
    <n v="7475"/>
    <n v="1495"/>
    <x v="0"/>
    <m/>
    <n v="15"/>
    <n v="0"/>
    <n v="0"/>
    <n v="0"/>
    <n v="0"/>
    <n v="0"/>
    <n v="0"/>
    <n v="0"/>
    <n v="0"/>
    <n v="0"/>
    <n v="0"/>
    <n v="0"/>
    <n v="0"/>
    <n v="0"/>
    <n v="179400000"/>
    <n v="39349.526445777054"/>
  </r>
  <r>
    <x v="2"/>
    <n v="2024"/>
    <x v="2"/>
    <s v="GD"/>
    <x v="3"/>
    <s v="URT_GD: General Distribution"/>
    <n v="1"/>
    <m/>
    <s v="Tuléar"/>
    <x v="3"/>
    <s v="Tuléar"/>
    <s v="Atsimo Andrefana"/>
    <x v="7"/>
    <m/>
    <s v="Maroarivo Ankazomanga"/>
    <m/>
    <m/>
    <m/>
    <n v="6455"/>
    <n v="1291"/>
    <x v="0"/>
    <m/>
    <n v="15"/>
    <n v="0"/>
    <n v="0"/>
    <n v="0"/>
    <n v="0"/>
    <n v="0"/>
    <n v="0"/>
    <n v="0"/>
    <n v="0"/>
    <n v="0"/>
    <n v="0"/>
    <n v="0"/>
    <n v="0"/>
    <n v="0"/>
    <n v="154920000"/>
    <n v="33980.092736788079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Salobe"/>
    <m/>
    <m/>
    <m/>
    <n v="4446"/>
    <n v="889.2"/>
    <x v="0"/>
    <m/>
    <n v="15"/>
    <n v="0"/>
    <n v="0"/>
    <n v="0"/>
    <n v="0"/>
    <n v="0"/>
    <n v="0"/>
    <n v="0"/>
    <n v="0"/>
    <n v="0"/>
    <n v="0"/>
    <n v="0"/>
    <n v="0"/>
    <n v="0"/>
    <n v="106704000"/>
    <n v="23404.413990357829"/>
  </r>
  <r>
    <x v="2"/>
    <n v="2024"/>
    <x v="2"/>
    <s v="GD"/>
    <x v="3"/>
    <s v="URT_GD: General Distribution"/>
    <n v="2"/>
    <m/>
    <s v="Tuléar"/>
    <x v="3"/>
    <s v="Tuléar"/>
    <s v="Atsimo Andrefana"/>
    <x v="7"/>
    <m/>
    <s v="Tanambao Haut"/>
    <m/>
    <m/>
    <m/>
    <n v="5765"/>
    <n v="1153"/>
    <x v="0"/>
    <m/>
    <n v="15"/>
    <n v="0"/>
    <n v="0"/>
    <n v="0"/>
    <n v="0"/>
    <n v="0"/>
    <n v="0"/>
    <n v="0"/>
    <n v="0"/>
    <n v="0"/>
    <n v="0"/>
    <n v="0"/>
    <n v="0"/>
    <n v="0"/>
    <n v="138360000"/>
    <n v="30347.828757177886"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x v="4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AMAL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VAR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KISE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ARABEMOK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TANANTSO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ILANY HAUT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ONDROMEN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MILITS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SETA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FOTADREVO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TEZA HAUT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SAKO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DRANOTSIRIR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LINJ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TOHABAT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NIVORANO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MBALATA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ASONJO 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FOTADREVO"/>
    <s v="BEBAKAK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KATRAFA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GNAVOHA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MANDABE ANKILIMAR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TANANDAVA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x v="4"/>
    <s v="TOHANA"/>
    <s v="AGNAVOHA"/>
    <s v="ANALAFANTSIK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2"/>
    <n v="2024"/>
    <x v="1"/>
    <s v="Nutrition"/>
    <x v="1"/>
    <s v="NPA_STUN:Prevention of Stunting"/>
    <m/>
    <m/>
    <s v="Amboasary"/>
    <x v="0"/>
    <s v="Taolagnaro"/>
    <s v="Anosy"/>
    <x v="1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x v="0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2"/>
    <n v="2024"/>
    <x v="1"/>
    <s v="Nutrition"/>
    <x v="2"/>
    <s v="NPA_STUN:Prevention of Stunting"/>
    <m/>
    <m/>
    <s v="Amboasary"/>
    <x v="0"/>
    <s v="Taolagnaro"/>
    <s v="Anosy"/>
    <x v="1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x v="0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x v="3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x v="3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2"/>
    <n v="2024"/>
    <x v="1"/>
    <s v="Nutrition"/>
    <x v="2"/>
    <s v="NPA_STUN:Prevention of Stunting"/>
    <m/>
    <m/>
    <s v="Tuléar"/>
    <x v="3"/>
    <s v="Tuléar"/>
    <s v="Atsimo Andrefana"/>
    <x v="7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2"/>
    <n v="2024"/>
    <x v="1"/>
    <s v="Nutrition"/>
    <x v="1"/>
    <s v="NPA_STUN:Prevention of Stunting"/>
    <m/>
    <m/>
    <s v="Tuléar"/>
    <x v="3"/>
    <s v="Tuléar"/>
    <s v="Atsimo Andrefana"/>
    <x v="7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s v="Taolagnaro"/>
    <s v="Anosy"/>
    <x v="0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s v="Taolagnaro"/>
    <s v="Fort dauphin"/>
    <x v="0"/>
    <s v="YPA"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zaha"/>
    <s v="Bezaha I"/>
    <n v="84"/>
    <m/>
    <n v="84"/>
    <m/>
    <x v="1"/>
    <m/>
    <n v="90"/>
    <m/>
    <m/>
    <m/>
    <m/>
    <m/>
    <m/>
    <m/>
    <n v="0.76500000000000001"/>
    <m/>
    <m/>
    <m/>
    <m/>
    <n v="0.76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zaha"/>
    <s v="Bezaha II"/>
    <n v="100"/>
    <m/>
    <n v="100"/>
    <m/>
    <x v="1"/>
    <m/>
    <n v="90"/>
    <m/>
    <m/>
    <m/>
    <m/>
    <m/>
    <m/>
    <m/>
    <n v="0.9"/>
    <m/>
    <m/>
    <m/>
    <m/>
    <n v="0.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zaha"/>
    <s v="Bezaha III"/>
    <n v="80"/>
    <m/>
    <n v="80"/>
    <m/>
    <x v="1"/>
    <m/>
    <n v="90"/>
    <m/>
    <m/>
    <m/>
    <m/>
    <m/>
    <m/>
    <m/>
    <n v="0.72"/>
    <m/>
    <m/>
    <m/>
    <m/>
    <n v="0.7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zaha"/>
    <s v="Bezaha IV"/>
    <n v="116"/>
    <m/>
    <n v="116"/>
    <m/>
    <x v="1"/>
    <m/>
    <n v="90"/>
    <m/>
    <m/>
    <m/>
    <m/>
    <m/>
    <m/>
    <m/>
    <n v="1.05"/>
    <m/>
    <m/>
    <m/>
    <m/>
    <n v="1.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zaha"/>
    <s v="Misay"/>
    <n v="98"/>
    <m/>
    <n v="98"/>
    <m/>
    <x v="1"/>
    <m/>
    <n v="90"/>
    <m/>
    <m/>
    <m/>
    <m/>
    <m/>
    <m/>
    <m/>
    <n v="0.9"/>
    <m/>
    <m/>
    <m/>
    <m/>
    <n v="0.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lobe"/>
    <s v="Salobe"/>
    <n v="89"/>
    <m/>
    <n v="89"/>
    <m/>
    <x v="1"/>
    <m/>
    <n v="90"/>
    <m/>
    <m/>
    <m/>
    <m/>
    <m/>
    <m/>
    <m/>
    <n v="0.81"/>
    <m/>
    <m/>
    <m/>
    <m/>
    <n v="0.8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lobe"/>
    <s v="Saloambany"/>
    <n v="113"/>
    <m/>
    <n v="113"/>
    <m/>
    <x v="1"/>
    <m/>
    <n v="90"/>
    <m/>
    <m/>
    <m/>
    <m/>
    <m/>
    <m/>
    <m/>
    <n v="1.02"/>
    <m/>
    <m/>
    <m/>
    <m/>
    <n v="1.0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nalobe"/>
    <s v="Manalobe"/>
    <n v="101"/>
    <m/>
    <n v="101"/>
    <m/>
    <x v="1"/>
    <m/>
    <n v="90"/>
    <m/>
    <m/>
    <m/>
    <m/>
    <m/>
    <m/>
    <m/>
    <n v="0.91500000000000004"/>
    <m/>
    <m/>
    <m/>
    <m/>
    <n v="0.9150000000000000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nalobe"/>
    <s v="Ankilamasy"/>
    <n v="52"/>
    <m/>
    <n v="52"/>
    <m/>
    <x v="1"/>
    <m/>
    <n v="90"/>
    <m/>
    <m/>
    <m/>
    <m/>
    <m/>
    <m/>
    <m/>
    <n v="0.48"/>
    <m/>
    <m/>
    <m/>
    <m/>
    <n v="0.4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Fenoandala"/>
    <s v="Fenoandala"/>
    <n v="48"/>
    <m/>
    <n v="48"/>
    <m/>
    <x v="1"/>
    <m/>
    <n v="9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Antevamena Nord"/>
    <n v="0"/>
    <m/>
    <n v="12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Fenoatsimo"/>
    <n v="0"/>
    <m/>
    <n v="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Andraketa"/>
    <n v="0"/>
    <m/>
    <n v="1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Vohibe"/>
    <n v="0"/>
    <m/>
    <n v="13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Tongobory"/>
    <n v="0"/>
    <m/>
    <n v="8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ongobory"/>
    <s v="Ihotry"/>
    <n v="0"/>
    <m/>
    <n v="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ameantsoa"/>
    <s v="Tameantsoa"/>
    <n v="28"/>
    <m/>
    <n v="28"/>
    <m/>
    <x v="1"/>
    <m/>
    <n v="9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ameantsoa"/>
    <s v="Laniry"/>
    <n v="47"/>
    <m/>
    <n v="47"/>
    <m/>
    <x v="1"/>
    <m/>
    <n v="9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ameantsoa"/>
    <s v="Eboro"/>
    <n v="0"/>
    <m/>
    <n v="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Tameantsoa"/>
    <s v="Bemoky"/>
    <n v="0"/>
    <m/>
    <n v="2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Beheloke Haut"/>
    <n v="0"/>
    <m/>
    <n v="13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Ankilibory"/>
    <n v="0"/>
    <m/>
    <n v="18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Beheloka Bas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Ambahevah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Ankilimivony"/>
    <n v="0"/>
    <m/>
    <n v="1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heloka"/>
    <s v="Vatolalak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Efoetse"/>
    <s v="Maintilime"/>
    <n v="0"/>
    <m/>
    <n v="1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Efoetse"/>
    <s v="Ambola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Efoetse"/>
    <s v="Efoetse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Efoetse"/>
    <s v="Maromitilik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Beraketa Est"/>
    <n v="80"/>
    <m/>
    <n v="80"/>
    <m/>
    <x v="1"/>
    <m/>
    <n v="3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Bevatry"/>
    <n v="36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Ankilivalo"/>
    <n v="36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Tanapiso"/>
    <n v="58"/>
    <m/>
    <n v="58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Mitsinjo"/>
    <n v="25"/>
    <m/>
    <n v="25"/>
    <m/>
    <x v="1"/>
    <m/>
    <n v="3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Ranotsara"/>
    <n v="51"/>
    <m/>
    <n v="51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Benenitra"/>
    <n v="60"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nenitra"/>
    <s v="Berevo"/>
    <n v="50"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ilimary"/>
    <s v="Ankilimary"/>
    <n v="80"/>
    <m/>
    <n v="80"/>
    <m/>
    <x v="1"/>
    <m/>
    <n v="90"/>
    <m/>
    <m/>
    <m/>
    <m/>
    <m/>
    <m/>
    <m/>
    <n v="0.72"/>
    <m/>
    <m/>
    <m/>
    <m/>
    <n v="0.7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Ehara"/>
    <s v="Analamena"/>
    <n v="126"/>
    <m/>
    <n v="126"/>
    <m/>
    <x v="1"/>
    <m/>
    <n v="90"/>
    <m/>
    <m/>
    <m/>
    <m/>
    <m/>
    <m/>
    <m/>
    <n v="1.1399999999999999"/>
    <m/>
    <m/>
    <m/>
    <m/>
    <n v="1.139999999999999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mbatry tanamba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ndranokotot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mbatry Mitsinj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mbatry ambony"/>
    <n v="73"/>
    <m/>
    <n v="73"/>
    <m/>
    <x v="1"/>
    <m/>
    <n v="9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Mahab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Besakoa nord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ndranotantel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Besakoa Sud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Ambatry manorih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MBATRY"/>
    <s v="Tsilavondrifots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Andrahavi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Vovomen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Morafen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Beval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Ankazomang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Vonje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Ankavol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Mihong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Tokoendol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Vomba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Ankand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kazomanga Ouest"/>
    <s v="Fanat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mpasindava"/>
    <n v="23"/>
    <m/>
    <n v="23"/>
    <m/>
    <x v="1"/>
    <m/>
    <n v="6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njambalo"/>
    <n v="12"/>
    <m/>
    <n v="12"/>
    <m/>
    <x v="1"/>
    <m/>
    <n v="6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nkiliarivo"/>
    <n v="4"/>
    <m/>
    <n v="4"/>
    <m/>
    <x v="1"/>
    <m/>
    <n v="6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nkotoboke"/>
    <n v="14"/>
    <m/>
    <n v="14"/>
    <m/>
    <x v="1"/>
    <m/>
    <n v="6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nontsy"/>
    <n v="10"/>
    <m/>
    <n v="10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Beantake"/>
    <n v="12"/>
    <m/>
    <n v="12"/>
    <m/>
    <x v="1"/>
    <m/>
    <n v="6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Befaha"/>
    <n v="22"/>
    <m/>
    <n v="22"/>
    <m/>
    <x v="1"/>
    <m/>
    <n v="60"/>
    <m/>
    <m/>
    <m/>
    <m/>
    <m/>
    <m/>
    <m/>
    <n v="0.19500000000000001"/>
    <m/>
    <m/>
    <m/>
    <m/>
    <n v="0.19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Besatra"/>
    <n v="24"/>
    <m/>
    <n v="24"/>
    <m/>
    <x v="1"/>
    <m/>
    <n v="6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Ereteke"/>
    <n v="24"/>
    <m/>
    <n v="24"/>
    <m/>
    <x v="1"/>
    <m/>
    <n v="6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Mikaikarivo"/>
    <n v="8"/>
    <m/>
    <n v="8"/>
    <m/>
    <x v="1"/>
    <m/>
    <n v="6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ntake"/>
    <s v="Ankililaza"/>
    <n v="13"/>
    <m/>
    <n v="13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ambararata morafeno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Beavoha"/>
    <n v="35"/>
    <m/>
    <n v="35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Mahaty"/>
    <n v="28"/>
    <m/>
    <n v="28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Tanambao satrapotsy"/>
    <n v="17"/>
    <m/>
    <n v="17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Bejio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Bezaha mahafaly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Analafaly"/>
    <n v="20"/>
    <m/>
    <n v="20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Manasoa mahafaly"/>
    <n v="31"/>
    <m/>
    <n v="31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Ambinda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Besely"/>
    <n v="35"/>
    <m/>
    <n v="35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Ampanihy antarabory"/>
    <n v="22"/>
    <m/>
    <n v="22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avoha"/>
    <s v="Mahazoarivo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ora"/>
    <s v="beora Tanambao"/>
    <n v="31"/>
    <m/>
    <n v="31"/>
    <m/>
    <x v="1"/>
    <m/>
    <n v="90"/>
    <m/>
    <m/>
    <m/>
    <m/>
    <m/>
    <m/>
    <m/>
    <n v="0.255"/>
    <m/>
    <m/>
    <m/>
    <m/>
    <n v="0.25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ora"/>
    <s v="Betaibala"/>
    <n v="26"/>
    <m/>
    <n v="26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ora"/>
    <s v="Beanike vohidroa"/>
    <n v="34"/>
    <m/>
    <n v="34"/>
    <m/>
    <x v="1"/>
    <m/>
    <n v="90"/>
    <m/>
    <m/>
    <m/>
    <m/>
    <m/>
    <m/>
    <m/>
    <n v="0.315"/>
    <m/>
    <m/>
    <m/>
    <m/>
    <n v="0.3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ora"/>
    <s v="Ampanimaro"/>
    <n v="35"/>
    <m/>
    <n v="35"/>
    <m/>
    <x v="1"/>
    <m/>
    <n v="90"/>
    <m/>
    <m/>
    <m/>
    <m/>
    <m/>
    <m/>
    <m/>
    <n v="0.315"/>
    <m/>
    <m/>
    <m/>
    <m/>
    <n v="0.3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ora"/>
    <s v="vohitolia"/>
    <n v="26"/>
    <m/>
    <n v="26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Antamotam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Belalits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Sakamasa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Behamal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Tsiborak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akamasay"/>
    <s v="BESAIHATSE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mpasimandroake"/>
    <n v="19"/>
    <m/>
    <n v="19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nkilimasy"/>
    <n v="13"/>
    <m/>
    <n v="13"/>
    <m/>
    <x v="1"/>
    <m/>
    <n v="9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Besavoa"/>
    <n v="20"/>
    <m/>
    <n v="2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nkilimiangatse"/>
    <n v="12"/>
    <m/>
    <n v="12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ntsakoamasy"/>
    <n v="36"/>
    <m/>
    <n v="3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nketrake"/>
    <n v="174"/>
    <m/>
    <n v="174"/>
    <m/>
    <x v="1"/>
    <m/>
    <n v="90"/>
    <m/>
    <m/>
    <m/>
    <m/>
    <m/>
    <m/>
    <m/>
    <n v="1.5"/>
    <m/>
    <m/>
    <m/>
    <m/>
    <n v="1.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Ranond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mpakabo"/>
    <n v="11"/>
    <m/>
    <n v="11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Ambalahaz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Betioky"/>
    <s v="Betioky II"/>
    <n v="17"/>
    <m/>
    <n v="17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mbatokapike Sud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dranotakatse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jamena Nord"/>
    <n v="18"/>
    <m/>
    <n v="18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jamena Sud"/>
    <n v="26"/>
    <m/>
    <n v="2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Bekily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Bevontake"/>
    <n v="26"/>
    <m/>
    <n v="2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Masiaboay"/>
    <n v="28"/>
    <m/>
    <n v="28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Tanantsoa"/>
    <n v="20"/>
    <m/>
    <n v="20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katrakatrake"/>
    <n v="23"/>
    <m/>
    <n v="23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tararaty"/>
    <n v="13"/>
    <m/>
    <n v="13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Marohira"/>
    <n v="17"/>
    <m/>
    <n v="17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siaboay"/>
    <s v="Ankamena"/>
    <n v="24"/>
    <m/>
    <n v="24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Manatsa"/>
    <n v="50"/>
    <m/>
    <n v="50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Tanambao II"/>
    <n v="70"/>
    <m/>
    <n v="70"/>
    <m/>
    <x v="1"/>
    <m/>
    <n v="90"/>
    <m/>
    <m/>
    <m/>
    <m/>
    <m/>
    <m/>
    <m/>
    <n v="0.6"/>
    <m/>
    <m/>
    <m/>
    <m/>
    <n v="0.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Mitsinjo"/>
    <n v="38"/>
    <m/>
    <n v="38"/>
    <m/>
    <x v="1"/>
    <m/>
    <n v="90"/>
    <m/>
    <m/>
    <m/>
    <m/>
    <m/>
    <m/>
    <m/>
    <n v="0.28499999999999998"/>
    <m/>
    <m/>
    <m/>
    <m/>
    <n v="0.2849999999999999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Fenoanivo"/>
    <n v="62"/>
    <m/>
    <n v="62"/>
    <m/>
    <x v="1"/>
    <m/>
    <n v="90"/>
    <m/>
    <m/>
    <m/>
    <m/>
    <m/>
    <m/>
    <m/>
    <n v="0.36"/>
    <m/>
    <m/>
    <m/>
    <m/>
    <n v="0.3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Ambario"/>
    <n v="65"/>
    <m/>
    <n v="65"/>
    <m/>
    <x v="1"/>
    <m/>
    <n v="90"/>
    <m/>
    <m/>
    <m/>
    <m/>
    <m/>
    <m/>
    <m/>
    <n v="0.435"/>
    <m/>
    <m/>
    <m/>
    <m/>
    <n v="0.43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Befotaka"/>
    <n v="44"/>
    <m/>
    <n v="44"/>
    <m/>
    <x v="1"/>
    <m/>
    <n v="90"/>
    <m/>
    <m/>
    <m/>
    <m/>
    <m/>
    <m/>
    <m/>
    <n v="0.34499999999999997"/>
    <m/>
    <m/>
    <m/>
    <m/>
    <n v="0.34499999999999997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Andranomangatsiaka"/>
    <n v="61"/>
    <m/>
    <n v="61"/>
    <m/>
    <x v="1"/>
    <m/>
    <n v="90"/>
    <m/>
    <m/>
    <m/>
    <m/>
    <m/>
    <m/>
    <m/>
    <n v="0.48"/>
    <m/>
    <m/>
    <m/>
    <m/>
    <n v="0.4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Mahabo-Sud"/>
    <n v="64"/>
    <m/>
    <n v="64"/>
    <m/>
    <x v="1"/>
    <m/>
    <n v="90"/>
    <m/>
    <m/>
    <m/>
    <m/>
    <m/>
    <m/>
    <m/>
    <n v="0.40500000000000003"/>
    <m/>
    <m/>
    <m/>
    <m/>
    <n v="0.40500000000000003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Besatra"/>
    <n v="69"/>
    <m/>
    <n v="69"/>
    <m/>
    <x v="1"/>
    <m/>
    <n v="90"/>
    <m/>
    <m/>
    <m/>
    <m/>
    <m/>
    <m/>
    <m/>
    <n v="0.52500000000000002"/>
    <m/>
    <m/>
    <m/>
    <m/>
    <n v="0.5250000000000000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Andranomangatsiaka"/>
    <s v=" Sakoamaro"/>
    <n v="65"/>
    <m/>
    <n v="65"/>
    <m/>
    <x v="1"/>
    <m/>
    <n v="90"/>
    <m/>
    <m/>
    <m/>
    <m/>
    <m/>
    <m/>
    <m/>
    <n v="0.40500000000000003"/>
    <m/>
    <m/>
    <m/>
    <m/>
    <n v="0.40500000000000003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alalentik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dranam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Maroariv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mbor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Miary 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Mihaga 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mbatofotsy OEST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tsakoamar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Maroarivo tanadav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kilimiad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Maroarivo"/>
    <s v="Andremior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14"/>
    <s v="ORN AA"/>
    <s v="Toliara"/>
    <s v="Betania"/>
    <n v="800"/>
    <m/>
    <n v="800"/>
    <m/>
    <x v="1"/>
    <m/>
    <n v="60"/>
    <m/>
    <m/>
    <m/>
    <m/>
    <m/>
    <m/>
    <m/>
    <n v="4.8"/>
    <m/>
    <m/>
    <m/>
    <m/>
    <n v="4.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Ambatomainty"/>
    <n v="38"/>
    <m/>
    <n v="38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Vohipotsy II"/>
    <n v="16"/>
    <m/>
    <n v="1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Beroanga"/>
    <n v="14"/>
    <m/>
    <n v="14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Bevinda"/>
    <n v="25"/>
    <m/>
    <n v="25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Soamanonga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Besakoa"/>
    <n v="19"/>
    <m/>
    <n v="19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Vohipotsy IV"/>
    <n v="31"/>
    <m/>
    <n v="31"/>
    <m/>
    <x v="1"/>
    <m/>
    <n v="9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Ihela haut"/>
    <n v="23"/>
    <m/>
    <n v="23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Ihela bas"/>
    <n v="0"/>
    <m/>
    <n v="0"/>
    <m/>
    <x v="1"/>
    <m/>
    <n v="9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x v="7"/>
    <s v="ORN AA"/>
    <s v="Soamanonga"/>
    <s v="Betampy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ahevah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ararata 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atomanambah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end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oropot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boropotsy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mpiket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aramaline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avabib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ind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ov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ranomale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rea Andradi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drevis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gnarama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gnalamisak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afoj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azo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e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ili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iliman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ilimanondro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ilima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isakis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kon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Antanema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halango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halango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katraf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lale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lamo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moit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moit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on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rono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Besav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Fenoarivo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Maola 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Maola 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Maroako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Montom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Sag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Tanantsoa Voh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Tsotsam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BOROPOTSY"/>
    <s v="Vohipetse Vohoitsarag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mbalatsief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Moton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Gorogod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mpanih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kilimalang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dranomam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toh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Reampot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Tokov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Lafib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Terahanomb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sako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mbatolahino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Tsimidre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tsari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tanimai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mbohimahataza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Sihaninal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laz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Reamboh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Firan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dranova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nkilitok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Etrobe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Etanj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Ambalav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Sihanamito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tsibar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habo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Lavap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Bevit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MPANIHY"/>
    <s v="Evaz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gnadabola_himagn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mbat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alafants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avoha_Ambonirano_(_Anavoha_Haut)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avoha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katraf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kotobe_Avarad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Andamak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Mandabe_Kil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AVOHA"/>
    <s v="Tanandava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MBALADOD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MBALAND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MBALATSIMIVI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NDROIMP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NKAMENA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NKAMENA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ANKILIAMBANY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BESELY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BETRATRAT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IMPANO"/>
    <s v="TSIANDRION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AMBOHIBO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ANDROKA_E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ANDROKA_VA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ANTSAK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BEHARAH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BEL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MANE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SAODO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TSIMAFA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DROKA "/>
    <s v="ZAM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GN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MPANORI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NDAMO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NJAMIS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NKILI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AN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BEHAVAND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BETAIMBA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EKELELA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E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ETAK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REAK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REAMB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ABO"/>
    <s v="TSIJOBOGN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GNARAMITER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GN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MBATOLAHITSIR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MBOAID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NDRAKIA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NKILIM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ANKILIMIV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BEFAMA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MAROHOL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MAROHOLA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SAROTSAHAT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TANAMBA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TSIANDE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VOHIMIROR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MIVORY"/>
    <s v="VOHIMIROR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MBATOROH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ALAMATEZ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ALAMATEZA_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DRANOL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DRAOMP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JEMB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JI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KATRAKATR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ANKILIZ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BEFAMATA AMPANORI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BEKAKO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BEKAKO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BEKAKO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BEVO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E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MAN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MAROVA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SAKAMASAY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ANKILIZATO"/>
    <s v="SAKAMASAY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MBATOVAKY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MPAMA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NAVIAVY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NDAK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NKILIMASY_AMPH_BEL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NKILITELO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ANKINI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ADALA_ANTANISI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ADAL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ADALA_FAHARAZ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ADAL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KINAGNA_MANAKARALA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LAFIK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LAFIK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LAFIKE_VOHI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LOLO_ANKAPI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BELOLO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HANIMBE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LALIKAMA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MIKAIKARI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NAMELOMAMPI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NAMELOMAMPI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NAMELOMAMPI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RANOHANDATSE_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TAOLAMBOS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TRATSIOTSE_KAND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VINAN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BELAFIKA HAUT"/>
    <s v="VINANITELO_ANKIL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MBATOKAP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MBATOKAPIKE_ANIVO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MBATOVAKY-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MBINDA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NKOZOHOZO ANDAKIL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NDOHA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NDRAN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NT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ANTSEVAS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DEB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HATRAVY_AMPOTOMAI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HATRAV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HAZONDREGEN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HOLI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KINAG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SAKOA_LIAMBOS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VIRO_BETSONG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BEVIRO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EJEDA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EJEDA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ESIF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ET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EVOVO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FARAF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KILEMIDE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NAKARALAHY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NAKARALAHY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NAKARAVAV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NDOPAKE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NDOPAKE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AROVAH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IRAF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MITSORI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SANIRATANT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SEVASEVA_BEFO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TANAN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TANANONDA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TSAMEREA_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TSIKOAKAH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EJEDA"/>
    <s v="TSIZARA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AMBONDR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ANALA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ANTOHAB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BEA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BEPEH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BEV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FOTADREVO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FOTADREVO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SATRAGNARI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FOTADREVO"/>
    <s v="SETA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MBONDROKI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NAMO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NKILIMAN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NKILIM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NKILIMIV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ANKININY_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BEADALA 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BEAVA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BEF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BEKOMPIST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BELAMBO_AMBOR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GOGOGOG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GOGOGOG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LOHAO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SATRAPOTSY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SATRAPOTY_MILANJ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TANANTS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TAOLAMBOSITSE_ANKINI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TAOLAMBOSITSE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GOGOGOGO"/>
    <s v="TSIMAIMPA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AMBOROVORO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ANDRANOMILITSE ANKILEMAS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KINDRIA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AMBATOFOTSY 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SOAMANONGA EST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BEVAH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BELOLO ANTANIMENA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AMBATOVAK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SOAMANONGA OUEST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VOHITANY"/>
    <s v="BEBALAHAZO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BEAVOH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TSIANDRION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BEFENG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BEFOL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BESELY_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BEVALA_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ITAMPOL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ITAMPOL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MAROLI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SAKARI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ITAMPOLO"/>
    <s v="TONGAENO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MBAHOTE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MBINAN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NJAMAROTE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NKARAGN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NKARAH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NKILIMAHA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ANKILIMIHAM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GORAG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JABI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KIL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S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TRANDRAKY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TRANDRAKY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ETSAK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BOKON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EFO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MANI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PINJO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REAMBOHIT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REMENG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TSIASIM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VOHIDREK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x v="4"/>
    <s v="ORN AA"/>
    <s v="MANIRY"/>
    <s v="VOTOVOATA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MBAZOAMIRAFY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MBOASARY II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JAKAMBA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KANKA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KARAMENA"/>
    <m/>
    <m/>
    <n v="13"/>
    <m/>
    <x v="1"/>
    <m/>
    <n v="30"/>
    <m/>
    <m/>
    <m/>
    <m/>
    <m/>
    <m/>
    <m/>
    <n v="3.9E-2"/>
    <m/>
    <m/>
    <m/>
    <m/>
    <n v="3.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KILEFAL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KILIMAFAITS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TSEREDREO(EX ANKILEMASY)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TANATANAPOTY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TSATRAHAMASY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BEANIKE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BEHABOBO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BEHANTAMAREAGNE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BEROROHA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Tranobe Maromainty (EKONKA)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ESANTA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MALANGY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MAROFANOGNE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MAROMALAY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DOZINY (EX MITSANGANA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KILIVINONJY (Ex SARIHANGY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SEVOHIPOTY"/>
    <m/>
    <m/>
    <n v="63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TALAKY Centre"/>
    <m/>
    <m/>
    <n v="62"/>
    <m/>
    <x v="1"/>
    <m/>
    <n v="3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MANGARIVOTSE (Ex TANAMBAO 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TSIRANGOT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VANGAY AMBANEAVOHA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EKONKA CENTRAL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LAVANDRANDRA 1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BERARY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NDABOLY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Milahane Fenoarivo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mboro Bekokako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VOMBE"/>
    <s v="Ambolomareagne 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ZOA"/>
    <s v="AMBAZOA"/>
    <m/>
    <m/>
    <n v="75"/>
    <m/>
    <x v="1"/>
    <m/>
    <n v="3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ZOA"/>
    <s v="AMBOROMINENDRA"/>
    <m/>
    <m/>
    <n v="73"/>
    <m/>
    <x v="1"/>
    <m/>
    <n v="30"/>
    <m/>
    <m/>
    <m/>
    <m/>
    <m/>
    <m/>
    <m/>
    <n v="0.219"/>
    <m/>
    <m/>
    <m/>
    <m/>
    <n v="0.21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ZOA"/>
    <s v="ANTANAMIHERY"/>
    <m/>
    <m/>
    <n v="72"/>
    <m/>
    <x v="1"/>
    <m/>
    <n v="3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ZOA"/>
    <s v="IKOTOALA"/>
    <m/>
    <m/>
    <n v="67"/>
    <m/>
    <x v="1"/>
    <m/>
    <n v="30"/>
    <m/>
    <m/>
    <m/>
    <m/>
    <m/>
    <m/>
    <m/>
    <n v="0.20100000000000001"/>
    <m/>
    <m/>
    <m/>
    <m/>
    <n v="0.20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ZOA"/>
    <s v="TSIFAHERA Ampaipaike "/>
    <m/>
    <m/>
    <n v="66"/>
    <m/>
    <x v="1"/>
    <m/>
    <n v="30"/>
    <m/>
    <m/>
    <m/>
    <m/>
    <m/>
    <m/>
    <m/>
    <n v="0.19800000000000001"/>
    <m/>
    <m/>
    <m/>
    <m/>
    <n v="0.19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AIVO"/>
    <s v="AMBONAIVO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AIVO"/>
    <s v="MAROFOHY (ANALAVAO)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AIVO"/>
    <s v="ANKARANDOHA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AIVO"/>
    <s v="MAROLAVA 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ERADA"/>
    <s v="Ambanekily sud"/>
    <m/>
    <m/>
    <n v="23"/>
    <m/>
    <x v="1"/>
    <m/>
    <n v="30"/>
    <m/>
    <m/>
    <m/>
    <m/>
    <m/>
    <m/>
    <m/>
    <n v="6.9000000000000006E-2"/>
    <m/>
    <m/>
    <m/>
    <m/>
    <n v="6.9000000000000006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ERADA"/>
    <s v="Ambory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ERADA"/>
    <s v="Erada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ERADA"/>
    <s v="Habohabo Nord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ERADA"/>
    <s v="NISORONA 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Amboro"/>
    <m/>
    <m/>
    <n v="58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Ankeoheo Marolava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Ankilerandro Ambanisarike(Ankilerandro)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Maroafo Marofoty"/>
    <m/>
    <m/>
    <n v="83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Bekokako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Marohafotse"/>
    <m/>
    <m/>
    <n v="70"/>
    <m/>
    <x v="1"/>
    <m/>
    <n v="3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Mokofo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Tsimihevo 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TSIMANANADA"/>
    <s v="BOTREOKE"/>
    <m/>
    <m/>
    <n v="67"/>
    <m/>
    <x v="1"/>
    <m/>
    <n v="30"/>
    <m/>
    <m/>
    <m/>
    <m/>
    <m/>
    <m/>
    <m/>
    <n v="0.20100000000000001"/>
    <m/>
    <m/>
    <m/>
    <m/>
    <n v="0.20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Ankilehogo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Ankororoke Mahazosoa "/>
    <m/>
    <m/>
    <n v="45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Belambo Fanavaozana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Betsimeda"/>
    <m/>
    <m/>
    <n v="46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Erakoka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Erakoka Andrefana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Radabetsimivaky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Vahavola centre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MAINTY"/>
    <s v="Betsimeda Ankilimilaly 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 Maropia  Ambohimazav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Ampanavy Fototsambo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Behabobo Nord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Vohimiary"/>
    <m/>
    <m/>
    <n v="61"/>
    <m/>
    <x v="1"/>
    <m/>
    <n v="30"/>
    <m/>
    <m/>
    <m/>
    <m/>
    <m/>
    <m/>
    <m/>
    <n v="0.183"/>
    <m/>
    <m/>
    <m/>
    <m/>
    <n v="0.18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alopoty III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Ambaro III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Belitsake Dodo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Antsomotsoy Centre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Antsomotsoy Ankeloke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havokak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alopoty I 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eagne Tsihelegne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Soatsifa Agnivorano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pia Ankilibe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do Ankilemas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Belemboke Sevohitse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Belemboke Ambany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alopoty II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Maropia nord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Savara centre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Soatamea centre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Soatsifa Haut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Soatsifa I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Tanambao Efaly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Tanambao Sud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Tsirandrany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ALOPOTY"/>
    <s v="Ankalimboro Tsiavihandro 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gnorike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mbovo 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alahov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alaisoke"/>
    <m/>
    <m/>
    <n v="12"/>
    <m/>
    <x v="1"/>
    <m/>
    <n v="3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alaisoke I"/>
    <m/>
    <m/>
    <n v="27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dramanera II"/>
    <m/>
    <m/>
    <n v="19"/>
    <m/>
    <x v="1"/>
    <m/>
    <n v="30"/>
    <m/>
    <m/>
    <m/>
    <m/>
    <m/>
    <m/>
    <m/>
    <n v="5.7000000000000002E-2"/>
    <m/>
    <m/>
    <m/>
    <m/>
    <n v="5.7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kazomanga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kilemiharatsy"/>
    <m/>
    <m/>
    <n v="27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SIMAVO MAGNARITSOA (Ankiletelo)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kliabo Nord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Ankiliabo Sud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Belindo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Ehavo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Ianakafy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Manja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Mantsake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Montombe II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Morafeno 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Savilava 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Sihanamitohy I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anandav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aranak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erabovo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siamaly Ankilemamy"/>
    <m/>
    <m/>
    <n v="24"/>
    <m/>
    <x v="1"/>
    <m/>
    <n v="3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Tsilimbe Marofoty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SIHANAMARO"/>
    <s v="Zantelo 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Ambanisarika Centre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Ankako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Etsoh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AMBAROMANINTSY(Marofoty)"/>
    <m/>
    <m/>
    <n v="36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Ankiliabon'Ibon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Ankilimar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RETOKA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ANISARIKE"/>
    <s v="TANAMBAO Ankilifaly(Ex Androhondroho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Ambondro I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Ampisandrata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Bebea"/>
    <m/>
    <m/>
    <n v="89"/>
    <m/>
    <x v="1"/>
    <m/>
    <n v="30"/>
    <m/>
    <m/>
    <m/>
    <m/>
    <m/>
    <m/>
    <m/>
    <n v="0.26700000000000002"/>
    <m/>
    <m/>
    <m/>
    <m/>
    <n v="0.267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Lamitihy sud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Mahazoarivo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NDRO"/>
    <s v="Tsimagnanto "/>
    <m/>
    <m/>
    <n v="94"/>
    <m/>
    <x v="1"/>
    <m/>
    <n v="30"/>
    <m/>
    <m/>
    <m/>
    <m/>
    <m/>
    <m/>
    <m/>
    <n v="0.28199999999999997"/>
    <m/>
    <m/>
    <m/>
    <m/>
    <n v="0.28199999999999997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Amboroke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Anjeky Tanandava "/>
    <m/>
    <m/>
    <n v="55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Anjoty Marolava II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ZAFINDRAMIRY(Ankilikira)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Antanimiare I"/>
    <m/>
    <m/>
    <n v="69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BEANATARA Sud(Beanantara)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Beanantara I"/>
    <m/>
    <m/>
    <n v="63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Marovaho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JEKY ANKILIKIRA/ BEANANTARA"/>
    <s v="SEHAMIAVOTSE(Tombodriha )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NKAMISY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MBATORATY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MBORY Haut (AMBORY Bas)"/>
    <m/>
    <m/>
    <n v="59"/>
    <m/>
    <x v="1"/>
    <m/>
    <n v="30"/>
    <m/>
    <m/>
    <m/>
    <m/>
    <m/>
    <m/>
    <m/>
    <n v="0.17699999999999999"/>
    <m/>
    <m/>
    <m/>
    <m/>
    <n v="0.17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NJAKAMBA HAUT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NJEBA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ANKOTSOBE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BASAKOA BAS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JAFARO"/>
    <m/>
    <m/>
    <n v="46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JAFARO"/>
    <s v="MANDILY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 AMBANENATO I ex A.BEDARO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AMPILOFILO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ANDEMBY"/>
    <m/>
    <m/>
    <n v="71"/>
    <m/>
    <x v="1"/>
    <m/>
    <n v="30"/>
    <m/>
    <m/>
    <m/>
    <m/>
    <m/>
    <m/>
    <m/>
    <n v="0.21299999999999999"/>
    <m/>
    <m/>
    <m/>
    <m/>
    <n v="0.21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AMPANASA"/>
    <m/>
    <m/>
    <n v="65"/>
    <m/>
    <x v="1"/>
    <m/>
    <n v="30"/>
    <m/>
    <m/>
    <m/>
    <m/>
    <m/>
    <m/>
    <m/>
    <n v="0.19500000000000001"/>
    <m/>
    <m/>
    <m/>
    <m/>
    <n v="0.19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ANDRANOVALO ex ANTESOAMAY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IMANOMBO"/>
    <s v="IMANOMBO CENTRE"/>
    <m/>
    <m/>
    <n v="83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PAMATA"/>
    <s v="ANTAFIANAMPELA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PAMATA"/>
    <s v="BESATRA SOARANO"/>
    <m/>
    <m/>
    <n v="78"/>
    <m/>
    <x v="1"/>
    <m/>
    <n v="3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PAMATA"/>
    <s v="AMPAMATA CENTRE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PAMATA"/>
    <s v="ANDALIPITO"/>
    <m/>
    <m/>
    <n v="58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PAMATA"/>
    <s v="NANDROSOA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NDALAKAOLO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KONDRIA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NDALATANOSY NORD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VOHIPANDRANY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EDASOTSE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NDALATANOSY SUD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MPAHEJOLOKE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MBONDROMBE"/>
    <m/>
    <m/>
    <n v="18"/>
    <m/>
    <x v="1"/>
    <m/>
    <n v="3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ANDROVASOA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VOHITSANOMBE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ALATANOSY"/>
    <s v="MAROFANY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AMBENDRANA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MITREAKE CENTR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MAROVATO LAHABE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MAROVATO CENTR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MIANDRASO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MAROVATO BEFENO"/>
    <s v="NAMALAZA II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TANIMORA"/>
    <s v="BEFENO (Ex AMBALIANDRO)"/>
    <m/>
    <m/>
    <n v="25"/>
    <m/>
    <x v="1"/>
    <m/>
    <n v="3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TANIMORA"/>
    <s v="ANDABOLY"/>
    <m/>
    <m/>
    <n v="61"/>
    <m/>
    <x v="1"/>
    <m/>
    <n v="30"/>
    <m/>
    <m/>
    <m/>
    <m/>
    <m/>
    <m/>
    <m/>
    <n v="0.183"/>
    <m/>
    <m/>
    <m/>
    <m/>
    <n v="0.18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TANIMORA"/>
    <s v="ANKILEFALY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TANIMORA"/>
    <s v="ANTSIRA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TANIMORA"/>
    <s v="ANDRANOGISO ANKILIMANINTSY (Ex ANTANIMORA CENTRE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ALAMARE"/>
    <s v="AGNAFONDRAVOAY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ALAMARE"/>
    <s v="ANJAMALINEKE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ALAMARE"/>
    <s v="MAROLAV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Betioky Ampozy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Antanantsoa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Mahatomotse centre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Savilava-Androy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ANDRANOTSIRIRY MANKATRATSE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ANKILETELO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MBOHIMALAZA"/>
    <s v="ANDROVASO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RAGNANIVO"/>
    <s v="Andragnanivo Centre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RAGNANIVO"/>
    <s v="Maregny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RAGNANIVO"/>
    <s v="Tsimagnarake centre"/>
    <m/>
    <m/>
    <n v="55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RAGNANIVO"/>
    <s v="Marosoritse Ouest (Marosoritsy Est)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RAGNANIVO"/>
    <s v="Androvamare II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OHARANO AMBINANY"/>
    <s v="Ambinagny Est"/>
    <m/>
    <m/>
    <n v="36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OHARANO AMBINANY"/>
    <s v="Ambararata Centr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OHARANO AMBINANY"/>
    <s v="Andraketa centre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"/>
    <s v="ORN Androy"/>
    <s v="ANDOHARANO AMBINANY"/>
    <s v="Analave Foty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TSIVORY"/>
    <s v="Tsivory"/>
    <m/>
    <m/>
    <n v="31"/>
    <m/>
    <x v="1"/>
    <m/>
    <n v="6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rovotry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ELONTY"/>
    <s v="Elonty"/>
    <m/>
    <m/>
    <n v="45"/>
    <m/>
    <x v="1"/>
    <m/>
    <n v="6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mandresy"/>
    <m/>
    <m/>
    <n v="7"/>
    <m/>
    <x v="1"/>
    <m/>
    <n v="6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sakoa "/>
    <m/>
    <m/>
    <n v="3"/>
    <m/>
    <x v="1"/>
    <m/>
    <n v="6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MAHALY"/>
    <s v="Mahaly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dabolava"/>
    <m/>
    <m/>
    <n v="16"/>
    <m/>
    <x v="1"/>
    <m/>
    <n v="6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boangy"/>
    <m/>
    <m/>
    <n v="20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ly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hazoarivo"/>
    <m/>
    <m/>
    <n v="5"/>
    <m/>
    <x v="1"/>
    <m/>
    <n v="60"/>
    <m/>
    <m/>
    <m/>
    <m/>
    <m/>
    <m/>
    <m/>
    <n v="0.03"/>
    <m/>
    <m/>
    <m/>
    <m/>
    <n v="0.03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EBELO"/>
    <s v="Ebelo"/>
    <m/>
    <m/>
    <n v="35"/>
    <m/>
    <x v="1"/>
    <m/>
    <n v="6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MAROTSIRAKY"/>
    <s v="Marotsiraky"/>
    <m/>
    <m/>
    <n v="27"/>
    <m/>
    <x v="1"/>
    <m/>
    <n v="6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TOMBOARIVO"/>
    <s v="Tomboarivo"/>
    <m/>
    <m/>
    <n v="37"/>
    <m/>
    <x v="1"/>
    <m/>
    <n v="60"/>
    <m/>
    <m/>
    <m/>
    <m/>
    <m/>
    <m/>
    <m/>
    <n v="0.222"/>
    <m/>
    <m/>
    <m/>
    <m/>
    <n v="0.22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MANEVY"/>
    <s v="Manev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roantsiva"/>
    <m/>
    <m/>
    <n v="12"/>
    <m/>
    <x v="1"/>
    <m/>
    <n v="6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pamatoha"/>
    <m/>
    <m/>
    <n v="6"/>
    <m/>
    <x v="1"/>
    <m/>
    <n v="6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ESIRA"/>
    <s v="Esira"/>
    <m/>
    <m/>
    <n v="16"/>
    <m/>
    <x v="1"/>
    <m/>
    <n v="6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MAROMBY"/>
    <s v="Maromby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anandava Nord"/>
    <m/>
    <m/>
    <n v="34"/>
    <m/>
    <x v="1"/>
    <m/>
    <n v="6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dranondambo"/>
    <m/>
    <m/>
    <n v="19"/>
    <m/>
    <x v="1"/>
    <m/>
    <n v="6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TRANOMARO"/>
    <s v="Ankazoabo"/>
    <m/>
    <m/>
    <n v="26"/>
    <m/>
    <x v="1"/>
    <m/>
    <n v="6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pilira"/>
    <m/>
    <m/>
    <n v="31"/>
    <m/>
    <x v="1"/>
    <m/>
    <n v="6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ragnomaro"/>
    <m/>
    <m/>
    <n v="39"/>
    <m/>
    <x v="1"/>
    <m/>
    <n v="6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silamaha"/>
    <m/>
    <m/>
    <n v="4"/>
    <m/>
    <x v="1"/>
    <m/>
    <n v="60"/>
    <m/>
    <m/>
    <m/>
    <m/>
    <m/>
    <m/>
    <m/>
    <n v="2.4E-2"/>
    <m/>
    <m/>
    <m/>
    <m/>
    <n v="2.4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MAHABO"/>
    <s v="Mahabo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RANOBE"/>
    <s v="Ranobe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Fenoarivo"/>
    <m/>
    <m/>
    <n v="23"/>
    <m/>
    <x v="1"/>
    <m/>
    <n v="6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halomboro"/>
    <m/>
    <m/>
    <n v="38"/>
    <m/>
    <x v="1"/>
    <m/>
    <n v="60"/>
    <m/>
    <m/>
    <m/>
    <m/>
    <m/>
    <m/>
    <m/>
    <n v="0.22800000000000001"/>
    <m/>
    <m/>
    <m/>
    <m/>
    <n v="0.22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BERANO VILLE"/>
    <s v="Berano"/>
    <m/>
    <m/>
    <n v="39"/>
    <m/>
    <x v="1"/>
    <m/>
    <n v="6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nitsevo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IFOTAKA"/>
    <s v="Fenoaivo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kiri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atrafa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batomainty"/>
    <m/>
    <m/>
    <n v="8"/>
    <m/>
    <x v="1"/>
    <m/>
    <n v="6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limanints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Ifotak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jamahavelo"/>
    <m/>
    <m/>
    <n v="33"/>
    <m/>
    <x v="1"/>
    <m/>
    <n v="60"/>
    <m/>
    <m/>
    <m/>
    <m/>
    <m/>
    <m/>
    <m/>
    <n v="0.19800000000000001"/>
    <m/>
    <m/>
    <m/>
    <m/>
    <n v="0.19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Ifotaka DP"/>
    <m/>
    <m/>
    <n v="15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sarapioky"/>
    <m/>
    <m/>
    <n v="32"/>
    <m/>
    <x v="1"/>
    <m/>
    <n v="6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aloalo"/>
    <m/>
    <m/>
    <n v="27"/>
    <m/>
    <x v="1"/>
    <m/>
    <n v="6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tsivavy Ankamen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SAMPONA"/>
    <s v="Ankilibe Vahavola"/>
    <m/>
    <m/>
    <n v="15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bahy Ianakafy"/>
    <m/>
    <m/>
    <n v="3"/>
    <m/>
    <x v="1"/>
    <m/>
    <n v="6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nindra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limanara"/>
    <m/>
    <m/>
    <n v="34"/>
    <m/>
    <x v="1"/>
    <m/>
    <n v="6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limitraha"/>
    <m/>
    <m/>
    <n v="18"/>
    <m/>
    <x v="1"/>
    <m/>
    <n v="6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BEHARA"/>
    <s v="Behara bas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rikirika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davabaza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faitsy"/>
    <m/>
    <m/>
    <n v="12"/>
    <m/>
    <x v="1"/>
    <m/>
    <n v="6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hara Haut"/>
    <m/>
    <m/>
    <n v="24"/>
    <m/>
    <x v="1"/>
    <m/>
    <n v="6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renty"/>
    <m/>
    <m/>
    <n v="8"/>
    <m/>
    <x v="1"/>
    <m/>
    <n v="6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TANANDAVA SUD"/>
    <s v="Vohibary"/>
    <m/>
    <m/>
    <n v="10"/>
    <m/>
    <x v="1"/>
    <m/>
    <n v="6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anambe"/>
    <m/>
    <m/>
    <n v="6"/>
    <m/>
    <x v="1"/>
    <m/>
    <n v="6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tsovela SAMA"/>
    <m/>
    <m/>
    <n v="19"/>
    <m/>
    <x v="1"/>
    <m/>
    <n v="6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mbatomena"/>
    <m/>
    <m/>
    <n v="36"/>
    <m/>
    <x v="1"/>
    <m/>
    <n v="6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aroloha"/>
    <m/>
    <m/>
    <n v="2"/>
    <m/>
    <x v="1"/>
    <m/>
    <n v="60"/>
    <m/>
    <m/>
    <m/>
    <m/>
    <m/>
    <m/>
    <m/>
    <n v="1.2E-2"/>
    <m/>
    <m/>
    <m/>
    <m/>
    <n v="1.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s v="AMBOASARY SUD"/>
    <s v="Ampihamy/ Behabobo"/>
    <m/>
    <m/>
    <n v="20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Talakifeno"/>
    <m/>
    <m/>
    <n v="44"/>
    <m/>
    <x v="1"/>
    <m/>
    <n v="60"/>
    <m/>
    <m/>
    <m/>
    <m/>
    <m/>
    <m/>
    <m/>
    <n v="0.26400000000000001"/>
    <m/>
    <m/>
    <m/>
    <m/>
    <n v="0.26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Morafeno/tan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SSM"/>
    <m/>
    <m/>
    <n v="10"/>
    <m/>
    <x v="1"/>
    <m/>
    <n v="6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amena tanantsoa"/>
    <m/>
    <m/>
    <n v="38"/>
    <m/>
    <x v="1"/>
    <m/>
    <n v="60"/>
    <m/>
    <m/>
    <m/>
    <m/>
    <m/>
    <m/>
    <m/>
    <n v="0.22800000000000001"/>
    <m/>
    <m/>
    <m/>
    <m/>
    <n v="0.22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Limby"/>
    <m/>
    <m/>
    <n v="45"/>
    <m/>
    <x v="1"/>
    <m/>
    <n v="6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Ianakafy"/>
    <m/>
    <m/>
    <n v="46"/>
    <m/>
    <x v="1"/>
    <m/>
    <n v="60"/>
    <m/>
    <m/>
    <m/>
    <m/>
    <m/>
    <m/>
    <m/>
    <n v="0.27600000000000002"/>
    <m/>
    <m/>
    <m/>
    <m/>
    <n v="0.276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Ankitry"/>
    <m/>
    <m/>
    <n v="46"/>
    <m/>
    <x v="1"/>
    <m/>
    <n v="60"/>
    <m/>
    <m/>
    <m/>
    <m/>
    <m/>
    <m/>
    <m/>
    <n v="0.27600000000000002"/>
    <m/>
    <m/>
    <m/>
    <m/>
    <n v="0.276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0"/>
    <s v="ORN ANOSY"/>
    <m/>
    <s v="Belitsaka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IANABINDA"/>
    <s v="IANABINDA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MELO"/>
    <m/>
    <m/>
    <n v="13"/>
    <m/>
    <x v="1"/>
    <m/>
    <n v="9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TATABE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TANIMAINTY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KAROKA TOBY"/>
    <m/>
    <m/>
    <n v="29"/>
    <m/>
    <x v="1"/>
    <m/>
    <n v="90"/>
    <m/>
    <m/>
    <m/>
    <m/>
    <m/>
    <m/>
    <m/>
    <n v="0.26100000000000001"/>
    <m/>
    <m/>
    <m/>
    <m/>
    <n v="0.26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FENOARIVO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VAHO IANABIND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VORONKAFOTRA"/>
    <m/>
    <m/>
    <n v="26"/>
    <m/>
    <x v="1"/>
    <m/>
    <n v="9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BEKOROBO"/>
    <s v="ITROHO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KOROBO(Manandrotsy)"/>
    <m/>
    <m/>
    <n v="49"/>
    <m/>
    <x v="1"/>
    <m/>
    <n v="90"/>
    <m/>
    <m/>
    <m/>
    <m/>
    <m/>
    <m/>
    <m/>
    <n v="0.441"/>
    <m/>
    <m/>
    <m/>
    <m/>
    <n v="0.44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NANOVY"/>
    <m/>
    <m/>
    <n v="26"/>
    <m/>
    <x v="1"/>
    <m/>
    <n v="9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NINGAVAHATSY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ALAMBY"/>
    <m/>
    <m/>
    <n v="19"/>
    <m/>
    <x v="1"/>
    <m/>
    <n v="9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MBATOMENA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ISOANALA"/>
    <s v="BETAIMBALA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ROVALA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ARO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LAVALILA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SOANALA NORD"/>
    <m/>
    <m/>
    <n v="19"/>
    <m/>
    <x v="1"/>
    <m/>
    <n v="9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NONOKY(Isoanala)"/>
    <m/>
    <m/>
    <n v="5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RAKETA SUD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ROK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RAGIRAGY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TANANDAVA SUD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VOHITSEVO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SOANALA SUD"/>
    <m/>
    <m/>
    <n v="24"/>
    <m/>
    <x v="1"/>
    <m/>
    <n v="9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TANAMBAO"/>
    <m/>
    <m/>
    <n v="18"/>
    <m/>
    <x v="1"/>
    <m/>
    <n v="9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SARODRANO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ANALAMARY"/>
    <s v="ANALAMAR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PIA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NOMBO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RORA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SAMBALAH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ABORANO(Analamary) 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MAHABO"/>
    <s v="RIANDAMPY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KENIHENY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ADABO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NEVY"/>
    <m/>
    <m/>
    <n v="3"/>
    <m/>
    <x v="1"/>
    <m/>
    <n v="90"/>
    <m/>
    <m/>
    <m/>
    <m/>
    <m/>
    <m/>
    <m/>
    <n v="2.7E-2"/>
    <m/>
    <m/>
    <m/>
    <m/>
    <n v="2.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HABO(BENONOKY)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NDABE"/>
    <m/>
    <m/>
    <n v="1"/>
    <m/>
    <x v="1"/>
    <m/>
    <n v="90"/>
    <m/>
    <m/>
    <m/>
    <m/>
    <m/>
    <m/>
    <m/>
    <n v="8.9999999999999993E-3"/>
    <m/>
    <m/>
    <m/>
    <m/>
    <n v="8.9999999999999993E-3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RANOMENA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ABORANO(Mahabo)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IANAKAFY"/>
    <s v="APANDRATOLON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HAZOFOTS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ANAKAFY/ANKATRAFAY"/>
    <m/>
    <m/>
    <n v="20"/>
    <m/>
    <x v="1"/>
    <m/>
    <n v="9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HASOA OUEST"/>
    <m/>
    <m/>
    <n v="5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TANANDAVA OUEST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KININ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VOHITELO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MBONGO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MBATOMIALA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KAS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KILIMAR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VAHO IANAKAFY"/>
    <m/>
    <m/>
    <n v="3"/>
    <m/>
    <x v="1"/>
    <m/>
    <n v="90"/>
    <m/>
    <m/>
    <m/>
    <m/>
    <m/>
    <m/>
    <m/>
    <n v="2.7E-2"/>
    <m/>
    <m/>
    <m/>
    <m/>
    <n v="2.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SAKAMAHILY"/>
    <s v="AMBINANY SUD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SAKAMAHILY OUEST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MBARARATA NORD(Antanimainty)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AHASOA NORD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NDOHARANO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AMBATOMIVARY"/>
    <s v="MITSINJO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VOHITRAMBO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NANARENA BESAKOA"/>
    <s v="NANARENA BESAKOA"/>
    <m/>
    <m/>
    <n v="78"/>
    <m/>
    <x v="1"/>
    <m/>
    <n v="90"/>
    <m/>
    <m/>
    <m/>
    <m/>
    <m/>
    <m/>
    <m/>
    <n v="0.70199999999999996"/>
    <m/>
    <m/>
    <m/>
    <m/>
    <n v="0.7019999999999999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TANANDAVA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s v="BENATO TOBY"/>
    <s v="BENATO TOBY"/>
    <m/>
    <m/>
    <n v="13"/>
    <m/>
    <x v="1"/>
    <m/>
    <n v="9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AMBATOVITA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SAMBALAHY"/>
    <m/>
    <m/>
    <n v="2"/>
    <m/>
    <x v="1"/>
    <m/>
    <n v="9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BEPEHA"/>
    <m/>
    <m/>
    <n v="14"/>
    <m/>
    <x v="1"/>
    <m/>
    <n v="9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IVOHITSOA"/>
    <m/>
    <m/>
    <n v="29"/>
    <m/>
    <x v="1"/>
    <m/>
    <n v="90"/>
    <m/>
    <m/>
    <m/>
    <m/>
    <m/>
    <m/>
    <m/>
    <n v="0.26100000000000001"/>
    <m/>
    <m/>
    <m/>
    <m/>
    <n v="0.26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x v="15"/>
    <s v="ORN ANOSY"/>
    <m/>
    <s v="MORAFENO"/>
    <m/>
    <m/>
    <n v="21"/>
    <m/>
    <x v="1"/>
    <m/>
    <n v="9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HITA"/>
    <s v="Ambahita centrale"/>
    <n v="39"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HITA"/>
    <s v="Ampany/ Androtsy"/>
    <n v="36"/>
    <m/>
    <n v="27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HITA"/>
    <s v="Andranomatavy"/>
    <n v="22"/>
    <m/>
    <n v="14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HITA"/>
    <s v="Beamalo"/>
    <n v="29"/>
    <m/>
    <n v="33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MAINTY"/>
    <s v="Anarabe II"/>
    <n v="52"/>
    <m/>
    <n v="6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MAINTY"/>
    <s v="Ambatomainty"/>
    <n v="52"/>
    <m/>
    <n v="5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SOLA"/>
    <s v="Ambatosola Centre"/>
    <n v="49"/>
    <m/>
    <n v="58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SOLA"/>
    <s v="Anadabolava"/>
    <n v="52"/>
    <m/>
    <n v="5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SOLA"/>
    <s v="Esaka"/>
    <n v="35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MBATOSOLA"/>
    <s v="Mandabe"/>
    <n v="44"/>
    <m/>
    <n v="53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IVORANO MITSINJO"/>
    <s v="Anivorano Mitsinjo"/>
    <n v="75"/>
    <m/>
    <n v="84"/>
    <m/>
    <x v="1"/>
    <m/>
    <n v="3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IVORANO MITSINJO"/>
    <s v="Antanimena"/>
    <n v="63"/>
    <m/>
    <n v="58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IVORANO MITSINJO"/>
    <s v="Ankilemivory Esogny"/>
    <n v="57"/>
    <m/>
    <n v="74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JA-NORD"/>
    <s v="Anja-Nord"/>
    <n v="34"/>
    <m/>
    <n v="47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JA-NORD"/>
    <s v="Besandraha"/>
    <n v="38"/>
    <m/>
    <n v="50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JA-NORD"/>
    <s v="Mikaikarivo I"/>
    <n v="38"/>
    <m/>
    <n v="40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JA-NORD"/>
    <s v="Ankatsakatsa "/>
    <n v="27"/>
    <m/>
    <n v="43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Vohimary II"/>
    <n v="39"/>
    <m/>
    <n v="58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Andriabe"/>
    <n v="35"/>
    <m/>
    <n v="41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Andranomanitsy"/>
    <n v="45"/>
    <m/>
    <n v="38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Ambinanivelo"/>
    <n v="37"/>
    <m/>
    <n v="50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Ankaranabo Nord Centre"/>
    <n v="20"/>
    <m/>
    <n v="51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Vohimary I"/>
    <n v="33"/>
    <m/>
    <n v="54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KARANABO NORD"/>
    <s v="Anarabe I"/>
    <n v="69"/>
    <m/>
    <n v="68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TSAKOAMARO"/>
    <s v="Antsakoamaro"/>
    <n v="69"/>
    <m/>
    <n v="59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ANTSAKOAMARO"/>
    <s v="Ankazota"/>
    <n v="35"/>
    <m/>
    <n v="43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Andamilamy"/>
    <n v="37"/>
    <m/>
    <n v="29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Befangitsy"/>
    <n v="68"/>
    <m/>
    <n v="8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Ambatomainty"/>
    <n v="28"/>
    <m/>
    <n v="43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Ankaboa"/>
    <n v="34"/>
    <m/>
    <n v="5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Ankiliarivo"/>
    <n v="52"/>
    <m/>
    <n v="51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Ankilemiary"/>
    <n v="45"/>
    <m/>
    <n v="50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Menambahy I"/>
    <n v="83"/>
    <m/>
    <n v="104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Marovaho-Bas"/>
    <n v="42"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Marovaho Haut"/>
    <n v="48"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KITRO"/>
    <s v="Miary Haut"/>
    <n v="39"/>
    <m/>
    <n v="2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Ampanamperandrotsy"/>
    <n v="53"/>
    <m/>
    <n v="36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Tanantsoa"/>
    <n v="34"/>
    <m/>
    <n v="37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Andranomavo"/>
    <n v="50"/>
    <m/>
    <n v="38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Belindo "/>
    <n v="56"/>
    <m/>
    <n v="4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Ankininy"/>
    <n v="48"/>
    <m/>
    <n v="46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LINDO MAHASOA"/>
    <s v="Ambasy"/>
    <n v="50"/>
    <m/>
    <n v="42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Beraketa I"/>
    <n v="45"/>
    <m/>
    <n v="74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Beraketa II"/>
    <n v="45"/>
    <m/>
    <n v="62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Amboasary"/>
    <n v="57"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Ifarantsa"/>
    <n v="35"/>
    <m/>
    <n v="50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Besakoa ifarantsa"/>
    <n v="31"/>
    <m/>
    <n v="42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Ampandrandava"/>
    <n v="74"/>
    <m/>
    <n v="56"/>
    <m/>
    <x v="1"/>
    <m/>
    <n v="30"/>
    <m/>
    <m/>
    <m/>
    <m/>
    <m/>
    <m/>
    <m/>
    <n v="0.222"/>
    <m/>
    <m/>
    <m/>
    <m/>
    <n v="0.22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Antsely"/>
    <n v="43"/>
    <m/>
    <n v="68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Ambalasaraka"/>
    <n v="46"/>
    <m/>
    <n v="51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RAKETA"/>
    <s v="Ambondrombe"/>
    <n v="46"/>
    <m/>
    <n v="63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SAKOA"/>
    <s v="Besakoa Centrale"/>
    <n v="37"/>
    <m/>
    <n v="20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SAKOA"/>
    <s v="Fenoarivo I"/>
    <n v="16"/>
    <m/>
    <n v="41"/>
    <m/>
    <x v="1"/>
    <m/>
    <n v="3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SAKOA"/>
    <s v="Mahasoa Vohintany"/>
    <n v="35"/>
    <m/>
    <n v="4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SAKOA"/>
    <s v="Ampany Anivorano"/>
    <n v="33"/>
    <m/>
    <n v="24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SAKOA"/>
    <s v="Besohihy"/>
    <n v="14"/>
    <m/>
    <n v="27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TEZA"/>
    <s v="Beteza Centrale"/>
    <n v="52"/>
    <m/>
    <n v="64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TEZA"/>
    <s v="Ankilivalo Haut"/>
    <n v="49"/>
    <m/>
    <n v="47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TEZA"/>
    <s v="Antsosa I"/>
    <n v="39"/>
    <m/>
    <n v="57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TEZA"/>
    <s v="Ankarenantsoa"/>
    <n v="57"/>
    <m/>
    <n v="66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TEZA"/>
    <s v="Pelaraiky"/>
    <n v="15"/>
    <m/>
    <n v="54"/>
    <m/>
    <x v="1"/>
    <m/>
    <n v="3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Bevitiky Centre"/>
    <n v="55"/>
    <m/>
    <n v="77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Anaviavy"/>
    <n v="48"/>
    <m/>
    <n v="72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Andaro"/>
    <n v="40"/>
    <m/>
    <n v="59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Antsatra"/>
    <n v="31"/>
    <m/>
    <n v="54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Befamonty"/>
    <n v="40"/>
    <m/>
    <n v="36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Anjatakary"/>
    <n v="35"/>
    <m/>
    <n v="29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Tsioga Vohimary"/>
    <n v="49"/>
    <m/>
    <n v="46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BEVITIKY"/>
    <s v="Vatoarivo"/>
    <n v="40"/>
    <m/>
    <n v="42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MANAKOMPY"/>
    <n v="22"/>
    <m/>
    <n v="34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ANKILISOASOMANGY"/>
    <n v="31"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AMBORIGNABO"/>
    <n v="28"/>
    <m/>
    <n v="26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MAIKANDRO"/>
    <n v="21"/>
    <m/>
    <n v="40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ANJA OUEST"/>
    <n v="16"/>
    <m/>
    <n v="48"/>
    <m/>
    <x v="1"/>
    <m/>
    <n v="3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NAKOMPY"/>
    <s v="ANKAZOABO"/>
    <n v="43"/>
    <m/>
    <n v="35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Maroviro centre"/>
    <n v="29"/>
    <m/>
    <n v="46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Andriambola nord"/>
    <n v="37"/>
    <m/>
    <n v="54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Betaimbala Centre"/>
    <n v="47"/>
    <m/>
    <n v="40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Sakoandroa"/>
    <n v="47"/>
    <m/>
    <n v="44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Akonatsy"/>
    <n v="46"/>
    <m/>
    <n v="62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Betaimbala Haut"/>
    <n v="31"/>
    <m/>
    <n v="45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AROVIRO"/>
    <s v="Marabory"/>
    <n v="35"/>
    <m/>
    <n v="38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Bedona"/>
    <n v="56"/>
    <m/>
    <n v="39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Befangitsy"/>
    <n v="54"/>
    <m/>
    <n v="47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Marofany"/>
    <n v="51"/>
    <m/>
    <n v="39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Ambararata Ouest"/>
    <n v="69"/>
    <m/>
    <n v="75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Mitsinjo"/>
    <n v="42"/>
    <m/>
    <n v="30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Andranomiteraky"/>
    <n v="56"/>
    <m/>
    <n v="32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Ambohimandroso"/>
    <n v="26"/>
    <m/>
    <n v="57"/>
    <m/>
    <x v="1"/>
    <m/>
    <n v="3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MORAFENO BEKILY"/>
    <s v="Andranomamy"/>
    <n v="35"/>
    <m/>
    <n v="4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MBAO TSIRANDRANY"/>
    <s v="TANAMBAO TSIRANDRANY CENTRE"/>
    <n v="42"/>
    <m/>
    <n v="75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MBAO TSIRANDRANY"/>
    <s v="MATSINJO"/>
    <n v="35"/>
    <m/>
    <n v="44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MBAO TSIRANDRANY"/>
    <s v="MORAFENO TANANDAVA"/>
    <n v="44"/>
    <m/>
    <n v="53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NDAVA"/>
    <s v="Sakara Haut"/>
    <n v="32"/>
    <m/>
    <n v="27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NDAVA"/>
    <s v="Sarisambo"/>
    <n v="82"/>
    <m/>
    <n v="35"/>
    <m/>
    <x v="1"/>
    <m/>
    <n v="30"/>
    <m/>
    <m/>
    <m/>
    <m/>
    <m/>
    <m/>
    <m/>
    <n v="0.246"/>
    <m/>
    <m/>
    <m/>
    <m/>
    <n v="0.24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ANANDAVA"/>
    <s v="Anantaka"/>
    <n v="58"/>
    <m/>
    <n v="32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SIKOLAKY"/>
    <s v="ANJATSOA"/>
    <n v="51"/>
    <m/>
    <n v="89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SIKOLAKY"/>
    <s v="MAHABO"/>
    <n v="62"/>
    <m/>
    <n v="106"/>
    <m/>
    <x v="1"/>
    <m/>
    <n v="3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SIKOLAKY"/>
    <s v="BELIO HAUT"/>
    <n v="58"/>
    <m/>
    <n v="49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SIKOLAKY"/>
    <s v="TSIKOLAKY"/>
    <n v="55"/>
    <m/>
    <n v="64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TSIKOLAKY"/>
    <s v="ANKILIMILOPAKY"/>
    <n v="58"/>
    <m/>
    <n v="54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VOHIMANGA"/>
    <s v="Vohimanga Centrale"/>
    <n v="43"/>
    <m/>
    <n v="52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VOHIMANGA"/>
    <s v="Mahatalaky"/>
    <n v="38"/>
    <m/>
    <n v="32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VOHIMANGA"/>
    <s v="Soakijaha"/>
    <n v="52"/>
    <m/>
    <n v="4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VOHIMANGA"/>
    <s v="Besamata"/>
    <n v="32"/>
    <m/>
    <n v="47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x v="3"/>
    <s v="ORN Androy"/>
    <s v="VOHIMANGA"/>
    <s v="Vohimanga I"/>
    <n v="47"/>
    <m/>
    <n v="44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Andranol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Ambohivo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Sihanadal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Angobeg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Sihanabo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Tiri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Sampez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Tsaniria/Ampatiol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loha"/>
    <s v="Beloha Atsim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heny"/>
    <s v="Antaly/Agn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heny"/>
    <s v="Andrambal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heny"/>
    <s v="Antsaniri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Sakara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Ampanagn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Marobasia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Marohe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Andranotsikio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Behabobo"/>
    <s v="Antane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Ambatotsivala"/>
    <s v="Korong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Ambatotsivala"/>
    <s v="Andingoling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Ambatotsivala"/>
    <s v="Ambatotsiv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Ambatotsivala"/>
    <s v="Ankilivah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Vohibo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Antso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Rerang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Sabok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Andranohere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roa"/>
    <s v="Andamilam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Manombo Tane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Ampot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Marolin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Ambala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Andovoky/Ankileva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Zandro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Lokoari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Marolinta"/>
    <s v="Tanandava/Tesomang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Kopok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mbatofo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njapoty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mpilofi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nanaja/Ananakirihi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ntse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Kopoky"/>
    <s v="Anjad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nkilisina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nkilevalo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nkilevalo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Betaimbo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Tsimilafi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Barab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Masomba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Befama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Lavanon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Vavao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Soamanit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mbazoamilol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Savilinto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gnalal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ndrasek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gnanade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Nato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ngirazat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Agnirinihamb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2"/>
    <s v="ORN Androy"/>
    <s v="Tranovaho"/>
    <s v="Tranovah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Antaritari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Ambaromano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Ambonai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Anj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Andraketalah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Ihod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Talaky bas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taritarika"/>
    <s v="Beievotse Tanamba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Ambar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Ambanikily Volank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Andranonagnom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Ankoro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Betaimbor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Manta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Marovat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Nosy 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Belits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Marovato"/>
    <s v="Sora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Anatsosa Centr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Ambovoto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Ankilimigah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Besako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Maroaka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Namoi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Tampototse Maromaint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Tampototse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Tanami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Nikoly"/>
    <s v="Tamonto Ankili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Avaradro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Antaran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Ankorako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Anjatsamp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Bevaz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Marohira Su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Marohira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Mahendr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Saka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Evaz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Tsihombe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Tsihombe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Tsivorikel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Tsindamb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Antsakoantso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Tsihombe"/>
    <s v="Zafindrav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katamboal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mpeng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karangot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teny Ouest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kimb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mpi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daza Ampahepo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Behoda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Tanamanj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Tsitind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d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koro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mbaromalano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Anjampaly"/>
    <s v="Antavy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Ambo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Ankilite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Anja Haut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Ambot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Benon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Ankilimi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Bem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Faux Cap"/>
    <s v="Tanand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Behazomanga"/>
    <s v="Anjato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Behazomanga"/>
    <s v="Ankilivalo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Behazomanga"/>
    <s v="Ankilivalo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Behazomanga"/>
    <s v="Namota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Imongy"/>
    <s v="Imongy Terebe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Imongy"/>
    <s v="Mar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Imongy"/>
    <s v="Ankoritsi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Imongy"/>
    <s v="Andramir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x v="16"/>
    <s v="ORN Androy"/>
    <s v="Beloha"/>
    <s v="Beloha Atsim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Manakara"/>
    <x v="1"/>
    <m/>
    <s v="Fitovinany"/>
    <x v="17"/>
    <s v="ORN Fitovinany"/>
    <s v="Ikongo"/>
    <s v="Ikongo"/>
    <m/>
    <m/>
    <n v="750"/>
    <m/>
    <x v="1"/>
    <m/>
    <n v="90"/>
    <m/>
    <m/>
    <m/>
    <m/>
    <m/>
    <m/>
    <m/>
    <n v="6.75"/>
    <m/>
    <m/>
    <m/>
    <m/>
    <n v="6.75"/>
    <m/>
    <m/>
  </r>
  <r>
    <x v="0"/>
    <n v="2024"/>
    <x v="2"/>
    <s v="Nutrition"/>
    <x v="6"/>
    <s v="URT_MAM:Treatment of moderate acute malnutrition"/>
    <m/>
    <m/>
    <s v="Manakara"/>
    <x v="1"/>
    <m/>
    <s v="Fitovinany"/>
    <x v="17"/>
    <s v="ORN Fitovinany"/>
    <s v="Ifanire"/>
    <s v="Ifanire"/>
    <m/>
    <m/>
    <n v="200"/>
    <m/>
    <x v="1"/>
    <m/>
    <n v="90"/>
    <m/>
    <m/>
    <m/>
    <m/>
    <m/>
    <m/>
    <m/>
    <n v="1.8"/>
    <m/>
    <m/>
    <m/>
    <m/>
    <n v="1.8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x v="11"/>
    <s v="ORN Atsimo Atsinanana"/>
    <s v="Befotaka"/>
    <s v="Befotaka"/>
    <m/>
    <m/>
    <n v="274"/>
    <m/>
    <x v="1"/>
    <m/>
    <n v="90"/>
    <m/>
    <m/>
    <m/>
    <m/>
    <m/>
    <m/>
    <m/>
    <n v="2.4660000000000002"/>
    <m/>
    <m/>
    <m/>
    <m/>
    <n v="2.4660000000000002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x v="18"/>
    <s v="ORN Atsimo Atsinanana"/>
    <s v="Farafangana"/>
    <s v="Farafangana"/>
    <m/>
    <m/>
    <n v="2825"/>
    <m/>
    <x v="1"/>
    <m/>
    <n v="90"/>
    <m/>
    <m/>
    <m/>
    <m/>
    <m/>
    <m/>
    <m/>
    <n v="25.425000000000001"/>
    <m/>
    <m/>
    <m/>
    <m/>
    <n v="25.425000000000001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x v="8"/>
    <s v="ORN Atsimo Atsinanana"/>
    <s v="Vondrozo"/>
    <s v="Vondrozo"/>
    <m/>
    <m/>
    <n v="1321"/>
    <m/>
    <x v="1"/>
    <m/>
    <n v="90"/>
    <m/>
    <m/>
    <m/>
    <m/>
    <m/>
    <m/>
    <m/>
    <n v="11.888999999999999"/>
    <m/>
    <m/>
    <m/>
    <m/>
    <n v="11.888999999999999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x v="10"/>
    <s v="ORN Atsimo Atsinanana"/>
    <s v="Vangaindrano"/>
    <s v="Vangaindrano"/>
    <m/>
    <m/>
    <n v="2075"/>
    <m/>
    <x v="1"/>
    <m/>
    <n v="90"/>
    <m/>
    <m/>
    <m/>
    <m/>
    <m/>
    <m/>
    <m/>
    <n v="18.675000000000001"/>
    <m/>
    <m/>
    <m/>
    <m/>
    <n v="18.675000000000001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x v="9"/>
    <s v="ORN Atsimo Atsinanana"/>
    <s v="Midongy"/>
    <s v="Midongy"/>
    <m/>
    <m/>
    <n v="450"/>
    <m/>
    <x v="1"/>
    <m/>
    <n v="90"/>
    <m/>
    <m/>
    <m/>
    <m/>
    <m/>
    <m/>
    <m/>
    <n v="4.05"/>
    <m/>
    <m/>
    <m/>
    <m/>
    <n v="4.05"/>
    <m/>
    <m/>
  </r>
  <r>
    <x v="1"/>
    <n v="2025"/>
    <x v="2"/>
    <s v="Nutrition"/>
    <x v="7"/>
    <s v="PEC FEFA"/>
    <m/>
    <m/>
    <s v="Manakara"/>
    <x v="1"/>
    <s v="Manakara"/>
    <s v="Fitovinany"/>
    <x v="2"/>
    <s v="DRS"/>
    <s v="Manakara"/>
    <s v="Manakara"/>
    <m/>
    <n v="1303.6122750000002"/>
    <n v="1303.6122750000002"/>
    <m/>
    <x v="1"/>
    <m/>
    <n v="30"/>
    <m/>
    <m/>
    <m/>
    <m/>
    <m/>
    <n v="0.97770920625000013"/>
    <m/>
    <m/>
    <n v="9.7770920625000013"/>
    <m/>
    <m/>
    <m/>
    <n v="10.754801268750001"/>
    <m/>
    <m/>
  </r>
  <r>
    <x v="1"/>
    <n v="2025"/>
    <x v="2"/>
    <s v="Nutrition"/>
    <x v="7"/>
    <s v="PEC FEFA"/>
    <m/>
    <m/>
    <s v="Manakara"/>
    <x v="1"/>
    <s v="Manakara"/>
    <s v="Fitovinany"/>
    <x v="2"/>
    <s v="DRS"/>
    <s v="IKONGO"/>
    <s v="IKONGO"/>
    <m/>
    <n v="1252.4223000000002"/>
    <n v="1252.4223000000002"/>
    <m/>
    <x v="1"/>
    <m/>
    <n v="30"/>
    <m/>
    <m/>
    <m/>
    <m/>
    <m/>
    <n v="0.93931672500000019"/>
    <m/>
    <m/>
    <n v="9.3931672500000012"/>
    <m/>
    <m/>
    <m/>
    <n v="10.332483975000001"/>
    <m/>
    <m/>
  </r>
  <r>
    <x v="1"/>
    <n v="2025"/>
    <x v="2"/>
    <s v="Nutrition"/>
    <x v="7"/>
    <s v="PEC FEFA"/>
    <m/>
    <m/>
    <s v="Amboasary"/>
    <x v="0"/>
    <s v="Taolagnaro"/>
    <s v="Anosy"/>
    <x v="0"/>
    <s v="DRS"/>
    <s v="Amboasary"/>
    <s v="Amboasary"/>
    <m/>
    <n v="2049"/>
    <n v="2049"/>
    <m/>
    <x v="1"/>
    <m/>
    <n v="30"/>
    <m/>
    <m/>
    <m/>
    <m/>
    <m/>
    <n v="1.5367500000000001"/>
    <m/>
    <m/>
    <n v="15.3675"/>
    <m/>
    <m/>
    <m/>
    <n v="16.904250000000001"/>
    <m/>
    <m/>
  </r>
  <r>
    <x v="1"/>
    <n v="2025"/>
    <x v="2"/>
    <s v="Nutrition"/>
    <x v="7"/>
    <s v="PEC FEFA"/>
    <m/>
    <m/>
    <s v="Amboasary"/>
    <x v="0"/>
    <s v="Taolagnaro"/>
    <s v="Anosy"/>
    <x v="15"/>
    <s v="DRS"/>
    <s v="Betroka"/>
    <s v="Betroka"/>
    <m/>
    <n v="2595"/>
    <n v="2595"/>
    <m/>
    <x v="1"/>
    <m/>
    <n v="30"/>
    <m/>
    <m/>
    <m/>
    <m/>
    <m/>
    <n v="1.94625"/>
    <m/>
    <m/>
    <n v="19.462499999999999"/>
    <m/>
    <m/>
    <m/>
    <n v="21.408749999999998"/>
    <m/>
    <m/>
  </r>
  <r>
    <x v="2"/>
    <n v="2025"/>
    <x v="2"/>
    <s v="Nutrition"/>
    <x v="7"/>
    <s v="PEC FEFA"/>
    <m/>
    <m/>
    <s v="Manakara"/>
    <x v="1"/>
    <s v="Manakara"/>
    <s v="Fitovinany"/>
    <x v="2"/>
    <s v="DRS"/>
    <s v="Manakara"/>
    <s v="Manakara"/>
    <m/>
    <n v="1303.6122750000002"/>
    <n v="1303.6122750000002"/>
    <m/>
    <x v="1"/>
    <m/>
    <n v="30"/>
    <m/>
    <m/>
    <m/>
    <m/>
    <m/>
    <n v="0.97770920625000013"/>
    <m/>
    <m/>
    <n v="9.7770920625000013"/>
    <m/>
    <m/>
    <m/>
    <n v="10.754801268750001"/>
    <m/>
    <m/>
  </r>
  <r>
    <x v="2"/>
    <n v="2025"/>
    <x v="2"/>
    <s v="Nutrition"/>
    <x v="7"/>
    <s v="PEC FEFA"/>
    <m/>
    <m/>
    <s v="Manakara"/>
    <x v="1"/>
    <s v="Manakara"/>
    <s v="Fitovinany"/>
    <x v="2"/>
    <s v="DRS"/>
    <s v="IKONGO"/>
    <s v="IKONGO"/>
    <m/>
    <n v="1252.4223000000002"/>
    <n v="1252.4223000000002"/>
    <m/>
    <x v="1"/>
    <m/>
    <n v="30"/>
    <m/>
    <m/>
    <m/>
    <m/>
    <m/>
    <n v="0.93931672500000019"/>
    <m/>
    <m/>
    <n v="9.3931672500000012"/>
    <m/>
    <m/>
    <m/>
    <n v="10.332483975000001"/>
    <m/>
    <m/>
  </r>
  <r>
    <x v="2"/>
    <n v="2025"/>
    <x v="2"/>
    <s v="Nutrition"/>
    <x v="7"/>
    <s v="PEC FEFA"/>
    <m/>
    <m/>
    <s v="Amboasary"/>
    <x v="0"/>
    <s v="Taolagnaro"/>
    <s v="Anosy"/>
    <x v="0"/>
    <s v="DRS"/>
    <s v="Amboasary"/>
    <s v="Amboasary"/>
    <m/>
    <n v="2049"/>
    <n v="2049"/>
    <m/>
    <x v="1"/>
    <m/>
    <n v="30"/>
    <m/>
    <m/>
    <m/>
    <m/>
    <m/>
    <n v="1.5367500000000001"/>
    <m/>
    <m/>
    <n v="15.3675"/>
    <m/>
    <m/>
    <m/>
    <n v="16.904250000000001"/>
    <m/>
    <m/>
  </r>
  <r>
    <x v="2"/>
    <n v="2025"/>
    <x v="2"/>
    <s v="Nutrition"/>
    <x v="7"/>
    <s v="PEC FEFA"/>
    <m/>
    <m/>
    <s v="Amboasary"/>
    <x v="0"/>
    <s v="Taolagnaro"/>
    <s v="Anosy"/>
    <x v="15"/>
    <s v="DRS"/>
    <s v="Betroka"/>
    <s v="Betroka"/>
    <m/>
    <n v="2595"/>
    <n v="2595"/>
    <m/>
    <x v="1"/>
    <m/>
    <n v="30"/>
    <m/>
    <m/>
    <m/>
    <m/>
    <m/>
    <n v="1.94625"/>
    <m/>
    <m/>
    <n v="19.462499999999999"/>
    <m/>
    <m/>
    <m/>
    <n v="21.408749999999998"/>
    <m/>
    <m/>
  </r>
  <r>
    <x v="0"/>
    <n v="2024"/>
    <x v="3"/>
    <s v="SMP1"/>
    <x v="8"/>
    <s v="School feeding"/>
    <m/>
    <m/>
    <s v="Antananarivo"/>
    <x v="4"/>
    <m/>
    <s v="Amoron'i Mania"/>
    <x v="19"/>
    <m/>
    <s v="ANDINA"/>
    <s v="Ampasina"/>
    <m/>
    <m/>
    <n v="312"/>
    <m/>
    <x v="3"/>
    <s v="hybride"/>
    <m/>
    <n v="2.4"/>
    <m/>
    <m/>
    <m/>
    <n v="0.15"/>
    <n v="0.17100000000000001"/>
    <m/>
    <m/>
    <m/>
    <m/>
    <m/>
    <m/>
    <m/>
    <n v="6891456"/>
    <m/>
  </r>
  <r>
    <x v="0"/>
    <n v="2024"/>
    <x v="3"/>
    <s v="SMP1"/>
    <x v="8"/>
    <s v="School feeding"/>
    <m/>
    <m/>
    <s v="Antananarivo"/>
    <x v="4"/>
    <m/>
    <s v="Amoron'i Mania"/>
    <x v="19"/>
    <m/>
    <s v="ANDINA"/>
    <s v="Ampiterena"/>
    <m/>
    <m/>
    <n v="217"/>
    <m/>
    <x v="3"/>
    <s v="hybride"/>
    <m/>
    <n v="1.65"/>
    <m/>
    <m/>
    <m/>
    <n v="0.1"/>
    <n v="0.1215"/>
    <m/>
    <m/>
    <m/>
    <m/>
    <m/>
    <m/>
    <m/>
    <n v="4793096"/>
    <m/>
  </r>
  <r>
    <x v="0"/>
    <n v="2024"/>
    <x v="3"/>
    <s v="SMP1"/>
    <x v="8"/>
    <s v="School feeding"/>
    <m/>
    <m/>
    <s v="Antananarivo"/>
    <x v="4"/>
    <m/>
    <s v="Amoron'i Mania"/>
    <x v="19"/>
    <m/>
    <s v="ANDINA"/>
    <s v="Andina"/>
    <m/>
    <m/>
    <n v="470"/>
    <m/>
    <x v="3"/>
    <s v="hybride"/>
    <m/>
    <n v="3.6"/>
    <m/>
    <m/>
    <m/>
    <n v="0.2"/>
    <n v="0.25650000000000001"/>
    <m/>
    <m/>
    <m/>
    <m/>
    <m/>
    <m/>
    <m/>
    <n v="10381360"/>
    <m/>
  </r>
  <r>
    <x v="0"/>
    <n v="2024"/>
    <x v="3"/>
    <s v="SMP1"/>
    <x v="8"/>
    <s v="School feeding"/>
    <m/>
    <m/>
    <s v="Antananarivo"/>
    <x v="4"/>
    <m/>
    <s v="Amoron'i Mania"/>
    <x v="19"/>
    <m/>
    <s v="ANDINA"/>
    <s v="Tananomby"/>
    <m/>
    <m/>
    <n v="287"/>
    <m/>
    <x v="3"/>
    <s v="hybride"/>
    <m/>
    <n v="2.2000000000000002"/>
    <m/>
    <m/>
    <m/>
    <n v="0.1"/>
    <n v="0.1575"/>
    <m/>
    <m/>
    <m/>
    <m/>
    <m/>
    <m/>
    <m/>
    <n v="6339256"/>
    <m/>
  </r>
  <r>
    <x v="0"/>
    <n v="2024"/>
    <x v="3"/>
    <s v="SMP1"/>
    <x v="8"/>
    <s v="School feeding"/>
    <m/>
    <m/>
    <s v="Antananarivo"/>
    <x v="4"/>
    <m/>
    <s v="Amoron'i Mania"/>
    <x v="19"/>
    <m/>
    <s v="ANDINA"/>
    <s v="Vohitraivo"/>
    <m/>
    <m/>
    <n v="233"/>
    <m/>
    <x v="3"/>
    <s v="hybride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ntananarivo"/>
    <x v="4"/>
    <m/>
    <s v="Amoron'i Mania"/>
    <x v="19"/>
    <m/>
    <s v="ANKAZOAMBO"/>
    <s v="Ambatomenaloha"/>
    <m/>
    <m/>
    <n v="222"/>
    <m/>
    <x v="3"/>
    <s v="hybride"/>
    <m/>
    <n v="1.7"/>
    <m/>
    <m/>
    <m/>
    <n v="0.1"/>
    <n v="0.1215"/>
    <m/>
    <m/>
    <m/>
    <m/>
    <m/>
    <m/>
    <m/>
    <n v="4903536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Ambohitsoa"/>
    <m/>
    <m/>
    <n v="77"/>
    <m/>
    <x v="3"/>
    <s v="hybride"/>
    <m/>
    <n v="0.6"/>
    <m/>
    <m/>
    <m/>
    <n v="0.05"/>
    <n v="4.0500000000000001E-2"/>
    <m/>
    <m/>
    <m/>
    <m/>
    <m/>
    <m/>
    <m/>
    <n v="1700776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Ampahipeno"/>
    <m/>
    <m/>
    <n v="221"/>
    <m/>
    <x v="3"/>
    <s v="hybride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Ankorabe"/>
    <m/>
    <m/>
    <n v="73"/>
    <m/>
    <x v="3"/>
    <s v="hybride"/>
    <m/>
    <n v="0.55000000000000004"/>
    <m/>
    <m/>
    <m/>
    <n v="0.05"/>
    <n v="4.0500000000000001E-2"/>
    <m/>
    <m/>
    <m/>
    <m/>
    <m/>
    <m/>
    <m/>
    <n v="1612424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Anovy"/>
    <m/>
    <m/>
    <n v="99"/>
    <m/>
    <x v="3"/>
    <s v="hybride"/>
    <m/>
    <n v="0.75"/>
    <m/>
    <m/>
    <m/>
    <n v="0.05"/>
    <n v="5.3999999999999999E-2"/>
    <m/>
    <m/>
    <m/>
    <m/>
    <m/>
    <m/>
    <m/>
    <n v="2186712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Soamandroso"/>
    <m/>
    <m/>
    <n v="151"/>
    <m/>
    <x v="3"/>
    <s v="hybride"/>
    <m/>
    <n v="1.1499999999999999"/>
    <m/>
    <m/>
    <m/>
    <n v="0.05"/>
    <n v="8.1000000000000003E-2"/>
    <m/>
    <m/>
    <m/>
    <m/>
    <m/>
    <m/>
    <m/>
    <n v="3335288"/>
    <m/>
  </r>
  <r>
    <x v="0"/>
    <n v="2024"/>
    <x v="3"/>
    <s v="SMP1"/>
    <x v="8"/>
    <s v="School feeding"/>
    <m/>
    <m/>
    <s v="Antananarivo"/>
    <x v="4"/>
    <m/>
    <s v="Amoron'i Mania"/>
    <x v="19"/>
    <m/>
    <s v="FAHIZAY"/>
    <s v="Soanierana Volazato"/>
    <m/>
    <m/>
    <n v="305"/>
    <m/>
    <x v="3"/>
    <s v="hybride"/>
    <m/>
    <n v="2.35"/>
    <m/>
    <m/>
    <m/>
    <n v="0.15"/>
    <n v="0.16650000000000001"/>
    <m/>
    <m/>
    <m/>
    <m/>
    <m/>
    <m/>
    <m/>
    <n v="6736840"/>
    <m/>
  </r>
  <r>
    <x v="0"/>
    <n v="2024"/>
    <x v="3"/>
    <s v="SMP1"/>
    <x v="8"/>
    <s v="School feeding"/>
    <m/>
    <m/>
    <s v="Antananarivo"/>
    <x v="4"/>
    <m/>
    <s v="Amoron'i Mania"/>
    <x v="19"/>
    <m/>
    <s v="IVATO CENTRE"/>
    <s v="Ivato Centre"/>
    <m/>
    <m/>
    <n v="451"/>
    <m/>
    <x v="3"/>
    <s v="hybride"/>
    <m/>
    <n v="3.45"/>
    <m/>
    <m/>
    <m/>
    <n v="0.15"/>
    <n v="0.2475"/>
    <m/>
    <m/>
    <m/>
    <m/>
    <m/>
    <m/>
    <m/>
    <n v="9961688"/>
    <m/>
  </r>
  <r>
    <x v="0"/>
    <n v="2024"/>
    <x v="3"/>
    <s v="SMP1"/>
    <x v="8"/>
    <s v="School feeding"/>
    <m/>
    <m/>
    <s v="Antananarivo"/>
    <x v="4"/>
    <m/>
    <s v="Amoron'i Mania"/>
    <x v="19"/>
    <m/>
    <s v="IVATO CENTRE"/>
    <s v="Tsaingy"/>
    <m/>
    <m/>
    <n v="242"/>
    <m/>
    <x v="3"/>
    <s v="hybride"/>
    <m/>
    <n v="1.85"/>
    <m/>
    <m/>
    <m/>
    <n v="0.1"/>
    <n v="0.13500000000000001"/>
    <m/>
    <m/>
    <m/>
    <m/>
    <m/>
    <m/>
    <m/>
    <n v="5345296"/>
    <m/>
  </r>
  <r>
    <x v="0"/>
    <n v="2024"/>
    <x v="3"/>
    <s v="SMP1"/>
    <x v="8"/>
    <s v="School feeding"/>
    <m/>
    <m/>
    <s v="Antananarivo"/>
    <x v="4"/>
    <m/>
    <s v="Amoron'i Mania"/>
    <x v="19"/>
    <m/>
    <s v="IVONY MIARAMIASA"/>
    <s v="Ivony Firaisantsoa"/>
    <m/>
    <m/>
    <n v="199"/>
    <m/>
    <x v="3"/>
    <s v="hybride"/>
    <m/>
    <n v="1.55"/>
    <m/>
    <m/>
    <m/>
    <n v="0.1"/>
    <n v="0.108"/>
    <m/>
    <m/>
    <m/>
    <m/>
    <m/>
    <m/>
    <m/>
    <n v="4395512"/>
    <m/>
  </r>
  <r>
    <x v="0"/>
    <n v="2024"/>
    <x v="3"/>
    <s v="SMP1"/>
    <x v="8"/>
    <s v="School feeding"/>
    <m/>
    <m/>
    <s v="Antananarivo"/>
    <x v="4"/>
    <m/>
    <s v="Amoron'i Mania"/>
    <x v="19"/>
    <m/>
    <s v="IVONY MIARAMIASA"/>
    <s v="Maintitondro"/>
    <m/>
    <m/>
    <n v="223"/>
    <m/>
    <x v="3"/>
    <s v="hybride"/>
    <m/>
    <n v="1.7"/>
    <m/>
    <m/>
    <m/>
    <n v="0.1"/>
    <n v="0.1215"/>
    <m/>
    <m/>
    <m/>
    <m/>
    <m/>
    <m/>
    <m/>
    <n v="4925624"/>
    <m/>
  </r>
  <r>
    <x v="0"/>
    <n v="2024"/>
    <x v="3"/>
    <s v="SMP1"/>
    <x v="8"/>
    <s v="School feeding"/>
    <m/>
    <m/>
    <s v="Antananarivo"/>
    <x v="4"/>
    <m/>
    <s v="Amoron'i Mania"/>
    <x v="19"/>
    <m/>
    <s v="AMBOSITRA"/>
    <s v="Andriamanalina"/>
    <m/>
    <m/>
    <n v="767"/>
    <m/>
    <x v="3"/>
    <s v="hybride"/>
    <m/>
    <n v="5.9"/>
    <m/>
    <m/>
    <m/>
    <n v="0.3"/>
    <n v="0.42299999999999999"/>
    <m/>
    <m/>
    <m/>
    <m/>
    <m/>
    <m/>
    <m/>
    <n v="16941496"/>
    <m/>
  </r>
  <r>
    <x v="0"/>
    <n v="2024"/>
    <x v="3"/>
    <s v="SMP1"/>
    <x v="8"/>
    <s v="School feeding"/>
    <m/>
    <m/>
    <s v="Antananarivo"/>
    <x v="4"/>
    <m/>
    <s v="Amoron'i Mania"/>
    <x v="19"/>
    <m/>
    <s v="AMBOSITRA"/>
    <s v="Antoetra"/>
    <m/>
    <m/>
    <n v="157"/>
    <m/>
    <x v="3"/>
    <s v="hybride"/>
    <m/>
    <n v="1.2"/>
    <m/>
    <m/>
    <m/>
    <n v="0.1"/>
    <n v="8.5500000000000007E-2"/>
    <m/>
    <m/>
    <m/>
    <m/>
    <m/>
    <m/>
    <m/>
    <n v="3467816"/>
    <m/>
  </r>
  <r>
    <x v="0"/>
    <n v="2024"/>
    <x v="3"/>
    <s v="SMP1"/>
    <x v="8"/>
    <s v="School feeding"/>
    <m/>
    <m/>
    <s v="Antananarivo"/>
    <x v="4"/>
    <m/>
    <s v="Amoron'i Mania"/>
    <x v="19"/>
    <m/>
    <s v="AMBOSITRA"/>
    <s v="Tanetibe"/>
    <m/>
    <m/>
    <n v="302"/>
    <m/>
    <x v="3"/>
    <s v="hybride"/>
    <m/>
    <n v="2.35"/>
    <m/>
    <m/>
    <m/>
    <n v="0.1"/>
    <n v="0.16650000000000001"/>
    <m/>
    <m/>
    <m/>
    <m/>
    <m/>
    <m/>
    <m/>
    <n v="6670576"/>
    <m/>
  </r>
  <r>
    <x v="0"/>
    <n v="2024"/>
    <x v="3"/>
    <s v="SMP1"/>
    <x v="8"/>
    <s v="School feeding"/>
    <m/>
    <m/>
    <s v="Antananarivo"/>
    <x v="4"/>
    <m/>
    <s v="Amoron'i Mania"/>
    <x v="19"/>
    <m/>
    <s v="AMBOSITRA"/>
    <s v="Vatovory"/>
    <m/>
    <m/>
    <n v="513"/>
    <m/>
    <x v="3"/>
    <s v="hybride"/>
    <m/>
    <n v="3.95"/>
    <m/>
    <m/>
    <m/>
    <n v="0.2"/>
    <n v="0.28349999999999997"/>
    <m/>
    <m/>
    <m/>
    <m/>
    <m/>
    <m/>
    <m/>
    <n v="11331144"/>
    <m/>
  </r>
  <r>
    <x v="0"/>
    <n v="2024"/>
    <x v="3"/>
    <s v="SMP1"/>
    <x v="8"/>
    <s v="School feeding"/>
    <m/>
    <m/>
    <s v="Antananarivo"/>
    <x v="4"/>
    <m/>
    <s v="Analamanga"/>
    <x v="20"/>
    <m/>
    <s v="ANDAKATANIKELY"/>
    <s v="Kianjavola"/>
    <m/>
    <m/>
    <n v="286"/>
    <m/>
    <x v="3"/>
    <s v="hybride"/>
    <m/>
    <n v="2.2000000000000002"/>
    <m/>
    <m/>
    <m/>
    <n v="0.1"/>
    <n v="0.1575"/>
    <m/>
    <m/>
    <m/>
    <m/>
    <m/>
    <m/>
    <m/>
    <n v="6317168"/>
    <m/>
  </r>
  <r>
    <x v="0"/>
    <n v="2024"/>
    <x v="3"/>
    <s v="SMP1"/>
    <x v="8"/>
    <s v="School feeding"/>
    <m/>
    <m/>
    <s v="Antananarivo"/>
    <x v="4"/>
    <m/>
    <s v="Analamanga"/>
    <x v="20"/>
    <m/>
    <s v="ANDAKATANIKELY"/>
    <s v="Soalazaina"/>
    <m/>
    <m/>
    <n v="233"/>
    <m/>
    <x v="3"/>
    <s v="hybride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ntananarivo"/>
    <x v="4"/>
    <m/>
    <s v="Vakinakaratra"/>
    <x v="21"/>
    <m/>
    <s v="ALAKAMISY"/>
    <s v="EPP MAHABODO"/>
    <m/>
    <m/>
    <n v="161"/>
    <m/>
    <x v="3"/>
    <s v="HGSF"/>
    <m/>
    <n v="0.55000000000000004"/>
    <m/>
    <m/>
    <m/>
    <n v="0.05"/>
    <n v="4.0500000000000001E-2"/>
    <m/>
    <m/>
    <m/>
    <m/>
    <m/>
    <m/>
    <m/>
    <n v="3556168"/>
    <m/>
  </r>
  <r>
    <x v="0"/>
    <n v="2024"/>
    <x v="3"/>
    <s v="SMP1"/>
    <x v="8"/>
    <s v="School feeding"/>
    <m/>
    <m/>
    <s v="Antananarivo"/>
    <x v="4"/>
    <m/>
    <s v="Vakinakaratra"/>
    <x v="21"/>
    <m/>
    <s v="AMBOHIBARY"/>
    <s v="EPP AMBOHIBARY"/>
    <m/>
    <m/>
    <n v="463"/>
    <m/>
    <x v="3"/>
    <s v="HGSF"/>
    <m/>
    <n v="1.5"/>
    <m/>
    <m/>
    <m/>
    <n v="0.1"/>
    <n v="0.1125"/>
    <m/>
    <m/>
    <m/>
    <m/>
    <m/>
    <m/>
    <m/>
    <n v="10226744"/>
    <m/>
  </r>
  <r>
    <x v="0"/>
    <n v="2024"/>
    <x v="3"/>
    <s v="SMP1"/>
    <x v="8"/>
    <s v="School feeding"/>
    <m/>
    <m/>
    <s v="Antananarivo"/>
    <x v="4"/>
    <m/>
    <s v="Vakinakaratra"/>
    <x v="21"/>
    <m/>
    <s v="MANDROSOHASINA"/>
    <s v="EPP KIANJANAKANGA"/>
    <m/>
    <m/>
    <n v="353"/>
    <m/>
    <x v="3"/>
    <s v="HGSF"/>
    <m/>
    <n v="1.1499999999999999"/>
    <m/>
    <m/>
    <m/>
    <n v="0.05"/>
    <n v="8.1000000000000003E-2"/>
    <m/>
    <m/>
    <m/>
    <m/>
    <m/>
    <m/>
    <m/>
    <n v="7797064"/>
    <m/>
  </r>
  <r>
    <x v="0"/>
    <n v="2024"/>
    <x v="3"/>
    <s v="SMP1"/>
    <x v="8"/>
    <s v="School feeding"/>
    <m/>
    <m/>
    <s v="Antananarivo"/>
    <x v="4"/>
    <m/>
    <s v="Vakinakaratra"/>
    <x v="21"/>
    <m/>
    <s v="ANTANAMBAO"/>
    <s v="EPP INDROAMITA"/>
    <m/>
    <m/>
    <n v="171"/>
    <m/>
    <x v="3"/>
    <s v="HGSF"/>
    <m/>
    <n v="0.55000000000000004"/>
    <m/>
    <m/>
    <m/>
    <n v="0.05"/>
    <n v="4.0500000000000001E-2"/>
    <m/>
    <m/>
    <m/>
    <m/>
    <m/>
    <m/>
    <m/>
    <n v="3777048"/>
    <m/>
  </r>
  <r>
    <x v="0"/>
    <n v="2024"/>
    <x v="3"/>
    <s v="SMP1"/>
    <x v="8"/>
    <s v="School feeding"/>
    <m/>
    <m/>
    <s v="Antananarivo"/>
    <x v="4"/>
    <m/>
    <s v="Vakinakaratra"/>
    <x v="21"/>
    <m/>
    <s v="TSARAHONENANA"/>
    <s v="EPP SOAVINARIVO"/>
    <m/>
    <m/>
    <n v="243"/>
    <m/>
    <x v="3"/>
    <s v="HGSF"/>
    <m/>
    <n v="0.8"/>
    <m/>
    <m/>
    <m/>
    <n v="0.05"/>
    <n v="5.8500000000000003E-2"/>
    <m/>
    <m/>
    <m/>
    <m/>
    <m/>
    <m/>
    <m/>
    <n v="5367384"/>
    <m/>
  </r>
  <r>
    <x v="0"/>
    <n v="2024"/>
    <x v="3"/>
    <s v="SMP1"/>
    <x v="8"/>
    <s v="School feeding"/>
    <m/>
    <m/>
    <s v="Antananarivo"/>
    <x v="4"/>
    <m/>
    <s v="Itasy"/>
    <x v="22"/>
    <m/>
    <s v="SOAMAHAMANINA"/>
    <s v="ECOLE COMMUNAUTAIRE MIANGOLABE"/>
    <m/>
    <m/>
    <n v="111"/>
    <m/>
    <x v="3"/>
    <s v="HGSF"/>
    <m/>
    <n v="0.4"/>
    <m/>
    <m/>
    <m/>
    <n v="0"/>
    <n v="3.15E-2"/>
    <m/>
    <m/>
    <m/>
    <m/>
    <m/>
    <m/>
    <m/>
    <n v="2451768"/>
    <m/>
  </r>
  <r>
    <x v="0"/>
    <n v="2024"/>
    <x v="3"/>
    <s v="SMP1"/>
    <x v="8"/>
    <s v="School feeding"/>
    <m/>
    <m/>
    <s v="Antananarivo"/>
    <x v="4"/>
    <m/>
    <s v="Itasy"/>
    <x v="22"/>
    <m/>
    <s v="AMBATOMANJAKA"/>
    <s v="ECOLE COMMUNAUTAIRE SOANAVELA"/>
    <m/>
    <m/>
    <n v="86"/>
    <m/>
    <x v="3"/>
    <s v="HGSF"/>
    <m/>
    <n v="0.3"/>
    <m/>
    <m/>
    <m/>
    <n v="0"/>
    <n v="2.2499999999999999E-2"/>
    <m/>
    <m/>
    <m/>
    <m/>
    <m/>
    <m/>
    <m/>
    <n v="1899568"/>
    <m/>
  </r>
  <r>
    <x v="0"/>
    <n v="2024"/>
    <x v="3"/>
    <s v="SMP1"/>
    <x v="8"/>
    <s v="School feeding"/>
    <m/>
    <m/>
    <s v="Antananarivo"/>
    <x v="4"/>
    <m/>
    <s v="Itasy"/>
    <x v="22"/>
    <m/>
    <s v="ANALAVORY"/>
    <s v="EPP AMBOHIBARY I"/>
    <m/>
    <m/>
    <n v="322"/>
    <m/>
    <x v="3"/>
    <s v="HGSF"/>
    <m/>
    <n v="1.1000000000000001"/>
    <m/>
    <m/>
    <m/>
    <n v="0.05"/>
    <n v="7.6499999999999999E-2"/>
    <m/>
    <m/>
    <m/>
    <m/>
    <m/>
    <m/>
    <m/>
    <n v="7112336"/>
    <m/>
  </r>
  <r>
    <x v="0"/>
    <n v="2024"/>
    <x v="3"/>
    <s v="SMP1"/>
    <x v="8"/>
    <s v="School feeding"/>
    <m/>
    <m/>
    <s v="Antananarivo"/>
    <x v="4"/>
    <m/>
    <s v="Itasy"/>
    <x v="22"/>
    <m/>
    <s v="ANALAVORY"/>
    <s v="EPP ANTONGOMBATO"/>
    <m/>
    <m/>
    <n v="164"/>
    <m/>
    <x v="3"/>
    <s v="HGSF"/>
    <m/>
    <n v="0.55000000000000004"/>
    <m/>
    <m/>
    <m/>
    <n v="0.05"/>
    <n v="4.0500000000000001E-2"/>
    <m/>
    <m/>
    <m/>
    <m/>
    <m/>
    <m/>
    <m/>
    <n v="3622432"/>
    <m/>
  </r>
  <r>
    <x v="0"/>
    <n v="2024"/>
    <x v="3"/>
    <s v="SMP1"/>
    <x v="8"/>
    <s v="School feeding"/>
    <m/>
    <m/>
    <s v="Antananarivo"/>
    <x v="4"/>
    <m/>
    <s v="Itasy"/>
    <x v="22"/>
    <m/>
    <s v="MIARINARIVO II"/>
    <s v="EPP IGARARANA"/>
    <m/>
    <m/>
    <n v="176"/>
    <m/>
    <x v="3"/>
    <s v="HGSF"/>
    <m/>
    <n v="0.6"/>
    <m/>
    <m/>
    <m/>
    <n v="0.05"/>
    <n v="4.4999999999999998E-2"/>
    <m/>
    <m/>
    <m/>
    <m/>
    <m/>
    <m/>
    <m/>
    <n v="3887488"/>
    <m/>
  </r>
  <r>
    <x v="0"/>
    <n v="2024"/>
    <x v="3"/>
    <s v="SMP1"/>
    <x v="8"/>
    <s v="School feeding"/>
    <m/>
    <m/>
    <s v="Antananarivo"/>
    <x v="4"/>
    <m/>
    <s v="Itasy"/>
    <x v="23"/>
    <m/>
    <s v="ANDRANOMIELY"/>
    <s v="EPP BONGAVATO"/>
    <m/>
    <m/>
    <n v="112"/>
    <m/>
    <x v="3"/>
    <s v="HGSF"/>
    <m/>
    <n v="0.35"/>
    <m/>
    <m/>
    <m/>
    <n v="0"/>
    <n v="3.15E-2"/>
    <m/>
    <m/>
    <m/>
    <m/>
    <m/>
    <m/>
    <m/>
    <n v="2473856"/>
    <m/>
  </r>
  <r>
    <x v="0"/>
    <n v="2024"/>
    <x v="3"/>
    <s v="SMP1"/>
    <x v="8"/>
    <s v="School feeding"/>
    <m/>
    <m/>
    <s v="Antananarivo"/>
    <x v="4"/>
    <m/>
    <s v="Itasy"/>
    <x v="23"/>
    <m/>
    <s v="MIANDRANDRA"/>
    <s v="EPP BONGATSARA"/>
    <m/>
    <m/>
    <n v="80"/>
    <m/>
    <x v="3"/>
    <s v="HGSF"/>
    <m/>
    <n v="0.25"/>
    <m/>
    <m/>
    <m/>
    <n v="0"/>
    <n v="2.2499999999999999E-2"/>
    <m/>
    <m/>
    <m/>
    <m/>
    <m/>
    <m/>
    <m/>
    <n v="1767040"/>
    <m/>
  </r>
  <r>
    <x v="0"/>
    <n v="2024"/>
    <x v="3"/>
    <s v="SMP1"/>
    <x v="8"/>
    <s v="School feeding"/>
    <m/>
    <m/>
    <s v="Antananarivo"/>
    <x v="4"/>
    <m/>
    <s v="Itasy"/>
    <x v="23"/>
    <m/>
    <s v="TSIMADILO"/>
    <s v="EPP TALATA TSIMADILO"/>
    <m/>
    <m/>
    <n v="256"/>
    <m/>
    <x v="3"/>
    <s v="HGSF"/>
    <m/>
    <n v="0.85"/>
    <m/>
    <m/>
    <m/>
    <n v="0.05"/>
    <n v="5.8500000000000003E-2"/>
    <m/>
    <m/>
    <m/>
    <m/>
    <m/>
    <m/>
    <m/>
    <n v="5654528"/>
    <m/>
  </r>
  <r>
    <x v="0"/>
    <n v="2024"/>
    <x v="3"/>
    <s v="SMP1"/>
    <x v="8"/>
    <s v="School feeding"/>
    <m/>
    <m/>
    <s v="Amboasary"/>
    <x v="0"/>
    <s v="Taolagnaro"/>
    <s v="Anosy"/>
    <x v="15"/>
    <m/>
    <s v="AMBALASOA"/>
    <s v="EPP IRITSOKA"/>
    <m/>
    <m/>
    <n v="96"/>
    <m/>
    <x v="3"/>
    <s v="HGSF"/>
    <m/>
    <n v="0.35"/>
    <m/>
    <m/>
    <m/>
    <n v="0"/>
    <n v="2.7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x v="15"/>
    <m/>
    <s v="ANALAMARY"/>
    <s v="ECOLE COMMUNAUTAIRE IFATAKA"/>
    <m/>
    <m/>
    <n v="60"/>
    <m/>
    <x v="3"/>
    <s v="HGSF"/>
    <m/>
    <n v="0.2"/>
    <m/>
    <m/>
    <m/>
    <n v="0"/>
    <n v="1.35E-2"/>
    <m/>
    <m/>
    <m/>
    <m/>
    <m/>
    <m/>
    <m/>
    <n v="1325280"/>
    <m/>
  </r>
  <r>
    <x v="0"/>
    <n v="2024"/>
    <x v="3"/>
    <s v="SMP1"/>
    <x v="8"/>
    <s v="School feeding"/>
    <m/>
    <m/>
    <s v="Amboasary"/>
    <x v="0"/>
    <s v="Taolagnaro"/>
    <s v="Anosy"/>
    <x v="15"/>
    <m/>
    <s v="ANALAMARY"/>
    <s v="EPP MORARANO"/>
    <m/>
    <m/>
    <n v="165"/>
    <m/>
    <x v="3"/>
    <s v="HGSF"/>
    <m/>
    <n v="0.55000000000000004"/>
    <m/>
    <m/>
    <m/>
    <n v="0.05"/>
    <n v="4.0500000000000001E-2"/>
    <m/>
    <m/>
    <m/>
    <m/>
    <m/>
    <m/>
    <m/>
    <n v="3644520"/>
    <m/>
  </r>
  <r>
    <x v="0"/>
    <n v="2024"/>
    <x v="3"/>
    <s v="SMP1"/>
    <x v="8"/>
    <s v="School feeding"/>
    <m/>
    <m/>
    <s v="Amboasary"/>
    <x v="0"/>
    <s v="Taolagnaro"/>
    <s v="Anosy"/>
    <x v="15"/>
    <m/>
    <s v="IANABINDA"/>
    <s v="ECOLE COMMUNAUTAIRE SAHENY"/>
    <m/>
    <m/>
    <n v="143"/>
    <m/>
    <x v="3"/>
    <s v="HGSF"/>
    <m/>
    <n v="0.5"/>
    <m/>
    <m/>
    <m/>
    <n v="0"/>
    <n v="3.15E-2"/>
    <m/>
    <m/>
    <m/>
    <m/>
    <m/>
    <m/>
    <m/>
    <n v="3158584"/>
    <m/>
  </r>
  <r>
    <x v="0"/>
    <n v="2024"/>
    <x v="3"/>
    <s v="SMP1"/>
    <x v="8"/>
    <s v="School feeding"/>
    <m/>
    <m/>
    <s v="Amboasary"/>
    <x v="0"/>
    <s v="Taolagnaro"/>
    <s v="Anosy"/>
    <x v="15"/>
    <m/>
    <s v="IANABINDA"/>
    <s v="ECOLE COMMUNAUTAIRE SAKALALY"/>
    <m/>
    <m/>
    <n v="124"/>
    <m/>
    <x v="3"/>
    <s v="HGSF"/>
    <m/>
    <n v="0.4"/>
    <m/>
    <m/>
    <m/>
    <n v="0"/>
    <n v="3.15E-2"/>
    <m/>
    <m/>
    <m/>
    <m/>
    <m/>
    <m/>
    <m/>
    <n v="2738912"/>
    <m/>
  </r>
  <r>
    <x v="0"/>
    <n v="2024"/>
    <x v="3"/>
    <s v="SMP1"/>
    <x v="8"/>
    <s v="School feeding"/>
    <m/>
    <m/>
    <s v="Amboasary"/>
    <x v="0"/>
    <s v="Taolagnaro"/>
    <s v="Anosy"/>
    <x v="15"/>
    <m/>
    <s v="IANABINDA"/>
    <s v="ECOLE COMMUNAUTAIRE TSIHOTOY"/>
    <m/>
    <m/>
    <n v="134"/>
    <m/>
    <x v="3"/>
    <s v="HGSF"/>
    <m/>
    <n v="0.45"/>
    <m/>
    <m/>
    <m/>
    <n v="0"/>
    <n v="3.15E-2"/>
    <m/>
    <m/>
    <m/>
    <m/>
    <m/>
    <m/>
    <m/>
    <n v="2959792"/>
    <m/>
  </r>
  <r>
    <x v="0"/>
    <n v="2024"/>
    <x v="3"/>
    <s v="SMP1"/>
    <x v="8"/>
    <s v="School feeding"/>
    <m/>
    <m/>
    <s v="Amboasary"/>
    <x v="0"/>
    <s v="Taolagnaro"/>
    <s v="Anosy"/>
    <x v="15"/>
    <m/>
    <s v="SAKAMAHILY"/>
    <s v="ECOLE COMMUNAUTAIRE FIADANA"/>
    <m/>
    <m/>
    <n v="143"/>
    <m/>
    <x v="3"/>
    <s v="HGSF"/>
    <m/>
    <n v="0.5"/>
    <m/>
    <m/>
    <m/>
    <n v="0"/>
    <n v="3.15E-2"/>
    <m/>
    <m/>
    <m/>
    <m/>
    <m/>
    <m/>
    <m/>
    <n v="3158584"/>
    <m/>
  </r>
  <r>
    <x v="0"/>
    <n v="2024"/>
    <x v="3"/>
    <s v="SMP1"/>
    <x v="8"/>
    <s v="School feeding"/>
    <m/>
    <m/>
    <s v="Amboasary"/>
    <x v="0"/>
    <s v="Taolagnaro"/>
    <s v="Anosy"/>
    <x v="15"/>
    <m/>
    <s v="SAKAMAHILY"/>
    <s v="ECOLE COMMUNAUTAIRE NAGNARENA"/>
    <m/>
    <m/>
    <n v="129"/>
    <m/>
    <x v="3"/>
    <s v="HGSF"/>
    <m/>
    <n v="0.45"/>
    <m/>
    <m/>
    <m/>
    <n v="0"/>
    <n v="3.15E-2"/>
    <m/>
    <m/>
    <m/>
    <m/>
    <m/>
    <m/>
    <m/>
    <n v="2849352"/>
    <m/>
  </r>
  <r>
    <x v="0"/>
    <n v="2024"/>
    <x v="3"/>
    <s v="SMP1"/>
    <x v="8"/>
    <s v="School feeding"/>
    <m/>
    <m/>
    <s v="Amboasary"/>
    <x v="0"/>
    <s v="Taolagnaro"/>
    <s v="Anosy"/>
    <x v="15"/>
    <m/>
    <s v="SAKAMAHILY"/>
    <s v="EPP ANDOHARANO"/>
    <m/>
    <m/>
    <n v="82"/>
    <m/>
    <x v="3"/>
    <s v="HGSF"/>
    <m/>
    <n v="0.3"/>
    <m/>
    <m/>
    <m/>
    <n v="0"/>
    <n v="2.2499999999999999E-2"/>
    <m/>
    <m/>
    <m/>
    <m/>
    <m/>
    <m/>
    <m/>
    <n v="1811216"/>
    <m/>
  </r>
  <r>
    <x v="0"/>
    <n v="2024"/>
    <x v="3"/>
    <s v="SMP1"/>
    <x v="8"/>
    <s v="School feeding"/>
    <m/>
    <m/>
    <s v="Amboasary"/>
    <x v="0"/>
    <s v="Taolagnaro"/>
    <s v="Anosy"/>
    <x v="24"/>
    <m/>
    <s v="AMBATOABO"/>
    <s v="EPP BEROTSY"/>
    <m/>
    <m/>
    <n v="151"/>
    <m/>
    <x v="3"/>
    <s v="HGSF"/>
    <m/>
    <n v="0.95"/>
    <m/>
    <m/>
    <m/>
    <n v="0.05"/>
    <n v="6.7500000000000004E-2"/>
    <m/>
    <m/>
    <m/>
    <m/>
    <m/>
    <m/>
    <m/>
    <n v="3335288"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TANANDAV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VINANINTSAH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TORONDREH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PP AMPAS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AMBALALANG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ANDASI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PP ANKARI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AMBOTA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PP MAHAB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COLE COMMUNAUTAIRE MANGATSIAK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COLE COMMUNAUTAIRE AMBINAKY ENAKAL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PP MANGI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COLE COMMUNAUTAIRE MORAFEN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IMENA"/>
    <s v="ECOLE COMMUNAUTAIRE BETSIPANG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AMBANIALA"/>
    <m/>
    <m/>
    <n v="442"/>
    <m/>
    <x v="3"/>
    <s v="HGSF"/>
    <m/>
    <n v="2.7"/>
    <m/>
    <m/>
    <m/>
    <n v="0.15"/>
    <n v="0.19350000000000001"/>
    <m/>
    <m/>
    <m/>
    <m/>
    <m/>
    <m/>
    <m/>
    <n v="9762896"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AMPASY NAHAMPONA"/>
    <m/>
    <m/>
    <n v="535"/>
    <m/>
    <x v="3"/>
    <s v="HGSF"/>
    <m/>
    <n v="3.25"/>
    <m/>
    <m/>
    <m/>
    <n v="0.2"/>
    <n v="0.22950000000000001"/>
    <m/>
    <m/>
    <m/>
    <m/>
    <m/>
    <m/>
    <m/>
    <n v="11817080"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EPP ENATO"/>
    <m/>
    <m/>
    <n v="431"/>
    <m/>
    <x v="3"/>
    <s v="HGSF"/>
    <m/>
    <n v="2.65"/>
    <m/>
    <m/>
    <m/>
    <n v="0.15"/>
    <n v="0.189"/>
    <m/>
    <m/>
    <m/>
    <m/>
    <m/>
    <m/>
    <m/>
    <n v="9519928"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EPP MANGAIKY"/>
    <m/>
    <m/>
    <n v="408"/>
    <m/>
    <x v="3"/>
    <s v="HGSF"/>
    <m/>
    <n v="2.5"/>
    <m/>
    <m/>
    <m/>
    <n v="0.15"/>
    <n v="0.17549999999999999"/>
    <m/>
    <m/>
    <m/>
    <m/>
    <m/>
    <m/>
    <m/>
    <n v="9011904"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EPP ANKA MAROMAGNIRY"/>
    <m/>
    <m/>
    <n v="328"/>
    <m/>
    <x v="3"/>
    <s v="HGSF"/>
    <m/>
    <n v="2"/>
    <m/>
    <m/>
    <m/>
    <n v="0.15"/>
    <n v="0.14399999999999999"/>
    <m/>
    <m/>
    <m/>
    <m/>
    <m/>
    <m/>
    <m/>
    <n v="7244864"/>
    <m/>
  </r>
  <r>
    <x v="0"/>
    <n v="2024"/>
    <x v="3"/>
    <s v="SMP1"/>
    <x v="8"/>
    <s v="School feeding"/>
    <m/>
    <m/>
    <s v="Amboasary"/>
    <x v="0"/>
    <s v="Taolagnaro"/>
    <s v="Anosy"/>
    <x v="24"/>
    <m/>
    <s v="AMPASY NAHAMPOANA"/>
    <s v="EPP ANALAMBENDRANA"/>
    <m/>
    <m/>
    <n v="296"/>
    <m/>
    <x v="3"/>
    <s v="HGSF"/>
    <m/>
    <n v="1.8"/>
    <m/>
    <m/>
    <m/>
    <n v="0.1"/>
    <n v="0.126"/>
    <m/>
    <m/>
    <m/>
    <m/>
    <m/>
    <m/>
    <m/>
    <n v="6538048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Ambarobe"/>
    <m/>
    <m/>
    <n v="359"/>
    <m/>
    <x v="3"/>
    <s v="HGSF"/>
    <m/>
    <n v="2.15"/>
    <m/>
    <m/>
    <m/>
    <n v="0.15"/>
    <n v="0.1575"/>
    <m/>
    <m/>
    <m/>
    <m/>
    <m/>
    <m/>
    <m/>
    <n v="7929592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EPP ANALAPATSY"/>
    <m/>
    <m/>
    <n v="282"/>
    <m/>
    <x v="3"/>
    <s v="HGSF"/>
    <m/>
    <n v="1.7"/>
    <m/>
    <m/>
    <m/>
    <n v="0.1"/>
    <n v="0.1215"/>
    <m/>
    <m/>
    <m/>
    <m/>
    <m/>
    <m/>
    <m/>
    <n v="6228816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MAROAKY"/>
    <m/>
    <m/>
    <n v="326"/>
    <m/>
    <x v="3"/>
    <s v="HGSF"/>
    <m/>
    <n v="1.95"/>
    <m/>
    <m/>
    <m/>
    <n v="0.15"/>
    <n v="0.13950000000000001"/>
    <m/>
    <m/>
    <m/>
    <m/>
    <m/>
    <m/>
    <m/>
    <n v="7200688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Analapatsy II"/>
    <m/>
    <m/>
    <n v="318"/>
    <m/>
    <x v="3"/>
    <s v="HGSF"/>
    <m/>
    <n v="1.95"/>
    <m/>
    <m/>
    <m/>
    <n v="0.15"/>
    <n v="0.13950000000000001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EPP ANKOTRAKY"/>
    <m/>
    <m/>
    <n v="96"/>
    <m/>
    <x v="3"/>
    <s v="HGSF"/>
    <m/>
    <n v="0.75"/>
    <m/>
    <m/>
    <m/>
    <n v="0.05"/>
    <n v="5.3999999999999999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EPP ANDRIVORY"/>
    <m/>
    <m/>
    <n v="360"/>
    <m/>
    <x v="3"/>
    <s v="HGSF"/>
    <m/>
    <n v="2.2000000000000002"/>
    <m/>
    <m/>
    <m/>
    <n v="0.15"/>
    <n v="0.1575"/>
    <m/>
    <m/>
    <m/>
    <m/>
    <m/>
    <m/>
    <m/>
    <n v="7951680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EPP ANDROTSY AGNAPOLY"/>
    <m/>
    <m/>
    <n v="208"/>
    <m/>
    <x v="3"/>
    <s v="HGSF"/>
    <m/>
    <n v="1.3"/>
    <m/>
    <m/>
    <m/>
    <n v="0.1"/>
    <n v="9.4500000000000001E-2"/>
    <m/>
    <m/>
    <m/>
    <m/>
    <m/>
    <m/>
    <m/>
    <n v="4594304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Namanona"/>
    <m/>
    <m/>
    <n v="210"/>
    <m/>
    <x v="3"/>
    <s v="HGSF"/>
    <m/>
    <n v="1.3"/>
    <m/>
    <m/>
    <m/>
    <n v="0.1"/>
    <n v="9.4500000000000001E-2"/>
    <m/>
    <m/>
    <m/>
    <m/>
    <m/>
    <m/>
    <m/>
    <n v="4638480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AMPASINDAVA"/>
    <m/>
    <m/>
    <n v="182"/>
    <m/>
    <x v="3"/>
    <s v="HGSF"/>
    <m/>
    <n v="1.1000000000000001"/>
    <m/>
    <m/>
    <m/>
    <n v="0.1"/>
    <n v="8.1000000000000003E-2"/>
    <m/>
    <m/>
    <m/>
    <m/>
    <m/>
    <m/>
    <m/>
    <n v="4020016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ANDOHARANO"/>
    <m/>
    <m/>
    <n v="145"/>
    <m/>
    <x v="3"/>
    <s v="HGSF"/>
    <m/>
    <n v="1.1000000000000001"/>
    <m/>
    <m/>
    <m/>
    <n v="0.05"/>
    <n v="8.1000000000000003E-2"/>
    <m/>
    <m/>
    <m/>
    <m/>
    <m/>
    <m/>
    <m/>
    <n v="3202760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ANDRANOBORY"/>
    <m/>
    <m/>
    <n v="512"/>
    <m/>
    <x v="3"/>
    <s v="HGSF"/>
    <m/>
    <n v="3.15"/>
    <m/>
    <m/>
    <m/>
    <n v="0.2"/>
    <n v="0.2205"/>
    <m/>
    <m/>
    <m/>
    <m/>
    <m/>
    <m/>
    <m/>
    <n v="11309056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ANKAZOMALAGNY"/>
    <m/>
    <m/>
    <n v="282"/>
    <m/>
    <x v="3"/>
    <s v="HGSF"/>
    <m/>
    <n v="1.7"/>
    <m/>
    <m/>
    <m/>
    <n v="0.1"/>
    <n v="0.1215"/>
    <m/>
    <m/>
    <m/>
    <m/>
    <m/>
    <m/>
    <m/>
    <n v="6228816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BELAY"/>
    <m/>
    <m/>
    <n v="218"/>
    <m/>
    <x v="3"/>
    <s v="HGSF"/>
    <m/>
    <n v="1.35"/>
    <m/>
    <m/>
    <m/>
    <n v="0.1"/>
    <n v="9.4500000000000001E-2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ANDEMBY"/>
    <m/>
    <m/>
    <n v="244"/>
    <m/>
    <x v="3"/>
    <s v="HGSF"/>
    <m/>
    <n v="1.5"/>
    <m/>
    <m/>
    <m/>
    <n v="0.1"/>
    <n v="0.108"/>
    <m/>
    <m/>
    <m/>
    <m/>
    <m/>
    <m/>
    <m/>
    <n v="5389472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COLE COMMUNAUTAIRE MORAFENO-SUD"/>
    <m/>
    <m/>
    <n v="110"/>
    <m/>
    <x v="3"/>
    <s v="HGSF"/>
    <m/>
    <n v="0.85"/>
    <m/>
    <m/>
    <m/>
    <n v="0.05"/>
    <n v="5.8500000000000003E-2"/>
    <m/>
    <m/>
    <m/>
    <m/>
    <m/>
    <m/>
    <m/>
    <n v="2429680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ANKILIMIARY"/>
    <m/>
    <m/>
    <n v="260"/>
    <m/>
    <x v="3"/>
    <s v="HGSF"/>
    <m/>
    <n v="1.6"/>
    <m/>
    <m/>
    <m/>
    <n v="0.1"/>
    <n v="0.1125"/>
    <m/>
    <m/>
    <m/>
    <m/>
    <m/>
    <m/>
    <m/>
    <n v="5742880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PP ENAGNORASA"/>
    <m/>
    <m/>
    <n v="117"/>
    <m/>
    <x v="3"/>
    <s v="HGSF"/>
    <m/>
    <n v="0.9"/>
    <m/>
    <m/>
    <m/>
    <n v="0.05"/>
    <n v="6.3E-2"/>
    <m/>
    <m/>
    <m/>
    <m/>
    <m/>
    <m/>
    <m/>
    <n v="2584296"/>
    <m/>
  </r>
  <r>
    <x v="0"/>
    <n v="2024"/>
    <x v="3"/>
    <s v="SMP1"/>
    <x v="8"/>
    <s v="School feeding"/>
    <m/>
    <m/>
    <s v="Amboasary"/>
    <x v="0"/>
    <s v="Taolagnaro"/>
    <s v="Anosy"/>
    <x v="24"/>
    <m/>
    <s v="ANDRANOBORY"/>
    <s v="ECOLE COMMUNAUTAIRE MORAFENO NORD"/>
    <m/>
    <m/>
    <n v="172"/>
    <m/>
    <x v="3"/>
    <s v="HGSF"/>
    <m/>
    <n v="1.05"/>
    <m/>
    <m/>
    <m/>
    <n v="0.1"/>
    <n v="7.6499999999999999E-2"/>
    <m/>
    <m/>
    <m/>
    <m/>
    <m/>
    <m/>
    <m/>
    <n v="3799136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ANDRODAVA"/>
    <m/>
    <m/>
    <n v="287"/>
    <m/>
    <x v="3"/>
    <s v="HGSF"/>
    <m/>
    <n v="1.75"/>
    <m/>
    <m/>
    <m/>
    <n v="0.1"/>
    <n v="0.126"/>
    <m/>
    <m/>
    <m/>
    <m/>
    <m/>
    <m/>
    <m/>
    <n v="6339256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ANKARAMENA"/>
    <m/>
    <m/>
    <n v="518"/>
    <m/>
    <x v="3"/>
    <s v="HGSF"/>
    <m/>
    <n v="3.15"/>
    <m/>
    <m/>
    <m/>
    <n v="0.2"/>
    <n v="0.22500000000000001"/>
    <m/>
    <m/>
    <m/>
    <m/>
    <m/>
    <m/>
    <m/>
    <n v="11441584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BEFENO"/>
    <m/>
    <m/>
    <n v="335"/>
    <m/>
    <x v="3"/>
    <s v="HGSF"/>
    <m/>
    <n v="2"/>
    <m/>
    <m/>
    <m/>
    <n v="0.15"/>
    <n v="0.14849999999999999"/>
    <m/>
    <m/>
    <m/>
    <m/>
    <m/>
    <m/>
    <m/>
    <n v="7399480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bobaky"/>
    <m/>
    <m/>
    <n v="409"/>
    <m/>
    <x v="3"/>
    <s v="HGSF"/>
    <m/>
    <n v="2.5"/>
    <m/>
    <m/>
    <m/>
    <n v="0.15"/>
    <n v="0.17549999999999999"/>
    <m/>
    <m/>
    <m/>
    <m/>
    <m/>
    <m/>
    <m/>
    <n v="9033992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MANISY"/>
    <m/>
    <m/>
    <n v="204"/>
    <m/>
    <x v="3"/>
    <s v="HGSF"/>
    <m/>
    <n v="1.25"/>
    <m/>
    <m/>
    <m/>
    <n v="0.1"/>
    <n v="0.09"/>
    <m/>
    <m/>
    <m/>
    <m/>
    <m/>
    <m/>
    <m/>
    <n v="4505952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TANAMBAO"/>
    <m/>
    <m/>
    <n v="355"/>
    <m/>
    <x v="3"/>
    <s v="HGSF"/>
    <m/>
    <n v="2.2000000000000002"/>
    <m/>
    <m/>
    <m/>
    <n v="0.15"/>
    <n v="0.153"/>
    <m/>
    <m/>
    <m/>
    <m/>
    <m/>
    <m/>
    <m/>
    <n v="7841240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TAVIALA"/>
    <m/>
    <m/>
    <n v="459"/>
    <m/>
    <x v="3"/>
    <s v="HGSF"/>
    <m/>
    <n v="2.75"/>
    <m/>
    <m/>
    <m/>
    <n v="0.2"/>
    <n v="0.20250000000000001"/>
    <m/>
    <m/>
    <m/>
    <m/>
    <m/>
    <m/>
    <m/>
    <n v="10138392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Tsiatoro"/>
    <m/>
    <m/>
    <n v="193"/>
    <m/>
    <x v="3"/>
    <s v="HGSF"/>
    <m/>
    <n v="1.2"/>
    <m/>
    <m/>
    <m/>
    <n v="0.1"/>
    <n v="8.5500000000000007E-2"/>
    <m/>
    <m/>
    <m/>
    <m/>
    <m/>
    <m/>
    <m/>
    <n v="4262984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ANALANDRAVY"/>
    <m/>
    <m/>
    <n v="341"/>
    <m/>
    <x v="3"/>
    <s v="HGSF"/>
    <m/>
    <n v="2.1"/>
    <m/>
    <m/>
    <m/>
    <n v="0.15"/>
    <n v="0.14849999999999999"/>
    <m/>
    <m/>
    <m/>
    <m/>
    <m/>
    <m/>
    <m/>
    <n v="7532008"/>
    <m/>
  </r>
  <r>
    <x v="0"/>
    <n v="2024"/>
    <x v="3"/>
    <s v="SMP1"/>
    <x v="8"/>
    <s v="School feeding"/>
    <m/>
    <m/>
    <s v="Amboasary"/>
    <x v="0"/>
    <s v="Taolagnaro"/>
    <s v="Anosy"/>
    <x v="24"/>
    <m/>
    <s v="ANKARAMENA"/>
    <s v="EPP ANDOHAVONDRO"/>
    <m/>
    <m/>
    <n v="242"/>
    <m/>
    <x v="3"/>
    <s v="HGSF"/>
    <m/>
    <n v="1.5"/>
    <m/>
    <m/>
    <m/>
    <n v="0.1"/>
    <n v="0.10349999999999999"/>
    <m/>
    <m/>
    <m/>
    <m/>
    <m/>
    <m/>
    <m/>
    <n v="5345296"/>
    <m/>
  </r>
  <r>
    <x v="0"/>
    <n v="2024"/>
    <x v="3"/>
    <s v="SMP1"/>
    <x v="8"/>
    <s v="School feeding"/>
    <m/>
    <m/>
    <s v="Amboasary"/>
    <x v="0"/>
    <s v="Taolagnaro"/>
    <s v="Anosy"/>
    <x v="24"/>
    <m/>
    <s v="IABOAKOHO"/>
    <s v="EPP IABOAKOHO"/>
    <m/>
    <m/>
    <n v="161"/>
    <m/>
    <x v="3"/>
    <s v="HGSF"/>
    <m/>
    <n v="1"/>
    <m/>
    <m/>
    <m/>
    <n v="0.1"/>
    <n v="7.1999999999999995E-2"/>
    <m/>
    <m/>
    <m/>
    <m/>
    <m/>
    <m/>
    <m/>
    <n v="3556168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ANDRAMANAKA"/>
    <m/>
    <m/>
    <n v="302"/>
    <m/>
    <x v="3"/>
    <s v="HGSF"/>
    <m/>
    <n v="1.8"/>
    <m/>
    <m/>
    <m/>
    <n v="0.1"/>
    <n v="0.1305"/>
    <m/>
    <m/>
    <m/>
    <m/>
    <m/>
    <m/>
    <m/>
    <n v="6670576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ANENA"/>
    <m/>
    <m/>
    <n v="208"/>
    <m/>
    <x v="3"/>
    <s v="HGSF"/>
    <m/>
    <n v="1.3"/>
    <m/>
    <m/>
    <m/>
    <n v="0.1"/>
    <n v="9.4500000000000001E-2"/>
    <m/>
    <m/>
    <m/>
    <m/>
    <m/>
    <m/>
    <m/>
    <n v="4594304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EMAGNEVY"/>
    <m/>
    <m/>
    <n v="185"/>
    <m/>
    <x v="3"/>
    <s v="HGSF"/>
    <m/>
    <n v="1.1499999999999999"/>
    <m/>
    <m/>
    <m/>
    <n v="0.1"/>
    <n v="8.1000000000000003E-2"/>
    <m/>
    <m/>
    <m/>
    <m/>
    <m/>
    <m/>
    <m/>
    <n v="4086280"/>
    <m/>
  </r>
  <r>
    <x v="0"/>
    <n v="2024"/>
    <x v="3"/>
    <s v="SMP1"/>
    <x v="8"/>
    <s v="School feeding"/>
    <m/>
    <m/>
    <s v="Amboasary"/>
    <x v="0"/>
    <s v="Taolagnaro"/>
    <s v="Anosy"/>
    <x v="24"/>
    <m/>
    <s v="IABOAKOHO"/>
    <s v="EPP ESOHIHY MITSINJO"/>
    <m/>
    <m/>
    <n v="148"/>
    <m/>
    <x v="3"/>
    <s v="HGSF"/>
    <m/>
    <n v="0.9"/>
    <m/>
    <m/>
    <m/>
    <n v="0.05"/>
    <n v="6.7500000000000004E-2"/>
    <m/>
    <m/>
    <m/>
    <m/>
    <m/>
    <m/>
    <m/>
    <n v="3269024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FARAFARA-VATAMBE"/>
    <m/>
    <m/>
    <n v="294"/>
    <m/>
    <x v="3"/>
    <s v="HGSF"/>
    <m/>
    <n v="1.8"/>
    <m/>
    <m/>
    <m/>
    <n v="0.1"/>
    <n v="0.1305"/>
    <m/>
    <m/>
    <m/>
    <m/>
    <m/>
    <m/>
    <m/>
    <n v="6493872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MAHATALAKY"/>
    <m/>
    <m/>
    <n v="302"/>
    <m/>
    <x v="3"/>
    <s v="HGSF"/>
    <m/>
    <n v="1.8"/>
    <m/>
    <m/>
    <m/>
    <n v="0.1"/>
    <n v="0.1305"/>
    <m/>
    <m/>
    <m/>
    <m/>
    <m/>
    <m/>
    <m/>
    <n v="6670576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TSANORIHA"/>
    <m/>
    <m/>
    <n v="218"/>
    <m/>
    <x v="3"/>
    <s v="HGSF"/>
    <m/>
    <n v="1.35"/>
    <m/>
    <m/>
    <m/>
    <n v="0.1"/>
    <n v="9.4500000000000001E-2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TSIHAROA"/>
    <m/>
    <m/>
    <n v="235"/>
    <m/>
    <x v="3"/>
    <s v="HGSF"/>
    <m/>
    <n v="1.4"/>
    <m/>
    <m/>
    <m/>
    <n v="0.1"/>
    <n v="0.10349999999999999"/>
    <m/>
    <m/>
    <m/>
    <m/>
    <m/>
    <m/>
    <m/>
    <n v="5190680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BEANDRY"/>
    <m/>
    <m/>
    <n v="84"/>
    <m/>
    <x v="3"/>
    <s v="HGSF"/>
    <m/>
    <n v="0.65"/>
    <m/>
    <m/>
    <m/>
    <n v="0.05"/>
    <n v="4.4999999999999998E-2"/>
    <m/>
    <m/>
    <m/>
    <m/>
    <m/>
    <m/>
    <m/>
    <n v="1855392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MANANARA II"/>
    <m/>
    <m/>
    <n v="388"/>
    <m/>
    <x v="3"/>
    <s v="HGSF"/>
    <m/>
    <n v="2.35"/>
    <m/>
    <m/>
    <m/>
    <n v="0.15"/>
    <n v="0.17100000000000001"/>
    <m/>
    <m/>
    <m/>
    <m/>
    <m/>
    <m/>
    <m/>
    <n v="8570144"/>
    <m/>
  </r>
  <r>
    <x v="0"/>
    <n v="2024"/>
    <x v="3"/>
    <s v="SMP1"/>
    <x v="8"/>
    <s v="School feeding"/>
    <m/>
    <m/>
    <s v="Amboasary"/>
    <x v="0"/>
    <s v="Taolagnaro"/>
    <s v="Anosy"/>
    <x v="24"/>
    <m/>
    <s v="MAHATALAKY"/>
    <s v="EPP ANTAHOVARY"/>
    <m/>
    <m/>
    <n v="96"/>
    <m/>
    <x v="3"/>
    <s v="HGSF"/>
    <m/>
    <n v="0.75"/>
    <m/>
    <m/>
    <m/>
    <n v="0.05"/>
    <n v="5.3999999999999999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x v="24"/>
    <m/>
    <s v="MANAMBARO"/>
    <s v="EPP NOSIBE"/>
    <m/>
    <m/>
    <n v="370"/>
    <m/>
    <x v="3"/>
    <s v="HGSF"/>
    <m/>
    <n v="2.25"/>
    <m/>
    <m/>
    <m/>
    <n v="0.15"/>
    <n v="0.16200000000000001"/>
    <m/>
    <m/>
    <m/>
    <m/>
    <m/>
    <m/>
    <m/>
    <n v="8172560"/>
    <m/>
  </r>
  <r>
    <x v="0"/>
    <n v="2024"/>
    <x v="3"/>
    <s v="SMP1"/>
    <x v="8"/>
    <s v="School feeding"/>
    <m/>
    <m/>
    <s v="Amboasary"/>
    <x v="0"/>
    <s v="Taolagnaro"/>
    <s v="Anosy"/>
    <x v="24"/>
    <m/>
    <s v="MANAMBARO"/>
    <s v="EPP ESALO"/>
    <m/>
    <m/>
    <n v="450"/>
    <m/>
    <x v="3"/>
    <s v="HGSF"/>
    <m/>
    <n v="2.75"/>
    <m/>
    <m/>
    <m/>
    <n v="0.15"/>
    <n v="0.19350000000000001"/>
    <m/>
    <m/>
    <m/>
    <m/>
    <m/>
    <m/>
    <m/>
    <n v="9939600"/>
    <m/>
  </r>
  <r>
    <x v="0"/>
    <n v="2024"/>
    <x v="3"/>
    <s v="SMP1"/>
    <x v="8"/>
    <s v="School feeding"/>
    <m/>
    <m/>
    <s v="Amboasary"/>
    <x v="0"/>
    <s v="Taolagnaro"/>
    <s v="Anosy"/>
    <x v="24"/>
    <m/>
    <s v="MANANTENINA"/>
    <s v="EPP ANKAREFO"/>
    <m/>
    <m/>
    <n v="196"/>
    <m/>
    <x v="3"/>
    <s v="HGSF"/>
    <m/>
    <n v="1.2"/>
    <m/>
    <m/>
    <m/>
    <n v="0.1"/>
    <n v="0.09"/>
    <m/>
    <m/>
    <m/>
    <m/>
    <m/>
    <m/>
    <m/>
    <n v="4329248"/>
    <m/>
  </r>
  <r>
    <x v="0"/>
    <n v="2024"/>
    <x v="3"/>
    <s v="SMP1"/>
    <x v="8"/>
    <s v="School feeding"/>
    <m/>
    <m/>
    <s v="Amboasary"/>
    <x v="0"/>
    <s v="Taolagnaro"/>
    <s v="Anosy"/>
    <x v="24"/>
    <m/>
    <s v="MANDROMODROMOTRA"/>
    <s v="EPP ITAPERA"/>
    <m/>
    <m/>
    <n v="240"/>
    <m/>
    <x v="3"/>
    <s v="HGSF"/>
    <m/>
    <n v="1.45"/>
    <m/>
    <m/>
    <m/>
    <n v="0.1"/>
    <n v="0.10349999999999999"/>
    <m/>
    <m/>
    <m/>
    <m/>
    <m/>
    <m/>
    <m/>
    <n v="5301120"/>
    <m/>
  </r>
  <r>
    <x v="0"/>
    <n v="2024"/>
    <x v="3"/>
    <s v="SMP1"/>
    <x v="8"/>
    <s v="School feeding"/>
    <m/>
    <m/>
    <s v="Amboasary"/>
    <x v="0"/>
    <s v="Taolagnaro"/>
    <s v="Anosy"/>
    <x v="24"/>
    <m/>
    <s v="MANDROMODROMOTRA"/>
    <s v="EPP MANDROMODROMOTRA"/>
    <m/>
    <m/>
    <n v="466"/>
    <m/>
    <x v="3"/>
    <s v="HGSF"/>
    <m/>
    <n v="2.85"/>
    <m/>
    <m/>
    <m/>
    <n v="0.2"/>
    <n v="0.20250000000000001"/>
    <m/>
    <m/>
    <m/>
    <m/>
    <m/>
    <m/>
    <m/>
    <n v="10293008"/>
    <m/>
  </r>
  <r>
    <x v="0"/>
    <n v="2024"/>
    <x v="3"/>
    <s v="SMP1"/>
    <x v="8"/>
    <s v="School feeding"/>
    <m/>
    <m/>
    <s v="Amboasary"/>
    <x v="0"/>
    <s v="Taolagnaro"/>
    <s v="Anosy"/>
    <x v="24"/>
    <m/>
    <s v="MANDROMODROMOTRA"/>
    <s v="EPP TANANOLO"/>
    <m/>
    <m/>
    <n v="182"/>
    <m/>
    <x v="3"/>
    <s v="HGSF"/>
    <m/>
    <n v="1.1000000000000001"/>
    <m/>
    <m/>
    <m/>
    <n v="0.1"/>
    <n v="8.1000000000000003E-2"/>
    <m/>
    <m/>
    <m/>
    <m/>
    <m/>
    <m/>
    <m/>
    <n v="4020016"/>
    <m/>
  </r>
  <r>
    <x v="0"/>
    <n v="2024"/>
    <x v="3"/>
    <s v="SMP1"/>
    <x v="8"/>
    <s v="School feeding"/>
    <m/>
    <m/>
    <s v="Amboasary"/>
    <x v="0"/>
    <s v="Taolagnaro"/>
    <s v="Anosy"/>
    <x v="24"/>
    <m/>
    <s v="MANDROMODROMOTRA"/>
    <s v="EPP EMONTY"/>
    <m/>
    <m/>
    <n v="280"/>
    <m/>
    <x v="3"/>
    <s v="HGSF"/>
    <m/>
    <n v="1.7"/>
    <m/>
    <m/>
    <m/>
    <n v="0.1"/>
    <n v="0.126"/>
    <m/>
    <m/>
    <m/>
    <m/>
    <m/>
    <m/>
    <m/>
    <n v="6184640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Ambario"/>
    <m/>
    <m/>
    <n v="319"/>
    <m/>
    <x v="3"/>
    <s v="HGSF"/>
    <m/>
    <n v="1.95"/>
    <m/>
    <m/>
    <m/>
    <n v="0.15"/>
    <n v="0.13950000000000001"/>
    <m/>
    <m/>
    <m/>
    <m/>
    <m/>
    <m/>
    <m/>
    <n v="7046072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ANDREBASY"/>
    <m/>
    <m/>
    <n v="435"/>
    <m/>
    <x v="3"/>
    <s v="HGSF"/>
    <m/>
    <n v="2.65"/>
    <m/>
    <m/>
    <m/>
    <n v="0.15"/>
    <n v="0.19350000000000001"/>
    <m/>
    <m/>
    <m/>
    <m/>
    <m/>
    <m/>
    <m/>
    <n v="9608280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ANKAZOFOTSY I"/>
    <m/>
    <m/>
    <n v="221"/>
    <m/>
    <x v="3"/>
    <s v="HGSF"/>
    <m/>
    <n v="1.35"/>
    <m/>
    <m/>
    <m/>
    <n v="0.1"/>
    <n v="9.9000000000000005E-2"/>
    <m/>
    <m/>
    <m/>
    <m/>
    <m/>
    <m/>
    <m/>
    <n v="4881448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ANKAZOFOTSY II"/>
    <m/>
    <m/>
    <n v="136"/>
    <m/>
    <x v="3"/>
    <s v="HGSF"/>
    <m/>
    <n v="0.85"/>
    <m/>
    <m/>
    <m/>
    <n v="0.05"/>
    <n v="6.3E-2"/>
    <m/>
    <m/>
    <m/>
    <m/>
    <m/>
    <m/>
    <m/>
    <n v="3003968"/>
    <m/>
  </r>
  <r>
    <x v="0"/>
    <n v="2024"/>
    <x v="3"/>
    <s v="SMP1"/>
    <x v="8"/>
    <s v="School feeding"/>
    <m/>
    <m/>
    <s v="Amboasary"/>
    <x v="0"/>
    <s v="Taolagnaro"/>
    <s v="Anosy"/>
    <x v="24"/>
    <m/>
    <s v="ANKILIVALO"/>
    <s v="EPP ANKILIVALO"/>
    <m/>
    <m/>
    <n v="520"/>
    <m/>
    <x v="3"/>
    <s v="HGSF"/>
    <m/>
    <n v="3.15"/>
    <m/>
    <m/>
    <m/>
    <n v="0.2"/>
    <n v="0.22950000000000001"/>
    <m/>
    <m/>
    <m/>
    <m/>
    <m/>
    <m/>
    <m/>
    <n v="11485760"/>
    <m/>
  </r>
  <r>
    <x v="0"/>
    <n v="2024"/>
    <x v="3"/>
    <s v="SMP1"/>
    <x v="8"/>
    <s v="School feeding"/>
    <m/>
    <m/>
    <s v="Amboasary"/>
    <x v="0"/>
    <s v="Taolagnaro"/>
    <s v="Anosy"/>
    <x v="24"/>
    <m/>
    <s v="ANKILIVALO"/>
    <s v="EPP MAROVATOFORIHA"/>
    <m/>
    <m/>
    <n v="221"/>
    <m/>
    <x v="3"/>
    <s v="HGSF"/>
    <m/>
    <n v="1.35"/>
    <m/>
    <m/>
    <m/>
    <n v="0.1"/>
    <n v="9.9000000000000005E-2"/>
    <m/>
    <m/>
    <m/>
    <m/>
    <m/>
    <m/>
    <m/>
    <n v="4881448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ELOVOKY AMPANGALAKONGO"/>
    <m/>
    <m/>
    <n v="196"/>
    <m/>
    <x v="3"/>
    <s v="HGSF"/>
    <m/>
    <n v="1.2"/>
    <m/>
    <m/>
    <m/>
    <n v="0.1"/>
    <n v="0.09"/>
    <m/>
    <m/>
    <m/>
    <m/>
    <m/>
    <m/>
    <m/>
    <n v="4329248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RANOPISO"/>
    <m/>
    <m/>
    <n v="678"/>
    <m/>
    <x v="3"/>
    <s v="HGSF"/>
    <m/>
    <n v="4.0999999999999996"/>
    <m/>
    <m/>
    <m/>
    <n v="0.25"/>
    <n v="0.29249999999999998"/>
    <m/>
    <m/>
    <m/>
    <m/>
    <m/>
    <m/>
    <m/>
    <n v="14975664"/>
    <m/>
  </r>
  <r>
    <x v="0"/>
    <n v="2024"/>
    <x v="3"/>
    <s v="SMP1"/>
    <x v="8"/>
    <s v="School feeding"/>
    <m/>
    <m/>
    <s v="Amboasary"/>
    <x v="0"/>
    <s v="Taolagnaro"/>
    <s v="Anosy"/>
    <x v="24"/>
    <m/>
    <s v="ANALAPATSY"/>
    <s v="EPP MAROVATOBE"/>
    <m/>
    <m/>
    <n v="349"/>
    <m/>
    <x v="3"/>
    <s v="HGSF"/>
    <m/>
    <n v="2.1"/>
    <m/>
    <m/>
    <m/>
    <n v="0.15"/>
    <n v="0.153"/>
    <m/>
    <m/>
    <m/>
    <m/>
    <m/>
    <m/>
    <m/>
    <n v="7708712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AMPIKAZO"/>
    <m/>
    <m/>
    <n v="223"/>
    <m/>
    <x v="3"/>
    <s v="HGSF"/>
    <m/>
    <n v="1.4"/>
    <m/>
    <m/>
    <m/>
    <n v="0.1"/>
    <n v="9.9000000000000005E-2"/>
    <m/>
    <m/>
    <m/>
    <m/>
    <m/>
    <m/>
    <m/>
    <n v="4925624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MAROMAINTY"/>
    <m/>
    <m/>
    <n v="197"/>
    <m/>
    <x v="3"/>
    <s v="HGSF"/>
    <m/>
    <n v="1.2"/>
    <m/>
    <m/>
    <m/>
    <n v="0.1"/>
    <n v="8.5500000000000007E-2"/>
    <m/>
    <m/>
    <m/>
    <m/>
    <m/>
    <m/>
    <m/>
    <n v="4351336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ANJEKOVA"/>
    <m/>
    <m/>
    <n v="147"/>
    <m/>
    <x v="3"/>
    <s v="HGSF"/>
    <m/>
    <n v="0.9"/>
    <m/>
    <m/>
    <m/>
    <n v="0.05"/>
    <n v="6.7500000000000004E-2"/>
    <m/>
    <m/>
    <m/>
    <m/>
    <m/>
    <m/>
    <m/>
    <n v="3246936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PP BEDARO"/>
    <m/>
    <m/>
    <n v="114"/>
    <m/>
    <x v="3"/>
    <s v="HGSF"/>
    <m/>
    <n v="0.9"/>
    <m/>
    <m/>
    <m/>
    <n v="0.05"/>
    <n v="6.3E-2"/>
    <m/>
    <m/>
    <m/>
    <m/>
    <m/>
    <m/>
    <m/>
    <n v="2518032"/>
    <m/>
  </r>
  <r>
    <x v="0"/>
    <n v="2024"/>
    <x v="3"/>
    <s v="SMP1"/>
    <x v="8"/>
    <s v="School feeding"/>
    <m/>
    <m/>
    <s v="Amboasary"/>
    <x v="0"/>
    <s v="Taolagnaro"/>
    <s v="Anosy"/>
    <x v="24"/>
    <m/>
    <s v="RANOPISO"/>
    <s v="ECOLE COMMUNAUTAIRE BERAKETA"/>
    <m/>
    <m/>
    <n v="147"/>
    <m/>
    <x v="3"/>
    <s v="HGSF"/>
    <m/>
    <n v="0.9"/>
    <m/>
    <m/>
    <m/>
    <n v="0.05"/>
    <n v="6.7500000000000004E-2"/>
    <m/>
    <m/>
    <m/>
    <m/>
    <m/>
    <m/>
    <m/>
    <n v="3246936"/>
    <m/>
  </r>
  <r>
    <x v="0"/>
    <n v="2024"/>
    <x v="3"/>
    <s v="SMP1"/>
    <x v="8"/>
    <s v="School feeding"/>
    <m/>
    <m/>
    <s v="Amboasary"/>
    <x v="0"/>
    <s v="Taolagnaro"/>
    <s v="Anosy"/>
    <x v="24"/>
    <m/>
    <s v="SARISAMBO"/>
    <s v="EPP AMBOAVOLA"/>
    <m/>
    <m/>
    <n v="260"/>
    <m/>
    <x v="3"/>
    <s v="HGSF"/>
    <m/>
    <n v="1.6"/>
    <m/>
    <m/>
    <m/>
    <n v="0.1"/>
    <n v="0.1125"/>
    <m/>
    <m/>
    <m/>
    <m/>
    <m/>
    <m/>
    <m/>
    <n v="5742880"/>
    <m/>
  </r>
  <r>
    <x v="0"/>
    <n v="2024"/>
    <x v="3"/>
    <s v="SMP1"/>
    <x v="8"/>
    <s v="School feeding"/>
    <m/>
    <m/>
    <s v="Amboasary"/>
    <x v="0"/>
    <s v="Taolagnaro"/>
    <s v="Anosy"/>
    <x v="24"/>
    <m/>
    <s v="SARISAMBO"/>
    <s v="EPP ANENA"/>
    <m/>
    <m/>
    <n v="432"/>
    <m/>
    <x v="3"/>
    <s v="HGSF"/>
    <m/>
    <n v="2.65"/>
    <m/>
    <m/>
    <m/>
    <n v="0.15"/>
    <n v="0.189"/>
    <m/>
    <m/>
    <m/>
    <m/>
    <m/>
    <m/>
    <m/>
    <n v="9542016"/>
    <m/>
  </r>
  <r>
    <x v="0"/>
    <n v="2024"/>
    <x v="3"/>
    <s v="SMP1"/>
    <x v="8"/>
    <s v="School feeding"/>
    <m/>
    <m/>
    <s v="Amboasary"/>
    <x v="0"/>
    <s v="Taolagnaro"/>
    <s v="Anosy"/>
    <x v="24"/>
    <m/>
    <s v="SARISAMBO"/>
    <s v="EPP ITALY"/>
    <m/>
    <m/>
    <n v="194"/>
    <m/>
    <x v="3"/>
    <s v="HGSF"/>
    <m/>
    <n v="1.2"/>
    <m/>
    <m/>
    <m/>
    <n v="0.1"/>
    <n v="8.5500000000000007E-2"/>
    <m/>
    <m/>
    <m/>
    <m/>
    <m/>
    <m/>
    <m/>
    <n v="4285072"/>
    <m/>
  </r>
  <r>
    <x v="0"/>
    <n v="2024"/>
    <x v="3"/>
    <s v="SMP1"/>
    <x v="8"/>
    <s v="School feeding"/>
    <m/>
    <m/>
    <s v="Amboasary"/>
    <x v="0"/>
    <s v="Taolagnaro"/>
    <s v="Anosy"/>
    <x v="24"/>
    <m/>
    <s v="SOANIERANA"/>
    <s v="EPP AMPASY-MORAFENO"/>
    <m/>
    <m/>
    <n v="258"/>
    <m/>
    <x v="3"/>
    <s v="HGSF"/>
    <m/>
    <n v="1.55"/>
    <m/>
    <m/>
    <m/>
    <n v="0.1"/>
    <n v="0.1125"/>
    <m/>
    <m/>
    <m/>
    <m/>
    <m/>
    <m/>
    <m/>
    <n v="5698704"/>
    <m/>
  </r>
  <r>
    <x v="0"/>
    <n v="2024"/>
    <x v="3"/>
    <s v="SMP1"/>
    <x v="8"/>
    <s v="School feeding"/>
    <m/>
    <m/>
    <s v="Amboasary"/>
    <x v="0"/>
    <s v="Taolagnaro"/>
    <s v="Anosy"/>
    <x v="24"/>
    <m/>
    <s v="SOANIERANA"/>
    <s v="EPP ANDRAMAKA"/>
    <m/>
    <m/>
    <n v="477"/>
    <m/>
    <x v="3"/>
    <s v="HGSF"/>
    <m/>
    <n v="2.9"/>
    <m/>
    <m/>
    <m/>
    <n v="0.2"/>
    <n v="0.21149999999999999"/>
    <m/>
    <m/>
    <m/>
    <m/>
    <m/>
    <m/>
    <m/>
    <n v="10535976"/>
    <m/>
  </r>
  <r>
    <x v="0"/>
    <n v="2024"/>
    <x v="3"/>
    <s v="SMP1"/>
    <x v="8"/>
    <s v="School feeding"/>
    <m/>
    <m/>
    <s v="Amboasary"/>
    <x v="0"/>
    <s v="Taolagnaro"/>
    <s v="Anosy"/>
    <x v="24"/>
    <m/>
    <s v="SOANIERANA"/>
    <s v="ANDRANARA"/>
    <m/>
    <m/>
    <n v="308"/>
    <m/>
    <x v="3"/>
    <s v="HGSF"/>
    <m/>
    <n v="1.9"/>
    <m/>
    <m/>
    <m/>
    <n v="0.15"/>
    <n v="0.13500000000000001"/>
    <m/>
    <m/>
    <m/>
    <m/>
    <m/>
    <m/>
    <m/>
    <n v="6803104"/>
    <m/>
  </r>
  <r>
    <x v="0"/>
    <n v="2024"/>
    <x v="3"/>
    <s v="SMP1"/>
    <x v="8"/>
    <s v="School feeding"/>
    <m/>
    <m/>
    <s v="Amboasary"/>
    <x v="0"/>
    <s v="Taolagnaro"/>
    <s v="Anosy"/>
    <x v="24"/>
    <m/>
    <s v="SOANIERANA"/>
    <s v="EPP LAFITSINANANA"/>
    <m/>
    <m/>
    <n v="542"/>
    <m/>
    <x v="3"/>
    <s v="HGSF"/>
    <m/>
    <n v="3.3"/>
    <m/>
    <m/>
    <m/>
    <n v="0.2"/>
    <n v="0.23400000000000001"/>
    <m/>
    <m/>
    <m/>
    <m/>
    <m/>
    <m/>
    <m/>
    <n v="11971696"/>
    <m/>
  </r>
  <r>
    <x v="0"/>
    <n v="2024"/>
    <x v="3"/>
    <s v="SMP1"/>
    <x v="8"/>
    <s v="School feeding"/>
    <m/>
    <m/>
    <s v="Amboasary"/>
    <x v="0"/>
    <s v="Taolagnaro"/>
    <s v="Anosy"/>
    <x v="24"/>
    <m/>
    <s v="SOANIERANA"/>
    <s v="EPP SOANIERANA"/>
    <m/>
    <m/>
    <n v="519"/>
    <m/>
    <x v="3"/>
    <s v="HGSF"/>
    <m/>
    <n v="3.15"/>
    <m/>
    <m/>
    <m/>
    <n v="0.2"/>
    <n v="0.22950000000000001"/>
    <m/>
    <m/>
    <m/>
    <m/>
    <m/>
    <m/>
    <m/>
    <n v="11463672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I"/>
    <s v="EPP LOHALOVOKY"/>
    <m/>
    <m/>
    <n v="305"/>
    <m/>
    <x v="3"/>
    <s v="HGSF"/>
    <m/>
    <n v="1.85"/>
    <m/>
    <m/>
    <m/>
    <n v="0.15"/>
    <n v="0.13500000000000001"/>
    <m/>
    <m/>
    <m/>
    <m/>
    <m/>
    <m/>
    <m/>
    <n v="6736840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I"/>
    <s v="EPP AMBINANIKELY"/>
    <m/>
    <m/>
    <n v="509"/>
    <m/>
    <x v="3"/>
    <s v="HGSF"/>
    <m/>
    <n v="3.1"/>
    <m/>
    <m/>
    <m/>
    <n v="0.2"/>
    <n v="0.2205"/>
    <m/>
    <m/>
    <m/>
    <m/>
    <m/>
    <m/>
    <m/>
    <n v="11242792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"/>
    <s v="EPP AMBOANATO"/>
    <m/>
    <m/>
    <n v="894"/>
    <m/>
    <x v="3"/>
    <s v="HGSF"/>
    <m/>
    <n v="5.4"/>
    <m/>
    <m/>
    <m/>
    <n v="0.3"/>
    <n v="0.38700000000000001"/>
    <m/>
    <m/>
    <m/>
    <m/>
    <m/>
    <m/>
    <m/>
    <n v="19746672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I"/>
    <s v="EPP AMPAMAKIAMBATO"/>
    <m/>
    <m/>
    <n v="688"/>
    <m/>
    <x v="3"/>
    <s v="HGSF"/>
    <m/>
    <n v="4.1500000000000004"/>
    <m/>
    <m/>
    <m/>
    <n v="0.25"/>
    <n v="0.30149999999999999"/>
    <m/>
    <m/>
    <m/>
    <m/>
    <m/>
    <m/>
    <m/>
    <n v="15196544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"/>
    <s v="EPP ANDRAKARAKA"/>
    <m/>
    <m/>
    <n v="308"/>
    <m/>
    <x v="3"/>
    <s v="HGSF"/>
    <m/>
    <n v="1.9"/>
    <m/>
    <m/>
    <m/>
    <n v="0.15"/>
    <n v="0.13500000000000001"/>
    <m/>
    <m/>
    <m/>
    <m/>
    <m/>
    <m/>
    <m/>
    <n v="6803104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"/>
    <s v="EPP CENTRE II"/>
    <m/>
    <m/>
    <n v="327"/>
    <m/>
    <x v="3"/>
    <s v="HGSF"/>
    <m/>
    <n v="2"/>
    <m/>
    <m/>
    <m/>
    <n v="0.15"/>
    <n v="0.14399999999999999"/>
    <m/>
    <m/>
    <m/>
    <m/>
    <m/>
    <m/>
    <m/>
    <n v="7222776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I"/>
    <s v="EPP TANAMBAO"/>
    <m/>
    <m/>
    <n v="1425"/>
    <m/>
    <x v="3"/>
    <s v="HGSF"/>
    <m/>
    <n v="8.6"/>
    <m/>
    <m/>
    <m/>
    <n v="0.5"/>
    <n v="0.61650000000000005"/>
    <m/>
    <m/>
    <m/>
    <m/>
    <m/>
    <m/>
    <m/>
    <n v="31475400"/>
    <m/>
  </r>
  <r>
    <x v="0"/>
    <n v="2024"/>
    <x v="3"/>
    <s v="SMP1"/>
    <x v="8"/>
    <s v="School feeding"/>
    <m/>
    <m/>
    <s v="Amboasary"/>
    <x v="0"/>
    <s v="Taolagnaro"/>
    <s v="Anosy"/>
    <x v="24"/>
    <m/>
    <s v="TAOLANARO III"/>
    <s v="EPP AMBINANIBE"/>
    <m/>
    <m/>
    <n v="337"/>
    <m/>
    <x v="3"/>
    <s v="HGSF"/>
    <m/>
    <n v="2.0499999999999998"/>
    <m/>
    <m/>
    <m/>
    <n v="0.15"/>
    <n v="0.14849999999999999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x v="24"/>
    <m/>
    <s v="ANKARIERA"/>
    <s v="EPP TSIMELAHY"/>
    <m/>
    <m/>
    <n v="410"/>
    <m/>
    <x v="3"/>
    <s v="HGSF"/>
    <m/>
    <n v="2.5"/>
    <m/>
    <m/>
    <m/>
    <n v="0.15"/>
    <n v="0.17549999999999999"/>
    <m/>
    <m/>
    <m/>
    <m/>
    <m/>
    <m/>
    <m/>
    <n v="9056080"/>
    <m/>
  </r>
  <r>
    <x v="0"/>
    <n v="2024"/>
    <x v="3"/>
    <s v="SMP1"/>
    <x v="8"/>
    <s v="School feeding"/>
    <m/>
    <m/>
    <s v="Amboasary"/>
    <x v="0"/>
    <s v="Taolagnaro"/>
    <s v="Anosy"/>
    <x v="24"/>
    <m/>
    <s v="ANKARIERA"/>
    <s v="EPP ANKARIERA"/>
    <m/>
    <m/>
    <n v="228"/>
    <m/>
    <x v="3"/>
    <s v="HGSF"/>
    <m/>
    <n v="1.4"/>
    <m/>
    <m/>
    <m/>
    <n v="0.1"/>
    <n v="9.9000000000000005E-2"/>
    <m/>
    <m/>
    <m/>
    <m/>
    <m/>
    <m/>
    <m/>
    <n v="5036064"/>
    <m/>
  </r>
  <r>
    <x v="0"/>
    <n v="2024"/>
    <x v="3"/>
    <s v="SMP1"/>
    <x v="8"/>
    <s v="School feeding"/>
    <m/>
    <m/>
    <s v="Amboasary"/>
    <x v="0"/>
    <s v="Taolagnaro"/>
    <s v="Anosy"/>
    <x v="24"/>
    <m/>
    <s v="ANKARIERA"/>
    <s v="BERONGO"/>
    <m/>
    <m/>
    <n v="538"/>
    <m/>
    <x v="3"/>
    <s v="HGSF"/>
    <m/>
    <n v="3.25"/>
    <m/>
    <m/>
    <m/>
    <n v="0.2"/>
    <n v="0.23400000000000001"/>
    <m/>
    <m/>
    <m/>
    <m/>
    <m/>
    <m/>
    <m/>
    <n v="11883344"/>
    <m/>
  </r>
  <r>
    <x v="0"/>
    <n v="2024"/>
    <x v="3"/>
    <s v="SMP1"/>
    <x v="8"/>
    <s v="School feeding"/>
    <m/>
    <m/>
    <s v="Amboasary"/>
    <x v="0"/>
    <s v="Taolagnaro"/>
    <s v="Anosy"/>
    <x v="24"/>
    <m/>
    <s v="ANKARIERA"/>
    <s v="EPP ANDREVAVO"/>
    <m/>
    <m/>
    <n v="300"/>
    <m/>
    <x v="3"/>
    <s v="HGSF"/>
    <m/>
    <n v="1.85"/>
    <m/>
    <m/>
    <m/>
    <n v="0.1"/>
    <n v="0.1305"/>
    <m/>
    <m/>
    <m/>
    <m/>
    <m/>
    <m/>
    <m/>
    <n v="6626400"/>
    <m/>
  </r>
  <r>
    <x v="0"/>
    <n v="2024"/>
    <x v="3"/>
    <s v="SMP1"/>
    <x v="8"/>
    <s v="School feeding"/>
    <m/>
    <m/>
    <s v="Amboasary"/>
    <x v="0"/>
    <s v="Taolagnaro"/>
    <s v="Anosy"/>
    <x v="24"/>
    <m/>
    <s v="ANKARIERA"/>
    <s v="EPP BEVILANY"/>
    <m/>
    <m/>
    <n v="253"/>
    <m/>
    <x v="3"/>
    <s v="HGSF"/>
    <m/>
    <n v="1.55"/>
    <m/>
    <m/>
    <m/>
    <n v="0.1"/>
    <n v="0.1125"/>
    <m/>
    <m/>
    <m/>
    <m/>
    <m/>
    <m/>
    <m/>
    <n v="5588264"/>
    <m/>
  </r>
  <r>
    <x v="0"/>
    <n v="2024"/>
    <x v="3"/>
    <s v="SMP1"/>
    <x v="8"/>
    <s v="School feeding"/>
    <m/>
    <m/>
    <s v="Amboasary"/>
    <x v="0"/>
    <s v="Taolagnaro"/>
    <s v="Anosy"/>
    <x v="24"/>
    <m/>
    <s v="SOAVARY"/>
    <s v="EPP ANDRIAM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SOAVARY"/>
    <s v="EPP SOAVAR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ANALAMARY"/>
    <s v="EPP BEVENTIHAZ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PP ANDROANGALAV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4"/>
    <m/>
    <s v="TANANDAVA MADRERE"/>
    <s v="ECOLE COMMUNAUTAIRE ANTSIFOKONIN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x v="25"/>
    <m/>
    <s v="AMBOASARY I"/>
    <s v="ANARABAJY"/>
    <m/>
    <m/>
    <n v="325"/>
    <m/>
    <x v="3"/>
    <s v="HGSF"/>
    <m/>
    <n v="2.25"/>
    <m/>
    <m/>
    <m/>
    <n v="0.15"/>
    <n v="0.16200000000000001"/>
    <m/>
    <m/>
    <m/>
    <m/>
    <m/>
    <m/>
    <m/>
    <n v="7178600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ANKILEISOKE"/>
    <m/>
    <m/>
    <n v="361"/>
    <m/>
    <x v="3"/>
    <s v="HGSF"/>
    <m/>
    <n v="2.5"/>
    <m/>
    <m/>
    <m/>
    <n v="0.15"/>
    <n v="0.18"/>
    <m/>
    <m/>
    <m/>
    <m/>
    <m/>
    <m/>
    <m/>
    <n v="797376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I"/>
    <s v="EPP BEDARO"/>
    <m/>
    <m/>
    <n v="701"/>
    <m/>
    <x v="3"/>
    <s v="HGSF"/>
    <m/>
    <n v="4.8499999999999996"/>
    <m/>
    <m/>
    <m/>
    <n v="0.25"/>
    <n v="0.34649999999999997"/>
    <m/>
    <m/>
    <m/>
    <m/>
    <m/>
    <m/>
    <m/>
    <n v="1548368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BERANO GALLOIS"/>
    <m/>
    <m/>
    <n v="719"/>
    <m/>
    <x v="3"/>
    <s v="HGSF"/>
    <m/>
    <n v="4.95"/>
    <m/>
    <m/>
    <m/>
    <n v="0.25"/>
    <n v="0.35099999999999998"/>
    <m/>
    <m/>
    <m/>
    <m/>
    <m/>
    <m/>
    <m/>
    <n v="15881272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EPP HOVOTSOTSY"/>
    <m/>
    <m/>
    <n v="337"/>
    <m/>
    <x v="3"/>
    <s v="HGSF"/>
    <m/>
    <n v="2.2999999999999998"/>
    <m/>
    <m/>
    <m/>
    <n v="0.15"/>
    <n v="0.17100000000000001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EPP LOVASOA BEHABOBO"/>
    <m/>
    <m/>
    <n v="291"/>
    <m/>
    <x v="3"/>
    <s v="HGSF"/>
    <m/>
    <n v="2"/>
    <m/>
    <m/>
    <m/>
    <n v="0.1"/>
    <n v="0.14399999999999999"/>
    <m/>
    <m/>
    <m/>
    <m/>
    <m/>
    <m/>
    <m/>
    <n v="642760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ROMBAZY"/>
    <m/>
    <m/>
    <n v="386"/>
    <m/>
    <x v="3"/>
    <s v="HGSF"/>
    <m/>
    <n v="2.7"/>
    <m/>
    <m/>
    <m/>
    <n v="0.15"/>
    <n v="0.189"/>
    <m/>
    <m/>
    <m/>
    <m/>
    <m/>
    <m/>
    <m/>
    <n v="852596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EPP SPSM"/>
    <m/>
    <m/>
    <n v="1107"/>
    <m/>
    <x v="3"/>
    <s v="HGSF"/>
    <m/>
    <n v="7.6"/>
    <m/>
    <m/>
    <m/>
    <n v="0.4"/>
    <n v="0.54449999999999998"/>
    <m/>
    <m/>
    <m/>
    <m/>
    <m/>
    <m/>
    <m/>
    <n v="24451416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I"/>
    <s v="EPP TARANTY-AMBENDRA"/>
    <m/>
    <m/>
    <n v="165"/>
    <m/>
    <x v="3"/>
    <s v="HGSF"/>
    <m/>
    <n v="1.25"/>
    <m/>
    <m/>
    <m/>
    <n v="0.1"/>
    <n v="0.09"/>
    <m/>
    <m/>
    <m/>
    <m/>
    <m/>
    <m/>
    <m/>
    <n v="3644520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TARANTSOA ANKITRY"/>
    <m/>
    <m/>
    <n v="573"/>
    <m/>
    <x v="3"/>
    <s v="HGSF"/>
    <m/>
    <n v="3.95"/>
    <m/>
    <m/>
    <m/>
    <n v="0.2"/>
    <n v="0.28349999999999997"/>
    <m/>
    <m/>
    <m/>
    <m/>
    <m/>
    <m/>
    <m/>
    <n v="12656424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BEVALA DP"/>
    <m/>
    <m/>
    <n v="621"/>
    <m/>
    <x v="3"/>
    <s v="HGSF"/>
    <m/>
    <n v="4.3"/>
    <m/>
    <m/>
    <m/>
    <n v="0.25"/>
    <n v="0.30599999999999999"/>
    <m/>
    <m/>
    <m/>
    <m/>
    <m/>
    <m/>
    <m/>
    <n v="1371664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"/>
    <s v="EPP SOARAVINA LIMBY"/>
    <m/>
    <m/>
    <n v="382"/>
    <m/>
    <x v="3"/>
    <s v="HGSF"/>
    <m/>
    <n v="2.65"/>
    <m/>
    <m/>
    <m/>
    <n v="0.15"/>
    <n v="0.189"/>
    <m/>
    <m/>
    <m/>
    <m/>
    <m/>
    <m/>
    <m/>
    <n v="8437616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I"/>
    <s v="EPP ANDALOA BEDARO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Amboasary"/>
    <x v="0"/>
    <s v="Taolagnaro"/>
    <s v="Anosy"/>
    <x v="25"/>
    <m/>
    <s v="AMBOASARY III"/>
    <s v="EPP TARANTY BAS"/>
    <m/>
    <m/>
    <n v="237"/>
    <m/>
    <x v="3"/>
    <s v="HGSF"/>
    <m/>
    <n v="1.8"/>
    <m/>
    <m/>
    <m/>
    <n v="0.1"/>
    <n v="0.1305"/>
    <m/>
    <m/>
    <m/>
    <m/>
    <m/>
    <m/>
    <m/>
    <n v="5234856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ANDAVABAZA"/>
    <m/>
    <m/>
    <n v="545"/>
    <m/>
    <x v="3"/>
    <s v="HGSF"/>
    <m/>
    <n v="3.8"/>
    <m/>
    <m/>
    <m/>
    <n v="0.2"/>
    <n v="0.27"/>
    <m/>
    <m/>
    <m/>
    <m/>
    <m/>
    <m/>
    <m/>
    <n v="12037960"/>
    <m/>
  </r>
  <r>
    <x v="0"/>
    <n v="2024"/>
    <x v="3"/>
    <s v="SMP1"/>
    <x v="8"/>
    <s v="School feeding"/>
    <m/>
    <m/>
    <s v="Amboasary"/>
    <x v="0"/>
    <s v="Taolagnaro"/>
    <s v="Anosy"/>
    <x v="25"/>
    <m/>
    <s v="BEHARA II"/>
    <s v="ANKIRIKIRY"/>
    <m/>
    <m/>
    <n v="581"/>
    <m/>
    <x v="3"/>
    <s v="HGSF"/>
    <m/>
    <n v="4"/>
    <m/>
    <m/>
    <m/>
    <n v="0.2"/>
    <n v="0.28799999999999998"/>
    <m/>
    <m/>
    <m/>
    <m/>
    <m/>
    <m/>
    <m/>
    <n v="12833128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ANTSIVAVY"/>
    <m/>
    <m/>
    <n v="423"/>
    <m/>
    <x v="3"/>
    <s v="HGSF"/>
    <m/>
    <n v="2.95"/>
    <m/>
    <m/>
    <m/>
    <n v="0.15"/>
    <n v="0.20699999999999999"/>
    <m/>
    <m/>
    <m/>
    <m/>
    <m/>
    <m/>
    <m/>
    <n v="9343224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BEFAITSY"/>
    <m/>
    <m/>
    <n v="713"/>
    <m/>
    <x v="3"/>
    <s v="HGSF"/>
    <m/>
    <n v="4.95"/>
    <m/>
    <m/>
    <m/>
    <n v="0.25"/>
    <n v="0.35099999999999998"/>
    <m/>
    <m/>
    <m/>
    <m/>
    <m/>
    <m/>
    <m/>
    <n v="15748744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FANDIOVA"/>
    <m/>
    <m/>
    <n v="296"/>
    <m/>
    <x v="3"/>
    <s v="HGSF"/>
    <m/>
    <n v="2.0499999999999998"/>
    <m/>
    <m/>
    <m/>
    <n v="0.1"/>
    <n v="0.14399999999999999"/>
    <m/>
    <m/>
    <m/>
    <m/>
    <m/>
    <m/>
    <m/>
    <n v="6538048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HELIBONDRO"/>
    <m/>
    <m/>
    <n v="504"/>
    <m/>
    <x v="3"/>
    <s v="HGSF"/>
    <m/>
    <n v="3.45"/>
    <m/>
    <m/>
    <m/>
    <n v="0.2"/>
    <n v="0.252"/>
    <m/>
    <m/>
    <m/>
    <m/>
    <m/>
    <m/>
    <m/>
    <n v="11132352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MAROMENA"/>
    <m/>
    <m/>
    <n v="526"/>
    <m/>
    <x v="3"/>
    <s v="HGSF"/>
    <m/>
    <n v="3.6"/>
    <m/>
    <m/>
    <m/>
    <n v="0.2"/>
    <n v="0.26100000000000001"/>
    <m/>
    <m/>
    <m/>
    <m/>
    <m/>
    <m/>
    <m/>
    <n v="11618288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MASIABIBY"/>
    <m/>
    <m/>
    <n v="461"/>
    <m/>
    <x v="3"/>
    <s v="HGSF"/>
    <m/>
    <n v="3.2"/>
    <m/>
    <m/>
    <m/>
    <n v="0.2"/>
    <n v="0.22950000000000001"/>
    <m/>
    <m/>
    <m/>
    <m/>
    <m/>
    <m/>
    <m/>
    <n v="10182568"/>
    <m/>
  </r>
  <r>
    <x v="0"/>
    <n v="2024"/>
    <x v="3"/>
    <s v="SMP1"/>
    <x v="8"/>
    <s v="School feeding"/>
    <m/>
    <m/>
    <s v="Amboasary"/>
    <x v="0"/>
    <s v="Taolagnaro"/>
    <s v="Anosy"/>
    <x v="25"/>
    <m/>
    <s v="BEHARA II"/>
    <s v="RANOMAINTY"/>
    <m/>
    <m/>
    <n v="255"/>
    <m/>
    <x v="3"/>
    <s v="HGSF"/>
    <m/>
    <n v="1.95"/>
    <m/>
    <m/>
    <m/>
    <n v="0.1"/>
    <n v="0.13950000000000001"/>
    <m/>
    <m/>
    <m/>
    <m/>
    <m/>
    <m/>
    <m/>
    <n v="5632440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ANKASIKITOKA"/>
    <m/>
    <m/>
    <n v="519"/>
    <m/>
    <x v="3"/>
    <s v="HGSF"/>
    <m/>
    <n v="3.6"/>
    <m/>
    <m/>
    <m/>
    <n v="0.2"/>
    <n v="0.25650000000000001"/>
    <m/>
    <m/>
    <m/>
    <m/>
    <m/>
    <m/>
    <m/>
    <n v="11463672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MAROMENA I"/>
    <m/>
    <m/>
    <n v="200"/>
    <m/>
    <x v="3"/>
    <s v="HGSF"/>
    <m/>
    <n v="1.55"/>
    <m/>
    <m/>
    <m/>
    <n v="0.1"/>
    <n v="0.108"/>
    <m/>
    <m/>
    <m/>
    <m/>
    <m/>
    <m/>
    <m/>
    <n v="4417600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PP ANDRANOGISO"/>
    <m/>
    <m/>
    <n v="130"/>
    <m/>
    <x v="3"/>
    <s v="HGSF"/>
    <m/>
    <n v="1"/>
    <m/>
    <m/>
    <m/>
    <n v="0.05"/>
    <n v="7.1999999999999995E-2"/>
    <m/>
    <m/>
    <m/>
    <m/>
    <m/>
    <m/>
    <m/>
    <n v="2871440"/>
    <m/>
  </r>
  <r>
    <x v="0"/>
    <n v="2024"/>
    <x v="3"/>
    <s v="SMP1"/>
    <x v="8"/>
    <s v="School feeding"/>
    <m/>
    <m/>
    <s v="Amboasary"/>
    <x v="0"/>
    <s v="Taolagnaro"/>
    <s v="Anosy"/>
    <x v="25"/>
    <m/>
    <s v="BEHARA I"/>
    <s v="ECOLE COMMUNAUTAIRE ETSILA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x v="25"/>
    <m/>
    <s v="EBELO"/>
    <s v="Ranomainty"/>
    <m/>
    <m/>
    <n v="476"/>
    <m/>
    <x v="3"/>
    <s v="HGSF"/>
    <m/>
    <n v="3.3"/>
    <m/>
    <m/>
    <m/>
    <n v="0.2"/>
    <n v="0.23849999999999999"/>
    <m/>
    <m/>
    <m/>
    <m/>
    <m/>
    <m/>
    <m/>
    <n v="10513888"/>
    <m/>
  </r>
  <r>
    <x v="0"/>
    <n v="2024"/>
    <x v="3"/>
    <s v="SMP1"/>
    <x v="8"/>
    <s v="School feeding"/>
    <m/>
    <m/>
    <s v="Amboasary"/>
    <x v="0"/>
    <s v="Taolagnaro"/>
    <s v="Anosy"/>
    <x v="25"/>
    <m/>
    <s v="ESIRA"/>
    <s v="Eramamy"/>
    <m/>
    <m/>
    <n v="223"/>
    <m/>
    <x v="3"/>
    <s v="HGSF"/>
    <m/>
    <n v="1.7"/>
    <m/>
    <m/>
    <m/>
    <n v="0.1"/>
    <n v="0.1215"/>
    <m/>
    <m/>
    <m/>
    <m/>
    <m/>
    <m/>
    <m/>
    <n v="4925624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AMBANINATO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Andranomanintsy"/>
    <m/>
    <m/>
    <n v="464"/>
    <m/>
    <x v="3"/>
    <s v="HGSF"/>
    <m/>
    <n v="3.2"/>
    <m/>
    <m/>
    <m/>
    <n v="0.2"/>
    <n v="0.23400000000000001"/>
    <m/>
    <m/>
    <m/>
    <m/>
    <m/>
    <m/>
    <m/>
    <n v="10248832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ANJAMAHAVELO"/>
    <m/>
    <m/>
    <n v="600"/>
    <m/>
    <x v="3"/>
    <s v="HGSF"/>
    <m/>
    <n v="4.1500000000000004"/>
    <m/>
    <m/>
    <m/>
    <n v="0.2"/>
    <n v="0.29699999999999999"/>
    <m/>
    <m/>
    <m/>
    <m/>
    <m/>
    <m/>
    <m/>
    <n v="13252800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BEBARIMO"/>
    <m/>
    <m/>
    <n v="334"/>
    <m/>
    <x v="3"/>
    <s v="HGSF"/>
    <m/>
    <n v="2.35"/>
    <m/>
    <m/>
    <m/>
    <n v="0.15"/>
    <n v="0.16650000000000001"/>
    <m/>
    <m/>
    <m/>
    <m/>
    <m/>
    <m/>
    <m/>
    <n v="7377392"/>
    <m/>
  </r>
  <r>
    <x v="0"/>
    <n v="2024"/>
    <x v="3"/>
    <s v="SMP1"/>
    <x v="8"/>
    <s v="School feeding"/>
    <m/>
    <m/>
    <s v="Amboasary"/>
    <x v="0"/>
    <s v="Taolagnaro"/>
    <s v="Anosy"/>
    <x v="25"/>
    <m/>
    <s v="IFOTAKA I"/>
    <s v="Belay"/>
    <m/>
    <m/>
    <n v="471"/>
    <m/>
    <x v="3"/>
    <s v="HGSF"/>
    <m/>
    <n v="3.25"/>
    <m/>
    <m/>
    <m/>
    <n v="0.2"/>
    <n v="0.23400000000000001"/>
    <m/>
    <m/>
    <m/>
    <m/>
    <m/>
    <m/>
    <m/>
    <n v="10403448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BERAKETA"/>
    <m/>
    <m/>
    <n v="610"/>
    <m/>
    <x v="3"/>
    <s v="HGSF"/>
    <m/>
    <n v="4.2"/>
    <m/>
    <m/>
    <m/>
    <n v="0.25"/>
    <n v="0.30149999999999999"/>
    <m/>
    <m/>
    <m/>
    <m/>
    <m/>
    <m/>
    <m/>
    <n v="13473680"/>
    <m/>
  </r>
  <r>
    <x v="0"/>
    <n v="2024"/>
    <x v="3"/>
    <s v="SMP1"/>
    <x v="8"/>
    <s v="School feeding"/>
    <m/>
    <m/>
    <s v="Amboasary"/>
    <x v="0"/>
    <s v="Taolagnaro"/>
    <s v="Anosy"/>
    <x v="25"/>
    <m/>
    <s v="IFOTAKA I"/>
    <s v="Besely"/>
    <m/>
    <m/>
    <n v="344"/>
    <m/>
    <x v="3"/>
    <s v="HGSF"/>
    <m/>
    <n v="2.4"/>
    <m/>
    <m/>
    <m/>
    <n v="0.15"/>
    <n v="0.17100000000000001"/>
    <m/>
    <m/>
    <m/>
    <m/>
    <m/>
    <m/>
    <m/>
    <n v="7598272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Fenoaivo"/>
    <m/>
    <m/>
    <n v="420"/>
    <m/>
    <x v="3"/>
    <s v="HGSF"/>
    <m/>
    <n v="2.9"/>
    <m/>
    <m/>
    <m/>
    <n v="0.15"/>
    <n v="0.21149999999999999"/>
    <m/>
    <m/>
    <m/>
    <m/>
    <m/>
    <m/>
    <m/>
    <n v="9276960"/>
    <m/>
  </r>
  <r>
    <x v="0"/>
    <n v="2024"/>
    <x v="3"/>
    <s v="SMP1"/>
    <x v="8"/>
    <s v="School feeding"/>
    <m/>
    <m/>
    <s v="Amboasary"/>
    <x v="0"/>
    <s v="Taolagnaro"/>
    <s v="Anosy"/>
    <x v="25"/>
    <m/>
    <s v="IFOTAKA I"/>
    <s v="IFOTAKA CENTRE"/>
    <m/>
    <m/>
    <n v="657"/>
    <m/>
    <x v="3"/>
    <s v="HGSF"/>
    <m/>
    <n v="4.55"/>
    <m/>
    <m/>
    <m/>
    <n v="0.25"/>
    <n v="0.32400000000000001"/>
    <m/>
    <m/>
    <m/>
    <m/>
    <m/>
    <m/>
    <m/>
    <n v="14511816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MAHABO"/>
    <m/>
    <m/>
    <n v="232"/>
    <m/>
    <x v="3"/>
    <s v="HGSF"/>
    <m/>
    <n v="1.8"/>
    <m/>
    <m/>
    <m/>
    <n v="0.1"/>
    <n v="0.126"/>
    <m/>
    <m/>
    <m/>
    <m/>
    <m/>
    <m/>
    <m/>
    <n v="5124416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TSARIMPIOKY"/>
    <m/>
    <m/>
    <n v="509"/>
    <m/>
    <x v="3"/>
    <s v="HGSF"/>
    <m/>
    <n v="3.5"/>
    <m/>
    <m/>
    <m/>
    <n v="0.2"/>
    <n v="0.252"/>
    <m/>
    <m/>
    <m/>
    <m/>
    <m/>
    <m/>
    <m/>
    <n v="11242792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BEFANTSIOLOTSY"/>
    <m/>
    <m/>
    <n v="427"/>
    <m/>
    <x v="3"/>
    <s v="HGSF"/>
    <m/>
    <n v="2.95"/>
    <m/>
    <m/>
    <m/>
    <n v="0.15"/>
    <n v="0.21149999999999999"/>
    <m/>
    <m/>
    <m/>
    <m/>
    <m/>
    <m/>
    <m/>
    <n v="9431576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Analoalo"/>
    <m/>
    <m/>
    <n v="337"/>
    <m/>
    <x v="3"/>
    <s v="HGSF"/>
    <m/>
    <n v="2.2999999999999998"/>
    <m/>
    <m/>
    <m/>
    <n v="0.15"/>
    <n v="0.17100000000000001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AMBOVO"/>
    <m/>
    <m/>
    <n v="400"/>
    <m/>
    <x v="3"/>
    <s v="HGSF"/>
    <m/>
    <n v="2.8"/>
    <m/>
    <m/>
    <m/>
    <n v="0.15"/>
    <n v="0.19800000000000001"/>
    <m/>
    <m/>
    <m/>
    <m/>
    <m/>
    <m/>
    <m/>
    <n v="8835200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ANJAHAMAVELO II"/>
    <m/>
    <m/>
    <n v="318"/>
    <m/>
    <x v="3"/>
    <s v="HGSF"/>
    <m/>
    <n v="2.2000000000000002"/>
    <m/>
    <m/>
    <m/>
    <n v="0.15"/>
    <n v="0.1575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LAVAKAPAHA"/>
    <m/>
    <m/>
    <n v="158"/>
    <m/>
    <x v="3"/>
    <s v="HGSF"/>
    <m/>
    <n v="1.2"/>
    <m/>
    <m/>
    <m/>
    <n v="0.1"/>
    <n v="8.5500000000000007E-2"/>
    <m/>
    <m/>
    <m/>
    <m/>
    <m/>
    <m/>
    <m/>
    <n v="3489904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ANKAZOTA"/>
    <m/>
    <m/>
    <n v="200"/>
    <m/>
    <x v="3"/>
    <s v="HGSF"/>
    <m/>
    <n v="1.55"/>
    <m/>
    <m/>
    <m/>
    <n v="0.1"/>
    <n v="0.108"/>
    <m/>
    <m/>
    <m/>
    <m/>
    <m/>
    <m/>
    <m/>
    <n v="4417600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EPP AMBATOMAINTY"/>
    <m/>
    <m/>
    <n v="278"/>
    <m/>
    <x v="3"/>
    <s v="HGSF"/>
    <m/>
    <n v="1.95"/>
    <m/>
    <m/>
    <m/>
    <n v="0.1"/>
    <n v="0.13950000000000001"/>
    <m/>
    <m/>
    <m/>
    <m/>
    <m/>
    <m/>
    <m/>
    <n v="6140464"/>
    <m/>
  </r>
  <r>
    <x v="0"/>
    <n v="2024"/>
    <x v="3"/>
    <s v="SMP1"/>
    <x v="8"/>
    <s v="School feeding"/>
    <m/>
    <m/>
    <s v="Amboasary"/>
    <x v="0"/>
    <s v="Taolagnaro"/>
    <s v="Anosy"/>
    <x v="25"/>
    <m/>
    <s v="IFOTAKA II"/>
    <s v="Ankilimanitsy"/>
    <m/>
    <m/>
    <n v="318"/>
    <m/>
    <x v="3"/>
    <s v="HGSF"/>
    <m/>
    <n v="2.2000000000000002"/>
    <m/>
    <m/>
    <m/>
    <n v="0.15"/>
    <n v="0.1575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x v="25"/>
    <m/>
    <s v="MAROMBY"/>
    <s v="Befihamy"/>
    <m/>
    <m/>
    <n v="335"/>
    <m/>
    <x v="3"/>
    <s v="HGSF"/>
    <m/>
    <n v="2.2999999999999998"/>
    <m/>
    <m/>
    <m/>
    <n v="0.15"/>
    <n v="0.16650000000000001"/>
    <m/>
    <m/>
    <m/>
    <m/>
    <m/>
    <m/>
    <m/>
    <n v="7399480"/>
    <m/>
  </r>
  <r>
    <x v="0"/>
    <n v="2024"/>
    <x v="3"/>
    <s v="SMP1"/>
    <x v="8"/>
    <s v="School feeding"/>
    <m/>
    <m/>
    <s v="Amboasary"/>
    <x v="0"/>
    <s v="Taolagnaro"/>
    <s v="Anosy"/>
    <x v="25"/>
    <m/>
    <s v="MAROMBY"/>
    <s v="EPP MAROMBY"/>
    <m/>
    <m/>
    <n v="530"/>
    <m/>
    <x v="3"/>
    <s v="HGSF"/>
    <m/>
    <n v="3.65"/>
    <m/>
    <m/>
    <m/>
    <n v="0.2"/>
    <n v="0.26100000000000001"/>
    <m/>
    <m/>
    <m/>
    <m/>
    <m/>
    <m/>
    <m/>
    <n v="11706640"/>
    <m/>
  </r>
  <r>
    <x v="0"/>
    <n v="2024"/>
    <x v="3"/>
    <s v="SMP1"/>
    <x v="8"/>
    <s v="School feeding"/>
    <m/>
    <m/>
    <s v="Amboasary"/>
    <x v="0"/>
    <s v="Taolagnaro"/>
    <s v="Anosy"/>
    <x v="25"/>
    <m/>
    <s v="MAROMBY"/>
    <s v="Besakoa"/>
    <m/>
    <m/>
    <n v="125"/>
    <m/>
    <x v="3"/>
    <s v="HGSF"/>
    <m/>
    <n v="0.95"/>
    <m/>
    <m/>
    <m/>
    <n v="0.05"/>
    <n v="6.7500000000000004E-2"/>
    <m/>
    <m/>
    <m/>
    <m/>
    <m/>
    <m/>
    <m/>
    <n v="2761000"/>
    <m/>
  </r>
  <r>
    <x v="0"/>
    <n v="2024"/>
    <x v="3"/>
    <s v="SMP1"/>
    <x v="8"/>
    <s v="School feeding"/>
    <m/>
    <m/>
    <s v="Amboasary"/>
    <x v="0"/>
    <s v="Taolagnaro"/>
    <s v="Anosy"/>
    <x v="25"/>
    <m/>
    <s v="SAMPONA"/>
    <s v="ANKILIMALAINDIO"/>
    <m/>
    <m/>
    <n v="644"/>
    <m/>
    <x v="3"/>
    <s v="HGSF"/>
    <m/>
    <n v="4.45"/>
    <m/>
    <m/>
    <m/>
    <n v="0.25"/>
    <n v="0.31950000000000001"/>
    <m/>
    <m/>
    <m/>
    <m/>
    <m/>
    <m/>
    <m/>
    <n v="14224672"/>
    <m/>
  </r>
  <r>
    <x v="0"/>
    <n v="2024"/>
    <x v="3"/>
    <s v="SMP1"/>
    <x v="8"/>
    <s v="School feeding"/>
    <m/>
    <m/>
    <s v="Amboasary"/>
    <x v="0"/>
    <s v="Taolagnaro"/>
    <s v="Anosy"/>
    <x v="25"/>
    <m/>
    <s v="SAMPONA"/>
    <s v="EPP EZAKA"/>
    <m/>
    <m/>
    <n v="455"/>
    <m/>
    <x v="3"/>
    <s v="HGSF"/>
    <m/>
    <n v="3.15"/>
    <m/>
    <m/>
    <m/>
    <n v="0.2"/>
    <n v="0.22500000000000001"/>
    <m/>
    <m/>
    <m/>
    <m/>
    <m/>
    <m/>
    <m/>
    <n v="10050040"/>
    <m/>
  </r>
  <r>
    <x v="0"/>
    <n v="2024"/>
    <x v="3"/>
    <s v="SMP1"/>
    <x v="8"/>
    <s v="School feeding"/>
    <m/>
    <m/>
    <s v="Amboasary"/>
    <x v="0"/>
    <s v="Taolagnaro"/>
    <s v="Anosy"/>
    <x v="25"/>
    <m/>
    <s v="SAMPONA"/>
    <s v="EPP MANINDRA"/>
    <m/>
    <m/>
    <n v="368"/>
    <m/>
    <x v="3"/>
    <s v="HGSF"/>
    <m/>
    <n v="2.5499999999999998"/>
    <m/>
    <m/>
    <m/>
    <n v="0.15"/>
    <n v="0.18"/>
    <m/>
    <m/>
    <m/>
    <m/>
    <m/>
    <m/>
    <m/>
    <n v="8128384"/>
    <m/>
  </r>
  <r>
    <x v="0"/>
    <n v="2024"/>
    <x v="3"/>
    <s v="SMP1"/>
    <x v="8"/>
    <s v="School feeding"/>
    <m/>
    <m/>
    <s v="Amboasary"/>
    <x v="0"/>
    <s v="Taolagnaro"/>
    <s v="Anosy"/>
    <x v="25"/>
    <m/>
    <s v="SAMPONA"/>
    <s v="VAHAVOLA "/>
    <m/>
    <m/>
    <n v="735"/>
    <m/>
    <x v="3"/>
    <s v="HGSF"/>
    <m/>
    <n v="5.0999999999999996"/>
    <m/>
    <m/>
    <m/>
    <n v="0.25"/>
    <n v="0.36"/>
    <m/>
    <m/>
    <m/>
    <m/>
    <m/>
    <m/>
    <m/>
    <n v="16234680"/>
    <m/>
  </r>
  <r>
    <x v="0"/>
    <n v="2024"/>
    <x v="3"/>
    <s v="SMP1"/>
    <x v="8"/>
    <s v="School feeding"/>
    <m/>
    <m/>
    <s v="Amboasary"/>
    <x v="0"/>
    <s v="Taolagnaro"/>
    <s v="Anosy"/>
    <x v="25"/>
    <m/>
    <s v="SAMPONA"/>
    <s v="EPP ANKILIMANARA"/>
    <m/>
    <m/>
    <n v="397"/>
    <m/>
    <x v="3"/>
    <s v="HGSF"/>
    <m/>
    <n v="2.75"/>
    <m/>
    <m/>
    <m/>
    <n v="0.15"/>
    <n v="0.19350000000000001"/>
    <m/>
    <m/>
    <m/>
    <m/>
    <m/>
    <m/>
    <m/>
    <n v="8768936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ANIZA"/>
    <m/>
    <m/>
    <n v="366"/>
    <m/>
    <x v="3"/>
    <s v="HGSF"/>
    <m/>
    <n v="2.5499999999999998"/>
    <m/>
    <m/>
    <m/>
    <n v="0.15"/>
    <n v="0.18"/>
    <m/>
    <m/>
    <m/>
    <m/>
    <m/>
    <m/>
    <m/>
    <n v="8084208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AMPASIMPOLAKA"/>
    <m/>
    <m/>
    <n v="679"/>
    <m/>
    <x v="3"/>
    <s v="HGSF"/>
    <m/>
    <n v="4.7"/>
    <m/>
    <m/>
    <m/>
    <n v="0.25"/>
    <n v="0.33300000000000002"/>
    <m/>
    <m/>
    <m/>
    <m/>
    <m/>
    <m/>
    <m/>
    <n v="14997752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POTOBATO"/>
    <m/>
    <m/>
    <n v="294"/>
    <m/>
    <x v="3"/>
    <s v="HGSF"/>
    <m/>
    <n v="2.0499999999999998"/>
    <m/>
    <m/>
    <m/>
    <n v="0.1"/>
    <n v="0.14849999999999999"/>
    <m/>
    <m/>
    <m/>
    <m/>
    <m/>
    <m/>
    <m/>
    <n v="6493872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OASARY CENTRE"/>
    <m/>
    <m/>
    <n v="251"/>
    <m/>
    <x v="3"/>
    <s v="HGSF"/>
    <m/>
    <n v="1.95"/>
    <m/>
    <m/>
    <m/>
    <n v="0.1"/>
    <n v="0.13950000000000001"/>
    <m/>
    <m/>
    <m/>
    <m/>
    <m/>
    <m/>
    <m/>
    <n v="5544088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MAROAIKY II"/>
    <m/>
    <m/>
    <n v="293"/>
    <m/>
    <x v="3"/>
    <s v="HGSF"/>
    <m/>
    <n v="2"/>
    <m/>
    <m/>
    <m/>
    <n v="0.1"/>
    <n v="0.14849999999999999"/>
    <m/>
    <m/>
    <m/>
    <m/>
    <m/>
    <m/>
    <m/>
    <n v="6471784"/>
    <m/>
  </r>
  <r>
    <x v="0"/>
    <n v="2024"/>
    <x v="3"/>
    <s v="SMP1"/>
    <x v="8"/>
    <s v="School feeding"/>
    <m/>
    <m/>
    <s v="Amboasary"/>
    <x v="0"/>
    <s v="Taolagnaro"/>
    <s v="Anosy"/>
    <x v="25"/>
    <m/>
    <s v="TRANOMARO"/>
    <s v="EPP ANKARAHARA AMANDA"/>
    <m/>
    <m/>
    <n v="254"/>
    <m/>
    <x v="3"/>
    <s v="HGSF"/>
    <m/>
    <n v="1.95"/>
    <m/>
    <m/>
    <m/>
    <n v="0.1"/>
    <n v="0.13950000000000001"/>
    <m/>
    <m/>
    <m/>
    <m/>
    <m/>
    <m/>
    <m/>
    <n v="5610352"/>
    <m/>
  </r>
  <r>
    <x v="0"/>
    <n v="2024"/>
    <x v="3"/>
    <s v="SMP1"/>
    <x v="8"/>
    <s v="School feeding"/>
    <m/>
    <m/>
    <s v="Amboasary"/>
    <x v="0"/>
    <s v="Taolagnaro"/>
    <s v="Anosy"/>
    <x v="25"/>
    <m/>
    <s v="TRANOMARO"/>
    <s v="Ampilira"/>
    <m/>
    <m/>
    <n v="331"/>
    <m/>
    <x v="3"/>
    <s v="HGSF"/>
    <m/>
    <n v="2.2999999999999998"/>
    <m/>
    <m/>
    <m/>
    <n v="0.15"/>
    <n v="0.16650000000000001"/>
    <m/>
    <m/>
    <m/>
    <m/>
    <m/>
    <m/>
    <m/>
    <n v="7311128"/>
    <m/>
  </r>
  <r>
    <x v="0"/>
    <n v="2024"/>
    <x v="3"/>
    <s v="SMP1"/>
    <x v="8"/>
    <s v="School feeding"/>
    <m/>
    <m/>
    <s v="Amboasary"/>
    <x v="0"/>
    <s v="Taolagnaro"/>
    <s v="Anosy"/>
    <x v="25"/>
    <m/>
    <s v="TRANOMARO"/>
    <s v="Beza"/>
    <m/>
    <m/>
    <n v="270"/>
    <m/>
    <x v="3"/>
    <s v="HGSF"/>
    <m/>
    <n v="1.85"/>
    <m/>
    <m/>
    <m/>
    <n v="0.1"/>
    <n v="0.13500000000000001"/>
    <m/>
    <m/>
    <m/>
    <m/>
    <m/>
    <m/>
    <m/>
    <n v="5963760"/>
    <m/>
  </r>
  <r>
    <x v="0"/>
    <n v="2024"/>
    <x v="3"/>
    <s v="SMP1"/>
    <x v="8"/>
    <s v="School feeding"/>
    <m/>
    <m/>
    <s v="Amboasary"/>
    <x v="0"/>
    <s v="Taolagnaro"/>
    <s v="Anosy"/>
    <x v="25"/>
    <m/>
    <s v="TRANOMARO"/>
    <s v="Tranomaro"/>
    <m/>
    <m/>
    <n v="690"/>
    <m/>
    <x v="3"/>
    <s v="HGSF"/>
    <m/>
    <n v="4.75"/>
    <m/>
    <m/>
    <m/>
    <n v="0.25"/>
    <n v="0.33750000000000002"/>
    <m/>
    <m/>
    <m/>
    <m/>
    <m/>
    <m/>
    <m/>
    <n v="15240720"/>
    <m/>
  </r>
  <r>
    <x v="0"/>
    <n v="2024"/>
    <x v="3"/>
    <s v="SMP1"/>
    <x v="8"/>
    <s v="School feeding"/>
    <m/>
    <m/>
    <s v="Amboasary"/>
    <x v="0"/>
    <s v="Taolagnaro"/>
    <s v="Anosy"/>
    <x v="25"/>
    <m/>
    <s v="TRANOMARO"/>
    <s v="EPP ANKARAHARA NONOKY"/>
    <m/>
    <m/>
    <n v="142"/>
    <m/>
    <x v="3"/>
    <s v="HGSF"/>
    <m/>
    <n v="1.1000000000000001"/>
    <m/>
    <m/>
    <m/>
    <n v="0.05"/>
    <n v="7.6499999999999999E-2"/>
    <m/>
    <m/>
    <m/>
    <m/>
    <m/>
    <m/>
    <m/>
    <n v="3136496"/>
    <m/>
  </r>
  <r>
    <x v="0"/>
    <n v="2024"/>
    <x v="3"/>
    <s v="SMP1"/>
    <x v="8"/>
    <s v="School feeding"/>
    <m/>
    <m/>
    <s v="Amboasary"/>
    <x v="0"/>
    <s v="Taolagnaro"/>
    <s v="Anosy"/>
    <x v="25"/>
    <m/>
    <s v="TSIVORY"/>
    <s v="Ankilitelo"/>
    <m/>
    <m/>
    <n v="492"/>
    <m/>
    <x v="3"/>
    <s v="HGSF"/>
    <m/>
    <n v="3.4"/>
    <m/>
    <m/>
    <m/>
    <n v="0.2"/>
    <n v="0.2475"/>
    <m/>
    <m/>
    <m/>
    <m/>
    <m/>
    <m/>
    <m/>
    <n v="10867296"/>
    <m/>
  </r>
  <r>
    <x v="0"/>
    <n v="2024"/>
    <x v="3"/>
    <s v="SMP1"/>
    <x v="8"/>
    <s v="School feeding"/>
    <m/>
    <m/>
    <s v="Amboasary"/>
    <x v="0"/>
    <s v="Taolagnaro"/>
    <s v="Anosy"/>
    <x v="25"/>
    <m/>
    <s v="TSIVORY"/>
    <s v="EPP BEVAHY"/>
    <m/>
    <m/>
    <n v="210"/>
    <m/>
    <x v="3"/>
    <s v="HGSF"/>
    <m/>
    <n v="1.6"/>
    <m/>
    <m/>
    <m/>
    <n v="0.1"/>
    <n v="0.11700000000000001"/>
    <m/>
    <m/>
    <m/>
    <m/>
    <m/>
    <m/>
    <m/>
    <n v="4638480"/>
    <m/>
  </r>
  <r>
    <x v="0"/>
    <n v="2024"/>
    <x v="3"/>
    <s v="SMP1"/>
    <x v="8"/>
    <s v="School feeding"/>
    <m/>
    <m/>
    <s v="Amboasary"/>
    <x v="0"/>
    <s v="Taolagnaro"/>
    <s v="Anosy"/>
    <x v="25"/>
    <m/>
    <s v="TSIVORY"/>
    <s v="EPP IMANJOLA"/>
    <m/>
    <m/>
    <n v="407"/>
    <m/>
    <x v="3"/>
    <s v="HGSF"/>
    <m/>
    <n v="2.8"/>
    <m/>
    <m/>
    <m/>
    <n v="0.15"/>
    <n v="0.20250000000000001"/>
    <m/>
    <m/>
    <m/>
    <m/>
    <m/>
    <m/>
    <m/>
    <n v="8989816"/>
    <m/>
  </r>
  <r>
    <x v="0"/>
    <n v="2024"/>
    <x v="3"/>
    <s v="SMP1"/>
    <x v="8"/>
    <s v="School feeding"/>
    <m/>
    <m/>
    <s v="Amboasary"/>
    <x v="0"/>
    <s v="Taolagnaro"/>
    <s v="Anosy"/>
    <x v="25"/>
    <m/>
    <s v="TSIVORY"/>
    <s v="Tsivory"/>
    <m/>
    <m/>
    <n v="1375"/>
    <m/>
    <x v="3"/>
    <s v="HGSF"/>
    <m/>
    <n v="9.4499999999999993"/>
    <m/>
    <m/>
    <m/>
    <n v="0.5"/>
    <n v="0.67949999999999999"/>
    <m/>
    <m/>
    <m/>
    <m/>
    <m/>
    <m/>
    <m/>
    <n v="30371000"/>
    <m/>
  </r>
  <r>
    <x v="0"/>
    <n v="2024"/>
    <x v="3"/>
    <s v="SMP1"/>
    <x v="8"/>
    <s v="School feeding"/>
    <m/>
    <m/>
    <s v="Amboasary"/>
    <x v="0"/>
    <s v="Taolagnaro"/>
    <s v="Anosy"/>
    <x v="25"/>
    <m/>
    <s v="RANOBE"/>
    <s v="Ranobe"/>
    <m/>
    <m/>
    <n v="347"/>
    <m/>
    <x v="3"/>
    <s v="HGSF"/>
    <m/>
    <n v="2.4"/>
    <m/>
    <m/>
    <m/>
    <n v="0.15"/>
    <n v="0.17100000000000001"/>
    <m/>
    <m/>
    <m/>
    <m/>
    <m/>
    <m/>
    <m/>
    <n v="7664536"/>
    <m/>
  </r>
  <r>
    <x v="0"/>
    <n v="2024"/>
    <x v="3"/>
    <s v="SMP1"/>
    <x v="8"/>
    <s v="School feeding"/>
    <m/>
    <m/>
    <s v="Amboasary"/>
    <x v="0"/>
    <s v="Taolagnaro"/>
    <s v="Anosy"/>
    <x v="25"/>
    <m/>
    <s v="TOMBOARIVO"/>
    <s v="EPP ANDROMASY"/>
    <m/>
    <m/>
    <n v="106"/>
    <m/>
    <x v="3"/>
    <s v="HGSF"/>
    <m/>
    <n v="0.8"/>
    <m/>
    <m/>
    <m/>
    <n v="0.05"/>
    <n v="5.8500000000000003E-2"/>
    <m/>
    <m/>
    <m/>
    <m/>
    <m/>
    <m/>
    <m/>
    <n v="2341328"/>
    <m/>
  </r>
  <r>
    <x v="0"/>
    <n v="2024"/>
    <x v="3"/>
    <s v="SMP1"/>
    <x v="8"/>
    <s v="School feeding"/>
    <m/>
    <m/>
    <s v="Amboasary"/>
    <x v="0"/>
    <s v="Taolagnaro"/>
    <s v="Anosy"/>
    <x v="25"/>
    <m/>
    <s v="TOMBOARIVO"/>
    <s v="EPP MANANDAVENOKA"/>
    <m/>
    <m/>
    <n v="188"/>
    <m/>
    <x v="3"/>
    <s v="HGSF"/>
    <m/>
    <n v="1.45"/>
    <m/>
    <m/>
    <m/>
    <n v="0.1"/>
    <n v="0.10349999999999999"/>
    <m/>
    <m/>
    <m/>
    <m/>
    <m/>
    <m/>
    <m/>
    <n v="4152544"/>
    <m/>
  </r>
  <r>
    <x v="0"/>
    <n v="2024"/>
    <x v="3"/>
    <s v="SMP1"/>
    <x v="8"/>
    <s v="School feeding"/>
    <m/>
    <m/>
    <s v="Amboasary"/>
    <x v="0"/>
    <s v="Taolagnaro"/>
    <s v="Anosy"/>
    <x v="25"/>
    <m/>
    <s v="TOMBOARIVO"/>
    <s v="EPP TOMBOARIVO"/>
    <m/>
    <m/>
    <n v="371"/>
    <m/>
    <x v="3"/>
    <s v="HGSF"/>
    <m/>
    <n v="2.5499999999999998"/>
    <m/>
    <m/>
    <m/>
    <n v="0.15"/>
    <n v="0.1845"/>
    <m/>
    <m/>
    <m/>
    <m/>
    <m/>
    <m/>
    <m/>
    <n v="8194648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OLOVOHITSY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BEVOANGY"/>
    <m/>
    <m/>
    <n v="225"/>
    <m/>
    <x v="3"/>
    <s v="HGSF"/>
    <m/>
    <n v="1.75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ASY TANAMBAO"/>
    <m/>
    <m/>
    <n v="265"/>
    <m/>
    <x v="3"/>
    <s v="HGSF"/>
    <m/>
    <n v="2.0499999999999998"/>
    <m/>
    <m/>
    <m/>
    <n v="0.1"/>
    <n v="0.14399999999999999"/>
    <m/>
    <m/>
    <m/>
    <m/>
    <m/>
    <m/>
    <m/>
    <n v="5853320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ASY CENTRE"/>
    <m/>
    <m/>
    <n v="212"/>
    <m/>
    <x v="3"/>
    <s v="HGSF"/>
    <m/>
    <n v="1.65"/>
    <m/>
    <m/>
    <m/>
    <n v="0.1"/>
    <n v="0.11700000000000001"/>
    <m/>
    <m/>
    <m/>
    <m/>
    <m/>
    <m/>
    <m/>
    <n v="4682656"/>
    <m/>
  </r>
  <r>
    <x v="0"/>
    <n v="2024"/>
    <x v="3"/>
    <s v="SMP1"/>
    <x v="8"/>
    <s v="School feeding"/>
    <m/>
    <m/>
    <s v="Amboasary"/>
    <x v="0"/>
    <s v="Taolagnaro"/>
    <s v="Anosy"/>
    <x v="25"/>
    <m/>
    <s v="BERANO VILLE"/>
    <s v="EPP AMBOLOVOHITSE TANAMIARY"/>
    <m/>
    <m/>
    <n v="218"/>
    <m/>
    <x v="3"/>
    <s v="HGSF"/>
    <m/>
    <n v="1.7"/>
    <m/>
    <m/>
    <m/>
    <n v="0.1"/>
    <n v="0.1215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Fangidraty"/>
    <m/>
    <m/>
    <n v="203"/>
    <m/>
    <x v="3"/>
    <s v="HGSF"/>
    <m/>
    <n v="1.55"/>
    <m/>
    <m/>
    <m/>
    <n v="0.1"/>
    <n v="0.1125"/>
    <m/>
    <m/>
    <m/>
    <m/>
    <m/>
    <m/>
    <m/>
    <n v="4483864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ANTSEJEBY"/>
    <m/>
    <m/>
    <n v="273"/>
    <m/>
    <x v="3"/>
    <s v="HGSF"/>
    <m/>
    <n v="1.9"/>
    <m/>
    <m/>
    <m/>
    <n v="0.1"/>
    <n v="0.13500000000000001"/>
    <m/>
    <m/>
    <m/>
    <m/>
    <m/>
    <m/>
    <m/>
    <n v="6030024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TSIMANATEBOLY"/>
    <m/>
    <m/>
    <n v="145"/>
    <m/>
    <x v="3"/>
    <s v="HGSF"/>
    <m/>
    <n v="1.1000000000000001"/>
    <m/>
    <m/>
    <m/>
    <n v="0.05"/>
    <n v="8.1000000000000003E-2"/>
    <m/>
    <m/>
    <m/>
    <m/>
    <m/>
    <m/>
    <m/>
    <n v="3202760"/>
    <m/>
  </r>
  <r>
    <x v="0"/>
    <n v="2024"/>
    <x v="3"/>
    <s v="SMP1"/>
    <x v="8"/>
    <s v="School feeding"/>
    <m/>
    <m/>
    <s v="Amboasary"/>
    <x v="0"/>
    <s v="Taolagnaro"/>
    <s v="Anosy"/>
    <x v="25"/>
    <m/>
    <s v="MAHABO"/>
    <s v="EPP ANALOALO"/>
    <m/>
    <m/>
    <n v="142"/>
    <m/>
    <x v="3"/>
    <s v="HGSF"/>
    <m/>
    <n v="1.1000000000000001"/>
    <m/>
    <m/>
    <m/>
    <n v="0.05"/>
    <n v="7.6499999999999999E-2"/>
    <m/>
    <m/>
    <m/>
    <m/>
    <m/>
    <m/>
    <m/>
    <n v="3136496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AMBANISARIKA"/>
    <m/>
    <m/>
    <n v="602"/>
    <m/>
    <x v="1"/>
    <s v="classique"/>
    <m/>
    <n v="4.0999999999999996"/>
    <m/>
    <m/>
    <m/>
    <n v="0.85"/>
    <n v="0.29249999999999998"/>
    <m/>
    <m/>
    <m/>
    <m/>
    <m/>
    <m/>
    <n v="5.242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EPP ANDROHONDROHO"/>
    <m/>
    <m/>
    <n v="322"/>
    <m/>
    <x v="3"/>
    <s v="HGSF"/>
    <m/>
    <n v="2.2000000000000002"/>
    <m/>
    <m/>
    <m/>
    <n v="0.15"/>
    <n v="0.1575"/>
    <m/>
    <m/>
    <m/>
    <m/>
    <m/>
    <m/>
    <m/>
    <n v="7112336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MAHALOTO"/>
    <m/>
    <m/>
    <n v="510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TANAMBAO ANKILIFALY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EPP ANKIRAVA"/>
    <m/>
    <m/>
    <n v="198"/>
    <m/>
    <x v="3"/>
    <s v="HGSF"/>
    <m/>
    <n v="1.5"/>
    <m/>
    <m/>
    <m/>
    <n v="0.1"/>
    <n v="0.108"/>
    <m/>
    <m/>
    <m/>
    <m/>
    <m/>
    <m/>
    <m/>
    <n v="4373424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ETSOHA ANKILIROMOTSY"/>
    <m/>
    <m/>
    <n v="267"/>
    <m/>
    <x v="1"/>
    <s v="classique"/>
    <m/>
    <n v="1.85"/>
    <m/>
    <m/>
    <m/>
    <n v="0.35"/>
    <n v="0.1305"/>
    <m/>
    <m/>
    <m/>
    <m/>
    <m/>
    <m/>
    <n v="2.3305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RETOKA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NISARIKA"/>
    <s v="EPP ANTSAKOAMAMY"/>
    <m/>
    <m/>
    <n v="321"/>
    <m/>
    <x v="3"/>
    <s v="HGSF"/>
    <m/>
    <n v="2.2000000000000002"/>
    <m/>
    <m/>
    <m/>
    <n v="0.15"/>
    <n v="0.1575"/>
    <m/>
    <m/>
    <m/>
    <m/>
    <m/>
    <m/>
    <m/>
    <n v="7090248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AMBAZOA"/>
    <m/>
    <m/>
    <n v="349"/>
    <m/>
    <x v="3"/>
    <s v="HGSF"/>
    <m/>
    <n v="2.7"/>
    <m/>
    <m/>
    <m/>
    <n v="0.15"/>
    <n v="0.17100000000000001"/>
    <m/>
    <m/>
    <m/>
    <m/>
    <m/>
    <m/>
    <m/>
    <n v="7708712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AMBAZOAMAZAVA"/>
    <m/>
    <m/>
    <n v="559"/>
    <m/>
    <x v="1"/>
    <s v="classique"/>
    <m/>
    <n v="3.75"/>
    <m/>
    <m/>
    <m/>
    <n v="0.8"/>
    <n v="0.27"/>
    <m/>
    <m/>
    <m/>
    <m/>
    <m/>
    <m/>
    <n v="4.8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AMPAIPAIKA"/>
    <m/>
    <m/>
    <n v="342"/>
    <m/>
    <x v="1"/>
    <s v="classique"/>
    <m/>
    <n v="2.65"/>
    <m/>
    <m/>
    <m/>
    <n v="0.5"/>
    <n v="0.16650000000000001"/>
    <m/>
    <m/>
    <m/>
    <m/>
    <m/>
    <m/>
    <n v="3.316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EPP ANTANIMIHERY"/>
    <m/>
    <m/>
    <n v="721"/>
    <m/>
    <x v="3"/>
    <s v="HGSF"/>
    <m/>
    <n v="4.9000000000000004"/>
    <m/>
    <m/>
    <m/>
    <n v="0.25"/>
    <n v="0.34649999999999997"/>
    <m/>
    <m/>
    <m/>
    <m/>
    <m/>
    <m/>
    <m/>
    <n v="15925448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TSIFAHERA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IKOTOALABAS"/>
    <m/>
    <m/>
    <n v="517"/>
    <m/>
    <x v="1"/>
    <s v="classique"/>
    <m/>
    <n v="4"/>
    <m/>
    <m/>
    <m/>
    <n v="0.9"/>
    <n v="0.28349999999999997"/>
    <m/>
    <m/>
    <m/>
    <m/>
    <m/>
    <m/>
    <n v="5.1835000000000004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SATRIE"/>
    <m/>
    <m/>
    <n v="32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AMBASY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AZOA"/>
    <s v="SOAMBOTRY"/>
    <m/>
    <m/>
    <n v="320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ANDAMBOMITRO"/>
    <m/>
    <m/>
    <n v="217"/>
    <m/>
    <x v="1"/>
    <s v="classique"/>
    <m/>
    <n v="1.65"/>
    <m/>
    <m/>
    <m/>
    <n v="0.4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EPP ANKATRAFAIMAZAVA"/>
    <m/>
    <m/>
    <n v="327"/>
    <m/>
    <x v="3"/>
    <s v="HGSF"/>
    <m/>
    <n v="2.2000000000000002"/>
    <m/>
    <m/>
    <m/>
    <n v="0.15"/>
    <n v="0.1575"/>
    <m/>
    <m/>
    <m/>
    <m/>
    <m/>
    <m/>
    <m/>
    <n v="7222776"/>
    <m/>
  </r>
  <r>
    <x v="0"/>
    <n v="2024"/>
    <x v="3"/>
    <s v="SMP1"/>
    <x v="8"/>
    <s v="School feeding"/>
    <m/>
    <m/>
    <s v="Ambovombe"/>
    <x v="0"/>
    <s v="Taolagnaro"/>
    <s v="Androy"/>
    <x v="1"/>
    <m/>
    <s v="ANALAMARY"/>
    <s v="ANKILISANA"/>
    <m/>
    <m/>
    <n v="227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BEVOALAVO"/>
    <m/>
    <m/>
    <n v="320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EPP MAHATOMOTSY"/>
    <m/>
    <m/>
    <n v="277"/>
    <m/>
    <x v="3"/>
    <s v="HGSF"/>
    <m/>
    <n v="1.9"/>
    <m/>
    <m/>
    <m/>
    <n v="0.1"/>
    <n v="0.13500000000000001"/>
    <m/>
    <m/>
    <m/>
    <m/>
    <m/>
    <m/>
    <m/>
    <n v="6118376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TATY"/>
    <m/>
    <m/>
    <n v="440"/>
    <m/>
    <x v="1"/>
    <s v="classique"/>
    <m/>
    <n v="3"/>
    <m/>
    <m/>
    <m/>
    <n v="0.65"/>
    <n v="0.21149999999999999"/>
    <m/>
    <m/>
    <m/>
    <m/>
    <m/>
    <m/>
    <n v="3.8614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MIARINTSOA"/>
    <m/>
    <m/>
    <n v="344"/>
    <m/>
    <x v="1"/>
    <s v="classique"/>
    <m/>
    <n v="2.35"/>
    <m/>
    <m/>
    <m/>
    <n v="0.5"/>
    <n v="0.16650000000000001"/>
    <m/>
    <m/>
    <m/>
    <m/>
    <m/>
    <m/>
    <n v="3.0165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ANKARAMENA"/>
    <m/>
    <m/>
    <n v="215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EPP ANTANAMIARE ANKILITELO"/>
    <m/>
    <m/>
    <n v="167"/>
    <m/>
    <x v="3"/>
    <s v="HGSF"/>
    <m/>
    <n v="1.3"/>
    <m/>
    <m/>
    <m/>
    <n v="0.1"/>
    <n v="0.09"/>
    <m/>
    <m/>
    <m/>
    <m/>
    <m/>
    <m/>
    <m/>
    <n v="3688696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ANTRANOTSIEFA"/>
    <m/>
    <m/>
    <n v="26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TANANDAVA MATOMBOLY"/>
    <m/>
    <m/>
    <n v="287"/>
    <m/>
    <x v="1"/>
    <s v="classique"/>
    <m/>
    <n v="1.95"/>
    <m/>
    <m/>
    <m/>
    <n v="0.4"/>
    <n v="0.13950000000000001"/>
    <m/>
    <m/>
    <m/>
    <m/>
    <m/>
    <m/>
    <n v="2.489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AMPAMOLORA"/>
    <m/>
    <m/>
    <n v="226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ANDOHALAMBO"/>
    <m/>
    <m/>
    <n v="273"/>
    <m/>
    <x v="1"/>
    <s v="classique"/>
    <m/>
    <n v="1.85"/>
    <m/>
    <m/>
    <m/>
    <n v="0.4"/>
    <n v="0.13500000000000001"/>
    <m/>
    <m/>
    <m/>
    <m/>
    <m/>
    <m/>
    <n v="2.384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EPP ANKILEROE MAROLAVA"/>
    <m/>
    <m/>
    <n v="164"/>
    <m/>
    <x v="3"/>
    <s v="HGSF"/>
    <m/>
    <n v="1.25"/>
    <m/>
    <m/>
    <m/>
    <n v="0.1"/>
    <n v="0.09"/>
    <m/>
    <m/>
    <m/>
    <m/>
    <m/>
    <m/>
    <m/>
    <n v="3622432"/>
    <m/>
  </r>
  <r>
    <x v="0"/>
    <n v="2024"/>
    <x v="3"/>
    <s v="SMP1"/>
    <x v="8"/>
    <s v="School feeding"/>
    <m/>
    <m/>
    <s v="Ambovombe"/>
    <x v="0"/>
    <s v="Taolagnaro"/>
    <s v="Androy"/>
    <x v="1"/>
    <m/>
    <s v="AMBOHIMALAZA"/>
    <s v="EPP ANDOHATRAGNO MAHAVONJY"/>
    <m/>
    <m/>
    <n v="246"/>
    <m/>
    <x v="3"/>
    <s v="HGSF"/>
    <m/>
    <n v="1.65"/>
    <m/>
    <m/>
    <m/>
    <n v="0.1"/>
    <n v="0.1215"/>
    <m/>
    <m/>
    <m/>
    <m/>
    <m/>
    <m/>
    <m/>
    <n v="5433648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AMBOKOKE"/>
    <m/>
    <m/>
    <n v="161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AMBONAIVO"/>
    <m/>
    <m/>
    <n v="639"/>
    <m/>
    <x v="1"/>
    <s v="classique"/>
    <m/>
    <n v="4.3"/>
    <m/>
    <m/>
    <m/>
    <n v="0.9"/>
    <n v="0.3105"/>
    <m/>
    <m/>
    <m/>
    <m/>
    <m/>
    <m/>
    <n v="5.5105000000000004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BELALITSE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MAROMAINTY"/>
    <m/>
    <m/>
    <n v="241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NANDROSOA"/>
    <m/>
    <m/>
    <n v="156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AIVO"/>
    <s v="EPP BEANGEA"/>
    <m/>
    <m/>
    <n v="182"/>
    <m/>
    <x v="3"/>
    <s v="HGSF"/>
    <m/>
    <n v="1.4"/>
    <m/>
    <m/>
    <m/>
    <n v="0.1"/>
    <n v="9.9000000000000005E-2"/>
    <m/>
    <m/>
    <m/>
    <m/>
    <m/>
    <m/>
    <m/>
    <n v="4020016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EPP AMPASEMAHASOA"/>
    <m/>
    <m/>
    <n v="420"/>
    <m/>
    <x v="3"/>
    <s v="HGSF"/>
    <m/>
    <n v="2.85"/>
    <m/>
    <m/>
    <m/>
    <n v="0.15"/>
    <n v="0.20699999999999999"/>
    <m/>
    <m/>
    <m/>
    <m/>
    <m/>
    <m/>
    <m/>
    <n v="927696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EPP AMBONDRO ANATIROVA"/>
    <m/>
    <m/>
    <n v="727"/>
    <m/>
    <x v="3"/>
    <s v="HGSF"/>
    <m/>
    <n v="4.9000000000000004"/>
    <m/>
    <m/>
    <m/>
    <n v="0.25"/>
    <n v="0.35099999999999998"/>
    <m/>
    <m/>
    <m/>
    <m/>
    <m/>
    <m/>
    <m/>
    <n v="16057976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ANDASARY"/>
    <m/>
    <m/>
    <n v="250"/>
    <m/>
    <x v="1"/>
    <s v="classique"/>
    <m/>
    <n v="1.7"/>
    <m/>
    <m/>
    <m/>
    <n v="0.35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EPP ANKAZOABO II"/>
    <m/>
    <m/>
    <n v="304"/>
    <m/>
    <x v="3"/>
    <s v="HGSF"/>
    <m/>
    <n v="2.0499999999999998"/>
    <m/>
    <m/>
    <m/>
    <n v="0.15"/>
    <n v="0.14849999999999999"/>
    <m/>
    <m/>
    <m/>
    <m/>
    <m/>
    <m/>
    <m/>
    <n v="6714752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ANTSOTRY FALIAKONDRO"/>
    <m/>
    <m/>
    <n v="215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LAMITIHY BELANKY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LAMITIHY SUD"/>
    <m/>
    <m/>
    <n v="453"/>
    <m/>
    <x v="1"/>
    <s v="classique"/>
    <m/>
    <n v="3.05"/>
    <m/>
    <m/>
    <m/>
    <n v="0.65"/>
    <n v="0.2205"/>
    <m/>
    <m/>
    <m/>
    <m/>
    <m/>
    <m/>
    <n v="3.920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EPP MONTIFENO"/>
    <m/>
    <m/>
    <n v="355"/>
    <m/>
    <x v="3"/>
    <s v="HGSF"/>
    <m/>
    <n v="2.4500000000000002"/>
    <m/>
    <m/>
    <m/>
    <n v="0.15"/>
    <n v="0.17100000000000001"/>
    <m/>
    <m/>
    <m/>
    <m/>
    <m/>
    <m/>
    <m/>
    <n v="784124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TSIMANANKIARAKY"/>
    <m/>
    <m/>
    <n v="421"/>
    <m/>
    <x v="1"/>
    <s v="classique"/>
    <m/>
    <n v="2.85"/>
    <m/>
    <m/>
    <m/>
    <n v="0.6"/>
    <n v="0.20699999999999999"/>
    <m/>
    <m/>
    <m/>
    <m/>
    <m/>
    <m/>
    <n v="3.65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VAZOA"/>
    <m/>
    <m/>
    <n v="227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BELAY MAROLAVA"/>
    <m/>
    <m/>
    <n v="192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EPP IMONGY AMPIHAMY"/>
    <m/>
    <m/>
    <n v="298"/>
    <m/>
    <x v="3"/>
    <s v="HGSF"/>
    <m/>
    <n v="2.0499999999999998"/>
    <m/>
    <m/>
    <m/>
    <n v="0.1"/>
    <n v="0.14399999999999999"/>
    <m/>
    <m/>
    <m/>
    <m/>
    <m/>
    <m/>
    <m/>
    <n v="6582224"/>
    <m/>
  </r>
  <r>
    <x v="0"/>
    <n v="2024"/>
    <x v="3"/>
    <s v="SMP1"/>
    <x v="8"/>
    <s v="School feeding"/>
    <m/>
    <m/>
    <s v="Ambovombe"/>
    <x v="0"/>
    <s v="Taolagnaro"/>
    <s v="Androy"/>
    <x v="1"/>
    <m/>
    <s v="AMBONDRO"/>
    <s v="LAMITIHY BELAZA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AMBAZOAMIRAFY"/>
    <m/>
    <m/>
    <n v="221"/>
    <m/>
    <x v="3"/>
    <s v="HGSF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AMBOASARY II"/>
    <m/>
    <m/>
    <n v="442"/>
    <m/>
    <x v="3"/>
    <s v="HGSF"/>
    <m/>
    <n v="3"/>
    <m/>
    <m/>
    <m/>
    <n v="0.15"/>
    <n v="0.216"/>
    <m/>
    <m/>
    <m/>
    <m/>
    <m/>
    <m/>
    <m/>
    <n v="9762896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AMBOLOMAREAGNE"/>
    <m/>
    <m/>
    <n v="451"/>
    <m/>
    <x v="3"/>
    <s v="HGSF"/>
    <m/>
    <n v="3.05"/>
    <m/>
    <m/>
    <m/>
    <n v="0.15"/>
    <n v="0.216"/>
    <m/>
    <m/>
    <m/>
    <m/>
    <m/>
    <m/>
    <m/>
    <n v="9961688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ANKARAMENA"/>
    <m/>
    <m/>
    <n v="382"/>
    <m/>
    <x v="3"/>
    <s v="HGSF"/>
    <m/>
    <n v="2.6"/>
    <m/>
    <m/>
    <m/>
    <n v="0.15"/>
    <n v="0.1845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ANKILIMAFAITSE"/>
    <m/>
    <m/>
    <n v="927"/>
    <m/>
    <x v="1"/>
    <s v="classique"/>
    <m/>
    <n v="5.25"/>
    <m/>
    <m/>
    <m/>
    <n v="1.35"/>
    <n v="0.45"/>
    <m/>
    <m/>
    <m/>
    <m/>
    <m/>
    <m/>
    <n v="7.0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ANTETEBEY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ANTSATRAHAMASY"/>
    <m/>
    <m/>
    <n v="276"/>
    <m/>
    <x v="3"/>
    <s v="HGSF"/>
    <m/>
    <n v="1.9"/>
    <m/>
    <m/>
    <m/>
    <n v="0.1"/>
    <n v="0.13500000000000001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ANTSEKY NORD"/>
    <m/>
    <m/>
    <n v="302"/>
    <m/>
    <x v="1"/>
    <s v="classique"/>
    <m/>
    <n v="2.0499999999999998"/>
    <m/>
    <m/>
    <m/>
    <n v="0.45"/>
    <n v="0.14849999999999999"/>
    <m/>
    <m/>
    <m/>
    <m/>
    <m/>
    <m/>
    <n v="2.6484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BEVATO"/>
    <m/>
    <m/>
    <n v="477"/>
    <m/>
    <x v="3"/>
    <s v="HGSF"/>
    <m/>
    <n v="3.25"/>
    <m/>
    <m/>
    <m/>
    <n v="0.2"/>
    <n v="0.23400000000000001"/>
    <m/>
    <m/>
    <m/>
    <m/>
    <m/>
    <m/>
    <m/>
    <n v="10535976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ESANTA"/>
    <m/>
    <m/>
    <n v="608"/>
    <m/>
    <x v="3"/>
    <s v="HGSF"/>
    <m/>
    <n v="4.0999999999999996"/>
    <m/>
    <m/>
    <m/>
    <n v="0.25"/>
    <n v="0.29249999999999998"/>
    <m/>
    <m/>
    <m/>
    <m/>
    <m/>
    <m/>
    <m/>
    <n v="13429504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MAROMALAY"/>
    <m/>
    <m/>
    <n v="392"/>
    <m/>
    <x v="3"/>
    <s v="HGSF"/>
    <m/>
    <n v="2.65"/>
    <m/>
    <m/>
    <m/>
    <n v="0.15"/>
    <n v="0.19350000000000001"/>
    <m/>
    <m/>
    <m/>
    <m/>
    <m/>
    <m/>
    <m/>
    <n v="8658496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MITSANGANA"/>
    <m/>
    <m/>
    <n v="624"/>
    <m/>
    <x v="1"/>
    <s v="classique"/>
    <m/>
    <n v="4.25"/>
    <m/>
    <m/>
    <m/>
    <n v="1.05"/>
    <n v="0.30149999999999999"/>
    <m/>
    <m/>
    <m/>
    <m/>
    <m/>
    <m/>
    <n v="5.601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SEVOHIPOTY"/>
    <m/>
    <m/>
    <n v="613"/>
    <m/>
    <x v="3"/>
    <s v="HGSF"/>
    <m/>
    <n v="4.7"/>
    <m/>
    <m/>
    <m/>
    <n v="0.25"/>
    <n v="0.33750000000000002"/>
    <m/>
    <m/>
    <m/>
    <m/>
    <m/>
    <m/>
    <m/>
    <n v="13539944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TALAKY"/>
    <m/>
    <m/>
    <n v="551"/>
    <m/>
    <x v="3"/>
    <s v="HGSF"/>
    <m/>
    <n v="3.7"/>
    <m/>
    <m/>
    <m/>
    <n v="0.2"/>
    <n v="0.26550000000000001"/>
    <m/>
    <m/>
    <m/>
    <m/>
    <m/>
    <m/>
    <m/>
    <n v="12170488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ANTANAMBAO"/>
    <m/>
    <m/>
    <n v="948"/>
    <m/>
    <x v="1"/>
    <s v="classique"/>
    <m/>
    <n v="6.3"/>
    <m/>
    <m/>
    <m/>
    <n v="1.35"/>
    <n v="0.45900000000000002"/>
    <m/>
    <m/>
    <m/>
    <m/>
    <m/>
    <m/>
    <n v="8.10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TSEREDREO"/>
    <m/>
    <m/>
    <n v="210"/>
    <m/>
    <x v="3"/>
    <s v="HGSF"/>
    <m/>
    <n v="1.6"/>
    <m/>
    <m/>
    <m/>
    <n v="0.1"/>
    <n v="0.11700000000000001"/>
    <m/>
    <m/>
    <m/>
    <m/>
    <m/>
    <m/>
    <m/>
    <n v="463848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BEABO"/>
    <m/>
    <m/>
    <n v="721"/>
    <m/>
    <x v="3"/>
    <s v="HGSF"/>
    <m/>
    <n v="4.9000000000000004"/>
    <m/>
    <m/>
    <m/>
    <n v="0.25"/>
    <n v="0.34649999999999997"/>
    <m/>
    <m/>
    <m/>
    <m/>
    <m/>
    <m/>
    <m/>
    <n v="15925448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EPP LAVANDRANDRA"/>
    <m/>
    <m/>
    <n v="359"/>
    <m/>
    <x v="3"/>
    <s v="HGSF"/>
    <m/>
    <n v="2.4"/>
    <m/>
    <m/>
    <m/>
    <n v="0.15"/>
    <n v="0.17549999999999999"/>
    <m/>
    <m/>
    <m/>
    <m/>
    <m/>
    <m/>
    <m/>
    <n v="7929592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BEANIKEI"/>
    <m/>
    <m/>
    <n v="276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EPP TSINGIVILAHY"/>
    <m/>
    <m/>
    <n v="239"/>
    <m/>
    <x v="3"/>
    <s v="HGSF"/>
    <m/>
    <n v="1.65"/>
    <m/>
    <m/>
    <m/>
    <n v="0.1"/>
    <n v="0.11700000000000001"/>
    <m/>
    <m/>
    <m/>
    <m/>
    <m/>
    <m/>
    <m/>
    <n v="5279032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I"/>
    <s v="ANKAZOABO"/>
    <m/>
    <m/>
    <n v="382"/>
    <m/>
    <x v="1"/>
    <s v="classique"/>
    <m/>
    <n v="2.6"/>
    <m/>
    <m/>
    <m/>
    <n v="0.55000000000000004"/>
    <n v="0.1845"/>
    <m/>
    <m/>
    <m/>
    <m/>
    <m/>
    <m/>
    <n v="3.3345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MBOVOMBE I"/>
    <s v="TOBY MAHAVELO"/>
    <m/>
    <m/>
    <n v="974"/>
    <m/>
    <x v="3"/>
    <s v="HGSF"/>
    <m/>
    <n v="6.55"/>
    <m/>
    <m/>
    <m/>
    <n v="0.35"/>
    <n v="0.46800000000000003"/>
    <m/>
    <m/>
    <m/>
    <m/>
    <m/>
    <m/>
    <m/>
    <n v="21513712"/>
    <m/>
  </r>
  <r>
    <x v="0"/>
    <n v="2024"/>
    <x v="3"/>
    <s v="SMP1"/>
    <x v="8"/>
    <s v="School feeding"/>
    <m/>
    <m/>
    <s v="Ambovombe"/>
    <x v="0"/>
    <s v="Taolagnaro"/>
    <s v="Androy"/>
    <x v="1"/>
    <m/>
    <s v="AMPAMATA"/>
    <s v="EPP AMPAMATA CENTRE"/>
    <m/>
    <m/>
    <n v="511"/>
    <m/>
    <x v="3"/>
    <s v="HGSF"/>
    <m/>
    <n v="3.45"/>
    <m/>
    <m/>
    <m/>
    <n v="0.2"/>
    <n v="0.2475"/>
    <m/>
    <m/>
    <m/>
    <m/>
    <m/>
    <m/>
    <m/>
    <n v="11286968"/>
    <m/>
  </r>
  <r>
    <x v="0"/>
    <n v="2024"/>
    <x v="3"/>
    <s v="SMP1"/>
    <x v="8"/>
    <s v="School feeding"/>
    <m/>
    <m/>
    <s v="Ambovombe"/>
    <x v="0"/>
    <s v="Taolagnaro"/>
    <s v="Androy"/>
    <x v="1"/>
    <m/>
    <s v="AMPAMATA"/>
    <s v="EPP AMPANAPERANDROTSY I"/>
    <m/>
    <m/>
    <n v="382"/>
    <m/>
    <x v="3"/>
    <s v="HGSF"/>
    <m/>
    <n v="2.6"/>
    <m/>
    <m/>
    <m/>
    <n v="0.15"/>
    <n v="0.1845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x v="1"/>
    <m/>
    <s v="AMPAMATA"/>
    <s v="EPP ANKALIRANO/BESATRA"/>
    <m/>
    <m/>
    <n v="133"/>
    <m/>
    <x v="3"/>
    <s v="HGSF"/>
    <m/>
    <n v="1"/>
    <m/>
    <m/>
    <m/>
    <n v="0.05"/>
    <n v="7.1999999999999995E-2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x v="1"/>
    <m/>
    <s v="AMPAMATA"/>
    <s v="EPP BESATRA SOARANO"/>
    <m/>
    <m/>
    <n v="256"/>
    <m/>
    <x v="3"/>
    <s v="HGSF"/>
    <m/>
    <n v="1.75"/>
    <m/>
    <m/>
    <m/>
    <n v="0.1"/>
    <n v="0.126"/>
    <m/>
    <m/>
    <m/>
    <m/>
    <m/>
    <m/>
    <m/>
    <n v="5654528"/>
    <m/>
  </r>
  <r>
    <x v="0"/>
    <n v="2024"/>
    <x v="3"/>
    <s v="SMP1"/>
    <x v="8"/>
    <s v="School feeding"/>
    <m/>
    <m/>
    <s v="Ambovombe"/>
    <x v="0"/>
    <s v="Taolagnaro"/>
    <s v="Androy"/>
    <x v="1"/>
    <m/>
    <s v="AMPAMATA"/>
    <s v="EPP TAFIANAMPELA"/>
    <m/>
    <m/>
    <n v="138"/>
    <m/>
    <x v="3"/>
    <s v="HGSF"/>
    <m/>
    <n v="1.05"/>
    <m/>
    <m/>
    <m/>
    <n v="0.05"/>
    <n v="7.6499999999999999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EPP AMBONDROMBE"/>
    <m/>
    <m/>
    <n v="346"/>
    <m/>
    <x v="3"/>
    <s v="HGSF"/>
    <m/>
    <n v="2.35"/>
    <m/>
    <m/>
    <m/>
    <n v="0.15"/>
    <n v="0.17100000000000001"/>
    <m/>
    <m/>
    <m/>
    <m/>
    <m/>
    <m/>
    <m/>
    <n v="7642448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ANDALATANOSY"/>
    <m/>
    <m/>
    <n v="607"/>
    <m/>
    <x v="3"/>
    <s v="HGSF"/>
    <m/>
    <n v="4.0999999999999996"/>
    <m/>
    <m/>
    <m/>
    <n v="0.25"/>
    <n v="0.29249999999999998"/>
    <m/>
    <m/>
    <m/>
    <m/>
    <m/>
    <m/>
    <m/>
    <n v="13407416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ANDRAMBAROTRA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BEHENA HAUT"/>
    <m/>
    <m/>
    <n v="354"/>
    <m/>
    <x v="1"/>
    <s v="classique"/>
    <m/>
    <n v="2.4"/>
    <m/>
    <m/>
    <m/>
    <n v="0.5"/>
    <n v="0.17100000000000001"/>
    <m/>
    <m/>
    <m/>
    <m/>
    <m/>
    <m/>
    <n v="3.0709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BEKOPIKE NORD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BEKOPIKE SUD"/>
    <m/>
    <m/>
    <n v="274"/>
    <m/>
    <x v="1"/>
    <s v="classique"/>
    <m/>
    <n v="1.85"/>
    <m/>
    <m/>
    <m/>
    <n v="0.4"/>
    <n v="0.13500000000000001"/>
    <m/>
    <m/>
    <m/>
    <m/>
    <m/>
    <m/>
    <n v="2.384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ECOLE COMMUNAUTAIRE ANDEMBY"/>
    <m/>
    <m/>
    <n v="234"/>
    <m/>
    <x v="3"/>
    <s v="HGSF"/>
    <m/>
    <n v="1.2"/>
    <m/>
    <m/>
    <m/>
    <n v="0.05"/>
    <n v="0.10349999999999999"/>
    <m/>
    <m/>
    <m/>
    <m/>
    <m/>
    <m/>
    <m/>
    <n v="5168592"/>
    <m/>
  </r>
  <r>
    <x v="0"/>
    <n v="2024"/>
    <x v="3"/>
    <s v="SMP1"/>
    <x v="8"/>
    <s v="School feeding"/>
    <m/>
    <m/>
    <s v="Ambovombe"/>
    <x v="0"/>
    <s v="Taolagnaro"/>
    <s v="Androy"/>
    <x v="1"/>
    <m/>
    <s v="ANDALATANOSY"/>
    <s v="EPP ANDROHONDROHO"/>
    <m/>
    <m/>
    <n v="194"/>
    <m/>
    <x v="3"/>
    <s v="HGSF"/>
    <m/>
    <n v="1.5"/>
    <m/>
    <m/>
    <m/>
    <n v="0.1"/>
    <n v="0.108"/>
    <m/>
    <m/>
    <m/>
    <m/>
    <m/>
    <m/>
    <m/>
    <n v="4285072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ANJEKY AMBOROKE"/>
    <m/>
    <m/>
    <n v="503"/>
    <m/>
    <x v="1"/>
    <s v="classique"/>
    <m/>
    <n v="3.4"/>
    <m/>
    <m/>
    <m/>
    <n v="0.75"/>
    <n v="0.24299999999999999"/>
    <m/>
    <m/>
    <m/>
    <m/>
    <m/>
    <m/>
    <n v="4.393000000000000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EPP ANJEKY ENIKONTY"/>
    <m/>
    <m/>
    <n v="500"/>
    <m/>
    <x v="3"/>
    <s v="HGSF"/>
    <m/>
    <n v="3.4"/>
    <m/>
    <m/>
    <m/>
    <n v="0.2"/>
    <n v="0.24299999999999999"/>
    <m/>
    <m/>
    <m/>
    <m/>
    <m/>
    <m/>
    <m/>
    <n v="11044000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ANJEKY ERADA"/>
    <m/>
    <m/>
    <n v="545"/>
    <m/>
    <x v="1"/>
    <s v="classique"/>
    <m/>
    <n v="3.7"/>
    <m/>
    <m/>
    <m/>
    <n v="0.8"/>
    <n v="0.26550000000000001"/>
    <m/>
    <m/>
    <m/>
    <m/>
    <m/>
    <m/>
    <n v="4.765500000000000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ANKILIKIRA"/>
    <m/>
    <m/>
    <n v="662"/>
    <m/>
    <x v="1"/>
    <s v="classique"/>
    <m/>
    <n v="4.45"/>
    <m/>
    <m/>
    <m/>
    <n v="0.95"/>
    <n v="0.31950000000000001"/>
    <m/>
    <m/>
    <m/>
    <m/>
    <m/>
    <m/>
    <n v="5.719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BEANANTARA"/>
    <m/>
    <m/>
    <n v="724"/>
    <m/>
    <x v="3"/>
    <s v="HGSF"/>
    <m/>
    <n v="4.9000000000000004"/>
    <m/>
    <m/>
    <m/>
    <n v="0.25"/>
    <n v="0.35099999999999998"/>
    <m/>
    <m/>
    <m/>
    <m/>
    <m/>
    <m/>
    <m/>
    <n v="15991712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EPP MAROFOTY AVARADROVA"/>
    <m/>
    <m/>
    <n v="491"/>
    <m/>
    <x v="3"/>
    <s v="HGSF"/>
    <m/>
    <n v="3.35"/>
    <m/>
    <m/>
    <m/>
    <n v="0.2"/>
    <n v="0.23849999999999999"/>
    <m/>
    <m/>
    <m/>
    <m/>
    <m/>
    <m/>
    <m/>
    <n v="10845208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MAROHO CENTRE"/>
    <m/>
    <m/>
    <n v="558"/>
    <m/>
    <x v="1"/>
    <s v="classique"/>
    <m/>
    <n v="3.8"/>
    <m/>
    <m/>
    <m/>
    <n v="0.8"/>
    <n v="0.27"/>
    <m/>
    <m/>
    <m/>
    <m/>
    <m/>
    <m/>
    <n v="4.869999999999999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EPP ANJEKY BEIEVOTSE"/>
    <m/>
    <m/>
    <n v="429"/>
    <m/>
    <x v="3"/>
    <s v="HGSF"/>
    <m/>
    <n v="2.9"/>
    <m/>
    <m/>
    <m/>
    <n v="0.15"/>
    <n v="0.20699999999999999"/>
    <m/>
    <m/>
    <m/>
    <m/>
    <m/>
    <m/>
    <m/>
    <n v="9475752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EPP EDABA TANANTSOA"/>
    <m/>
    <m/>
    <n v="558"/>
    <m/>
    <x v="3"/>
    <s v="HGSF"/>
    <m/>
    <n v="3.8"/>
    <m/>
    <m/>
    <m/>
    <n v="0.2"/>
    <n v="0.27"/>
    <m/>
    <m/>
    <m/>
    <m/>
    <m/>
    <m/>
    <m/>
    <n v="12325104"/>
    <m/>
  </r>
  <r>
    <x v="0"/>
    <n v="2024"/>
    <x v="3"/>
    <s v="SMP1"/>
    <x v="8"/>
    <s v="School feeding"/>
    <m/>
    <m/>
    <s v="Ambovombe"/>
    <x v="0"/>
    <s v="Taolagnaro"/>
    <s v="Androy"/>
    <x v="1"/>
    <m/>
    <s v="BEANANTARA"/>
    <s v="EPP TSIMIHEVO"/>
    <m/>
    <m/>
    <n v="398"/>
    <m/>
    <x v="3"/>
    <s v="HGSF"/>
    <m/>
    <n v="2.7"/>
    <m/>
    <m/>
    <m/>
    <n v="0.15"/>
    <n v="0.19350000000000001"/>
    <m/>
    <m/>
    <m/>
    <m/>
    <m/>
    <m/>
    <m/>
    <n v="8791024"/>
    <m/>
  </r>
  <r>
    <x v="0"/>
    <n v="2024"/>
    <x v="3"/>
    <s v="SMP1"/>
    <x v="8"/>
    <s v="School feeding"/>
    <m/>
    <m/>
    <s v="Ambovombe"/>
    <x v="0"/>
    <s v="Taolagnaro"/>
    <s v="Androy"/>
    <x v="1"/>
    <m/>
    <s v="ANTANIMORA-OUEST"/>
    <s v="ANDABOLY ANTANIMORA SUD"/>
    <m/>
    <m/>
    <n v="754"/>
    <m/>
    <x v="3"/>
    <s v="HGSF"/>
    <m/>
    <n v="5.0999999999999996"/>
    <m/>
    <m/>
    <m/>
    <n v="0.25"/>
    <n v="0.36449999999999999"/>
    <m/>
    <m/>
    <m/>
    <m/>
    <m/>
    <m/>
    <m/>
    <n v="16654352"/>
    <m/>
  </r>
  <r>
    <x v="0"/>
    <n v="2024"/>
    <x v="3"/>
    <s v="SMP1"/>
    <x v="8"/>
    <s v="School feeding"/>
    <m/>
    <m/>
    <s v="Ambovombe"/>
    <x v="0"/>
    <s v="Taolagnaro"/>
    <s v="Androy"/>
    <x v="1"/>
    <m/>
    <s v="ANTANIMORA EST"/>
    <s v="EPP ANKILIFALY"/>
    <m/>
    <m/>
    <n v="267"/>
    <m/>
    <x v="3"/>
    <s v="HGSF"/>
    <m/>
    <n v="1.85"/>
    <m/>
    <m/>
    <m/>
    <n v="0.1"/>
    <n v="0.1305"/>
    <m/>
    <m/>
    <m/>
    <m/>
    <m/>
    <m/>
    <m/>
    <n v="5897496"/>
    <m/>
  </r>
  <r>
    <x v="0"/>
    <n v="2024"/>
    <x v="3"/>
    <s v="SMP1"/>
    <x v="8"/>
    <s v="School feeding"/>
    <m/>
    <m/>
    <s v="Ambovombe"/>
    <x v="0"/>
    <s v="Taolagnaro"/>
    <s v="Androy"/>
    <x v="1"/>
    <m/>
    <s v="ANDOHARANO"/>
    <s v="ANKILEMASY TEDO TSIMIALONJAFY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OHARANO"/>
    <s v="ANKILIMILOPAKE"/>
    <m/>
    <m/>
    <n v="411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TANIMORA OUEST"/>
    <s v="EPP ANTANIMORA CENTRE"/>
    <m/>
    <m/>
    <n v="1001"/>
    <m/>
    <x v="3"/>
    <s v="HGSF"/>
    <m/>
    <n v="7.45"/>
    <m/>
    <m/>
    <m/>
    <n v="0.35"/>
    <n v="0.54900000000000004"/>
    <m/>
    <m/>
    <m/>
    <m/>
    <m/>
    <m/>
    <m/>
    <n v="22110088"/>
    <m/>
  </r>
  <r>
    <x v="0"/>
    <n v="2024"/>
    <x v="3"/>
    <s v="SMP1"/>
    <x v="8"/>
    <s v="School feeding"/>
    <m/>
    <m/>
    <s v="Ambovombe"/>
    <x v="0"/>
    <s v="Taolagnaro"/>
    <s v="Androy"/>
    <x v="1"/>
    <m/>
    <s v="ANTANIMORA EST"/>
    <s v="EPP MANAVY"/>
    <m/>
    <m/>
    <n v="234"/>
    <m/>
    <x v="3"/>
    <s v="HGSF"/>
    <m/>
    <n v="1.8"/>
    <m/>
    <m/>
    <m/>
    <n v="0.1"/>
    <n v="0.1305"/>
    <m/>
    <m/>
    <m/>
    <m/>
    <m/>
    <m/>
    <m/>
    <n v="5168592"/>
    <m/>
  </r>
  <r>
    <x v="0"/>
    <n v="2024"/>
    <x v="3"/>
    <s v="SMP1"/>
    <x v="8"/>
    <s v="School feeding"/>
    <m/>
    <m/>
    <s v="Ambovombe"/>
    <x v="0"/>
    <s v="Taolagnaro"/>
    <s v="Androy"/>
    <x v="1"/>
    <m/>
    <s v="ANDOHARANO"/>
    <s v="AMBINANY I"/>
    <m/>
    <m/>
    <n v="255"/>
    <m/>
    <x v="3"/>
    <s v="HGSF"/>
    <m/>
    <n v="1.75"/>
    <m/>
    <m/>
    <m/>
    <n v="0.1"/>
    <n v="0.1215"/>
    <m/>
    <m/>
    <m/>
    <m/>
    <m/>
    <m/>
    <m/>
    <n v="5632440"/>
    <m/>
  </r>
  <r>
    <x v="0"/>
    <n v="2024"/>
    <x v="3"/>
    <s v="SMP1"/>
    <x v="8"/>
    <s v="School feeding"/>
    <m/>
    <m/>
    <s v="Ambovombe"/>
    <x v="0"/>
    <s v="Taolagnaro"/>
    <s v="Androy"/>
    <x v="1"/>
    <m/>
    <s v="ANTANIMORA EST"/>
    <s v="EPP BEMAMBA AMPOZY"/>
    <m/>
    <m/>
    <n v="190"/>
    <m/>
    <x v="3"/>
    <s v="HGSF"/>
    <m/>
    <n v="1.45"/>
    <m/>
    <m/>
    <m/>
    <n v="0.1"/>
    <n v="0.10349999999999999"/>
    <m/>
    <m/>
    <m/>
    <m/>
    <m/>
    <m/>
    <m/>
    <n v="4196720"/>
    <m/>
  </r>
  <r>
    <x v="0"/>
    <n v="2024"/>
    <x v="3"/>
    <s v="SMP1"/>
    <x v="8"/>
    <s v="School feeding"/>
    <m/>
    <m/>
    <s v="Ambovombe"/>
    <x v="0"/>
    <s v="Taolagnaro"/>
    <s v="Androy"/>
    <x v="1"/>
    <m/>
    <s v="ANTANIMORA EST"/>
    <s v="EPP AMPOZY ANKARAMANOY"/>
    <m/>
    <m/>
    <n v="191"/>
    <m/>
    <x v="3"/>
    <s v="HGSF"/>
    <m/>
    <n v="1.45"/>
    <m/>
    <m/>
    <m/>
    <n v="0.1"/>
    <n v="0.10349999999999999"/>
    <m/>
    <m/>
    <m/>
    <m/>
    <m/>
    <m/>
    <m/>
    <n v="4218808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AMBANIKILY NORD"/>
    <m/>
    <m/>
    <n v="212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AMBORY I"/>
    <m/>
    <m/>
    <n v="737"/>
    <m/>
    <x v="1"/>
    <s v="classique"/>
    <m/>
    <n v="4.95"/>
    <m/>
    <m/>
    <m/>
    <n v="1.05"/>
    <n v="0.35549999999999998"/>
    <m/>
    <m/>
    <m/>
    <m/>
    <m/>
    <m/>
    <n v="6.3555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ANKARAGNABO"/>
    <m/>
    <m/>
    <n v="490"/>
    <m/>
    <x v="1"/>
    <s v="classique"/>
    <m/>
    <n v="3.35"/>
    <m/>
    <m/>
    <m/>
    <n v="0.7"/>
    <n v="0.23849999999999999"/>
    <m/>
    <m/>
    <m/>
    <m/>
    <m/>
    <m/>
    <n v="4.288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BELITSAKY"/>
    <m/>
    <m/>
    <n v="411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ERADA"/>
    <m/>
    <m/>
    <n v="712"/>
    <m/>
    <x v="1"/>
    <s v="classique"/>
    <m/>
    <n v="4.8"/>
    <m/>
    <m/>
    <m/>
    <n v="1.05"/>
    <n v="0.34649999999999997"/>
    <m/>
    <m/>
    <m/>
    <m/>
    <m/>
    <m/>
    <n v="6.196499999999999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MITREAKY"/>
    <m/>
    <m/>
    <n v="291"/>
    <m/>
    <x v="1"/>
    <s v="classique"/>
    <m/>
    <n v="1.95"/>
    <m/>
    <m/>
    <m/>
    <n v="0.4"/>
    <n v="0.14399999999999999"/>
    <m/>
    <m/>
    <m/>
    <m/>
    <m/>
    <m/>
    <n v="2.494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NISOROGNA"/>
    <m/>
    <m/>
    <n v="280"/>
    <m/>
    <x v="1"/>
    <s v="classique"/>
    <m/>
    <n v="1.9"/>
    <m/>
    <m/>
    <m/>
    <n v="0"/>
    <n v="0.13950000000000001"/>
    <m/>
    <m/>
    <m/>
    <m/>
    <m/>
    <m/>
    <n v="2.0394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ERADA"/>
    <s v="HABOHABONORD"/>
    <m/>
    <m/>
    <n v="200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IMANOMBO"/>
    <s v="EPP BETSIRIRY"/>
    <m/>
    <m/>
    <s v=" -   "/>
    <m/>
    <x v="3"/>
    <s v="HGSF"/>
    <m/>
    <n v="0"/>
    <m/>
    <m/>
    <m/>
    <n v="0"/>
    <n v="0"/>
    <m/>
    <m/>
    <m/>
    <m/>
    <m/>
    <m/>
    <m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EPP ANKARANANIVO"/>
    <m/>
    <m/>
    <n v="312"/>
    <m/>
    <x v="3"/>
    <s v="HGSF"/>
    <m/>
    <n v="2.15"/>
    <m/>
    <m/>
    <m/>
    <n v="0.15"/>
    <n v="0.14849999999999999"/>
    <m/>
    <m/>
    <m/>
    <m/>
    <m/>
    <m/>
    <m/>
    <n v="6891456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ANKILIMIANDRA"/>
    <m/>
    <m/>
    <n v="249"/>
    <m/>
    <x v="3"/>
    <s v="HGSF"/>
    <m/>
    <n v="1.7"/>
    <m/>
    <m/>
    <m/>
    <n v="0.1"/>
    <n v="0.1215"/>
    <m/>
    <m/>
    <m/>
    <m/>
    <m/>
    <m/>
    <m/>
    <n v="5499912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EPP ANKILIMIARY"/>
    <m/>
    <m/>
    <n v="228"/>
    <m/>
    <x v="3"/>
    <s v="HGSF"/>
    <m/>
    <n v="1.55"/>
    <m/>
    <m/>
    <m/>
    <n v="0.1"/>
    <n v="0.1125"/>
    <m/>
    <m/>
    <m/>
    <m/>
    <m/>
    <m/>
    <m/>
    <n v="5036064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ANKOROKOROKE"/>
    <m/>
    <m/>
    <n v="183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ANKOTSOBE"/>
    <m/>
    <m/>
    <n v="480"/>
    <m/>
    <x v="1"/>
    <s v="classique"/>
    <m/>
    <n v="3.25"/>
    <m/>
    <m/>
    <m/>
    <n v="0.7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EPP BESAKOA BAS"/>
    <m/>
    <m/>
    <n v="423"/>
    <m/>
    <x v="3"/>
    <s v="HGSF"/>
    <m/>
    <n v="2.9"/>
    <m/>
    <m/>
    <m/>
    <n v="0.15"/>
    <n v="0.20250000000000001"/>
    <m/>
    <m/>
    <m/>
    <m/>
    <m/>
    <m/>
    <m/>
    <n v="9343224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JAFARO"/>
    <m/>
    <m/>
    <n v="483"/>
    <m/>
    <x v="3"/>
    <s v="HGSF"/>
    <m/>
    <n v="3.25"/>
    <m/>
    <m/>
    <m/>
    <n v="0.2"/>
    <n v="0.23400000000000001"/>
    <m/>
    <m/>
    <m/>
    <m/>
    <m/>
    <m/>
    <m/>
    <n v="10668504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TSIABETSAKA"/>
    <m/>
    <m/>
    <n v="256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EPP AMBATORATY"/>
    <m/>
    <m/>
    <n v="328"/>
    <m/>
    <x v="3"/>
    <s v="HGSF"/>
    <m/>
    <n v="2.2000000000000002"/>
    <m/>
    <m/>
    <m/>
    <n v="0.15"/>
    <n v="0.1575"/>
    <m/>
    <m/>
    <m/>
    <m/>
    <m/>
    <m/>
    <m/>
    <n v="7244864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EPP TSIMANARAKE"/>
    <m/>
    <m/>
    <n v="354"/>
    <m/>
    <x v="3"/>
    <s v="HGSF"/>
    <m/>
    <n v="2.4"/>
    <m/>
    <m/>
    <m/>
    <n v="0.15"/>
    <n v="0.17100000000000001"/>
    <m/>
    <m/>
    <m/>
    <m/>
    <m/>
    <m/>
    <m/>
    <n v="7819152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ANKARANANDINDO"/>
    <m/>
    <m/>
    <n v="262"/>
    <m/>
    <x v="3"/>
    <s v="HGSF"/>
    <m/>
    <n v="1.8"/>
    <m/>
    <m/>
    <m/>
    <n v="0.1"/>
    <n v="0.1305"/>
    <m/>
    <m/>
    <m/>
    <m/>
    <m/>
    <m/>
    <m/>
    <n v="5787056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LAGNANE"/>
    <m/>
    <m/>
    <n v="313"/>
    <m/>
    <x v="3"/>
    <s v="HGSF"/>
    <m/>
    <n v="2.1"/>
    <m/>
    <m/>
    <m/>
    <n v="0.15"/>
    <n v="0.153"/>
    <m/>
    <m/>
    <m/>
    <m/>
    <m/>
    <m/>
    <m/>
    <n v="6913544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ECOLE COMMUNAUTAIRE ANKISAKISAKE"/>
    <m/>
    <m/>
    <n v="324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EPP ANKILIMALANGY"/>
    <m/>
    <m/>
    <n v="307"/>
    <m/>
    <x v="3"/>
    <s v="HGSF"/>
    <m/>
    <n v="2.1"/>
    <m/>
    <m/>
    <m/>
    <n v="0.15"/>
    <n v="0.153"/>
    <m/>
    <m/>
    <m/>
    <m/>
    <m/>
    <m/>
    <m/>
    <n v="6781016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EPP BEVOTRY"/>
    <m/>
    <m/>
    <n v="193"/>
    <m/>
    <x v="3"/>
    <s v="HGSF"/>
    <m/>
    <n v="1.5"/>
    <m/>
    <m/>
    <m/>
    <n v="0.1"/>
    <n v="0.108"/>
    <m/>
    <m/>
    <m/>
    <m/>
    <m/>
    <m/>
    <m/>
    <n v="4262984"/>
    <m/>
  </r>
  <r>
    <x v="0"/>
    <n v="2024"/>
    <x v="3"/>
    <s v="SMP1"/>
    <x v="8"/>
    <s v="School feeding"/>
    <m/>
    <m/>
    <s v="Ambovombe"/>
    <x v="0"/>
    <s v="Taolagnaro"/>
    <s v="Androy"/>
    <x v="1"/>
    <m/>
    <s v="JAFARO"/>
    <s v="EPP ANDROTOKA"/>
    <m/>
    <m/>
    <n v="170"/>
    <m/>
    <x v="3"/>
    <s v="HGSF"/>
    <m/>
    <n v="1.3"/>
    <m/>
    <m/>
    <m/>
    <n v="0.1"/>
    <n v="9.4500000000000001E-2"/>
    <m/>
    <m/>
    <m/>
    <m/>
    <m/>
    <m/>
    <m/>
    <n v="3754960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EPP AMPANIHY-HAUT"/>
    <m/>
    <m/>
    <n v="191"/>
    <m/>
    <x v="3"/>
    <s v="HGSF"/>
    <m/>
    <n v="1.45"/>
    <m/>
    <m/>
    <m/>
    <n v="0.1"/>
    <n v="0.10349999999999999"/>
    <m/>
    <m/>
    <m/>
    <m/>
    <m/>
    <m/>
    <m/>
    <n v="4218808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ANKILIMANINTSY II"/>
    <m/>
    <m/>
    <n v="444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ANKOROROKA MAHAZOSOA"/>
    <m/>
    <m/>
    <n v="641"/>
    <m/>
    <x v="1"/>
    <s v="classique"/>
    <m/>
    <n v="4.95"/>
    <m/>
    <m/>
    <m/>
    <n v="1.1000000000000001"/>
    <n v="0.35099999999999998"/>
    <m/>
    <m/>
    <m/>
    <m/>
    <m/>
    <m/>
    <n v="6.401000000000000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BELAMBO"/>
    <m/>
    <m/>
    <n v="374"/>
    <m/>
    <x v="1"/>
    <s v="classique"/>
    <m/>
    <n v="2.5499999999999998"/>
    <m/>
    <m/>
    <m/>
    <n v="0.5"/>
    <n v="0.18"/>
    <m/>
    <m/>
    <m/>
    <m/>
    <m/>
    <m/>
    <n v="3.2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EPP ANKILIMAROALOKA"/>
    <m/>
    <m/>
    <n v="438"/>
    <m/>
    <x v="3"/>
    <s v="HGSF"/>
    <m/>
    <n v="2.95"/>
    <m/>
    <m/>
    <m/>
    <n v="0.15"/>
    <n v="0.21149999999999999"/>
    <m/>
    <m/>
    <m/>
    <m/>
    <m/>
    <m/>
    <m/>
    <n v="9674544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VAHAVOLA ANKILESOA"/>
    <m/>
    <m/>
    <n v="425"/>
    <m/>
    <x v="1"/>
    <s v="classique"/>
    <m/>
    <n v="2.85"/>
    <m/>
    <m/>
    <m/>
    <n v="0.6"/>
    <n v="0.20699999999999999"/>
    <m/>
    <m/>
    <m/>
    <m/>
    <m/>
    <m/>
    <n v="3.65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RADABETSIMIVAKY"/>
    <m/>
    <m/>
    <n v="522"/>
    <m/>
    <x v="1"/>
    <s v="classique"/>
    <m/>
    <n v="3.55"/>
    <m/>
    <m/>
    <m/>
    <n v="0.75"/>
    <n v="0.252"/>
    <m/>
    <m/>
    <m/>
    <m/>
    <m/>
    <m/>
    <n v="4.551999999999999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ERAKOKA"/>
    <m/>
    <m/>
    <n v="1042"/>
    <m/>
    <x v="1"/>
    <s v="classique"/>
    <m/>
    <n v="6.95"/>
    <m/>
    <m/>
    <m/>
    <n v="1.55"/>
    <n v="0.47699999999999998"/>
    <m/>
    <m/>
    <m/>
    <m/>
    <m/>
    <m/>
    <n v="8.977000000000000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MAINTY"/>
    <s v="ANKILIHOGO HAUT"/>
    <m/>
    <m/>
    <n v="526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AMBOASARY I"/>
    <m/>
    <m/>
    <n v="812"/>
    <m/>
    <x v="1"/>
    <s v="classique"/>
    <m/>
    <n v="5.55"/>
    <m/>
    <m/>
    <m/>
    <n v="1.2"/>
    <n v="0.36899999999999999"/>
    <m/>
    <m/>
    <m/>
    <m/>
    <m/>
    <m/>
    <n v="7.118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ANTSOMONTSOY"/>
    <m/>
    <m/>
    <n v="807"/>
    <m/>
    <x v="1"/>
    <s v="classique"/>
    <m/>
    <n v="5.45"/>
    <m/>
    <m/>
    <m/>
    <n v="1.1499999999999999"/>
    <n v="0.38700000000000001"/>
    <m/>
    <m/>
    <m/>
    <m/>
    <m/>
    <m/>
    <n v="6.987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BEHABOBO NORD"/>
    <m/>
    <m/>
    <n v="858"/>
    <m/>
    <x v="1"/>
    <s v="classique"/>
    <m/>
    <n v="5.8"/>
    <m/>
    <m/>
    <m/>
    <n v="1.25"/>
    <n v="0.41399999999999998"/>
    <m/>
    <m/>
    <m/>
    <m/>
    <m/>
    <m/>
    <n v="7.463999999999999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MAROALOPOTY II"/>
    <m/>
    <m/>
    <n v="650"/>
    <m/>
    <x v="1"/>
    <s v="classique"/>
    <m/>
    <n v="5"/>
    <m/>
    <m/>
    <m/>
    <n v="1.1000000000000001"/>
    <n v="0.35549999999999998"/>
    <m/>
    <m/>
    <m/>
    <m/>
    <m/>
    <m/>
    <n v="6.4554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SOATSIFA"/>
    <m/>
    <m/>
    <n v="609"/>
    <m/>
    <x v="1"/>
    <s v="classique"/>
    <m/>
    <n v="4.7"/>
    <m/>
    <m/>
    <m/>
    <n v="1.05"/>
    <n v="0.33300000000000002"/>
    <m/>
    <m/>
    <m/>
    <m/>
    <m/>
    <m/>
    <n v="6.083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TANAMBAO SUD"/>
    <m/>
    <m/>
    <n v="601"/>
    <m/>
    <x v="1"/>
    <s v="classique"/>
    <m/>
    <n v="4.0999999999999996"/>
    <m/>
    <m/>
    <m/>
    <n v="0.85"/>
    <n v="0.29249999999999998"/>
    <m/>
    <m/>
    <m/>
    <m/>
    <m/>
    <m/>
    <n v="5.242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SOATAMEA MORAFENO"/>
    <m/>
    <m/>
    <n v="340"/>
    <m/>
    <x v="1"/>
    <s v="classique"/>
    <m/>
    <n v="2.6"/>
    <m/>
    <m/>
    <m/>
    <n v="0.6"/>
    <n v="0.189"/>
    <m/>
    <m/>
    <m/>
    <m/>
    <m/>
    <m/>
    <n v="3.389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SAVARA CENTRE"/>
    <m/>
    <m/>
    <n v="454"/>
    <m/>
    <x v="1"/>
    <s v="classique"/>
    <m/>
    <n v="3.1"/>
    <m/>
    <m/>
    <m/>
    <n v="0.65"/>
    <n v="0.2205"/>
    <m/>
    <m/>
    <m/>
    <m/>
    <m/>
    <m/>
    <n v="3.9704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ALOPOTY"/>
    <s v="EPP MAROPIA AMPISOPISO"/>
    <m/>
    <m/>
    <n v="172"/>
    <m/>
    <x v="3"/>
    <s v="HGSF"/>
    <m/>
    <n v="1.3"/>
    <m/>
    <m/>
    <m/>
    <n v="0.1"/>
    <n v="9.4500000000000001E-2"/>
    <m/>
    <m/>
    <m/>
    <m/>
    <m/>
    <m/>
    <m/>
    <n v="3799136"/>
    <m/>
  </r>
  <r>
    <x v="0"/>
    <n v="2024"/>
    <x v="3"/>
    <s v="SMP1"/>
    <x v="8"/>
    <s v="School feeding"/>
    <m/>
    <m/>
    <s v="Ambovombe"/>
    <x v="0"/>
    <s v="Taolagnaro"/>
    <s v="Androy"/>
    <x v="1"/>
    <m/>
    <s v="MAROVATO BEFENO"/>
    <s v="EPP AMBOROKAHAKE"/>
    <m/>
    <m/>
    <n v="374"/>
    <m/>
    <x v="3"/>
    <s v="HGSF"/>
    <m/>
    <n v="2.5499999999999998"/>
    <m/>
    <m/>
    <m/>
    <n v="0.15"/>
    <n v="0.18"/>
    <m/>
    <m/>
    <m/>
    <m/>
    <m/>
    <m/>
    <m/>
    <n v="8260912"/>
    <m/>
  </r>
  <r>
    <x v="0"/>
    <n v="2024"/>
    <x v="3"/>
    <s v="SMP1"/>
    <x v="8"/>
    <s v="School feeding"/>
    <m/>
    <m/>
    <s v="Ambovombe"/>
    <x v="0"/>
    <s v="Taolagnaro"/>
    <s v="Androy"/>
    <x v="1"/>
    <m/>
    <s v="MAROVATO BEFENO"/>
    <s v="MAROVATO BEFENO"/>
    <m/>
    <m/>
    <n v="539"/>
    <m/>
    <x v="1"/>
    <s v="classique"/>
    <m/>
    <n v="3.65"/>
    <m/>
    <m/>
    <m/>
    <n v="0.75"/>
    <n v="0.26100000000000001"/>
    <m/>
    <m/>
    <m/>
    <m/>
    <m/>
    <m/>
    <n v="4.661000000000000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VATO BEFENO"/>
    <s v="NAMALAZA I"/>
    <m/>
    <m/>
    <n v="348"/>
    <m/>
    <x v="1"/>
    <s v="classique"/>
    <m/>
    <n v="2.35"/>
    <m/>
    <m/>
    <m/>
    <n v="0.5"/>
    <n v="0.17100000000000001"/>
    <m/>
    <m/>
    <m/>
    <m/>
    <m/>
    <m/>
    <n v="3.020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MAROVATO BEFENO"/>
    <s v="EPP TSITEKE HAZOLAVA"/>
    <m/>
    <m/>
    <n v="280"/>
    <m/>
    <x v="3"/>
    <s v="HGSF"/>
    <m/>
    <n v="1.9"/>
    <m/>
    <m/>
    <m/>
    <n v="0.1"/>
    <n v="0.13950000000000001"/>
    <m/>
    <m/>
    <m/>
    <m/>
    <m/>
    <m/>
    <m/>
    <n v="618464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ANALAISOKE"/>
    <m/>
    <m/>
    <n v="447"/>
    <m/>
    <x v="3"/>
    <s v="HGSF"/>
    <m/>
    <n v="3"/>
    <m/>
    <m/>
    <m/>
    <n v="0.15"/>
    <n v="0.216"/>
    <m/>
    <m/>
    <m/>
    <m/>
    <m/>
    <m/>
    <m/>
    <n v="9873336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ANALAMANOY"/>
    <m/>
    <m/>
    <n v="225"/>
    <m/>
    <x v="3"/>
    <s v="HGSF"/>
    <m/>
    <n v="1.5"/>
    <m/>
    <m/>
    <m/>
    <n v="0.1"/>
    <n v="0.108"/>
    <m/>
    <m/>
    <m/>
    <m/>
    <m/>
    <m/>
    <m/>
    <n v="496980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ANDRAMANERA"/>
    <m/>
    <m/>
    <n v="209"/>
    <m/>
    <x v="3"/>
    <s v="HGSF"/>
    <m/>
    <n v="1.6"/>
    <m/>
    <m/>
    <m/>
    <n v="0.1"/>
    <n v="0.11700000000000001"/>
    <m/>
    <m/>
    <m/>
    <m/>
    <m/>
    <m/>
    <m/>
    <n v="4616392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ANKALITRANDRAKE"/>
    <m/>
    <m/>
    <n v="252"/>
    <m/>
    <x v="1"/>
    <s v="classique"/>
    <m/>
    <n v="1.7"/>
    <m/>
    <m/>
    <m/>
    <n v="0.4"/>
    <n v="0.126"/>
    <m/>
    <m/>
    <m/>
    <m/>
    <m/>
    <m/>
    <n v="2.22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ANKAZOMANGA"/>
    <m/>
    <m/>
    <n v="308"/>
    <m/>
    <x v="1"/>
    <s v="classique"/>
    <m/>
    <n v="2.1"/>
    <m/>
    <m/>
    <m/>
    <n v="0"/>
    <n v="0.153"/>
    <m/>
    <m/>
    <m/>
    <m/>
    <m/>
    <m/>
    <n v="2.253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ANKILIABO NORD"/>
    <m/>
    <m/>
    <n v="383"/>
    <m/>
    <x v="1"/>
    <s v="classique"/>
    <m/>
    <n v="2.6"/>
    <m/>
    <m/>
    <m/>
    <n v="0.55000000000000004"/>
    <n v="0.1845"/>
    <m/>
    <m/>
    <m/>
    <m/>
    <m/>
    <m/>
    <n v="3.3345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BELINDO/ANALAHOVA"/>
    <m/>
    <m/>
    <n v="323"/>
    <m/>
    <x v="3"/>
    <s v="HGSF"/>
    <m/>
    <n v="2.2000000000000002"/>
    <m/>
    <m/>
    <m/>
    <n v="0.15"/>
    <n v="0.1575"/>
    <m/>
    <m/>
    <m/>
    <m/>
    <m/>
    <m/>
    <m/>
    <n v="7134424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IANAKAFY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MANTSAKE"/>
    <m/>
    <m/>
    <n v="250"/>
    <m/>
    <x v="3"/>
    <s v="HGSF"/>
    <m/>
    <n v="1.7"/>
    <m/>
    <m/>
    <m/>
    <n v="0.1"/>
    <n v="0.1215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MIANDRA"/>
    <m/>
    <m/>
    <n v="253"/>
    <m/>
    <x v="3"/>
    <s v="HGSF"/>
    <m/>
    <n v="1.75"/>
    <m/>
    <m/>
    <m/>
    <n v="0.1"/>
    <n v="0.126"/>
    <m/>
    <m/>
    <m/>
    <m/>
    <m/>
    <m/>
    <m/>
    <n v="5588264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MORAFENO"/>
    <m/>
    <m/>
    <n v="368"/>
    <m/>
    <x v="1"/>
    <s v="classique"/>
    <m/>
    <n v="2.5"/>
    <m/>
    <m/>
    <m/>
    <n v="0.5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SILIMOSA"/>
    <m/>
    <m/>
    <n v="275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TANANDAVA"/>
    <m/>
    <m/>
    <n v="409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PP TERABOVO"/>
    <m/>
    <m/>
    <n v="353"/>
    <m/>
    <x v="3"/>
    <s v="HGSF"/>
    <m/>
    <n v="2.4"/>
    <m/>
    <m/>
    <m/>
    <n v="0.15"/>
    <n v="0.17100000000000001"/>
    <m/>
    <m/>
    <m/>
    <m/>
    <m/>
    <m/>
    <m/>
    <n v="7797064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TONDROKE"/>
    <m/>
    <m/>
    <n v="162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SIHANAMARO"/>
    <s v="ECOLE COMMUNAUTAIRE SIHANAMITOHY MAROLAVA II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ANKARA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MOKOFO"/>
    <m/>
    <m/>
    <n v="520"/>
    <m/>
    <x v="1"/>
    <s v="classique"/>
    <m/>
    <n v="3.5"/>
    <m/>
    <m/>
    <m/>
    <n v="0.75"/>
    <n v="0.252"/>
    <m/>
    <m/>
    <m/>
    <m/>
    <m/>
    <m/>
    <n v="4.501999999999999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AMBITIKE I"/>
    <m/>
    <m/>
    <n v="364"/>
    <m/>
    <x v="1"/>
    <s v="classique"/>
    <m/>
    <n v="2.5"/>
    <m/>
    <m/>
    <m/>
    <n v="0.55000000000000004"/>
    <n v="0.18"/>
    <m/>
    <m/>
    <m/>
    <m/>
    <m/>
    <m/>
    <n v="3.23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AMBITIKE II"/>
    <m/>
    <m/>
    <n v="398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EPP TSIMIHEVO"/>
    <m/>
    <m/>
    <n v="274"/>
    <m/>
    <x v="3"/>
    <s v="HGSF"/>
    <m/>
    <n v="1.85"/>
    <m/>
    <m/>
    <m/>
    <n v="0.1"/>
    <n v="0.13500000000000001"/>
    <m/>
    <m/>
    <m/>
    <m/>
    <m/>
    <m/>
    <m/>
    <n v="6052112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AGNANATSAKOA SOATAMEA"/>
    <m/>
    <m/>
    <n v="298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EPP SOALIOKE"/>
    <m/>
    <m/>
    <n v="455"/>
    <m/>
    <x v="3"/>
    <s v="HGSF"/>
    <m/>
    <n v="3.1"/>
    <m/>
    <m/>
    <m/>
    <n v="0.2"/>
    <n v="0.2205"/>
    <m/>
    <m/>
    <m/>
    <m/>
    <m/>
    <m/>
    <m/>
    <n v="10050040"/>
    <m/>
  </r>
  <r>
    <x v="0"/>
    <n v="2024"/>
    <x v="3"/>
    <s v="SMP1"/>
    <x v="8"/>
    <s v="School feeding"/>
    <m/>
    <m/>
    <s v="Ambovombe"/>
    <x v="0"/>
    <s v="Taolagnaro"/>
    <s v="Androy"/>
    <x v="1"/>
    <m/>
    <s v="TSIMANANADA"/>
    <s v="ANJAMARO"/>
    <m/>
    <m/>
    <n v="512"/>
    <m/>
    <x v="1"/>
    <s v="classique"/>
    <m/>
    <n v="3.5"/>
    <m/>
    <m/>
    <m/>
    <n v="0.75"/>
    <n v="0.2475"/>
    <m/>
    <m/>
    <m/>
    <m/>
    <m/>
    <m/>
    <n v="4.4974999999999996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ALAMARY"/>
    <s v="ANAFONDRAVOAY"/>
    <m/>
    <m/>
    <n v="508"/>
    <m/>
    <x v="1"/>
    <s v="classique"/>
    <m/>
    <n v="3.45"/>
    <m/>
    <m/>
    <m/>
    <n v="0.75"/>
    <n v="0.24299999999999999"/>
    <m/>
    <m/>
    <m/>
    <m/>
    <m/>
    <m/>
    <n v="4.443000000000000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ALAMARY"/>
    <s v="ANKILIMALANGY I"/>
    <m/>
    <m/>
    <n v="262"/>
    <m/>
    <x v="1"/>
    <s v="classique"/>
    <m/>
    <n v="1.8"/>
    <m/>
    <m/>
    <m/>
    <n v="0.35"/>
    <n v="0.1305"/>
    <m/>
    <m/>
    <m/>
    <m/>
    <m/>
    <m/>
    <n v="2.2805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ALAMARY"/>
    <s v="ANKILIMALANGY II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ALAMARY"/>
    <s v="ANALAMARY CENTRE"/>
    <m/>
    <m/>
    <n v="297"/>
    <m/>
    <x v="1"/>
    <m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ANDRAGNANIVO"/>
    <s v="Androvamare"/>
    <m/>
    <m/>
    <n v="271"/>
    <m/>
    <x v="3"/>
    <s v="HGSF"/>
    <m/>
    <n v="1.85"/>
    <m/>
    <m/>
    <m/>
    <n v="0.1"/>
    <n v="0.1305"/>
    <m/>
    <m/>
    <m/>
    <m/>
    <m/>
    <m/>
    <m/>
    <n v="5985848"/>
    <m/>
  </r>
  <r>
    <x v="0"/>
    <n v="2024"/>
    <x v="3"/>
    <s v="SMP1"/>
    <x v="8"/>
    <s v="School feeding"/>
    <m/>
    <m/>
    <s v="Ambovombe"/>
    <x v="0"/>
    <s v="Taolagnaro"/>
    <s v="Androy"/>
    <x v="1"/>
    <m/>
    <s v=" ANTANIMORA EST "/>
    <s v=" Vohitsova "/>
    <m/>
    <m/>
    <n v="553"/>
    <m/>
    <x v="1"/>
    <s v="classique"/>
    <m/>
    <n v="4.25"/>
    <m/>
    <m/>
    <m/>
    <n v="0.2"/>
    <n v="0.30599999999999999"/>
    <m/>
    <m/>
    <m/>
    <m/>
    <m/>
    <m/>
    <n v="4.7560000000000002"/>
    <n v="0"/>
    <m/>
  </r>
  <r>
    <x v="0"/>
    <n v="2024"/>
    <x v="3"/>
    <s v="SMP1"/>
    <x v="8"/>
    <s v="School feeding"/>
    <m/>
    <m/>
    <s v="Ambovombe"/>
    <x v="0"/>
    <s v="Taolagnaro"/>
    <s v="Androy"/>
    <x v="1"/>
    <m/>
    <s v=" AMBOHIMALAZA "/>
    <s v=" ANKAKO "/>
    <m/>
    <m/>
    <n v="314"/>
    <m/>
    <x v="1"/>
    <s v="HGSF"/>
    <m/>
    <n v="2.4"/>
    <m/>
    <m/>
    <m/>
    <n v="0.15"/>
    <n v="0.17100000000000001"/>
    <m/>
    <m/>
    <m/>
    <m/>
    <m/>
    <m/>
    <n v="2.7209999999999996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DAVAKIO"/>
    <m/>
    <m/>
    <n v="217"/>
    <m/>
    <x v="1"/>
    <s v="classique"/>
    <m/>
    <n v="1.65"/>
    <m/>
    <m/>
    <m/>
    <n v="0.4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DAY I"/>
    <m/>
    <m/>
    <n v="511"/>
    <m/>
    <x v="1"/>
    <s v="classique"/>
    <m/>
    <n v="1.7"/>
    <m/>
    <m/>
    <m/>
    <n v="0.35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DAZA"/>
    <m/>
    <m/>
    <n v="363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JAMPALY"/>
    <m/>
    <m/>
    <n v="451"/>
    <m/>
    <x v="1"/>
    <s v="classique"/>
    <m/>
    <n v="1.45"/>
    <m/>
    <m/>
    <m/>
    <n v="0.3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KATAMBOALAVO"/>
    <m/>
    <m/>
    <n v="403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ANTENY EST"/>
    <m/>
    <m/>
    <n v="350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TANAMANJARY"/>
    <m/>
    <m/>
    <n v="245"/>
    <m/>
    <x v="1"/>
    <s v="classique"/>
    <m/>
    <n v="1.9"/>
    <m/>
    <m/>
    <m/>
    <n v="0.45"/>
    <n v="0.13500000000000001"/>
    <m/>
    <m/>
    <m/>
    <m/>
    <m/>
    <m/>
    <n v="2.4850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JAMPALY"/>
    <s v="TSITINDROKA"/>
    <m/>
    <m/>
    <n v="316"/>
    <m/>
    <x v="1"/>
    <s v="classique"/>
    <m/>
    <n v="2.0499999999999998"/>
    <m/>
    <m/>
    <m/>
    <n v="0.4"/>
    <n v="0.14849999999999999"/>
    <m/>
    <m/>
    <m/>
    <m/>
    <m/>
    <m/>
    <n v="2.5984999999999996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KILIVALO"/>
    <s v="AMBATOMANOY"/>
    <m/>
    <m/>
    <n v="253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KILIVALO"/>
    <s v="ANDRANOMASY"/>
    <m/>
    <m/>
    <n v="314"/>
    <m/>
    <x v="1"/>
    <s v="classique"/>
    <m/>
    <n v="1.7"/>
    <m/>
    <m/>
    <m/>
    <n v="0.35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KILIVALO"/>
    <s v="ANKILIVALO SUD"/>
    <m/>
    <m/>
    <n v="236"/>
    <m/>
    <x v="1"/>
    <s v="classique"/>
    <m/>
    <n v="1.65"/>
    <m/>
    <m/>
    <m/>
    <n v="0.35"/>
    <n v="0.1215"/>
    <m/>
    <m/>
    <m/>
    <m/>
    <m/>
    <m/>
    <n v="2.1215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KILIVALO"/>
    <s v="EROMBAZA"/>
    <m/>
    <m/>
    <n v="256"/>
    <m/>
    <x v="1"/>
    <s v="classique"/>
    <m/>
    <n v="1.45"/>
    <m/>
    <m/>
    <m/>
    <n v="0.3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KILIVALO"/>
    <s v="NAMOTAHA"/>
    <m/>
    <m/>
    <n v="259"/>
    <m/>
    <x v="1"/>
    <s v="classique"/>
    <m/>
    <n v="1.4"/>
    <m/>
    <m/>
    <m/>
    <n v="0.35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TARITARIKA NORD"/>
    <s v="AMBOHITSE"/>
    <m/>
    <m/>
    <n v="268"/>
    <m/>
    <x v="3"/>
    <s v="HGSF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Ambovombe"/>
    <x v="0"/>
    <s v="Taolagnaro"/>
    <s v="Androy"/>
    <x v="16"/>
    <m/>
    <s v="ANTARITARIKA NORD"/>
    <s v="ANAKANIA"/>
    <m/>
    <m/>
    <n v="197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TARITARIKA NORD"/>
    <s v="ANDROVAMARE"/>
    <m/>
    <m/>
    <n v="23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TARITARIKA NORD"/>
    <s v="ANJAMPANANIKA"/>
    <m/>
    <m/>
    <n v="319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ANTARITARIKA NORD"/>
    <s v="ANJIRA"/>
    <m/>
    <m/>
    <n v="360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AMBOVO NORD"/>
    <m/>
    <m/>
    <n v="293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BEVARO I"/>
    <m/>
    <m/>
    <n v="197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MAROHATAKE"/>
    <m/>
    <m/>
    <n v="200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SENORO"/>
    <m/>
    <m/>
    <n v="249"/>
    <m/>
    <x v="1"/>
    <s v="classique"/>
    <m/>
    <n v="0.85"/>
    <m/>
    <m/>
    <m/>
    <n v="0.2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TAMONTO OUEST"/>
    <m/>
    <m/>
    <n v="253"/>
    <m/>
    <x v="1"/>
    <s v="classique"/>
    <m/>
    <n v="1.45"/>
    <m/>
    <m/>
    <m/>
    <n v="0.3"/>
    <n v="0.108"/>
    <m/>
    <m/>
    <m/>
    <m/>
    <m/>
    <m/>
    <n v="1.858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BEHAZOMANGA"/>
    <s v="TANAMBAO"/>
    <m/>
    <m/>
    <n v="224"/>
    <m/>
    <x v="3"/>
    <s v="HGSF"/>
    <m/>
    <n v="1.7"/>
    <m/>
    <m/>
    <m/>
    <n v="0.1"/>
    <n v="0.1215"/>
    <m/>
    <m/>
    <m/>
    <m/>
    <m/>
    <m/>
    <m/>
    <n v="4947712"/>
    <m/>
  </r>
  <r>
    <x v="0"/>
    <n v="2024"/>
    <x v="3"/>
    <s v="SMP1"/>
    <x v="8"/>
    <s v="School feeding"/>
    <m/>
    <m/>
    <s v="Ambovombe"/>
    <x v="0"/>
    <s v="Taolagnaro"/>
    <s v="Androy"/>
    <x v="16"/>
    <m/>
    <s v="FAUX CAP EST"/>
    <s v="AMBORY"/>
    <m/>
    <m/>
    <n v="232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EST"/>
    <s v="ANOVY SUD"/>
    <m/>
    <m/>
    <n v="296"/>
    <m/>
    <x v="1"/>
    <s v="classique"/>
    <m/>
    <n v="1.5"/>
    <m/>
    <m/>
    <m/>
    <n v="0.3"/>
    <n v="0.10349999999999999"/>
    <m/>
    <m/>
    <m/>
    <m/>
    <m/>
    <m/>
    <n v="1.903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EST"/>
    <s v="ANTAVY NORD"/>
    <m/>
    <m/>
    <n v="287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EST"/>
    <s v="MAROBE FAUX CAP"/>
    <m/>
    <m/>
    <n v="175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EST"/>
    <s v="MORAFENO"/>
    <m/>
    <m/>
    <n v="296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AMBOTRY"/>
    <m/>
    <m/>
    <n v="490"/>
    <m/>
    <x v="1"/>
    <s v="classique"/>
    <m/>
    <n v="3.75"/>
    <m/>
    <m/>
    <m/>
    <n v="0.85"/>
    <n v="0.27"/>
    <m/>
    <m/>
    <m/>
    <m/>
    <m/>
    <m/>
    <n v="4.869999999999999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ANJATELO"/>
    <m/>
    <m/>
    <n v="289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BENONOKA"/>
    <m/>
    <m/>
    <n v="264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BEVORY NORD"/>
    <m/>
    <m/>
    <n v="278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FAUX CAP"/>
    <m/>
    <m/>
    <n v="203"/>
    <m/>
    <x v="3"/>
    <s v="HGSF"/>
    <m/>
    <n v="1.1000000000000001"/>
    <m/>
    <m/>
    <m/>
    <n v="0.1"/>
    <n v="8.1000000000000003E-2"/>
    <m/>
    <m/>
    <m/>
    <m/>
    <m/>
    <m/>
    <m/>
    <n v="4483864"/>
    <m/>
  </r>
  <r>
    <x v="0"/>
    <n v="2024"/>
    <x v="3"/>
    <s v="SMP1"/>
    <x v="8"/>
    <s v="School feeding"/>
    <m/>
    <m/>
    <s v="Ambovombe"/>
    <x v="0"/>
    <s v="Taolagnaro"/>
    <s v="Androy"/>
    <x v="16"/>
    <m/>
    <s v="FAUX CAP OUEST"/>
    <s v="VOHIBE"/>
    <m/>
    <m/>
    <n v="332"/>
    <m/>
    <x v="1"/>
    <s v="classique"/>
    <m/>
    <n v="2.5499999999999998"/>
    <m/>
    <m/>
    <m/>
    <n v="0.55000000000000004"/>
    <n v="0.1845"/>
    <m/>
    <m/>
    <m/>
    <m/>
    <m/>
    <m/>
    <n v="3.284499999999999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AMBAROANINTSY"/>
    <m/>
    <m/>
    <n v="222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ANDRATINO"/>
    <m/>
    <m/>
    <n v="218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ANKILIMALANGY"/>
    <m/>
    <m/>
    <n v="182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IMONGY"/>
    <m/>
    <m/>
    <n v="478"/>
    <m/>
    <x v="3"/>
    <s v="HGSF"/>
    <m/>
    <n v="3.7"/>
    <m/>
    <m/>
    <m/>
    <n v="0.2"/>
    <n v="0.26100000000000001"/>
    <m/>
    <m/>
    <m/>
    <m/>
    <m/>
    <m/>
    <m/>
    <n v="10558064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ISINGO"/>
    <m/>
    <m/>
    <n v="161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MAKIFAHA"/>
    <m/>
    <m/>
    <n v="192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EST"/>
    <s v="MAROFOHY CENTRE"/>
    <m/>
    <m/>
    <n v="255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ANALAISOKA"/>
    <m/>
    <m/>
    <n v="285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ANKILIBE"/>
    <m/>
    <m/>
    <n v="289"/>
    <m/>
    <x v="1"/>
    <s v="classique"/>
    <m/>
    <n v="1.5"/>
    <m/>
    <m/>
    <m/>
    <n v="0.3"/>
    <n v="0.108"/>
    <m/>
    <m/>
    <m/>
    <m/>
    <m/>
    <m/>
    <n v="1.908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ANKORITSIKE"/>
    <m/>
    <m/>
    <n v="389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ANTSANDRAHA"/>
    <m/>
    <m/>
    <n v="384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BEMOSESY CENTRE"/>
    <m/>
    <m/>
    <n v="296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SIHANADAVA"/>
    <m/>
    <m/>
    <n v="229"/>
    <m/>
    <x v="1"/>
    <s v="classique"/>
    <m/>
    <n v="1.3"/>
    <m/>
    <m/>
    <m/>
    <n v="0.25"/>
    <n v="9.4500000000000001E-2"/>
    <m/>
    <m/>
    <m/>
    <m/>
    <m/>
    <m/>
    <n v="1.644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TOMILY"/>
    <m/>
    <m/>
    <n v="225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IMONGY OUEST"/>
    <s v="TSIANOHA"/>
    <m/>
    <m/>
    <n v="298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EST"/>
    <s v="ANKILITELOMISAVARA"/>
    <m/>
    <m/>
    <n v="183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EST"/>
    <s v="BEVARO SORAMENA"/>
    <m/>
    <m/>
    <n v="387"/>
    <m/>
    <x v="1"/>
    <s v="classique"/>
    <m/>
    <n v="3"/>
    <m/>
    <m/>
    <m/>
    <n v="0.65"/>
    <n v="0.21149999999999999"/>
    <m/>
    <m/>
    <m/>
    <m/>
    <m/>
    <m/>
    <n v="3.861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EST"/>
    <s v="MAROLAVA"/>
    <m/>
    <m/>
    <n v="484"/>
    <m/>
    <x v="1"/>
    <s v="classique"/>
    <m/>
    <n v="3.75"/>
    <m/>
    <m/>
    <m/>
    <n v="0.8"/>
    <n v="0.26550000000000001"/>
    <m/>
    <m/>
    <m/>
    <m/>
    <m/>
    <m/>
    <n v="4.815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EST"/>
    <s v="MAROVATO"/>
    <m/>
    <m/>
    <n v="433"/>
    <m/>
    <x v="3"/>
    <s v="HGSF"/>
    <m/>
    <n v="1.45"/>
    <m/>
    <m/>
    <m/>
    <n v="0.05"/>
    <n v="0.10349999999999999"/>
    <m/>
    <m/>
    <m/>
    <m/>
    <m/>
    <m/>
    <m/>
    <n v="9564104"/>
    <m/>
  </r>
  <r>
    <x v="0"/>
    <n v="2024"/>
    <x v="3"/>
    <s v="SMP1"/>
    <x v="8"/>
    <s v="School feeding"/>
    <m/>
    <m/>
    <s v="Ambovombe"/>
    <x v="0"/>
    <s v="Taolagnaro"/>
    <s v="Androy"/>
    <x v="16"/>
    <m/>
    <s v="MAROVATO OUEST"/>
    <s v="AMBANIKILY VOLANKIRA"/>
    <m/>
    <m/>
    <n v="190"/>
    <m/>
    <x v="1"/>
    <s v="classique"/>
    <m/>
    <n v="0.75"/>
    <m/>
    <m/>
    <m/>
    <n v="0.15"/>
    <n v="5.8500000000000003E-2"/>
    <m/>
    <m/>
    <m/>
    <m/>
    <m/>
    <m/>
    <n v="0.9585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OUEST"/>
    <s v="ANDRANAGNOMBE"/>
    <m/>
    <m/>
    <n v="279"/>
    <m/>
    <x v="1"/>
    <s v="classique"/>
    <m/>
    <n v="1.75"/>
    <m/>
    <m/>
    <m/>
    <n v="0.35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OUEST"/>
    <s v="ANJABIHY"/>
    <m/>
    <m/>
    <n v="278"/>
    <m/>
    <x v="1"/>
    <s v="classique"/>
    <m/>
    <n v="2"/>
    <m/>
    <m/>
    <m/>
    <n v="0.4"/>
    <n v="0.14399999999999999"/>
    <m/>
    <m/>
    <m/>
    <m/>
    <m/>
    <m/>
    <n v="2.544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OUEST"/>
    <s v="BAVARO BESENA"/>
    <m/>
    <m/>
    <n v="362"/>
    <m/>
    <x v="1"/>
    <s v="classique"/>
    <m/>
    <n v="2.2999999999999998"/>
    <m/>
    <m/>
    <m/>
    <n v="0.5"/>
    <n v="0.16650000000000001"/>
    <m/>
    <m/>
    <m/>
    <m/>
    <m/>
    <m/>
    <n v="2.966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SUD"/>
    <s v="ANDRARAKE"/>
    <m/>
    <m/>
    <n v="244"/>
    <m/>
    <x v="1"/>
    <s v="classique"/>
    <m/>
    <n v="1.45"/>
    <m/>
    <m/>
    <m/>
    <n v="0.3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SUD"/>
    <s v="BETAIMBORAKA"/>
    <m/>
    <m/>
    <n v="518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SUD"/>
    <s v="BEVALA"/>
    <m/>
    <m/>
    <n v="297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SUD"/>
    <s v="KATRAVITRA"/>
    <m/>
    <m/>
    <n v="318"/>
    <m/>
    <x v="1"/>
    <s v="classique"/>
    <m/>
    <n v="2.4"/>
    <m/>
    <m/>
    <m/>
    <n v="0.5"/>
    <n v="0.17549999999999999"/>
    <m/>
    <m/>
    <m/>
    <m/>
    <m/>
    <m/>
    <n v="3.075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MAROVATO SUD"/>
    <s v="TANAMBAO"/>
    <m/>
    <m/>
    <n v="18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MBASIA I"/>
    <m/>
    <m/>
    <n v="286"/>
    <m/>
    <x v="3"/>
    <s v="HGSF"/>
    <m/>
    <n v="2.2000000000000002"/>
    <m/>
    <m/>
    <m/>
    <n v="0.1"/>
    <n v="0.1575"/>
    <m/>
    <m/>
    <m/>
    <m/>
    <m/>
    <m/>
    <m/>
    <n v="6317168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MBASY"/>
    <m/>
    <m/>
    <n v="295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NANAKIRIHITSE"/>
    <m/>
    <m/>
    <n v="25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NDAGOA NORD"/>
    <m/>
    <m/>
    <n v="435"/>
    <m/>
    <x v="1"/>
    <s v="classique"/>
    <m/>
    <n v="3.35"/>
    <m/>
    <m/>
    <m/>
    <n v="0.75"/>
    <n v="0.23849999999999999"/>
    <m/>
    <m/>
    <m/>
    <m/>
    <m/>
    <m/>
    <n v="4.3384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NKILITOKA"/>
    <m/>
    <m/>
    <n v="310"/>
    <m/>
    <x v="1"/>
    <s v="classique"/>
    <m/>
    <n v="2.4"/>
    <m/>
    <m/>
    <m/>
    <n v="0.55000000000000004"/>
    <n v="0.17100000000000001"/>
    <m/>
    <m/>
    <m/>
    <m/>
    <m/>
    <m/>
    <n v="3.12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ANTANAMIARY"/>
    <m/>
    <m/>
    <n v="273"/>
    <m/>
    <x v="1"/>
    <s v="classique"/>
    <m/>
    <n v="2.1"/>
    <m/>
    <m/>
    <m/>
    <n v="0.5"/>
    <n v="0.14849999999999999"/>
    <m/>
    <m/>
    <m/>
    <m/>
    <m/>
    <m/>
    <n v="2.7484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EST"/>
    <s v="BERONONO"/>
    <m/>
    <m/>
    <n v="208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OUEST"/>
    <s v="ANKILIMIGAHY"/>
    <m/>
    <m/>
    <n v="360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OUEST"/>
    <s v="ANTANAMALANGY"/>
    <m/>
    <m/>
    <n v="120"/>
    <m/>
    <x v="1"/>
    <s v="classique"/>
    <m/>
    <n v="0.9"/>
    <m/>
    <m/>
    <m/>
    <n v="0.2"/>
    <n v="6.7500000000000004E-2"/>
    <m/>
    <m/>
    <m/>
    <m/>
    <m/>
    <m/>
    <n v="1.1675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OUEST"/>
    <s v="BERENY"/>
    <m/>
    <m/>
    <n v="210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OUEST"/>
    <s v="BESAKOA"/>
    <m/>
    <m/>
    <n v="194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NIKOLY OUEST"/>
    <s v="NAMOIA"/>
    <m/>
    <m/>
    <n v="209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AMBALIANDRO"/>
    <m/>
    <m/>
    <n v="266"/>
    <m/>
    <x v="1"/>
    <s v="classique"/>
    <m/>
    <n v="1.85"/>
    <m/>
    <m/>
    <m/>
    <n v="0.35"/>
    <n v="0.1305"/>
    <m/>
    <m/>
    <m/>
    <m/>
    <m/>
    <m/>
    <n v="2.3305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ANKARAMAROFOTY"/>
    <m/>
    <m/>
    <n v="222"/>
    <m/>
    <x v="1"/>
    <s v="classique"/>
    <m/>
    <n v="1.35"/>
    <m/>
    <m/>
    <m/>
    <n v="0.25"/>
    <n v="9.9000000000000005E-2"/>
    <m/>
    <m/>
    <m/>
    <m/>
    <m/>
    <m/>
    <n v="1.6990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ANKARANDOHA"/>
    <m/>
    <m/>
    <n v="241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ANKORAKOSY"/>
    <m/>
    <m/>
    <n v="393"/>
    <m/>
    <x v="1"/>
    <s v="classique"/>
    <m/>
    <n v="2.1"/>
    <m/>
    <m/>
    <m/>
    <n v="0.45"/>
    <n v="0.153"/>
    <m/>
    <m/>
    <m/>
    <m/>
    <m/>
    <m/>
    <n v="2.703000000000000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ANTANA"/>
    <m/>
    <m/>
    <n v="201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MAROHIRA AMBORY"/>
    <m/>
    <m/>
    <n v="18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MAROHIRA SUD"/>
    <m/>
    <m/>
    <n v="285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MAROTANA"/>
    <m/>
    <m/>
    <n v="23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SAKAMASY"/>
    <m/>
    <m/>
    <n v="744"/>
    <m/>
    <x v="3"/>
    <s v="HGSF"/>
    <m/>
    <n v="2.5499999999999998"/>
    <m/>
    <m/>
    <m/>
    <n v="0.15"/>
    <n v="0.1845"/>
    <m/>
    <m/>
    <m/>
    <m/>
    <m/>
    <m/>
    <m/>
    <n v="16433472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TROKAGNOMBE"/>
    <m/>
    <m/>
    <n v="169"/>
    <m/>
    <x v="3"/>
    <s v="HGSF"/>
    <m/>
    <n v="1.3"/>
    <m/>
    <m/>
    <m/>
    <n v="0.1"/>
    <n v="9.4500000000000001E-2"/>
    <m/>
    <m/>
    <m/>
    <m/>
    <m/>
    <m/>
    <m/>
    <n v="3732872"/>
    <m/>
  </r>
  <r>
    <x v="0"/>
    <n v="2024"/>
    <x v="3"/>
    <s v="SMP1"/>
    <x v="8"/>
    <s v="School feeding"/>
    <m/>
    <m/>
    <s v="Ambovombe"/>
    <x v="0"/>
    <s v="Taolagnaro"/>
    <s v="Androy"/>
    <x v="16"/>
    <m/>
    <s v="TSIHOMBE EST"/>
    <s v="TSIHOMBE CENTRE-I"/>
    <m/>
    <m/>
    <n v="797"/>
    <m/>
    <x v="3"/>
    <s v="HGSF"/>
    <m/>
    <n v="6.15"/>
    <m/>
    <m/>
    <m/>
    <n v="0.3"/>
    <n v="0.4365"/>
    <m/>
    <m/>
    <m/>
    <m/>
    <m/>
    <m/>
    <m/>
    <n v="17604136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FONDRALAMBO EVAZY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MBOVO l"/>
    <m/>
    <m/>
    <n v="162"/>
    <m/>
    <x v="1"/>
    <s v="classique"/>
    <m/>
    <n v="0.9"/>
    <m/>
    <m/>
    <m/>
    <n v="0.15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NDOVOKE"/>
    <m/>
    <m/>
    <n v="198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NINAKY II"/>
    <m/>
    <m/>
    <n v="145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NKILILIRY"/>
    <m/>
    <m/>
    <n v="174"/>
    <m/>
    <x v="1"/>
    <s v="classique"/>
    <m/>
    <n v="0.8"/>
    <m/>
    <m/>
    <m/>
    <n v="0.15"/>
    <n v="5.8500000000000003E-2"/>
    <m/>
    <m/>
    <m/>
    <m/>
    <m/>
    <m/>
    <n v="1.0085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ANTSOVELA"/>
    <m/>
    <m/>
    <n v="296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BEAVOHA NORD"/>
    <m/>
    <m/>
    <n v="160"/>
    <m/>
    <x v="1"/>
    <s v="classique"/>
    <m/>
    <n v="0.75"/>
    <m/>
    <m/>
    <m/>
    <n v="0.15"/>
    <n v="5.3999999999999999E-2"/>
    <m/>
    <m/>
    <m/>
    <m/>
    <m/>
    <m/>
    <n v="0.95400000000000007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BELEMBOKE"/>
    <m/>
    <m/>
    <n v="277"/>
    <m/>
    <x v="1"/>
    <s v="classique"/>
    <m/>
    <n v="1.1000000000000001"/>
    <m/>
    <m/>
    <m/>
    <n v="0.2"/>
    <n v="8.1000000000000003E-2"/>
    <m/>
    <m/>
    <m/>
    <m/>
    <m/>
    <m/>
    <n v="1.38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BEROPITEKE"/>
    <m/>
    <m/>
    <n v="216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BEVALA TAMBANDITSE"/>
    <m/>
    <m/>
    <n v="242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TSIHOMBE OUEST"/>
    <s v="TSIHOMBE CENTRE II"/>
    <m/>
    <m/>
    <n v="718"/>
    <m/>
    <x v="3"/>
    <s v="HGSF"/>
    <m/>
    <n v="5.55"/>
    <m/>
    <m/>
    <m/>
    <n v="0.25"/>
    <n v="0.39600000000000002"/>
    <m/>
    <m/>
    <m/>
    <m/>
    <m/>
    <m/>
    <m/>
    <n v="15859184"/>
    <m/>
  </r>
  <r>
    <x v="0"/>
    <n v="2024"/>
    <x v="3"/>
    <s v="SMP1"/>
    <x v="8"/>
    <s v="School feeding"/>
    <m/>
    <m/>
    <s v="Ambovombe"/>
    <x v="0"/>
    <s v="Taolagnaro"/>
    <s v="Androy"/>
    <x v="16"/>
    <m/>
    <s v="ZAP ANTARITARIKA SUD"/>
    <s v="AMBARO SUD"/>
    <m/>
    <m/>
    <n v="418"/>
    <m/>
    <x v="1"/>
    <s v="classique"/>
    <m/>
    <n v="3.2"/>
    <m/>
    <m/>
    <m/>
    <n v="0.7"/>
    <n v="0.22950000000000001"/>
    <m/>
    <m/>
    <m/>
    <m/>
    <m/>
    <m/>
    <n v="4.1295000000000002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ZAP ANTARITARIKA SUD"/>
    <s v="ANTARITARIKA CENTRE"/>
    <m/>
    <m/>
    <n v="637"/>
    <m/>
    <x v="1"/>
    <s v="classique"/>
    <m/>
    <n v="4.9000000000000004"/>
    <m/>
    <m/>
    <m/>
    <n v="1.1000000000000001"/>
    <n v="0.35099999999999998"/>
    <m/>
    <m/>
    <m/>
    <m/>
    <m/>
    <m/>
    <n v="6.351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ZAP ANTARITARIKA SUD"/>
    <s v="DORISA"/>
    <m/>
    <m/>
    <n v="330"/>
    <m/>
    <x v="1"/>
    <s v="classique"/>
    <m/>
    <n v="2.5499999999999998"/>
    <m/>
    <m/>
    <m/>
    <n v="0.55000000000000004"/>
    <n v="0.18"/>
    <m/>
    <m/>
    <m/>
    <m/>
    <m/>
    <m/>
    <n v="3.28"/>
    <n v="0"/>
    <m/>
  </r>
  <r>
    <x v="0"/>
    <n v="2024"/>
    <x v="3"/>
    <s v="SMP1"/>
    <x v="8"/>
    <s v="School feeding"/>
    <m/>
    <m/>
    <s v="Ambovombe"/>
    <x v="0"/>
    <s v="Taolagnaro"/>
    <s v="Androy"/>
    <x v="16"/>
    <m/>
    <s v="ZAP ANTARITARIKA SUD"/>
    <s v="MAROAFO"/>
    <m/>
    <m/>
    <n v="424"/>
    <m/>
    <x v="1"/>
    <s v="classique"/>
    <m/>
    <n v="3.25"/>
    <m/>
    <m/>
    <m/>
    <n v="0.7"/>
    <n v="0.23400000000000001"/>
    <m/>
    <m/>
    <m/>
    <m/>
    <m/>
    <m/>
    <n v="4.184000000000000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HITA"/>
    <s v="AMBATOMAINTY SAKOAMBELOMY"/>
    <m/>
    <m/>
    <n v="167"/>
    <m/>
    <x v="1"/>
    <s v="classique"/>
    <m/>
    <n v="0.9"/>
    <m/>
    <m/>
    <m/>
    <n v="0.15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HITA"/>
    <s v="ANDOHARANO"/>
    <m/>
    <m/>
    <n v="319"/>
    <m/>
    <x v="3"/>
    <s v="HGSF"/>
    <m/>
    <n v="1.55"/>
    <m/>
    <m/>
    <m/>
    <n v="0.15"/>
    <n v="0.108"/>
    <m/>
    <m/>
    <m/>
    <m/>
    <m/>
    <m/>
    <m/>
    <n v="7046072"/>
    <m/>
  </r>
  <r>
    <x v="0"/>
    <n v="2024"/>
    <x v="3"/>
    <s v="SMP1"/>
    <x v="8"/>
    <s v="School feeding"/>
    <m/>
    <m/>
    <s v="Ambovombe"/>
    <x v="0"/>
    <s v="Taolagnaro"/>
    <s v="Androy"/>
    <x v="3"/>
    <m/>
    <s v="AMBAHITA"/>
    <s v="SOAKIBANY"/>
    <m/>
    <m/>
    <n v="182"/>
    <m/>
    <x v="1"/>
    <s v="classique"/>
    <m/>
    <n v="1"/>
    <m/>
    <m/>
    <m/>
    <n v="0.2"/>
    <n v="6.7500000000000004E-2"/>
    <m/>
    <m/>
    <m/>
    <m/>
    <m/>
    <m/>
    <n v="1.2675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SOARAVY"/>
    <m/>
    <m/>
    <n v="170"/>
    <m/>
    <x v="1"/>
    <s v="classique"/>
    <m/>
    <n v="0.85"/>
    <m/>
    <m/>
    <m/>
    <n v="0.15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HITA"/>
    <s v="AMBAHITA"/>
    <m/>
    <m/>
    <n v="536"/>
    <m/>
    <x v="1"/>
    <s v="classique"/>
    <m/>
    <n v="2.5499999999999998"/>
    <m/>
    <m/>
    <m/>
    <n v="0.55000000000000004"/>
    <n v="0.18"/>
    <m/>
    <m/>
    <m/>
    <m/>
    <m/>
    <m/>
    <n v="3.28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IKAIKARIVO AMBATOMAINTY"/>
    <s v="AMPANY"/>
    <m/>
    <m/>
    <n v="205"/>
    <m/>
    <x v="1"/>
    <s v="classique"/>
    <m/>
    <n v="0.8"/>
    <m/>
    <m/>
    <m/>
    <n v="0.15"/>
    <n v="4.9500000000000002E-2"/>
    <m/>
    <m/>
    <m/>
    <m/>
    <m/>
    <m/>
    <n v="0.99950000000000006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BEAMALO"/>
    <m/>
    <m/>
    <n v="377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BEVATO II"/>
    <m/>
    <m/>
    <n v="254"/>
    <m/>
    <x v="1"/>
    <s v="classique"/>
    <m/>
    <n v="0.65"/>
    <m/>
    <m/>
    <m/>
    <n v="0.05"/>
    <n v="0"/>
    <m/>
    <m/>
    <m/>
    <m/>
    <m/>
    <m/>
    <n v="0.7000000000000000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IKAIKARIVO AMBATOMAINTY"/>
    <s v="EPP VOHIPENO"/>
    <m/>
    <m/>
    <n v="306"/>
    <m/>
    <x v="3"/>
    <s v="HGSF"/>
    <m/>
    <n v="1"/>
    <m/>
    <m/>
    <m/>
    <n v="0.05"/>
    <n v="7.1999999999999995E-2"/>
    <m/>
    <m/>
    <m/>
    <m/>
    <m/>
    <m/>
    <m/>
    <n v="6758928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ECOLE COMMUNAUTAIRE BEVATO CENTRE"/>
    <m/>
    <m/>
    <n v="192"/>
    <m/>
    <x v="3"/>
    <s v="HGSF"/>
    <m/>
    <n v="1.5"/>
    <m/>
    <m/>
    <m/>
    <n v="0.1"/>
    <n v="0.10349999999999999"/>
    <m/>
    <m/>
    <m/>
    <m/>
    <m/>
    <m/>
    <m/>
    <n v="4240896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COLE COMMUNAUTAIRE ANKILIVAHO"/>
    <m/>
    <m/>
    <n v="110"/>
    <m/>
    <x v="3"/>
    <s v="HGSF"/>
    <m/>
    <n v="0.85"/>
    <m/>
    <m/>
    <m/>
    <n v="0.05"/>
    <n v="5.8500000000000003E-2"/>
    <m/>
    <m/>
    <m/>
    <m/>
    <m/>
    <m/>
    <m/>
    <n v="242968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ESAKA MAHABO"/>
    <m/>
    <m/>
    <n v="160"/>
    <m/>
    <x v="1"/>
    <s v="classique"/>
    <m/>
    <n v="0.25"/>
    <m/>
    <m/>
    <m/>
    <n v="0.2"/>
    <n v="5.8500000000000003E-2"/>
    <m/>
    <m/>
    <m/>
    <m/>
    <m/>
    <m/>
    <n v="0.50850000000000006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EPP AMBATOSOLA"/>
    <m/>
    <m/>
    <n v="356"/>
    <m/>
    <x v="3"/>
    <s v="HGSF"/>
    <m/>
    <n v="1.9"/>
    <m/>
    <m/>
    <m/>
    <n v="0.1"/>
    <n v="4.4999999999999998E-2"/>
    <m/>
    <m/>
    <m/>
    <m/>
    <m/>
    <m/>
    <m/>
    <n v="7863328"/>
    <m/>
  </r>
  <r>
    <x v="0"/>
    <n v="2024"/>
    <x v="3"/>
    <s v="SMP1"/>
    <x v="8"/>
    <s v="School feeding"/>
    <m/>
    <m/>
    <s v="Ambovombe"/>
    <x v="0"/>
    <s v="Taolagnaro"/>
    <s v="Androy"/>
    <x v="3"/>
    <m/>
    <s v="TANAMBAO TSIRANDRANY"/>
    <s v="ANADABOLAVA"/>
    <m/>
    <m/>
    <n v="444"/>
    <m/>
    <x v="1"/>
    <s v="classique"/>
    <m/>
    <n v="1.4"/>
    <m/>
    <m/>
    <m/>
    <n v="0.35"/>
    <n v="0.14399999999999999"/>
    <m/>
    <m/>
    <m/>
    <m/>
    <m/>
    <m/>
    <n v="1.893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MAHABO SUD"/>
    <m/>
    <m/>
    <n v="181"/>
    <m/>
    <x v="1"/>
    <s v="classique"/>
    <m/>
    <n v="0.4"/>
    <m/>
    <m/>
    <m/>
    <n v="0.2"/>
    <n v="6.7500000000000004E-2"/>
    <m/>
    <m/>
    <m/>
    <m/>
    <m/>
    <m/>
    <n v="0.6675000000000000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mbatosola"/>
    <s v="ECOLE COMMUNAUTAIRE FENOARIVO SUD"/>
    <m/>
    <m/>
    <n v="222"/>
    <m/>
    <x v="3"/>
    <s v="HGSF"/>
    <m/>
    <n v="0.7"/>
    <m/>
    <m/>
    <m/>
    <n v="0"/>
    <n v="0.09"/>
    <m/>
    <m/>
    <m/>
    <m/>
    <m/>
    <m/>
    <m/>
    <n v="4903536"/>
    <m/>
  </r>
  <r>
    <x v="0"/>
    <n v="2024"/>
    <x v="3"/>
    <s v="SMP1"/>
    <x v="8"/>
    <s v="School feeding"/>
    <m/>
    <m/>
    <s v="Ambovombe"/>
    <x v="0"/>
    <s v="Taolagnaro"/>
    <s v="Androy"/>
    <x v="3"/>
    <m/>
    <s v="ANIVORANO MITSINJO"/>
    <s v="ANIVORANO MITSINJO"/>
    <m/>
    <m/>
    <n v="372"/>
    <m/>
    <x v="1"/>
    <s v="classique"/>
    <m/>
    <n v="1.6"/>
    <m/>
    <m/>
    <m/>
    <n v="0.3"/>
    <n v="0.11700000000000001"/>
    <m/>
    <m/>
    <m/>
    <m/>
    <m/>
    <m/>
    <n v="2.0170000000000003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ANALALAVA HAUT"/>
    <m/>
    <m/>
    <n v="191"/>
    <m/>
    <x v="1"/>
    <s v="classique"/>
    <m/>
    <n v="0.95"/>
    <m/>
    <m/>
    <m/>
    <n v="0.2"/>
    <n v="7.1999999999999995E-2"/>
    <m/>
    <m/>
    <m/>
    <m/>
    <m/>
    <m/>
    <n v="1.22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ECOLE COMMUNAUTAIRE BESANDRAHA"/>
    <m/>
    <m/>
    <n v="220"/>
    <m/>
    <x v="3"/>
    <s v="HGSF"/>
    <m/>
    <n v="1.1000000000000001"/>
    <m/>
    <m/>
    <m/>
    <n v="0.1"/>
    <n v="8.1000000000000003E-2"/>
    <m/>
    <m/>
    <m/>
    <m/>
    <m/>
    <m/>
    <m/>
    <n v="4859360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ANJA NORD"/>
    <m/>
    <m/>
    <n v="407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MIKAIKARIVO"/>
    <m/>
    <m/>
    <n v="276"/>
    <m/>
    <x v="3"/>
    <s v="HGSF"/>
    <m/>
    <n v="1.35"/>
    <m/>
    <m/>
    <m/>
    <n v="0.1"/>
    <n v="0.10349999999999999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x v="3"/>
    <m/>
    <s v="ANKARANABO NORD"/>
    <s v="ANARABE I"/>
    <m/>
    <m/>
    <n v="306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KARANABO NORD"/>
    <s v="ANDRANOMANINTSY II"/>
    <m/>
    <m/>
    <n v="174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KARANABO NORD"/>
    <s v="VOHIMARY I"/>
    <m/>
    <m/>
    <n v="205"/>
    <m/>
    <x v="1"/>
    <s v="classique"/>
    <m/>
    <n v="1"/>
    <m/>
    <m/>
    <m/>
    <n v="0.25"/>
    <n v="0.1125"/>
    <m/>
    <m/>
    <m/>
    <m/>
    <m/>
    <m/>
    <n v="1.362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KARANABO NORD"/>
    <s v="EPP ANKARANABO_NORD"/>
    <m/>
    <m/>
    <n v="443"/>
    <m/>
    <x v="3"/>
    <s v="HGSF"/>
    <m/>
    <n v="2.5499999999999998"/>
    <m/>
    <m/>
    <m/>
    <n v="0.15"/>
    <n v="0.13950000000000001"/>
    <m/>
    <m/>
    <m/>
    <m/>
    <m/>
    <m/>
    <m/>
    <n v="9784984"/>
    <m/>
  </r>
  <r>
    <x v="0"/>
    <n v="2024"/>
    <x v="3"/>
    <s v="SMP1"/>
    <x v="8"/>
    <s v="School feeding"/>
    <m/>
    <m/>
    <s v="Ambovombe"/>
    <x v="0"/>
    <s v="Taolagnaro"/>
    <s v="Androy"/>
    <x v="3"/>
    <m/>
    <s v="ANTSAKOAMARO"/>
    <s v="ANTABOARA HAUT"/>
    <m/>
    <m/>
    <n v="200"/>
    <m/>
    <x v="1"/>
    <s v="classique"/>
    <m/>
    <n v="1"/>
    <m/>
    <m/>
    <m/>
    <n v="0.2"/>
    <n v="6.7500000000000004E-2"/>
    <m/>
    <m/>
    <m/>
    <m/>
    <m/>
    <m/>
    <n v="1.2675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TSAKOAMARO"/>
    <s v="ANTANIMARY"/>
    <m/>
    <m/>
    <n v="305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TSAKOAMARO"/>
    <s v="ANTSAKOAMARO"/>
    <m/>
    <m/>
    <n v="351"/>
    <m/>
    <x v="3"/>
    <s v="HGSF"/>
    <m/>
    <n v="1.7"/>
    <m/>
    <m/>
    <m/>
    <n v="0.15"/>
    <n v="0.1215"/>
    <m/>
    <m/>
    <m/>
    <m/>
    <m/>
    <m/>
    <m/>
    <n v="7752888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AMBAROABO"/>
    <m/>
    <m/>
    <n v="204"/>
    <m/>
    <x v="1"/>
    <s v="classique"/>
    <m/>
    <n v="1"/>
    <m/>
    <m/>
    <m/>
    <n v="0.15"/>
    <n v="6.3E-2"/>
    <m/>
    <m/>
    <m/>
    <m/>
    <m/>
    <m/>
    <n v="1.212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MBATOFOTSY"/>
    <m/>
    <m/>
    <n v="102"/>
    <m/>
    <x v="1"/>
    <s v="classique"/>
    <m/>
    <n v="0.6"/>
    <m/>
    <m/>
    <m/>
    <n v="0.1"/>
    <n v="4.9500000000000002E-2"/>
    <m/>
    <m/>
    <m/>
    <m/>
    <m/>
    <m/>
    <n v="0.74949999999999994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NTSAKOAMIARY"/>
    <m/>
    <m/>
    <n v="287"/>
    <m/>
    <x v="1"/>
    <s v="classique"/>
    <m/>
    <n v="1.55"/>
    <m/>
    <m/>
    <m/>
    <n v="0.4"/>
    <n v="5.8500000000000003E-2"/>
    <m/>
    <m/>
    <m/>
    <m/>
    <m/>
    <m/>
    <n v="2.008500000000000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BEVOSITRA"/>
    <m/>
    <m/>
    <n v="202"/>
    <m/>
    <x v="1"/>
    <s v="classique"/>
    <m/>
    <n v="1.35"/>
    <m/>
    <m/>
    <m/>
    <n v="0.25"/>
    <n v="6.3E-2"/>
    <m/>
    <m/>
    <m/>
    <m/>
    <m/>
    <m/>
    <n v="1.663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COLE COMMUNAUTAIRE SOALOKE"/>
    <m/>
    <m/>
    <n v="134"/>
    <m/>
    <x v="3"/>
    <s v="HGSF"/>
    <m/>
    <n v="1.05"/>
    <m/>
    <m/>
    <m/>
    <n v="0.05"/>
    <n v="7.1999999999999995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AMBATOMAINTY ANIVORANO"/>
    <m/>
    <m/>
    <n v="212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MPIRIKY MAROVAHO"/>
    <m/>
    <m/>
    <n v="257"/>
    <m/>
    <x v="1"/>
    <s v="classique"/>
    <m/>
    <n v="1.1000000000000001"/>
    <m/>
    <m/>
    <m/>
    <n v="0.25"/>
    <n v="0"/>
    <m/>
    <m/>
    <m/>
    <m/>
    <m/>
    <m/>
    <n v="1.3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PP ANKERAKERAKY"/>
    <m/>
    <m/>
    <n v="180"/>
    <m/>
    <x v="3"/>
    <s v="HGSF"/>
    <m/>
    <n v="1.4"/>
    <m/>
    <m/>
    <m/>
    <n v="0.1"/>
    <n v="9.9000000000000005E-2"/>
    <m/>
    <m/>
    <m/>
    <m/>
    <m/>
    <m/>
    <m/>
    <n v="397584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BEANGILY"/>
    <m/>
    <m/>
    <n v="423"/>
    <m/>
    <x v="1"/>
    <s v="classique"/>
    <m/>
    <n v="1.25"/>
    <m/>
    <m/>
    <m/>
    <n v="0.3"/>
    <n v="8.1000000000000003E-2"/>
    <m/>
    <m/>
    <m/>
    <m/>
    <m/>
    <m/>
    <n v="1.63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BEFANGITSY"/>
    <m/>
    <m/>
    <n v="738"/>
    <m/>
    <x v="1"/>
    <s v="classique"/>
    <m/>
    <n v="5.2"/>
    <m/>
    <m/>
    <m/>
    <n v="1.25"/>
    <n v="0.36899999999999999"/>
    <m/>
    <m/>
    <m/>
    <m/>
    <m/>
    <m/>
    <n v="6.81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BEKITRO"/>
    <m/>
    <m/>
    <n v="967"/>
    <m/>
    <x v="3"/>
    <s v="HGSF"/>
    <m/>
    <n v="6.95"/>
    <m/>
    <m/>
    <m/>
    <n v="0.2"/>
    <n v="0.495"/>
    <m/>
    <m/>
    <m/>
    <m/>
    <m/>
    <m/>
    <m/>
    <n v="21359096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PP BEMOITA"/>
    <m/>
    <m/>
    <n v="225"/>
    <m/>
    <x v="3"/>
    <s v="HGSF"/>
    <m/>
    <n v="1.45"/>
    <m/>
    <m/>
    <m/>
    <n v="0.1"/>
    <n v="0.10349999999999999"/>
    <m/>
    <m/>
    <m/>
    <m/>
    <m/>
    <m/>
    <m/>
    <n v="496980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MIARY_TOBY"/>
    <m/>
    <m/>
    <n v="230"/>
    <m/>
    <x v="1"/>
    <s v="classique"/>
    <m/>
    <n v="1.3"/>
    <m/>
    <m/>
    <m/>
    <n v="0.25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COLE COMMUNAUTAIRE VOHITSOSY"/>
    <m/>
    <m/>
    <n v="126"/>
    <m/>
    <x v="3"/>
    <s v="HGSF"/>
    <m/>
    <n v="0.6"/>
    <m/>
    <m/>
    <m/>
    <n v="0.05"/>
    <n v="6.3E-2"/>
    <m/>
    <m/>
    <m/>
    <m/>
    <m/>
    <m/>
    <m/>
    <n v="2783088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IABORANO"/>
    <m/>
    <m/>
    <n v="158"/>
    <m/>
    <x v="1"/>
    <s v="classique"/>
    <m/>
    <n v="0.2"/>
    <m/>
    <m/>
    <m/>
    <n v="0.2"/>
    <n v="5.3999999999999999E-2"/>
    <m/>
    <m/>
    <m/>
    <m/>
    <m/>
    <m/>
    <n v="0.4540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AMBATO"/>
    <m/>
    <m/>
    <n v="175"/>
    <m/>
    <x v="1"/>
    <s v="classique"/>
    <m/>
    <n v="0.9"/>
    <m/>
    <m/>
    <m/>
    <n v="0.15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COLE COMMUNAUTAIRE ANTSAHA"/>
    <m/>
    <m/>
    <n v="138"/>
    <m/>
    <x v="3"/>
    <s v="HGSF"/>
    <m/>
    <n v="0.7"/>
    <m/>
    <m/>
    <m/>
    <n v="0.05"/>
    <n v="4.9500000000000002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x v="3"/>
    <m/>
    <s v="BEKITRO"/>
    <s v="ECOLE COMMUNAUTAIRE AMBOASARY"/>
    <m/>
    <m/>
    <n v="138"/>
    <m/>
    <x v="3"/>
    <s v="HGSF"/>
    <m/>
    <n v="0.7"/>
    <m/>
    <m/>
    <m/>
    <n v="0.05"/>
    <n v="4.9500000000000002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NANAKARAKY"/>
    <m/>
    <m/>
    <n v="178"/>
    <m/>
    <x v="1"/>
    <s v="classique"/>
    <m/>
    <n v="0.95"/>
    <m/>
    <m/>
    <m/>
    <n v="0.2"/>
    <n v="6.7500000000000004E-2"/>
    <m/>
    <m/>
    <m/>
    <m/>
    <m/>
    <m/>
    <n v="1.2174999999999998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COLE COMMUNAUTAIRE ANDRANOFOTY"/>
    <m/>
    <m/>
    <n v="148"/>
    <m/>
    <x v="3"/>
    <s v="HGSF"/>
    <m/>
    <n v="1.1499999999999999"/>
    <m/>
    <m/>
    <m/>
    <n v="0.05"/>
    <n v="8.1000000000000003E-2"/>
    <m/>
    <m/>
    <m/>
    <m/>
    <m/>
    <m/>
    <m/>
    <n v="3269024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NDRANOMIHERY"/>
    <m/>
    <m/>
    <n v="203"/>
    <m/>
    <x v="1"/>
    <s v="classique"/>
    <m/>
    <n v="0.55000000000000004"/>
    <m/>
    <m/>
    <m/>
    <n v="0.25"/>
    <n v="6.3E-2"/>
    <m/>
    <m/>
    <m/>
    <m/>
    <m/>
    <m/>
    <n v="0.8629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NKILY"/>
    <m/>
    <m/>
    <n v="137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NKININY"/>
    <m/>
    <m/>
    <n v="191"/>
    <m/>
    <x v="1"/>
    <s v="classique"/>
    <m/>
    <n v="0.95"/>
    <m/>
    <m/>
    <m/>
    <n v="0.2"/>
    <n v="6.3E-2"/>
    <m/>
    <m/>
    <m/>
    <m/>
    <m/>
    <m/>
    <n v="1.212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COLE COMMUNAUTAIRE SOASERAGNA"/>
    <m/>
    <m/>
    <n v="116"/>
    <m/>
    <x v="3"/>
    <s v="HGSF"/>
    <m/>
    <n v="0.9"/>
    <m/>
    <m/>
    <m/>
    <n v="0.05"/>
    <n v="6.3E-2"/>
    <m/>
    <m/>
    <m/>
    <m/>
    <m/>
    <m/>
    <m/>
    <n v="2562208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FONDRIAMBITA"/>
    <m/>
    <m/>
    <n v="107"/>
    <m/>
    <x v="1"/>
    <s v="classique"/>
    <m/>
    <n v="0.7"/>
    <m/>
    <m/>
    <m/>
    <n v="0.1"/>
    <n v="4.4999999999999998E-2"/>
    <m/>
    <m/>
    <m/>
    <m/>
    <m/>
    <m/>
    <n v="0.8449999999999999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MPANAMPERANDROTSY"/>
    <m/>
    <m/>
    <n v="203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PP ANDRANOMAVO I"/>
    <m/>
    <m/>
    <n v="150"/>
    <m/>
    <x v="3"/>
    <s v="HGSF"/>
    <m/>
    <n v="0.55000000000000004"/>
    <m/>
    <m/>
    <m/>
    <n v="0.05"/>
    <n v="6.3E-2"/>
    <m/>
    <m/>
    <m/>
    <m/>
    <m/>
    <m/>
    <m/>
    <n v="331320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PP ANDRANOMAVO II"/>
    <m/>
    <m/>
    <n v="134"/>
    <m/>
    <x v="3"/>
    <s v="HGSF"/>
    <m/>
    <n v="0.65"/>
    <m/>
    <m/>
    <m/>
    <n v="0.05"/>
    <n v="4.4999999999999998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PP BELINDO MAHASOA"/>
    <m/>
    <m/>
    <n v="496"/>
    <m/>
    <x v="3"/>
    <s v="HGSF"/>
    <m/>
    <n v="2.5499999999999998"/>
    <m/>
    <m/>
    <m/>
    <n v="0.2"/>
    <n v="0.18"/>
    <m/>
    <m/>
    <m/>
    <m/>
    <m/>
    <m/>
    <m/>
    <n v="10955648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COLE COMMUNAUTAIRE AMBONAIVO"/>
    <m/>
    <m/>
    <n v="170"/>
    <m/>
    <x v="3"/>
    <s v="HGSF"/>
    <m/>
    <n v="0.85"/>
    <m/>
    <m/>
    <m/>
    <n v="0.1"/>
    <n v="5.8500000000000003E-2"/>
    <m/>
    <m/>
    <m/>
    <m/>
    <m/>
    <m/>
    <m/>
    <n v="375496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ECOLE COMMUNAUTAIRE ANARABE"/>
    <m/>
    <m/>
    <n v="134"/>
    <m/>
    <x v="3"/>
    <s v="HGSF"/>
    <m/>
    <n v="0.65"/>
    <m/>
    <m/>
    <m/>
    <n v="0.05"/>
    <n v="4.4999999999999998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ANTSELIBE"/>
    <m/>
    <m/>
    <n v="478"/>
    <m/>
    <x v="1"/>
    <s v="classique"/>
    <m/>
    <n v="1.6"/>
    <m/>
    <m/>
    <m/>
    <n v="0.3"/>
    <n v="0.1125"/>
    <m/>
    <m/>
    <m/>
    <m/>
    <m/>
    <m/>
    <n v="2.012500000000000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ECOLE COMMUNAUTAIRE ANTSELY TOBY"/>
    <m/>
    <m/>
    <n v="250"/>
    <m/>
    <x v="3"/>
    <s v="HGSF"/>
    <m/>
    <n v="0.85"/>
    <m/>
    <m/>
    <m/>
    <n v="0.05"/>
    <n v="5.8500000000000003E-2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x v="3"/>
    <m/>
    <s v="BERAKETA"/>
    <s v="BERAKETA"/>
    <m/>
    <m/>
    <n v="1205"/>
    <m/>
    <x v="3"/>
    <s v="HGSF"/>
    <m/>
    <n v="5.8"/>
    <m/>
    <m/>
    <m/>
    <n v="0.35"/>
    <n v="0.34200000000000003"/>
    <m/>
    <m/>
    <m/>
    <m/>
    <m/>
    <m/>
    <m/>
    <n v="26616040"/>
    <m/>
  </r>
  <r>
    <x v="0"/>
    <n v="2024"/>
    <x v="3"/>
    <s v="SMP1"/>
    <x v="8"/>
    <s v="School feeding"/>
    <m/>
    <m/>
    <s v="Ambovombe"/>
    <x v="0"/>
    <s v="Taolagnaro"/>
    <s v="Androy"/>
    <x v="3"/>
    <m/>
    <s v="BELINDO MAHASOA"/>
    <s v="ANKANANAVY"/>
    <m/>
    <m/>
    <n v="478"/>
    <m/>
    <x v="1"/>
    <s v="classique"/>
    <m/>
    <n v="2.0499999999999998"/>
    <m/>
    <m/>
    <m/>
    <n v="0.4"/>
    <n v="0.14399999999999999"/>
    <m/>
    <m/>
    <m/>
    <m/>
    <m/>
    <m/>
    <n v="2.593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ECOLE COMMUNAUTAIRE ANTSOSA"/>
    <m/>
    <m/>
    <n v="133"/>
    <m/>
    <x v="3"/>
    <s v="HGSF"/>
    <m/>
    <n v="1"/>
    <m/>
    <m/>
    <m/>
    <n v="0.05"/>
    <n v="7.1999999999999995E-2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x v="3"/>
    <m/>
    <s v="BETEZA"/>
    <s v="ANKILIVALO HAUT"/>
    <m/>
    <m/>
    <n v="288"/>
    <m/>
    <x v="1"/>
    <s v="classique"/>
    <m/>
    <n v="0.35"/>
    <m/>
    <m/>
    <m/>
    <n v="0.4"/>
    <n v="0.1125"/>
    <m/>
    <m/>
    <m/>
    <m/>
    <m/>
    <m/>
    <n v="0.86250000000000004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TEZA"/>
    <s v="ANDAMOTIGNABO"/>
    <m/>
    <m/>
    <n v="284"/>
    <m/>
    <x v="3"/>
    <s v="HGSF"/>
    <m/>
    <n v="0.35"/>
    <m/>
    <m/>
    <m/>
    <n v="0"/>
    <n v="0.108"/>
    <m/>
    <m/>
    <m/>
    <m/>
    <m/>
    <m/>
    <m/>
    <n v="6272992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NIVORANO"/>
    <m/>
    <m/>
    <n v="334"/>
    <m/>
    <x v="1"/>
    <s v="classique"/>
    <m/>
    <n v="0.75"/>
    <m/>
    <m/>
    <m/>
    <n v="0.5"/>
    <n v="0.13500000000000001"/>
    <m/>
    <m/>
    <m/>
    <m/>
    <m/>
    <m/>
    <n v="1.38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NIVORANO BEANGILY"/>
    <m/>
    <m/>
    <n v="235"/>
    <m/>
    <x v="1"/>
    <s v="classique"/>
    <m/>
    <n v="0.8"/>
    <m/>
    <m/>
    <m/>
    <n v="0.3"/>
    <n v="8.1000000000000003E-2"/>
    <m/>
    <m/>
    <m/>
    <m/>
    <m/>
    <m/>
    <n v="1.18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ECOLE COMMUNAUTAIRE ANTSATRA"/>
    <m/>
    <m/>
    <n v="250"/>
    <m/>
    <x v="3"/>
    <s v="HGSF"/>
    <m/>
    <n v="1"/>
    <m/>
    <m/>
    <m/>
    <n v="0"/>
    <n v="0.09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BEVITIKY"/>
    <m/>
    <m/>
    <n v="407"/>
    <m/>
    <x v="3"/>
    <s v="HGSF"/>
    <m/>
    <n v="1.3"/>
    <m/>
    <m/>
    <m/>
    <n v="0.05"/>
    <n v="0.126"/>
    <m/>
    <m/>
    <m/>
    <m/>
    <m/>
    <m/>
    <m/>
    <n v="8989816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ECOLE COMMUNAUTAIRE BETSINTSY"/>
    <m/>
    <m/>
    <n v="151"/>
    <m/>
    <x v="3"/>
    <s v="HGSF"/>
    <m/>
    <n v="0"/>
    <m/>
    <m/>
    <m/>
    <n v="0"/>
    <n v="0"/>
    <m/>
    <m/>
    <m/>
    <m/>
    <m/>
    <m/>
    <m/>
    <n v="3335288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BEFAMONTY"/>
    <m/>
    <m/>
    <n v="190"/>
    <m/>
    <x v="1"/>
    <s v="classique"/>
    <m/>
    <n v="0.95"/>
    <m/>
    <m/>
    <m/>
    <n v="0.35"/>
    <n v="6.7500000000000004E-2"/>
    <m/>
    <m/>
    <m/>
    <m/>
    <m/>
    <m/>
    <n v="1.367499999999999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VITIKY"/>
    <s v="ANDARO"/>
    <m/>
    <m/>
    <n v="202"/>
    <m/>
    <x v="1"/>
    <s v="classique"/>
    <m/>
    <n v="1.1000000000000001"/>
    <m/>
    <m/>
    <m/>
    <n v="0.35"/>
    <n v="8.1000000000000003E-2"/>
    <m/>
    <m/>
    <m/>
    <m/>
    <m/>
    <m/>
    <n v="1.531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COLE COMMUNAUTAIRE AMPATIOLOTSE"/>
    <m/>
    <m/>
    <n v="136"/>
    <m/>
    <x v="3"/>
    <s v="HGSF"/>
    <m/>
    <n v="1.05"/>
    <m/>
    <m/>
    <m/>
    <n v="0.05"/>
    <n v="7.6499999999999999E-2"/>
    <m/>
    <m/>
    <m/>
    <m/>
    <m/>
    <m/>
    <m/>
    <n v="3003968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AMPILOFILO"/>
    <m/>
    <m/>
    <n v="196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ANALAMAHAVELO"/>
    <m/>
    <m/>
    <n v="132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COLE COMMUNAUTAIRE ANKILISOA SOMANGY"/>
    <m/>
    <m/>
    <n v="150"/>
    <m/>
    <x v="3"/>
    <s v="HGSF"/>
    <m/>
    <n v="0.2"/>
    <m/>
    <m/>
    <m/>
    <n v="0.05"/>
    <n v="0"/>
    <m/>
    <m/>
    <m/>
    <m/>
    <m/>
    <m/>
    <m/>
    <n v="331320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ANTANAMARY"/>
    <m/>
    <m/>
    <n v="208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COLE COMMUNAUTAIRE MAIKANDRO"/>
    <m/>
    <m/>
    <n v="176"/>
    <m/>
    <x v="3"/>
    <s v="HGSF"/>
    <m/>
    <n v="0.85"/>
    <m/>
    <m/>
    <m/>
    <n v="0"/>
    <n v="5.8500000000000003E-2"/>
    <m/>
    <m/>
    <m/>
    <m/>
    <m/>
    <m/>
    <m/>
    <n v="3887488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PP MIRIA"/>
    <m/>
    <m/>
    <n v="210"/>
    <m/>
    <x v="3"/>
    <s v="HGSF"/>
    <m/>
    <n v="0.65"/>
    <m/>
    <m/>
    <m/>
    <n v="0.1"/>
    <n v="0"/>
    <m/>
    <m/>
    <m/>
    <m/>
    <m/>
    <m/>
    <m/>
    <n v="463848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PP TAMBAHY"/>
    <m/>
    <m/>
    <n v="104"/>
    <m/>
    <x v="3"/>
    <s v="HGSF"/>
    <m/>
    <n v="0.3"/>
    <m/>
    <m/>
    <m/>
    <n v="0"/>
    <n v="0"/>
    <m/>
    <m/>
    <m/>
    <m/>
    <m/>
    <m/>
    <m/>
    <n v="2297152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AMBORINABO"/>
    <m/>
    <m/>
    <n v="183"/>
    <m/>
    <x v="1"/>
    <s v="classique"/>
    <m/>
    <n v="0.45"/>
    <m/>
    <m/>
    <m/>
    <n v="0.25"/>
    <n v="0"/>
    <m/>
    <m/>
    <m/>
    <m/>
    <m/>
    <m/>
    <n v="0.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PP ANATO"/>
    <m/>
    <m/>
    <n v="186"/>
    <m/>
    <x v="3"/>
    <s v="HGSF"/>
    <m/>
    <n v="0.5"/>
    <m/>
    <m/>
    <m/>
    <n v="0"/>
    <n v="0"/>
    <m/>
    <m/>
    <m/>
    <m/>
    <m/>
    <m/>
    <m/>
    <n v="4108368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MANAKOMPY"/>
    <m/>
    <m/>
    <n v="285"/>
    <m/>
    <x v="3"/>
    <s v="HGSF"/>
    <m/>
    <n v="0.7"/>
    <m/>
    <m/>
    <m/>
    <n v="0.05"/>
    <n v="0"/>
    <m/>
    <m/>
    <m/>
    <m/>
    <m/>
    <m/>
    <m/>
    <n v="629508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TSIANDRORA"/>
    <m/>
    <m/>
    <n v="165"/>
    <m/>
    <x v="1"/>
    <s v="classique"/>
    <m/>
    <n v="0.3"/>
    <m/>
    <m/>
    <m/>
    <n v="0.25"/>
    <n v="0"/>
    <m/>
    <m/>
    <m/>
    <m/>
    <m/>
    <m/>
    <n v="0.55000000000000004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ANTSAKOAMASY"/>
    <m/>
    <m/>
    <n v="165"/>
    <m/>
    <x v="1"/>
    <s v="classique"/>
    <m/>
    <n v="0.3"/>
    <m/>
    <m/>
    <m/>
    <n v="0.25"/>
    <n v="0"/>
    <m/>
    <m/>
    <m/>
    <m/>
    <m/>
    <m/>
    <n v="0.55000000000000004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COLE COMMUNAUTAIRE AMBOHITSY BEMAHATAZA"/>
    <m/>
    <m/>
    <n v="84"/>
    <m/>
    <x v="3"/>
    <s v="HGSF"/>
    <m/>
    <n v="0.65"/>
    <m/>
    <m/>
    <m/>
    <n v="0.05"/>
    <n v="4.4999999999999998E-2"/>
    <m/>
    <m/>
    <m/>
    <m/>
    <m/>
    <m/>
    <m/>
    <n v="1855392"/>
    <m/>
  </r>
  <r>
    <x v="0"/>
    <n v="2024"/>
    <x v="3"/>
    <s v="SMP1"/>
    <x v="8"/>
    <s v="School feeding"/>
    <m/>
    <m/>
    <s v="Ambovombe"/>
    <x v="0"/>
    <s v="Taolagnaro"/>
    <s v="Androy"/>
    <x v="3"/>
    <m/>
    <s v="Manakompy"/>
    <s v="ECOLE COMMUNAUTAIRE ANKILIMANINTSY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x v="3"/>
    <m/>
    <s v="MAROVIRO"/>
    <s v="MAROVIRO"/>
    <m/>
    <m/>
    <n v="210"/>
    <m/>
    <x v="1"/>
    <s v="classique"/>
    <m/>
    <n v="0.65"/>
    <m/>
    <m/>
    <m/>
    <n v="0.3"/>
    <n v="0.11700000000000001"/>
    <m/>
    <m/>
    <m/>
    <m/>
    <m/>
    <m/>
    <n v="1.066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ECOLE COMMUNAUTAIRE AMBARARATA OUEST"/>
    <m/>
    <m/>
    <n v="370"/>
    <m/>
    <x v="3"/>
    <s v="HGSF"/>
    <m/>
    <n v="1.6"/>
    <m/>
    <m/>
    <m/>
    <n v="0.15"/>
    <n v="0.1215"/>
    <m/>
    <m/>
    <m/>
    <m/>
    <m/>
    <m/>
    <m/>
    <n v="8172560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AMBONDRO"/>
    <m/>
    <m/>
    <n v="227"/>
    <m/>
    <x v="3"/>
    <s v="HGSF"/>
    <m/>
    <n v="1.25"/>
    <m/>
    <m/>
    <m/>
    <n v="0.1"/>
    <n v="8.5500000000000007E-2"/>
    <m/>
    <m/>
    <m/>
    <m/>
    <m/>
    <m/>
    <m/>
    <n v="5013976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ECOLE COMMUNAUTAIRE BEFANGITSY"/>
    <m/>
    <m/>
    <n v="176"/>
    <m/>
    <x v="3"/>
    <s v="HGSF"/>
    <m/>
    <n v="0.9"/>
    <m/>
    <m/>
    <m/>
    <n v="0.1"/>
    <n v="6.7500000000000004E-2"/>
    <m/>
    <m/>
    <m/>
    <m/>
    <m/>
    <m/>
    <m/>
    <n v="3887488"/>
    <m/>
  </r>
  <r>
    <x v="0"/>
    <n v="2024"/>
    <x v="3"/>
    <s v="SMP1"/>
    <x v="8"/>
    <s v="School feeding"/>
    <m/>
    <m/>
    <s v="Ambovombe"/>
    <x v="0"/>
    <s v="Taolagnaro"/>
    <s v="Androy"/>
    <x v="3"/>
    <m/>
    <s v="ANJA NORD"/>
    <s v="ECOLE COMMUNAUTAIRE MAROFANY"/>
    <m/>
    <m/>
    <n v="300"/>
    <m/>
    <x v="3"/>
    <s v="HGSF"/>
    <m/>
    <n v="1.35"/>
    <m/>
    <m/>
    <m/>
    <n v="0.1"/>
    <n v="9.9000000000000005E-2"/>
    <m/>
    <m/>
    <m/>
    <m/>
    <m/>
    <m/>
    <m/>
    <n v="6626400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BEKILY I"/>
    <m/>
    <m/>
    <n v="1411"/>
    <m/>
    <x v="1"/>
    <s v="classique"/>
    <m/>
    <n v="6.4"/>
    <m/>
    <m/>
    <m/>
    <n v="1.35"/>
    <n v="0.45450000000000002"/>
    <m/>
    <m/>
    <m/>
    <m/>
    <m/>
    <m/>
    <n v="8.204499999999999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BEKILY II"/>
    <m/>
    <m/>
    <n v="1064"/>
    <m/>
    <x v="1"/>
    <s v="classique"/>
    <m/>
    <n v="5.35"/>
    <m/>
    <m/>
    <m/>
    <n v="1.1499999999999999"/>
    <n v="0.38250000000000001"/>
    <m/>
    <m/>
    <m/>
    <m/>
    <m/>
    <m/>
    <n v="6.8825000000000003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MITSINJO"/>
    <m/>
    <m/>
    <n v="458"/>
    <m/>
    <x v="3"/>
    <s v="HGSF"/>
    <m/>
    <n v="2.35"/>
    <m/>
    <m/>
    <m/>
    <n v="0.2"/>
    <n v="0.16650000000000001"/>
    <m/>
    <m/>
    <m/>
    <m/>
    <m/>
    <m/>
    <m/>
    <n v="10116304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TANAMBAO"/>
    <m/>
    <m/>
    <n v="591"/>
    <m/>
    <x v="1"/>
    <s v="classique"/>
    <m/>
    <n v="3.05"/>
    <m/>
    <m/>
    <m/>
    <n v="0.65"/>
    <n v="0.216"/>
    <m/>
    <m/>
    <m/>
    <m/>
    <m/>
    <m/>
    <n v="3.915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KILY CENTRALE"/>
    <s v="AMBALANOSY"/>
    <m/>
    <m/>
    <n v="220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AMBOHITSE MORAFENO"/>
    <m/>
    <m/>
    <n v="136"/>
    <m/>
    <x v="1"/>
    <s v="classique"/>
    <m/>
    <n v="0.55000000000000004"/>
    <m/>
    <m/>
    <m/>
    <n v="0.1"/>
    <n v="4.9500000000000002E-2"/>
    <m/>
    <m/>
    <m/>
    <m/>
    <m/>
    <m/>
    <n v="0.6995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EPP IABOMARY II"/>
    <m/>
    <m/>
    <n v="193"/>
    <m/>
    <x v="3"/>
    <s v="HGSF"/>
    <m/>
    <n v="1"/>
    <m/>
    <m/>
    <m/>
    <n v="0"/>
    <n v="6.7500000000000004E-2"/>
    <m/>
    <m/>
    <m/>
    <m/>
    <m/>
    <m/>
    <m/>
    <n v="4262984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MAHASOA"/>
    <m/>
    <m/>
    <n v="220"/>
    <m/>
    <x v="1"/>
    <s v="classique"/>
    <m/>
    <n v="1.2"/>
    <m/>
    <m/>
    <m/>
    <n v="0.25"/>
    <n v="8.1000000000000003E-2"/>
    <m/>
    <m/>
    <m/>
    <m/>
    <m/>
    <m/>
    <n v="1.530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MORAFENO HAUT"/>
    <m/>
    <m/>
    <n v="208"/>
    <m/>
    <x v="1"/>
    <s v="classique"/>
    <m/>
    <n v="1.1000000000000001"/>
    <m/>
    <m/>
    <m/>
    <n v="0.2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BEDONA"/>
    <m/>
    <m/>
    <n v="264"/>
    <m/>
    <x v="3"/>
    <s v="HGSF"/>
    <m/>
    <n v="1.55"/>
    <m/>
    <m/>
    <m/>
    <n v="0"/>
    <n v="0.10349999999999999"/>
    <m/>
    <m/>
    <m/>
    <m/>
    <m/>
    <m/>
    <m/>
    <n v="5831232"/>
    <m/>
  </r>
  <r>
    <x v="0"/>
    <n v="2024"/>
    <x v="3"/>
    <s v="SMP1"/>
    <x v="8"/>
    <s v="School feeding"/>
    <m/>
    <m/>
    <s v="Ambovombe"/>
    <x v="0"/>
    <s v="Taolagnaro"/>
    <s v="Androy"/>
    <x v="3"/>
    <m/>
    <s v="TANANDAVA"/>
    <s v="SARISAMBO"/>
    <m/>
    <m/>
    <n v="343"/>
    <m/>
    <x v="1"/>
    <s v="classique"/>
    <m/>
    <n v="2.15"/>
    <m/>
    <m/>
    <m/>
    <n v="0.45"/>
    <n v="0.14399999999999999"/>
    <m/>
    <m/>
    <m/>
    <m/>
    <m/>
    <m/>
    <n v="2.744000000000000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ECOLE COMMUNAUTAIRE ANKILIMILOPAKY"/>
    <m/>
    <m/>
    <n v="174"/>
    <m/>
    <x v="3"/>
    <s v="HGSF"/>
    <m/>
    <n v="0.85"/>
    <m/>
    <m/>
    <m/>
    <n v="0"/>
    <n v="5.3999999999999999E-2"/>
    <m/>
    <m/>
    <m/>
    <m/>
    <m/>
    <m/>
    <m/>
    <n v="3843312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ECOLE COMMUNAUTAIRE BELIO_HAUT"/>
    <m/>
    <m/>
    <n v="128"/>
    <m/>
    <x v="3"/>
    <s v="HGSF"/>
    <m/>
    <n v="1"/>
    <m/>
    <m/>
    <m/>
    <n v="0.05"/>
    <n v="7.1999999999999995E-2"/>
    <m/>
    <m/>
    <m/>
    <m/>
    <m/>
    <m/>
    <m/>
    <n v="2827264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ANJANTSOA"/>
    <m/>
    <m/>
    <n v="240"/>
    <m/>
    <x v="3"/>
    <s v="HGSF"/>
    <m/>
    <n v="1.35"/>
    <m/>
    <m/>
    <m/>
    <n v="0"/>
    <n v="8.5500000000000007E-2"/>
    <m/>
    <m/>
    <m/>
    <m/>
    <m/>
    <m/>
    <m/>
    <n v="5301120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EPP ANTSAKOAMALANGY"/>
    <m/>
    <m/>
    <n v="231"/>
    <m/>
    <x v="3"/>
    <s v="HGSF"/>
    <m/>
    <n v="1.25"/>
    <m/>
    <m/>
    <m/>
    <n v="0"/>
    <n v="8.1000000000000003E-2"/>
    <m/>
    <m/>
    <m/>
    <m/>
    <m/>
    <m/>
    <m/>
    <n v="5102328"/>
    <m/>
  </r>
  <r>
    <x v="0"/>
    <n v="2024"/>
    <x v="3"/>
    <s v="SMP1"/>
    <x v="8"/>
    <s v="School feeding"/>
    <m/>
    <m/>
    <s v="Ambovombe"/>
    <x v="0"/>
    <s v="Taolagnaro"/>
    <s v="Androy"/>
    <x v="3"/>
    <m/>
    <s v="TSIKOLAKY"/>
    <s v="EPP TSIKOLAKY"/>
    <m/>
    <m/>
    <n v="236"/>
    <m/>
    <x v="3"/>
    <s v="HGSF"/>
    <m/>
    <n v="1.3"/>
    <m/>
    <m/>
    <m/>
    <n v="0"/>
    <n v="8.1000000000000003E-2"/>
    <m/>
    <m/>
    <m/>
    <m/>
    <m/>
    <m/>
    <m/>
    <n v="5212768"/>
    <m/>
  </r>
  <r>
    <x v="0"/>
    <n v="2024"/>
    <x v="3"/>
    <s v="SMP1"/>
    <x v="8"/>
    <s v="School feeding"/>
    <m/>
    <m/>
    <s v="Ambovombe"/>
    <x v="0"/>
    <s v="Taolagnaro"/>
    <s v="Androy"/>
    <x v="3"/>
    <m/>
    <s v="TANAMBAO TSIRANDRANY"/>
    <s v="MATSINJO"/>
    <m/>
    <m/>
    <n v="165"/>
    <m/>
    <x v="1"/>
    <s v="classique"/>
    <m/>
    <n v="0.75"/>
    <m/>
    <m/>
    <m/>
    <n v="0.15"/>
    <n v="8.5500000000000007E-2"/>
    <m/>
    <m/>
    <m/>
    <m/>
    <m/>
    <m/>
    <n v="0.98550000000000004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Tanambao Tsirandrany"/>
    <s v="ECOLE COMMUNAUTAIRE TEMAGNALO"/>
    <m/>
    <m/>
    <n v="71"/>
    <m/>
    <x v="3"/>
    <s v="HGSF"/>
    <m/>
    <n v="0.55000000000000004"/>
    <m/>
    <m/>
    <m/>
    <n v="0.05"/>
    <n v="4.0500000000000001E-2"/>
    <m/>
    <m/>
    <m/>
    <m/>
    <m/>
    <m/>
    <m/>
    <n v="1568248"/>
    <m/>
  </r>
  <r>
    <x v="0"/>
    <n v="2024"/>
    <x v="3"/>
    <s v="SMP1"/>
    <x v="8"/>
    <s v="School feeding"/>
    <m/>
    <m/>
    <s v="Ambovombe"/>
    <x v="0"/>
    <s v="Taolagnaro"/>
    <s v="Androy"/>
    <x v="3"/>
    <m/>
    <s v="TANAMBAO TSIRANDRANY"/>
    <s v="EPP MITSINJO I"/>
    <m/>
    <m/>
    <n v="93"/>
    <m/>
    <x v="3"/>
    <s v="HGSF"/>
    <m/>
    <n v="0.7"/>
    <m/>
    <m/>
    <m/>
    <n v="0.05"/>
    <n v="4.9500000000000002E-2"/>
    <m/>
    <m/>
    <m/>
    <m/>
    <m/>
    <m/>
    <m/>
    <n v="2054184"/>
    <m/>
  </r>
  <r>
    <x v="0"/>
    <n v="2024"/>
    <x v="3"/>
    <s v="SMP1"/>
    <x v="8"/>
    <s v="School feeding"/>
    <m/>
    <m/>
    <s v="Ambovombe"/>
    <x v="0"/>
    <s v="Taolagnaro"/>
    <s v="Androy"/>
    <x v="3"/>
    <m/>
    <s v="TANAMBAO TSIRANDRANY"/>
    <s v="EPP TANAMBAO TSIRANDRANY"/>
    <m/>
    <m/>
    <n v="635"/>
    <m/>
    <x v="3"/>
    <s v="HGSF"/>
    <m/>
    <n v="4.4000000000000004"/>
    <m/>
    <m/>
    <m/>
    <n v="0.05"/>
    <n v="0.29699999999999999"/>
    <m/>
    <m/>
    <m/>
    <m/>
    <m/>
    <m/>
    <m/>
    <n v="14025880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MANAKOLIVA"/>
    <m/>
    <m/>
    <n v="426"/>
    <m/>
    <x v="3"/>
    <s v="HGSF"/>
    <m/>
    <n v="1.4"/>
    <m/>
    <m/>
    <m/>
    <n v="0.05"/>
    <n v="9.9000000000000005E-2"/>
    <m/>
    <m/>
    <m/>
    <m/>
    <m/>
    <m/>
    <m/>
    <n v="9409488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ECOLE COMMUNAUTAIRE SAKOAMPOLO"/>
    <m/>
    <m/>
    <n v="186"/>
    <m/>
    <x v="3"/>
    <s v="HGSF"/>
    <m/>
    <n v="0.65"/>
    <m/>
    <m/>
    <m/>
    <n v="0.05"/>
    <n v="4.4999999999999998E-2"/>
    <m/>
    <m/>
    <m/>
    <m/>
    <m/>
    <m/>
    <m/>
    <n v="4108368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ECOLE COMMUNAUTAIRE BEKIJOLY"/>
    <m/>
    <m/>
    <n v="206"/>
    <m/>
    <x v="3"/>
    <s v="HGSF"/>
    <m/>
    <n v="0.7"/>
    <m/>
    <m/>
    <m/>
    <n v="0.05"/>
    <n v="4.9500000000000002E-2"/>
    <m/>
    <m/>
    <m/>
    <m/>
    <m/>
    <m/>
    <m/>
    <n v="4550128"/>
    <m/>
  </r>
  <r>
    <x v="0"/>
    <n v="2024"/>
    <x v="3"/>
    <s v="SMP1"/>
    <x v="8"/>
    <s v="School feeding"/>
    <m/>
    <m/>
    <s v="Ambovombe"/>
    <x v="0"/>
    <s v="Taolagnaro"/>
    <s v="Androy"/>
    <x v="3"/>
    <m/>
    <s v="Vohimanga"/>
    <s v="ECOLE COMMUNAUTAIRE ANDARO"/>
    <m/>
    <m/>
    <n v="123"/>
    <m/>
    <x v="3"/>
    <s v="HGSF"/>
    <m/>
    <n v="0.95"/>
    <m/>
    <m/>
    <m/>
    <n v="0.05"/>
    <n v="6.7500000000000004E-2"/>
    <m/>
    <m/>
    <m/>
    <m/>
    <m/>
    <m/>
    <m/>
    <n v="2716824"/>
    <m/>
  </r>
  <r>
    <x v="0"/>
    <n v="2024"/>
    <x v="3"/>
    <s v="SMP1"/>
    <x v="8"/>
    <s v="School feeding"/>
    <m/>
    <m/>
    <s v="Ambovombe"/>
    <x v="0"/>
    <s v="Taolagnaro"/>
    <s v="Androy"/>
    <x v="3"/>
    <m/>
    <s v="MIKAIKARIVOAMBATOMAINTY"/>
    <s v="ANDRANOMASY VOHITANY"/>
    <m/>
    <m/>
    <n v="312"/>
    <m/>
    <x v="1"/>
    <s v="classique"/>
    <m/>
    <n v="1.05"/>
    <m/>
    <m/>
    <m/>
    <n v="0.25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BESOHIHY"/>
    <m/>
    <m/>
    <n v="173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FENOARIVO"/>
    <m/>
    <m/>
    <n v="148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ANDRANOMATAVY"/>
    <m/>
    <m/>
    <n v="206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BESAKOA"/>
    <m/>
    <m/>
    <n v="382"/>
    <m/>
    <x v="3"/>
    <s v="HGSF"/>
    <m/>
    <n v="2.1"/>
    <m/>
    <m/>
    <m/>
    <n v="0.05"/>
    <n v="0.09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x v="3"/>
    <m/>
    <s v="MIKAIKARIVOAMBATOMAINTY"/>
    <s v="AMPANY ANIVORANO"/>
    <m/>
    <m/>
    <n v="255"/>
    <m/>
    <x v="1"/>
    <s v="classique"/>
    <m/>
    <n v="0.85"/>
    <m/>
    <m/>
    <m/>
    <n v="0.2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bovombe"/>
    <x v="0"/>
    <s v="Taolagnaro"/>
    <s v="Androy"/>
    <x v="3"/>
    <m/>
    <s v="BESAKOA"/>
    <s v="ECOLE COMMUNAUTAIRE FENOARIVO II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x v="12"/>
    <m/>
    <s v="AMBATOTSIVALA"/>
    <s v="ANDINGOLINGO"/>
    <m/>
    <m/>
    <n v="191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AMBATOTSIVALA"/>
    <s v="EPP AGNALAMIHOATSE"/>
    <m/>
    <m/>
    <n v="107"/>
    <m/>
    <x v="3"/>
    <s v="HGSF"/>
    <m/>
    <n v="0.8"/>
    <m/>
    <m/>
    <m/>
    <n v="0.05"/>
    <n v="5.8500000000000003E-2"/>
    <m/>
    <m/>
    <m/>
    <m/>
    <m/>
    <m/>
    <m/>
    <n v="2363416"/>
    <m/>
  </r>
  <r>
    <x v="0"/>
    <n v="2024"/>
    <x v="3"/>
    <s v="SMP1"/>
    <x v="8"/>
    <s v="School feeding"/>
    <m/>
    <m/>
    <s v="Ambovombe"/>
    <x v="0"/>
    <s v="Taolagnaro"/>
    <s v="Androy"/>
    <x v="12"/>
    <m/>
    <s v="AMBATOTSIVALA"/>
    <s v="EPP AMBATOTSIVALA"/>
    <m/>
    <m/>
    <n v="204"/>
    <m/>
    <x v="3"/>
    <s v="HGSF"/>
    <m/>
    <n v="1.55"/>
    <m/>
    <m/>
    <m/>
    <n v="0.1"/>
    <n v="0.1125"/>
    <m/>
    <m/>
    <m/>
    <m/>
    <m/>
    <m/>
    <m/>
    <n v="4505952"/>
    <m/>
  </r>
  <r>
    <x v="0"/>
    <n v="2024"/>
    <x v="3"/>
    <s v="SMP1"/>
    <x v="8"/>
    <s v="School feeding"/>
    <m/>
    <m/>
    <s v="Ambovombe"/>
    <x v="0"/>
    <s v="Taolagnaro"/>
    <s v="Androy"/>
    <x v="12"/>
    <m/>
    <s v="AMBATOTSIVALA"/>
    <s v="EPP ANKILIVAHARY"/>
    <m/>
    <m/>
    <n v="179"/>
    <m/>
    <x v="3"/>
    <s v="HGSF"/>
    <m/>
    <n v="1.4"/>
    <m/>
    <m/>
    <m/>
    <n v="0.1"/>
    <n v="9.9000000000000005E-2"/>
    <m/>
    <m/>
    <m/>
    <m/>
    <m/>
    <m/>
    <m/>
    <n v="3953752"/>
    <m/>
  </r>
  <r>
    <x v="0"/>
    <n v="2024"/>
    <x v="3"/>
    <s v="SMP1"/>
    <x v="8"/>
    <s v="School feeding"/>
    <m/>
    <m/>
    <s v="Ambovombe"/>
    <x v="0"/>
    <s v="Taolagnaro"/>
    <s v="Androy"/>
    <x v="12"/>
    <m/>
    <s v="AMBATOTSIVALA"/>
    <s v="KORONGA"/>
    <m/>
    <m/>
    <n v="251"/>
    <m/>
    <x v="3"/>
    <s v="HGSF"/>
    <m/>
    <n v="1.95"/>
    <m/>
    <m/>
    <m/>
    <n v="0.1"/>
    <n v="0.13950000000000001"/>
    <m/>
    <m/>
    <m/>
    <m/>
    <m/>
    <m/>
    <m/>
    <n v="5544088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ANALALAVA-NORD"/>
    <m/>
    <m/>
    <n v="181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ANALOALO"/>
    <m/>
    <m/>
    <n v="136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ANDRANOLAVA-NORD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ANTANIMENA-NORD"/>
    <m/>
    <m/>
    <n v="130"/>
    <m/>
    <x v="1"/>
    <s v="classique"/>
    <m/>
    <n v="1"/>
    <m/>
    <m/>
    <m/>
    <n v="0.25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BEMENA"/>
    <m/>
    <m/>
    <n v="284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EPP ANTSAKOANTSOA"/>
    <m/>
    <m/>
    <n v="101"/>
    <m/>
    <x v="3"/>
    <s v="HGSF"/>
    <m/>
    <n v="0.8"/>
    <m/>
    <m/>
    <m/>
    <n v="0.05"/>
    <n v="5.3999999999999999E-2"/>
    <m/>
    <m/>
    <m/>
    <m/>
    <m/>
    <m/>
    <m/>
    <n v="2230888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EPP BEHABOBO"/>
    <m/>
    <m/>
    <n v="541"/>
    <m/>
    <x v="3"/>
    <s v="HGSF"/>
    <m/>
    <n v="4.1500000000000004"/>
    <m/>
    <m/>
    <m/>
    <n v="0.2"/>
    <n v="0.29699999999999999"/>
    <m/>
    <m/>
    <m/>
    <m/>
    <m/>
    <m/>
    <m/>
    <n v="11949608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MAROBASIA-NORD"/>
    <m/>
    <m/>
    <n v="150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MAROBASIA-SUD"/>
    <m/>
    <m/>
    <n v="155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MAROHERY"/>
    <m/>
    <m/>
    <n v="195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SIHANADROTSY"/>
    <m/>
    <m/>
    <n v="157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HABOBO"/>
    <s v="TSIMILOFO"/>
    <m/>
    <m/>
    <n v="188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AMBOHIVOLA"/>
    <m/>
    <m/>
    <n v="441"/>
    <m/>
    <x v="3"/>
    <s v="HGSF"/>
    <m/>
    <n v="3.4"/>
    <m/>
    <m/>
    <m/>
    <n v="0.15"/>
    <n v="0.24299999999999999"/>
    <m/>
    <m/>
    <m/>
    <m/>
    <m/>
    <m/>
    <m/>
    <n v="9740808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AMBOROGNEOKE"/>
    <m/>
    <m/>
    <n v="138"/>
    <m/>
    <x v="1"/>
    <s v="classique"/>
    <m/>
    <n v="0.55000000000000004"/>
    <m/>
    <m/>
    <m/>
    <n v="0.1"/>
    <n v="4.4999999999999998E-2"/>
    <m/>
    <m/>
    <m/>
    <m/>
    <m/>
    <m/>
    <n v="0.69500000000000006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ANDOVOKE"/>
    <m/>
    <m/>
    <n v="288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ANKAZOMAGNITSE"/>
    <m/>
    <m/>
    <n v="524"/>
    <m/>
    <x v="3"/>
    <s v="HGSF"/>
    <m/>
    <n v="4.05"/>
    <m/>
    <m/>
    <m/>
    <n v="0.2"/>
    <n v="0.28799999999999998"/>
    <m/>
    <m/>
    <m/>
    <m/>
    <m/>
    <m/>
    <m/>
    <n v="1157411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ANTREAKE"/>
    <m/>
    <m/>
    <n v="378"/>
    <m/>
    <x v="3"/>
    <s v="HGSF"/>
    <m/>
    <n v="2.9"/>
    <m/>
    <m/>
    <m/>
    <n v="0.15"/>
    <n v="0.20699999999999999"/>
    <m/>
    <m/>
    <m/>
    <m/>
    <m/>
    <m/>
    <m/>
    <n v="8349264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BELOHA CENTRE"/>
    <m/>
    <m/>
    <n v="1531"/>
    <m/>
    <x v="3"/>
    <s v="HGSF"/>
    <m/>
    <n v="11.8"/>
    <m/>
    <m/>
    <m/>
    <n v="0.55000000000000004"/>
    <n v="0.84150000000000003"/>
    <m/>
    <m/>
    <m/>
    <m/>
    <m/>
    <m/>
    <m/>
    <n v="33816728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ANALALAVA OUEST"/>
    <m/>
    <m/>
    <n v="269"/>
    <m/>
    <x v="3"/>
    <s v="HGSF"/>
    <m/>
    <n v="2.0499999999999998"/>
    <m/>
    <m/>
    <m/>
    <n v="0.1"/>
    <n v="0.14849999999999999"/>
    <m/>
    <m/>
    <m/>
    <m/>
    <m/>
    <m/>
    <m/>
    <n v="594167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ANDOMBIRY"/>
    <m/>
    <m/>
    <n v="164"/>
    <m/>
    <x v="3"/>
    <s v="HGSF"/>
    <m/>
    <n v="1.25"/>
    <m/>
    <m/>
    <m/>
    <n v="0.1"/>
    <n v="0.09"/>
    <m/>
    <m/>
    <m/>
    <m/>
    <m/>
    <m/>
    <m/>
    <n v="362243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ANDRANOHAZONAILY"/>
    <m/>
    <m/>
    <n v="144"/>
    <m/>
    <x v="3"/>
    <s v="HGSF"/>
    <m/>
    <n v="1.1000000000000001"/>
    <m/>
    <m/>
    <m/>
    <n v="0.05"/>
    <n v="8.1000000000000003E-2"/>
    <m/>
    <m/>
    <m/>
    <m/>
    <m/>
    <m/>
    <m/>
    <n v="318067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ANKILIBEHARA"/>
    <m/>
    <m/>
    <n v="154"/>
    <m/>
    <x v="3"/>
    <s v="HGSF"/>
    <m/>
    <n v="1.2"/>
    <m/>
    <m/>
    <m/>
    <n v="0.1"/>
    <n v="8.5500000000000007E-2"/>
    <m/>
    <m/>
    <m/>
    <m/>
    <m/>
    <m/>
    <m/>
    <n v="340155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ANKILIMIARY"/>
    <m/>
    <m/>
    <n v="199"/>
    <m/>
    <x v="3"/>
    <s v="HGSF"/>
    <m/>
    <n v="1.55"/>
    <m/>
    <m/>
    <m/>
    <n v="0.1"/>
    <n v="0.108"/>
    <m/>
    <m/>
    <m/>
    <m/>
    <m/>
    <m/>
    <m/>
    <n v="4395512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EPP BEBORODOKE"/>
    <m/>
    <m/>
    <n v="153"/>
    <m/>
    <x v="3"/>
    <s v="HGSF"/>
    <m/>
    <n v="1.2"/>
    <m/>
    <m/>
    <m/>
    <n v="0.1"/>
    <n v="8.5500000000000007E-2"/>
    <m/>
    <m/>
    <m/>
    <m/>
    <m/>
    <m/>
    <m/>
    <n v="3379464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KIRIMOSA"/>
    <m/>
    <m/>
    <n v="354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MONTO"/>
    <m/>
    <m/>
    <n v="199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NAMANDRIHA"/>
    <m/>
    <m/>
    <n v="110"/>
    <m/>
    <x v="1"/>
    <s v="classique"/>
    <m/>
    <n v="0.2"/>
    <m/>
    <m/>
    <m/>
    <n v="0.05"/>
    <n v="8.9999999999999993E-3"/>
    <m/>
    <m/>
    <m/>
    <m/>
    <m/>
    <m/>
    <n v="0.2590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NIFANITSE"/>
    <m/>
    <m/>
    <n v="196"/>
    <m/>
    <x v="1"/>
    <s v="classique"/>
    <m/>
    <n v="1.05"/>
    <m/>
    <m/>
    <m/>
    <n v="0.2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BELOHA"/>
    <s v="ZAMBE"/>
    <m/>
    <m/>
    <n v="364"/>
    <m/>
    <x v="1"/>
    <s v="classique"/>
    <m/>
    <n v="1.3"/>
    <m/>
    <m/>
    <m/>
    <n v="0.3"/>
    <n v="0.09"/>
    <m/>
    <m/>
    <m/>
    <m/>
    <m/>
    <m/>
    <n v="1.6900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KILETOKA"/>
    <m/>
    <m/>
    <n v="210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MBOLITSIFA"/>
    <m/>
    <m/>
    <n v="216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MPILOFILO"/>
    <m/>
    <m/>
    <n v="213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ANAKOFANDRA SUD"/>
    <m/>
    <m/>
    <n v="297"/>
    <m/>
    <x v="1"/>
    <s v="classique"/>
    <m/>
    <n v="1.1000000000000001"/>
    <m/>
    <m/>
    <m/>
    <n v="0.2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DAHIVOZAKE"/>
    <m/>
    <m/>
    <n v="293"/>
    <m/>
    <x v="1"/>
    <s v="classique"/>
    <m/>
    <n v="1"/>
    <m/>
    <m/>
    <m/>
    <n v="0.2"/>
    <n v="0.16200000000000001"/>
    <m/>
    <m/>
    <m/>
    <m/>
    <m/>
    <m/>
    <n v="1.361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DRANOHAZOKILY"/>
    <m/>
    <m/>
    <n v="212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JANDAVO"/>
    <m/>
    <m/>
    <n v="248"/>
    <m/>
    <x v="1"/>
    <s v="classique"/>
    <m/>
    <n v="0.55000000000000004"/>
    <m/>
    <m/>
    <m/>
    <n v="0.15"/>
    <n v="4.0500000000000001E-2"/>
    <m/>
    <m/>
    <m/>
    <m/>
    <m/>
    <m/>
    <n v="0.7405000000000000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JAPOTY"/>
    <m/>
    <m/>
    <n v="183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JATOVO"/>
    <m/>
    <m/>
    <n v="200"/>
    <m/>
    <x v="1"/>
    <s v="classique"/>
    <m/>
    <n v="0.85"/>
    <m/>
    <m/>
    <m/>
    <n v="0.15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ANKILIVOANGY"/>
    <m/>
    <m/>
    <n v="539"/>
    <m/>
    <x v="1"/>
    <s v="classique"/>
    <m/>
    <n v="4.1500000000000004"/>
    <m/>
    <m/>
    <m/>
    <n v="0.9"/>
    <n v="0.29699999999999999"/>
    <m/>
    <m/>
    <m/>
    <m/>
    <m/>
    <m/>
    <n v="5.3470000000000004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EPP AFONDRAVOATSY NORD"/>
    <m/>
    <m/>
    <n v="181"/>
    <m/>
    <x v="3"/>
    <s v="HGSF"/>
    <m/>
    <n v="1.4"/>
    <m/>
    <m/>
    <m/>
    <n v="0.1"/>
    <n v="9.9000000000000005E-2"/>
    <m/>
    <m/>
    <m/>
    <m/>
    <m/>
    <m/>
    <m/>
    <n v="3997928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EPP AGNANAKIRIHITSE"/>
    <m/>
    <m/>
    <n v="194"/>
    <m/>
    <x v="3"/>
    <s v="HGSF"/>
    <m/>
    <n v="1.5"/>
    <m/>
    <m/>
    <m/>
    <n v="0.1"/>
    <n v="0.108"/>
    <m/>
    <m/>
    <m/>
    <m/>
    <m/>
    <m/>
    <m/>
    <n v="4285072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EPP AMBOHIMAGNARE"/>
    <m/>
    <m/>
    <n v="258"/>
    <m/>
    <x v="3"/>
    <s v="HGSF"/>
    <m/>
    <n v="2"/>
    <m/>
    <m/>
    <m/>
    <n v="0.1"/>
    <n v="0.14399999999999999"/>
    <m/>
    <m/>
    <m/>
    <m/>
    <m/>
    <m/>
    <m/>
    <n v="5698704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EPP ANTSETA"/>
    <m/>
    <m/>
    <n v="634"/>
    <m/>
    <x v="3"/>
    <s v="HGSF"/>
    <m/>
    <n v="4.9000000000000004"/>
    <m/>
    <m/>
    <m/>
    <n v="0.25"/>
    <n v="0.34649999999999997"/>
    <m/>
    <m/>
    <m/>
    <m/>
    <m/>
    <m/>
    <m/>
    <n v="14003792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EPP BETSAKO"/>
    <m/>
    <m/>
    <n v="163"/>
    <m/>
    <x v="3"/>
    <s v="HGSF"/>
    <m/>
    <n v="1.25"/>
    <m/>
    <m/>
    <m/>
    <n v="0.1"/>
    <n v="0.09"/>
    <m/>
    <m/>
    <m/>
    <m/>
    <m/>
    <m/>
    <m/>
    <n v="3600344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KOPOKY"/>
    <m/>
    <m/>
    <n v="532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SATRAGNARIVO"/>
    <m/>
    <m/>
    <n v="208"/>
    <m/>
    <x v="1"/>
    <s v="classique"/>
    <m/>
    <n v="0.7"/>
    <m/>
    <m/>
    <m/>
    <n v="0.1"/>
    <n v="4.4999999999999998E-2"/>
    <m/>
    <m/>
    <m/>
    <m/>
    <m/>
    <m/>
    <n v="0.84499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SIHANAKAMPAHA"/>
    <m/>
    <m/>
    <n v="211"/>
    <m/>
    <x v="1"/>
    <s v="classique"/>
    <m/>
    <n v="0.8"/>
    <m/>
    <m/>
    <m/>
    <n v="0.15"/>
    <n v="5.8500000000000003E-2"/>
    <m/>
    <m/>
    <m/>
    <m/>
    <m/>
    <m/>
    <n v="1.0085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TANANDAVA SUD"/>
    <m/>
    <m/>
    <n v="25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TRATRAVAKY"/>
    <m/>
    <m/>
    <n v="233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TSIMAITO"/>
    <m/>
    <m/>
    <n v="32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TSIMAITO-AMBANY"/>
    <m/>
    <m/>
    <n v="208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KOPOKY"/>
    <s v="VAREMARO"/>
    <m/>
    <m/>
    <n v="208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ANDRAMBALY"/>
    <m/>
    <m/>
    <n v="303"/>
    <m/>
    <x v="1"/>
    <s v="classique"/>
    <m/>
    <n v="2.35"/>
    <m/>
    <m/>
    <m/>
    <n v="0.5"/>
    <n v="0.16650000000000001"/>
    <m/>
    <m/>
    <m/>
    <m/>
    <m/>
    <m/>
    <n v="3.0165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BEHOROFA"/>
    <m/>
    <m/>
    <n v="174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ECOLE COMMUNAUTAIRE ANTSAGNIRA"/>
    <m/>
    <m/>
    <n v="140"/>
    <m/>
    <x v="3"/>
    <s v="HGSF"/>
    <m/>
    <n v="1.1000000000000001"/>
    <m/>
    <m/>
    <m/>
    <n v="0.05"/>
    <n v="7.6499999999999999E-2"/>
    <m/>
    <m/>
    <m/>
    <m/>
    <m/>
    <m/>
    <m/>
    <n v="3092320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EPP MAHENIMBE"/>
    <m/>
    <m/>
    <n v="174"/>
    <m/>
    <x v="3"/>
    <s v="HGSF"/>
    <m/>
    <n v="1.35"/>
    <m/>
    <m/>
    <m/>
    <n v="0.1"/>
    <n v="9.4500000000000001E-2"/>
    <m/>
    <m/>
    <m/>
    <m/>
    <m/>
    <m/>
    <m/>
    <n v="3843312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EPP MAHENY"/>
    <m/>
    <m/>
    <n v="237"/>
    <m/>
    <x v="3"/>
    <s v="HGSF"/>
    <m/>
    <n v="1.8"/>
    <m/>
    <m/>
    <m/>
    <n v="0.1"/>
    <n v="0.1305"/>
    <m/>
    <m/>
    <m/>
    <m/>
    <m/>
    <m/>
    <m/>
    <n v="5234856"/>
    <m/>
  </r>
  <r>
    <x v="0"/>
    <n v="2024"/>
    <x v="3"/>
    <s v="SMP1"/>
    <x v="8"/>
    <s v="School feeding"/>
    <m/>
    <m/>
    <s v="Ambovombe"/>
    <x v="0"/>
    <s v="Taolagnaro"/>
    <s v="Androy"/>
    <x v="12"/>
    <m/>
    <s v="MAHENY"/>
    <s v="VONDROTE"/>
    <m/>
    <m/>
    <n v="234"/>
    <m/>
    <x v="1"/>
    <s v="classique"/>
    <m/>
    <n v="0.9"/>
    <m/>
    <m/>
    <m/>
    <n v="0.2"/>
    <n v="6.7500000000000004E-2"/>
    <m/>
    <m/>
    <m/>
    <m/>
    <m/>
    <m/>
    <n v="1.167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ANJAMIKORY"/>
    <m/>
    <m/>
    <n v="124"/>
    <m/>
    <x v="1"/>
    <s v="classique"/>
    <m/>
    <n v="0.85"/>
    <m/>
    <m/>
    <m/>
    <n v="0.15"/>
    <n v="6.3E-2"/>
    <m/>
    <m/>
    <m/>
    <m/>
    <m/>
    <m/>
    <n v="1.062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ANKILIMALANGY"/>
    <m/>
    <m/>
    <n v="505"/>
    <m/>
    <x v="1"/>
    <s v="classique"/>
    <m/>
    <n v="3.9"/>
    <m/>
    <m/>
    <m/>
    <n v="0.85"/>
    <n v="0.27900000000000003"/>
    <m/>
    <m/>
    <m/>
    <m/>
    <m/>
    <m/>
    <n v="5.028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COLE COMMUNAUTAIRE AMBOROTSE"/>
    <m/>
    <m/>
    <n v="353"/>
    <m/>
    <x v="3"/>
    <s v="HGSF"/>
    <m/>
    <n v="2.7"/>
    <m/>
    <m/>
    <m/>
    <n v="0.15"/>
    <n v="0.19350000000000001"/>
    <m/>
    <m/>
    <m/>
    <m/>
    <m/>
    <m/>
    <m/>
    <n v="7797064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COLE COMMUNAUTAIRE ANKILISOA"/>
    <m/>
    <m/>
    <n v="139"/>
    <m/>
    <x v="3"/>
    <s v="HGSF"/>
    <m/>
    <n v="0.3"/>
    <m/>
    <m/>
    <m/>
    <n v="0"/>
    <n v="2.2499999999999999E-2"/>
    <m/>
    <m/>
    <m/>
    <m/>
    <m/>
    <m/>
    <m/>
    <n v="3070232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COLE COMMUNAUTAIRE ANKILIVALO MANDROSO"/>
    <m/>
    <m/>
    <n v="88"/>
    <m/>
    <x v="3"/>
    <s v="HGSF"/>
    <m/>
    <n v="0.7"/>
    <m/>
    <m/>
    <m/>
    <n v="0"/>
    <n v="4.9500000000000002E-2"/>
    <m/>
    <m/>
    <m/>
    <m/>
    <m/>
    <m/>
    <m/>
    <n v="1943744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COLE COMMUNAUTAIRE ANTANIMENA"/>
    <m/>
    <m/>
    <n v="133"/>
    <m/>
    <x v="3"/>
    <s v="HGSF"/>
    <m/>
    <n v="0"/>
    <m/>
    <m/>
    <m/>
    <n v="0"/>
    <n v="0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PP AMPOTAKE"/>
    <m/>
    <m/>
    <n v="521"/>
    <m/>
    <x v="3"/>
    <s v="HGSF"/>
    <m/>
    <n v="4"/>
    <m/>
    <m/>
    <m/>
    <n v="0.2"/>
    <n v="0.28799999999999998"/>
    <m/>
    <m/>
    <m/>
    <m/>
    <m/>
    <m/>
    <m/>
    <n v="11507848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PP ANKILIMILALY"/>
    <m/>
    <m/>
    <n v="153"/>
    <m/>
    <x v="3"/>
    <s v="HGSF"/>
    <m/>
    <n v="1"/>
    <m/>
    <m/>
    <m/>
    <n v="0.1"/>
    <n v="7.1999999999999995E-2"/>
    <m/>
    <m/>
    <m/>
    <m/>
    <m/>
    <m/>
    <m/>
    <n v="3379464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PP MANOMBO"/>
    <m/>
    <m/>
    <n v="221"/>
    <m/>
    <x v="3"/>
    <s v="HGSF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PP MAROLINTA"/>
    <m/>
    <m/>
    <n v="124"/>
    <m/>
    <x v="3"/>
    <s v="HGSF"/>
    <m/>
    <n v="0"/>
    <m/>
    <m/>
    <m/>
    <n v="0.05"/>
    <n v="0"/>
    <m/>
    <m/>
    <m/>
    <m/>
    <m/>
    <m/>
    <m/>
    <n v="2738912"/>
    <m/>
  </r>
  <r>
    <x v="0"/>
    <n v="2024"/>
    <x v="3"/>
    <s v="SMP1"/>
    <x v="8"/>
    <s v="School feeding"/>
    <m/>
    <m/>
    <s v="Ambovombe"/>
    <x v="0"/>
    <s v="Taolagnaro"/>
    <s v="Androy"/>
    <x v="12"/>
    <m/>
    <s v="MAROLINTA"/>
    <s v="EPP TANANDAVA"/>
    <m/>
    <m/>
    <n v="276"/>
    <m/>
    <x v="3"/>
    <s v="HGSF"/>
    <m/>
    <n v="2.15"/>
    <m/>
    <m/>
    <m/>
    <n v="0.1"/>
    <n v="0.153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ANKIBAINIMAY"/>
    <m/>
    <m/>
    <n v="185"/>
    <m/>
    <x v="1"/>
    <s v="classique"/>
    <m/>
    <n v="1.4"/>
    <m/>
    <m/>
    <m/>
    <n v="0.35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ANKILIANAGNO"/>
    <m/>
    <m/>
    <n v="191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ANKILIMIHAMY"/>
    <m/>
    <m/>
    <n v="294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ANTSAKOAMIAVOTSE"/>
    <m/>
    <m/>
    <n v="118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ANTSOLO"/>
    <m/>
    <m/>
    <n v="16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BOBOKE"/>
    <m/>
    <m/>
    <n v="231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AMPOTOBATO"/>
    <m/>
    <m/>
    <n v="303"/>
    <m/>
    <x v="3"/>
    <s v="HGSF"/>
    <m/>
    <n v="2.35"/>
    <m/>
    <m/>
    <m/>
    <n v="0.1"/>
    <n v="0.16650000000000001"/>
    <m/>
    <m/>
    <m/>
    <m/>
    <m/>
    <m/>
    <m/>
    <n v="6692664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ANDAMILAMY"/>
    <m/>
    <m/>
    <n v="260"/>
    <m/>
    <x v="3"/>
    <s v="HGSF"/>
    <m/>
    <n v="2"/>
    <m/>
    <m/>
    <m/>
    <n v="0.1"/>
    <n v="0.14399999999999999"/>
    <m/>
    <m/>
    <m/>
    <m/>
    <m/>
    <m/>
    <m/>
    <n v="574288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ANDRANOHERIKE"/>
    <m/>
    <m/>
    <n v="276"/>
    <m/>
    <x v="3"/>
    <s v="HGSF"/>
    <m/>
    <n v="2.15"/>
    <m/>
    <m/>
    <m/>
    <n v="0.1"/>
    <n v="0.153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ANTSAKOAMITONDRITSE NORD"/>
    <m/>
    <m/>
    <n v="97"/>
    <m/>
    <x v="3"/>
    <s v="HGSF"/>
    <m/>
    <n v="0.75"/>
    <m/>
    <m/>
    <m/>
    <n v="0.05"/>
    <n v="5.3999999999999999E-2"/>
    <m/>
    <m/>
    <m/>
    <m/>
    <m/>
    <m/>
    <m/>
    <n v="2142536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ANTSIFITSE"/>
    <m/>
    <m/>
    <n v="169"/>
    <m/>
    <x v="3"/>
    <s v="HGSF"/>
    <m/>
    <n v="1.3"/>
    <m/>
    <m/>
    <m/>
    <n v="0.1"/>
    <n v="9.4500000000000001E-2"/>
    <m/>
    <m/>
    <m/>
    <m/>
    <m/>
    <m/>
    <m/>
    <n v="3732872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JONTANY"/>
    <m/>
    <m/>
    <n v="132"/>
    <m/>
    <x v="3"/>
    <s v="HGSF"/>
    <m/>
    <n v="1"/>
    <m/>
    <m/>
    <m/>
    <n v="0.05"/>
    <n v="7.1999999999999995E-2"/>
    <m/>
    <m/>
    <m/>
    <m/>
    <m/>
    <m/>
    <m/>
    <n v="2915616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KOBOARY"/>
    <m/>
    <m/>
    <n v="168"/>
    <m/>
    <x v="3"/>
    <s v="HGSF"/>
    <m/>
    <n v="1.3"/>
    <m/>
    <m/>
    <m/>
    <n v="0.1"/>
    <n v="9.4500000000000001E-2"/>
    <m/>
    <m/>
    <m/>
    <m/>
    <m/>
    <m/>
    <m/>
    <n v="3710784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TSOTSO"/>
    <m/>
    <m/>
    <n v="245"/>
    <m/>
    <x v="3"/>
    <s v="HGSF"/>
    <m/>
    <n v="1.9"/>
    <m/>
    <m/>
    <m/>
    <n v="0.1"/>
    <n v="0.13500000000000001"/>
    <m/>
    <m/>
    <m/>
    <m/>
    <m/>
    <m/>
    <m/>
    <n v="541156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EPP VOHIBOLA"/>
    <m/>
    <m/>
    <n v="208"/>
    <m/>
    <x v="3"/>
    <s v="HGSF"/>
    <m/>
    <n v="1.6"/>
    <m/>
    <m/>
    <m/>
    <n v="0.1"/>
    <n v="0.1125"/>
    <m/>
    <m/>
    <m/>
    <m/>
    <m/>
    <m/>
    <m/>
    <n v="4594304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KEREMBOLA"/>
    <m/>
    <m/>
    <n v="220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MAROMASO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RERANGO"/>
    <m/>
    <m/>
    <n v="132"/>
    <m/>
    <x v="1"/>
    <s v="classique"/>
    <m/>
    <n v="0.5"/>
    <m/>
    <m/>
    <m/>
    <n v="0.1"/>
    <n v="3.5999999999999997E-2"/>
    <m/>
    <m/>
    <m/>
    <m/>
    <m/>
    <m/>
    <n v="0.63600000000000001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roa"/>
    <s v="TRANOROA"/>
    <m/>
    <m/>
    <n v="759"/>
    <m/>
    <x v="3"/>
    <s v="HGSF"/>
    <m/>
    <n v="5.85"/>
    <m/>
    <m/>
    <m/>
    <n v="0.3"/>
    <n v="0.41849999999999998"/>
    <m/>
    <m/>
    <m/>
    <m/>
    <m/>
    <m/>
    <m/>
    <n v="16764792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MBALANOSY"/>
    <m/>
    <m/>
    <n v="191"/>
    <m/>
    <x v="1"/>
    <s v="classique"/>
    <m/>
    <n v="0.45"/>
    <m/>
    <m/>
    <m/>
    <n v="0.1"/>
    <n v="3.5999999999999997E-2"/>
    <m/>
    <m/>
    <m/>
    <m/>
    <m/>
    <m/>
    <n v="0.58600000000000008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MBORIMAHASOA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MPIHAMY"/>
    <m/>
    <m/>
    <n v="198"/>
    <m/>
    <x v="1"/>
    <s v="classique"/>
    <m/>
    <n v="1.05"/>
    <m/>
    <m/>
    <m/>
    <n v="0.2"/>
    <n v="7.6499999999999999E-2"/>
    <m/>
    <m/>
    <m/>
    <m/>
    <m/>
    <m/>
    <n v="1.326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NDRASEKE SUD"/>
    <m/>
    <m/>
    <n v="170"/>
    <m/>
    <x v="1"/>
    <s v="classique"/>
    <m/>
    <n v="0.4"/>
    <m/>
    <m/>
    <m/>
    <n v="0.1"/>
    <n v="0"/>
    <m/>
    <m/>
    <m/>
    <m/>
    <m/>
    <m/>
    <n v="0.5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NTANIMENA SUD"/>
    <m/>
    <m/>
    <n v="123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ANTSAKOAMALANGY"/>
    <m/>
    <m/>
    <n v="140"/>
    <m/>
    <x v="1"/>
    <s v="classique"/>
    <m/>
    <n v="0.65"/>
    <m/>
    <m/>
    <m/>
    <n v="0.1"/>
    <n v="4.4999999999999998E-2"/>
    <m/>
    <m/>
    <m/>
    <m/>
    <m/>
    <m/>
    <n v="0.79500000000000004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COLE COMMUNAUTAIRE AMBAZOAMILOLOKE"/>
    <m/>
    <m/>
    <n v="125"/>
    <m/>
    <x v="3"/>
    <s v="HGSF"/>
    <m/>
    <n v="0.95"/>
    <m/>
    <m/>
    <m/>
    <n v="0.05"/>
    <n v="6.7500000000000004E-2"/>
    <m/>
    <m/>
    <m/>
    <m/>
    <m/>
    <m/>
    <m/>
    <n v="276100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COLE COMMUNAUTAIRE ANKILISINAO"/>
    <m/>
    <m/>
    <n v="274"/>
    <m/>
    <x v="3"/>
    <s v="HGSF"/>
    <m/>
    <n v="2.1"/>
    <m/>
    <m/>
    <m/>
    <n v="0.1"/>
    <n v="0.14849999999999999"/>
    <m/>
    <m/>
    <m/>
    <m/>
    <m/>
    <m/>
    <m/>
    <n v="6052112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AMBATOMASY"/>
    <m/>
    <m/>
    <n v="173"/>
    <m/>
    <x v="3"/>
    <s v="HGSF"/>
    <m/>
    <n v="1.35"/>
    <m/>
    <m/>
    <m/>
    <n v="0.1"/>
    <n v="9.4500000000000001E-2"/>
    <m/>
    <m/>
    <m/>
    <m/>
    <m/>
    <m/>
    <m/>
    <n v="382122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AMBOVO"/>
    <m/>
    <m/>
    <n v="185"/>
    <m/>
    <x v="3"/>
    <s v="HGSF"/>
    <m/>
    <n v="1.4"/>
    <m/>
    <m/>
    <m/>
    <n v="0.1"/>
    <n v="0.10349999999999999"/>
    <m/>
    <m/>
    <m/>
    <m/>
    <m/>
    <m/>
    <m/>
    <n v="408628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ANALALAVA"/>
    <m/>
    <m/>
    <n v="279"/>
    <m/>
    <x v="3"/>
    <s v="HGSF"/>
    <m/>
    <n v="2.15"/>
    <m/>
    <m/>
    <m/>
    <n v="0.1"/>
    <n v="0.153"/>
    <m/>
    <m/>
    <m/>
    <m/>
    <m/>
    <m/>
    <m/>
    <n v="6162552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ANKAMBOA"/>
    <m/>
    <m/>
    <n v="129"/>
    <m/>
    <x v="3"/>
    <s v="HGSF"/>
    <m/>
    <n v="1"/>
    <m/>
    <m/>
    <m/>
    <n v="0.05"/>
    <n v="7.1999999999999995E-2"/>
    <m/>
    <m/>
    <m/>
    <m/>
    <m/>
    <m/>
    <m/>
    <n v="2849352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BARABAY"/>
    <m/>
    <m/>
    <n v="482"/>
    <m/>
    <x v="3"/>
    <s v="HGSF"/>
    <m/>
    <n v="3.7"/>
    <m/>
    <m/>
    <m/>
    <n v="0.2"/>
    <n v="0.26550000000000001"/>
    <m/>
    <m/>
    <m/>
    <m/>
    <m/>
    <m/>
    <m/>
    <n v="10646416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BETINDRIA"/>
    <m/>
    <m/>
    <n v="131"/>
    <m/>
    <x v="3"/>
    <s v="HGSF"/>
    <m/>
    <n v="1"/>
    <m/>
    <m/>
    <m/>
    <n v="0.05"/>
    <n v="7.1999999999999995E-2"/>
    <m/>
    <m/>
    <m/>
    <m/>
    <m/>
    <m/>
    <m/>
    <n v="2893528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LAVANONO"/>
    <m/>
    <m/>
    <n v="448"/>
    <m/>
    <x v="3"/>
    <s v="HGSF"/>
    <m/>
    <n v="1.2"/>
    <m/>
    <m/>
    <m/>
    <n v="0.05"/>
    <n v="8.5500000000000007E-2"/>
    <m/>
    <m/>
    <m/>
    <m/>
    <m/>
    <m/>
    <m/>
    <n v="989542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MAHILIVAZA"/>
    <m/>
    <m/>
    <n v="233"/>
    <m/>
    <x v="3"/>
    <s v="HGSF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SARERIAKE"/>
    <m/>
    <m/>
    <n v="178"/>
    <m/>
    <x v="3"/>
    <s v="HGSF"/>
    <m/>
    <n v="1.35"/>
    <m/>
    <m/>
    <m/>
    <n v="0.1"/>
    <n v="9.9000000000000005E-2"/>
    <m/>
    <m/>
    <m/>
    <m/>
    <m/>
    <m/>
    <m/>
    <n v="393166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SOAMANITRA"/>
    <m/>
    <m/>
    <n v="738"/>
    <m/>
    <x v="3"/>
    <s v="HGSF"/>
    <m/>
    <n v="5.7"/>
    <m/>
    <m/>
    <m/>
    <n v="0.25"/>
    <n v="0.40500000000000003"/>
    <m/>
    <m/>
    <m/>
    <m/>
    <m/>
    <m/>
    <m/>
    <n v="1630094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TRANOVAHO"/>
    <m/>
    <m/>
    <n v="240"/>
    <m/>
    <x v="3"/>
    <s v="HGSF"/>
    <m/>
    <n v="1.85"/>
    <m/>
    <m/>
    <m/>
    <n v="0.1"/>
    <n v="0.1305"/>
    <m/>
    <m/>
    <m/>
    <m/>
    <m/>
    <m/>
    <m/>
    <n v="530112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EPP VAVAOMBY"/>
    <m/>
    <m/>
    <n v="268"/>
    <m/>
    <x v="3"/>
    <s v="HGSF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MAROVORO I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x v="12"/>
    <m/>
    <s v="TRANOVAHO"/>
    <s v="TRAMBA"/>
    <m/>
    <m/>
    <n v="156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SIMALEMY"/>
    <s v="Amboazokibo"/>
    <m/>
    <m/>
    <n v="185"/>
    <m/>
    <x v="3"/>
    <s v="hybride"/>
    <m/>
    <n v="1"/>
    <m/>
    <m/>
    <m/>
    <n v="0.05"/>
    <n v="7.1999999999999995E-2"/>
    <m/>
    <m/>
    <m/>
    <m/>
    <m/>
    <m/>
    <m/>
    <n v="4086280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SIMALEMY"/>
    <s v="EPP AMPASINDAVA"/>
    <m/>
    <m/>
    <n v="491"/>
    <m/>
    <x v="3"/>
    <s v="HGSF"/>
    <m/>
    <n v="1.65"/>
    <m/>
    <m/>
    <m/>
    <n v="0.1"/>
    <n v="0.11700000000000001"/>
    <m/>
    <m/>
    <m/>
    <m/>
    <m/>
    <m/>
    <m/>
    <n v="10845208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SIMALEMY"/>
    <s v="EPP AMBALAHORAKY"/>
    <m/>
    <m/>
    <n v="495"/>
    <m/>
    <x v="3"/>
    <s v="HGSF"/>
    <m/>
    <n v="1.6"/>
    <m/>
    <m/>
    <m/>
    <n v="0.1"/>
    <n v="0.1125"/>
    <m/>
    <m/>
    <m/>
    <m/>
    <m/>
    <m/>
    <m/>
    <n v="10933560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SIMALEMY"/>
    <s v="EPP VAPAKY"/>
    <m/>
    <m/>
    <n v="309"/>
    <m/>
    <x v="3"/>
    <s v="HGSF"/>
    <m/>
    <n v="1.05"/>
    <m/>
    <m/>
    <m/>
    <n v="0.05"/>
    <n v="7.6499999999999999E-2"/>
    <m/>
    <m/>
    <m/>
    <m/>
    <m/>
    <m/>
    <m/>
    <n v="6825192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TAKA"/>
    <s v="EPP AMPATAKA"/>
    <m/>
    <m/>
    <n v="573"/>
    <m/>
    <x v="3"/>
    <s v="HGSF"/>
    <m/>
    <n v="1.85"/>
    <m/>
    <m/>
    <m/>
    <n v="0.05"/>
    <n v="0.13500000000000001"/>
    <m/>
    <m/>
    <m/>
    <m/>
    <m/>
    <m/>
    <m/>
    <n v="12656424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TAKA"/>
    <s v="Mahela II"/>
    <m/>
    <m/>
    <n v="721"/>
    <m/>
    <x v="3"/>
    <s v="hybride"/>
    <m/>
    <n v="3.95"/>
    <m/>
    <m/>
    <m/>
    <n v="0.2"/>
    <n v="0.28349999999999997"/>
    <m/>
    <m/>
    <m/>
    <m/>
    <m/>
    <m/>
    <m/>
    <n v="15925448"/>
    <m/>
  </r>
  <r>
    <x v="0"/>
    <n v="2024"/>
    <x v="3"/>
    <s v="SMP1"/>
    <x v="8"/>
    <s v="School feeding"/>
    <m/>
    <m/>
    <s v="Manakara"/>
    <x v="1"/>
    <s v="Tamatave"/>
    <s v="Atsimo Atsinanana"/>
    <x v="10"/>
    <m/>
    <s v="AMPATAKA"/>
    <s v="Sosobahy"/>
    <m/>
    <m/>
    <n v="185"/>
    <m/>
    <x v="3"/>
    <s v="hybride"/>
    <m/>
    <n v="1"/>
    <m/>
    <m/>
    <m/>
    <n v="0.05"/>
    <n v="7.1999999999999995E-2"/>
    <m/>
    <m/>
    <m/>
    <m/>
    <m/>
    <m/>
    <m/>
    <n v="4039940"/>
    <m/>
  </r>
  <r>
    <x v="0"/>
    <n v="2024"/>
    <x v="3"/>
    <s v="SMP1"/>
    <x v="8"/>
    <s v="School feeding"/>
    <m/>
    <m/>
    <s v="Manakara"/>
    <x v="1"/>
    <s v="Tamatave"/>
    <s v="Atsimo Atsinanana"/>
    <x v="10"/>
    <m/>
    <s v="BEKARAOKY"/>
    <s v="Bekaraoky"/>
    <m/>
    <m/>
    <n v="596"/>
    <m/>
    <x v="3"/>
    <s v="hybride"/>
    <m/>
    <n v="3.25"/>
    <m/>
    <m/>
    <m/>
    <n v="0.15"/>
    <n v="0.23400000000000001"/>
    <m/>
    <m/>
    <m/>
    <m/>
    <m/>
    <m/>
    <m/>
    <n v="13164448"/>
    <m/>
  </r>
  <r>
    <x v="0"/>
    <n v="2024"/>
    <x v="3"/>
    <s v="SMP1"/>
    <x v="8"/>
    <s v="School feeding"/>
    <m/>
    <m/>
    <s v="Manakara"/>
    <x v="1"/>
    <s v="Tamatave"/>
    <s v="Atsimo Atsinanana"/>
    <x v="10"/>
    <m/>
    <s v="ISAHARA"/>
    <s v="EPP AMBALASAVOA"/>
    <m/>
    <m/>
    <n v="265"/>
    <m/>
    <x v="3"/>
    <s v="HGSF"/>
    <m/>
    <n v="0.9"/>
    <m/>
    <m/>
    <m/>
    <n v="0.05"/>
    <n v="6.3E-2"/>
    <m/>
    <m/>
    <m/>
    <m/>
    <m/>
    <m/>
    <m/>
    <n v="5853320"/>
    <m/>
  </r>
  <r>
    <x v="0"/>
    <n v="2024"/>
    <x v="3"/>
    <s v="SMP1"/>
    <x v="8"/>
    <s v="School feeding"/>
    <m/>
    <m/>
    <s v="Manakara"/>
    <x v="1"/>
    <s v="Tamatave"/>
    <s v="Atsimo Atsinanana"/>
    <x v="10"/>
    <m/>
    <s v="ISAHARA"/>
    <s v="EPP ANDRAREZO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x v="10"/>
    <m/>
    <s v="ISAHARA"/>
    <s v="EPP SOATSIRANA"/>
    <m/>
    <m/>
    <n v="101"/>
    <m/>
    <x v="3"/>
    <s v="HGSF"/>
    <m/>
    <n v="0.35"/>
    <m/>
    <m/>
    <m/>
    <n v="0"/>
    <n v="2.2499999999999999E-2"/>
    <m/>
    <m/>
    <m/>
    <m/>
    <m/>
    <m/>
    <m/>
    <n v="2230888"/>
    <m/>
  </r>
  <r>
    <x v="0"/>
    <n v="2024"/>
    <x v="3"/>
    <s v="SMP1"/>
    <x v="8"/>
    <s v="School feeding"/>
    <m/>
    <m/>
    <s v="Manakara"/>
    <x v="1"/>
    <s v="Tamatave"/>
    <s v="Atsimo Atsinanana"/>
    <x v="10"/>
    <m/>
    <s v="LOPARY"/>
    <s v="EPP ANAMBILAZO"/>
    <m/>
    <m/>
    <n v="285"/>
    <m/>
    <x v="3"/>
    <s v="HGSF"/>
    <m/>
    <n v="0.95"/>
    <m/>
    <m/>
    <m/>
    <n v="0"/>
    <n v="6.7500000000000004E-2"/>
    <m/>
    <m/>
    <m/>
    <m/>
    <m/>
    <m/>
    <m/>
    <n v="6295080"/>
    <m/>
  </r>
  <r>
    <x v="0"/>
    <n v="2024"/>
    <x v="3"/>
    <s v="SMP1"/>
    <x v="8"/>
    <s v="School feeding"/>
    <m/>
    <m/>
    <s v="Manakara"/>
    <x v="1"/>
    <s v="Tamatave"/>
    <s v="Atsimo Atsinanana"/>
    <x v="10"/>
    <m/>
    <s v="LOPARY"/>
    <s v="EPP BESAKAY"/>
    <m/>
    <m/>
    <n v="326"/>
    <m/>
    <x v="3"/>
    <s v="HGSF"/>
    <m/>
    <n v="1.05"/>
    <m/>
    <m/>
    <m/>
    <n v="0.05"/>
    <n v="7.6499999999999999E-2"/>
    <m/>
    <m/>
    <m/>
    <m/>
    <m/>
    <m/>
    <m/>
    <n v="7199618"/>
    <m/>
  </r>
  <r>
    <x v="0"/>
    <n v="2024"/>
    <x v="3"/>
    <s v="SMP1"/>
    <x v="8"/>
    <s v="School feeding"/>
    <m/>
    <m/>
    <s v="Manakara"/>
    <x v="1"/>
    <s v="Tamatave"/>
    <s v="Atsimo Atsinanana"/>
    <x v="10"/>
    <m/>
    <s v="LOPARY"/>
    <s v="EPP MAHAFASA"/>
    <m/>
    <m/>
    <n v="248"/>
    <m/>
    <x v="3"/>
    <s v="HGSF"/>
    <m/>
    <n v="0.8"/>
    <m/>
    <m/>
    <m/>
    <n v="0.05"/>
    <n v="5.8500000000000003E-2"/>
    <m/>
    <m/>
    <m/>
    <m/>
    <m/>
    <m/>
    <m/>
    <n v="5477824"/>
    <m/>
  </r>
  <r>
    <x v="0"/>
    <n v="2024"/>
    <x v="3"/>
    <s v="SMP1"/>
    <x v="8"/>
    <s v="School feeding"/>
    <m/>
    <m/>
    <s v="Manakara"/>
    <x v="1"/>
    <s v="Tamatave"/>
    <s v="Atsimo Atsinanana"/>
    <x v="10"/>
    <m/>
    <s v="LOPARY"/>
    <s v="EPP MATSINJO"/>
    <m/>
    <m/>
    <n v="213"/>
    <m/>
    <x v="3"/>
    <s v="HGSF"/>
    <m/>
    <n v="0.7"/>
    <m/>
    <m/>
    <m/>
    <n v="0.05"/>
    <n v="4.9500000000000002E-2"/>
    <m/>
    <m/>
    <m/>
    <m/>
    <m/>
    <m/>
    <m/>
    <n v="4704744"/>
    <m/>
  </r>
  <r>
    <x v="0"/>
    <n v="2024"/>
    <x v="3"/>
    <s v="SMP1"/>
    <x v="8"/>
    <s v="School feeding"/>
    <m/>
    <m/>
    <s v="Manakara"/>
    <x v="1"/>
    <s v="Tamatave"/>
    <s v="Atsimo Atsinanana"/>
    <x v="10"/>
    <m/>
    <s v="MAHATSINJO"/>
    <s v="EPP BESAVOA"/>
    <m/>
    <m/>
    <n v="172"/>
    <m/>
    <x v="3"/>
    <s v="HGSF"/>
    <m/>
    <n v="0.55000000000000004"/>
    <m/>
    <m/>
    <m/>
    <n v="0.05"/>
    <n v="4.0500000000000001E-2"/>
    <m/>
    <m/>
    <m/>
    <m/>
    <m/>
    <m/>
    <m/>
    <n v="3799136"/>
    <m/>
  </r>
  <r>
    <x v="0"/>
    <n v="2024"/>
    <x v="3"/>
    <s v="SMP1"/>
    <x v="8"/>
    <s v="School feeding"/>
    <m/>
    <m/>
    <s v="Manakara"/>
    <x v="1"/>
    <s v="Tamatave"/>
    <s v="Atsimo Atsinanana"/>
    <x v="10"/>
    <m/>
    <s v="RANOMENA"/>
    <s v="EPP RANOMENA"/>
    <m/>
    <m/>
    <n v="594"/>
    <m/>
    <x v="3"/>
    <s v="HGSF"/>
    <m/>
    <n v="1.9"/>
    <m/>
    <m/>
    <m/>
    <n v="0.05"/>
    <n v="0.13950000000000001"/>
    <m/>
    <m/>
    <m/>
    <m/>
    <m/>
    <m/>
    <m/>
    <n v="13120272"/>
    <m/>
  </r>
  <r>
    <x v="0"/>
    <n v="2024"/>
    <x v="3"/>
    <s v="SMP1"/>
    <x v="8"/>
    <s v="School feeding"/>
    <m/>
    <m/>
    <s v="Manakara"/>
    <x v="1"/>
    <s v="Tamatave"/>
    <s v="Atsimo Atsinanana"/>
    <x v="10"/>
    <m/>
    <s v="SOAMANOVA"/>
    <s v="Iabovonany"/>
    <m/>
    <m/>
    <n v="485"/>
    <m/>
    <x v="3"/>
    <s v="hybride"/>
    <m/>
    <n v="2.65"/>
    <m/>
    <m/>
    <m/>
    <n v="0.15"/>
    <n v="0.189"/>
    <m/>
    <m/>
    <m/>
    <m/>
    <m/>
    <m/>
    <m/>
    <n v="10712680"/>
    <m/>
  </r>
  <r>
    <x v="0"/>
    <n v="2024"/>
    <x v="3"/>
    <s v="SMP1"/>
    <x v="8"/>
    <s v="School feeding"/>
    <m/>
    <m/>
    <s v="Manakara"/>
    <x v="1"/>
    <s v="Tamatave"/>
    <s v="Atsimo Atsinanana"/>
    <x v="10"/>
    <m/>
    <s v="SOAMANOVA"/>
    <s v="EPP MAROROKY ISERINY"/>
    <m/>
    <m/>
    <n v="934"/>
    <m/>
    <x v="3"/>
    <s v="HGSF"/>
    <m/>
    <n v="3.05"/>
    <m/>
    <m/>
    <m/>
    <n v="0.15"/>
    <n v="0.216"/>
    <m/>
    <m/>
    <m/>
    <m/>
    <m/>
    <m/>
    <m/>
    <n v="20630192"/>
    <m/>
  </r>
  <r>
    <x v="0"/>
    <n v="2024"/>
    <x v="3"/>
    <s v="SMP1"/>
    <x v="8"/>
    <s v="School feeding"/>
    <m/>
    <m/>
    <s v="Manakara"/>
    <x v="1"/>
    <s v="Tamatave"/>
    <s v="Atsimo Atsinanana"/>
    <x v="10"/>
    <m/>
    <s v="TSIATELY"/>
    <s v="Anapatra"/>
    <m/>
    <m/>
    <n v="630"/>
    <m/>
    <x v="3"/>
    <s v="hybride"/>
    <m/>
    <n v="3.45"/>
    <m/>
    <m/>
    <m/>
    <n v="0.15"/>
    <n v="0.2475"/>
    <m/>
    <m/>
    <m/>
    <m/>
    <m/>
    <m/>
    <m/>
    <n v="13915440"/>
    <m/>
  </r>
  <r>
    <x v="0"/>
    <n v="2024"/>
    <x v="3"/>
    <s v="SMP1"/>
    <x v="8"/>
    <s v="School feeding"/>
    <m/>
    <m/>
    <s v="Manakara"/>
    <x v="1"/>
    <s v="Tamatave"/>
    <s v="Atsimo Atsinanana"/>
    <x v="10"/>
    <m/>
    <s v="TSIATELY"/>
    <s v="Tsararano"/>
    <m/>
    <m/>
    <n v="913"/>
    <m/>
    <x v="3"/>
    <s v="hybride"/>
    <m/>
    <n v="5"/>
    <m/>
    <m/>
    <m/>
    <n v="0.25"/>
    <n v="0.36"/>
    <m/>
    <m/>
    <m/>
    <m/>
    <m/>
    <m/>
    <m/>
    <n v="20166344"/>
    <m/>
  </r>
  <r>
    <x v="0"/>
    <n v="2024"/>
    <x v="3"/>
    <s v="SMP1"/>
    <x v="8"/>
    <s v="School feeding"/>
    <m/>
    <m/>
    <s v="Manakara"/>
    <x v="1"/>
    <s v="Tamatave"/>
    <s v="Atsimo Atsinanana"/>
    <x v="10"/>
    <m/>
    <s v="TSIATELY"/>
    <s v="Tsitove"/>
    <m/>
    <m/>
    <n v="394"/>
    <m/>
    <x v="3"/>
    <s v="hybride"/>
    <m/>
    <n v="2.15"/>
    <m/>
    <m/>
    <m/>
    <n v="0.1"/>
    <n v="0.153"/>
    <m/>
    <m/>
    <m/>
    <m/>
    <m/>
    <m/>
    <m/>
    <n v="8702672"/>
    <m/>
  </r>
  <r>
    <x v="0"/>
    <n v="2024"/>
    <x v="3"/>
    <s v="SMP1"/>
    <x v="8"/>
    <s v="School feeding"/>
    <m/>
    <m/>
    <s v="Manakara"/>
    <x v="1"/>
    <s v="Tamatave"/>
    <s v="Atsimo Atsinanana"/>
    <x v="10"/>
    <m/>
    <s v="VANGAINDRANO"/>
    <s v="Tanimena"/>
    <m/>
    <m/>
    <n v="440"/>
    <m/>
    <x v="3"/>
    <s v="hybride"/>
    <m/>
    <n v="2.4"/>
    <m/>
    <m/>
    <m/>
    <n v="0.1"/>
    <n v="0.17100000000000001"/>
    <m/>
    <m/>
    <m/>
    <m/>
    <m/>
    <m/>
    <m/>
    <n v="9718720"/>
    <m/>
  </r>
  <r>
    <x v="0"/>
    <n v="2024"/>
    <x v="3"/>
    <s v="SMP1"/>
    <x v="8"/>
    <s v="School feeding"/>
    <m/>
    <m/>
    <s v="Manakara"/>
    <x v="1"/>
    <s v="Tamatave"/>
    <s v="Atsimo Atsinanana"/>
    <x v="10"/>
    <m/>
    <s v="VANGAINDRANO"/>
    <s v="ECOLE COMMUNAUTAIRE ANDRANOTSARA"/>
    <m/>
    <m/>
    <n v="218"/>
    <m/>
    <x v="3"/>
    <s v="hybride"/>
    <m/>
    <n v="1.2"/>
    <m/>
    <m/>
    <m/>
    <n v="0.05"/>
    <n v="8.5500000000000007E-2"/>
    <m/>
    <m/>
    <m/>
    <m/>
    <m/>
    <m/>
    <m/>
    <n v="4815184"/>
    <m/>
  </r>
  <r>
    <x v="0"/>
    <n v="2024"/>
    <x v="3"/>
    <s v="SMP1"/>
    <x v="8"/>
    <s v="School feeding"/>
    <m/>
    <m/>
    <s v="Manakara"/>
    <x v="1"/>
    <s v="Tamatave"/>
    <s v="Atsimo Atsinanana"/>
    <x v="10"/>
    <m/>
    <s v="VOHITRAMBO"/>
    <s v="EPP MAHAVELO"/>
    <m/>
    <m/>
    <n v="328"/>
    <m/>
    <x v="3"/>
    <s v="HGSF"/>
    <m/>
    <n v="1.1000000000000001"/>
    <m/>
    <m/>
    <m/>
    <n v="0.05"/>
    <n v="7.6499999999999999E-2"/>
    <m/>
    <m/>
    <m/>
    <m/>
    <m/>
    <m/>
    <m/>
    <n v="7244864"/>
    <m/>
  </r>
  <r>
    <x v="0"/>
    <n v="2024"/>
    <x v="3"/>
    <s v="SMP1"/>
    <x v="8"/>
    <s v="School feeding"/>
    <m/>
    <m/>
    <s v="Manakara"/>
    <x v="1"/>
    <s v="Tamatave"/>
    <s v="Atsimo Atsinanana"/>
    <x v="10"/>
    <m/>
    <s v="FONILAZA"/>
    <s v="EPP MENAGNARAVONY"/>
    <m/>
    <m/>
    <n v="265"/>
    <m/>
    <x v="3"/>
    <s v="HGSF"/>
    <m/>
    <n v="0.9"/>
    <m/>
    <m/>
    <m/>
    <n v="0.05"/>
    <n v="6.3E-2"/>
    <m/>
    <m/>
    <m/>
    <m/>
    <m/>
    <m/>
    <m/>
    <n v="5853320"/>
    <m/>
  </r>
  <r>
    <x v="0"/>
    <n v="2024"/>
    <x v="3"/>
    <s v="SMP1"/>
    <x v="8"/>
    <s v="School feeding"/>
    <m/>
    <m/>
    <s v="Manakara"/>
    <x v="1"/>
    <s v="Tamatave"/>
    <s v="Atsimo Atsinanana"/>
    <x v="10"/>
    <m/>
    <s v="FONILAZA"/>
    <s v="Sahavoangy"/>
    <m/>
    <m/>
    <n v="706"/>
    <m/>
    <x v="3"/>
    <s v="hybride"/>
    <m/>
    <n v="3.85"/>
    <m/>
    <m/>
    <m/>
    <n v="0.2"/>
    <n v="0.27450000000000002"/>
    <m/>
    <m/>
    <m/>
    <m/>
    <m/>
    <m/>
    <m/>
    <n v="15594128"/>
    <m/>
  </r>
  <r>
    <x v="0"/>
    <n v="2024"/>
    <x v="3"/>
    <s v="SMP1"/>
    <x v="8"/>
    <s v="School feeding"/>
    <m/>
    <m/>
    <s v="Manakara"/>
    <x v="1"/>
    <s v="Tamatave"/>
    <s v="Atsimo Atsinanana"/>
    <x v="10"/>
    <m/>
    <s v="FONILAZA"/>
    <s v="EPP VILIMENA"/>
    <m/>
    <m/>
    <n v="271"/>
    <m/>
    <x v="3"/>
    <s v="HGSF"/>
    <m/>
    <n v="0.9"/>
    <m/>
    <m/>
    <m/>
    <n v="0.05"/>
    <n v="6.3E-2"/>
    <m/>
    <m/>
    <m/>
    <m/>
    <m/>
    <m/>
    <m/>
    <n v="5985848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ALATANY"/>
    <s v="EPP MATAVIRANO"/>
    <m/>
    <m/>
    <n v="236"/>
    <m/>
    <x v="3"/>
    <s v="HGSF"/>
    <m/>
    <n v="0.75"/>
    <m/>
    <m/>
    <m/>
    <n v="0.05"/>
    <n v="5.8500000000000003E-2"/>
    <m/>
    <m/>
    <m/>
    <m/>
    <m/>
    <m/>
    <m/>
    <n v="5212768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ALATANY"/>
    <s v="EPP TSARARANO"/>
    <m/>
    <m/>
    <n v="160"/>
    <m/>
    <x v="3"/>
    <s v="HGSF"/>
    <m/>
    <n v="0.55000000000000004"/>
    <m/>
    <m/>
    <m/>
    <n v="0.05"/>
    <n v="3.5999999999999997E-2"/>
    <m/>
    <m/>
    <m/>
    <m/>
    <m/>
    <m/>
    <m/>
    <n v="353408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ALATRAKA"/>
    <s v="EPP ANANARA"/>
    <m/>
    <m/>
    <n v="134"/>
    <m/>
    <x v="3"/>
    <s v="HGSF"/>
    <m/>
    <n v="0.45"/>
    <m/>
    <m/>
    <m/>
    <n v="0"/>
    <n v="3.15E-2"/>
    <m/>
    <m/>
    <m/>
    <m/>
    <m/>
    <m/>
    <m/>
    <n v="2959792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OHIGOGO"/>
    <s v="EPP NAMOHORA"/>
    <m/>
    <m/>
    <n v="102"/>
    <m/>
    <x v="3"/>
    <s v="HGSF"/>
    <m/>
    <n v="0.35"/>
    <m/>
    <m/>
    <m/>
    <n v="0"/>
    <n v="2.2499999999999999E-2"/>
    <m/>
    <m/>
    <m/>
    <m/>
    <m/>
    <m/>
    <m/>
    <n v="2252976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POROFORO"/>
    <s v="EPP MAIAKOHO"/>
    <m/>
    <m/>
    <n v="375"/>
    <m/>
    <x v="3"/>
    <s v="HGSF"/>
    <m/>
    <n v="1.25"/>
    <m/>
    <m/>
    <m/>
    <n v="0.05"/>
    <n v="0.09"/>
    <m/>
    <m/>
    <m/>
    <m/>
    <m/>
    <m/>
    <m/>
    <n v="828300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POROFORO"/>
    <s v="Amibasy"/>
    <m/>
    <m/>
    <n v="282"/>
    <m/>
    <x v="3"/>
    <s v="hybride"/>
    <m/>
    <n v="1.55"/>
    <m/>
    <m/>
    <m/>
    <n v="0.05"/>
    <n v="0.108"/>
    <m/>
    <m/>
    <m/>
    <m/>
    <m/>
    <m/>
    <m/>
    <n v="6228816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POROFORO"/>
    <s v="Amporoforo"/>
    <m/>
    <m/>
    <n v="331"/>
    <m/>
    <x v="3"/>
    <s v="hybride"/>
    <m/>
    <n v="1.8"/>
    <m/>
    <m/>
    <m/>
    <n v="0.1"/>
    <n v="0.1305"/>
    <m/>
    <m/>
    <m/>
    <m/>
    <m/>
    <m/>
    <m/>
    <n v="7311128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POROFORO"/>
    <s v="Anakona"/>
    <m/>
    <m/>
    <n v="437"/>
    <m/>
    <x v="3"/>
    <s v="hybride"/>
    <m/>
    <n v="2.4"/>
    <m/>
    <m/>
    <m/>
    <n v="0.1"/>
    <n v="0.17100000000000001"/>
    <m/>
    <m/>
    <m/>
    <m/>
    <m/>
    <m/>
    <m/>
    <n v="9652456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POROFORO"/>
    <s v="EPP TSIROBOY"/>
    <m/>
    <m/>
    <n v="285"/>
    <m/>
    <x v="3"/>
    <s v="HGSF"/>
    <m/>
    <n v="0.95"/>
    <m/>
    <m/>
    <m/>
    <n v="0"/>
    <n v="6.7500000000000004E-2"/>
    <m/>
    <m/>
    <m/>
    <m/>
    <m/>
    <m/>
    <m/>
    <n v="629508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NOSIVELO"/>
    <s v="EPP AMBALAVOTAKA"/>
    <m/>
    <m/>
    <n v="670"/>
    <m/>
    <x v="3"/>
    <s v="HGSF"/>
    <m/>
    <n v="2.15"/>
    <m/>
    <m/>
    <m/>
    <n v="0.1"/>
    <n v="0.1575"/>
    <m/>
    <m/>
    <m/>
    <m/>
    <m/>
    <m/>
    <m/>
    <n v="1182467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NOSIVELO"/>
    <s v="Egnelazana"/>
    <m/>
    <m/>
    <n v="340"/>
    <m/>
    <x v="3"/>
    <s v="hybride"/>
    <m/>
    <n v="1.85"/>
    <m/>
    <m/>
    <m/>
    <n v="0.1"/>
    <n v="0.13500000000000001"/>
    <m/>
    <m/>
    <m/>
    <m/>
    <m/>
    <m/>
    <m/>
    <n v="750992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NOSY TSARARAFA"/>
    <s v="EPP AMPANARENA"/>
    <m/>
    <m/>
    <n v="350"/>
    <m/>
    <x v="3"/>
    <s v="HGSF"/>
    <m/>
    <n v="1.1499999999999999"/>
    <m/>
    <m/>
    <m/>
    <n v="0.05"/>
    <n v="8.5500000000000007E-2"/>
    <m/>
    <m/>
    <m/>
    <m/>
    <m/>
    <m/>
    <m/>
    <n v="7730800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ATOLAMPY"/>
    <s v="Ankazomasy Vazako"/>
    <m/>
    <m/>
    <n v="392"/>
    <m/>
    <x v="3"/>
    <s v="hybride"/>
    <m/>
    <n v="2.15"/>
    <m/>
    <m/>
    <m/>
    <n v="0.1"/>
    <n v="0.153"/>
    <m/>
    <m/>
    <m/>
    <m/>
    <m/>
    <m/>
    <m/>
    <n v="8658496"/>
    <m/>
  </r>
  <r>
    <x v="0"/>
    <n v="2024"/>
    <x v="3"/>
    <s v="SMP1"/>
    <x v="8"/>
    <s v="School feeding"/>
    <m/>
    <m/>
    <s v="Manakara"/>
    <x v="1"/>
    <s v="Tamatave"/>
    <s v="Atsimo Atsinanana"/>
    <x v="18"/>
    <m/>
    <s v="ANOSY TSARARAFA"/>
    <s v="Marozaza"/>
    <m/>
    <m/>
    <n v="451"/>
    <m/>
    <x v="3"/>
    <s v="hybride"/>
    <m/>
    <n v="2.4500000000000002"/>
    <m/>
    <m/>
    <m/>
    <n v="0.1"/>
    <n v="0.17549999999999999"/>
    <m/>
    <m/>
    <m/>
    <m/>
    <m/>
    <m/>
    <m/>
    <n v="9961688"/>
    <m/>
  </r>
  <r>
    <x v="0"/>
    <n v="2024"/>
    <x v="3"/>
    <s v="SMP1"/>
    <x v="8"/>
    <s v="School feeding"/>
    <m/>
    <m/>
    <s v="Manakara"/>
    <x v="1"/>
    <s v="Tamatave"/>
    <s v="Atsimo Atsinanana"/>
    <x v="18"/>
    <m/>
    <s v="ANOSY TSARARAFA"/>
    <s v="Sahafoza"/>
    <m/>
    <m/>
    <n v="334"/>
    <m/>
    <x v="3"/>
    <s v="hybride"/>
    <m/>
    <n v="1.85"/>
    <m/>
    <m/>
    <m/>
    <n v="0.1"/>
    <n v="0.1305"/>
    <m/>
    <m/>
    <m/>
    <m/>
    <m/>
    <m/>
    <m/>
    <n v="7377392"/>
    <m/>
  </r>
  <r>
    <x v="0"/>
    <n v="2024"/>
    <x v="3"/>
    <s v="SMP1"/>
    <x v="8"/>
    <s v="School feeding"/>
    <m/>
    <m/>
    <s v="Manakara"/>
    <x v="1"/>
    <s v="Tamatave"/>
    <s v="Atsimo Atsinanana"/>
    <x v="18"/>
    <m/>
    <s v="BEVOAY BERETRA"/>
    <s v="EPP NAMOHORA"/>
    <m/>
    <m/>
    <n v="167"/>
    <m/>
    <x v="3"/>
    <s v="HGSF"/>
    <m/>
    <n v="0.6"/>
    <m/>
    <m/>
    <m/>
    <n v="0.05"/>
    <n v="4.0500000000000001E-2"/>
    <m/>
    <m/>
    <m/>
    <m/>
    <m/>
    <m/>
    <m/>
    <n v="3688696"/>
    <m/>
  </r>
  <r>
    <x v="0"/>
    <n v="2024"/>
    <x v="3"/>
    <s v="SMP1"/>
    <x v="8"/>
    <s v="School feeding"/>
    <m/>
    <m/>
    <s v="Manakara"/>
    <x v="1"/>
    <s v="Tamatave"/>
    <s v="Atsimo Atsinanana"/>
    <x v="18"/>
    <m/>
    <s v="BEVOAY BERETRA"/>
    <s v="EPP TAMBOHOBE"/>
    <m/>
    <m/>
    <n v="177"/>
    <m/>
    <x v="3"/>
    <s v="HGSF"/>
    <m/>
    <n v="0.6"/>
    <m/>
    <m/>
    <m/>
    <n v="0.05"/>
    <n v="4.4999999999999998E-2"/>
    <m/>
    <m/>
    <m/>
    <m/>
    <m/>
    <m/>
    <m/>
    <n v="3909576"/>
    <m/>
  </r>
  <r>
    <x v="0"/>
    <n v="2024"/>
    <x v="3"/>
    <s v="SMP1"/>
    <x v="8"/>
    <s v="School feeding"/>
    <m/>
    <m/>
    <s v="Manakara"/>
    <x v="1"/>
    <s v="Tamatave"/>
    <s v="Atsimo Atsinanana"/>
    <x v="18"/>
    <m/>
    <s v="ETROTROKA"/>
    <s v="EPP SARINOSY"/>
    <m/>
    <m/>
    <n v="277"/>
    <m/>
    <x v="3"/>
    <s v="HGSF"/>
    <m/>
    <n v="0.95"/>
    <m/>
    <m/>
    <m/>
    <n v="0.05"/>
    <n v="6.7500000000000004E-2"/>
    <m/>
    <m/>
    <m/>
    <m/>
    <m/>
    <m/>
    <m/>
    <n v="6118376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HABO MANANIVO"/>
    <s v="EPP KARIMBELO"/>
    <m/>
    <m/>
    <n v="298"/>
    <m/>
    <x v="3"/>
    <s v="HGSF"/>
    <m/>
    <n v="1"/>
    <m/>
    <m/>
    <m/>
    <n v="0"/>
    <n v="6.7500000000000004E-2"/>
    <m/>
    <m/>
    <m/>
    <m/>
    <m/>
    <m/>
    <m/>
    <n v="6582224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HABO MANANINO"/>
    <s v="Lohagisy"/>
    <m/>
    <m/>
    <n v="190"/>
    <m/>
    <x v="3"/>
    <s v="hybride"/>
    <m/>
    <n v="1.05"/>
    <m/>
    <m/>
    <m/>
    <n v="0.05"/>
    <n v="7.6499999999999999E-2"/>
    <m/>
    <m/>
    <m/>
    <m/>
    <m/>
    <m/>
    <m/>
    <n v="4196720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HABO MANANIVO"/>
    <s v="EPP LOVASOA IABOMARY"/>
    <m/>
    <m/>
    <n v="369"/>
    <m/>
    <x v="3"/>
    <s v="HGSF"/>
    <m/>
    <n v="1.2"/>
    <m/>
    <m/>
    <m/>
    <n v="0.05"/>
    <n v="8.5500000000000007E-2"/>
    <m/>
    <m/>
    <m/>
    <m/>
    <m/>
    <m/>
    <m/>
    <n v="8150472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HABO MANANINO"/>
    <s v="Mahabo Mananino"/>
    <m/>
    <m/>
    <n v="470"/>
    <m/>
    <x v="3"/>
    <s v="hybride"/>
    <m/>
    <n v="2.5499999999999998"/>
    <m/>
    <m/>
    <m/>
    <n v="0.15"/>
    <n v="0.1845"/>
    <m/>
    <m/>
    <m/>
    <m/>
    <m/>
    <m/>
    <m/>
    <n v="10381360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NAMBOATRA SUD"/>
    <s v="Andranoboaka"/>
    <m/>
    <m/>
    <n v="123"/>
    <m/>
    <x v="3"/>
    <s v="hybride"/>
    <m/>
    <n v="0.65"/>
    <m/>
    <m/>
    <m/>
    <n v="0.05"/>
    <n v="4.9500000000000002E-2"/>
    <m/>
    <m/>
    <m/>
    <m/>
    <m/>
    <m/>
    <m/>
    <n v="2716824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NAMBOATRA SUD"/>
    <s v="Bekaraoka"/>
    <m/>
    <m/>
    <n v="214"/>
    <m/>
    <x v="3"/>
    <s v="hybride"/>
    <m/>
    <n v="1.1499999999999999"/>
    <m/>
    <m/>
    <m/>
    <n v="0.05"/>
    <n v="8.5500000000000007E-2"/>
    <m/>
    <m/>
    <m/>
    <m/>
    <m/>
    <m/>
    <m/>
    <n v="4726832"/>
    <m/>
  </r>
  <r>
    <x v="0"/>
    <n v="2024"/>
    <x v="3"/>
    <s v="SMP1"/>
    <x v="8"/>
    <s v="School feeding"/>
    <m/>
    <m/>
    <s v="Manakara"/>
    <x v="1"/>
    <s v="Tamatave"/>
    <s v="Atsimo Atsinanana"/>
    <x v="18"/>
    <m/>
    <s v="MANAMBOTRA SUD"/>
    <s v="EPP MAROPANAHY"/>
    <m/>
    <m/>
    <n v="406"/>
    <m/>
    <x v="3"/>
    <s v="HGSF"/>
    <m/>
    <n v="1.35"/>
    <m/>
    <m/>
    <m/>
    <n v="0.05"/>
    <n v="9.9000000000000005E-2"/>
    <m/>
    <m/>
    <m/>
    <m/>
    <m/>
    <m/>
    <m/>
    <n v="8967728"/>
    <m/>
  </r>
  <r>
    <x v="0"/>
    <n v="2024"/>
    <x v="3"/>
    <s v="SMP1"/>
    <x v="8"/>
    <s v="School feeding"/>
    <m/>
    <m/>
    <s v="Manakara"/>
    <x v="1"/>
    <s v="Tamatave"/>
    <s v="Atsimo Atsinanana"/>
    <x v="18"/>
    <m/>
    <s v="AMBATOLAMPY"/>
    <s v="Namohona"/>
    <m/>
    <m/>
    <n v="273"/>
    <m/>
    <x v="3"/>
    <s v="hybride"/>
    <m/>
    <n v="1.5"/>
    <m/>
    <m/>
    <m/>
    <n v="0.1"/>
    <n v="0.108"/>
    <m/>
    <m/>
    <m/>
    <m/>
    <m/>
    <m/>
    <m/>
    <n v="6030024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LENGO"/>
    <s v="EPP AMBOLOLOMENA"/>
    <m/>
    <m/>
    <n v="214"/>
    <m/>
    <x v="3"/>
    <s v="HGSF"/>
    <m/>
    <n v="0.7"/>
    <m/>
    <m/>
    <m/>
    <n v="0.05"/>
    <n v="4.9500000000000002E-2"/>
    <m/>
    <m/>
    <m/>
    <m/>
    <m/>
    <m/>
    <m/>
    <n v="4726832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MASY"/>
    <s v="Tsararano"/>
    <m/>
    <m/>
    <n v="399"/>
    <m/>
    <x v="3"/>
    <s v="hybride"/>
    <m/>
    <n v="2.2000000000000002"/>
    <m/>
    <m/>
    <m/>
    <n v="0.1"/>
    <n v="0.1575"/>
    <m/>
    <m/>
    <m/>
    <m/>
    <m/>
    <m/>
    <m/>
    <n v="8813112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MASY"/>
    <s v="Vohimasy"/>
    <m/>
    <m/>
    <n v="282"/>
    <m/>
    <x v="3"/>
    <s v="hybride"/>
    <m/>
    <n v="1.55"/>
    <m/>
    <m/>
    <m/>
    <n v="0.05"/>
    <n v="0.108"/>
    <m/>
    <m/>
    <m/>
    <m/>
    <m/>
    <m/>
    <m/>
    <n v="6228816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MASY"/>
    <s v="Anosimahasoa"/>
    <m/>
    <m/>
    <n v="171"/>
    <m/>
    <x v="3"/>
    <s v="hybride"/>
    <m/>
    <n v="0.95"/>
    <m/>
    <m/>
    <m/>
    <n v="0.05"/>
    <n v="6.7500000000000004E-2"/>
    <m/>
    <m/>
    <m/>
    <m/>
    <m/>
    <m/>
    <m/>
    <n v="3777048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TROMBY"/>
    <s v="Iaborano"/>
    <m/>
    <m/>
    <n v="405"/>
    <m/>
    <x v="3"/>
    <s v="hybride"/>
    <m/>
    <n v="2.2000000000000002"/>
    <m/>
    <m/>
    <m/>
    <n v="0.1"/>
    <n v="0.16200000000000001"/>
    <m/>
    <m/>
    <m/>
    <m/>
    <m/>
    <m/>
    <m/>
    <n v="8945640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TROMBY"/>
    <s v="EPP MAHABO AMBANY"/>
    <m/>
    <m/>
    <n v="248"/>
    <m/>
    <x v="3"/>
    <s v="HGSF"/>
    <m/>
    <n v="0.8"/>
    <m/>
    <m/>
    <m/>
    <n v="0.05"/>
    <n v="5.8500000000000003E-2"/>
    <m/>
    <m/>
    <m/>
    <m/>
    <m/>
    <m/>
    <m/>
    <n v="5477824"/>
    <m/>
  </r>
  <r>
    <x v="0"/>
    <n v="2024"/>
    <x v="3"/>
    <s v="SMP1"/>
    <x v="8"/>
    <s v="School feeding"/>
    <m/>
    <m/>
    <s v="Manakara"/>
    <x v="1"/>
    <s v="Tamatave"/>
    <s v="Atsimo Atsinanana"/>
    <x v="18"/>
    <m/>
    <s v="VOHITROMBY"/>
    <s v="Vohilava"/>
    <m/>
    <m/>
    <n v="283"/>
    <m/>
    <x v="3"/>
    <s v="hybride"/>
    <m/>
    <n v="1.55"/>
    <m/>
    <m/>
    <m/>
    <n v="0.05"/>
    <n v="0.1125"/>
    <m/>
    <m/>
    <m/>
    <m/>
    <m/>
    <m/>
    <m/>
    <n v="6250904"/>
    <m/>
  </r>
  <r>
    <x v="0"/>
    <n v="2024"/>
    <x v="3"/>
    <s v="SMP1"/>
    <x v="8"/>
    <s v="School feeding"/>
    <m/>
    <m/>
    <s v="Manakara"/>
    <x v="1"/>
    <s v="Tamatave"/>
    <s v="Atsimo Atsinanana"/>
    <x v="18"/>
    <m/>
    <s v="NAMOHORA IABORANO"/>
    <s v="EPP AMBATOLAMPY"/>
    <m/>
    <m/>
    <n v="255"/>
    <m/>
    <x v="3"/>
    <s v="HGSF"/>
    <m/>
    <n v="0.85"/>
    <m/>
    <m/>
    <m/>
    <n v="0.05"/>
    <n v="5.8500000000000003E-2"/>
    <m/>
    <m/>
    <m/>
    <m/>
    <m/>
    <m/>
    <m/>
    <n v="5632440"/>
    <m/>
  </r>
  <r>
    <x v="0"/>
    <n v="2024"/>
    <x v="3"/>
    <s v="SMP1"/>
    <x v="8"/>
    <s v="School feeding"/>
    <m/>
    <m/>
    <s v="Manakara"/>
    <x v="1"/>
    <s v="Tamatave"/>
    <s v="Atsimo Atsinanana"/>
    <x v="18"/>
    <m/>
    <s v="NAMOHORA IABORANO"/>
    <s v="EPP ANIVOTSARA"/>
    <m/>
    <m/>
    <n v="192"/>
    <m/>
    <x v="3"/>
    <s v="HGSF"/>
    <m/>
    <n v="0.65"/>
    <m/>
    <m/>
    <m/>
    <n v="0.05"/>
    <n v="4.4999999999999998E-2"/>
    <m/>
    <m/>
    <m/>
    <m/>
    <m/>
    <m/>
    <m/>
    <n v="4240896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ILA"/>
    <s v="Andriana"/>
    <m/>
    <m/>
    <n v="167"/>
    <m/>
    <x v="3"/>
    <s v="hybride"/>
    <m/>
    <n v="0.95"/>
    <m/>
    <m/>
    <m/>
    <n v="0.05"/>
    <n v="6.7500000000000004E-2"/>
    <m/>
    <m/>
    <m/>
    <m/>
    <m/>
    <m/>
    <m/>
    <n v="3688696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ILA"/>
    <s v="EPP EZAKA AMBILA NORD"/>
    <m/>
    <m/>
    <n v="132"/>
    <m/>
    <x v="3"/>
    <s v="hybride"/>
    <m/>
    <n v="0.75"/>
    <m/>
    <m/>
    <m/>
    <n v="0.05"/>
    <n v="5.3999999999999999E-2"/>
    <m/>
    <m/>
    <m/>
    <m/>
    <m/>
    <m/>
    <m/>
    <n v="2915616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OANJO"/>
    <s v="EPP ANKATAFANA"/>
    <m/>
    <m/>
    <n v="273"/>
    <m/>
    <x v="3"/>
    <s v="HGSF"/>
    <m/>
    <n v="0.9"/>
    <m/>
    <m/>
    <m/>
    <n v="0.05"/>
    <n v="6.3E-2"/>
    <m/>
    <m/>
    <m/>
    <m/>
    <m/>
    <m/>
    <m/>
    <n v="6030024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OANJO"/>
    <s v="EPP MAHAVELO"/>
    <m/>
    <m/>
    <n v="283"/>
    <m/>
    <x v="3"/>
    <s v="HGSF"/>
    <m/>
    <n v="0.95"/>
    <m/>
    <m/>
    <m/>
    <n v="0"/>
    <n v="6.7500000000000004E-2"/>
    <m/>
    <m/>
    <m/>
    <m/>
    <m/>
    <m/>
    <m/>
    <n v="6250904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OANJO"/>
    <s v="ECOLE COMMUNAUTAIRE AMBALABE"/>
    <m/>
    <m/>
    <n v="93"/>
    <m/>
    <x v="3"/>
    <s v="HGSF"/>
    <m/>
    <n v="0.3"/>
    <m/>
    <m/>
    <m/>
    <n v="0"/>
    <n v="2.2499999999999999E-2"/>
    <m/>
    <m/>
    <m/>
    <m/>
    <m/>
    <m/>
    <m/>
    <n v="2054184"/>
    <m/>
  </r>
  <r>
    <x v="0"/>
    <n v="2024"/>
    <x v="3"/>
    <s v="SMP1"/>
    <x v="8"/>
    <s v="School feeding"/>
    <m/>
    <m/>
    <s v="Manakara"/>
    <x v="1"/>
    <s v="Tamatave"/>
    <s v="Atsimo Atsinanana"/>
    <x v="2"/>
    <m/>
    <s v="AMBORONDRA"/>
    <s v="EPP AMBORONDRA"/>
    <m/>
    <m/>
    <n v="387"/>
    <m/>
    <x v="3"/>
    <s v="HGSF"/>
    <m/>
    <n v="1.3"/>
    <m/>
    <m/>
    <m/>
    <n v="0.05"/>
    <n v="0.09"/>
    <m/>
    <m/>
    <m/>
    <m/>
    <m/>
    <m/>
    <m/>
    <n v="8548056"/>
    <m/>
  </r>
  <r>
    <x v="0"/>
    <n v="2024"/>
    <x v="3"/>
    <s v="SMP1"/>
    <x v="8"/>
    <s v="School feeding"/>
    <m/>
    <m/>
    <s v="Manakara"/>
    <x v="1"/>
    <s v="Tamatave"/>
    <s v="Atsimo Atsinanana"/>
    <x v="2"/>
    <m/>
    <s v="ANALAVORY"/>
    <s v="Analavory"/>
    <m/>
    <m/>
    <n v="228"/>
    <m/>
    <x v="3"/>
    <s v="hybride"/>
    <m/>
    <n v="1.25"/>
    <m/>
    <m/>
    <m/>
    <n v="0.1"/>
    <n v="0.09"/>
    <m/>
    <m/>
    <m/>
    <m/>
    <m/>
    <m/>
    <m/>
    <n v="5036064"/>
    <m/>
  </r>
  <r>
    <x v="0"/>
    <n v="2024"/>
    <x v="3"/>
    <s v="SMP1"/>
    <x v="8"/>
    <s v="School feeding"/>
    <m/>
    <m/>
    <s v="Manakara"/>
    <x v="1"/>
    <s v="Tamatave"/>
    <s v="Atsimo Atsinanana"/>
    <x v="2"/>
    <m/>
    <s v="ANOROMBATO"/>
    <s v="EPP MAHASOA"/>
    <m/>
    <m/>
    <n v="145"/>
    <m/>
    <x v="3"/>
    <s v="HGSF"/>
    <m/>
    <n v="0.5"/>
    <m/>
    <m/>
    <m/>
    <n v="0"/>
    <n v="3.5999999999999997E-2"/>
    <m/>
    <m/>
    <m/>
    <m/>
    <m/>
    <m/>
    <m/>
    <n v="3202760"/>
    <m/>
  </r>
  <r>
    <x v="0"/>
    <n v="2024"/>
    <x v="3"/>
    <s v="SMP1"/>
    <x v="8"/>
    <s v="School feeding"/>
    <m/>
    <m/>
    <s v="Manakara"/>
    <x v="1"/>
    <s v="Tamatave"/>
    <s v="Atsimo Atsinanana"/>
    <x v="2"/>
    <m/>
    <s v="FENOMBY"/>
    <s v="EPP AMBOHIMIARINA"/>
    <m/>
    <m/>
    <n v="63"/>
    <m/>
    <x v="3"/>
    <s v="HGSF"/>
    <m/>
    <n v="0.25"/>
    <m/>
    <m/>
    <m/>
    <n v="0"/>
    <n v="1.7999999999999999E-2"/>
    <m/>
    <m/>
    <m/>
    <m/>
    <m/>
    <m/>
    <m/>
    <n v="1391544"/>
    <m/>
  </r>
  <r>
    <x v="0"/>
    <n v="2024"/>
    <x v="3"/>
    <s v="SMP1"/>
    <x v="8"/>
    <s v="School feeding"/>
    <m/>
    <m/>
    <s v="Manakara"/>
    <x v="1"/>
    <s v="Tamatave"/>
    <s v="Atsimo Atsinanana"/>
    <x v="2"/>
    <m/>
    <s v="MITANTY"/>
    <s v="EPP BETAMPONA II"/>
    <m/>
    <m/>
    <n v="144"/>
    <m/>
    <x v="3"/>
    <s v="HGSF"/>
    <m/>
    <n v="0.5"/>
    <m/>
    <m/>
    <m/>
    <n v="0"/>
    <n v="3.5999999999999997E-2"/>
    <m/>
    <m/>
    <m/>
    <m/>
    <m/>
    <m/>
    <m/>
    <n v="3180672"/>
    <m/>
  </r>
  <r>
    <x v="0"/>
    <n v="2024"/>
    <x v="3"/>
    <s v="SMP1"/>
    <x v="8"/>
    <s v="School feeding"/>
    <m/>
    <m/>
    <s v="Manakara"/>
    <x v="1"/>
    <s v="Tamatave"/>
    <s v="Atsimo Atsinanana"/>
    <x v="2"/>
    <m/>
    <s v="MITANTY"/>
    <s v="EPP MIDEBOKA II"/>
    <m/>
    <m/>
    <n v="102"/>
    <m/>
    <x v="3"/>
    <s v="HGSF"/>
    <m/>
    <n v="0.35"/>
    <m/>
    <m/>
    <m/>
    <n v="0"/>
    <n v="2.2499999999999999E-2"/>
    <m/>
    <m/>
    <m/>
    <m/>
    <m/>
    <m/>
    <m/>
    <n v="2252976"/>
    <m/>
  </r>
  <r>
    <x v="0"/>
    <n v="2024"/>
    <x v="3"/>
    <s v="SMP1"/>
    <x v="8"/>
    <s v="School feeding"/>
    <m/>
    <m/>
    <s v="Manakara"/>
    <x v="1"/>
    <s v="Tamatave"/>
    <s v="Atsimo Atsinanana"/>
    <x v="2"/>
    <m/>
    <s v="MIZILO GARA"/>
    <s v="Ampasipotsy"/>
    <m/>
    <m/>
    <n v="207"/>
    <m/>
    <x v="3"/>
    <s v="hybride"/>
    <m/>
    <n v="1.1499999999999999"/>
    <m/>
    <m/>
    <m/>
    <n v="0.05"/>
    <n v="8.1000000000000003E-2"/>
    <m/>
    <m/>
    <m/>
    <m/>
    <m/>
    <m/>
    <m/>
    <n v="4572216"/>
    <m/>
  </r>
  <r>
    <x v="0"/>
    <n v="2024"/>
    <x v="3"/>
    <s v="SMP1"/>
    <x v="8"/>
    <s v="School feeding"/>
    <m/>
    <m/>
    <s v="Manakara"/>
    <x v="1"/>
    <s v="Tamatave"/>
    <s v="Atsimo Atsinanana"/>
    <x v="2"/>
    <m/>
    <s v="MIZILO GARE"/>
    <s v="EPP ANALAMIDITRA"/>
    <m/>
    <m/>
    <n v="280"/>
    <m/>
    <x v="3"/>
    <s v="HGSF"/>
    <m/>
    <n v="0.9"/>
    <m/>
    <m/>
    <m/>
    <n v="0"/>
    <n v="6.7500000000000004E-2"/>
    <m/>
    <m/>
    <m/>
    <m/>
    <m/>
    <m/>
    <m/>
    <n v="6184640"/>
    <m/>
  </r>
  <r>
    <x v="0"/>
    <n v="2024"/>
    <x v="3"/>
    <s v="SMP1"/>
    <x v="8"/>
    <s v="School feeding"/>
    <m/>
    <m/>
    <s v="Manakara"/>
    <x v="1"/>
    <s v="Tamatave"/>
    <s v="Atsimo Atsinanana"/>
    <x v="2"/>
    <m/>
    <s v="MIZILO GARE"/>
    <s v="EPP FENOARIVO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x v="13"/>
    <m/>
    <s v="AMBODINONOKA II"/>
    <s v="EPP ANALAMARINA"/>
    <m/>
    <m/>
    <n v="154"/>
    <m/>
    <x v="3"/>
    <s v="HGSF"/>
    <m/>
    <n v="0.55000000000000004"/>
    <m/>
    <m/>
    <m/>
    <n v="0.05"/>
    <n v="4.0500000000000001E-2"/>
    <m/>
    <m/>
    <m/>
    <m/>
    <m/>
    <m/>
    <m/>
    <n v="3401552"/>
    <m/>
  </r>
  <r>
    <x v="0"/>
    <n v="2024"/>
    <x v="3"/>
    <s v="SMP1"/>
    <x v="8"/>
    <s v="School feeding"/>
    <m/>
    <m/>
    <s v="Manakara"/>
    <x v="1"/>
    <s v="Tamatave"/>
    <s v="Atsimo Atsinanana"/>
    <x v="13"/>
    <m/>
    <s v="AMBODINONOKA II"/>
    <s v="EPP FIADANANA"/>
    <m/>
    <m/>
    <n v="202"/>
    <m/>
    <x v="3"/>
    <s v="HGSF"/>
    <m/>
    <n v="0.65"/>
    <m/>
    <m/>
    <m/>
    <n v="0.05"/>
    <n v="4.9500000000000002E-2"/>
    <m/>
    <m/>
    <m/>
    <m/>
    <m/>
    <m/>
    <m/>
    <n v="4461776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OSIMPARIHY"/>
    <s v="EPP AMBATOHARANANA"/>
    <m/>
    <m/>
    <n v="200"/>
    <m/>
    <x v="3"/>
    <s v="HGSF"/>
    <m/>
    <n v="0.7"/>
    <m/>
    <m/>
    <m/>
    <n v="0.05"/>
    <n v="4.4999999999999998E-2"/>
    <m/>
    <m/>
    <m/>
    <m/>
    <m/>
    <m/>
    <m/>
    <n v="4417600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OSIPARIHY"/>
    <s v="Anosimparihy"/>
    <m/>
    <m/>
    <n v="183"/>
    <m/>
    <x v="3"/>
    <s v="hybride"/>
    <m/>
    <n v="1"/>
    <m/>
    <m/>
    <m/>
    <n v="0.05"/>
    <n v="7.1999999999999995E-2"/>
    <m/>
    <m/>
    <m/>
    <m/>
    <m/>
    <m/>
    <m/>
    <n v="4042104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OSIMPARIHY"/>
    <s v="EPP IABORANO"/>
    <m/>
    <m/>
    <n v="116"/>
    <m/>
    <x v="3"/>
    <s v="HGSF"/>
    <m/>
    <n v="0.4"/>
    <m/>
    <m/>
    <m/>
    <n v="0"/>
    <n v="2.7E-2"/>
    <m/>
    <m/>
    <m/>
    <m/>
    <m/>
    <m/>
    <m/>
    <n v="2562208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OSIMPARIHY"/>
    <s v="EPP VOHIBIAVY"/>
    <m/>
    <m/>
    <n v="97"/>
    <m/>
    <x v="3"/>
    <s v="HGSF"/>
    <m/>
    <n v="0.35"/>
    <m/>
    <m/>
    <m/>
    <n v="0"/>
    <n v="2.7E-2"/>
    <m/>
    <m/>
    <m/>
    <m/>
    <m/>
    <m/>
    <m/>
    <n v="2142536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SENAVOLO"/>
    <s v="EPP AMBODIAKATRA"/>
    <m/>
    <m/>
    <n v="228"/>
    <m/>
    <x v="3"/>
    <s v="HGSF"/>
    <m/>
    <n v="0.75"/>
    <m/>
    <m/>
    <m/>
    <n v="0.05"/>
    <n v="5.3999999999999999E-2"/>
    <m/>
    <m/>
    <m/>
    <m/>
    <m/>
    <m/>
    <m/>
    <n v="5036064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SENAVOLO"/>
    <s v="Ambodivoangy"/>
    <m/>
    <m/>
    <n v="182"/>
    <m/>
    <x v="3"/>
    <s v="hybride"/>
    <m/>
    <n v="1"/>
    <m/>
    <m/>
    <m/>
    <n v="0.05"/>
    <n v="7.1999999999999995E-2"/>
    <m/>
    <m/>
    <m/>
    <m/>
    <m/>
    <m/>
    <m/>
    <n v="4020016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SENAVOLO"/>
    <s v="Ankazotokana"/>
    <m/>
    <m/>
    <n v="158"/>
    <m/>
    <x v="3"/>
    <s v="hybride"/>
    <m/>
    <n v="0.85"/>
    <m/>
    <m/>
    <m/>
    <n v="0.05"/>
    <n v="6.3E-2"/>
    <m/>
    <m/>
    <m/>
    <m/>
    <m/>
    <m/>
    <m/>
    <n v="3489904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SENAVOLO"/>
    <s v="EPP ANTSENAVOLO"/>
    <m/>
    <m/>
    <n v="718"/>
    <m/>
    <x v="3"/>
    <s v="HGSF"/>
    <m/>
    <n v="2.35"/>
    <m/>
    <m/>
    <m/>
    <n v="0.1"/>
    <n v="0.16650000000000001"/>
    <m/>
    <m/>
    <m/>
    <m/>
    <m/>
    <m/>
    <m/>
    <n v="15859184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SENAVOLO"/>
    <s v="EPP FENOARIVO"/>
    <m/>
    <m/>
    <n v="75"/>
    <m/>
    <x v="3"/>
    <s v="HGSF"/>
    <m/>
    <n v="0.3"/>
    <m/>
    <m/>
    <m/>
    <n v="0"/>
    <n v="1.7999999999999999E-2"/>
    <m/>
    <m/>
    <m/>
    <m/>
    <m/>
    <m/>
    <m/>
    <n v="1656600"/>
    <m/>
  </r>
  <r>
    <x v="0"/>
    <n v="2024"/>
    <x v="3"/>
    <s v="SMP1"/>
    <x v="8"/>
    <s v="School feeding"/>
    <m/>
    <m/>
    <s v="Manakara"/>
    <x v="1"/>
    <s v="Tamatave"/>
    <s v="Atsimo Atsinanana"/>
    <x v="13"/>
    <m/>
    <s v="AMBOHIMIARINA"/>
    <s v="Irondro"/>
    <m/>
    <m/>
    <n v="428"/>
    <m/>
    <x v="3"/>
    <s v="hybride"/>
    <m/>
    <n v="2.35"/>
    <m/>
    <m/>
    <m/>
    <n v="0.1"/>
    <n v="0.16650000000000001"/>
    <m/>
    <m/>
    <m/>
    <m/>
    <m/>
    <m/>
    <m/>
    <n v="9453664"/>
    <m/>
  </r>
  <r>
    <x v="0"/>
    <n v="2024"/>
    <x v="3"/>
    <s v="SMP1"/>
    <x v="8"/>
    <s v="School feeding"/>
    <m/>
    <m/>
    <s v="Manakara"/>
    <x v="1"/>
    <s v="Tamatave"/>
    <s v="Atsimo Atsinanana"/>
    <x v="13"/>
    <m/>
    <s v="KIANJAVATO"/>
    <s v="Ambalahosy sud"/>
    <m/>
    <m/>
    <n v="251"/>
    <m/>
    <x v="3"/>
    <s v="hybride"/>
    <m/>
    <n v="1.4"/>
    <m/>
    <m/>
    <m/>
    <n v="0.1"/>
    <n v="9.9000000000000005E-2"/>
    <m/>
    <m/>
    <m/>
    <m/>
    <m/>
    <m/>
    <m/>
    <n v="5544088"/>
    <m/>
  </r>
  <r>
    <x v="0"/>
    <n v="2024"/>
    <x v="3"/>
    <s v="SMP1"/>
    <x v="8"/>
    <s v="School feeding"/>
    <m/>
    <m/>
    <s v="Manakara"/>
    <x v="1"/>
    <s v="Tamatave"/>
    <s v="Atsimo Atsinanana"/>
    <x v="13"/>
    <m/>
    <s v="KIANJAVATO"/>
    <s v="Ambodibonary"/>
    <m/>
    <m/>
    <n v="161"/>
    <m/>
    <x v="3"/>
    <s v="hybride"/>
    <m/>
    <n v="0.9"/>
    <m/>
    <m/>
    <m/>
    <n v="0.05"/>
    <n v="6.3E-2"/>
    <m/>
    <m/>
    <m/>
    <m/>
    <m/>
    <m/>
    <m/>
    <n v="3556168"/>
    <m/>
  </r>
  <r>
    <x v="0"/>
    <n v="2024"/>
    <x v="3"/>
    <s v="SMP1"/>
    <x v="8"/>
    <s v="School feeding"/>
    <m/>
    <m/>
    <s v="Manakara"/>
    <x v="1"/>
    <s v="Tamatave"/>
    <s v="Atsimo Atsinanana"/>
    <x v="13"/>
    <m/>
    <s v="KIANJAVATO"/>
    <s v="Fotobohitra"/>
    <m/>
    <m/>
    <n v="197"/>
    <m/>
    <x v="3"/>
    <s v="hybride"/>
    <m/>
    <n v="1.1000000000000001"/>
    <m/>
    <m/>
    <m/>
    <n v="0.05"/>
    <n v="7.6499999999999999E-2"/>
    <m/>
    <m/>
    <m/>
    <m/>
    <m/>
    <m/>
    <m/>
    <n v="4351336"/>
    <m/>
  </r>
  <r>
    <x v="0"/>
    <n v="2024"/>
    <x v="3"/>
    <s v="SMP1"/>
    <x v="8"/>
    <s v="School feeding"/>
    <m/>
    <m/>
    <s v="Manakara"/>
    <x v="1"/>
    <s v="Tamatave"/>
    <s v="Atsimo Atsinanana"/>
    <x v="13"/>
    <m/>
    <s v="KIANJAVATO"/>
    <s v="Kianjavato"/>
    <m/>
    <m/>
    <n v="512"/>
    <m/>
    <x v="3"/>
    <s v="hybride"/>
    <m/>
    <n v="2.8"/>
    <m/>
    <m/>
    <m/>
    <n v="0.15"/>
    <n v="0.20250000000000001"/>
    <m/>
    <m/>
    <m/>
    <m/>
    <m/>
    <m/>
    <m/>
    <n v="11309056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HATSARA SUD"/>
    <s v="Mahatsarasud"/>
    <m/>
    <m/>
    <n v="445"/>
    <m/>
    <x v="3"/>
    <s v="hybride"/>
    <m/>
    <n v="2.4500000000000002"/>
    <m/>
    <m/>
    <m/>
    <n v="0.1"/>
    <n v="0.17549999999999999"/>
    <m/>
    <m/>
    <m/>
    <m/>
    <m/>
    <m/>
    <m/>
    <n v="9829160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NANJARY"/>
    <s v="EPP ANDOVOSIRA"/>
    <m/>
    <m/>
    <n v="538"/>
    <m/>
    <x v="3"/>
    <s v="HGSF"/>
    <m/>
    <n v="1.75"/>
    <m/>
    <m/>
    <m/>
    <n v="0.1"/>
    <n v="0.126"/>
    <m/>
    <m/>
    <m/>
    <m/>
    <m/>
    <m/>
    <m/>
    <n v="11883344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NANJARY"/>
    <s v="EPP FANGATO"/>
    <m/>
    <m/>
    <n v="415"/>
    <m/>
    <x v="3"/>
    <s v="HGSF"/>
    <m/>
    <n v="1.35"/>
    <m/>
    <m/>
    <m/>
    <n v="0.05"/>
    <n v="9.9000000000000005E-2"/>
    <m/>
    <m/>
    <m/>
    <m/>
    <m/>
    <m/>
    <m/>
    <n v="9166520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NANJARY"/>
    <s v="EPP JOSEPH ROBERT"/>
    <m/>
    <m/>
    <n v="993"/>
    <m/>
    <x v="3"/>
    <s v="HGSF"/>
    <m/>
    <n v="3.25"/>
    <m/>
    <m/>
    <m/>
    <n v="0.15"/>
    <n v="0.22950000000000001"/>
    <m/>
    <m/>
    <m/>
    <m/>
    <m/>
    <m/>
    <m/>
    <n v="21933384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I"/>
    <s v="Ambaladara"/>
    <m/>
    <m/>
    <n v="359"/>
    <m/>
    <x v="3"/>
    <s v="hybride"/>
    <m/>
    <n v="1.95"/>
    <m/>
    <m/>
    <m/>
    <n v="0.1"/>
    <n v="0.13950000000000001"/>
    <m/>
    <m/>
    <m/>
    <m/>
    <m/>
    <m/>
    <m/>
    <n v="7929592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ROKARIMA"/>
    <s v="EPP AMBOANGIMASINA"/>
    <m/>
    <m/>
    <n v="85"/>
    <m/>
    <x v="3"/>
    <s v="HGSF"/>
    <m/>
    <n v="0.3"/>
    <m/>
    <m/>
    <m/>
    <n v="0"/>
    <n v="1.7999999999999999E-2"/>
    <m/>
    <m/>
    <m/>
    <m/>
    <m/>
    <m/>
    <m/>
    <n v="1877480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ROKARIMA"/>
    <s v="EPP MAROKARIMA"/>
    <m/>
    <m/>
    <n v="368"/>
    <m/>
    <x v="3"/>
    <s v="HGSF"/>
    <m/>
    <n v="1.25"/>
    <m/>
    <m/>
    <m/>
    <n v="0.05"/>
    <n v="8.5500000000000007E-2"/>
    <m/>
    <m/>
    <m/>
    <m/>
    <m/>
    <m/>
    <m/>
    <n v="8128384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I"/>
    <s v="EPP SANDRANGELY"/>
    <m/>
    <m/>
    <n v="170"/>
    <m/>
    <x v="3"/>
    <s v="HGSF"/>
    <m/>
    <n v="0.55000000000000004"/>
    <m/>
    <m/>
    <m/>
    <n v="0.05"/>
    <n v="4.0500000000000001E-2"/>
    <m/>
    <m/>
    <m/>
    <m/>
    <m/>
    <m/>
    <m/>
    <n v="3754960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ROSANGY"/>
    <s v="EPP AMBALAKONDRO"/>
    <m/>
    <m/>
    <n v="155"/>
    <m/>
    <x v="3"/>
    <s v="HGSF"/>
    <m/>
    <n v="0.55000000000000004"/>
    <m/>
    <m/>
    <m/>
    <n v="0.05"/>
    <n v="3.5999999999999997E-2"/>
    <m/>
    <m/>
    <m/>
    <m/>
    <m/>
    <m/>
    <m/>
    <n v="3423640"/>
    <m/>
  </r>
  <r>
    <x v="0"/>
    <n v="2024"/>
    <x v="3"/>
    <s v="SMP1"/>
    <x v="8"/>
    <s v="School feeding"/>
    <m/>
    <m/>
    <s v="Manakara"/>
    <x v="1"/>
    <s v="Tamatave"/>
    <s v="Atsimo Atsinanana"/>
    <x v="13"/>
    <m/>
    <s v="MAROSANGY"/>
    <s v="EPP IANKANA"/>
    <m/>
    <m/>
    <n v="161"/>
    <m/>
    <x v="3"/>
    <s v="HGSF"/>
    <m/>
    <n v="0.55000000000000004"/>
    <m/>
    <m/>
    <m/>
    <n v="0.05"/>
    <n v="4.0500000000000001E-2"/>
    <m/>
    <m/>
    <m/>
    <m/>
    <m/>
    <m/>
    <m/>
    <n v="3556168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Ampasimbola"/>
    <m/>
    <m/>
    <n v="204"/>
    <m/>
    <x v="3"/>
    <s v="hybride"/>
    <m/>
    <n v="1.1000000000000001"/>
    <m/>
    <m/>
    <m/>
    <n v="0.05"/>
    <n v="8.1000000000000003E-2"/>
    <m/>
    <m/>
    <m/>
    <m/>
    <m/>
    <m/>
    <m/>
    <n v="4505952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EPP MAROFODY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EPP MAROPAIKA"/>
    <m/>
    <m/>
    <n v="77"/>
    <m/>
    <x v="3"/>
    <s v="HGSF"/>
    <m/>
    <n v="0.3"/>
    <m/>
    <m/>
    <m/>
    <n v="0"/>
    <n v="1.7999999999999999E-2"/>
    <m/>
    <m/>
    <m/>
    <m/>
    <m/>
    <m/>
    <m/>
    <n v="1700776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EPP TANAMBAO MAROFODY"/>
    <m/>
    <m/>
    <n v="50"/>
    <m/>
    <x v="3"/>
    <s v="HGSF"/>
    <m/>
    <n v="0.2"/>
    <m/>
    <m/>
    <m/>
    <n v="0"/>
    <n v="1.35E-2"/>
    <m/>
    <m/>
    <m/>
    <m/>
    <m/>
    <m/>
    <m/>
    <n v="1104400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Tsaravary"/>
    <m/>
    <m/>
    <n v="257"/>
    <m/>
    <x v="3"/>
    <s v="hybride"/>
    <m/>
    <n v="1.4"/>
    <m/>
    <m/>
    <m/>
    <n v="0.1"/>
    <n v="9.9000000000000005E-2"/>
    <m/>
    <m/>
    <m/>
    <m/>
    <m/>
    <m/>
    <m/>
    <n v="5676616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I"/>
    <s v="Sahamara"/>
    <m/>
    <m/>
    <n v="72"/>
    <m/>
    <x v="3"/>
    <s v="hybride"/>
    <m/>
    <n v="0.4"/>
    <m/>
    <m/>
    <m/>
    <n v="0"/>
    <n v="2.7E-2"/>
    <m/>
    <m/>
    <m/>
    <m/>
    <m/>
    <m/>
    <m/>
    <n v="1590336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Ambalaromba"/>
    <m/>
    <m/>
    <n v="259"/>
    <m/>
    <x v="3"/>
    <s v="hybride"/>
    <m/>
    <n v="1.4"/>
    <m/>
    <m/>
    <m/>
    <n v="0.1"/>
    <n v="0.10349999999999999"/>
    <m/>
    <m/>
    <m/>
    <m/>
    <m/>
    <m/>
    <m/>
    <n v="5720792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I"/>
    <s v="EPP AMBATOLAHILETSIVITSY"/>
    <m/>
    <m/>
    <n v="132"/>
    <m/>
    <x v="3"/>
    <s v="hybride"/>
    <m/>
    <n v="0.75"/>
    <m/>
    <m/>
    <m/>
    <n v="0.05"/>
    <n v="5.3999999999999999E-2"/>
    <m/>
    <m/>
    <m/>
    <m/>
    <m/>
    <m/>
    <m/>
    <n v="2915616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Ambatotsara"/>
    <m/>
    <m/>
    <n v="175"/>
    <m/>
    <x v="3"/>
    <s v="hybride"/>
    <m/>
    <n v="0.95"/>
    <m/>
    <m/>
    <m/>
    <n v="0.05"/>
    <n v="6.7500000000000004E-2"/>
    <m/>
    <m/>
    <m/>
    <m/>
    <m/>
    <m/>
    <m/>
    <n v="3865400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I"/>
    <s v="EPP AMBOHIMIARINA I"/>
    <m/>
    <m/>
    <n v="345"/>
    <m/>
    <x v="3"/>
    <s v="hybride"/>
    <m/>
    <n v="1.9"/>
    <m/>
    <m/>
    <m/>
    <n v="0.1"/>
    <n v="0.13500000000000001"/>
    <m/>
    <m/>
    <m/>
    <m/>
    <m/>
    <m/>
    <m/>
    <n v="7620360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Andranomavo II"/>
    <m/>
    <m/>
    <n v="387"/>
    <m/>
    <x v="3"/>
    <s v="hybride"/>
    <m/>
    <n v="2.15"/>
    <m/>
    <m/>
    <m/>
    <n v="0.1"/>
    <n v="0.153"/>
    <m/>
    <m/>
    <m/>
    <m/>
    <m/>
    <m/>
    <m/>
    <n v="8548056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EPP ANDRANOMITEKA"/>
    <m/>
    <m/>
    <n v="220"/>
    <m/>
    <x v="3"/>
    <s v="HGSF"/>
    <m/>
    <n v="0.75"/>
    <m/>
    <m/>
    <m/>
    <n v="0.05"/>
    <n v="5.3999999999999999E-2"/>
    <m/>
    <m/>
    <m/>
    <m/>
    <m/>
    <m/>
    <m/>
    <n v="4859360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Betampona"/>
    <m/>
    <m/>
    <n v="383"/>
    <m/>
    <x v="3"/>
    <s v="hybride"/>
    <m/>
    <n v="2.1"/>
    <m/>
    <m/>
    <m/>
    <n v="0.1"/>
    <n v="0.14849999999999999"/>
    <m/>
    <m/>
    <m/>
    <m/>
    <m/>
    <m/>
    <m/>
    <n v="8459704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ManakanaI"/>
    <m/>
    <m/>
    <n v="168"/>
    <m/>
    <x v="3"/>
    <s v="hybride"/>
    <m/>
    <n v="0.9"/>
    <m/>
    <m/>
    <m/>
    <n v="0.05"/>
    <n v="6.7500000000000004E-2"/>
    <m/>
    <m/>
    <m/>
    <m/>
    <m/>
    <m/>
    <m/>
    <n v="3710784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Tsarahafatra"/>
    <m/>
    <m/>
    <n v="308"/>
    <m/>
    <x v="3"/>
    <s v="hybride"/>
    <m/>
    <n v="1.7"/>
    <m/>
    <m/>
    <m/>
    <n v="0.1"/>
    <n v="0.1215"/>
    <m/>
    <m/>
    <m/>
    <m/>
    <m/>
    <m/>
    <m/>
    <n v="6803104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IATOSIKA I"/>
    <s v="EPP TSIATOSIKA"/>
    <m/>
    <m/>
    <n v="300"/>
    <m/>
    <x v="3"/>
    <s v="HGSF"/>
    <m/>
    <n v="1"/>
    <m/>
    <m/>
    <m/>
    <n v="0"/>
    <n v="7.1999999999999995E-2"/>
    <m/>
    <m/>
    <m/>
    <m/>
    <m/>
    <m/>
    <m/>
    <n v="6626400"/>
    <m/>
  </r>
  <r>
    <x v="0"/>
    <n v="2024"/>
    <x v="3"/>
    <s v="SMP1"/>
    <x v="8"/>
    <s v="School feeding"/>
    <m/>
    <m/>
    <s v="Manakara"/>
    <x v="1"/>
    <s v="Tamatave"/>
    <s v="Atsimo Atsinanana"/>
    <x v="13"/>
    <m/>
    <s v="VATOHANDRINA"/>
    <s v="EPP VATOHANDRNA"/>
    <m/>
    <m/>
    <n v="165"/>
    <m/>
    <x v="3"/>
    <s v="HGSF"/>
    <m/>
    <n v="0.55000000000000004"/>
    <m/>
    <m/>
    <m/>
    <n v="0.05"/>
    <n v="4.0500000000000001E-2"/>
    <m/>
    <m/>
    <m/>
    <m/>
    <m/>
    <m/>
    <m/>
    <n v="3644520"/>
    <m/>
  </r>
  <r>
    <x v="0"/>
    <n v="2024"/>
    <x v="3"/>
    <s v="SMP1"/>
    <x v="8"/>
    <s v="School feeding"/>
    <m/>
    <m/>
    <s v="Manakara"/>
    <x v="1"/>
    <s v="Tamatave"/>
    <s v="Atsimo Atsinanana"/>
    <x v="13"/>
    <m/>
    <s v="VOHILAVA II"/>
    <s v="EPP AMBAKOANA"/>
    <m/>
    <m/>
    <n v="270"/>
    <m/>
    <x v="3"/>
    <s v="HGSF"/>
    <m/>
    <n v="0.9"/>
    <m/>
    <m/>
    <m/>
    <n v="0.05"/>
    <n v="6.3E-2"/>
    <m/>
    <m/>
    <m/>
    <m/>
    <m/>
    <m/>
    <m/>
    <n v="5963760"/>
    <m/>
  </r>
  <r>
    <x v="0"/>
    <n v="2024"/>
    <x v="3"/>
    <s v="SMP1"/>
    <x v="8"/>
    <s v="School feeding"/>
    <m/>
    <m/>
    <s v="Manakara"/>
    <x v="1"/>
    <s v="Tamatave"/>
    <s v="Atsimo Atsinanana"/>
    <x v="13"/>
    <m/>
    <s v="TSARAVARY"/>
    <s v="EPP MAROHITA"/>
    <m/>
    <m/>
    <n v="226"/>
    <m/>
    <x v="3"/>
    <s v="HGSF"/>
    <m/>
    <n v="0.75"/>
    <m/>
    <m/>
    <m/>
    <n v="0.05"/>
    <n v="5.3999999999999999E-2"/>
    <m/>
    <m/>
    <m/>
    <m/>
    <m/>
    <m/>
    <m/>
    <n v="4991888"/>
    <m/>
  </r>
  <r>
    <x v="0"/>
    <n v="2024"/>
    <x v="3"/>
    <s v="SMP1"/>
    <x v="8"/>
    <s v="School feeding"/>
    <m/>
    <m/>
    <s v="Manakara"/>
    <x v="1"/>
    <s v="Tamatave"/>
    <s v="Atsimo Atsinanana"/>
    <x v="13"/>
    <m/>
    <s v="ANTARETRA"/>
    <s v="ECOLE COMMUNAUTAIRE LAVAKIANJA"/>
    <m/>
    <m/>
    <n v="167"/>
    <m/>
    <x v="3"/>
    <s v="HGSF"/>
    <m/>
    <n v="0.6"/>
    <m/>
    <m/>
    <m/>
    <n v="0.05"/>
    <n v="4.0500000000000001E-2"/>
    <m/>
    <m/>
    <m/>
    <m/>
    <m/>
    <m/>
    <m/>
    <n v="3688696"/>
    <m/>
  </r>
  <r>
    <x v="0"/>
    <n v="2024"/>
    <x v="3"/>
    <s v="SMP1"/>
    <x v="8"/>
    <s v="School feeding"/>
    <m/>
    <m/>
    <s v="Tuléar"/>
    <x v="3"/>
    <s v="Tuléar"/>
    <s v="Atsimo Andrefana"/>
    <x v="26"/>
    <m/>
    <s v="AMBINANY"/>
    <s v="BEVILANY"/>
    <m/>
    <m/>
    <n v="439"/>
    <m/>
    <x v="1"/>
    <s v="classique"/>
    <m/>
    <n v="3.4"/>
    <m/>
    <m/>
    <m/>
    <n v="0.75"/>
    <n v="0.22950000000000001"/>
    <m/>
    <m/>
    <m/>
    <m/>
    <m/>
    <m/>
    <n v="4.3795000000000002"/>
    <m/>
    <m/>
  </r>
  <r>
    <x v="0"/>
    <n v="2024"/>
    <x v="3"/>
    <s v="SMP1"/>
    <x v="8"/>
    <s v="School feeding"/>
    <m/>
    <m/>
    <s v="Tuléar"/>
    <x v="3"/>
    <s v="Tuléar"/>
    <s v="Atsimo Andrefana"/>
    <x v="26"/>
    <m/>
    <s v="SAKARAHA"/>
    <s v="ANDRANOMAINTSO"/>
    <m/>
    <m/>
    <n v="492"/>
    <m/>
    <x v="1"/>
    <s v="classique"/>
    <m/>
    <n v="3.8"/>
    <m/>
    <m/>
    <m/>
    <n v="0.85"/>
    <n v="0.252"/>
    <m/>
    <m/>
    <m/>
    <m/>
    <m/>
    <m/>
    <n v="4.9019999999999992"/>
    <m/>
    <m/>
  </r>
  <r>
    <x v="0"/>
    <n v="2024"/>
    <x v="3"/>
    <s v="SMP1"/>
    <x v="8"/>
    <s v="School feeding"/>
    <m/>
    <m/>
    <s v="Tuléar"/>
    <x v="3"/>
    <s v="Tuléar"/>
    <s v="Atsimo Andrefana"/>
    <x v="26"/>
    <m/>
    <s v="VINETA ANDAMASINY"/>
    <s v="AMBARARATA GOUDRON"/>
    <m/>
    <m/>
    <n v="585"/>
    <m/>
    <x v="1"/>
    <s v="classique"/>
    <m/>
    <n v="4.5"/>
    <m/>
    <m/>
    <m/>
    <n v="1"/>
    <n v="0.32400000000000001"/>
    <m/>
    <m/>
    <m/>
    <m/>
    <m/>
    <m/>
    <n v="5.8239999999999998"/>
    <m/>
    <m/>
  </r>
  <r>
    <x v="0"/>
    <n v="2024"/>
    <x v="3"/>
    <s v="SMP1"/>
    <x v="8"/>
    <s v="School feeding"/>
    <m/>
    <m/>
    <s v="Tuléar"/>
    <x v="3"/>
    <s v="Tuléar"/>
    <s v="Atsimo Andrefana"/>
    <x v="26"/>
    <m/>
    <s v="VINETA ANDAMASINY"/>
    <s v="ANDRAVINDAHY II"/>
    <m/>
    <m/>
    <n v="0"/>
    <m/>
    <x v="1"/>
    <s v="classique"/>
    <m/>
    <n v="0"/>
    <m/>
    <m/>
    <m/>
    <n v="0"/>
    <n v="0"/>
    <m/>
    <m/>
    <m/>
    <m/>
    <m/>
    <m/>
    <n v="0"/>
    <m/>
    <m/>
  </r>
  <r>
    <x v="0"/>
    <n v="2024"/>
    <x v="3"/>
    <s v="SMP1"/>
    <x v="8"/>
    <s v="School feeding"/>
    <m/>
    <m/>
    <s v="Tuléar"/>
    <x v="3"/>
    <s v="Tuléar"/>
    <s v="Atsimo Andrefana"/>
    <x v="26"/>
    <m/>
    <s v="VINETA ANDAMASINY"/>
    <s v="VINETA MAHASOA"/>
    <m/>
    <m/>
    <n v="403"/>
    <m/>
    <x v="1"/>
    <s v="classique"/>
    <m/>
    <n v="3.1"/>
    <m/>
    <m/>
    <m/>
    <n v="0.7"/>
    <n v="0.2205"/>
    <m/>
    <m/>
    <m/>
    <m/>
    <m/>
    <m/>
    <n v="4.0205000000000002"/>
    <m/>
    <m/>
  </r>
  <r>
    <x v="0"/>
    <n v="2024"/>
    <x v="3"/>
    <s v="SMP1"/>
    <x v="8"/>
    <s v="School feeding"/>
    <m/>
    <m/>
    <s v="Tuléar"/>
    <x v="3"/>
    <s v="Tuléar"/>
    <s v="Atsimo Andrefana"/>
    <x v="26"/>
    <m/>
    <s v="VINETA ANDAMASINY"/>
    <s v="ANTRANOKAKY"/>
    <m/>
    <m/>
    <n v="384"/>
    <m/>
    <x v="1"/>
    <s v="classique"/>
    <m/>
    <n v="2.95"/>
    <m/>
    <m/>
    <m/>
    <n v="0.65"/>
    <n v="0.17549999999999999"/>
    <m/>
    <m/>
    <m/>
    <m/>
    <m/>
    <m/>
    <n v="3.7755000000000001"/>
    <m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ECOLE COMMUNAUTAIRE ANDAVABIBY"/>
    <m/>
    <m/>
    <n v="213"/>
    <m/>
    <x v="3"/>
    <s v="HGSF"/>
    <m/>
    <n v="1.45"/>
    <m/>
    <m/>
    <m/>
    <n v="0.1"/>
    <n v="0.10349999999999999"/>
    <m/>
    <m/>
    <m/>
    <m/>
    <m/>
    <m/>
    <m/>
    <n v="4704744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EPP AMBOROMPOTSY"/>
    <m/>
    <m/>
    <n v="721"/>
    <m/>
    <x v="3"/>
    <s v="HGSF"/>
    <m/>
    <n v="5.15"/>
    <m/>
    <m/>
    <m/>
    <n v="0.25"/>
    <n v="0.36899999999999999"/>
    <m/>
    <m/>
    <m/>
    <m/>
    <m/>
    <m/>
    <m/>
    <n v="15925448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BELALITSE"/>
    <m/>
    <m/>
    <n v="196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ETSIFOHAVE"/>
    <m/>
    <m/>
    <n v="238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MASINDRANO"/>
    <m/>
    <m/>
    <n v="324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EPP ANTANIMAVO"/>
    <m/>
    <m/>
    <n v="231"/>
    <m/>
    <x v="3"/>
    <s v="HGSF"/>
    <m/>
    <n v="1.5"/>
    <m/>
    <m/>
    <m/>
    <n v="0.1"/>
    <n v="0.10349999999999999"/>
    <m/>
    <m/>
    <m/>
    <m/>
    <m/>
    <m/>
    <m/>
    <n v="5102328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MOTOMBE"/>
    <m/>
    <m/>
    <n v="348"/>
    <m/>
    <x v="1"/>
    <s v="classique"/>
    <m/>
    <n v="2.4"/>
    <m/>
    <m/>
    <m/>
    <n v="0.5"/>
    <n v="0.17100000000000001"/>
    <m/>
    <m/>
    <m/>
    <m/>
    <m/>
    <m/>
    <n v="3.070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borompotsy"/>
    <s v="AGNARAMAIKY"/>
    <m/>
    <m/>
    <n v="222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AMBALIANDRO"/>
    <m/>
    <m/>
    <n v="222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ANTANIMAINTY"/>
    <m/>
    <m/>
    <n v="195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ANTSAGNIRA"/>
    <m/>
    <m/>
    <n v="279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 CENTRE"/>
    <s v="EPP BELAZA"/>
    <m/>
    <m/>
    <n v="287"/>
    <m/>
    <x v="3"/>
    <s v="HGSF"/>
    <m/>
    <n v="1.9"/>
    <m/>
    <m/>
    <m/>
    <n v="0.1"/>
    <n v="0.13500000000000001"/>
    <m/>
    <m/>
    <m/>
    <m/>
    <m/>
    <m/>
    <m/>
    <n v="6339256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LAFIBATO"/>
    <m/>
    <m/>
    <n v="176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LAVAPOSA"/>
    <m/>
    <m/>
    <n v="161"/>
    <m/>
    <x v="1"/>
    <s v="classique"/>
    <m/>
    <n v="1"/>
    <m/>
    <m/>
    <m/>
    <n v="0.25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 CENTRE"/>
    <s v="EPP AMBALATSIEFA"/>
    <m/>
    <m/>
    <n v="742"/>
    <m/>
    <x v="3"/>
    <s v="HGSF"/>
    <m/>
    <n v="5.5"/>
    <m/>
    <m/>
    <m/>
    <n v="0.25"/>
    <n v="0.39150000000000001"/>
    <m/>
    <m/>
    <m/>
    <m/>
    <m/>
    <m/>
    <m/>
    <n v="16388971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 CENTRE"/>
    <s v="EPP AMPANIHY CENTRE"/>
    <m/>
    <m/>
    <n v="781"/>
    <m/>
    <x v="3"/>
    <s v="HGSF"/>
    <m/>
    <n v="5.8"/>
    <m/>
    <m/>
    <m/>
    <n v="0.3"/>
    <n v="0.41399999999999998"/>
    <m/>
    <m/>
    <m/>
    <m/>
    <m/>
    <m/>
    <m/>
    <n v="17241363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 CENTRE"/>
    <s v="EPP ANDRANOMAMY"/>
    <m/>
    <m/>
    <n v="268"/>
    <m/>
    <x v="3"/>
    <s v="HGSF"/>
    <m/>
    <n v="1.9"/>
    <m/>
    <m/>
    <m/>
    <n v="0.1"/>
    <n v="0.13500000000000001"/>
    <m/>
    <m/>
    <m/>
    <m/>
    <m/>
    <m/>
    <m/>
    <n v="5892184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ETANJO"/>
    <m/>
    <m/>
    <n v="251"/>
    <m/>
    <x v="1"/>
    <s v="classique"/>
    <m/>
    <n v="1.75"/>
    <m/>
    <m/>
    <m/>
    <n v="0.4"/>
    <n v="0.1215"/>
    <m/>
    <m/>
    <m/>
    <m/>
    <m/>
    <m/>
    <n v="2.271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ETROBEKE"/>
    <m/>
    <m/>
    <n v="861"/>
    <m/>
    <x v="1"/>
    <s v="classique"/>
    <m/>
    <n v="6.15"/>
    <m/>
    <m/>
    <m/>
    <n v="1.35"/>
    <n v="0.4365"/>
    <m/>
    <m/>
    <m/>
    <m/>
    <m/>
    <m/>
    <n v="7.936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EPP GOROGODA"/>
    <m/>
    <m/>
    <n v="211"/>
    <m/>
    <x v="1"/>
    <s v="classique"/>
    <m/>
    <n v="1.4"/>
    <m/>
    <m/>
    <m/>
    <n v="0.3"/>
    <n v="0.10349999999999999"/>
    <m/>
    <m/>
    <m/>
    <m/>
    <m/>
    <m/>
    <n v="1.803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SIHANAMITOHY"/>
    <m/>
    <m/>
    <n v="304"/>
    <m/>
    <x v="1"/>
    <s v="classique"/>
    <m/>
    <n v="2.1"/>
    <m/>
    <m/>
    <m/>
    <n v="0.5"/>
    <n v="0.14849999999999999"/>
    <m/>
    <m/>
    <m/>
    <m/>
    <m/>
    <m/>
    <n v="2.748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ANKILETOKA I"/>
    <m/>
    <m/>
    <n v="300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AMBALAVATO CENTRE"/>
    <m/>
    <m/>
    <n v="194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mpanihy"/>
    <s v="SIHANAMITOHY CENTRE"/>
    <m/>
    <m/>
    <n v="114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AMBOLISARIKE"/>
    <m/>
    <m/>
    <n v="157"/>
    <m/>
    <x v="1"/>
    <s v="classique"/>
    <m/>
    <n v="0.7"/>
    <m/>
    <m/>
    <m/>
    <n v="0.2"/>
    <n v="4.9500000000000002E-2"/>
    <m/>
    <m/>
    <m/>
    <m/>
    <m/>
    <m/>
    <n v="0.949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COLE COMMUNAUTAIRE ANDRAPIDRAPIKE"/>
    <m/>
    <m/>
    <n v="159"/>
    <m/>
    <x v="3"/>
    <s v="HGSF"/>
    <m/>
    <n v="0.9"/>
    <m/>
    <m/>
    <m/>
    <n v="0.1"/>
    <n v="6.7500000000000004E-2"/>
    <m/>
    <m/>
    <m/>
    <m/>
    <m/>
    <m/>
    <m/>
    <n v="3511992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ANKEHEO"/>
    <m/>
    <m/>
    <n v="216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PP BELAMBO"/>
    <m/>
    <m/>
    <n v="359"/>
    <m/>
    <x v="3"/>
    <s v="HGSF"/>
    <m/>
    <n v="2.25"/>
    <m/>
    <m/>
    <m/>
    <n v="0.15"/>
    <n v="0.16200000000000001"/>
    <m/>
    <m/>
    <m/>
    <m/>
    <m/>
    <m/>
    <m/>
    <n v="7929592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MINA"/>
    <m/>
    <m/>
    <n v="322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VANGA"/>
    <m/>
    <m/>
    <n v="307"/>
    <m/>
    <x v="1"/>
    <s v="classique"/>
    <m/>
    <n v="2.0499999999999998"/>
    <m/>
    <m/>
    <m/>
    <n v="0.45"/>
    <n v="0.14849999999999999"/>
    <m/>
    <m/>
    <m/>
    <m/>
    <m/>
    <m/>
    <n v="2.648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COLE COMMUNAUTAIRE FANAMBOSA"/>
    <m/>
    <m/>
    <n v="266"/>
    <m/>
    <x v="3"/>
    <s v="HGSF"/>
    <m/>
    <n v="1.55"/>
    <m/>
    <m/>
    <m/>
    <n v="0.1"/>
    <n v="0.108"/>
    <m/>
    <m/>
    <m/>
    <m/>
    <m/>
    <m/>
    <m/>
    <n v="5875408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COLE COMMUNAUTAIRE HORINJA"/>
    <m/>
    <m/>
    <n v="194"/>
    <m/>
    <x v="3"/>
    <s v="HGSF"/>
    <m/>
    <n v="1.2"/>
    <m/>
    <m/>
    <m/>
    <n v="0.1"/>
    <n v="8.5500000000000007E-2"/>
    <m/>
    <m/>
    <m/>
    <m/>
    <m/>
    <m/>
    <m/>
    <n v="4285072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KALANGASA"/>
    <m/>
    <m/>
    <n v="283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KILEMIRIMBO CENTRE"/>
    <m/>
    <m/>
    <n v="224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KILIRO"/>
    <m/>
    <m/>
    <n v="293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KILILIGNISA"/>
    <m/>
    <m/>
    <n v="171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ECOLE COMMUNAUTAIRE LAHITSITELY"/>
    <m/>
    <m/>
    <n v="191"/>
    <m/>
    <x v="3"/>
    <s v="HGSF"/>
    <m/>
    <n v="0.95"/>
    <m/>
    <m/>
    <m/>
    <n v="0.1"/>
    <n v="6.7500000000000004E-2"/>
    <m/>
    <m/>
    <m/>
    <m/>
    <m/>
    <m/>
    <m/>
    <n v="4218808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BEAVOHA SUD"/>
    <m/>
    <m/>
    <n v="284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BEHARAHAKE"/>
    <m/>
    <m/>
    <n v="587"/>
    <m/>
    <x v="1"/>
    <s v="classique"/>
    <m/>
    <n v="3.9"/>
    <m/>
    <m/>
    <m/>
    <n v="0.85"/>
    <n v="0.27900000000000003"/>
    <m/>
    <m/>
    <m/>
    <m/>
    <m/>
    <m/>
    <n v="5.028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BEVOALAVO"/>
    <m/>
    <m/>
    <n v="204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KILIBORY"/>
    <m/>
    <m/>
    <n v="31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MAHATSANDRY"/>
    <m/>
    <m/>
    <n v="21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SAODONA"/>
    <m/>
    <m/>
    <n v="259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ZAMASY"/>
    <m/>
    <m/>
    <n v="396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MAROHOLA"/>
    <m/>
    <m/>
    <n v="332"/>
    <m/>
    <x v="1"/>
    <s v="classique"/>
    <m/>
    <n v="2.2999999999999998"/>
    <m/>
    <m/>
    <m/>
    <n v="0.5"/>
    <n v="0.16650000000000001"/>
    <m/>
    <m/>
    <m/>
    <m/>
    <m/>
    <m/>
    <n v="2.966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MASIADILY"/>
    <m/>
    <m/>
    <n v="184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AMBOAIDO"/>
    <m/>
    <m/>
    <n v="216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ANJAMAROTEA"/>
    <m/>
    <m/>
    <n v="177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EPP ANKILIMIVORY"/>
    <m/>
    <m/>
    <n v="439"/>
    <m/>
    <x v="3"/>
    <s v="HGSF"/>
    <m/>
    <n v="3"/>
    <m/>
    <m/>
    <m/>
    <n v="0.15"/>
    <n v="0.21149999999999999"/>
    <m/>
    <m/>
    <m/>
    <m/>
    <m/>
    <m/>
    <m/>
    <n v="9696632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mivory"/>
    <s v="REKOSO"/>
    <m/>
    <m/>
    <n v="223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AMPAMORITA"/>
    <m/>
    <m/>
    <n v="188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ANALAMATEZA-BAS"/>
    <m/>
    <m/>
    <n v="161"/>
    <m/>
    <x v="1"/>
    <s v="classique"/>
    <m/>
    <n v="1.05"/>
    <m/>
    <m/>
    <m/>
    <n v="0.25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MAROVAHO"/>
    <m/>
    <m/>
    <n v="148"/>
    <m/>
    <x v="1"/>
    <s v="classique"/>
    <m/>
    <n v="0.95"/>
    <m/>
    <m/>
    <m/>
    <n v="0.2"/>
    <n v="6.7500000000000004E-2"/>
    <m/>
    <m/>
    <m/>
    <m/>
    <m/>
    <m/>
    <n v="1.217499999999999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BEKAKO-NORD"/>
    <m/>
    <m/>
    <n v="235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SAKAMASAY"/>
    <m/>
    <m/>
    <n v="170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ANDRANOLAVA"/>
    <m/>
    <m/>
    <n v="188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EMALO"/>
    <m/>
    <m/>
    <n v="174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zato"/>
    <s v="ANALAMATEZA-HAUT"/>
    <m/>
    <m/>
    <n v="194"/>
    <m/>
    <x v="1"/>
    <s v="classique"/>
    <m/>
    <n v="1.3"/>
    <m/>
    <m/>
    <m/>
    <n v="0.3"/>
    <n v="0.09"/>
    <m/>
    <m/>
    <m/>
    <m/>
    <m/>
    <m/>
    <n v="1.690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NTANAMAEVA"/>
    <m/>
    <m/>
    <n v="262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BEAVAKE I"/>
    <m/>
    <m/>
    <n v="279"/>
    <m/>
    <x v="1"/>
    <s v="classique"/>
    <m/>
    <n v="1.9"/>
    <m/>
    <m/>
    <m/>
    <n v="0.45"/>
    <n v="0.13500000000000001"/>
    <m/>
    <m/>
    <m/>
    <m/>
    <m/>
    <m/>
    <n v="2.485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BEDEBOKE"/>
    <m/>
    <m/>
    <n v="414"/>
    <m/>
    <x v="1"/>
    <s v="classique"/>
    <m/>
    <n v="2.8"/>
    <m/>
    <m/>
    <m/>
    <n v="0.65"/>
    <n v="0.19800000000000001"/>
    <m/>
    <m/>
    <m/>
    <m/>
    <m/>
    <m/>
    <n v="3.647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PINJO II"/>
    <m/>
    <m/>
    <n v="346"/>
    <m/>
    <x v="1"/>
    <s v="classique"/>
    <m/>
    <n v="2.4"/>
    <m/>
    <m/>
    <m/>
    <n v="0.55000000000000004"/>
    <n v="0.17100000000000001"/>
    <m/>
    <m/>
    <m/>
    <m/>
    <m/>
    <m/>
    <n v="3.12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VOHIBE"/>
    <m/>
    <m/>
    <n v="288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MBATOMAINTY"/>
    <m/>
    <m/>
    <n v="37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NTALY"/>
    <m/>
    <m/>
    <n v="298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ra"/>
    <s v="BEARA"/>
    <m/>
    <m/>
    <n v="232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ra"/>
    <s v="BEAVAKE I"/>
    <m/>
    <m/>
    <n v="230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BELAMOTY"/>
    <m/>
    <m/>
    <n v="367"/>
    <m/>
    <x v="1"/>
    <s v="classique"/>
    <m/>
    <n v="2.4500000000000002"/>
    <m/>
    <m/>
    <m/>
    <n v="0.55000000000000004"/>
    <n v="0.17100000000000001"/>
    <m/>
    <m/>
    <m/>
    <m/>
    <m/>
    <m/>
    <n v="3.170999999999999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EPP BESALY BAS"/>
    <m/>
    <m/>
    <n v="369"/>
    <m/>
    <x v="3"/>
    <s v="HGSF"/>
    <m/>
    <n v="2.4500000000000002"/>
    <m/>
    <m/>
    <m/>
    <n v="0.15"/>
    <n v="0.17549999999999999"/>
    <m/>
    <m/>
    <m/>
    <m/>
    <m/>
    <m/>
    <m/>
    <n v="8150472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PINJO I"/>
    <m/>
    <m/>
    <n v="308"/>
    <m/>
    <x v="1"/>
    <s v="classique"/>
    <m/>
    <n v="2.1"/>
    <m/>
    <m/>
    <m/>
    <n v="0.5"/>
    <n v="0.153"/>
    <m/>
    <m/>
    <m/>
    <m/>
    <m/>
    <m/>
    <n v="2.753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SATRAPOTSY HAUT"/>
    <m/>
    <m/>
    <n v="194"/>
    <m/>
    <x v="3"/>
    <s v="HGSF"/>
    <m/>
    <n v="1.2"/>
    <m/>
    <m/>
    <m/>
    <n v="0.1"/>
    <n v="8.5500000000000007E-2"/>
    <m/>
    <m/>
    <m/>
    <m/>
    <m/>
    <m/>
    <m/>
    <n v="4200497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MBATOMAINTY ANAVIAVY"/>
    <m/>
    <m/>
    <n v="213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NTANIMENA"/>
    <m/>
    <m/>
    <n v="232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taly"/>
    <s v="AMPIHA"/>
    <m/>
    <m/>
    <n v="223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AMBATOVAKY-HAUT"/>
    <m/>
    <m/>
    <n v="187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BELOLO-BAS"/>
    <m/>
    <m/>
    <n v="290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MIKAIKARIVO"/>
    <m/>
    <m/>
    <n v="276"/>
    <m/>
    <x v="1"/>
    <s v="classique"/>
    <m/>
    <n v="1.75"/>
    <m/>
    <m/>
    <m/>
    <n v="0.4"/>
    <n v="0.1215"/>
    <m/>
    <m/>
    <m/>
    <m/>
    <m/>
    <m/>
    <n v="2.271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TRATRIOTSE-KANDE"/>
    <m/>
    <m/>
    <n v="214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AMPAMATA"/>
    <m/>
    <m/>
    <n v="351"/>
    <m/>
    <x v="1"/>
    <s v="classique"/>
    <m/>
    <n v="2.5"/>
    <m/>
    <m/>
    <m/>
    <n v="0.55000000000000004"/>
    <n v="0.18"/>
    <m/>
    <m/>
    <m/>
    <m/>
    <m/>
    <m/>
    <n v="3.2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BELAFIKE HAUT"/>
    <m/>
    <m/>
    <n v="310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BEADALA BAS"/>
    <m/>
    <m/>
    <n v="231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BELAFIKE BAS"/>
    <m/>
    <m/>
    <n v="229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lafike Haut"/>
    <s v="TRATRIOTSE-BAS"/>
    <m/>
    <m/>
    <n v="237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AMBONIARIVO"/>
    <m/>
    <m/>
    <n v="267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EPP AMPANDRAMBE ANIVORANO"/>
    <m/>
    <m/>
    <n v="236"/>
    <m/>
    <x v="3"/>
    <s v="HGSF"/>
    <m/>
    <n v="1.5"/>
    <m/>
    <m/>
    <m/>
    <n v="0.1"/>
    <n v="0.108"/>
    <m/>
    <m/>
    <m/>
    <m/>
    <m/>
    <m/>
    <m/>
    <n v="5212768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BELOBAKA NORD"/>
    <m/>
    <m/>
    <n v="313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BEROY SUD"/>
    <m/>
    <m/>
    <n v="380"/>
    <m/>
    <x v="1"/>
    <s v="classique"/>
    <m/>
    <n v="2.5499999999999998"/>
    <m/>
    <m/>
    <m/>
    <n v="0.6"/>
    <n v="0.18"/>
    <m/>
    <m/>
    <m/>
    <m/>
    <m/>
    <m/>
    <n v="3.3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BEROY NORD TANANDAVA"/>
    <m/>
    <m/>
    <n v="343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roy Sud"/>
    <s v="AMBATOMITIKITSE"/>
    <m/>
    <m/>
    <n v="131"/>
    <m/>
    <x v="1"/>
    <s v="classique"/>
    <m/>
    <n v="0.85"/>
    <m/>
    <m/>
    <m/>
    <n v="0.2"/>
    <n v="6.3E-2"/>
    <m/>
    <m/>
    <m/>
    <m/>
    <m/>
    <m/>
    <n v="1.11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AMBATOKAPEKE EJEDA"/>
    <m/>
    <m/>
    <n v="215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ECOLE COMMUNAUTAIRE ANKILIMIDEGA"/>
    <m/>
    <m/>
    <n v="276"/>
    <m/>
    <x v="3"/>
    <s v="HGSF"/>
    <m/>
    <n v="1.95"/>
    <m/>
    <m/>
    <m/>
    <n v="0.1"/>
    <n v="0.13500000000000001"/>
    <m/>
    <m/>
    <m/>
    <m/>
    <m/>
    <m/>
    <m/>
    <n v="6096288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ECOLE COMMUNAUTAIRE ANTANANONDATY"/>
    <m/>
    <m/>
    <n v="276"/>
    <m/>
    <x v="3"/>
    <s v="HGSF"/>
    <m/>
    <n v="2.0499999999999998"/>
    <m/>
    <m/>
    <m/>
    <n v="0.1"/>
    <n v="0.14399999999999999"/>
    <m/>
    <m/>
    <m/>
    <m/>
    <m/>
    <m/>
    <m/>
    <n v="6096288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ANTSEVASEVA ANKILIMALANGE"/>
    <m/>
    <m/>
    <n v="202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BEHAZONDREGNETSE"/>
    <m/>
    <m/>
    <n v="221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ECOLE COMMUNAUTAIRE BEKILY"/>
    <m/>
    <m/>
    <n v="253"/>
    <m/>
    <x v="3"/>
    <s v="HGSF"/>
    <m/>
    <n v="1.8"/>
    <m/>
    <m/>
    <m/>
    <n v="0.1"/>
    <n v="0.126"/>
    <m/>
    <m/>
    <m/>
    <m/>
    <m/>
    <m/>
    <m/>
    <n v="5588264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ESIFAKE"/>
    <m/>
    <m/>
    <n v="327"/>
    <m/>
    <x v="1"/>
    <s v="classique"/>
    <m/>
    <n v="2.35"/>
    <m/>
    <m/>
    <m/>
    <n v="0.55000000000000004"/>
    <n v="0.17100000000000001"/>
    <m/>
    <m/>
    <m/>
    <m/>
    <m/>
    <m/>
    <n v="3.0710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FARAFATSE"/>
    <m/>
    <m/>
    <n v="322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MATAVE NORD"/>
    <m/>
    <m/>
    <n v="336"/>
    <m/>
    <x v="1"/>
    <s v="classique"/>
    <m/>
    <n v="2.6"/>
    <m/>
    <m/>
    <m/>
    <n v="0.6"/>
    <n v="0.1845"/>
    <m/>
    <m/>
    <m/>
    <m/>
    <m/>
    <m/>
    <n v="3.38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TRANOMBORO"/>
    <m/>
    <m/>
    <n v="276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AMBATOVAKY CENTRE"/>
    <m/>
    <m/>
    <n v="487"/>
    <m/>
    <x v="3"/>
    <s v="HGSF"/>
    <m/>
    <n v="3.55"/>
    <m/>
    <m/>
    <m/>
    <n v="0.2"/>
    <n v="0.252"/>
    <m/>
    <m/>
    <m/>
    <m/>
    <m/>
    <m/>
    <m/>
    <n v="10756856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ANKAZOTA"/>
    <m/>
    <m/>
    <n v="436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ANKOZOHOZO"/>
    <m/>
    <m/>
    <n v="447"/>
    <m/>
    <x v="1"/>
    <s v="classique"/>
    <m/>
    <n v="3.25"/>
    <m/>
    <m/>
    <m/>
    <n v="0.7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EPP BEKINAGNA"/>
    <m/>
    <m/>
    <n v="322"/>
    <m/>
    <x v="3"/>
    <s v="HGSF"/>
    <m/>
    <n v="2.25"/>
    <m/>
    <m/>
    <m/>
    <n v="0.15"/>
    <n v="0.1575"/>
    <m/>
    <m/>
    <m/>
    <m/>
    <m/>
    <m/>
    <m/>
    <n v="7112336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EPP EJEDA"/>
    <m/>
    <m/>
    <n v="1194"/>
    <m/>
    <x v="3"/>
    <s v="HGSF"/>
    <m/>
    <n v="8.3000000000000007"/>
    <m/>
    <m/>
    <m/>
    <n v="0.4"/>
    <n v="0.58950000000000002"/>
    <m/>
    <m/>
    <m/>
    <m/>
    <m/>
    <m/>
    <m/>
    <n v="26373072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MANAKARAVAVY"/>
    <m/>
    <m/>
    <n v="413"/>
    <m/>
    <x v="3"/>
    <s v="HGSF"/>
    <m/>
    <n v="3.2"/>
    <m/>
    <m/>
    <m/>
    <n v="0.15"/>
    <n v="0.22500000000000001"/>
    <m/>
    <m/>
    <m/>
    <m/>
    <m/>
    <m/>
    <m/>
    <n v="912079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MAROVAHATSE"/>
    <m/>
    <m/>
    <n v="258"/>
    <m/>
    <x v="3"/>
    <s v="HGSF"/>
    <m/>
    <n v="1.9"/>
    <m/>
    <m/>
    <m/>
    <n v="0.1"/>
    <n v="0.13500000000000001"/>
    <m/>
    <m/>
    <m/>
    <m/>
    <m/>
    <m/>
    <m/>
    <n v="5698304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ANIVORANO"/>
    <m/>
    <m/>
    <n v="286"/>
    <m/>
    <x v="3"/>
    <s v="HGSF"/>
    <m/>
    <n v="2.0499999999999998"/>
    <m/>
    <m/>
    <m/>
    <n v="0.1"/>
    <n v="0.14849999999999999"/>
    <m/>
    <m/>
    <m/>
    <m/>
    <m/>
    <m/>
    <m/>
    <n v="6317168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MITSORIAKE SUD"/>
    <m/>
    <m/>
    <n v="412"/>
    <m/>
    <x v="3"/>
    <s v="HGSF"/>
    <m/>
    <n v="2.9"/>
    <m/>
    <m/>
    <m/>
    <n v="0.15"/>
    <n v="0.20699999999999999"/>
    <m/>
    <m/>
    <m/>
    <m/>
    <m/>
    <m/>
    <m/>
    <n v="9072461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TANANDAVA"/>
    <m/>
    <m/>
    <n v="260"/>
    <m/>
    <x v="3"/>
    <s v="HGSF"/>
    <m/>
    <n v="2"/>
    <m/>
    <m/>
    <m/>
    <n v="0.1"/>
    <n v="0.14399999999999999"/>
    <m/>
    <m/>
    <m/>
    <m/>
    <m/>
    <m/>
    <m/>
    <n v="569495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BEVIRO"/>
    <m/>
    <m/>
    <n v="318"/>
    <m/>
    <x v="1"/>
    <s v="classique"/>
    <m/>
    <n v="2.15"/>
    <m/>
    <m/>
    <m/>
    <n v="0.45"/>
    <n v="0.153"/>
    <m/>
    <m/>
    <m/>
    <m/>
    <m/>
    <m/>
    <n v="2.753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I"/>
    <s v="ANJAMIVARO"/>
    <m/>
    <m/>
    <n v="266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MANAKARALAHY"/>
    <m/>
    <m/>
    <n v="434"/>
    <m/>
    <x v="3"/>
    <s v="HGSF"/>
    <m/>
    <n v="3.2"/>
    <m/>
    <m/>
    <m/>
    <n v="0.15"/>
    <n v="0.22950000000000001"/>
    <m/>
    <m/>
    <m/>
    <m/>
    <m/>
    <m/>
    <m/>
    <n v="9586062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ANTALY"/>
    <m/>
    <m/>
    <n v="385"/>
    <m/>
    <x v="1"/>
    <s v="classique"/>
    <m/>
    <n v="2.95"/>
    <m/>
    <m/>
    <m/>
    <n v="0.65"/>
    <n v="0.21149999999999999"/>
    <m/>
    <m/>
    <m/>
    <m/>
    <m/>
    <m/>
    <n v="3.811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MBILANY HAUT"/>
    <m/>
    <m/>
    <n v="145"/>
    <m/>
    <x v="3"/>
    <s v="HGSF"/>
    <m/>
    <n v="0.95"/>
    <m/>
    <m/>
    <m/>
    <n v="0.05"/>
    <n v="6.7500000000000004E-2"/>
    <m/>
    <m/>
    <m/>
    <m/>
    <m/>
    <m/>
    <m/>
    <n v="320046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ANKILIMALANGY"/>
    <m/>
    <m/>
    <n v="136"/>
    <m/>
    <x v="3"/>
    <s v="HGSF"/>
    <m/>
    <n v="0.85"/>
    <m/>
    <m/>
    <m/>
    <n v="0.05"/>
    <n v="5.8500000000000003E-2"/>
    <m/>
    <m/>
    <m/>
    <m/>
    <m/>
    <m/>
    <m/>
    <n v="3003512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BEAMPEMBA"/>
    <m/>
    <m/>
    <n v="211"/>
    <m/>
    <x v="3"/>
    <s v="HGSF"/>
    <m/>
    <n v="1.25"/>
    <m/>
    <m/>
    <m/>
    <n v="0.1"/>
    <n v="0.09"/>
    <m/>
    <m/>
    <m/>
    <m/>
    <m/>
    <m/>
    <m/>
    <n v="465086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BESAKOA"/>
    <m/>
    <m/>
    <n v="257"/>
    <m/>
    <x v="3"/>
    <s v="HGSF"/>
    <m/>
    <n v="1.65"/>
    <m/>
    <m/>
    <m/>
    <n v="0.1"/>
    <n v="0.11700000000000001"/>
    <m/>
    <m/>
    <m/>
    <m/>
    <m/>
    <m/>
    <m/>
    <n v="5676616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BETSINEFO ANDRANOMIBOA"/>
    <m/>
    <m/>
    <n v="211"/>
    <m/>
    <x v="3"/>
    <s v="HGSF"/>
    <m/>
    <n v="1.25"/>
    <m/>
    <m/>
    <m/>
    <n v="0.1"/>
    <n v="0.09"/>
    <m/>
    <m/>
    <m/>
    <m/>
    <m/>
    <m/>
    <m/>
    <n v="461676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COLE COMMUNAUTAIRE SONJORANO"/>
    <m/>
    <m/>
    <n v="154"/>
    <m/>
    <x v="3"/>
    <s v="HGSF"/>
    <m/>
    <n v="0.85"/>
    <m/>
    <m/>
    <m/>
    <n v="0.1"/>
    <n v="5.8500000000000003E-2"/>
    <m/>
    <m/>
    <m/>
    <m/>
    <m/>
    <m/>
    <m/>
    <n v="3401552"/>
    <m/>
  </r>
  <r>
    <x v="0"/>
    <n v="2024"/>
    <x v="3"/>
    <s v="SMP1"/>
    <x v="8"/>
    <s v="School feeding"/>
    <m/>
    <m/>
    <s v="Ampanihy"/>
    <x v="2"/>
    <s v="Tuléar"/>
    <s v="Atsimo Andrefana"/>
    <x v="4"/>
    <m/>
    <s v="Anavoha"/>
    <s v="TANANDAVA"/>
    <m/>
    <m/>
    <n v="25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AMBATOBE"/>
    <m/>
    <m/>
    <n v="160"/>
    <m/>
    <x v="3"/>
    <s v="HGSF"/>
    <m/>
    <n v="1"/>
    <m/>
    <m/>
    <m/>
    <n v="0.1"/>
    <n v="7.1999999999999995E-2"/>
    <m/>
    <m/>
    <m/>
    <m/>
    <m/>
    <m/>
    <m/>
    <n v="353408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ANALABE"/>
    <m/>
    <m/>
    <n v="307"/>
    <m/>
    <x v="3"/>
    <s v="HGSF"/>
    <m/>
    <n v="1.95"/>
    <m/>
    <m/>
    <m/>
    <n v="0.15"/>
    <n v="0.13950000000000001"/>
    <m/>
    <m/>
    <m/>
    <m/>
    <m/>
    <m/>
    <m/>
    <n v="6757016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NALAPANGITSY"/>
    <m/>
    <m/>
    <n v="145"/>
    <m/>
    <x v="3"/>
    <s v="HGSF"/>
    <m/>
    <n v="0.95"/>
    <m/>
    <m/>
    <m/>
    <n v="0.05"/>
    <n v="6.7500000000000004E-2"/>
    <m/>
    <m/>
    <m/>
    <m/>
    <m/>
    <m/>
    <m/>
    <n v="3201815"/>
    <m/>
  </r>
  <r>
    <x v="0"/>
    <n v="2024"/>
    <x v="3"/>
    <s v="SMP1"/>
    <x v="8"/>
    <s v="School feeding"/>
    <m/>
    <m/>
    <s v="Ampanihy"/>
    <x v="2"/>
    <s v="Tuléar"/>
    <s v="Atsimo Andrefana"/>
    <x v="4"/>
    <m/>
    <s v="Anavoha"/>
    <s v="ANAVOHA"/>
    <m/>
    <m/>
    <n v="271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NDRANOMASY HAUT"/>
    <m/>
    <m/>
    <n v="148"/>
    <m/>
    <x v="3"/>
    <s v="HGSF"/>
    <m/>
    <n v="1"/>
    <m/>
    <m/>
    <m/>
    <n v="0.05"/>
    <n v="7.1999999999999995E-2"/>
    <m/>
    <m/>
    <m/>
    <m/>
    <m/>
    <m/>
    <m/>
    <n v="3233684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NDRANOTSIRIRY"/>
    <m/>
    <m/>
    <n v="241"/>
    <m/>
    <x v="3"/>
    <s v="HGSF"/>
    <m/>
    <n v="1.55"/>
    <m/>
    <m/>
    <m/>
    <n v="0.1"/>
    <n v="0.1125"/>
    <m/>
    <m/>
    <m/>
    <m/>
    <m/>
    <m/>
    <m/>
    <n v="532320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NIVORANO-I"/>
    <m/>
    <m/>
    <n v="252"/>
    <m/>
    <x v="3"/>
    <s v="HGSF"/>
    <m/>
    <n v="1.65"/>
    <m/>
    <m/>
    <m/>
    <n v="0.1"/>
    <n v="0.11700000000000001"/>
    <m/>
    <m/>
    <m/>
    <m/>
    <m/>
    <m/>
    <m/>
    <n v="5566176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MORAFENO BEAMALO"/>
    <m/>
    <m/>
    <n v="102"/>
    <m/>
    <x v="1"/>
    <s v="classique"/>
    <m/>
    <n v="0.55000000000000004"/>
    <m/>
    <m/>
    <m/>
    <n v="0"/>
    <n v="3.5999999999999997E-2"/>
    <m/>
    <m/>
    <m/>
    <m/>
    <m/>
    <m/>
    <n v="0.5860000000000000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BELINJO I"/>
    <m/>
    <m/>
    <n v="228"/>
    <m/>
    <x v="3"/>
    <s v="HGSF"/>
    <m/>
    <n v="1.45"/>
    <m/>
    <m/>
    <m/>
    <n v="0.1"/>
    <n v="0.10349999999999999"/>
    <m/>
    <m/>
    <m/>
    <m/>
    <m/>
    <m/>
    <m/>
    <n v="5036064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BETEZA BAS"/>
    <m/>
    <m/>
    <n v="171"/>
    <m/>
    <x v="3"/>
    <s v="HGSF"/>
    <m/>
    <n v="1.05"/>
    <m/>
    <m/>
    <m/>
    <n v="0.1"/>
    <n v="7.6499999999999999E-2"/>
    <m/>
    <m/>
    <m/>
    <m/>
    <m/>
    <m/>
    <m/>
    <n v="377704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BEVARO FOTADREVO"/>
    <m/>
    <m/>
    <n v="153"/>
    <m/>
    <x v="3"/>
    <s v="HGSF"/>
    <m/>
    <n v="0.9"/>
    <m/>
    <m/>
    <m/>
    <n v="0.1"/>
    <n v="6.3E-2"/>
    <m/>
    <m/>
    <m/>
    <m/>
    <m/>
    <m/>
    <m/>
    <n v="3326564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FOTADREVO"/>
    <m/>
    <m/>
    <n v="896"/>
    <m/>
    <x v="3"/>
    <s v="HGSF"/>
    <m/>
    <n v="5.5"/>
    <m/>
    <m/>
    <m/>
    <n v="0.3"/>
    <n v="0.39150000000000001"/>
    <m/>
    <m/>
    <m/>
    <m/>
    <m/>
    <m/>
    <m/>
    <n v="1979084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PP SETA I"/>
    <m/>
    <m/>
    <n v="174"/>
    <m/>
    <x v="3"/>
    <s v="HGSF"/>
    <m/>
    <n v="1.1000000000000001"/>
    <m/>
    <m/>
    <m/>
    <n v="0.1"/>
    <n v="7.6499999999999999E-2"/>
    <m/>
    <m/>
    <m/>
    <m/>
    <m/>
    <m/>
    <m/>
    <n v="3831412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SETA-II"/>
    <m/>
    <m/>
    <n v="25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TSIKOAKAHITSE"/>
    <m/>
    <m/>
    <n v="203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COLE COMMUNAUTAIRE ANKILIABO"/>
    <m/>
    <m/>
    <n v="166"/>
    <m/>
    <x v="3"/>
    <s v="HGSF"/>
    <m/>
    <n v="1.05"/>
    <m/>
    <m/>
    <m/>
    <n v="0.1"/>
    <n v="7.1999999999999995E-2"/>
    <m/>
    <m/>
    <m/>
    <m/>
    <m/>
    <m/>
    <m/>
    <n v="3666608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SAKOANABO BAS"/>
    <m/>
    <m/>
    <n v="299"/>
    <m/>
    <x v="3"/>
    <s v="HGSF"/>
    <m/>
    <n v="2"/>
    <m/>
    <m/>
    <m/>
    <n v="0.1"/>
    <n v="0.14399999999999999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ECOLE COMMUNAUTAIRE ANDRANOMOLITSE HAUT"/>
    <m/>
    <m/>
    <n v="267"/>
    <m/>
    <x v="3"/>
    <s v="HGSF"/>
    <m/>
    <n v="1.75"/>
    <m/>
    <m/>
    <m/>
    <n v="0.1"/>
    <n v="0.126"/>
    <m/>
    <m/>
    <m/>
    <m/>
    <m/>
    <m/>
    <m/>
    <n v="5893596"/>
    <m/>
  </r>
  <r>
    <x v="0"/>
    <n v="2024"/>
    <x v="3"/>
    <s v="SMP1"/>
    <x v="8"/>
    <s v="School feeding"/>
    <m/>
    <m/>
    <s v="Ampanihy"/>
    <x v="2"/>
    <s v="Tuléar"/>
    <s v="Atsimo Andrefana"/>
    <x v="4"/>
    <m/>
    <s v="Fotadrevo"/>
    <s v="ANKILIFOLO"/>
    <m/>
    <m/>
    <n v="202"/>
    <m/>
    <x v="3"/>
    <s v="HGSF"/>
    <m/>
    <n v="1.3"/>
    <m/>
    <m/>
    <m/>
    <n v="0.1"/>
    <n v="9.4500000000000001E-2"/>
    <m/>
    <m/>
    <m/>
    <m/>
    <m/>
    <m/>
    <m/>
    <n v="4453746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ECOLE COMMUNAUTAIRE TAOLAMBOSITRA"/>
    <m/>
    <m/>
    <n v="187"/>
    <m/>
    <x v="3"/>
    <s v="HGSF"/>
    <m/>
    <n v="1.25"/>
    <m/>
    <m/>
    <m/>
    <n v="0.1"/>
    <n v="0.09"/>
    <m/>
    <m/>
    <m/>
    <m/>
    <m/>
    <m/>
    <m/>
    <n v="4130456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AMBONDROKILY"/>
    <m/>
    <m/>
    <n v="192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AMBORINABO"/>
    <m/>
    <m/>
    <n v="19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ANAMONTA"/>
    <m/>
    <m/>
    <n v="272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ANKILIMASY"/>
    <m/>
    <m/>
    <n v="210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ANKILINDREHOZOKE"/>
    <m/>
    <m/>
    <n v="177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GOGOGOGO"/>
    <m/>
    <m/>
    <n v="351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BETONAKE"/>
    <m/>
    <m/>
    <n v="186"/>
    <m/>
    <x v="1"/>
    <s v="classique"/>
    <m/>
    <n v="1.25"/>
    <m/>
    <m/>
    <m/>
    <n v="0.3"/>
    <n v="8.5500000000000007E-2"/>
    <m/>
    <m/>
    <m/>
    <m/>
    <m/>
    <m/>
    <n v="1.635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GOGOGOGO"/>
    <s v="EPP SATRAPOTSY MILANJA"/>
    <m/>
    <m/>
    <n v="141"/>
    <m/>
    <x v="3"/>
    <s v="HGSF"/>
    <m/>
    <n v="0.9"/>
    <m/>
    <m/>
    <m/>
    <n v="0.05"/>
    <n v="6.3E-2"/>
    <m/>
    <m/>
    <m/>
    <m/>
    <m/>
    <m/>
    <m/>
    <n v="3114408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NDRANOVAO"/>
    <m/>
    <m/>
    <n v="473"/>
    <m/>
    <x v="1"/>
    <s v="classique"/>
    <m/>
    <n v="2.9"/>
    <m/>
    <m/>
    <m/>
    <n v="0.65"/>
    <n v="0.20699999999999999"/>
    <m/>
    <m/>
    <m/>
    <m/>
    <m/>
    <m/>
    <n v="3.756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BESAVAVY NORD"/>
    <m/>
    <m/>
    <n v="250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EKORITSIKE M"/>
    <m/>
    <m/>
    <n v="369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TSIANDRIONA-SUD"/>
    <m/>
    <m/>
    <n v="601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MBALABE BEAVOHA"/>
    <m/>
    <m/>
    <n v="345"/>
    <m/>
    <x v="3"/>
    <s v="hybride"/>
    <m/>
    <n v="2.0499999999999998"/>
    <m/>
    <m/>
    <m/>
    <n v="0.15"/>
    <n v="0.14399999999999999"/>
    <m/>
    <m/>
    <m/>
    <m/>
    <m/>
    <m/>
    <m/>
    <n v="762036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AMBALATSIMIVIKE"/>
    <m/>
    <m/>
    <n v="568"/>
    <m/>
    <x v="1"/>
    <s v="classique"/>
    <m/>
    <n v="3.6"/>
    <m/>
    <m/>
    <m/>
    <n v="0.8"/>
    <n v="0.25650000000000001"/>
    <m/>
    <m/>
    <m/>
    <m/>
    <m/>
    <m/>
    <n v="4.656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Ejeda I"/>
    <s v="AMPITANAKE"/>
    <m/>
    <m/>
    <n v="297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ANDROIMPANO"/>
    <m/>
    <m/>
    <n v="432"/>
    <m/>
    <x v="1"/>
    <s v="classique"/>
    <m/>
    <n v="3.05"/>
    <m/>
    <m/>
    <m/>
    <n v="0.65"/>
    <n v="0.216"/>
    <m/>
    <m/>
    <m/>
    <m/>
    <m/>
    <m/>
    <n v="3.915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BEFOLOTSE"/>
    <m/>
    <m/>
    <n v="441"/>
    <m/>
    <x v="1"/>
    <s v="classique"/>
    <m/>
    <n v="2.8"/>
    <m/>
    <m/>
    <m/>
    <n v="0.65"/>
    <n v="0.19800000000000001"/>
    <m/>
    <m/>
    <m/>
    <m/>
    <m/>
    <m/>
    <n v="3.647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BEMANATEZA-HAUT"/>
    <m/>
    <m/>
    <n v="283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BESASAVY SUD"/>
    <m/>
    <m/>
    <n v="243"/>
    <m/>
    <x v="3"/>
    <s v="hybride"/>
    <m/>
    <n v="1.45"/>
    <m/>
    <m/>
    <m/>
    <n v="0.1"/>
    <n v="0.10349999999999999"/>
    <m/>
    <m/>
    <m/>
    <m/>
    <m/>
    <m/>
    <m/>
    <n v="4467384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BETRATRATRA"/>
    <m/>
    <m/>
    <n v="435"/>
    <m/>
    <x v="1"/>
    <s v="classique"/>
    <m/>
    <n v="2.85"/>
    <m/>
    <m/>
    <m/>
    <n v="0.65"/>
    <n v="0.20250000000000001"/>
    <m/>
    <m/>
    <m/>
    <m/>
    <m/>
    <m/>
    <n v="3.702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ZOENARIVO BEVALA"/>
    <m/>
    <m/>
    <n v="305"/>
    <m/>
    <x v="3"/>
    <s v="hybride"/>
    <m/>
    <n v="1.75"/>
    <m/>
    <m/>
    <m/>
    <n v="0.15"/>
    <n v="0.126"/>
    <m/>
    <m/>
    <m/>
    <m/>
    <m/>
    <m/>
    <m/>
    <n v="668684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impano"/>
    <s v="BESELY-NORD"/>
    <m/>
    <m/>
    <n v="620"/>
    <m/>
    <x v="1"/>
    <s v="classique"/>
    <m/>
    <n v="4"/>
    <m/>
    <m/>
    <m/>
    <n v="0.9"/>
    <n v="0.28799999999999998"/>
    <m/>
    <m/>
    <m/>
    <m/>
    <m/>
    <m/>
    <n v="5.1880000000000006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EPP ITAMPOLO"/>
    <m/>
    <m/>
    <n v="544"/>
    <m/>
    <x v="3"/>
    <s v="HGSF"/>
    <m/>
    <n v="3.3"/>
    <m/>
    <m/>
    <m/>
    <n v="0.2"/>
    <n v="0.23400000000000001"/>
    <m/>
    <m/>
    <m/>
    <m/>
    <m/>
    <m/>
    <m/>
    <n v="11938183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TONGAENORO"/>
    <m/>
    <m/>
    <n v="353"/>
    <m/>
    <x v="3"/>
    <s v="hybride"/>
    <m/>
    <n v="2.1"/>
    <m/>
    <m/>
    <m/>
    <n v="0.15"/>
    <n v="0.14849999999999999"/>
    <m/>
    <m/>
    <m/>
    <m/>
    <m/>
    <m/>
    <m/>
    <n v="7553664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VOMBE"/>
    <m/>
    <m/>
    <n v="303"/>
    <m/>
    <x v="3"/>
    <s v="hybride"/>
    <m/>
    <n v="1.75"/>
    <m/>
    <m/>
    <m/>
    <n v="0.1"/>
    <n v="0.1215"/>
    <m/>
    <m/>
    <m/>
    <m/>
    <m/>
    <m/>
    <m/>
    <n v="6692664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NKAZOABO"/>
    <m/>
    <m/>
    <n v="290"/>
    <m/>
    <x v="1"/>
    <s v="classique"/>
    <m/>
    <n v="1.85"/>
    <m/>
    <m/>
    <m/>
    <n v="0.45"/>
    <n v="0.1305"/>
    <m/>
    <m/>
    <m/>
    <m/>
    <m/>
    <m/>
    <n v="2.430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BC DOMINO Ankilibory"/>
    <m/>
    <m/>
    <n v="533"/>
    <m/>
    <x v="1"/>
    <s v="classique"/>
    <m/>
    <n v="3.2"/>
    <m/>
    <m/>
    <m/>
    <n v="0.75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BC DOMINO Belitsaka"/>
    <m/>
    <m/>
    <n v="381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AMBAHOTERA"/>
    <m/>
    <m/>
    <n v="213"/>
    <m/>
    <x v="3"/>
    <s v="HGSF"/>
    <m/>
    <n v="1.6"/>
    <m/>
    <m/>
    <m/>
    <n v="0.1"/>
    <n v="0.1125"/>
    <m/>
    <m/>
    <m/>
    <m/>
    <m/>
    <m/>
    <m/>
    <n v="4704734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BEKILY-CENTRE"/>
    <m/>
    <m/>
    <n v="213"/>
    <m/>
    <x v="3"/>
    <s v="HGSF"/>
    <m/>
    <n v="1.6"/>
    <m/>
    <m/>
    <m/>
    <n v="0.1"/>
    <n v="0.1125"/>
    <m/>
    <m/>
    <m/>
    <m/>
    <m/>
    <m/>
    <m/>
    <n v="4704639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ECOLE COMMUNAUTAIRE EFOTY"/>
    <m/>
    <m/>
    <n v="190"/>
    <m/>
    <x v="3"/>
    <s v="HGSF"/>
    <m/>
    <n v="1.4"/>
    <m/>
    <m/>
    <m/>
    <n v="0.1"/>
    <n v="9.9000000000000005E-2"/>
    <m/>
    <m/>
    <m/>
    <m/>
    <m/>
    <m/>
    <m/>
    <n v="4196720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ECOLE COMMUNAUTAIRE REMENGOKE"/>
    <m/>
    <m/>
    <n v="339"/>
    <m/>
    <x v="3"/>
    <s v="HGSF"/>
    <m/>
    <n v="2.5"/>
    <m/>
    <m/>
    <m/>
    <n v="0.15"/>
    <n v="0.18"/>
    <m/>
    <m/>
    <m/>
    <m/>
    <m/>
    <m/>
    <m/>
    <n v="7447500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AMBINANITELO"/>
    <m/>
    <m/>
    <n v="195"/>
    <m/>
    <x v="3"/>
    <s v="HGSF"/>
    <m/>
    <n v="1.45"/>
    <m/>
    <m/>
    <m/>
    <n v="0.1"/>
    <n v="0.10349999999999999"/>
    <m/>
    <m/>
    <m/>
    <m/>
    <m/>
    <m/>
    <m/>
    <n v="4307160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EPP BEGORAGO"/>
    <m/>
    <m/>
    <n v="234"/>
    <m/>
    <x v="3"/>
    <s v="HGSF"/>
    <m/>
    <n v="1.75"/>
    <m/>
    <m/>
    <m/>
    <n v="0.1"/>
    <n v="0.126"/>
    <m/>
    <m/>
    <m/>
    <m/>
    <m/>
    <m/>
    <m/>
    <n v="5168592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BOKONAKE"/>
    <m/>
    <m/>
    <n v="207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Maniry"/>
    <s v="MANIRY"/>
    <m/>
    <m/>
    <n v="329"/>
    <m/>
    <x v="3"/>
    <s v="HGSF"/>
    <m/>
    <n v="2.4500000000000002"/>
    <m/>
    <m/>
    <m/>
    <n v="0.15"/>
    <n v="0.17549999999999999"/>
    <m/>
    <m/>
    <m/>
    <m/>
    <m/>
    <m/>
    <m/>
    <n v="7262752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AMBATOFOTSY-II"/>
    <m/>
    <m/>
    <n v="192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ANKILIMAMONDRO"/>
    <m/>
    <m/>
    <n v="256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ECOLE COMMUNAUTAIRE ANKILIMASY"/>
    <m/>
    <m/>
    <n v="176"/>
    <m/>
    <x v="3"/>
    <s v="HGSF"/>
    <m/>
    <n v="1.05"/>
    <m/>
    <m/>
    <m/>
    <n v="0.1"/>
    <n v="7.6499999999999999E-2"/>
    <m/>
    <m/>
    <m/>
    <m/>
    <m/>
    <m/>
    <m/>
    <n v="3887488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BEVAHY HAUT"/>
    <m/>
    <m/>
    <n v="200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AMBATOKAPEKE VOHITANY"/>
    <m/>
    <m/>
    <n v="202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Vohitany"/>
    <s v="BEBALAHAZO"/>
    <m/>
    <m/>
    <n v="141"/>
    <m/>
    <x v="1"/>
    <s v="classique"/>
    <m/>
    <n v="0.85"/>
    <m/>
    <m/>
    <m/>
    <n v="0.2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AMBOVONDREDADA"/>
    <m/>
    <m/>
    <n v="182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BEFAMATA-BAS"/>
    <m/>
    <m/>
    <n v="129"/>
    <m/>
    <x v="1"/>
    <s v="classique"/>
    <m/>
    <n v="0.8"/>
    <m/>
    <m/>
    <m/>
    <n v="0.2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BETAIMBALA"/>
    <m/>
    <m/>
    <n v="318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ECOLE COMMUNAUTAIRE REAMPOTOTSE"/>
    <m/>
    <m/>
    <n v="272"/>
    <m/>
    <x v="3"/>
    <s v="HGSF"/>
    <m/>
    <n v="1.85"/>
    <m/>
    <m/>
    <m/>
    <n v="0.1"/>
    <n v="0.1305"/>
    <m/>
    <m/>
    <m/>
    <m/>
    <m/>
    <m/>
    <m/>
    <n v="6007936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ANJAMISARO"/>
    <m/>
    <m/>
    <n v="136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EPP ANKILIABO"/>
    <m/>
    <m/>
    <n v="209"/>
    <m/>
    <x v="3"/>
    <s v="HGSF"/>
    <m/>
    <n v="1.4"/>
    <m/>
    <m/>
    <m/>
    <n v="0.1"/>
    <n v="9.9000000000000005E-2"/>
    <m/>
    <m/>
    <m/>
    <m/>
    <m/>
    <m/>
    <m/>
    <n v="4616392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ANOSA"/>
    <m/>
    <m/>
    <n v="299"/>
    <m/>
    <x v="3"/>
    <s v="HGSF"/>
    <m/>
    <n v="2.2999999999999998"/>
    <m/>
    <m/>
    <m/>
    <n v="0.1"/>
    <n v="0.16650000000000001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REAMBONDRO"/>
    <m/>
    <m/>
    <n v="20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BETIOKY"/>
    <m/>
    <m/>
    <n v="189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ANKARANTIHY"/>
    <m/>
    <m/>
    <n v="293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COLE COMMUNAUTAIRE ANKILIMANITSY CENTRE"/>
    <m/>
    <m/>
    <n v="268"/>
    <m/>
    <x v="3"/>
    <s v="HGSF"/>
    <m/>
    <n v="1.85"/>
    <m/>
    <m/>
    <m/>
    <n v="0.1"/>
    <n v="0.13500000000000001"/>
    <m/>
    <m/>
    <m/>
    <m/>
    <m/>
    <m/>
    <m/>
    <n v="5919584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BELAMOTY SUD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KOTOVOGNE"/>
    <m/>
    <m/>
    <n v="287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HABOKE"/>
    <m/>
    <m/>
    <n v="290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MAROFOTOTSE"/>
    <m/>
    <m/>
    <n v="197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COLE COMMUNAUTAIRE SAKOANDAHY"/>
    <m/>
    <m/>
    <n v="201"/>
    <m/>
    <x v="3"/>
    <s v="HGSF"/>
    <m/>
    <n v="1.35"/>
    <m/>
    <m/>
    <m/>
    <n v="0.1"/>
    <n v="9.4500000000000001E-2"/>
    <m/>
    <m/>
    <m/>
    <m/>
    <m/>
    <m/>
    <m/>
    <n v="4439688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TALIMBOLA"/>
    <m/>
    <m/>
    <n v="235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ANKILEMALANGE"/>
    <m/>
    <m/>
    <n v="396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PP BEVALA"/>
    <m/>
    <m/>
    <n v="258"/>
    <m/>
    <x v="3"/>
    <s v="HGSF"/>
    <m/>
    <n v="1.75"/>
    <m/>
    <m/>
    <m/>
    <n v="0.1"/>
    <n v="0.1215"/>
    <m/>
    <m/>
    <m/>
    <m/>
    <m/>
    <m/>
    <m/>
    <n v="5698704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PP EVOVO-NORD"/>
    <m/>
    <m/>
    <n v="299"/>
    <m/>
    <x v="3"/>
    <s v="HGSF"/>
    <m/>
    <n v="2.0499999999999998"/>
    <m/>
    <m/>
    <m/>
    <n v="0.1"/>
    <n v="0.14849999999999999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AGNENA SUD"/>
    <m/>
    <m/>
    <n v="328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AGNENA CENTRE"/>
    <m/>
    <m/>
    <n v="255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BELAMOTY NORD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COLE COMMUNAUTAIRE BESELY"/>
    <m/>
    <m/>
    <n v="271"/>
    <m/>
    <x v="3"/>
    <s v="HGSF"/>
    <m/>
    <n v="1.85"/>
    <m/>
    <m/>
    <m/>
    <n v="0.1"/>
    <n v="0.1305"/>
    <m/>
    <m/>
    <m/>
    <m/>
    <m/>
    <m/>
    <m/>
    <n v="5985848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ECOLE COMMUNAUTAIRE SAKIVE"/>
    <m/>
    <m/>
    <n v="189"/>
    <m/>
    <x v="3"/>
    <s v="HGSF"/>
    <m/>
    <n v="1.2"/>
    <m/>
    <m/>
    <m/>
    <n v="0.1"/>
    <n v="8.5500000000000007E-2"/>
    <m/>
    <m/>
    <m/>
    <m/>
    <m/>
    <m/>
    <m/>
    <n v="4174632"/>
    <m/>
  </r>
  <r>
    <x v="0"/>
    <n v="2024"/>
    <x v="3"/>
    <s v="SMP1"/>
    <x v="8"/>
    <s v="School feeding"/>
    <m/>
    <m/>
    <s v="Ampanihy"/>
    <x v="2"/>
    <s v="Tuléar"/>
    <s v="Atsimo Andrefana"/>
    <x v="4"/>
    <m/>
    <s v="Beahitse"/>
    <s v="BEHOMBY"/>
    <m/>
    <m/>
    <n v="203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droka"/>
    <s v="ANTSAKOA"/>
    <m/>
    <m/>
    <n v="237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Itampolo"/>
    <s v="ANTSARO"/>
    <m/>
    <m/>
    <n v="487"/>
    <m/>
    <x v="1"/>
    <s v="classique"/>
    <m/>
    <n v="3"/>
    <m/>
    <m/>
    <m/>
    <n v="0.7"/>
    <n v="0.21149999999999999"/>
    <m/>
    <m/>
    <m/>
    <m/>
    <m/>
    <m/>
    <n v="3.9115000000000002"/>
    <n v="0"/>
    <m/>
  </r>
  <r>
    <x v="0"/>
    <n v="2024"/>
    <x v="3"/>
    <s v="SMP1"/>
    <x v="8"/>
    <s v="School feeding"/>
    <m/>
    <m/>
    <s v="Ampanihy"/>
    <x v="2"/>
    <s v="Tuléar"/>
    <s v="Atsimo Andrefana"/>
    <x v="4"/>
    <m/>
    <s v="ANKILIABO"/>
    <s v="BEHAVANDRA III"/>
    <m/>
    <m/>
    <n v="282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panihy"/>
    <x v="2"/>
    <s v="Tuléar"/>
    <s v="Atsimo Andrefana"/>
    <x v="27"/>
    <m/>
    <s v="BEAHITSE"/>
    <s v="EPP BEAHITSE"/>
    <m/>
    <m/>
    <n v="650"/>
    <m/>
    <x v="3"/>
    <s v="HGSF"/>
    <m/>
    <n v="4.5"/>
    <m/>
    <m/>
    <m/>
    <n v="0.15"/>
    <n v="0.31950000000000001"/>
    <m/>
    <m/>
    <m/>
    <m/>
    <m/>
    <m/>
    <m/>
    <n v="14357200"/>
    <m/>
  </r>
  <r>
    <x v="0"/>
    <n v="2024"/>
    <x v="3"/>
    <s v="SMP1"/>
    <x v="8"/>
    <s v="School feeding"/>
    <m/>
    <m/>
    <s v="Tuléar"/>
    <x v="3"/>
    <s v="Tuléar"/>
    <s v="Atsimo Andrefana"/>
    <x v="28"/>
    <m/>
    <s v="AMBOHIMAHAVELONA"/>
    <s v="EPP AMBIKY"/>
    <m/>
    <m/>
    <n v="321"/>
    <m/>
    <x v="3"/>
    <s v="HGSF"/>
    <m/>
    <n v="0.9"/>
    <m/>
    <m/>
    <m/>
    <n v="0.15"/>
    <n v="0.1215"/>
    <m/>
    <m/>
    <m/>
    <m/>
    <m/>
    <m/>
    <m/>
    <n v="7070248"/>
    <m/>
  </r>
  <r>
    <x v="0"/>
    <n v="2024"/>
    <x v="3"/>
    <s v="SMP1"/>
    <x v="8"/>
    <s v="School feeding"/>
    <m/>
    <m/>
    <s v="Tuléar"/>
    <x v="3"/>
    <s v="Tuléar"/>
    <s v="Atsimo Andrefana"/>
    <x v="28"/>
    <m/>
    <s v="AMBOHIMAHAVELONA"/>
    <s v="AMBOHIMAHAVELONA"/>
    <m/>
    <m/>
    <n v="578"/>
    <m/>
    <x v="3"/>
    <s v="hybride"/>
    <m/>
    <n v="3.9"/>
    <m/>
    <m/>
    <m/>
    <n v="0.2"/>
    <n v="0.27900000000000003"/>
    <m/>
    <m/>
    <m/>
    <m/>
    <m/>
    <m/>
    <m/>
    <n v="12746900"/>
    <m/>
  </r>
  <r>
    <x v="0"/>
    <n v="2024"/>
    <x v="3"/>
    <s v="SMP1"/>
    <x v="8"/>
    <s v="School feeding"/>
    <m/>
    <m/>
    <s v="Tuléar"/>
    <x v="3"/>
    <s v="Tuléar"/>
    <s v="Atsimo Andrefana"/>
    <x v="28"/>
    <m/>
    <s v="AMBOHIMAHAVELONA"/>
    <s v="EPP MAROAMALONA (LOVASOA)"/>
    <m/>
    <m/>
    <n v="394"/>
    <m/>
    <x v="3"/>
    <s v="HGSF"/>
    <m/>
    <n v="2.2000000000000002"/>
    <m/>
    <m/>
    <m/>
    <n v="0.15"/>
    <n v="0.153"/>
    <m/>
    <m/>
    <m/>
    <m/>
    <m/>
    <m/>
    <m/>
    <n v="8702672"/>
    <m/>
  </r>
  <r>
    <x v="0"/>
    <n v="2024"/>
    <x v="3"/>
    <s v="SMP1"/>
    <x v="8"/>
    <s v="School feeding"/>
    <m/>
    <m/>
    <s v="Tuléar"/>
    <x v="3"/>
    <s v="Tuléar"/>
    <s v="Atsimo Andrefana"/>
    <x v="28"/>
    <m/>
    <s v="AMBOHIMAHAVELONA"/>
    <s v="EPP TANANDAVA MAHABO"/>
    <m/>
    <m/>
    <n v="387"/>
    <m/>
    <x v="3"/>
    <s v="HGSF"/>
    <m/>
    <n v="2.25"/>
    <m/>
    <m/>
    <m/>
    <n v="0.15"/>
    <n v="0.1575"/>
    <m/>
    <m/>
    <m/>
    <m/>
    <m/>
    <m/>
    <m/>
    <n v="6848056"/>
    <m/>
  </r>
  <r>
    <x v="0"/>
    <n v="2024"/>
    <x v="3"/>
    <s v="SMP1"/>
    <x v="8"/>
    <s v="School feeding"/>
    <m/>
    <m/>
    <s v="Tuléar"/>
    <x v="3"/>
    <s v="Tuléar"/>
    <s v="Atsimo Andrefana"/>
    <x v="28"/>
    <m/>
    <s v="ANALAMISAMPY"/>
    <s v="EPP AMPASIKIBO (MILAVONJY)"/>
    <m/>
    <m/>
    <n v="603"/>
    <m/>
    <x v="3"/>
    <s v="HGSF"/>
    <m/>
    <n v="4.55"/>
    <m/>
    <m/>
    <m/>
    <n v="0.2"/>
    <n v="0.32400000000000001"/>
    <m/>
    <m/>
    <m/>
    <m/>
    <m/>
    <m/>
    <m/>
    <n v="12691979"/>
    <m/>
  </r>
  <r>
    <x v="0"/>
    <n v="2024"/>
    <x v="3"/>
    <s v="SMP1"/>
    <x v="8"/>
    <s v="School feeding"/>
    <m/>
    <m/>
    <s v="Tuléar"/>
    <x v="3"/>
    <s v="Tuléar"/>
    <s v="Atsimo Andrefana"/>
    <x v="28"/>
    <m/>
    <s v="SOAHAZO"/>
    <s v="EPP BETSIOKY MANDATSA (NY HOAVY)"/>
    <m/>
    <m/>
    <n v="257"/>
    <m/>
    <x v="3"/>
    <s v="HGSF"/>
    <m/>
    <n v="1.4"/>
    <m/>
    <m/>
    <m/>
    <n v="0.1"/>
    <n v="0.1305"/>
    <m/>
    <m/>
    <m/>
    <m/>
    <m/>
    <m/>
    <m/>
    <n v="5676616"/>
    <m/>
  </r>
  <r>
    <x v="0"/>
    <n v="2024"/>
    <x v="3"/>
    <s v="SMP1"/>
    <x v="8"/>
    <s v="School feeding"/>
    <m/>
    <m/>
    <s v="Tuléar"/>
    <x v="3"/>
    <s v="Tuléar"/>
    <s v="Atsimo Andrefana"/>
    <x v="28"/>
    <m/>
    <s v="SOAHAZO"/>
    <s v="EPP BETSIOKY SOMOTSE (MAHASOA)"/>
    <m/>
    <m/>
    <n v="1027"/>
    <m/>
    <x v="3"/>
    <s v="HGSF"/>
    <m/>
    <n v="7.9"/>
    <m/>
    <m/>
    <m/>
    <n v="0.35"/>
    <n v="0.56699999999999995"/>
    <m/>
    <m/>
    <m/>
    <m/>
    <m/>
    <m/>
    <m/>
    <n v="22684376"/>
    <m/>
  </r>
  <r>
    <x v="0"/>
    <n v="2024"/>
    <x v="3"/>
    <s v="SMP1"/>
    <x v="8"/>
    <s v="School feeding"/>
    <m/>
    <m/>
    <s v="Tuléar"/>
    <x v="3"/>
    <s v="Tuléar"/>
    <s v="Atsimo Andrefana"/>
    <x v="28"/>
    <m/>
    <s v="ANKILILOAKA"/>
    <s v="EPP AMBOBOKA (TOLONA)"/>
    <m/>
    <m/>
    <n v="725"/>
    <m/>
    <x v="3"/>
    <s v="HGSF"/>
    <m/>
    <n v="4.95"/>
    <m/>
    <m/>
    <m/>
    <n v="0.25"/>
    <n v="0.35099999999999998"/>
    <m/>
    <m/>
    <m/>
    <m/>
    <m/>
    <m/>
    <m/>
    <n v="16013800"/>
    <m/>
  </r>
  <r>
    <x v="0"/>
    <n v="2024"/>
    <x v="3"/>
    <s v="SMP1"/>
    <x v="8"/>
    <s v="School feeding"/>
    <m/>
    <m/>
    <s v="Tuléar"/>
    <x v="3"/>
    <s v="Tuléar"/>
    <s v="Atsimo Andrefana"/>
    <x v="28"/>
    <m/>
    <s v="ANKILILOAKA"/>
    <s v="EPP AMBONDRO"/>
    <m/>
    <m/>
    <n v="630"/>
    <m/>
    <x v="3"/>
    <s v="HGSF"/>
    <m/>
    <n v="3.55"/>
    <m/>
    <m/>
    <m/>
    <n v="0.25"/>
    <n v="0.22500000000000001"/>
    <m/>
    <m/>
    <m/>
    <m/>
    <m/>
    <m/>
    <m/>
    <n v="13915440"/>
    <m/>
  </r>
  <r>
    <x v="0"/>
    <n v="2024"/>
    <x v="3"/>
    <s v="SMP1"/>
    <x v="8"/>
    <s v="School feeding"/>
    <m/>
    <m/>
    <s v="Tuléar"/>
    <x v="3"/>
    <s v="Tuléar"/>
    <s v="Atsimo Andrefana"/>
    <x v="28"/>
    <m/>
    <s v="ANKILILOAKA"/>
    <s v="ANTANILEBE"/>
    <m/>
    <m/>
    <n v="908"/>
    <m/>
    <x v="3"/>
    <s v="hybride"/>
    <m/>
    <n v="5.05"/>
    <m/>
    <m/>
    <m/>
    <n v="0.3"/>
    <n v="0.2475"/>
    <m/>
    <m/>
    <m/>
    <m/>
    <m/>
    <m/>
    <m/>
    <n v="20055904"/>
    <m/>
  </r>
  <r>
    <x v="0"/>
    <n v="2024"/>
    <x v="3"/>
    <s v="SMP1"/>
    <x v="8"/>
    <s v="School feeding"/>
    <m/>
    <m/>
    <s v="Tuléar"/>
    <x v="3"/>
    <s v="Tuléar"/>
    <s v="Atsimo Andrefana"/>
    <x v="28"/>
    <m/>
    <s v="ANKILILOAKA"/>
    <s v="ANTSEVA"/>
    <m/>
    <m/>
    <n v="591"/>
    <m/>
    <x v="3"/>
    <s v="hybride"/>
    <m/>
    <n v="4.55"/>
    <m/>
    <m/>
    <m/>
    <n v="0.2"/>
    <n v="0.32400000000000001"/>
    <m/>
    <m/>
    <m/>
    <m/>
    <m/>
    <m/>
    <m/>
    <n v="13054008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EPP AMBATOLILY"/>
    <m/>
    <m/>
    <n v="822"/>
    <m/>
    <x v="3"/>
    <s v="HGSF"/>
    <m/>
    <n v="5.9"/>
    <m/>
    <m/>
    <m/>
    <n v="0.3"/>
    <n v="0.30599999999999999"/>
    <m/>
    <m/>
    <m/>
    <m/>
    <m/>
    <m/>
    <m/>
    <n v="18156336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EPP ANDAMBOLO"/>
    <m/>
    <m/>
    <n v="609"/>
    <m/>
    <x v="3"/>
    <s v="HGSF"/>
    <m/>
    <n v="3.45"/>
    <m/>
    <m/>
    <m/>
    <n v="0.25"/>
    <n v="0.17549999999999999"/>
    <m/>
    <m/>
    <m/>
    <m/>
    <m/>
    <m/>
    <m/>
    <n v="13451592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Ankaraobato"/>
    <m/>
    <m/>
    <n v="876"/>
    <m/>
    <x v="3"/>
    <s v="hybride"/>
    <m/>
    <n v="6.75"/>
    <m/>
    <m/>
    <m/>
    <n v="0.3"/>
    <n v="0.48149999999999998"/>
    <m/>
    <m/>
    <m/>
    <m/>
    <m/>
    <m/>
    <m/>
    <n v="19348998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EPP ANTANIMENA RENDAITSE"/>
    <m/>
    <m/>
    <n v="262"/>
    <m/>
    <x v="3"/>
    <s v="HGSF"/>
    <m/>
    <n v="1"/>
    <m/>
    <m/>
    <m/>
    <n v="0.1"/>
    <n v="4.4999999999999998E-2"/>
    <m/>
    <m/>
    <m/>
    <m/>
    <m/>
    <m/>
    <m/>
    <n v="5787056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EPP ANTRANOLAHATRA"/>
    <m/>
    <m/>
    <n v="380"/>
    <m/>
    <x v="3"/>
    <s v="HGSF"/>
    <m/>
    <n v="2.75"/>
    <m/>
    <m/>
    <m/>
    <n v="0.15"/>
    <n v="0.14399999999999999"/>
    <m/>
    <m/>
    <m/>
    <m/>
    <m/>
    <m/>
    <m/>
    <n v="8393440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EPP BELAVENOKA"/>
    <m/>
    <m/>
    <n v="504"/>
    <m/>
    <x v="3"/>
    <s v="HGSF"/>
    <m/>
    <n v="2.8"/>
    <m/>
    <m/>
    <m/>
    <n v="0.2"/>
    <n v="0.13500000000000001"/>
    <m/>
    <m/>
    <m/>
    <m/>
    <m/>
    <m/>
    <m/>
    <n v="11132352"/>
    <m/>
  </r>
  <r>
    <x v="0"/>
    <n v="2024"/>
    <x v="3"/>
    <s v="SMP1"/>
    <x v="8"/>
    <s v="School feeding"/>
    <m/>
    <m/>
    <s v="Tuléar"/>
    <x v="3"/>
    <s v="Tuléar"/>
    <s v="Atsimo Andrefana"/>
    <x v="28"/>
    <m/>
    <s v="MILENAKA"/>
    <s v="Milenake"/>
    <m/>
    <m/>
    <n v="618"/>
    <m/>
    <x v="3"/>
    <s v="hybride"/>
    <m/>
    <n v="4.75"/>
    <m/>
    <m/>
    <m/>
    <n v="0.25"/>
    <n v="0.34200000000000003"/>
    <m/>
    <m/>
    <m/>
    <m/>
    <m/>
    <m/>
    <m/>
    <n v="12990694"/>
    <m/>
  </r>
  <r>
    <x v="0"/>
    <n v="2024"/>
    <x v="3"/>
    <s v="SMP1"/>
    <x v="8"/>
    <s v="School feeding"/>
    <m/>
    <m/>
    <s v="Tuléar"/>
    <x v="3"/>
    <s v="Tuléar"/>
    <s v="Atsimo Andrefana"/>
    <x v="28"/>
    <m/>
    <s v="BEHELOKE"/>
    <s v="EPP ITOMBOINA (LOVASOA)"/>
    <m/>
    <m/>
    <n v="300"/>
    <m/>
    <x v="3"/>
    <s v="HGSF"/>
    <m/>
    <n v="1.75"/>
    <m/>
    <m/>
    <m/>
    <n v="0.1"/>
    <n v="0.126"/>
    <m/>
    <m/>
    <m/>
    <m/>
    <m/>
    <m/>
    <m/>
    <n v="6626400"/>
    <m/>
  </r>
  <r>
    <x v="0"/>
    <n v="2024"/>
    <x v="3"/>
    <s v="SMP1"/>
    <x v="8"/>
    <s v="School feeding"/>
    <m/>
    <m/>
    <s v="Tuléar"/>
    <x v="3"/>
    <s v="Tuléar"/>
    <s v="Atsimo Andrefana"/>
    <x v="28"/>
    <m/>
    <s v="BEHELOKE"/>
    <s v="VATOLALAKE"/>
    <m/>
    <m/>
    <n v="304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EFOETSE"/>
    <s v="ABC DOMINO AMBOLA"/>
    <m/>
    <m/>
    <n v="542"/>
    <m/>
    <x v="1"/>
    <s v="classique"/>
    <m/>
    <n v="4.1500000000000004"/>
    <m/>
    <m/>
    <m/>
    <n v="0.9"/>
    <n v="0.29699999999999999"/>
    <m/>
    <m/>
    <m/>
    <m/>
    <m/>
    <m/>
    <n v="5.3470000000000004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BEHELOKE"/>
    <s v="ABC DOMINO ANKILIMIVONY"/>
    <m/>
    <m/>
    <n v="395"/>
    <m/>
    <x v="1"/>
    <s v="classique"/>
    <m/>
    <n v="3.05"/>
    <m/>
    <m/>
    <m/>
    <n v="0.7"/>
    <n v="0.216"/>
    <m/>
    <m/>
    <m/>
    <m/>
    <m/>
    <m/>
    <n v="3.9660000000000002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BEHELOKE"/>
    <s v="ABC DOMINO BEHELOKA"/>
    <m/>
    <m/>
    <n v="562"/>
    <m/>
    <x v="1"/>
    <s v="classique"/>
    <m/>
    <n v="4.3499999999999996"/>
    <m/>
    <m/>
    <m/>
    <n v="0.95"/>
    <n v="0.3105"/>
    <m/>
    <m/>
    <m/>
    <m/>
    <m/>
    <m/>
    <n v="5.6105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BELALANDA"/>
    <s v="EPP AMBOTSIBOTSIKE"/>
    <m/>
    <m/>
    <n v="340"/>
    <m/>
    <x v="3"/>
    <s v="hybride"/>
    <m/>
    <n v="2.5"/>
    <m/>
    <m/>
    <m/>
    <n v="0.15"/>
    <n v="0.1845"/>
    <m/>
    <m/>
    <m/>
    <m/>
    <m/>
    <m/>
    <m/>
    <n v="7509920"/>
    <m/>
  </r>
  <r>
    <x v="0"/>
    <n v="2024"/>
    <x v="3"/>
    <s v="SMP1"/>
    <x v="8"/>
    <s v="School feeding"/>
    <m/>
    <m/>
    <s v="Tuléar"/>
    <x v="3"/>
    <s v="Tuléar"/>
    <s v="Atsimo Andrefana"/>
    <x v="28"/>
    <m/>
    <s v="BELALANDA"/>
    <s v="EPP BEKOAKE"/>
    <m/>
    <m/>
    <n v="340"/>
    <m/>
    <x v="3"/>
    <s v="hybride"/>
    <m/>
    <n v="2.6"/>
    <m/>
    <m/>
    <m/>
    <n v="0.15"/>
    <n v="0.189"/>
    <m/>
    <m/>
    <m/>
    <m/>
    <m/>
    <m/>
    <m/>
    <n v="7509920"/>
    <m/>
  </r>
  <r>
    <x v="0"/>
    <n v="2024"/>
    <x v="3"/>
    <s v="SMP1"/>
    <x v="8"/>
    <s v="School feeding"/>
    <m/>
    <m/>
    <s v="Tuléar"/>
    <x v="3"/>
    <s v="Tuléar"/>
    <s v="Atsimo Andrefana"/>
    <x v="28"/>
    <m/>
    <s v="BELALANDA"/>
    <s v="BELALANDA"/>
    <m/>
    <m/>
    <n v="488"/>
    <m/>
    <x v="3"/>
    <s v="hybride"/>
    <m/>
    <n v="3.15"/>
    <m/>
    <m/>
    <m/>
    <n v="0.2"/>
    <n v="0.22500000000000001"/>
    <m/>
    <m/>
    <m/>
    <m/>
    <m/>
    <m/>
    <m/>
    <n v="10537034"/>
    <m/>
  </r>
  <r>
    <x v="0"/>
    <n v="2024"/>
    <x v="3"/>
    <s v="SMP1"/>
    <x v="8"/>
    <s v="School feeding"/>
    <m/>
    <m/>
    <s v="Tuléar"/>
    <x v="3"/>
    <s v="Tuléar"/>
    <s v="Atsimo Andrefana"/>
    <x v="28"/>
    <m/>
    <s v="BELALANDA"/>
    <s v="TSINJORIAKE"/>
    <m/>
    <m/>
    <n v="592"/>
    <m/>
    <x v="3"/>
    <s v="hybride"/>
    <m/>
    <n v="4.3"/>
    <m/>
    <m/>
    <m/>
    <n v="0.2"/>
    <n v="0.3105"/>
    <m/>
    <m/>
    <m/>
    <m/>
    <m/>
    <m/>
    <m/>
    <n v="13062596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ANKEREREAKE"/>
    <m/>
    <m/>
    <n v="616"/>
    <m/>
    <x v="3"/>
    <s v="hybride"/>
    <m/>
    <n v="4.75"/>
    <m/>
    <m/>
    <m/>
    <n v="0.25"/>
    <n v="0.33750000000000002"/>
    <m/>
    <m/>
    <m/>
    <m/>
    <m/>
    <m/>
    <m/>
    <n v="13606208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EPP ANKILIBE"/>
    <m/>
    <m/>
    <n v="439"/>
    <m/>
    <x v="3"/>
    <s v="HGSF"/>
    <m/>
    <n v="3.4"/>
    <m/>
    <m/>
    <m/>
    <n v="0.15"/>
    <n v="0.24299999999999999"/>
    <m/>
    <m/>
    <m/>
    <m/>
    <m/>
    <m/>
    <m/>
    <n v="9696632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EPP LAVENOMBATO (TSARAFANIRY)"/>
    <m/>
    <m/>
    <n v="355"/>
    <m/>
    <x v="3"/>
    <s v="HGSF"/>
    <m/>
    <n v="2.25"/>
    <m/>
    <m/>
    <m/>
    <n v="0.15"/>
    <n v="0.11700000000000001"/>
    <m/>
    <m/>
    <m/>
    <m/>
    <m/>
    <m/>
    <m/>
    <n v="7841240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MANOROKA"/>
    <m/>
    <m/>
    <n v="598"/>
    <m/>
    <x v="3"/>
    <s v="hybride"/>
    <m/>
    <n v="4.3"/>
    <m/>
    <m/>
    <m/>
    <n v="0.2"/>
    <n v="0.3105"/>
    <m/>
    <m/>
    <m/>
    <m/>
    <m/>
    <m/>
    <m/>
    <n v="13208624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EPP LOVASOA SAINT AUGUSTIN"/>
    <m/>
    <m/>
    <n v="850"/>
    <m/>
    <x v="3"/>
    <s v="HGSF"/>
    <m/>
    <n v="6.05"/>
    <m/>
    <m/>
    <m/>
    <n v="0.3"/>
    <n v="0.2475"/>
    <m/>
    <m/>
    <m/>
    <m/>
    <m/>
    <m/>
    <m/>
    <n v="18774800"/>
    <m/>
  </r>
  <r>
    <x v="0"/>
    <n v="2024"/>
    <x v="3"/>
    <s v="SMP1"/>
    <x v="8"/>
    <s v="School feeding"/>
    <m/>
    <m/>
    <s v="Tuléar"/>
    <x v="3"/>
    <s v="Tuléar"/>
    <s v="Atsimo Andrefana"/>
    <x v="28"/>
    <m/>
    <s v="SAINT AUGUSTIN"/>
    <s v="SARODRANO"/>
    <m/>
    <m/>
    <n v="524"/>
    <m/>
    <x v="3"/>
    <s v="hybride"/>
    <m/>
    <n v="4.05"/>
    <m/>
    <m/>
    <m/>
    <n v="0.2"/>
    <n v="0.28799999999999998"/>
    <m/>
    <m/>
    <m/>
    <m/>
    <m/>
    <m/>
    <m/>
    <n v="11560112"/>
    <m/>
  </r>
  <r>
    <x v="0"/>
    <n v="2024"/>
    <x v="3"/>
    <s v="SMP1"/>
    <x v="8"/>
    <s v="School feeding"/>
    <m/>
    <m/>
    <s v="Tuléar"/>
    <x v="3"/>
    <s v="Tuléar"/>
    <s v="Atsimo Andrefana"/>
    <x v="28"/>
    <m/>
    <s v="MANOMBO SUD"/>
    <s v="EPP MANOMBO I (LOVASOA)"/>
    <m/>
    <m/>
    <n v="440"/>
    <m/>
    <x v="3"/>
    <s v="HGSF"/>
    <m/>
    <n v="2.4"/>
    <m/>
    <m/>
    <m/>
    <n v="0.15"/>
    <n v="0.1215"/>
    <m/>
    <m/>
    <m/>
    <m/>
    <m/>
    <m/>
    <m/>
    <n v="9718720"/>
    <m/>
  </r>
  <r>
    <x v="0"/>
    <n v="2024"/>
    <x v="3"/>
    <s v="SMP1"/>
    <x v="8"/>
    <s v="School feeding"/>
    <m/>
    <m/>
    <s v="Tuléar"/>
    <x v="3"/>
    <s v="Tuléar"/>
    <s v="Atsimo Andrefana"/>
    <x v="28"/>
    <m/>
    <s v="MANOMBO SUD"/>
    <s v="EPP MANOMBO II (MAHASOA)"/>
    <m/>
    <m/>
    <n v="634"/>
    <m/>
    <x v="3"/>
    <s v="HGSF"/>
    <m/>
    <n v="3.85"/>
    <m/>
    <m/>
    <m/>
    <n v="0.25"/>
    <n v="0.19800000000000001"/>
    <m/>
    <m/>
    <m/>
    <m/>
    <m/>
    <m/>
    <m/>
    <n v="14003792"/>
    <m/>
  </r>
  <r>
    <x v="0"/>
    <n v="2024"/>
    <x v="3"/>
    <s v="SMP1"/>
    <x v="8"/>
    <s v="School feeding"/>
    <m/>
    <m/>
    <s v="Tuléar"/>
    <x v="3"/>
    <s v="Tuléar"/>
    <s v="Atsimo Andrefana"/>
    <x v="28"/>
    <m/>
    <s v="MANOMBO SUD"/>
    <s v="EPP FITSITIKA (TARATRA)"/>
    <m/>
    <m/>
    <n v="398"/>
    <m/>
    <x v="3"/>
    <s v="HGSF"/>
    <m/>
    <n v="2.2000000000000002"/>
    <m/>
    <m/>
    <m/>
    <n v="0.15"/>
    <n v="0.1125"/>
    <m/>
    <m/>
    <m/>
    <m/>
    <m/>
    <m/>
    <m/>
    <n v="8791024"/>
    <m/>
  </r>
  <r>
    <x v="0"/>
    <n v="2024"/>
    <x v="3"/>
    <s v="SMP1"/>
    <x v="8"/>
    <s v="School feeding"/>
    <m/>
    <m/>
    <s v="Tuléar"/>
    <x v="3"/>
    <s v="Tuléar"/>
    <s v="Atsimo Andrefana"/>
    <x v="28"/>
    <m/>
    <s v="MANOROFIFY"/>
    <s v="EPP AVOTRA AMBATOLAMPY"/>
    <m/>
    <m/>
    <n v="353"/>
    <m/>
    <x v="3"/>
    <s v="HGSF"/>
    <m/>
    <n v="2.65"/>
    <m/>
    <m/>
    <m/>
    <n v="0.15"/>
    <n v="0.13500000000000001"/>
    <m/>
    <m/>
    <m/>
    <m/>
    <m/>
    <m/>
    <m/>
    <n v="7797064"/>
    <m/>
  </r>
  <r>
    <x v="0"/>
    <n v="2024"/>
    <x v="3"/>
    <s v="SMP1"/>
    <x v="8"/>
    <s v="School feeding"/>
    <m/>
    <m/>
    <s v="Tuléar"/>
    <x v="3"/>
    <s v="Tuléar"/>
    <s v="Atsimo Andrefana"/>
    <x v="28"/>
    <m/>
    <s v="MAROMIANDRA"/>
    <s v="EPP MAROMIANDRA (EZAKA LOVA SOA)"/>
    <m/>
    <m/>
    <n v="662"/>
    <m/>
    <x v="3"/>
    <s v="HGSF"/>
    <m/>
    <n v="5.0999999999999996"/>
    <m/>
    <m/>
    <m/>
    <n v="0.25"/>
    <n v="0.36449999999999999"/>
    <m/>
    <m/>
    <m/>
    <m/>
    <m/>
    <m/>
    <m/>
    <n v="14611004"/>
    <m/>
  </r>
  <r>
    <x v="0"/>
    <n v="2024"/>
    <x v="3"/>
    <s v="SMP1"/>
    <x v="8"/>
    <s v="School feeding"/>
    <m/>
    <m/>
    <s v="Tuléar"/>
    <x v="3"/>
    <s v="Tuléar"/>
    <s v="Atsimo Andrefana"/>
    <x v="28"/>
    <m/>
    <s v="MAROMIANDRA"/>
    <s v="EPP MITSINJO MAHAZOARIVO (TSITAMBATO)"/>
    <m/>
    <m/>
    <n v="546"/>
    <m/>
    <x v="3"/>
    <s v="HGSF"/>
    <m/>
    <n v="4.2"/>
    <m/>
    <m/>
    <m/>
    <n v="0.2"/>
    <n v="0.25650000000000001"/>
    <m/>
    <m/>
    <m/>
    <m/>
    <m/>
    <m/>
    <m/>
    <n v="12060048"/>
    <m/>
  </r>
  <r>
    <x v="0"/>
    <n v="2024"/>
    <x v="3"/>
    <s v="SMP1"/>
    <x v="8"/>
    <s v="School feeding"/>
    <m/>
    <m/>
    <s v="Tuléar"/>
    <x v="3"/>
    <s v="Tuléar"/>
    <s v="Atsimo Andrefana"/>
    <x v="28"/>
    <m/>
    <s v="SOALARA SUD"/>
    <s v="SOALARA SUD"/>
    <m/>
    <m/>
    <n v="635"/>
    <m/>
    <x v="1"/>
    <s v="classique"/>
    <m/>
    <n v="4.9000000000000004"/>
    <m/>
    <m/>
    <m/>
    <n v="1.05"/>
    <n v="0.35099999999999998"/>
    <m/>
    <m/>
    <m/>
    <m/>
    <m/>
    <m/>
    <n v="6.3010000000000002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SOALARA SUD"/>
    <s v="EPP ANKARANILA (SOATEZA)"/>
    <m/>
    <m/>
    <n v="98"/>
    <m/>
    <x v="3"/>
    <s v="HGSF"/>
    <m/>
    <n v="0.55000000000000004"/>
    <m/>
    <m/>
    <m/>
    <n v="0.05"/>
    <n v="3.5999999999999997E-2"/>
    <m/>
    <m/>
    <m/>
    <m/>
    <m/>
    <m/>
    <m/>
    <n v="2164624"/>
    <m/>
  </r>
  <r>
    <x v="0"/>
    <n v="2024"/>
    <x v="3"/>
    <s v="SMP1"/>
    <x v="8"/>
    <s v="School feeding"/>
    <m/>
    <m/>
    <s v="Tuléar"/>
    <x v="3"/>
    <s v="Tuléar"/>
    <s v="Atsimo Andrefana"/>
    <x v="28"/>
    <m/>
    <s v="SOALARA SUD"/>
    <s v="ABC DOMINO ANDRANOTOHOKY"/>
    <m/>
    <m/>
    <n v="151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ANDRANOHINALY"/>
    <s v="ANDRANOHINALY"/>
    <m/>
    <m/>
    <n v="446"/>
    <m/>
    <x v="1"/>
    <s v="classique"/>
    <m/>
    <n v="2.7"/>
    <m/>
    <m/>
    <m/>
    <n v="0.55000000000000004"/>
    <n v="0.189"/>
    <m/>
    <m/>
    <m/>
    <m/>
    <m/>
    <m/>
    <n v="3.4390000000000001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ANDRANOHINALY"/>
    <s v="EPP MASIAKAMPY (LOVASOA)"/>
    <m/>
    <m/>
    <n v="381"/>
    <m/>
    <x v="3"/>
    <s v="HGSF"/>
    <m/>
    <n v="2.85"/>
    <m/>
    <m/>
    <m/>
    <n v="0.15"/>
    <n v="0.20250000000000001"/>
    <m/>
    <m/>
    <m/>
    <m/>
    <m/>
    <m/>
    <m/>
    <n v="8415528"/>
    <m/>
  </r>
  <r>
    <x v="0"/>
    <n v="2024"/>
    <x v="3"/>
    <s v="SMP1"/>
    <x v="8"/>
    <s v="School feeding"/>
    <m/>
    <m/>
    <s v="Tuléar"/>
    <x v="3"/>
    <s v="Tuléar"/>
    <s v="Atsimo Andrefana"/>
    <x v="28"/>
    <m/>
    <s v="MITSINJO BETANIMENA"/>
    <s v="EPP MITSINJO BETANIMENA (AKANISOA)"/>
    <m/>
    <m/>
    <n v="858"/>
    <m/>
    <x v="3"/>
    <s v="HGSF"/>
    <m/>
    <n v="6.5"/>
    <m/>
    <m/>
    <m/>
    <n v="0.3"/>
    <n v="0.34649999999999997"/>
    <m/>
    <m/>
    <m/>
    <m/>
    <m/>
    <m/>
    <m/>
    <n v="18951504"/>
    <m/>
  </r>
  <r>
    <x v="0"/>
    <n v="2024"/>
    <x v="3"/>
    <s v="SMP1"/>
    <x v="8"/>
    <s v="School feeding"/>
    <m/>
    <m/>
    <s v="Tuléar"/>
    <x v="3"/>
    <s v="Tuléar"/>
    <s v="Atsimo Andrefana"/>
    <x v="28"/>
    <m/>
    <s v="MITSINJO BETANIMENA"/>
    <s v="TANANDAVA MIKAMBANA"/>
    <m/>
    <m/>
    <n v="960"/>
    <m/>
    <x v="3"/>
    <s v="hybride"/>
    <m/>
    <n v="6.3"/>
    <m/>
    <m/>
    <m/>
    <n v="0.35"/>
    <n v="0.32400000000000001"/>
    <m/>
    <m/>
    <m/>
    <m/>
    <m/>
    <m/>
    <m/>
    <n v="21204480"/>
    <m/>
  </r>
  <r>
    <x v="0"/>
    <n v="2024"/>
    <x v="3"/>
    <s v="SMP1"/>
    <x v="8"/>
    <s v="School feeding"/>
    <m/>
    <m/>
    <s v="Tuléar"/>
    <x v="3"/>
    <s v="Tuléar"/>
    <s v="Atsimo Andrefana"/>
    <x v="28"/>
    <m/>
    <s v="BETSINJAKA"/>
    <s v="EPP ANDRANOMENA (NY FANDROSOANA)"/>
    <m/>
    <m/>
    <n v="327"/>
    <m/>
    <x v="3"/>
    <s v="HGSF"/>
    <m/>
    <n v="2.0499999999999998"/>
    <m/>
    <m/>
    <m/>
    <n v="0.15"/>
    <n v="0.108"/>
    <m/>
    <m/>
    <m/>
    <m/>
    <m/>
    <m/>
    <m/>
    <n v="7222776"/>
    <m/>
  </r>
  <r>
    <x v="0"/>
    <n v="2024"/>
    <x v="3"/>
    <s v="SMP1"/>
    <x v="8"/>
    <s v="School feeding"/>
    <m/>
    <m/>
    <s v="Tuléar"/>
    <x v="3"/>
    <s v="Tuléar"/>
    <s v="Atsimo Andrefana"/>
    <x v="28"/>
    <m/>
    <s v="BETSINJAKA"/>
    <s v="MOTOMBE"/>
    <m/>
    <m/>
    <n v="320"/>
    <m/>
    <x v="1"/>
    <s v="classique"/>
    <m/>
    <n v="2.4500000000000002"/>
    <m/>
    <m/>
    <m/>
    <n v="0.5"/>
    <n v="0.17549999999999999"/>
    <m/>
    <m/>
    <m/>
    <m/>
    <m/>
    <m/>
    <n v="3.1255000000000002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ANAKAO"/>
    <s v="BEFASY"/>
    <m/>
    <m/>
    <n v="280"/>
    <m/>
    <x v="1"/>
    <s v="classique"/>
    <m/>
    <n v="1.85"/>
    <m/>
    <m/>
    <m/>
    <n v="0.5"/>
    <n v="0.1215"/>
    <m/>
    <m/>
    <m/>
    <m/>
    <m/>
    <m/>
    <n v="2.4715000000000003"/>
    <n v="0"/>
    <m/>
  </r>
  <r>
    <x v="0"/>
    <n v="2024"/>
    <x v="3"/>
    <s v="SMP1"/>
    <x v="8"/>
    <s v="School feeding"/>
    <m/>
    <m/>
    <s v="Tuléar"/>
    <x v="3"/>
    <s v="Tuléar"/>
    <s v="Atsimo Andrefana"/>
    <x v="28"/>
    <m/>
    <s v="ANAKAO"/>
    <s v="EPP MAROMENA (MIVOATSE)"/>
    <m/>
    <m/>
    <n v="235"/>
    <m/>
    <x v="3"/>
    <s v="HGSF"/>
    <m/>
    <n v="1.3"/>
    <m/>
    <m/>
    <m/>
    <n v="0.1"/>
    <n v="6.3E-2"/>
    <m/>
    <m/>
    <m/>
    <m/>
    <m/>
    <m/>
    <m/>
    <n v="5190680"/>
    <m/>
  </r>
  <r>
    <x v="0"/>
    <n v="2024"/>
    <x v="3"/>
    <s v="SMP1"/>
    <x v="8"/>
    <s v="School feeding"/>
    <m/>
    <m/>
    <s v="Tuléar"/>
    <x v="3"/>
    <s v="Tuléar"/>
    <s v="Atsimo Andrefana"/>
    <x v="28"/>
    <m/>
    <s v="BEHOMPY"/>
    <s v="EPP AMBOLOKIRA"/>
    <m/>
    <m/>
    <n v="435"/>
    <m/>
    <x v="3"/>
    <s v="hybride"/>
    <m/>
    <n v="3.3"/>
    <m/>
    <m/>
    <m/>
    <n v="0.15"/>
    <n v="0.23849999999999999"/>
    <m/>
    <m/>
    <m/>
    <m/>
    <m/>
    <m/>
    <m/>
    <n v="9608280"/>
    <m/>
  </r>
  <r>
    <x v="0"/>
    <n v="2024"/>
    <x v="3"/>
    <s v="SMP1"/>
    <x v="8"/>
    <s v="School feeding"/>
    <m/>
    <m/>
    <s v="Tuléar"/>
    <x v="3"/>
    <s v="Tuléar"/>
    <s v="Atsimo Andrefana"/>
    <x v="28"/>
    <m/>
    <s v="BEHOMPY"/>
    <s v="EPP BEHOMPY MAHASOA"/>
    <m/>
    <m/>
    <n v="440"/>
    <m/>
    <x v="3"/>
    <s v="HGSF"/>
    <m/>
    <n v="3.4"/>
    <m/>
    <m/>
    <m/>
    <n v="0.15"/>
    <n v="0.24299999999999999"/>
    <m/>
    <m/>
    <m/>
    <m/>
    <m/>
    <m/>
    <m/>
    <n v="9718720"/>
    <m/>
  </r>
  <r>
    <x v="0"/>
    <n v="2024"/>
    <x v="3"/>
    <s v="SMP1"/>
    <x v="8"/>
    <s v="School feeding"/>
    <m/>
    <m/>
    <s v="Tuléar"/>
    <x v="3"/>
    <s v="Tuléar"/>
    <s v="Atsimo Andrefana"/>
    <x v="29"/>
    <m/>
    <s v="Sanfily"/>
    <s v="Fanantenana"/>
    <m/>
    <m/>
    <n v="69"/>
    <m/>
    <x v="3"/>
    <s v="hybride"/>
    <m/>
    <n v="0.55000000000000004"/>
    <m/>
    <m/>
    <m/>
    <n v="0.05"/>
    <n v="3.5999999999999997E-2"/>
    <m/>
    <m/>
    <m/>
    <m/>
    <m/>
    <m/>
    <m/>
    <n v="1524072"/>
    <m/>
  </r>
  <r>
    <x v="0"/>
    <n v="2024"/>
    <x v="3"/>
    <s v="SMP1"/>
    <x v="8"/>
    <s v="School feeding"/>
    <m/>
    <m/>
    <s v="Tuléar"/>
    <x v="3"/>
    <s v="Tuléar"/>
    <s v="Atsimo Andrefana"/>
    <x v="29"/>
    <m/>
    <s v="ANKETA"/>
    <s v="ANKETA"/>
    <m/>
    <m/>
    <n v="1077"/>
    <m/>
    <x v="3"/>
    <s v="hybride"/>
    <m/>
    <n v="7.15"/>
    <m/>
    <m/>
    <m/>
    <n v="0.4"/>
    <n v="0.38700000000000001"/>
    <m/>
    <m/>
    <m/>
    <m/>
    <m/>
    <m/>
    <m/>
    <n v="23788776"/>
    <m/>
  </r>
  <r>
    <x v="0"/>
    <n v="2024"/>
    <x v="3"/>
    <s v="SMP1"/>
    <x v="8"/>
    <s v="School feeding"/>
    <m/>
    <m/>
    <s v="Tuléar"/>
    <x v="3"/>
    <s v="Tuléar"/>
    <s v="Atsimo Andrefana"/>
    <x v="29"/>
    <m/>
    <s v="MAHAVATSE"/>
    <s v="MAHAVATSE II"/>
    <m/>
    <m/>
    <n v="1352"/>
    <m/>
    <x v="1"/>
    <s v="classique"/>
    <m/>
    <n v="9.9"/>
    <m/>
    <m/>
    <m/>
    <n v="2.1"/>
    <n v="0.70650000000000002"/>
    <m/>
    <m/>
    <m/>
    <m/>
    <m/>
    <m/>
    <n v="12.7065"/>
    <n v="0"/>
    <m/>
  </r>
  <r>
    <x v="0"/>
    <n v="2024"/>
    <x v="3"/>
    <s v="SMP1"/>
    <x v="8"/>
    <s v="School feeding"/>
    <m/>
    <m/>
    <s v="Tuléar"/>
    <x v="3"/>
    <s v="Tuléar"/>
    <s v="Atsimo Andrefana"/>
    <x v="29"/>
    <m/>
    <s v="ANKETA"/>
    <s v="EPP SAKABERA"/>
    <m/>
    <m/>
    <n v="529"/>
    <m/>
    <x v="3"/>
    <s v="HGSF"/>
    <m/>
    <n v="4.05"/>
    <m/>
    <m/>
    <m/>
    <n v="0.2"/>
    <n v="0.29249999999999998"/>
    <m/>
    <m/>
    <m/>
    <m/>
    <m/>
    <m/>
    <m/>
    <n v="11684552"/>
    <m/>
  </r>
  <r>
    <x v="0"/>
    <n v="2024"/>
    <x v="3"/>
    <s v="SMP1"/>
    <x v="8"/>
    <s v="School feeding"/>
    <m/>
    <m/>
    <s v="Tuléar"/>
    <x v="3"/>
    <s v="Tuléar"/>
    <s v="Atsimo Andrefana"/>
    <x v="29"/>
    <m/>
    <s v="BESAKOA"/>
    <s v="EPP TOLIARA CENTRE I"/>
    <m/>
    <m/>
    <n v="822"/>
    <m/>
    <x v="3"/>
    <s v="hybride"/>
    <m/>
    <n v="5"/>
    <m/>
    <m/>
    <m/>
    <n v="0.3"/>
    <n v="0.35549999999999998"/>
    <m/>
    <m/>
    <m/>
    <m/>
    <m/>
    <m/>
    <m/>
    <n v="18155136"/>
    <m/>
  </r>
  <r>
    <x v="0"/>
    <n v="2024"/>
    <x v="3"/>
    <s v="SMP1"/>
    <x v="8"/>
    <s v="School feeding"/>
    <m/>
    <m/>
    <s v="Tuléar"/>
    <x v="3"/>
    <s v="Tuléar"/>
    <s v="Atsimo Andrefana"/>
    <x v="29"/>
    <m/>
    <s v="BESAKOA"/>
    <s v="EPP TOLIARA CENTRE II"/>
    <m/>
    <m/>
    <n v="287"/>
    <m/>
    <x v="3"/>
    <s v="hybride"/>
    <m/>
    <n v="1.6"/>
    <m/>
    <m/>
    <m/>
    <n v="0.1"/>
    <n v="0.1125"/>
    <m/>
    <m/>
    <m/>
    <m/>
    <m/>
    <m/>
    <m/>
    <n v="6302841"/>
    <m/>
  </r>
  <r>
    <x v="0"/>
    <n v="2024"/>
    <x v="3"/>
    <s v="SMP1"/>
    <x v="8"/>
    <s v="School feeding"/>
    <m/>
    <m/>
    <s v="Tuléar"/>
    <x v="3"/>
    <s v="Tuléar"/>
    <s v="Atsimo Andrefana"/>
    <x v="29"/>
    <m/>
    <s v="ANKETA"/>
    <s v="TSONGOBORY"/>
    <m/>
    <m/>
    <n v="586"/>
    <m/>
    <x v="3"/>
    <s v="hybride"/>
    <m/>
    <n v="4.3"/>
    <m/>
    <m/>
    <m/>
    <n v="0.2"/>
    <n v="0.30599999999999999"/>
    <m/>
    <m/>
    <m/>
    <m/>
    <m/>
    <m/>
    <m/>
    <n v="12932168"/>
    <m/>
  </r>
  <r>
    <x v="0"/>
    <n v="2024"/>
    <x v="3"/>
    <s v="SMP1"/>
    <x v="8"/>
    <s v="School feeding"/>
    <m/>
    <m/>
    <s v="Tuléar"/>
    <x v="3"/>
    <s v="Tuléar"/>
    <s v="Atsimo Andrefana"/>
    <x v="29"/>
    <m/>
    <s v="ANKETA"/>
    <s v="EPP BETAINDAMBO"/>
    <m/>
    <m/>
    <n v="312"/>
    <m/>
    <x v="3"/>
    <s v="HGSF"/>
    <m/>
    <n v="1.75"/>
    <m/>
    <m/>
    <m/>
    <n v="0.15"/>
    <n v="0.17100000000000001"/>
    <m/>
    <m/>
    <m/>
    <m/>
    <m/>
    <m/>
    <m/>
    <n v="6864456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TONGAY"/>
    <m/>
    <m/>
    <n v="477"/>
    <m/>
    <x v="1"/>
    <s v="classique"/>
    <m/>
    <n v="3.65"/>
    <m/>
    <m/>
    <m/>
    <n v="0.8"/>
    <n v="0.26100000000000001"/>
    <m/>
    <m/>
    <m/>
    <m/>
    <m/>
    <m/>
    <n v="4.7110000000000003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EPP TSAKABALALA"/>
    <m/>
    <m/>
    <n v="408"/>
    <m/>
    <x v="3"/>
    <s v="HGSF"/>
    <m/>
    <n v="2.25"/>
    <m/>
    <m/>
    <m/>
    <n v="0.15"/>
    <n v="0.1575"/>
    <m/>
    <m/>
    <m/>
    <m/>
    <m/>
    <m/>
    <m/>
    <n v="9011904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EPP TSIMATAHOMIKA"/>
    <m/>
    <m/>
    <n v="355"/>
    <m/>
    <x v="3"/>
    <s v="HGSF"/>
    <m/>
    <n v="2"/>
    <m/>
    <m/>
    <m/>
    <n v="0.15"/>
    <n v="0.13950000000000001"/>
    <m/>
    <m/>
    <m/>
    <m/>
    <m/>
    <m/>
    <m/>
    <n v="7841240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EPP BEHELO"/>
    <m/>
    <m/>
    <n v="276"/>
    <m/>
    <x v="3"/>
    <s v="HGSF"/>
    <m/>
    <n v="1.55"/>
    <m/>
    <m/>
    <m/>
    <n v="0.1"/>
    <n v="0.108"/>
    <m/>
    <m/>
    <m/>
    <m/>
    <m/>
    <m/>
    <m/>
    <n v="6096288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EPP ANDRANOLAVA"/>
    <m/>
    <m/>
    <n v="313"/>
    <m/>
    <x v="3"/>
    <s v="HGSF"/>
    <m/>
    <n v="1.7"/>
    <m/>
    <m/>
    <m/>
    <n v="0.15"/>
    <n v="0.126"/>
    <m/>
    <m/>
    <m/>
    <m/>
    <m/>
    <m/>
    <m/>
    <n v="6913544"/>
    <m/>
  </r>
  <r>
    <x v="0"/>
    <n v="2024"/>
    <x v="3"/>
    <s v="SMP1"/>
    <x v="8"/>
    <s v="School feeding"/>
    <m/>
    <m/>
    <s v="Tuléar"/>
    <x v="3"/>
    <s v="Tuléar"/>
    <s v="Atsimo Andrefana"/>
    <x v="30"/>
    <m/>
    <s v="ANTOHABATO"/>
    <s v="EPP ANDRANOMANINTSY"/>
    <m/>
    <m/>
    <n v="299"/>
    <m/>
    <x v="3"/>
    <s v="HGSF"/>
    <m/>
    <n v="1.65"/>
    <m/>
    <m/>
    <m/>
    <n v="0.1"/>
    <n v="0.11700000000000001"/>
    <m/>
    <m/>
    <m/>
    <m/>
    <m/>
    <m/>
    <m/>
    <n v="6604312"/>
    <m/>
  </r>
  <r>
    <x v="0"/>
    <n v="2024"/>
    <x v="3"/>
    <s v="SMP1"/>
    <x v="8"/>
    <s v="School feeding"/>
    <m/>
    <m/>
    <s v="Tuléar"/>
    <x v="3"/>
    <s v="Tuléar"/>
    <s v="Atsimo Andrefana"/>
    <x v="30"/>
    <m/>
    <s v="BEANTAKE"/>
    <s v="ANJAMBALO"/>
    <m/>
    <m/>
    <n v="609"/>
    <m/>
    <x v="1"/>
    <s v="classique"/>
    <m/>
    <n v="4.25"/>
    <m/>
    <m/>
    <m/>
    <n v="0.95"/>
    <n v="0.33300000000000002"/>
    <m/>
    <m/>
    <m/>
    <m/>
    <m/>
    <m/>
    <n v="5.5330000000000004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BEANTAKE"/>
    <s v="ANONTSY"/>
    <m/>
    <m/>
    <n v="601"/>
    <m/>
    <x v="1"/>
    <s v="classique"/>
    <m/>
    <n v="3.55"/>
    <m/>
    <m/>
    <m/>
    <n v="0.75"/>
    <n v="0.32850000000000001"/>
    <m/>
    <m/>
    <m/>
    <m/>
    <m/>
    <m/>
    <n v="4.6284999999999998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BEANTAKE"/>
    <s v="EPP BEFAHA"/>
    <m/>
    <m/>
    <n v="424"/>
    <m/>
    <x v="3"/>
    <s v="HGSF"/>
    <m/>
    <n v="3.25"/>
    <m/>
    <m/>
    <m/>
    <n v="0.15"/>
    <n v="0.23400000000000001"/>
    <m/>
    <m/>
    <m/>
    <m/>
    <m/>
    <m/>
    <m/>
    <n v="9365312"/>
    <m/>
  </r>
  <r>
    <x v="0"/>
    <n v="2024"/>
    <x v="3"/>
    <s v="SMP1"/>
    <x v="8"/>
    <s v="School feeding"/>
    <m/>
    <m/>
    <s v="Tuléar"/>
    <x v="3"/>
    <s v="Tuléar"/>
    <s v="Atsimo Andrefana"/>
    <x v="30"/>
    <m/>
    <s v="Beantake"/>
    <s v="Epp Besatra"/>
    <m/>
    <m/>
    <n v="380"/>
    <m/>
    <x v="3"/>
    <s v="HGSF"/>
    <m/>
    <n v="2.95"/>
    <m/>
    <m/>
    <m/>
    <n v="0.15"/>
    <n v="0.20699999999999999"/>
    <m/>
    <m/>
    <m/>
    <m/>
    <m/>
    <m/>
    <m/>
    <n v="8368940"/>
    <m/>
  </r>
  <r>
    <x v="0"/>
    <n v="2024"/>
    <x v="3"/>
    <s v="SMP1"/>
    <x v="8"/>
    <s v="School feeding"/>
    <m/>
    <m/>
    <s v="Tuléar"/>
    <x v="3"/>
    <s v="Tuléar"/>
    <s v="Atsimo Andrefana"/>
    <x v="30"/>
    <m/>
    <s v="BELAMOTY"/>
    <s v="EPP MIHAIKY"/>
    <m/>
    <m/>
    <n v="379"/>
    <m/>
    <x v="3"/>
    <s v="HGSF"/>
    <m/>
    <n v="2.1"/>
    <m/>
    <m/>
    <m/>
    <n v="0.15"/>
    <n v="0.153"/>
    <m/>
    <m/>
    <m/>
    <m/>
    <m/>
    <m/>
    <m/>
    <n v="8371352"/>
    <m/>
  </r>
  <r>
    <x v="0"/>
    <n v="2024"/>
    <x v="3"/>
    <s v="SMP1"/>
    <x v="8"/>
    <s v="School feeding"/>
    <m/>
    <m/>
    <s v="Tuléar"/>
    <x v="3"/>
    <s v="Tuléar"/>
    <s v="Atsimo Andrefana"/>
    <x v="30"/>
    <m/>
    <s v="BETIOKY CENTRE"/>
    <s v="AMPAKABO"/>
    <m/>
    <m/>
    <n v="586"/>
    <m/>
    <x v="1"/>
    <s v="classique"/>
    <m/>
    <n v="4.5"/>
    <m/>
    <m/>
    <m/>
    <n v="0.6"/>
    <n v="0.32400000000000001"/>
    <m/>
    <m/>
    <m/>
    <m/>
    <m/>
    <m/>
    <n v="5.4239999999999995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BETIOKY II"/>
    <s v="Antsakoandahy"/>
    <m/>
    <m/>
    <n v="479"/>
    <m/>
    <x v="3"/>
    <s v="HGSF"/>
    <m/>
    <n v="3.7"/>
    <m/>
    <m/>
    <m/>
    <n v="0.2"/>
    <n v="0.26550000000000001"/>
    <m/>
    <m/>
    <m/>
    <m/>
    <m/>
    <m/>
    <m/>
    <n v="10545152"/>
    <m/>
  </r>
  <r>
    <x v="0"/>
    <n v="2024"/>
    <x v="3"/>
    <s v="SMP1"/>
    <x v="8"/>
    <s v="School feeding"/>
    <m/>
    <m/>
    <s v="Tuléar"/>
    <x v="3"/>
    <s v="Tuléar"/>
    <s v="Atsimo Andrefana"/>
    <x v="30"/>
    <m/>
    <s v="BETIOKY II"/>
    <s v="EPP RANOFOTY"/>
    <m/>
    <m/>
    <n v="365"/>
    <m/>
    <x v="3"/>
    <s v="HGSF"/>
    <m/>
    <n v="2.1"/>
    <m/>
    <m/>
    <m/>
    <n v="0.15"/>
    <n v="0.1845"/>
    <m/>
    <m/>
    <m/>
    <m/>
    <m/>
    <m/>
    <m/>
    <n v="8062120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EPP AMPASIMAIKY"/>
    <m/>
    <m/>
    <n v="262"/>
    <m/>
    <x v="3"/>
    <s v="HGSF"/>
    <m/>
    <n v="1.5"/>
    <m/>
    <m/>
    <m/>
    <n v="0.1"/>
    <n v="0.108"/>
    <m/>
    <m/>
    <m/>
    <m/>
    <m/>
    <m/>
    <m/>
    <n v="5787056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"/>
    <s v="EPP AMPASINDAVA"/>
    <m/>
    <m/>
    <n v="133"/>
    <m/>
    <x v="3"/>
    <s v="HGSF"/>
    <m/>
    <n v="0.8"/>
    <m/>
    <m/>
    <m/>
    <n v="0.05"/>
    <n v="5.8500000000000003E-2"/>
    <m/>
    <m/>
    <m/>
    <m/>
    <m/>
    <m/>
    <m/>
    <n v="2937704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"/>
    <s v="EPP AVARADROVA"/>
    <m/>
    <m/>
    <n v="150"/>
    <m/>
    <x v="3"/>
    <s v="HGSF"/>
    <m/>
    <n v="0.9"/>
    <m/>
    <m/>
    <m/>
    <n v="0.05"/>
    <n v="6.3E-2"/>
    <m/>
    <m/>
    <m/>
    <m/>
    <m/>
    <m/>
    <m/>
    <n v="3313200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Epp Besakoa"/>
    <m/>
    <m/>
    <n v="431"/>
    <m/>
    <x v="3"/>
    <s v="HGSF"/>
    <m/>
    <n v="3.3"/>
    <m/>
    <m/>
    <m/>
    <n v="0.15"/>
    <n v="0.23849999999999999"/>
    <m/>
    <m/>
    <m/>
    <m/>
    <m/>
    <m/>
    <m/>
    <n v="9519928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Fenoala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Epp Mandiso"/>
    <m/>
    <m/>
    <n v="501"/>
    <m/>
    <x v="3"/>
    <s v="HGSF"/>
    <m/>
    <n v="3.05"/>
    <m/>
    <m/>
    <m/>
    <n v="0.2"/>
    <n v="0.2205"/>
    <m/>
    <m/>
    <m/>
    <m/>
    <m/>
    <m/>
    <m/>
    <n v="11066088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Sakamalio"/>
    <m/>
    <m/>
    <n v="281"/>
    <m/>
    <x v="3"/>
    <s v="HGSF"/>
    <m/>
    <n v="1.95"/>
    <m/>
    <m/>
    <m/>
    <n v="0.1"/>
    <n v="0.13950000000000001"/>
    <m/>
    <m/>
    <m/>
    <m/>
    <m/>
    <m/>
    <m/>
    <n v="6206728"/>
    <m/>
  </r>
  <r>
    <x v="0"/>
    <n v="2024"/>
    <x v="3"/>
    <s v="SMP1"/>
    <x v="8"/>
    <s v="School feeding"/>
    <m/>
    <m/>
    <s v="Tuléar"/>
    <x v="3"/>
    <s v="Tuléar"/>
    <s v="Atsimo Andrefana"/>
    <x v="30"/>
    <m/>
    <s v="BEZAHA II"/>
    <s v="EPP TANANDAVA TOBY"/>
    <m/>
    <m/>
    <n v="343"/>
    <m/>
    <x v="3"/>
    <s v="HGSF"/>
    <m/>
    <n v="2.4500000000000002"/>
    <m/>
    <m/>
    <m/>
    <n v="0.15"/>
    <n v="0.16200000000000001"/>
    <m/>
    <m/>
    <m/>
    <m/>
    <m/>
    <m/>
    <m/>
    <n v="7576184"/>
    <m/>
  </r>
  <r>
    <x v="0"/>
    <n v="2024"/>
    <x v="3"/>
    <s v="SMP1"/>
    <x v="8"/>
    <s v="School feeding"/>
    <m/>
    <m/>
    <s v="Tuléar"/>
    <x v="3"/>
    <s v="Tuléar"/>
    <s v="Atsimo Andrefana"/>
    <x v="30"/>
    <m/>
    <s v="FENOANDALA"/>
    <s v="ANKILIMIRAFY"/>
    <m/>
    <m/>
    <n v="295"/>
    <m/>
    <x v="3"/>
    <s v="HGSF"/>
    <m/>
    <n v="1.8"/>
    <m/>
    <m/>
    <m/>
    <n v="0.1"/>
    <n v="6.7500000000000004E-2"/>
    <m/>
    <m/>
    <m/>
    <m/>
    <m/>
    <m/>
    <m/>
    <n v="6515960"/>
    <m/>
  </r>
  <r>
    <x v="0"/>
    <n v="2024"/>
    <x v="3"/>
    <s v="SMP1"/>
    <x v="8"/>
    <s v="School feeding"/>
    <m/>
    <m/>
    <s v="Tuléar"/>
    <x v="3"/>
    <s v="Tuléar"/>
    <s v="Atsimo Andrefana"/>
    <x v="30"/>
    <m/>
    <s v="FENOANDALA"/>
    <s v="EPP BESAHATSY"/>
    <m/>
    <m/>
    <n v="265"/>
    <m/>
    <x v="3"/>
    <s v="HGSF"/>
    <m/>
    <n v="1.5"/>
    <m/>
    <m/>
    <m/>
    <n v="0.1"/>
    <n v="0.108"/>
    <m/>
    <m/>
    <m/>
    <m/>
    <m/>
    <m/>
    <m/>
    <n v="5853320"/>
    <m/>
  </r>
  <r>
    <x v="0"/>
    <n v="2024"/>
    <x v="3"/>
    <s v="SMP1"/>
    <x v="8"/>
    <s v="School feeding"/>
    <m/>
    <m/>
    <s v="Tuléar"/>
    <x v="3"/>
    <s v="Tuléar"/>
    <s v="Atsimo Andrefana"/>
    <x v="30"/>
    <m/>
    <s v="FENOANDALA"/>
    <s v="EPP FENOANDALA"/>
    <m/>
    <m/>
    <n v="570"/>
    <m/>
    <x v="3"/>
    <s v="HGSF"/>
    <m/>
    <n v="4.4000000000000004"/>
    <m/>
    <m/>
    <m/>
    <n v="0.2"/>
    <n v="0.315"/>
    <m/>
    <m/>
    <m/>
    <m/>
    <m/>
    <m/>
    <m/>
    <n v="12590160"/>
    <m/>
  </r>
  <r>
    <x v="0"/>
    <n v="2024"/>
    <x v="3"/>
    <s v="SMP1"/>
    <x v="8"/>
    <s v="School feeding"/>
    <m/>
    <m/>
    <s v="Tuléar"/>
    <x v="3"/>
    <s v="Tuléar"/>
    <s v="Atsimo Andrefana"/>
    <x v="30"/>
    <m/>
    <s v="FENOANDALA"/>
    <s v="EPP MAHAZO"/>
    <m/>
    <m/>
    <n v="304"/>
    <m/>
    <x v="3"/>
    <s v="HGSF"/>
    <m/>
    <n v="1.7"/>
    <m/>
    <m/>
    <m/>
    <n v="0.15"/>
    <n v="0.126"/>
    <m/>
    <m/>
    <m/>
    <m/>
    <m/>
    <m/>
    <m/>
    <n v="6714752"/>
    <m/>
  </r>
  <r>
    <x v="0"/>
    <n v="2024"/>
    <x v="3"/>
    <s v="SMP1"/>
    <x v="8"/>
    <s v="School feeding"/>
    <m/>
    <m/>
    <s v="Tuléar"/>
    <x v="3"/>
    <s v="Tuléar"/>
    <s v="Atsimo Andrefana"/>
    <x v="30"/>
    <m/>
    <s v="FENOANDALA"/>
    <s v="EPP SOAMANONGA/BEVAHO"/>
    <m/>
    <m/>
    <n v="195"/>
    <m/>
    <x v="3"/>
    <s v="HGSF"/>
    <m/>
    <n v="1.1000000000000001"/>
    <m/>
    <m/>
    <m/>
    <n v="0.1"/>
    <n v="8.1000000000000003E-2"/>
    <m/>
    <m/>
    <m/>
    <m/>
    <m/>
    <m/>
    <m/>
    <n v="4307160"/>
    <m/>
  </r>
  <r>
    <x v="0"/>
    <n v="2024"/>
    <x v="3"/>
    <s v="SMP1"/>
    <x v="8"/>
    <s v="School feeding"/>
    <m/>
    <m/>
    <s v="Tuléar"/>
    <x v="3"/>
    <s v="Tuléar"/>
    <s v="Atsimo Andrefana"/>
    <x v="30"/>
    <m/>
    <s v="LAZARIVO"/>
    <s v="LAZARIVO"/>
    <m/>
    <m/>
    <n v="256"/>
    <m/>
    <x v="1"/>
    <s v="classique"/>
    <m/>
    <n v="1.1499999999999999"/>
    <m/>
    <m/>
    <m/>
    <n v="0.2"/>
    <n v="8.1000000000000003E-2"/>
    <m/>
    <m/>
    <m/>
    <m/>
    <m/>
    <m/>
    <n v="1.4309999999999998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MASIABOAY"/>
    <s v="TANANTSOA"/>
    <m/>
    <m/>
    <n v="614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SALOBE"/>
    <s v="Magnasoa Fanjairo"/>
    <m/>
    <m/>
    <n v="516"/>
    <m/>
    <x v="3"/>
    <s v="HGSF"/>
    <m/>
    <n v="3.55"/>
    <m/>
    <m/>
    <m/>
    <n v="0.2"/>
    <n v="0.26100000000000001"/>
    <m/>
    <m/>
    <m/>
    <m/>
    <m/>
    <m/>
    <m/>
    <n v="11397408"/>
    <m/>
  </r>
  <r>
    <x v="0"/>
    <n v="2024"/>
    <x v="3"/>
    <s v="SMP1"/>
    <x v="8"/>
    <s v="School feeding"/>
    <m/>
    <m/>
    <s v="Tuléar"/>
    <x v="3"/>
    <s v="Tuléar"/>
    <s v="Atsimo Andrefana"/>
    <x v="30"/>
    <m/>
    <s v="SALOBE"/>
    <s v="Salobe"/>
    <m/>
    <m/>
    <n v="578"/>
    <m/>
    <x v="3"/>
    <s v="HGSF"/>
    <m/>
    <n v="4.05"/>
    <m/>
    <m/>
    <m/>
    <n v="0.2"/>
    <n v="0.28799999999999998"/>
    <m/>
    <m/>
    <m/>
    <m/>
    <m/>
    <m/>
    <m/>
    <n v="12766864"/>
    <m/>
  </r>
  <r>
    <x v="0"/>
    <n v="2024"/>
    <x v="3"/>
    <s v="SMP1"/>
    <x v="8"/>
    <s v="School feeding"/>
    <m/>
    <m/>
    <s v="Tuléar"/>
    <x v="3"/>
    <s v="Tuléar"/>
    <s v="Atsimo Andrefana"/>
    <x v="30"/>
    <m/>
    <s v="SOAMANONGA"/>
    <s v="MAROFOTOTSY"/>
    <m/>
    <m/>
    <n v="258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SOAMANONGA"/>
    <s v="EPP SOAMANONGA"/>
    <m/>
    <m/>
    <n v="471"/>
    <m/>
    <x v="3"/>
    <s v="HGSF"/>
    <m/>
    <n v="2.65"/>
    <m/>
    <m/>
    <m/>
    <n v="0.2"/>
    <n v="0.189"/>
    <m/>
    <m/>
    <m/>
    <m/>
    <m/>
    <m/>
    <m/>
    <n v="10403448"/>
    <m/>
  </r>
  <r>
    <x v="0"/>
    <n v="2024"/>
    <x v="3"/>
    <s v="SMP1"/>
    <x v="8"/>
    <s v="School feeding"/>
    <m/>
    <m/>
    <s v="Tuléar"/>
    <x v="3"/>
    <s v="Tuléar"/>
    <s v="Atsimo Andrefana"/>
    <x v="30"/>
    <m/>
    <s v="SOAMANONGA"/>
    <s v="VOHIPOTSY SUD"/>
    <m/>
    <m/>
    <n v="532"/>
    <m/>
    <x v="1"/>
    <s v="classique"/>
    <m/>
    <n v="2.85"/>
    <m/>
    <m/>
    <m/>
    <n v="0.6"/>
    <n v="0.20250000000000001"/>
    <m/>
    <m/>
    <m/>
    <m/>
    <m/>
    <m/>
    <n v="3.6525000000000003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SOASERANA"/>
    <s v="SOASERANA"/>
    <m/>
    <m/>
    <n v="242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ANDOHASATRA"/>
    <m/>
    <m/>
    <n v="371"/>
    <m/>
    <x v="3"/>
    <s v="HGSF"/>
    <m/>
    <n v="2.2000000000000002"/>
    <m/>
    <m/>
    <m/>
    <n v="0.15"/>
    <n v="0.16200000000000001"/>
    <m/>
    <m/>
    <m/>
    <m/>
    <m/>
    <m/>
    <m/>
    <n v="8194648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BEMOKY"/>
    <m/>
    <m/>
    <n v="525"/>
    <m/>
    <x v="3"/>
    <s v="HGSF"/>
    <m/>
    <n v="4.05"/>
    <m/>
    <m/>
    <m/>
    <n v="0.2"/>
    <n v="0.28799999999999998"/>
    <m/>
    <m/>
    <m/>
    <m/>
    <m/>
    <m/>
    <m/>
    <n v="11576200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BORO"/>
    <m/>
    <m/>
    <n v="592"/>
    <m/>
    <x v="1"/>
    <s v="classique"/>
    <m/>
    <n v="3.85"/>
    <m/>
    <m/>
    <m/>
    <n v="0.8"/>
    <n v="0.27900000000000003"/>
    <m/>
    <m/>
    <m/>
    <m/>
    <m/>
    <m/>
    <n v="4.9290000000000003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LEOBONDRO"/>
    <m/>
    <m/>
    <n v="258"/>
    <m/>
    <x v="3"/>
    <s v="HGSF"/>
    <m/>
    <n v="2"/>
    <m/>
    <m/>
    <m/>
    <n v="0.1"/>
    <n v="0.14399999999999999"/>
    <m/>
    <m/>
    <m/>
    <m/>
    <m/>
    <m/>
    <m/>
    <n v="5696204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Ranomay"/>
    <m/>
    <m/>
    <n v="318"/>
    <m/>
    <x v="3"/>
    <s v="HGSF"/>
    <m/>
    <n v="2.4500000000000002"/>
    <m/>
    <m/>
    <m/>
    <n v="0.15"/>
    <n v="0.17549999999999999"/>
    <m/>
    <m/>
    <m/>
    <m/>
    <m/>
    <m/>
    <m/>
    <n v="7023984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TAMEANTSOA"/>
    <m/>
    <m/>
    <n v="663"/>
    <m/>
    <x v="1"/>
    <s v="classique"/>
    <m/>
    <n v="4.9000000000000004"/>
    <m/>
    <m/>
    <m/>
    <n v="1.05"/>
    <n v="0.34649999999999997"/>
    <m/>
    <m/>
    <m/>
    <m/>
    <m/>
    <m/>
    <n v="6.2965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Lazarivo"/>
    <m/>
    <m/>
    <n v="229"/>
    <m/>
    <x v="3"/>
    <s v="HGSF"/>
    <m/>
    <n v="1.45"/>
    <m/>
    <m/>
    <m/>
    <n v="0.1"/>
    <n v="8.5500000000000007E-2"/>
    <m/>
    <m/>
    <m/>
    <m/>
    <m/>
    <m/>
    <m/>
    <n v="5057152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BEKOTIKA"/>
    <m/>
    <m/>
    <n v="484"/>
    <m/>
    <x v="3"/>
    <s v="HGSF"/>
    <m/>
    <n v="3.05"/>
    <m/>
    <m/>
    <m/>
    <n v="0.2"/>
    <n v="0.21149999999999999"/>
    <m/>
    <m/>
    <m/>
    <m/>
    <m/>
    <m/>
    <m/>
    <n v="10683562"/>
    <m/>
  </r>
  <r>
    <x v="0"/>
    <n v="2024"/>
    <x v="3"/>
    <s v="SMP1"/>
    <x v="8"/>
    <s v="School feeding"/>
    <m/>
    <m/>
    <s v="Tuléar"/>
    <x v="3"/>
    <s v="Tuléar"/>
    <s v="Atsimo Andrefana"/>
    <x v="30"/>
    <m/>
    <s v="TAMEANTSOA"/>
    <s v="Epp Androvakely"/>
    <m/>
    <m/>
    <n v="291"/>
    <m/>
    <x v="3"/>
    <s v="HGSF"/>
    <m/>
    <n v="2.25"/>
    <m/>
    <m/>
    <m/>
    <n v="0.1"/>
    <n v="0.16200000000000001"/>
    <m/>
    <m/>
    <m/>
    <m/>
    <m/>
    <m/>
    <m/>
    <n v="6427608"/>
    <m/>
  </r>
  <r>
    <x v="0"/>
    <n v="2024"/>
    <x v="3"/>
    <s v="SMP1"/>
    <x v="8"/>
    <s v="School feeding"/>
    <m/>
    <m/>
    <s v="Tuléar"/>
    <x v="3"/>
    <s v="Tuléar"/>
    <s v="Atsimo Andrefana"/>
    <x v="30"/>
    <m/>
    <s v="TONGOBORY"/>
    <s v="AMPOEZY"/>
    <m/>
    <m/>
    <n v="383"/>
    <m/>
    <x v="3"/>
    <s v="HGSF"/>
    <m/>
    <n v="2.4500000000000002"/>
    <m/>
    <m/>
    <m/>
    <n v="0.15"/>
    <n v="0.16200000000000001"/>
    <m/>
    <m/>
    <m/>
    <m/>
    <m/>
    <m/>
    <m/>
    <n v="8459704"/>
    <m/>
  </r>
  <r>
    <x v="0"/>
    <n v="2024"/>
    <x v="3"/>
    <s v="SMP1"/>
    <x v="8"/>
    <s v="School feeding"/>
    <m/>
    <m/>
    <s v="Tuléar"/>
    <x v="3"/>
    <s v="Tuléar"/>
    <s v="Atsimo Andrefana"/>
    <x v="30"/>
    <m/>
    <s v="TONGOBORY"/>
    <s v="EPP FENOANIVO"/>
    <m/>
    <m/>
    <n v="272"/>
    <m/>
    <x v="3"/>
    <s v="HGSF"/>
    <m/>
    <n v="1.5"/>
    <m/>
    <m/>
    <m/>
    <n v="0.1"/>
    <n v="0.10349999999999999"/>
    <m/>
    <m/>
    <m/>
    <m/>
    <m/>
    <m/>
    <m/>
    <n v="6007936"/>
    <m/>
  </r>
  <r>
    <x v="0"/>
    <n v="2024"/>
    <x v="3"/>
    <s v="SMP1"/>
    <x v="8"/>
    <s v="School feeding"/>
    <m/>
    <m/>
    <s v="Tuléar"/>
    <x v="3"/>
    <s v="Tuléar"/>
    <s v="Atsimo Andrefana"/>
    <x v="30"/>
    <m/>
    <s v="TONGOBORY"/>
    <s v="Epp Tongobory"/>
    <m/>
    <m/>
    <n v="655"/>
    <m/>
    <x v="3"/>
    <s v="HGSF"/>
    <m/>
    <n v="5.05"/>
    <m/>
    <m/>
    <m/>
    <n v="0.25"/>
    <n v="0.36"/>
    <m/>
    <m/>
    <m/>
    <m/>
    <m/>
    <m/>
    <m/>
    <n v="14467180"/>
    <m/>
  </r>
  <r>
    <x v="0"/>
    <n v="2024"/>
    <x v="3"/>
    <s v="SMP1"/>
    <x v="8"/>
    <s v="School feeding"/>
    <m/>
    <m/>
    <s v="Tuléar"/>
    <x v="3"/>
    <s v="Tuléar"/>
    <s v="Atsimo Andrefana"/>
    <x v="30"/>
    <m/>
    <s v="TONGOBORY"/>
    <s v="EPP BELAZA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Tuléar"/>
    <x v="3"/>
    <s v="Tuléar"/>
    <s v="Atsimo Andrefana"/>
    <x v="30"/>
    <m/>
    <s v="Beavoha"/>
    <s v="EPP Besely Est"/>
    <m/>
    <m/>
    <n v="625"/>
    <m/>
    <x v="3"/>
    <s v="hybride"/>
    <m/>
    <n v="4.1500000000000004"/>
    <m/>
    <m/>
    <m/>
    <n v="0.25"/>
    <n v="0.29699999999999999"/>
    <m/>
    <m/>
    <m/>
    <m/>
    <m/>
    <m/>
    <m/>
    <n v="13664640"/>
    <m/>
  </r>
  <r>
    <x v="0"/>
    <n v="2024"/>
    <x v="3"/>
    <s v="SMP1"/>
    <x v="8"/>
    <s v="School feeding"/>
    <m/>
    <m/>
    <s v="Tuléar"/>
    <x v="3"/>
    <s v="Tuléar"/>
    <s v="Atsimo Andrefana"/>
    <x v="30"/>
    <m/>
    <s v="Beavoha"/>
    <s v="Epp Miary"/>
    <m/>
    <m/>
    <n v="228"/>
    <m/>
    <x v="3"/>
    <s v="hybride"/>
    <m/>
    <n v="1.75"/>
    <m/>
    <m/>
    <m/>
    <n v="0.1"/>
    <n v="0.126"/>
    <m/>
    <m/>
    <m/>
    <m/>
    <m/>
    <m/>
    <m/>
    <n v="4951664"/>
    <m/>
  </r>
  <r>
    <x v="0"/>
    <n v="2024"/>
    <x v="3"/>
    <s v="SMP1"/>
    <x v="8"/>
    <s v="School feeding"/>
    <m/>
    <m/>
    <s v="Tuléar"/>
    <x v="3"/>
    <s v="Tuléar"/>
    <s v="Atsimo Andrefana"/>
    <x v="30"/>
    <m/>
    <s v="Beavoha"/>
    <s v="Epp Beavoha"/>
    <m/>
    <m/>
    <n v="367"/>
    <m/>
    <x v="3"/>
    <s v="hybride"/>
    <m/>
    <n v="2.65"/>
    <m/>
    <m/>
    <m/>
    <n v="0.15"/>
    <n v="0.189"/>
    <m/>
    <m/>
    <m/>
    <m/>
    <m/>
    <m/>
    <m/>
    <n v="6306296"/>
    <m/>
  </r>
  <r>
    <x v="0"/>
    <n v="2024"/>
    <x v="3"/>
    <s v="SMP1"/>
    <x v="8"/>
    <s v="School feeding"/>
    <m/>
    <m/>
    <s v="Tuléar"/>
    <x v="3"/>
    <s v="Tuléar"/>
    <s v="Atsimo Andrefana"/>
    <x v="30"/>
    <m/>
    <s v="BEAVOHA"/>
    <s v="EPP AGNALAMENA"/>
    <m/>
    <m/>
    <n v="300"/>
    <m/>
    <x v="3"/>
    <s v="HGSF"/>
    <m/>
    <n v="1.7"/>
    <m/>
    <m/>
    <m/>
    <n v="0.1"/>
    <n v="0.11700000000000001"/>
    <m/>
    <m/>
    <m/>
    <m/>
    <m/>
    <m/>
    <m/>
    <n v="6626400"/>
    <m/>
  </r>
  <r>
    <x v="0"/>
    <n v="2024"/>
    <x v="3"/>
    <s v="SMP1"/>
    <x v="8"/>
    <s v="School feeding"/>
    <m/>
    <m/>
    <s v="Tuléar"/>
    <x v="3"/>
    <s v="Tuléar"/>
    <s v="Atsimo Andrefana"/>
    <x v="30"/>
    <m/>
    <s v="ANKAZOMANGA OUEST"/>
    <s v="EPP ANKANDY"/>
    <m/>
    <m/>
    <n v="385"/>
    <m/>
    <x v="3"/>
    <s v="HGSF"/>
    <m/>
    <n v="2.7"/>
    <m/>
    <m/>
    <m/>
    <n v="0.15"/>
    <n v="0.21149999999999999"/>
    <m/>
    <m/>
    <m/>
    <m/>
    <m/>
    <m/>
    <m/>
    <n v="8503880"/>
    <m/>
  </r>
  <r>
    <x v="0"/>
    <n v="2024"/>
    <x v="3"/>
    <s v="SMP1"/>
    <x v="8"/>
    <s v="School feeding"/>
    <m/>
    <m/>
    <s v="Tuléar"/>
    <x v="3"/>
    <s v="Tuléar"/>
    <s v="Atsimo Andrefana"/>
    <x v="30"/>
    <m/>
    <s v="ANKAZOMANGA OUEST"/>
    <s v="ANKAZOMANGA OUEST"/>
    <m/>
    <m/>
    <n v="523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ANKAZOMANGA OUEST"/>
    <s v="EPP BEVALA"/>
    <m/>
    <m/>
    <n v="455"/>
    <m/>
    <x v="3"/>
    <s v="HGSF"/>
    <m/>
    <n v="3"/>
    <m/>
    <m/>
    <m/>
    <n v="0.2"/>
    <n v="0.216"/>
    <m/>
    <m/>
    <m/>
    <m/>
    <m/>
    <m/>
    <m/>
    <n v="10050040"/>
    <m/>
  </r>
  <r>
    <x v="0"/>
    <n v="2024"/>
    <x v="3"/>
    <s v="SMP1"/>
    <x v="8"/>
    <s v="School feeding"/>
    <m/>
    <m/>
    <s v="Tuléar"/>
    <x v="3"/>
    <s v="Tuléar"/>
    <s v="Atsimo Andrefana"/>
    <x v="30"/>
    <m/>
    <s v="ANKAZOMANGA OUEST"/>
    <s v="VOVOMENA"/>
    <m/>
    <m/>
    <n v="482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MAROARIVO"/>
    <s v="MAROARIVO"/>
    <m/>
    <m/>
    <n v="416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Maroarivo"/>
    <s v="Epp Analalentika"/>
    <m/>
    <m/>
    <n v="338"/>
    <m/>
    <x v="3"/>
    <s v="HGSF"/>
    <m/>
    <n v="1.95"/>
    <m/>
    <m/>
    <m/>
    <n v="0.15"/>
    <n v="0.14399999999999999"/>
    <m/>
    <m/>
    <m/>
    <m/>
    <m/>
    <m/>
    <m/>
    <n v="7465744"/>
    <m/>
  </r>
  <r>
    <x v="0"/>
    <n v="2024"/>
    <x v="3"/>
    <s v="SMP1"/>
    <x v="8"/>
    <s v="School feeding"/>
    <m/>
    <m/>
    <s v="Tuléar"/>
    <x v="3"/>
    <s v="Tuléar"/>
    <s v="Atsimo Andrefana"/>
    <x v="30"/>
    <m/>
    <s v="MAROARIVO"/>
    <s v="ANDREMBA CENTRE"/>
    <m/>
    <m/>
    <n v="457"/>
    <m/>
    <x v="1"/>
    <s v="classique"/>
    <m/>
    <n v="3.4"/>
    <m/>
    <m/>
    <m/>
    <n v="0.75"/>
    <n v="0.24299999999999999"/>
    <m/>
    <m/>
    <m/>
    <m/>
    <m/>
    <m/>
    <n v="4.3930000000000007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AMBATRY"/>
    <s v="ANDRANOKOTOTO"/>
    <m/>
    <m/>
    <n v="485"/>
    <m/>
    <x v="1"/>
    <s v="classique"/>
    <m/>
    <n v="3.75"/>
    <m/>
    <m/>
    <m/>
    <n v="0.85"/>
    <n v="0.26550000000000001"/>
    <m/>
    <m/>
    <m/>
    <m/>
    <m/>
    <m/>
    <n v="4.8654999999999999"/>
    <n v="0"/>
    <m/>
  </r>
  <r>
    <x v="0"/>
    <n v="2024"/>
    <x v="3"/>
    <s v="SMP1"/>
    <x v="8"/>
    <s v="School feeding"/>
    <m/>
    <m/>
    <s v="Tuléar"/>
    <x v="3"/>
    <s v="Tuléar"/>
    <s v="Atsimo Andrefana"/>
    <x v="30"/>
    <m/>
    <s v="BESELY"/>
    <s v="EPP BESELY"/>
    <m/>
    <m/>
    <n v="309"/>
    <m/>
    <x v="3"/>
    <s v="HGSF"/>
    <m/>
    <n v="1.7"/>
    <m/>
    <m/>
    <m/>
    <n v="0.15"/>
    <n v="0.126"/>
    <m/>
    <m/>
    <m/>
    <m/>
    <m/>
    <m/>
    <m/>
    <n v="6825192"/>
    <m/>
  </r>
  <r>
    <x v="0"/>
    <n v="2024"/>
    <x v="3"/>
    <s v="SMP1"/>
    <x v="8"/>
    <s v="School feeding"/>
    <m/>
    <m/>
    <s v="Tuléar"/>
    <x v="3"/>
    <s v="Tuléar"/>
    <s v="Atsimo Andrefana"/>
    <x v="30"/>
    <m/>
    <s v="BESELY"/>
    <s v="EPP SAKOAMARO"/>
    <m/>
    <m/>
    <n v="207"/>
    <m/>
    <x v="3"/>
    <s v="HGSF"/>
    <m/>
    <n v="0"/>
    <m/>
    <m/>
    <m/>
    <n v="0"/>
    <n v="0"/>
    <m/>
    <m/>
    <m/>
    <m/>
    <m/>
    <m/>
    <m/>
    <n v="4572216"/>
    <m/>
  </r>
  <r>
    <x v="0"/>
    <n v="2024"/>
    <x v="3"/>
    <s v="SMP1"/>
    <x v="8"/>
    <s v="School feeding"/>
    <m/>
    <m/>
    <s v="Tuléar"/>
    <x v="3"/>
    <s v="Tuléar"/>
    <s v="Atsimo Andrefana"/>
    <x v="30"/>
    <m/>
    <s v="SOASERANA"/>
    <s v="MAROSAVOA BAS"/>
    <m/>
    <m/>
    <n v="192"/>
    <m/>
    <x v="1"/>
    <s v="classique"/>
    <m/>
    <n v="1.05"/>
    <m/>
    <m/>
    <m/>
    <n v="0.35"/>
    <n v="7.6499999999999999E-2"/>
    <m/>
    <m/>
    <m/>
    <m/>
    <m/>
    <m/>
    <n v="1.4764999999999999"/>
    <n v="0"/>
    <m/>
  </r>
  <r>
    <x v="0"/>
    <n v="2024"/>
    <x v="3"/>
    <s v="SMP1"/>
    <x v="8"/>
    <s v="School feeding"/>
    <m/>
    <m/>
    <s v="Tuléar"/>
    <x v="3"/>
    <s v="Tuléar"/>
    <s v="Atsimo Andrefana"/>
    <x v="31"/>
    <m/>
    <s v="Ambahikily"/>
    <s v="Epp  Andranomanitsy"/>
    <m/>
    <m/>
    <n v="654"/>
    <m/>
    <x v="3"/>
    <s v="hybride"/>
    <m/>
    <n v="4.1500000000000004"/>
    <m/>
    <m/>
    <m/>
    <n v="0.25"/>
    <n v="0.36"/>
    <m/>
    <m/>
    <m/>
    <m/>
    <m/>
    <m/>
    <m/>
    <n v="14445552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Tanandava Village"/>
    <m/>
    <m/>
    <n v="268"/>
    <m/>
    <x v="3"/>
    <s v="hybride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ANKILIMAHAVELO"/>
    <m/>
    <m/>
    <n v="247"/>
    <m/>
    <x v="3"/>
    <s v="HGSF"/>
    <m/>
    <n v="1.55"/>
    <m/>
    <m/>
    <m/>
    <n v="0.1"/>
    <n v="0.13500000000000001"/>
    <m/>
    <m/>
    <m/>
    <m/>
    <m/>
    <m/>
    <m/>
    <n v="5455736"/>
    <m/>
  </r>
  <r>
    <x v="0"/>
    <n v="2024"/>
    <x v="3"/>
    <s v="SMP1"/>
    <x v="8"/>
    <s v="School feeding"/>
    <m/>
    <m/>
    <s v="Tuléar"/>
    <x v="3"/>
    <s v="Tuléar"/>
    <s v="Atsimo Andrefana"/>
    <x v="31"/>
    <m/>
    <s v="Ambahikily"/>
    <s v="EPP Mahazoarivo "/>
    <m/>
    <m/>
    <n v="410"/>
    <m/>
    <x v="3"/>
    <s v="hybride"/>
    <m/>
    <n v="2.75"/>
    <m/>
    <m/>
    <m/>
    <n v="0.15"/>
    <n v="0.22500000000000001"/>
    <m/>
    <m/>
    <m/>
    <m/>
    <m/>
    <m/>
    <m/>
    <n v="9056080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Tanadava Sation"/>
    <m/>
    <m/>
    <n v="1770"/>
    <m/>
    <x v="3"/>
    <s v="hybride"/>
    <m/>
    <n v="11.75"/>
    <m/>
    <m/>
    <m/>
    <n v="0.6"/>
    <n v="0.97199999999999998"/>
    <m/>
    <m/>
    <m/>
    <m/>
    <m/>
    <m/>
    <m/>
    <n v="39069110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TANANDAVA VILLAGE"/>
    <m/>
    <m/>
    <n v="390"/>
    <m/>
    <x v="3"/>
    <s v="HGSF"/>
    <m/>
    <n v="2.6"/>
    <m/>
    <m/>
    <m/>
    <n v="0.15"/>
    <n v="0.216"/>
    <m/>
    <m/>
    <m/>
    <m/>
    <m/>
    <m/>
    <m/>
    <n v="8614320"/>
    <m/>
  </r>
  <r>
    <x v="0"/>
    <n v="2024"/>
    <x v="3"/>
    <s v="SMP1"/>
    <x v="8"/>
    <s v="School feeding"/>
    <m/>
    <m/>
    <s v="Tuléar"/>
    <x v="3"/>
    <s v="Tuléar"/>
    <s v="Atsimo Andrefana"/>
    <x v="31"/>
    <m/>
    <s v="AMBAHIKILY"/>
    <s v="EPP BEHIBAKE"/>
    <m/>
    <m/>
    <n v="208"/>
    <m/>
    <x v="3"/>
    <s v="HGSF"/>
    <m/>
    <n v="1.2"/>
    <m/>
    <m/>
    <m/>
    <n v="0.1"/>
    <n v="0.1125"/>
    <m/>
    <m/>
    <m/>
    <m/>
    <m/>
    <m/>
    <m/>
    <n v="4594304"/>
    <m/>
  </r>
  <r>
    <x v="0"/>
    <n v="2024"/>
    <x v="3"/>
    <s v="SMP1"/>
    <x v="8"/>
    <s v="School feeding"/>
    <m/>
    <m/>
    <s v="Tuléar"/>
    <x v="3"/>
    <s v="Tuléar"/>
    <s v="Atsimo Andrefana"/>
    <x v="31"/>
    <m/>
    <s v="ANTANIMIEVA"/>
    <s v="EPP ANTANIMIEVA"/>
    <m/>
    <m/>
    <n v="892"/>
    <m/>
    <x v="3"/>
    <s v="HGSF"/>
    <m/>
    <n v="5"/>
    <m/>
    <m/>
    <m/>
    <n v="0.3"/>
    <n v="0.49049999999999999"/>
    <m/>
    <m/>
    <m/>
    <m/>
    <m/>
    <m/>
    <m/>
    <n v="19702496"/>
    <m/>
  </r>
  <r>
    <x v="0"/>
    <n v="2024"/>
    <x v="3"/>
    <s v="SMP1"/>
    <x v="8"/>
    <s v="School feeding"/>
    <m/>
    <m/>
    <s v="Tuléar"/>
    <x v="3"/>
    <s v="Tuléar"/>
    <s v="Atsimo Andrefana"/>
    <x v="31"/>
    <m/>
    <s v="ANTANIMIEVA"/>
    <s v="EPP MANOMBIKA"/>
    <m/>
    <m/>
    <n v="225"/>
    <m/>
    <x v="3"/>
    <s v="HGSF"/>
    <m/>
    <n v="1.2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Tuléar"/>
    <x v="3"/>
    <s v="Tuléar"/>
    <s v="Atsimo Andrefana"/>
    <x v="31"/>
    <m/>
    <s v="ANTANIMIEVA"/>
    <s v="EPP MILOMBOKA"/>
    <m/>
    <m/>
    <n v="330"/>
    <m/>
    <x v="3"/>
    <s v="HGSF"/>
    <m/>
    <n v="1.9"/>
    <m/>
    <m/>
    <m/>
    <n v="0.15"/>
    <n v="0.18"/>
    <m/>
    <m/>
    <m/>
    <m/>
    <m/>
    <m/>
    <m/>
    <n v="7289040"/>
    <m/>
  </r>
  <r>
    <x v="0"/>
    <n v="2024"/>
    <x v="3"/>
    <s v="SMP1"/>
    <x v="8"/>
    <s v="School feeding"/>
    <m/>
    <m/>
    <s v="Tuléar"/>
    <x v="3"/>
    <s v="Tuléar"/>
    <s v="Atsimo Andrefana"/>
    <x v="31"/>
    <m/>
    <s v="Basibasy"/>
    <s v="Epp Basibasy"/>
    <m/>
    <m/>
    <n v="330"/>
    <m/>
    <x v="3"/>
    <s v="hybride"/>
    <m/>
    <n v="2"/>
    <m/>
    <m/>
    <m/>
    <n v="0.15"/>
    <n v="0.18"/>
    <m/>
    <m/>
    <m/>
    <m/>
    <m/>
    <m/>
    <m/>
    <n v="7289040"/>
    <m/>
  </r>
  <r>
    <x v="0"/>
    <n v="2024"/>
    <x v="3"/>
    <s v="SMP1"/>
    <x v="8"/>
    <s v="School feeding"/>
    <m/>
    <m/>
    <s v="Tuléar"/>
    <x v="3"/>
    <s v="Tuléar"/>
    <s v="Atsimo Andrefana"/>
    <x v="31"/>
    <m/>
    <s v="BASIBASY"/>
    <s v="EPP BEMOKA"/>
    <m/>
    <m/>
    <n v="204"/>
    <m/>
    <x v="3"/>
    <s v="HGSF"/>
    <m/>
    <n v="1.55"/>
    <m/>
    <m/>
    <m/>
    <n v="0.1"/>
    <n v="0"/>
    <m/>
    <m/>
    <m/>
    <m/>
    <m/>
    <m/>
    <m/>
    <n v="4505952"/>
    <m/>
  </r>
  <r>
    <x v="0"/>
    <n v="2024"/>
    <x v="3"/>
    <s v="SMP1"/>
    <x v="8"/>
    <s v="School feeding"/>
    <m/>
    <m/>
    <s v="Tuléar"/>
    <x v="3"/>
    <s v="Tuléar"/>
    <s v="Atsimo Andrefana"/>
    <x v="31"/>
    <m/>
    <s v="BASIBASY"/>
    <s v="EPP MANDEVIBE"/>
    <m/>
    <m/>
    <n v="129"/>
    <m/>
    <x v="3"/>
    <s v="HGSF"/>
    <m/>
    <n v="0.8"/>
    <m/>
    <m/>
    <m/>
    <n v="0.05"/>
    <n v="7.1999999999999995E-2"/>
    <m/>
    <m/>
    <m/>
    <m/>
    <m/>
    <m/>
    <m/>
    <n v="2849352"/>
    <m/>
  </r>
  <r>
    <x v="0"/>
    <n v="2024"/>
    <x v="3"/>
    <s v="SMP1"/>
    <x v="8"/>
    <s v="School feeding"/>
    <m/>
    <m/>
    <s v="Tuléar"/>
    <x v="3"/>
    <s v="Tuléar"/>
    <s v="Atsimo Andrefana"/>
    <x v="31"/>
    <m/>
    <s v="BEFANDRIANA SUD"/>
    <s v="EPP SIHANAKA"/>
    <m/>
    <m/>
    <n v="225"/>
    <m/>
    <x v="3"/>
    <s v="HGSF"/>
    <m/>
    <n v="1.25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Tuléar"/>
    <x v="3"/>
    <s v="Tuléar"/>
    <s v="Atsimo Andrefana"/>
    <x v="31"/>
    <m/>
    <s v="MOROMBE"/>
    <s v="EPP BELITSAKE"/>
    <m/>
    <m/>
    <n v="273"/>
    <m/>
    <x v="3"/>
    <s v="HGSF"/>
    <m/>
    <n v="2.1"/>
    <m/>
    <m/>
    <m/>
    <n v="0.1"/>
    <n v="0"/>
    <m/>
    <m/>
    <m/>
    <m/>
    <m/>
    <m/>
    <m/>
    <n v="6030024"/>
    <m/>
  </r>
  <r>
    <x v="0"/>
    <n v="2024"/>
    <x v="3"/>
    <s v="SMP1"/>
    <x v="8"/>
    <s v="School feeding"/>
    <m/>
    <m/>
    <s v="Tuléar"/>
    <x v="3"/>
    <s v="Tuléar"/>
    <s v="Atsimo Andrefana"/>
    <x v="31"/>
    <m/>
    <s v="MOROMBE"/>
    <s v="EPP MAMONO"/>
    <m/>
    <m/>
    <n v="537"/>
    <m/>
    <x v="3"/>
    <s v="HGSF"/>
    <m/>
    <n v="4.1500000000000004"/>
    <m/>
    <m/>
    <m/>
    <n v="0.2"/>
    <n v="0"/>
    <m/>
    <m/>
    <m/>
    <m/>
    <m/>
    <m/>
    <m/>
    <n v="11861256"/>
    <m/>
  </r>
  <r>
    <x v="0"/>
    <n v="2024"/>
    <x v="3"/>
    <s v="SMP1"/>
    <x v="8"/>
    <s v="School feeding"/>
    <m/>
    <m/>
    <s v="Tuléar"/>
    <x v="3"/>
    <s v="Tuléar"/>
    <s v="Atsimo Andrefana"/>
    <x v="31"/>
    <m/>
    <s v="Morombe"/>
    <s v="Epp Mangolovolo"/>
    <m/>
    <m/>
    <n v="424"/>
    <m/>
    <x v="3"/>
    <s v="hybride"/>
    <m/>
    <n v="2.65"/>
    <m/>
    <m/>
    <m/>
    <n v="0.15"/>
    <n v="0.23400000000000001"/>
    <m/>
    <m/>
    <m/>
    <m/>
    <m/>
    <m/>
    <m/>
    <n v="9365312"/>
    <m/>
  </r>
  <r>
    <x v="0"/>
    <n v="2024"/>
    <x v="3"/>
    <s v="SMP1"/>
    <x v="8"/>
    <s v="School feeding"/>
    <m/>
    <m/>
    <s v="Tuléar"/>
    <x v="3"/>
    <s v="Tuléar"/>
    <s v="Atsimo Andrefana"/>
    <x v="31"/>
    <m/>
    <s v="ANKATSAKANTSA SUD"/>
    <s v="EPP ANADABO"/>
    <m/>
    <m/>
    <n v="165"/>
    <m/>
    <x v="3"/>
    <s v="HGSF"/>
    <m/>
    <n v="0.95"/>
    <m/>
    <m/>
    <m/>
    <n v="0.1"/>
    <n v="0.09"/>
    <m/>
    <m/>
    <m/>
    <m/>
    <m/>
    <m/>
    <m/>
    <n v="3644520"/>
    <m/>
  </r>
  <r>
    <x v="0"/>
    <n v="2024"/>
    <x v="3"/>
    <s v="SMP1"/>
    <x v="8"/>
    <s v="School feeding"/>
    <m/>
    <m/>
    <s v="Tuléar"/>
    <x v="3"/>
    <s v="Tuléar"/>
    <s v="Atsimo Andrefana"/>
    <x v="31"/>
    <m/>
    <s v="ANKATSAKANTSA SUD"/>
    <s v="EPP ANDRANOBOKA"/>
    <m/>
    <m/>
    <n v="306"/>
    <m/>
    <x v="3"/>
    <s v="HGSF"/>
    <m/>
    <n v="1.9"/>
    <m/>
    <m/>
    <m/>
    <n v="0.15"/>
    <n v="0.16650000000000001"/>
    <m/>
    <m/>
    <m/>
    <m/>
    <m/>
    <m/>
    <m/>
    <n v="6758928"/>
    <m/>
  </r>
  <r>
    <x v="0"/>
    <n v="2024"/>
    <x v="3"/>
    <s v="SMP1"/>
    <x v="8"/>
    <s v="School feeding"/>
    <m/>
    <m/>
    <s v="Tuléar"/>
    <x v="3"/>
    <s v="Tuléar"/>
    <s v="Atsimo Andrefana"/>
    <x v="31"/>
    <m/>
    <s v="BEFANDEFA"/>
    <s v="EPP BEFANDEFA"/>
    <m/>
    <m/>
    <n v="366"/>
    <m/>
    <x v="3"/>
    <s v="HGSF"/>
    <m/>
    <n v="2.4500000000000002"/>
    <m/>
    <m/>
    <m/>
    <n v="0.15"/>
    <n v="0.20250000000000001"/>
    <m/>
    <m/>
    <m/>
    <m/>
    <m/>
    <m/>
    <m/>
    <n v="8084208"/>
    <m/>
  </r>
  <r>
    <x v="0"/>
    <n v="2024"/>
    <x v="3"/>
    <s v="SMP1"/>
    <x v="8"/>
    <s v="School feeding"/>
    <m/>
    <m/>
    <s v="Tuléar"/>
    <x v="3"/>
    <s v="Tuléar"/>
    <s v="Atsimo Andrefana"/>
    <x v="31"/>
    <m/>
    <s v="Befandefa "/>
    <s v="Epp Ambalorao"/>
    <m/>
    <m/>
    <n v="102"/>
    <m/>
    <x v="3"/>
    <s v="hybride"/>
    <m/>
    <n v="0.75"/>
    <m/>
    <m/>
    <m/>
    <n v="0.05"/>
    <n v="4.9500000000000002E-2"/>
    <m/>
    <m/>
    <m/>
    <m/>
    <m/>
    <m/>
    <m/>
    <n v="2252976"/>
    <m/>
  </r>
  <r>
    <x v="0"/>
    <n v="2024"/>
    <x v="3"/>
    <s v="SMP1"/>
    <x v="8"/>
    <s v="School feeding"/>
    <m/>
    <m/>
    <s v="Tuléar"/>
    <x v="3"/>
    <s v="Tuléar"/>
    <s v="Atsimo Andrefana"/>
    <x v="31"/>
    <m/>
    <s v="BEFANDEFA"/>
    <s v="EPP ANKINDRANOKE"/>
    <m/>
    <m/>
    <n v="438"/>
    <m/>
    <x v="3"/>
    <s v="HGSF"/>
    <m/>
    <n v="2.85"/>
    <m/>
    <m/>
    <m/>
    <n v="0.15"/>
    <n v="0.24299999999999999"/>
    <m/>
    <m/>
    <m/>
    <m/>
    <m/>
    <m/>
    <m/>
    <n v="9674544"/>
    <m/>
  </r>
  <r>
    <x v="0"/>
    <n v="2024"/>
    <x v="3"/>
    <s v="SMP1"/>
    <x v="8"/>
    <s v="School feeding"/>
    <m/>
    <m/>
    <s v="Tuléar"/>
    <x v="3"/>
    <s v="Tuléar"/>
    <s v="Atsimo Andrefana"/>
    <x v="31"/>
    <m/>
    <s v="Befandefa "/>
    <s v=" Epp Ankilimalinike"/>
    <m/>
    <m/>
    <n v="53"/>
    <m/>
    <x v="3"/>
    <s v="hybride"/>
    <m/>
    <n v="0.3"/>
    <m/>
    <m/>
    <m/>
    <n v="0.05"/>
    <n v="2.7E-2"/>
    <m/>
    <m/>
    <m/>
    <m/>
    <m/>
    <m/>
    <m/>
    <n v="1170664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ANKILILOAKE"/>
    <m/>
    <m/>
    <n v="211"/>
    <m/>
    <x v="3"/>
    <s v="HGSF"/>
    <m/>
    <n v="1.6"/>
    <m/>
    <m/>
    <m/>
    <n v="0.1"/>
    <n v="1.35E-2"/>
    <m/>
    <m/>
    <m/>
    <m/>
    <m/>
    <m/>
    <m/>
    <n v="4660568"/>
    <m/>
  </r>
  <r>
    <x v="0"/>
    <n v="2024"/>
    <x v="3"/>
    <s v="SMP1"/>
    <x v="8"/>
    <s v="School feeding"/>
    <m/>
    <m/>
    <s v="Tuléar"/>
    <x v="3"/>
    <s v="Tuléar"/>
    <s v="Atsimo Andrefana"/>
    <x v="31"/>
    <m/>
    <s v="TANANDAVA STATION"/>
    <s v="Epp Mampagnarivo"/>
    <m/>
    <m/>
    <n v="261"/>
    <m/>
    <x v="3"/>
    <s v="hybride"/>
    <m/>
    <n v="1.85"/>
    <m/>
    <m/>
    <m/>
    <n v="0.1"/>
    <n v="0.14399999999999999"/>
    <m/>
    <m/>
    <m/>
    <m/>
    <m/>
    <m/>
    <m/>
    <n v="5764968"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Ambahatrazo "/>
    <m/>
    <m/>
    <m/>
    <n v="5698"/>
    <n v="1140"/>
    <x v="1"/>
    <m/>
    <n v="15"/>
    <n v="34.200000000000003"/>
    <m/>
    <m/>
    <m/>
    <n v="5.13"/>
    <n v="2.9925000000000002"/>
    <m/>
    <m/>
    <m/>
    <m/>
    <m/>
    <m/>
    <n v="42.322500000000005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Ampasimanjeva "/>
    <m/>
    <m/>
    <m/>
    <n v="11170"/>
    <n v="2234"/>
    <x v="1"/>
    <m/>
    <n v="15"/>
    <n v="67.02"/>
    <m/>
    <m/>
    <m/>
    <n v="10.053000000000001"/>
    <n v="5.8642500000000002"/>
    <m/>
    <m/>
    <m/>
    <m/>
    <m/>
    <m/>
    <n v="82.937249999999992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Anosiala "/>
    <m/>
    <m/>
    <m/>
    <n v="9795"/>
    <n v="1959"/>
    <x v="1"/>
    <m/>
    <n v="15"/>
    <n v="58.77"/>
    <m/>
    <m/>
    <m/>
    <n v="8.8155000000000001"/>
    <n v="5.1423750000000004"/>
    <m/>
    <m/>
    <m/>
    <m/>
    <m/>
    <m/>
    <n v="72.727874999999997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Mangatsiotra "/>
    <m/>
    <m/>
    <m/>
    <n v="3388"/>
    <n v="677"/>
    <x v="1"/>
    <m/>
    <n v="15"/>
    <n v="20.309999999999999"/>
    <m/>
    <m/>
    <m/>
    <n v="3.0465"/>
    <n v="1.7771250000000001"/>
    <m/>
    <m/>
    <m/>
    <m/>
    <m/>
    <m/>
    <n v="25.133624999999999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Manjarivo "/>
    <m/>
    <m/>
    <m/>
    <n v="7523"/>
    <n v="1505"/>
    <x v="1"/>
    <m/>
    <n v="15"/>
    <n v="45.15"/>
    <m/>
    <m/>
    <m/>
    <n v="6.7725"/>
    <n v="3.9506249999999996"/>
    <m/>
    <m/>
    <m/>
    <m/>
    <m/>
    <m/>
    <n v="55.873125000000002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Mitanty "/>
    <m/>
    <m/>
    <m/>
    <n v="6950"/>
    <n v="1390"/>
    <x v="1"/>
    <m/>
    <n v="15"/>
    <n v="41.7"/>
    <m/>
    <m/>
    <m/>
    <n v="6.2549999999999999"/>
    <n v="3.6487499999999997"/>
    <m/>
    <m/>
    <m/>
    <m/>
    <m/>
    <m/>
    <n v="51.603750000000005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Sakoana "/>
    <m/>
    <m/>
    <m/>
    <n v="6908"/>
    <n v="1382"/>
    <x v="1"/>
    <m/>
    <n v="15"/>
    <n v="41.46"/>
    <m/>
    <m/>
    <m/>
    <n v="6.2190000000000003"/>
    <n v="3.6277499999999994"/>
    <m/>
    <m/>
    <m/>
    <m/>
    <m/>
    <m/>
    <n v="51.306750000000001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Sorombo "/>
    <m/>
    <m/>
    <m/>
    <n v="10214"/>
    <n v="2043"/>
    <x v="1"/>
    <m/>
    <n v="15"/>
    <n v="61.29"/>
    <m/>
    <m/>
    <m/>
    <n v="9.1935000000000002"/>
    <n v="5.3628749999999998"/>
    <m/>
    <m/>
    <m/>
    <m/>
    <m/>
    <m/>
    <n v="75.846374999999995"/>
    <m/>
    <m/>
  </r>
  <r>
    <x v="2"/>
    <n v="2024"/>
    <x v="2"/>
    <s v="GD"/>
    <x v="9"/>
    <s v="URT_GD: General Distribution"/>
    <n v="1"/>
    <m/>
    <s v="Manakara"/>
    <x v="1"/>
    <s v="Tamatave"/>
    <s v="Fitovinany"/>
    <x v="32"/>
    <s v="ASSOS"/>
    <s v=" Vohimasina Nord "/>
    <m/>
    <m/>
    <m/>
    <n v="6367"/>
    <n v="1273"/>
    <x v="1"/>
    <m/>
    <n v="15"/>
    <n v="38.19"/>
    <m/>
    <m/>
    <m/>
    <n v="5.7285000000000004"/>
    <n v="3.3416250000000001"/>
    <m/>
    <m/>
    <m/>
    <m/>
    <m/>
    <m/>
    <n v="47.260124999999995"/>
    <m/>
    <m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Tsarahafatra "/>
    <m/>
    <m/>
    <m/>
    <n v="5470"/>
    <n v="1094"/>
    <x v="1"/>
    <m/>
    <n v="15"/>
    <n v="32.82"/>
    <m/>
    <m/>
    <m/>
    <n v="4.923"/>
    <n v="2.87175"/>
    <m/>
    <m/>
    <m/>
    <m/>
    <m/>
    <m/>
    <n v="40.614750000000001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Ampataka "/>
    <m/>
    <m/>
    <m/>
    <n v="10850"/>
    <n v="2170"/>
    <x v="1"/>
    <m/>
    <n v="15"/>
    <n v="65.099999999999994"/>
    <m/>
    <m/>
    <m/>
    <n v="9.7650000000000006"/>
    <n v="5.69625"/>
    <m/>
    <m/>
    <m/>
    <m/>
    <m/>
    <m/>
    <n v="80.561250000000001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Fonilaza "/>
    <m/>
    <m/>
    <m/>
    <n v="12000"/>
    <n v="2400"/>
    <x v="1"/>
    <m/>
    <n v="15"/>
    <n v="72"/>
    <m/>
    <m/>
    <m/>
    <n v="10.8"/>
    <n v="6.3"/>
    <m/>
    <m/>
    <m/>
    <m/>
    <m/>
    <m/>
    <n v="89.1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Isahara "/>
    <m/>
    <m/>
    <m/>
    <n v="6900"/>
    <n v="1380"/>
    <x v="1"/>
    <m/>
    <n v="15"/>
    <n v="41.4"/>
    <m/>
    <m/>
    <m/>
    <n v="6.21"/>
    <n v="3.6224999999999996"/>
    <m/>
    <m/>
    <m/>
    <m/>
    <m/>
    <m/>
    <n v="51.232500000000002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Tsianofana "/>
    <m/>
    <m/>
    <m/>
    <n v="9000"/>
    <n v="1800"/>
    <x v="1"/>
    <m/>
    <n v="15"/>
    <n v="54"/>
    <m/>
    <m/>
    <m/>
    <n v="8.1"/>
    <n v="4.7249999999999996"/>
    <m/>
    <m/>
    <m/>
    <m/>
    <m/>
    <m/>
    <n v="66.825000000000003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Vohitrambo "/>
    <m/>
    <m/>
    <m/>
    <n v="17000"/>
    <n v="3400"/>
    <x v="1"/>
    <m/>
    <n v="15"/>
    <n v="102"/>
    <m/>
    <m/>
    <m/>
    <n v="15.3"/>
    <n v="8.9250000000000007"/>
    <m/>
    <m/>
    <m/>
    <m/>
    <m/>
    <m/>
    <n v="126.22499999999999"/>
    <m/>
    <m/>
  </r>
  <r>
    <x v="2"/>
    <n v="2024"/>
    <x v="2"/>
    <s v="GD"/>
    <x v="9"/>
    <s v="URT_GD: General Distribution"/>
    <n v="1"/>
    <m/>
    <s v="Manakara"/>
    <x v="1"/>
    <s v="Tamatave"/>
    <s v="Atsimo Atsinanana"/>
    <x v="8"/>
    <s v="WHH"/>
    <s v=" Antokonala "/>
    <m/>
    <m/>
    <m/>
    <n v="6495"/>
    <n v="1299"/>
    <x v="1"/>
    <m/>
    <n v="15"/>
    <n v="38.97"/>
    <m/>
    <m/>
    <m/>
    <n v="5.8455000000000004"/>
    <n v="3.409875"/>
    <m/>
    <m/>
    <m/>
    <m/>
    <m/>
    <m/>
    <n v="48.225375"/>
    <m/>
    <m/>
  </r>
  <r>
    <x v="2"/>
    <n v="2024"/>
    <x v="2"/>
    <s v="GD"/>
    <x v="9"/>
    <s v="URT_GD: General Distribution"/>
    <n v="1"/>
    <m/>
    <s v="Manakara"/>
    <x v="1"/>
    <s v="Tamatave"/>
    <s v="Fitovinany"/>
    <x v="33"/>
    <s v="ASSOS"/>
    <s v=" Amborobe "/>
    <m/>
    <m/>
    <m/>
    <n v="3046"/>
    <n v="609"/>
    <x v="1"/>
    <m/>
    <n v="15"/>
    <n v="18.27"/>
    <m/>
    <m/>
    <m/>
    <n v="2.7404999999999999"/>
    <n v="1.598625"/>
    <m/>
    <m/>
    <m/>
    <m/>
    <m/>
    <m/>
    <n v="22.609124999999999"/>
    <m/>
    <m/>
  </r>
  <r>
    <x v="2"/>
    <n v="2024"/>
    <x v="2"/>
    <s v="GD"/>
    <x v="9"/>
    <s v="URT_GD: General Distribution"/>
    <n v="1"/>
    <m/>
    <s v="Manakara"/>
    <x v="1"/>
    <s v="Tamatave"/>
    <s v="Fitovinany"/>
    <x v="33"/>
    <s v="ASSOS"/>
    <s v=" Anoloka "/>
    <m/>
    <m/>
    <m/>
    <n v="2915"/>
    <n v="583"/>
    <x v="1"/>
    <m/>
    <n v="15"/>
    <n v="17.489999999999998"/>
    <m/>
    <m/>
    <m/>
    <n v="2.6234999999999999"/>
    <n v="1.530375"/>
    <m/>
    <m/>
    <m/>
    <m/>
    <m/>
    <m/>
    <n v="21.643874999999998"/>
    <m/>
    <m/>
  </r>
  <r>
    <x v="2"/>
    <n v="2024"/>
    <x v="2"/>
    <s v="GD"/>
    <x v="9"/>
    <s v="URT_GD: General Distribution"/>
    <n v="1"/>
    <m/>
    <s v="Manakara"/>
    <x v="1"/>
    <s v="Tamatave"/>
    <s v="Fitovinany"/>
    <x v="33"/>
    <s v="ASSOS"/>
    <s v=" Lanivo "/>
    <m/>
    <m/>
    <m/>
    <n v="6514"/>
    <n v="1303"/>
    <x v="1"/>
    <m/>
    <n v="15"/>
    <n v="39.090000000000003"/>
    <m/>
    <m/>
    <m/>
    <n v="5.8635000000000002"/>
    <n v="3.4203749999999999"/>
    <m/>
    <m/>
    <m/>
    <m/>
    <m/>
    <m/>
    <n v="48.373875000000005"/>
    <m/>
    <m/>
  </r>
  <r>
    <x v="2"/>
    <n v="2024"/>
    <x v="2"/>
    <s v="GD"/>
    <x v="9"/>
    <s v="URT_GD: General Distribution"/>
    <n v="1"/>
    <m/>
    <s v="Manakara"/>
    <x v="1"/>
    <s v="Tamatave"/>
    <s v="Fitovinany"/>
    <x v="33"/>
    <s v="ASSOS"/>
    <s v=" Savana "/>
    <m/>
    <m/>
    <m/>
    <n v="3012"/>
    <n v="602"/>
    <x v="1"/>
    <m/>
    <n v="15"/>
    <n v="18.059999999999999"/>
    <m/>
    <m/>
    <m/>
    <n v="2.7090000000000001"/>
    <n v="1.5802499999999999"/>
    <m/>
    <m/>
    <m/>
    <m/>
    <m/>
    <m/>
    <n v="22.349249999999998"/>
    <m/>
    <m/>
  </r>
  <r>
    <x v="2"/>
    <n v="2024"/>
    <x v="2"/>
    <s v="GD"/>
    <x v="9"/>
    <s v="URT_GD: General Distribution"/>
    <n v="1"/>
    <m/>
    <s v="Manakara"/>
    <x v="1"/>
    <s v="Tamatave"/>
    <s v="Fitovinany"/>
    <x v="17"/>
    <s v=" NY TANINTSIKA "/>
    <s v=" Belemoke "/>
    <m/>
    <m/>
    <m/>
    <n v="7317"/>
    <n v="3965"/>
    <x v="0"/>
    <m/>
    <n v="20"/>
    <m/>
    <m/>
    <m/>
    <m/>
    <m/>
    <m/>
    <m/>
    <m/>
    <m/>
    <m/>
    <m/>
    <m/>
    <m/>
    <n v="475800000"/>
    <n v="104361.78753010435"/>
  </r>
  <r>
    <x v="2"/>
    <n v="2024"/>
    <x v="2"/>
    <s v="GD"/>
    <x v="9"/>
    <s v="URT_GD: General Distribution"/>
    <n v="1"/>
    <m/>
    <s v="Manakara"/>
    <x v="1"/>
    <s v="Tamatave"/>
    <s v="Fitovinany"/>
    <x v="17"/>
    <s v=" NY TANINTSIKA "/>
    <s v=" Kalafotsy "/>
    <m/>
    <m/>
    <m/>
    <n v="15170"/>
    <n v="3504"/>
    <x v="0"/>
    <m/>
    <n v="20"/>
    <m/>
    <m/>
    <m/>
    <m/>
    <m/>
    <m/>
    <m/>
    <m/>
    <m/>
    <m/>
    <m/>
    <m/>
    <m/>
    <n v="420480000"/>
    <n v="92227.920177928288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Ambohitsara Est "/>
    <m/>
    <m/>
    <m/>
    <n v="5725"/>
    <n v="1145"/>
    <x v="0"/>
    <m/>
    <n v="20"/>
    <m/>
    <m/>
    <m/>
    <m/>
    <m/>
    <m/>
    <m/>
    <m/>
    <m/>
    <m/>
    <m/>
    <m/>
    <m/>
    <n v="137400000"/>
    <n v="30137.262729374397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Ankatafana "/>
    <m/>
    <m/>
    <m/>
    <n v="8529"/>
    <n v="1706"/>
    <x v="0"/>
    <m/>
    <n v="20"/>
    <m/>
    <m/>
    <m/>
    <m/>
    <m/>
    <m/>
    <m/>
    <m/>
    <m/>
    <m/>
    <m/>
    <m/>
    <m/>
    <n v="204720000"/>
    <n v="44903.20542909408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Mahatsara Iefaka "/>
    <m/>
    <m/>
    <m/>
    <n v="3600"/>
    <n v="720"/>
    <x v="0"/>
    <m/>
    <n v="20"/>
    <m/>
    <m/>
    <m/>
    <m/>
    <m/>
    <m/>
    <m/>
    <m/>
    <m/>
    <m/>
    <m/>
    <m/>
    <m/>
    <n v="86400000"/>
    <n v="18950.942502314032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Mahatsara Sud "/>
    <m/>
    <m/>
    <m/>
    <n v="6151"/>
    <n v="1230"/>
    <x v="0"/>
    <m/>
    <n v="20"/>
    <m/>
    <m/>
    <m/>
    <m/>
    <m/>
    <m/>
    <m/>
    <m/>
    <m/>
    <m/>
    <m/>
    <m/>
    <m/>
    <n v="147600000"/>
    <n v="32374.526774786471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Mahavoky Nord "/>
    <m/>
    <m/>
    <m/>
    <n v="5984"/>
    <n v="1197"/>
    <x v="0"/>
    <m/>
    <n v="20"/>
    <m/>
    <m/>
    <m/>
    <m/>
    <m/>
    <m/>
    <m/>
    <m/>
    <m/>
    <m/>
    <m/>
    <m/>
    <m/>
    <n v="143640000"/>
    <n v="31505.941910097077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Mahela "/>
    <m/>
    <m/>
    <m/>
    <n v="9182"/>
    <n v="1836"/>
    <x v="0"/>
    <m/>
    <n v="20"/>
    <m/>
    <m/>
    <m/>
    <m/>
    <m/>
    <m/>
    <m/>
    <m/>
    <m/>
    <m/>
    <m/>
    <m/>
    <m/>
    <n v="220320000"/>
    <n v="48324.903380900781"/>
  </r>
  <r>
    <x v="2"/>
    <n v="2024"/>
    <x v="2"/>
    <s v="GD"/>
    <x v="9"/>
    <s v="URT_GD: General Distribution"/>
    <n v="1"/>
    <m/>
    <s v="Manakara"/>
    <x v="1"/>
    <s v="Tamatave"/>
    <s v="Vatovavy"/>
    <x v="13"/>
    <s v="YPA"/>
    <s v=" Marosangy "/>
    <m/>
    <m/>
    <m/>
    <n v="6618"/>
    <n v="1324"/>
    <x v="0"/>
    <m/>
    <n v="20"/>
    <m/>
    <m/>
    <m/>
    <m/>
    <m/>
    <m/>
    <m/>
    <m/>
    <m/>
    <m/>
    <m/>
    <m/>
    <m/>
    <n v="158880000"/>
    <n v="34848.677601477466"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Ambatolava "/>
    <m/>
    <m/>
    <m/>
    <n v="6666"/>
    <n v="1333"/>
    <x v="0"/>
    <m/>
    <n v="20"/>
    <m/>
    <m/>
    <m/>
    <m/>
    <m/>
    <m/>
    <m/>
    <m/>
    <m/>
    <m/>
    <m/>
    <m/>
    <m/>
    <n v="159960000"/>
    <n v="35085.564382756398"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Bekaraoky "/>
    <m/>
    <m/>
    <m/>
    <n v="5589"/>
    <n v="1118"/>
    <x v="0"/>
    <m/>
    <n v="20"/>
    <m/>
    <m/>
    <m/>
    <m/>
    <m/>
    <m/>
    <m/>
    <m/>
    <m/>
    <m/>
    <m/>
    <m/>
    <m/>
    <n v="134160000"/>
    <n v="29426.602385537622"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Vatanato "/>
    <m/>
    <m/>
    <m/>
    <n v="5449"/>
    <n v="1090"/>
    <x v="0"/>
    <m/>
    <n v="20"/>
    <m/>
    <m/>
    <m/>
    <m/>
    <m/>
    <m/>
    <m/>
    <m/>
    <m/>
    <m/>
    <m/>
    <m/>
    <m/>
    <n v="130800000"/>
    <n v="28689.621288225408"/>
  </r>
  <r>
    <x v="2"/>
    <n v="2024"/>
    <x v="2"/>
    <s v="GD"/>
    <x v="9"/>
    <s v="URT_GD: General Distribution"/>
    <n v="1"/>
    <m/>
    <s v="Manakara"/>
    <x v="1"/>
    <s v="Tamatave"/>
    <s v="Atsimo Atsinanana"/>
    <x v="10"/>
    <s v="WHH"/>
    <s v=" Vohipaho "/>
    <m/>
    <m/>
    <m/>
    <n v="12200"/>
    <n v="2440"/>
    <x v="0"/>
    <m/>
    <n v="20"/>
    <m/>
    <m/>
    <m/>
    <m/>
    <m/>
    <m/>
    <m/>
    <m/>
    <m/>
    <m/>
    <m/>
    <m/>
    <m/>
    <n v="292800000"/>
    <n v="64222.638480064219"/>
  </r>
  <r>
    <x v="2"/>
    <n v="2025"/>
    <x v="2"/>
    <s v="Nutrition"/>
    <x v="10"/>
    <s v="URT_PREV:Prevention of acute malnutrition"/>
    <n v="2"/>
    <s v=" "/>
    <s v="Manakara"/>
    <x v="1"/>
    <s v=" "/>
    <s v="Fitovinany"/>
    <x v="17"/>
    <s v=" NY TANINTSIKA "/>
    <s v=" Belemoka "/>
    <s v=" TBD "/>
    <s v=" "/>
    <s v=" "/>
    <n v="439"/>
    <n v="43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5849999999999997"/>
    <m/>
    <s v=" "/>
    <s v=" 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x v="17"/>
    <s v=" NY TANINTSIKA "/>
    <s v=" Kalafotsy "/>
    <s v=" TBD "/>
    <s v=" "/>
    <s v=" "/>
    <n v="910"/>
    <n v="91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1.365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Ambahatrazo "/>
    <s v=" TBD "/>
    <s v=" "/>
    <s v=" "/>
    <n v="342"/>
    <n v="34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13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Ampasimanjeva "/>
    <s v=" TBD "/>
    <s v=" "/>
    <s v=" "/>
    <n v="670"/>
    <n v="67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1.00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Anosiala "/>
    <s v=" TBD "/>
    <s v=" "/>
    <s v=" "/>
    <n v="588"/>
    <n v="588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882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Mangatsiotra "/>
    <s v=" TBD "/>
    <s v=" "/>
    <s v=" "/>
    <n v="203"/>
    <n v="20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30449999999999999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x v="32"/>
    <s v=" TBD "/>
    <s v="Manjarivo"/>
    <s v=" TBD "/>
    <s v=" "/>
    <s v=" "/>
    <n v="451"/>
    <n v="45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76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Mitanty "/>
    <s v=" TBD "/>
    <s v=" "/>
    <s v=" "/>
    <n v="417"/>
    <n v="417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2549999999999994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Sakoana "/>
    <s v=" TBD "/>
    <s v=" "/>
    <s v=" "/>
    <n v="414"/>
    <n v="414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21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x v="32"/>
    <s v=" TBD "/>
    <s v=" Sorombo "/>
    <s v=" TBD "/>
    <s v=" "/>
    <s v=" "/>
    <n v="613"/>
    <n v="61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9194999999999999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2"/>
    <s v=" TBD "/>
    <s v=" Vohimasina Nord "/>
    <s v=" TBD "/>
    <s v=" "/>
    <s v=" "/>
    <n v="382"/>
    <n v="38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7299999999999995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Vatovavy"/>
    <x v="13"/>
    <s v=" YPA "/>
    <s v=" Ambohitara Est "/>
    <s v=" TBD "/>
    <s v=" "/>
    <s v=" "/>
    <n v="344"/>
    <n v="344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16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Ankatafana "/>
    <s v=" TBD "/>
    <s v=" "/>
    <s v=" "/>
    <n v="512"/>
    <n v="51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76800000000000002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Mahatsara Lefaka "/>
    <s v=" TBD "/>
    <s v=" "/>
    <s v=" "/>
    <n v="216"/>
    <n v="216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324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Mahatsara Sud "/>
    <s v=" TBD "/>
    <s v=" "/>
    <s v=" "/>
    <n v="369"/>
    <n v="36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53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Mahavoky Nord "/>
    <s v=" TBD "/>
    <s v=" "/>
    <s v=" "/>
    <n v="359"/>
    <n v="35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384999999999999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Mahela "/>
    <s v=" TBD "/>
    <s v=" "/>
    <s v=" "/>
    <n v="551"/>
    <n v="55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82650000000000001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Vatovavy"/>
    <x v="13"/>
    <s v=" YPA "/>
    <s v=" Marosangy "/>
    <s v=" TBD "/>
    <s v=" "/>
    <s v=" "/>
    <n v="397"/>
    <n v="397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9550000000000003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Vatovavy"/>
    <x v="13"/>
    <s v=" YPA "/>
    <s v=" Tsarahafatra "/>
    <s v=" TBD "/>
    <s v=" "/>
    <s v=" "/>
    <n v="320"/>
    <n v="32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4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3"/>
    <s v=" ASSOS "/>
    <s v=" Amborobe "/>
    <s v=" TBD "/>
    <s v=" "/>
    <s v=" "/>
    <n v="183"/>
    <n v="18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7450000000000002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3"/>
    <s v=" ASSOS "/>
    <s v=" Anoloka "/>
    <s v=" TBD "/>
    <s v=" "/>
    <s v=" "/>
    <n v="175"/>
    <n v="175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625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3"/>
    <s v=" ASSOS "/>
    <s v=" Lanivo "/>
    <s v=" TBD "/>
    <s v=" "/>
    <s v=" "/>
    <n v="391"/>
    <n v="39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8650000000000002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x v="33"/>
    <s v=" ASSOS "/>
    <s v=" Savana "/>
    <s v=" TBD "/>
    <s v=" "/>
    <s v=" "/>
    <n v="181"/>
    <n v="18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7150000000000002"/>
    <m/>
    <s v=" "/>
    <s v="                         -  "/>
    <m/>
  </r>
  <r>
    <x v="2"/>
    <n v="2025"/>
    <x v="2"/>
    <s v="Nutrition"/>
    <x v="11"/>
    <s v="URT_PREV:Prevention of acute malnutrition"/>
    <m/>
    <m/>
    <s v="Manakara"/>
    <x v="1"/>
    <s v=" "/>
    <s v="Fitovinany"/>
    <x v="17"/>
    <s v=" NY TANINTSIKA "/>
    <s v=" Belemoka "/>
    <s v=" TBD "/>
    <m/>
    <m/>
    <n v="366"/>
    <n v="366"/>
    <x v="1"/>
    <m/>
    <n v="30"/>
    <m/>
    <n v="0"/>
    <n v="0"/>
    <n v="0"/>
    <n v="0"/>
    <n v="0.21959999999999999"/>
    <n v="0"/>
    <n v="0"/>
    <n v="2.1960000000000002"/>
    <n v="0"/>
    <m/>
    <n v="0"/>
    <n v="2.4156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17"/>
    <s v=" NY TANINTSIKA "/>
    <s v=" Kalafotsy "/>
    <s v=" TBD "/>
    <m/>
    <m/>
    <n v="759"/>
    <n v="759"/>
    <x v="1"/>
    <m/>
    <n v="30"/>
    <m/>
    <n v="0"/>
    <n v="0"/>
    <n v="0"/>
    <n v="0"/>
    <n v="0.45540000000000003"/>
    <n v="0"/>
    <n v="0"/>
    <n v="4.5540000000000003"/>
    <n v="0"/>
    <m/>
    <n v="0"/>
    <n v="5.0094000000000003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Ambahatrazo "/>
    <s v=" TBD "/>
    <m/>
    <m/>
    <n v="285"/>
    <n v="285"/>
    <x v="1"/>
    <m/>
    <n v="30"/>
    <m/>
    <n v="0"/>
    <n v="0"/>
    <n v="0"/>
    <n v="0"/>
    <n v="0.17100000000000001"/>
    <n v="0"/>
    <n v="0"/>
    <n v="1.71"/>
    <n v="0"/>
    <m/>
    <n v="0"/>
    <n v="1.881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Ampasimanjeva "/>
    <s v=" TBD "/>
    <m/>
    <m/>
    <n v="559"/>
    <n v="559"/>
    <x v="1"/>
    <m/>
    <n v="30"/>
    <m/>
    <n v="0"/>
    <n v="0"/>
    <n v="0"/>
    <n v="0"/>
    <n v="0.33539999999999998"/>
    <n v="0"/>
    <n v="0"/>
    <n v="3.3540000000000001"/>
    <n v="0"/>
    <m/>
    <n v="0"/>
    <n v="3.6894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Anosiala "/>
    <s v=" TBD "/>
    <m/>
    <m/>
    <n v="490"/>
    <n v="490"/>
    <x v="1"/>
    <m/>
    <n v="30"/>
    <m/>
    <n v="0"/>
    <n v="0"/>
    <n v="0"/>
    <n v="0"/>
    <n v="0.29399999999999998"/>
    <n v="0"/>
    <n v="0"/>
    <n v="2.94"/>
    <n v="0"/>
    <m/>
    <n v="0"/>
    <n v="3.234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Mangatsiotra "/>
    <s v=" TBD "/>
    <m/>
    <m/>
    <n v="169"/>
    <n v="169"/>
    <x v="1"/>
    <m/>
    <n v="30"/>
    <m/>
    <n v="0"/>
    <n v="0"/>
    <n v="0"/>
    <n v="0"/>
    <n v="0.1014"/>
    <n v="0"/>
    <n v="0"/>
    <n v="1.014"/>
    <n v="0"/>
    <m/>
    <n v="0"/>
    <n v="1.1153999999999999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Manjarivo"/>
    <s v=" TBD "/>
    <m/>
    <m/>
    <n v="376"/>
    <n v="376"/>
    <x v="1"/>
    <m/>
    <n v="30"/>
    <m/>
    <n v="0"/>
    <n v="0"/>
    <n v="0"/>
    <n v="0"/>
    <n v="0.22559999999999999"/>
    <n v="0"/>
    <n v="0"/>
    <n v="2.2559999999999998"/>
    <n v="0"/>
    <m/>
    <n v="0"/>
    <n v="2.4815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Mitanty "/>
    <s v=" TBD "/>
    <m/>
    <m/>
    <n v="348"/>
    <n v="348"/>
    <x v="1"/>
    <m/>
    <n v="30"/>
    <m/>
    <n v="0"/>
    <n v="0"/>
    <n v="0"/>
    <n v="0"/>
    <n v="0.20880000000000001"/>
    <n v="0"/>
    <n v="0"/>
    <n v="2.0880000000000001"/>
    <n v="0"/>
    <m/>
    <n v="0"/>
    <n v="2.2968000000000002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Sakoana "/>
    <s v=" TBD "/>
    <m/>
    <m/>
    <n v="345"/>
    <n v="345"/>
    <x v="1"/>
    <m/>
    <n v="30"/>
    <m/>
    <n v="0"/>
    <n v="0"/>
    <n v="0"/>
    <n v="0"/>
    <n v="0.20699999999999999"/>
    <n v="0"/>
    <n v="0"/>
    <n v="2.0699999999999998"/>
    <n v="0"/>
    <m/>
    <n v="0"/>
    <n v="2.2769999999999997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Sorombo "/>
    <s v=" TBD "/>
    <m/>
    <m/>
    <n v="511"/>
    <n v="511"/>
    <x v="1"/>
    <m/>
    <n v="30"/>
    <m/>
    <n v="0"/>
    <n v="0"/>
    <n v="0"/>
    <n v="0"/>
    <n v="0.30659999999999998"/>
    <n v="0"/>
    <n v="0"/>
    <n v="3.0659999999999998"/>
    <n v="0"/>
    <m/>
    <n v="0"/>
    <n v="3.3725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2"/>
    <s v=" TBD "/>
    <s v=" Vohimasina Nord "/>
    <s v=" TBD "/>
    <m/>
    <m/>
    <n v="318"/>
    <n v="318"/>
    <x v="1"/>
    <m/>
    <n v="30"/>
    <m/>
    <n v="0"/>
    <n v="0"/>
    <n v="0"/>
    <n v="0"/>
    <n v="0.1908"/>
    <n v="0"/>
    <n v="0"/>
    <n v="1.9079999999999999"/>
    <n v="0"/>
    <m/>
    <n v="0"/>
    <n v="2.0987999999999998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Ambohitara Est "/>
    <s v=" TBD "/>
    <m/>
    <m/>
    <n v="286"/>
    <n v="286"/>
    <x v="1"/>
    <m/>
    <n v="30"/>
    <m/>
    <n v="0"/>
    <n v="0"/>
    <n v="0"/>
    <n v="0"/>
    <n v="0.1716"/>
    <n v="0"/>
    <n v="0"/>
    <n v="1.716"/>
    <n v="0"/>
    <m/>
    <n v="0"/>
    <n v="1.8875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Ankatafana "/>
    <s v=" TBD "/>
    <m/>
    <m/>
    <n v="426"/>
    <n v="426"/>
    <x v="1"/>
    <m/>
    <n v="30"/>
    <m/>
    <n v="0"/>
    <n v="0"/>
    <n v="0"/>
    <n v="0"/>
    <n v="0.25559999999999999"/>
    <n v="0"/>
    <n v="0"/>
    <n v="2.556"/>
    <n v="0"/>
    <m/>
    <n v="0"/>
    <n v="2.8115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Mahatsara Lefaka "/>
    <s v=" TBD "/>
    <m/>
    <m/>
    <n v="180"/>
    <n v="180"/>
    <x v="1"/>
    <m/>
    <n v="30"/>
    <m/>
    <n v="0"/>
    <n v="0"/>
    <n v="0"/>
    <n v="0"/>
    <n v="0.108"/>
    <n v="0"/>
    <n v="0"/>
    <n v="1.08"/>
    <n v="0"/>
    <m/>
    <n v="0"/>
    <n v="1.1880000000000002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Mahatsara Sud "/>
    <s v=" TBD "/>
    <m/>
    <m/>
    <n v="308"/>
    <n v="308"/>
    <x v="1"/>
    <m/>
    <n v="30"/>
    <m/>
    <n v="0"/>
    <n v="0"/>
    <n v="0"/>
    <n v="0"/>
    <n v="0.18479999999999999"/>
    <n v="0"/>
    <n v="0"/>
    <n v="1.8480000000000001"/>
    <n v="0"/>
    <m/>
    <n v="0"/>
    <n v="2.0327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Mahavoky Nord "/>
    <s v=" TBD "/>
    <m/>
    <m/>
    <n v="299"/>
    <n v="299"/>
    <x v="1"/>
    <m/>
    <n v="30"/>
    <m/>
    <n v="0"/>
    <n v="0"/>
    <n v="0"/>
    <n v="0"/>
    <n v="0.1794"/>
    <n v="0"/>
    <n v="0"/>
    <n v="1.794"/>
    <n v="0"/>
    <m/>
    <n v="0"/>
    <n v="1.9734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Mahela "/>
    <s v=" TBD "/>
    <m/>
    <m/>
    <n v="459"/>
    <n v="459"/>
    <x v="1"/>
    <m/>
    <n v="30"/>
    <m/>
    <n v="0"/>
    <n v="0"/>
    <n v="0"/>
    <n v="0"/>
    <n v="0.27539999999999998"/>
    <n v="0"/>
    <n v="0"/>
    <n v="2.754"/>
    <n v="0"/>
    <m/>
    <n v="0"/>
    <n v="3.0293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Marosangy "/>
    <s v=" TBD "/>
    <m/>
    <m/>
    <n v="331"/>
    <n v="331"/>
    <x v="1"/>
    <m/>
    <n v="30"/>
    <m/>
    <n v="0"/>
    <n v="0"/>
    <n v="0"/>
    <n v="0"/>
    <n v="0.1986"/>
    <n v="0"/>
    <n v="0"/>
    <n v="1.986"/>
    <n v="0"/>
    <m/>
    <n v="0"/>
    <n v="2.1846000000000001"/>
    <m/>
    <m/>
  </r>
  <r>
    <x v="2"/>
    <n v="2025"/>
    <x v="2"/>
    <s v="Nutrition"/>
    <x v="11"/>
    <s v="URT_PREV:Prevention of acute malnutrition"/>
    <m/>
    <m/>
    <s v="Manakara"/>
    <x v="1"/>
    <s v=" "/>
    <s v="Vatovavy"/>
    <x v="13"/>
    <s v=" YPA "/>
    <s v=" Tsarahafatra "/>
    <s v=" TBD "/>
    <m/>
    <m/>
    <n v="274"/>
    <n v="274"/>
    <x v="1"/>
    <m/>
    <n v="30"/>
    <m/>
    <n v="0"/>
    <n v="0"/>
    <n v="0"/>
    <n v="0"/>
    <n v="0.16439999999999999"/>
    <n v="0"/>
    <n v="0"/>
    <n v="1.6439999999999999"/>
    <n v="0"/>
    <m/>
    <n v="0"/>
    <n v="1.8083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3"/>
    <s v=" ASSOS "/>
    <s v=" Amborobe "/>
    <s v=" TBD "/>
    <m/>
    <m/>
    <n v="152"/>
    <n v="152"/>
    <x v="1"/>
    <m/>
    <n v="30"/>
    <m/>
    <n v="0"/>
    <n v="0"/>
    <n v="0"/>
    <n v="0"/>
    <n v="9.1200000000000003E-2"/>
    <n v="0"/>
    <n v="0"/>
    <n v="0.91200000000000003"/>
    <n v="0"/>
    <m/>
    <n v="0"/>
    <n v="1.0032000000000001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3"/>
    <s v=" ASSOS "/>
    <s v=" Anoloka "/>
    <s v=" TBD "/>
    <m/>
    <m/>
    <n v="146"/>
    <n v="146"/>
    <x v="1"/>
    <m/>
    <n v="30"/>
    <m/>
    <n v="0"/>
    <n v="0"/>
    <n v="0"/>
    <n v="0"/>
    <n v="8.7599999999999997E-2"/>
    <n v="0"/>
    <n v="0"/>
    <n v="0.876"/>
    <n v="0"/>
    <m/>
    <n v="0"/>
    <n v="0.96360000000000001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3"/>
    <s v=" ASSOS "/>
    <s v=" Lanivo "/>
    <s v=" TBD "/>
    <m/>
    <m/>
    <n v="326"/>
    <n v="326"/>
    <x v="1"/>
    <m/>
    <n v="30"/>
    <m/>
    <n v="0"/>
    <n v="0"/>
    <n v="0"/>
    <n v="0"/>
    <n v="0.1956"/>
    <n v="0"/>
    <n v="0"/>
    <n v="1.956"/>
    <n v="0"/>
    <m/>
    <n v="0"/>
    <n v="2.1516000000000002"/>
    <m/>
    <m/>
  </r>
  <r>
    <x v="2"/>
    <n v="2025"/>
    <x v="2"/>
    <s v="Nutrition"/>
    <x v="11"/>
    <s v="URT_PREV:Prevention of acute malnutrition"/>
    <m/>
    <m/>
    <s v="Manakara"/>
    <x v="1"/>
    <s v=" "/>
    <s v="Fitovinany"/>
    <x v="33"/>
    <s v=" ASSOS "/>
    <s v=" Savana "/>
    <s v=" TBD "/>
    <m/>
    <m/>
    <n v="151"/>
    <n v="151"/>
    <x v="1"/>
    <m/>
    <n v="30"/>
    <m/>
    <n v="0"/>
    <n v="0"/>
    <n v="0"/>
    <n v="0"/>
    <n v="9.06E-2"/>
    <n v="0"/>
    <n v="0"/>
    <n v="0.90600000000000003"/>
    <n v="0"/>
    <m/>
    <n v="0"/>
    <n v="0.99660000000000004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Ambatolava "/>
    <s v=" TBD "/>
    <m/>
    <m/>
    <n v="333"/>
    <n v="333"/>
    <x v="1"/>
    <m/>
    <n v="30"/>
    <m/>
    <n v="0"/>
    <n v="0"/>
    <n v="0"/>
    <n v="0"/>
    <n v="0.19980000000000001"/>
    <n v="0"/>
    <n v="0"/>
    <n v="1.998"/>
    <n v="0"/>
    <m/>
    <n v="0"/>
    <n v="2.1978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Ampataka "/>
    <s v=" TBD "/>
    <m/>
    <m/>
    <n v="543"/>
    <n v="543"/>
    <x v="1"/>
    <m/>
    <n v="30"/>
    <m/>
    <n v="0"/>
    <n v="0"/>
    <n v="0"/>
    <n v="0"/>
    <n v="0.32579999999999998"/>
    <n v="0"/>
    <n v="0"/>
    <n v="3.258"/>
    <n v="0"/>
    <m/>
    <n v="0"/>
    <n v="3.5838000000000001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Bekaraoky "/>
    <s v=" TBD "/>
    <m/>
    <m/>
    <n v="279"/>
    <n v="279"/>
    <x v="1"/>
    <m/>
    <n v="30"/>
    <m/>
    <n v="0"/>
    <n v="0"/>
    <n v="0"/>
    <n v="0"/>
    <n v="0.16739999999999999"/>
    <n v="0"/>
    <n v="0"/>
    <n v="1.6739999999999999"/>
    <n v="0"/>
    <m/>
    <n v="0"/>
    <n v="1.8413999999999999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Fonilaza "/>
    <s v=" TBD "/>
    <m/>
    <m/>
    <n v="600"/>
    <n v="600"/>
    <x v="1"/>
    <m/>
    <n v="30"/>
    <m/>
    <n v="0"/>
    <n v="0"/>
    <n v="0"/>
    <n v="0"/>
    <n v="0.36"/>
    <n v="0"/>
    <n v="0"/>
    <n v="3.6"/>
    <n v="0"/>
    <m/>
    <n v="0"/>
    <n v="3.96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Isahara "/>
    <s v=" TBD "/>
    <m/>
    <m/>
    <n v="345"/>
    <n v="345"/>
    <x v="1"/>
    <m/>
    <n v="30"/>
    <m/>
    <n v="0"/>
    <n v="0"/>
    <n v="0"/>
    <n v="0"/>
    <n v="0.20699999999999999"/>
    <n v="0"/>
    <n v="0"/>
    <n v="2.0699999999999998"/>
    <n v="0"/>
    <m/>
    <n v="0"/>
    <n v="2.2769999999999997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Tsianofana "/>
    <s v=" TBD "/>
    <m/>
    <m/>
    <n v="450"/>
    <n v="450"/>
    <x v="1"/>
    <m/>
    <n v="30"/>
    <m/>
    <n v="0"/>
    <n v="0"/>
    <n v="0"/>
    <n v="0"/>
    <n v="0.27"/>
    <n v="0"/>
    <n v="0"/>
    <n v="2.7"/>
    <n v="0"/>
    <m/>
    <n v="0"/>
    <n v="2.97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Vatanato "/>
    <s v=" TBD "/>
    <m/>
    <m/>
    <n v="272"/>
    <n v="272"/>
    <x v="1"/>
    <m/>
    <n v="30"/>
    <m/>
    <n v="0"/>
    <n v="0"/>
    <n v="0"/>
    <n v="0"/>
    <n v="0.16320000000000001"/>
    <n v="0"/>
    <n v="0"/>
    <n v="1.6319999999999999"/>
    <n v="0"/>
    <m/>
    <n v="0"/>
    <n v="1.7951999999999999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Vohipaho "/>
    <s v=" TBD "/>
    <m/>
    <m/>
    <n v="610"/>
    <n v="610"/>
    <x v="1"/>
    <m/>
    <n v="30"/>
    <m/>
    <n v="0"/>
    <n v="0"/>
    <n v="0"/>
    <n v="0"/>
    <n v="0.36599999999999999"/>
    <n v="0"/>
    <n v="0"/>
    <n v="3.66"/>
    <n v="0"/>
    <m/>
    <n v="0"/>
    <n v="4.0259999999999998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4"/>
    <s v="WHH"/>
    <s v=" Vohitrambo "/>
    <s v=" TBD "/>
    <m/>
    <m/>
    <n v="850"/>
    <n v="850"/>
    <x v="1"/>
    <m/>
    <n v="30"/>
    <m/>
    <n v="0"/>
    <n v="0"/>
    <n v="0"/>
    <n v="0"/>
    <n v="0.51"/>
    <n v="0"/>
    <n v="0"/>
    <n v="5.0999999999999996"/>
    <n v="0"/>
    <m/>
    <n v="0"/>
    <n v="5.6099999999999994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x v="35"/>
    <s v="WHH"/>
    <s v=" Antokonala "/>
    <s v=" TBD "/>
    <m/>
    <m/>
    <n v="325"/>
    <n v="325"/>
    <x v="1"/>
    <m/>
    <n v="30"/>
    <m/>
    <n v="0"/>
    <n v="0"/>
    <n v="0"/>
    <n v="0"/>
    <n v="0.19500000000000001"/>
    <n v="0"/>
    <n v="0"/>
    <n v="1.95"/>
    <n v="0"/>
    <m/>
    <n v="0"/>
    <n v="2.145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Ambatolava "/>
    <s v=" TBD "/>
    <m/>
    <m/>
    <n v="400"/>
    <n v="400"/>
    <x v="1"/>
    <m/>
    <n v="30"/>
    <m/>
    <n v="0"/>
    <n v="0"/>
    <n v="0"/>
    <n v="0"/>
    <m/>
    <m/>
    <m/>
    <m/>
    <n v="0"/>
    <n v="0.6"/>
    <n v="0"/>
    <n v="0.6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Ampataka "/>
    <s v=" TBD "/>
    <m/>
    <m/>
    <n v="651"/>
    <n v="651"/>
    <x v="1"/>
    <m/>
    <n v="30"/>
    <m/>
    <n v="0"/>
    <n v="0"/>
    <n v="0"/>
    <n v="0"/>
    <m/>
    <m/>
    <m/>
    <m/>
    <n v="0"/>
    <n v="0.97650000000000003"/>
    <n v="0"/>
    <n v="0.97650000000000003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Bekaraoky "/>
    <s v=" TBD "/>
    <m/>
    <m/>
    <n v="335"/>
    <n v="335"/>
    <x v="1"/>
    <m/>
    <n v="30"/>
    <m/>
    <n v="0"/>
    <n v="0"/>
    <n v="0"/>
    <n v="0"/>
    <m/>
    <m/>
    <m/>
    <m/>
    <n v="0"/>
    <n v="0.50249999999999995"/>
    <n v="0"/>
    <n v="0.50249999999999995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Fonilaza "/>
    <s v=" TBD "/>
    <m/>
    <m/>
    <n v="720"/>
    <n v="720"/>
    <x v="1"/>
    <m/>
    <n v="30"/>
    <m/>
    <n v="0"/>
    <n v="0"/>
    <n v="0"/>
    <n v="0"/>
    <m/>
    <m/>
    <m/>
    <m/>
    <n v="0"/>
    <n v="1.08"/>
    <n v="0"/>
    <n v="1.08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Isahara "/>
    <s v=" TBD "/>
    <m/>
    <m/>
    <n v="414"/>
    <n v="414"/>
    <x v="1"/>
    <m/>
    <n v="30"/>
    <m/>
    <n v="0"/>
    <n v="0"/>
    <n v="0"/>
    <n v="0"/>
    <m/>
    <m/>
    <m/>
    <m/>
    <n v="0"/>
    <n v="0.621"/>
    <n v="0"/>
    <n v="0.62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Tsianofana "/>
    <s v=" TBD "/>
    <m/>
    <m/>
    <n v="540"/>
    <n v="540"/>
    <x v="1"/>
    <m/>
    <n v="30"/>
    <m/>
    <n v="0"/>
    <n v="0"/>
    <n v="0"/>
    <n v="0"/>
    <m/>
    <m/>
    <m/>
    <m/>
    <n v="0"/>
    <n v="0.81"/>
    <n v="0"/>
    <n v="0.8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Vatanato "/>
    <s v=" TBD "/>
    <m/>
    <m/>
    <n v="327"/>
    <n v="327"/>
    <x v="1"/>
    <m/>
    <n v="30"/>
    <m/>
    <n v="0"/>
    <n v="0"/>
    <n v="0"/>
    <n v="0"/>
    <m/>
    <m/>
    <m/>
    <m/>
    <n v="0"/>
    <n v="0.49049999999999999"/>
    <n v="0"/>
    <n v="0.49049999999999999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Vohipaho "/>
    <s v=" TBD "/>
    <m/>
    <m/>
    <n v="732"/>
    <n v="732"/>
    <x v="1"/>
    <m/>
    <n v="30"/>
    <m/>
    <n v="0"/>
    <n v="0"/>
    <n v="0"/>
    <n v="0"/>
    <m/>
    <m/>
    <m/>
    <m/>
    <n v="0"/>
    <n v="1.0980000000000001"/>
    <n v="0"/>
    <n v="1.098000000000000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4"/>
    <s v="WHH"/>
    <s v=" Vohitrambo "/>
    <s v=" TBD "/>
    <m/>
    <m/>
    <n v="1020"/>
    <n v="1020"/>
    <x v="1"/>
    <m/>
    <n v="30"/>
    <m/>
    <n v="0"/>
    <n v="0"/>
    <n v="0"/>
    <n v="0"/>
    <m/>
    <m/>
    <m/>
    <m/>
    <n v="0"/>
    <n v="1.53"/>
    <n v="0"/>
    <n v="1.53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x v="35"/>
    <s v="WHH"/>
    <s v=" Antokonala "/>
    <s v=" TBD "/>
    <m/>
    <m/>
    <n v="390"/>
    <n v="390"/>
    <x v="1"/>
    <m/>
    <n v="30"/>
    <m/>
    <n v="0"/>
    <n v="0"/>
    <n v="0"/>
    <n v="0"/>
    <m/>
    <m/>
    <m/>
    <m/>
    <n v="0"/>
    <n v="0.58499999999999996"/>
    <n v="0"/>
    <n v="0.58499999999999996"/>
    <m/>
    <m/>
  </r>
  <r>
    <x v="0"/>
    <n v="2024"/>
    <x v="2"/>
    <s v="GD"/>
    <x v="12"/>
    <s v="URT_GD: General Distribution"/>
    <m/>
    <m/>
    <s v="Antananarivo"/>
    <x v="4"/>
    <m/>
    <s v="SAVA"/>
    <x v="36"/>
    <s v="CARE"/>
    <s v="Bobakindro "/>
    <m/>
    <m/>
    <m/>
    <n v="4020"/>
    <n v="804"/>
    <x v="1"/>
    <m/>
    <n v="15"/>
    <m/>
    <m/>
    <m/>
    <m/>
    <m/>
    <m/>
    <m/>
    <m/>
    <m/>
    <m/>
    <m/>
    <m/>
    <n v="0"/>
    <m/>
    <n v="0"/>
  </r>
  <r>
    <x v="0"/>
    <n v="2024"/>
    <x v="2"/>
    <s v="GD"/>
    <x v="12"/>
    <s v="URT_GD: General Distribution"/>
    <m/>
    <m/>
    <s v="Antananarivo"/>
    <x v="4"/>
    <m/>
    <s v="SAVA"/>
    <x v="37"/>
    <s v="CARE"/>
    <s v="Analamaho"/>
    <m/>
    <m/>
    <m/>
    <n v="2490"/>
    <n v="498"/>
    <x v="0"/>
    <m/>
    <n v="15"/>
    <m/>
    <m/>
    <m/>
    <m/>
    <m/>
    <m/>
    <m/>
    <m/>
    <m/>
    <m/>
    <m/>
    <m/>
    <n v="0"/>
    <n v="59760000"/>
    <n v="13107.735230767204"/>
  </r>
  <r>
    <x v="0"/>
    <n v="2024"/>
    <x v="2"/>
    <s v="GD"/>
    <x v="12"/>
    <s v="URT_GD: General Distribution"/>
    <m/>
    <m/>
    <s v="Antananarivo"/>
    <x v="4"/>
    <m/>
    <s v="SAVA"/>
    <x v="37"/>
    <s v="CARE"/>
    <s v="Bemanevika"/>
    <m/>
    <m/>
    <m/>
    <n v="4290"/>
    <n v="858"/>
    <x v="0"/>
    <m/>
    <n v="15"/>
    <m/>
    <m/>
    <m/>
    <m/>
    <m/>
    <m/>
    <m/>
    <m/>
    <m/>
    <m/>
    <m/>
    <m/>
    <n v="0"/>
    <n v="102960000"/>
    <n v="22583.206481924222"/>
  </r>
  <r>
    <x v="0"/>
    <n v="2024"/>
    <x v="2"/>
    <s v="GD"/>
    <x v="12"/>
    <s v="URT_GD: General Distribution"/>
    <m/>
    <m/>
    <s v="Antananarivo"/>
    <x v="4"/>
    <m/>
    <s v="SAVA"/>
    <x v="37"/>
    <s v="CARE"/>
    <s v="Tanambao Daoud "/>
    <m/>
    <m/>
    <m/>
    <n v="3745"/>
    <n v="749"/>
    <x v="0"/>
    <m/>
    <n v="15"/>
    <m/>
    <m/>
    <m/>
    <m/>
    <m/>
    <m/>
    <m/>
    <m/>
    <m/>
    <m/>
    <m/>
    <m/>
    <n v="0"/>
    <n v="89880000"/>
    <n v="19714.24435310168"/>
  </r>
  <r>
    <x v="0"/>
    <n v="2024"/>
    <x v="2"/>
    <s v="GD"/>
    <x v="12"/>
    <s v="URT_GD: General Distribution"/>
    <m/>
    <m/>
    <s v="Antananarivo"/>
    <x v="4"/>
    <m/>
    <s v="SAVA"/>
    <x v="37"/>
    <s v="CARE"/>
    <s v="Nosiarina "/>
    <m/>
    <m/>
    <m/>
    <n v="1785"/>
    <n v="357"/>
    <x v="0"/>
    <m/>
    <n v="15"/>
    <m/>
    <m/>
    <m/>
    <m/>
    <m/>
    <m/>
    <m/>
    <m/>
    <m/>
    <m/>
    <m/>
    <m/>
    <n v="0"/>
    <n v="42840000"/>
    <n v="9396.5089907307065"/>
  </r>
  <r>
    <x v="0"/>
    <n v="2024"/>
    <x v="2"/>
    <s v="GD"/>
    <x v="12"/>
    <s v="URT_GD: General Distribution"/>
    <m/>
    <m/>
    <s v="Antananarivo"/>
    <x v="4"/>
    <m/>
    <s v="SAVA"/>
    <x v="36"/>
    <s v="CARE"/>
    <s v="Ampondra "/>
    <m/>
    <m/>
    <m/>
    <n v="7070"/>
    <n v="1414"/>
    <x v="0"/>
    <m/>
    <n v="15"/>
    <m/>
    <m/>
    <m/>
    <m/>
    <m/>
    <m/>
    <m/>
    <m/>
    <m/>
    <m/>
    <m/>
    <m/>
    <n v="0"/>
    <n v="169680000"/>
    <n v="37217.545414266722"/>
  </r>
  <r>
    <x v="0"/>
    <n v="2024"/>
    <x v="2"/>
    <s v="GD"/>
    <x v="12"/>
    <s v="URT_GD: General Distribution"/>
    <m/>
    <m/>
    <s v="Antananarivo"/>
    <x v="4"/>
    <m/>
    <s v="SAVA"/>
    <x v="36"/>
    <s v="CARE"/>
    <s v="Andravory "/>
    <m/>
    <m/>
    <m/>
    <n v="1415"/>
    <n v="283"/>
    <x v="0"/>
    <m/>
    <n v="15"/>
    <m/>
    <m/>
    <m/>
    <m/>
    <m/>
    <m/>
    <m/>
    <m/>
    <m/>
    <m/>
    <m/>
    <m/>
    <n v="0"/>
    <n v="33960000"/>
    <n v="7448.7732335484316"/>
  </r>
  <r>
    <x v="0"/>
    <n v="2024"/>
    <x v="2"/>
    <s v="GD"/>
    <x v="12"/>
    <s v="URT_GD: General Distribution"/>
    <m/>
    <m/>
    <s v="Antananarivo"/>
    <x v="4"/>
    <m/>
    <s v="SAVA"/>
    <x v="36"/>
    <s v="CARE"/>
    <s v="Tsarabaria "/>
    <m/>
    <m/>
    <m/>
    <n v="8710"/>
    <n v="1742"/>
    <x v="0"/>
    <m/>
    <n v="15"/>
    <m/>
    <m/>
    <m/>
    <m/>
    <m/>
    <m/>
    <m/>
    <m/>
    <m/>
    <m/>
    <m/>
    <m/>
    <n v="0"/>
    <n v="209040000"/>
    <n v="45850.752554209779"/>
  </r>
  <r>
    <x v="0"/>
    <n v="2024"/>
    <x v="2"/>
    <s v="GD"/>
    <x v="12"/>
    <s v="URT_GD: General Distribution"/>
    <m/>
    <m/>
    <s v="Antananarivo"/>
    <x v="4"/>
    <m/>
    <s v="SAVA"/>
    <x v="36"/>
    <s v="CARE"/>
    <s v="Ambodisambalahy"/>
    <m/>
    <m/>
    <m/>
    <n v="3750"/>
    <n v="750"/>
    <x v="0"/>
    <m/>
    <n v="15"/>
    <m/>
    <m/>
    <m/>
    <m/>
    <m/>
    <m/>
    <m/>
    <m/>
    <m/>
    <m/>
    <m/>
    <m/>
    <n v="0"/>
    <n v="90000000"/>
    <n v="19740.565106577116"/>
  </r>
  <r>
    <x v="0"/>
    <n v="2024"/>
    <x v="2"/>
    <s v="GD"/>
    <x v="12"/>
    <s v="URT_GD: General Distribution"/>
    <m/>
    <m/>
    <s v="Antananarivo"/>
    <x v="4"/>
    <m/>
    <s v="SAVA"/>
    <x v="36"/>
    <s v="CARE"/>
    <s v="Ampisikinana"/>
    <m/>
    <m/>
    <m/>
    <n v="2830"/>
    <n v="566"/>
    <x v="0"/>
    <m/>
    <n v="15"/>
    <m/>
    <m/>
    <m/>
    <m/>
    <m/>
    <m/>
    <m/>
    <m/>
    <m/>
    <m/>
    <m/>
    <m/>
    <n v="0"/>
    <n v="67920000"/>
    <n v="14897.546467096863"/>
  </r>
  <r>
    <x v="0"/>
    <n v="2024"/>
    <x v="2"/>
    <s v="GD"/>
    <x v="12"/>
    <s v="URT_GD: General Distribution"/>
    <m/>
    <m/>
    <s v="Antananarivo"/>
    <x v="4"/>
    <m/>
    <s v="SAVA"/>
    <x v="36"/>
    <s v="CARE"/>
    <s v="Nosibe"/>
    <m/>
    <m/>
    <m/>
    <n v="3760"/>
    <n v="752"/>
    <x v="0"/>
    <m/>
    <n v="15"/>
    <m/>
    <m/>
    <m/>
    <m/>
    <m/>
    <m/>
    <m/>
    <m/>
    <m/>
    <m/>
    <m/>
    <m/>
    <n v="0"/>
    <n v="90240000"/>
    <n v="19793.206613527989"/>
  </r>
  <r>
    <x v="0"/>
    <n v="2024"/>
    <x v="2"/>
    <s v="GD"/>
    <x v="12"/>
    <s v="URT_GD: General Distribution"/>
    <m/>
    <m/>
    <s v="Antananarivo"/>
    <x v="4"/>
    <m/>
    <s v="SAVA"/>
    <x v="36"/>
    <s v="CARE"/>
    <s v="Milanoa"/>
    <m/>
    <m/>
    <m/>
    <n v="4940"/>
    <n v="988"/>
    <x v="0"/>
    <m/>
    <n v="15"/>
    <m/>
    <m/>
    <m/>
    <m/>
    <m/>
    <m/>
    <m/>
    <m/>
    <m/>
    <m/>
    <m/>
    <m/>
    <n v="0"/>
    <n v="118560000"/>
    <n v="26004.904433730921"/>
  </r>
  <r>
    <x v="0"/>
    <n v="2024"/>
    <x v="2"/>
    <s v="GD"/>
    <x v="12"/>
    <s v="URT_GD: General Distribution"/>
    <m/>
    <m/>
    <s v="Antananarivo"/>
    <x v="4"/>
    <m/>
    <s v="SAVA"/>
    <x v="36"/>
    <s v="CARE"/>
    <s v="Ambinanin'Andravory"/>
    <m/>
    <m/>
    <m/>
    <n v="3965"/>
    <n v="793"/>
    <x v="0"/>
    <m/>
    <n v="15"/>
    <m/>
    <m/>
    <m/>
    <m/>
    <m/>
    <m/>
    <m/>
    <m/>
    <m/>
    <m/>
    <m/>
    <m/>
    <n v="0"/>
    <n v="95160000"/>
    <n v="20872.357506020871"/>
  </r>
  <r>
    <x v="0"/>
    <n v="2024"/>
    <x v="2"/>
    <s v="GD"/>
    <x v="12"/>
    <s v="URT_GD: General Distribution"/>
    <m/>
    <m/>
    <s v="Antananarivo"/>
    <x v="4"/>
    <m/>
    <s v="SAVA"/>
    <x v="36"/>
    <s v="CARE"/>
    <s v="Andrafainkona"/>
    <m/>
    <m/>
    <m/>
    <n v="2235"/>
    <n v="447"/>
    <x v="0"/>
    <m/>
    <n v="15"/>
    <m/>
    <m/>
    <m/>
    <m/>
    <m/>
    <m/>
    <m/>
    <m/>
    <m/>
    <m/>
    <m/>
    <m/>
    <n v="0"/>
    <n v="53640000"/>
    <n v="11765.376803519961"/>
  </r>
  <r>
    <x v="0"/>
    <n v="2024"/>
    <x v="2"/>
    <s v="GD"/>
    <x v="12"/>
    <s v="URT_GD: General Distribution"/>
    <m/>
    <m/>
    <s v="Antananarivo"/>
    <x v="4"/>
    <m/>
    <s v="SAVA"/>
    <x v="36"/>
    <s v="CARE"/>
    <s v="Belambo"/>
    <m/>
    <m/>
    <m/>
    <n v="3135"/>
    <n v="627"/>
    <x v="0"/>
    <m/>
    <n v="15"/>
    <m/>
    <m/>
    <m/>
    <m/>
    <m/>
    <m/>
    <m/>
    <m/>
    <m/>
    <m/>
    <m/>
    <m/>
    <n v="0"/>
    <n v="75240000"/>
    <n v="16503.11242909847"/>
  </r>
  <r>
    <x v="0"/>
    <n v="2024"/>
    <x v="2"/>
    <s v="GD"/>
    <x v="12"/>
    <s v="URT_GD: General Distribution"/>
    <m/>
    <m/>
    <s v="Antananarivo"/>
    <x v="4"/>
    <m/>
    <s v="SAVA"/>
    <x v="36"/>
    <s v="CARE"/>
    <s v="Antsirabe Nord"/>
    <m/>
    <m/>
    <m/>
    <n v="9790"/>
    <n v="1958"/>
    <x v="0"/>
    <m/>
    <n v="15"/>
    <m/>
    <m/>
    <m/>
    <m/>
    <m/>
    <m/>
    <m/>
    <m/>
    <m/>
    <m/>
    <m/>
    <m/>
    <n v="0"/>
    <n v="234960000"/>
    <n v="51536.035304903991"/>
  </r>
  <r>
    <x v="0"/>
    <n v="2024"/>
    <x v="2"/>
    <s v="GD"/>
    <x v="12"/>
    <s v="URT_GD: General Distribution"/>
    <m/>
    <m/>
    <s v="Antananarivo"/>
    <x v="4"/>
    <m/>
    <s v="SAVA"/>
    <x v="36"/>
    <s v="CARE"/>
    <s v="Ambalasatrana"/>
    <m/>
    <m/>
    <m/>
    <n v="2000"/>
    <n v="400"/>
    <x v="0"/>
    <m/>
    <n v="15"/>
    <m/>
    <m/>
    <m/>
    <m/>
    <m/>
    <m/>
    <m/>
    <m/>
    <m/>
    <m/>
    <m/>
    <m/>
    <n v="0"/>
    <n v="48000000"/>
    <n v="10528.301390174462"/>
  </r>
  <r>
    <x v="0"/>
    <n v="2024"/>
    <x v="2"/>
    <s v="GD"/>
    <x v="12"/>
    <s v="URT_GD: General Distribution"/>
    <m/>
    <m/>
    <s v="Antananarivo"/>
    <x v="4"/>
    <m/>
    <s v="SAVA"/>
    <x v="36"/>
    <s v="CARE"/>
    <s v="Amboriala"/>
    <m/>
    <m/>
    <m/>
    <n v="2130"/>
    <n v="426"/>
    <x v="0"/>
    <m/>
    <n v="15"/>
    <m/>
    <m/>
    <m/>
    <m/>
    <m/>
    <m/>
    <m/>
    <m/>
    <m/>
    <m/>
    <m/>
    <m/>
    <n v="0"/>
    <n v="51120000"/>
    <n v="11212.640980535802"/>
  </r>
  <r>
    <x v="1"/>
    <n v="2024"/>
    <x v="2"/>
    <s v="GD"/>
    <x v="12"/>
    <s v="URT_GD: General Distribution"/>
    <m/>
    <m/>
    <s v="Antananarivo"/>
    <x v="4"/>
    <m/>
    <s v="SAVA"/>
    <x v="36"/>
    <s v="CARE"/>
    <s v="Bobakindro "/>
    <m/>
    <m/>
    <m/>
    <n v="4020"/>
    <n v="804"/>
    <x v="1"/>
    <m/>
    <n v="15"/>
    <n v="24.12"/>
    <m/>
    <m/>
    <m/>
    <n v="3.6179999999999999"/>
    <n v="2.1105"/>
    <m/>
    <m/>
    <m/>
    <m/>
    <m/>
    <m/>
    <n v="29.848500000000001"/>
    <m/>
    <m/>
  </r>
  <r>
    <x v="1"/>
    <n v="2024"/>
    <x v="2"/>
    <s v="GD"/>
    <x v="12"/>
    <s v="URT_GD: General Distribution"/>
    <m/>
    <m/>
    <s v="Antananarivo"/>
    <x v="4"/>
    <m/>
    <s v="SAVA"/>
    <x v="37"/>
    <s v="CARE"/>
    <s v="Analamaho"/>
    <m/>
    <m/>
    <m/>
    <n v="2490"/>
    <n v="498"/>
    <x v="1"/>
    <m/>
    <n v="15"/>
    <n v="14.94"/>
    <m/>
    <m/>
    <m/>
    <n v="2.2410000000000001"/>
    <n v="1.30725"/>
    <m/>
    <m/>
    <m/>
    <m/>
    <m/>
    <m/>
    <n v="18.488250000000001"/>
    <m/>
    <n v="0"/>
  </r>
  <r>
    <x v="1"/>
    <n v="2024"/>
    <x v="2"/>
    <s v="GD"/>
    <x v="12"/>
    <s v="URT_GD: General Distribution"/>
    <m/>
    <m/>
    <s v="Antananarivo"/>
    <x v="4"/>
    <m/>
    <s v="SAVA"/>
    <x v="37"/>
    <s v="CARE"/>
    <s v="Bemanevika"/>
    <m/>
    <m/>
    <m/>
    <n v="4290"/>
    <n v="858"/>
    <x v="1"/>
    <m/>
    <n v="15"/>
    <n v="25.74"/>
    <m/>
    <m/>
    <m/>
    <n v="3.8610000000000002"/>
    <n v="2.2522500000000001"/>
    <m/>
    <m/>
    <m/>
    <m/>
    <m/>
    <m/>
    <n v="31.853249999999999"/>
    <m/>
    <n v="0"/>
  </r>
  <r>
    <x v="1"/>
    <n v="2024"/>
    <x v="2"/>
    <s v="GD"/>
    <x v="12"/>
    <s v="URT_GD: General Distribution"/>
    <m/>
    <m/>
    <s v="Antananarivo"/>
    <x v="4"/>
    <m/>
    <s v="SAVA"/>
    <x v="37"/>
    <s v="CARE"/>
    <s v="Tanambao Daoud "/>
    <m/>
    <m/>
    <m/>
    <n v="3745"/>
    <n v="749"/>
    <x v="1"/>
    <m/>
    <n v="15"/>
    <n v="22.47"/>
    <m/>
    <m/>
    <m/>
    <n v="3.3704999999999998"/>
    <n v="1.9661249999999999"/>
    <m/>
    <m/>
    <m/>
    <m/>
    <m/>
    <m/>
    <n v="27.806624999999997"/>
    <m/>
    <n v="0"/>
  </r>
  <r>
    <x v="1"/>
    <n v="2024"/>
    <x v="2"/>
    <s v="GD"/>
    <x v="12"/>
    <s v="URT_GD: General Distribution"/>
    <m/>
    <m/>
    <s v="Antananarivo"/>
    <x v="4"/>
    <m/>
    <s v="SAVA"/>
    <x v="37"/>
    <s v="CARE"/>
    <s v="Nosiarina "/>
    <m/>
    <m/>
    <m/>
    <n v="1785"/>
    <n v="357"/>
    <x v="1"/>
    <m/>
    <n v="15"/>
    <n v="10.71"/>
    <m/>
    <m/>
    <m/>
    <n v="1.6065"/>
    <n v="0.93712499999999999"/>
    <m/>
    <m/>
    <m/>
    <m/>
    <m/>
    <m/>
    <n v="13.253625000000001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pondra "/>
    <m/>
    <m/>
    <m/>
    <n v="7070"/>
    <n v="1414"/>
    <x v="1"/>
    <m/>
    <n v="15"/>
    <n v="42.42"/>
    <m/>
    <m/>
    <m/>
    <n v="6.3630000000000004"/>
    <n v="3.7117499999999999"/>
    <m/>
    <m/>
    <m/>
    <m/>
    <m/>
    <m/>
    <n v="52.494750000000003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ndravory "/>
    <m/>
    <m/>
    <m/>
    <n v="1415"/>
    <n v="283"/>
    <x v="0"/>
    <m/>
    <n v="15"/>
    <m/>
    <m/>
    <m/>
    <m/>
    <m/>
    <m/>
    <m/>
    <m/>
    <m/>
    <m/>
    <m/>
    <m/>
    <n v="0"/>
    <n v="33960000"/>
    <n v="7448.7732335484316"/>
  </r>
  <r>
    <x v="1"/>
    <n v="2024"/>
    <x v="2"/>
    <s v="GD"/>
    <x v="12"/>
    <s v="URT_GD: General Distribution"/>
    <m/>
    <m/>
    <s v="Antananarivo"/>
    <x v="4"/>
    <m/>
    <s v="SAVA"/>
    <x v="36"/>
    <s v="CARE"/>
    <s v="Tsarabaria "/>
    <m/>
    <m/>
    <m/>
    <n v="8710"/>
    <n v="1742"/>
    <x v="1"/>
    <m/>
    <n v="15"/>
    <n v="52.26"/>
    <m/>
    <m/>
    <m/>
    <n v="7.8390000000000004"/>
    <n v="4.5727500000000001"/>
    <m/>
    <m/>
    <m/>
    <m/>
    <m/>
    <m/>
    <n v="64.671750000000003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bodisambalahy"/>
    <m/>
    <m/>
    <m/>
    <n v="3750"/>
    <n v="750"/>
    <x v="1"/>
    <m/>
    <n v="15"/>
    <n v="22.5"/>
    <m/>
    <m/>
    <m/>
    <n v="3.375"/>
    <n v="1.96875"/>
    <m/>
    <m/>
    <m/>
    <m/>
    <m/>
    <m/>
    <n v="27.84375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pisikinana"/>
    <m/>
    <m/>
    <m/>
    <n v="2830"/>
    <n v="566"/>
    <x v="1"/>
    <m/>
    <n v="15"/>
    <n v="16.98"/>
    <m/>
    <m/>
    <m/>
    <n v="2.5470000000000002"/>
    <n v="1.4857499999999999"/>
    <m/>
    <m/>
    <m/>
    <m/>
    <m/>
    <m/>
    <n v="21.01275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Nosibe"/>
    <m/>
    <m/>
    <m/>
    <n v="3760"/>
    <n v="752"/>
    <x v="1"/>
    <m/>
    <n v="15"/>
    <n v="22.56"/>
    <m/>
    <m/>
    <m/>
    <n v="3.3839999999999999"/>
    <n v="1.974"/>
    <m/>
    <m/>
    <m/>
    <m/>
    <m/>
    <m/>
    <n v="27.917999999999999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Milanoa"/>
    <m/>
    <m/>
    <m/>
    <n v="4940"/>
    <n v="988"/>
    <x v="1"/>
    <m/>
    <n v="15"/>
    <n v="29.64"/>
    <m/>
    <m/>
    <m/>
    <n v="4.4459999999999997"/>
    <n v="2.5935000000000001"/>
    <m/>
    <m/>
    <m/>
    <m/>
    <m/>
    <m/>
    <n v="36.679499999999997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binanin'Andravory"/>
    <m/>
    <m/>
    <m/>
    <n v="3965"/>
    <n v="793"/>
    <x v="1"/>
    <m/>
    <n v="15"/>
    <n v="23.79"/>
    <m/>
    <m/>
    <m/>
    <n v="3.5684999999999998"/>
    <n v="2.0816249999999998"/>
    <m/>
    <m/>
    <m/>
    <m/>
    <m/>
    <m/>
    <n v="29.440124999999998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ndrafainkona"/>
    <m/>
    <m/>
    <m/>
    <n v="2235"/>
    <n v="447"/>
    <x v="1"/>
    <m/>
    <n v="15"/>
    <n v="13.41"/>
    <m/>
    <m/>
    <m/>
    <n v="2.0114999999999998"/>
    <n v="1.1733750000000001"/>
    <m/>
    <m/>
    <m/>
    <m/>
    <m/>
    <m/>
    <n v="16.594875000000002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Belambo"/>
    <m/>
    <m/>
    <m/>
    <n v="3135"/>
    <n v="627"/>
    <x v="1"/>
    <m/>
    <n v="15"/>
    <n v="18.809999999999999"/>
    <m/>
    <m/>
    <m/>
    <n v="2.8214999999999999"/>
    <n v="1.645875"/>
    <m/>
    <m/>
    <m/>
    <m/>
    <m/>
    <m/>
    <n v="23.277374999999999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ntsirabe Nord"/>
    <m/>
    <m/>
    <m/>
    <n v="9790"/>
    <n v="1958"/>
    <x v="1"/>
    <m/>
    <n v="15"/>
    <n v="58.74"/>
    <m/>
    <m/>
    <m/>
    <n v="8.8109999999999999"/>
    <n v="5.1397500000000003"/>
    <m/>
    <m/>
    <m/>
    <m/>
    <m/>
    <m/>
    <n v="72.690750000000008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balasatrana"/>
    <m/>
    <m/>
    <m/>
    <n v="2000"/>
    <n v="400"/>
    <x v="1"/>
    <m/>
    <n v="15"/>
    <n v="12"/>
    <m/>
    <m/>
    <m/>
    <n v="1.8"/>
    <n v="1.05"/>
    <m/>
    <m/>
    <m/>
    <m/>
    <m/>
    <m/>
    <n v="14.850000000000001"/>
    <m/>
    <n v="0"/>
  </r>
  <r>
    <x v="1"/>
    <n v="2024"/>
    <x v="2"/>
    <s v="GD"/>
    <x v="12"/>
    <s v="URT_GD: General Distribution"/>
    <m/>
    <m/>
    <s v="Antananarivo"/>
    <x v="4"/>
    <m/>
    <s v="SAVA"/>
    <x v="36"/>
    <s v="CARE"/>
    <s v="Amboriala"/>
    <m/>
    <m/>
    <m/>
    <n v="2130"/>
    <n v="426"/>
    <x v="1"/>
    <m/>
    <n v="15"/>
    <n v="12.78"/>
    <m/>
    <m/>
    <m/>
    <n v="1.917"/>
    <n v="1.11825"/>
    <m/>
    <m/>
    <m/>
    <m/>
    <m/>
    <m/>
    <n v="15.815249999999999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Bobakindro "/>
    <m/>
    <m/>
    <n v="241.2"/>
    <n v="241.2"/>
    <m/>
    <x v="1"/>
    <m/>
    <n v="120"/>
    <m/>
    <m/>
    <m/>
    <m/>
    <m/>
    <m/>
    <m/>
    <m/>
    <m/>
    <m/>
    <n v="1.4472"/>
    <m/>
    <n v="1.4472"/>
    <m/>
    <m/>
  </r>
  <r>
    <x v="0"/>
    <n v="2024"/>
    <x v="2"/>
    <s v="Nutrition"/>
    <x v="13"/>
    <s v="URT_GD: General Distribution"/>
    <m/>
    <m/>
    <s v="Antananarivo"/>
    <x v="4"/>
    <m/>
    <s v="SAVA"/>
    <x v="37"/>
    <s v="CARE"/>
    <s v="Analamaho"/>
    <m/>
    <m/>
    <n v="149.4"/>
    <n v="149.4"/>
    <m/>
    <x v="1"/>
    <m/>
    <n v="120"/>
    <m/>
    <m/>
    <m/>
    <m/>
    <m/>
    <m/>
    <m/>
    <m/>
    <m/>
    <m/>
    <n v="0.89639999999999997"/>
    <m/>
    <n v="0.89639999999999997"/>
    <m/>
    <n v="0"/>
  </r>
  <r>
    <x v="0"/>
    <n v="2024"/>
    <x v="2"/>
    <s v="Nutrition"/>
    <x v="13"/>
    <s v="URT_GD: General Distribution"/>
    <m/>
    <m/>
    <s v="Antananarivo"/>
    <x v="4"/>
    <m/>
    <s v="SAVA"/>
    <x v="37"/>
    <s v="CARE"/>
    <s v="Bemanevika"/>
    <m/>
    <m/>
    <n v="257.39999999999998"/>
    <n v="257.39999999999998"/>
    <m/>
    <x v="1"/>
    <m/>
    <n v="120"/>
    <m/>
    <m/>
    <m/>
    <m/>
    <m/>
    <m/>
    <m/>
    <m/>
    <m/>
    <m/>
    <n v="1.5443999999999998"/>
    <m/>
    <n v="1.5443999999999998"/>
    <m/>
    <n v="0"/>
  </r>
  <r>
    <x v="0"/>
    <n v="2024"/>
    <x v="2"/>
    <s v="Nutrition"/>
    <x v="13"/>
    <s v="URT_GD: General Distribution"/>
    <m/>
    <m/>
    <s v="Antananarivo"/>
    <x v="4"/>
    <m/>
    <s v="SAVA"/>
    <x v="37"/>
    <s v="CARE"/>
    <s v="Tanambao Daoud "/>
    <m/>
    <m/>
    <n v="224.7"/>
    <n v="224.7"/>
    <m/>
    <x v="1"/>
    <m/>
    <n v="120"/>
    <m/>
    <m/>
    <m/>
    <m/>
    <m/>
    <m/>
    <m/>
    <m/>
    <m/>
    <m/>
    <n v="1.3482000000000001"/>
    <m/>
    <n v="1.3482000000000001"/>
    <m/>
    <n v="0"/>
  </r>
  <r>
    <x v="0"/>
    <n v="2024"/>
    <x v="2"/>
    <s v="Nutrition"/>
    <x v="13"/>
    <s v="URT_GD: General Distribution"/>
    <m/>
    <m/>
    <s v="Antananarivo"/>
    <x v="4"/>
    <m/>
    <s v="SAVA"/>
    <x v="37"/>
    <s v="CARE"/>
    <s v="Nosiarina "/>
    <m/>
    <m/>
    <n v="107.1"/>
    <n v="107.1"/>
    <m/>
    <x v="1"/>
    <m/>
    <n v="120"/>
    <m/>
    <m/>
    <m/>
    <m/>
    <m/>
    <m/>
    <m/>
    <m/>
    <m/>
    <m/>
    <n v="0.64259999999999995"/>
    <m/>
    <n v="0.64259999999999995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pondra "/>
    <m/>
    <m/>
    <n v="424.2"/>
    <n v="424.2"/>
    <m/>
    <x v="1"/>
    <m/>
    <n v="120"/>
    <m/>
    <m/>
    <m/>
    <m/>
    <m/>
    <m/>
    <m/>
    <m/>
    <m/>
    <m/>
    <n v="2.5451999999999999"/>
    <m/>
    <n v="2.5451999999999999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ndravory "/>
    <m/>
    <m/>
    <n v="84.899999999999991"/>
    <n v="84.899999999999991"/>
    <m/>
    <x v="1"/>
    <m/>
    <n v="120"/>
    <m/>
    <m/>
    <m/>
    <m/>
    <m/>
    <m/>
    <m/>
    <m/>
    <m/>
    <m/>
    <n v="0.50939999999999985"/>
    <m/>
    <n v="0.50939999999999985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Tsarabaria "/>
    <m/>
    <m/>
    <n v="522.6"/>
    <n v="522.6"/>
    <m/>
    <x v="1"/>
    <m/>
    <n v="120"/>
    <m/>
    <m/>
    <m/>
    <m/>
    <m/>
    <m/>
    <m/>
    <m/>
    <m/>
    <m/>
    <n v="3.1356000000000002"/>
    <m/>
    <n v="3.1356000000000002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bodisambalahy"/>
    <m/>
    <m/>
    <n v="225"/>
    <n v="225"/>
    <m/>
    <x v="1"/>
    <m/>
    <n v="120"/>
    <m/>
    <m/>
    <m/>
    <m/>
    <m/>
    <m/>
    <m/>
    <m/>
    <m/>
    <m/>
    <n v="1.35"/>
    <m/>
    <n v="1.35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pisikinana"/>
    <m/>
    <m/>
    <n v="169.79999999999998"/>
    <n v="169.79999999999998"/>
    <m/>
    <x v="1"/>
    <m/>
    <n v="120"/>
    <m/>
    <m/>
    <m/>
    <m/>
    <m/>
    <m/>
    <m/>
    <m/>
    <m/>
    <m/>
    <n v="1.0187999999999997"/>
    <m/>
    <n v="1.0187999999999997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Nosibe"/>
    <m/>
    <m/>
    <n v="225.6"/>
    <n v="225.6"/>
    <m/>
    <x v="1"/>
    <m/>
    <n v="120"/>
    <m/>
    <m/>
    <m/>
    <m/>
    <m/>
    <m/>
    <m/>
    <m/>
    <m/>
    <m/>
    <n v="1.3535999999999999"/>
    <m/>
    <n v="1.3535999999999999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Milanoa"/>
    <m/>
    <m/>
    <n v="296.39999999999998"/>
    <n v="296.39999999999998"/>
    <m/>
    <x v="1"/>
    <m/>
    <n v="120"/>
    <m/>
    <m/>
    <m/>
    <m/>
    <m/>
    <m/>
    <m/>
    <m/>
    <m/>
    <m/>
    <n v="1.7784"/>
    <m/>
    <n v="1.7784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binanin'Andravory"/>
    <m/>
    <m/>
    <n v="237.89999999999998"/>
    <n v="237.89999999999998"/>
    <m/>
    <x v="1"/>
    <m/>
    <n v="120"/>
    <m/>
    <m/>
    <m/>
    <m/>
    <m/>
    <m/>
    <m/>
    <m/>
    <m/>
    <m/>
    <n v="1.4273999999999998"/>
    <m/>
    <n v="1.4273999999999998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ndrafainkona"/>
    <m/>
    <m/>
    <n v="134.1"/>
    <n v="134.1"/>
    <m/>
    <x v="1"/>
    <m/>
    <n v="120"/>
    <m/>
    <m/>
    <m/>
    <m/>
    <m/>
    <m/>
    <m/>
    <m/>
    <m/>
    <m/>
    <n v="0.80459999999999998"/>
    <m/>
    <n v="0.80459999999999998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Belambo"/>
    <m/>
    <m/>
    <n v="188.1"/>
    <n v="188.1"/>
    <m/>
    <x v="1"/>
    <m/>
    <n v="120"/>
    <m/>
    <m/>
    <m/>
    <m/>
    <m/>
    <m/>
    <m/>
    <m/>
    <m/>
    <m/>
    <n v="1.1286"/>
    <m/>
    <n v="1.1286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ntsirabe Nord"/>
    <m/>
    <m/>
    <n v="587.4"/>
    <n v="587.4"/>
    <m/>
    <x v="1"/>
    <m/>
    <n v="120"/>
    <m/>
    <m/>
    <m/>
    <m/>
    <m/>
    <m/>
    <m/>
    <m/>
    <m/>
    <m/>
    <n v="3.5244"/>
    <m/>
    <n v="3.5244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balasatrana"/>
    <m/>
    <m/>
    <n v="120"/>
    <n v="120"/>
    <m/>
    <x v="1"/>
    <m/>
    <n v="120"/>
    <m/>
    <m/>
    <m/>
    <m/>
    <m/>
    <m/>
    <m/>
    <m/>
    <m/>
    <m/>
    <n v="0.72"/>
    <m/>
    <n v="0.72"/>
    <m/>
    <n v="0"/>
  </r>
  <r>
    <x v="0"/>
    <n v="2024"/>
    <x v="2"/>
    <s v="Nutrition"/>
    <x v="13"/>
    <s v="URT_GD: General Distribution"/>
    <m/>
    <m/>
    <s v="Antananarivo"/>
    <x v="4"/>
    <m/>
    <s v="SAVA"/>
    <x v="36"/>
    <s v="CARE"/>
    <s v="Amboriala"/>
    <m/>
    <m/>
    <n v="127.8"/>
    <n v="127.8"/>
    <m/>
    <x v="1"/>
    <m/>
    <n v="120"/>
    <m/>
    <m/>
    <m/>
    <m/>
    <m/>
    <m/>
    <m/>
    <m/>
    <m/>
    <m/>
    <n v="0.76680000000000004"/>
    <m/>
    <n v="0.76680000000000004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Bobakindro "/>
    <m/>
    <m/>
    <n v="201"/>
    <n v="201"/>
    <m/>
    <x v="1"/>
    <m/>
    <n v="120"/>
    <m/>
    <m/>
    <m/>
    <m/>
    <m/>
    <n v="0.4824"/>
    <m/>
    <m/>
    <n v="4.8239999999999998"/>
    <m/>
    <m/>
    <m/>
    <n v="5.3064"/>
    <m/>
    <m/>
  </r>
  <r>
    <x v="0"/>
    <n v="2024"/>
    <x v="2"/>
    <s v="Nutrition"/>
    <x v="14"/>
    <s v="URT_PREV:Prevention of acute malnutrition"/>
    <m/>
    <m/>
    <s v="Antananarivo"/>
    <x v="4"/>
    <m/>
    <s v="SAVA"/>
    <x v="37"/>
    <s v="CARE"/>
    <s v="Analamaho"/>
    <m/>
    <m/>
    <n v="124.5"/>
    <n v="124.5"/>
    <m/>
    <x v="1"/>
    <m/>
    <n v="120"/>
    <m/>
    <m/>
    <m/>
    <m/>
    <m/>
    <n v="0.29880000000000001"/>
    <m/>
    <m/>
    <n v="2.988"/>
    <m/>
    <m/>
    <m/>
    <n v="3.2867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7"/>
    <s v="CARE"/>
    <s v="Bemanevika"/>
    <m/>
    <m/>
    <n v="214.5"/>
    <n v="214.5"/>
    <m/>
    <x v="1"/>
    <m/>
    <n v="120"/>
    <m/>
    <m/>
    <m/>
    <m/>
    <m/>
    <n v="0.51480000000000004"/>
    <m/>
    <m/>
    <n v="5.1479999999999997"/>
    <m/>
    <m/>
    <m/>
    <n v="5.6627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7"/>
    <s v="CARE"/>
    <s v="Tanambao Daoud "/>
    <m/>
    <m/>
    <n v="187.25"/>
    <n v="187.25"/>
    <m/>
    <x v="1"/>
    <m/>
    <n v="120"/>
    <m/>
    <m/>
    <m/>
    <m/>
    <m/>
    <n v="0.44940000000000002"/>
    <m/>
    <m/>
    <n v="4.4939999999999998"/>
    <m/>
    <m/>
    <m/>
    <n v="4.9433999999999996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7"/>
    <s v="CARE"/>
    <s v="Nosiarina "/>
    <m/>
    <m/>
    <n v="89.25"/>
    <n v="89.25"/>
    <m/>
    <x v="1"/>
    <m/>
    <n v="120"/>
    <m/>
    <m/>
    <m/>
    <m/>
    <m/>
    <n v="0.2142"/>
    <m/>
    <m/>
    <n v="2.1419999999999999"/>
    <m/>
    <m/>
    <m/>
    <n v="2.3561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pondra "/>
    <m/>
    <m/>
    <n v="353.5"/>
    <n v="353.5"/>
    <m/>
    <x v="1"/>
    <m/>
    <n v="120"/>
    <m/>
    <m/>
    <m/>
    <m/>
    <m/>
    <n v="0.84840000000000004"/>
    <m/>
    <m/>
    <n v="8.484"/>
    <m/>
    <m/>
    <m/>
    <n v="9.3323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ndravory "/>
    <m/>
    <m/>
    <n v="70.75"/>
    <n v="70.75"/>
    <m/>
    <x v="1"/>
    <m/>
    <n v="120"/>
    <m/>
    <m/>
    <m/>
    <m/>
    <m/>
    <n v="0.16980000000000001"/>
    <m/>
    <m/>
    <n v="1.698"/>
    <m/>
    <m/>
    <m/>
    <n v="1.8677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Tsarabaria "/>
    <m/>
    <m/>
    <n v="435.5"/>
    <n v="435.5"/>
    <m/>
    <x v="1"/>
    <m/>
    <n v="120"/>
    <m/>
    <m/>
    <m/>
    <m/>
    <m/>
    <n v="1.0451999999999999"/>
    <m/>
    <m/>
    <n v="10.452"/>
    <m/>
    <m/>
    <m/>
    <n v="11.4971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bodisambalahy"/>
    <m/>
    <m/>
    <n v="187.5"/>
    <n v="187.5"/>
    <m/>
    <x v="1"/>
    <m/>
    <n v="120"/>
    <m/>
    <m/>
    <m/>
    <m/>
    <m/>
    <n v="0.45"/>
    <m/>
    <m/>
    <n v="4.5"/>
    <m/>
    <m/>
    <m/>
    <n v="4.95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pisikinana"/>
    <m/>
    <m/>
    <n v="141.5"/>
    <n v="141.5"/>
    <m/>
    <x v="1"/>
    <m/>
    <n v="120"/>
    <m/>
    <m/>
    <m/>
    <m/>
    <m/>
    <n v="0.33960000000000001"/>
    <m/>
    <m/>
    <n v="3.3959999999999999"/>
    <m/>
    <m/>
    <m/>
    <n v="3.7355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Nosibe"/>
    <m/>
    <m/>
    <n v="188"/>
    <n v="188"/>
    <m/>
    <x v="1"/>
    <m/>
    <n v="120"/>
    <m/>
    <m/>
    <m/>
    <m/>
    <m/>
    <n v="0.45119999999999999"/>
    <m/>
    <m/>
    <n v="4.5119999999999996"/>
    <m/>
    <m/>
    <m/>
    <n v="4.9631999999999996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Milanoa"/>
    <m/>
    <m/>
    <n v="247"/>
    <n v="247"/>
    <m/>
    <x v="1"/>
    <m/>
    <n v="120"/>
    <m/>
    <m/>
    <m/>
    <m/>
    <m/>
    <n v="0.59279999999999999"/>
    <m/>
    <m/>
    <n v="5.9279999999999999"/>
    <m/>
    <m/>
    <m/>
    <n v="6.5207999999999995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binanin'Andravory"/>
    <m/>
    <m/>
    <n v="198.25"/>
    <n v="198.25"/>
    <m/>
    <x v="1"/>
    <m/>
    <n v="120"/>
    <m/>
    <m/>
    <m/>
    <m/>
    <m/>
    <n v="0.4758"/>
    <m/>
    <m/>
    <n v="4.758"/>
    <m/>
    <m/>
    <m/>
    <n v="5.2338000000000005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ndrafainkona"/>
    <m/>
    <m/>
    <n v="111.75"/>
    <n v="111.75"/>
    <m/>
    <x v="1"/>
    <m/>
    <n v="120"/>
    <m/>
    <m/>
    <m/>
    <m/>
    <m/>
    <n v="0.26819999999999999"/>
    <m/>
    <m/>
    <n v="2.6819999999999999"/>
    <m/>
    <m/>
    <m/>
    <n v="2.9501999999999997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Belambo"/>
    <m/>
    <m/>
    <n v="156.75"/>
    <n v="156.75"/>
    <m/>
    <x v="1"/>
    <m/>
    <n v="120"/>
    <m/>
    <m/>
    <m/>
    <m/>
    <m/>
    <n v="0.37619999999999998"/>
    <m/>
    <m/>
    <n v="3.762"/>
    <m/>
    <m/>
    <m/>
    <n v="4.1382000000000003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ntsirabe Nord"/>
    <m/>
    <m/>
    <n v="489.5"/>
    <n v="489.5"/>
    <m/>
    <x v="1"/>
    <m/>
    <n v="120"/>
    <m/>
    <m/>
    <m/>
    <m/>
    <m/>
    <n v="1.1748000000000001"/>
    <m/>
    <m/>
    <n v="11.747999999999999"/>
    <m/>
    <m/>
    <m/>
    <n v="12.9227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balasatrana"/>
    <m/>
    <m/>
    <n v="100"/>
    <n v="100"/>
    <m/>
    <x v="1"/>
    <m/>
    <n v="120"/>
    <m/>
    <m/>
    <m/>
    <m/>
    <m/>
    <n v="0.24"/>
    <m/>
    <m/>
    <n v="2.4"/>
    <m/>
    <m/>
    <m/>
    <n v="2.6399999999999997"/>
    <m/>
    <n v="0"/>
  </r>
  <r>
    <x v="0"/>
    <n v="2024"/>
    <x v="2"/>
    <s v="Nutrition"/>
    <x v="14"/>
    <s v="URT_PREV:Prevention of acute malnutrition"/>
    <m/>
    <m/>
    <s v="Antananarivo"/>
    <x v="4"/>
    <m/>
    <s v="SAVA"/>
    <x v="36"/>
    <s v="CARE"/>
    <s v="Amboriala"/>
    <m/>
    <m/>
    <n v="106.5"/>
    <n v="106.5"/>
    <m/>
    <x v="1"/>
    <m/>
    <n v="120"/>
    <m/>
    <m/>
    <m/>
    <m/>
    <m/>
    <n v="0.25559999999999999"/>
    <m/>
    <m/>
    <n v="2.556"/>
    <m/>
    <m/>
    <m/>
    <n v="2.8115999999999999"/>
    <m/>
    <n v="0"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  <r>
    <x v="3"/>
    <m/>
    <x v="4"/>
    <m/>
    <x v="15"/>
    <m/>
    <m/>
    <m/>
    <m/>
    <x v="5"/>
    <m/>
    <m/>
    <x v="38"/>
    <m/>
    <m/>
    <m/>
    <m/>
    <m/>
    <m/>
    <m/>
    <x v="2"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1">
  <r>
    <x v="0"/>
    <n v="2024"/>
    <x v="0"/>
    <s v="Resilience"/>
    <x v="0"/>
    <s v="FFA"/>
    <m/>
    <m/>
    <s v="AMBOSARY"/>
    <x v="0"/>
    <m/>
    <s v="Anosy"/>
    <s v="Amboasary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0"/>
    <n v="2024"/>
    <x v="0"/>
    <s v="Resilience"/>
    <x v="0"/>
    <s v="FFA"/>
    <m/>
    <m/>
    <s v="AMBOSARY"/>
    <x v="0"/>
    <m/>
    <s v="Anosy"/>
    <s v="Amboasary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0"/>
    <n v="2024"/>
    <x v="0"/>
    <s v="Resilience"/>
    <x v="0"/>
    <s v="FFA"/>
    <m/>
    <m/>
    <s v="AMBOSARY"/>
    <x v="0"/>
    <m/>
    <s v="Anosy"/>
    <s v="Amboasary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0"/>
    <n v="2024"/>
    <x v="0"/>
    <s v="Resilience"/>
    <x v="0"/>
    <s v="FFA"/>
    <m/>
    <m/>
    <s v="AMBOSARY"/>
    <x v="0"/>
    <m/>
    <s v="Anosy"/>
    <s v="Amboasary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0"/>
    <n v="2024"/>
    <x v="0"/>
    <s v="Resilience"/>
    <x v="0"/>
    <s v="FFA"/>
    <m/>
    <m/>
    <s v="Ambovombe"/>
    <x v="0"/>
    <m/>
    <s v="Androy"/>
    <s v="Ambovombe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0"/>
    <n v="2024"/>
    <x v="0"/>
    <s v="Resilience"/>
    <x v="0"/>
    <s v="FFA"/>
    <m/>
    <m/>
    <s v="Ambovombe"/>
    <x v="0"/>
    <m/>
    <s v="Androy"/>
    <s v="Ambovombe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0"/>
    <n v="2024"/>
    <x v="0"/>
    <s v="Resilience"/>
    <x v="0"/>
    <s v="FFA"/>
    <m/>
    <m/>
    <s v="Ambovombe"/>
    <x v="0"/>
    <m/>
    <s v="Androy"/>
    <s v="Ambovombe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0"/>
    <n v="2024"/>
    <x v="0"/>
    <s v="Resilience"/>
    <x v="0"/>
    <s v="FFA"/>
    <m/>
    <m/>
    <s v="Ambovombe"/>
    <x v="0"/>
    <m/>
    <s v="Androy"/>
    <s v="Ambovombe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0"/>
    <n v="2025"/>
    <x v="0"/>
    <s v="Resilience"/>
    <x v="0"/>
    <s v="FFA"/>
    <m/>
    <m/>
    <s v="Ambovombe"/>
    <x v="0"/>
    <m/>
    <s v="Androy"/>
    <s v="Ambovombe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0"/>
    <n v="2024"/>
    <x v="0"/>
    <s v="Resilience"/>
    <x v="0"/>
    <s v="FFA"/>
    <m/>
    <m/>
    <s v="Ambovombe"/>
    <x v="0"/>
    <m/>
    <s v="Androy"/>
    <s v="Ambovombe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0"/>
    <n v="2024"/>
    <x v="0"/>
    <s v="Resilience"/>
    <x v="0"/>
    <s v="FFA"/>
    <m/>
    <m/>
    <s v="Manakara"/>
    <x v="1"/>
    <m/>
    <s v="Fitovinany"/>
    <s v="Ambovombe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0"/>
    <n v="2024"/>
    <x v="0"/>
    <s v="Resilience"/>
    <x v="0"/>
    <s v="FFA"/>
    <m/>
    <m/>
    <s v="Manakara"/>
    <x v="1"/>
    <m/>
    <s v="Fitovinany"/>
    <s v="Manakara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0"/>
    <n v="2024"/>
    <x v="0"/>
    <s v="Resilience"/>
    <x v="0"/>
    <s v="FFA"/>
    <m/>
    <m/>
    <s v="Manakara"/>
    <x v="1"/>
    <m/>
    <s v="Fitovinany"/>
    <s v="Manakara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0"/>
    <n v="2024"/>
    <x v="0"/>
    <s v="Resilience"/>
    <x v="0"/>
    <s v="FFA"/>
    <m/>
    <m/>
    <s v="Manakara"/>
    <x v="1"/>
    <m/>
    <s v="Fitovinany"/>
    <s v="Manakara"/>
    <m/>
    <s v="IVATO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1"/>
    <n v="2024"/>
    <x v="0"/>
    <s v="Resilience"/>
    <x v="0"/>
    <s v="FFA"/>
    <m/>
    <m/>
    <s v="AMBOSARY"/>
    <x v="0"/>
    <m/>
    <s v="Anosy"/>
    <s v="Amboasary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1"/>
    <n v="2024"/>
    <x v="0"/>
    <s v="Resilience"/>
    <x v="0"/>
    <s v="FFA"/>
    <m/>
    <m/>
    <s v="AMBOSARY"/>
    <x v="0"/>
    <m/>
    <s v="Anosy"/>
    <s v="Amboasary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1"/>
    <n v="2024"/>
    <x v="0"/>
    <s v="Resilience"/>
    <x v="0"/>
    <s v="FFA"/>
    <m/>
    <m/>
    <s v="AMBOSARY"/>
    <x v="0"/>
    <m/>
    <s v="Anosy"/>
    <s v="Amboasary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1"/>
    <n v="2024"/>
    <x v="0"/>
    <s v="Resilience"/>
    <x v="0"/>
    <s v="FFA"/>
    <m/>
    <m/>
    <s v="AMBOSARY"/>
    <x v="0"/>
    <m/>
    <s v="Anosy"/>
    <s v="Amboasary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1"/>
    <n v="2024"/>
    <x v="0"/>
    <s v="Resilience"/>
    <x v="0"/>
    <s v="FFA"/>
    <m/>
    <m/>
    <s v="Ambovombe"/>
    <x v="0"/>
    <m/>
    <s v="Androy"/>
    <s v="Ambovombe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1"/>
    <n v="2024"/>
    <x v="0"/>
    <s v="Resilience"/>
    <x v="0"/>
    <s v="FFA"/>
    <m/>
    <m/>
    <s v="Ambovombe"/>
    <x v="0"/>
    <m/>
    <s v="Androy"/>
    <s v="Ambovombe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1"/>
    <n v="2024"/>
    <x v="0"/>
    <s v="Resilience"/>
    <x v="0"/>
    <s v="FFA"/>
    <m/>
    <m/>
    <s v="Ambovombe"/>
    <x v="0"/>
    <m/>
    <s v="Androy"/>
    <s v="Ambovombe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1"/>
    <n v="2024"/>
    <x v="0"/>
    <s v="Resilience"/>
    <x v="0"/>
    <s v="FFA"/>
    <m/>
    <m/>
    <s v="Ambovombe"/>
    <x v="0"/>
    <m/>
    <s v="Androy"/>
    <s v="Ambovombe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1"/>
    <n v="2025"/>
    <x v="0"/>
    <s v="Resilience"/>
    <x v="0"/>
    <s v="FFA"/>
    <m/>
    <m/>
    <s v="Ambovombe"/>
    <x v="0"/>
    <m/>
    <s v="Androy"/>
    <s v="Ambovombe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1"/>
    <n v="2024"/>
    <x v="0"/>
    <s v="Resilience"/>
    <x v="0"/>
    <s v="FFA"/>
    <m/>
    <m/>
    <s v="Ambovombe"/>
    <x v="0"/>
    <m/>
    <s v="Androy"/>
    <s v="Ambovombe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1"/>
    <n v="2024"/>
    <x v="0"/>
    <s v="Resilience"/>
    <x v="0"/>
    <s v="FFA"/>
    <m/>
    <m/>
    <s v="Manakara"/>
    <x v="1"/>
    <m/>
    <s v="Fitovinany"/>
    <s v="Ambovombe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1"/>
    <n v="2024"/>
    <x v="0"/>
    <s v="Resilience"/>
    <x v="0"/>
    <s v="FFA"/>
    <m/>
    <m/>
    <s v="Manakara"/>
    <x v="1"/>
    <m/>
    <s v="Fitovinany"/>
    <s v="Manakara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1"/>
    <n v="2024"/>
    <x v="0"/>
    <s v="Resilience"/>
    <x v="0"/>
    <s v="FFA"/>
    <m/>
    <m/>
    <s v="Manakara"/>
    <x v="1"/>
    <m/>
    <s v="Fitovinany"/>
    <s v="Manakara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1"/>
    <n v="2024"/>
    <x v="0"/>
    <s v="Resilience"/>
    <x v="0"/>
    <s v="FFA"/>
    <m/>
    <m/>
    <s v="Manakara"/>
    <x v="1"/>
    <m/>
    <s v="Fitovinany"/>
    <s v="Manakara"/>
    <m/>
    <s v="Vohindava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2"/>
    <n v="2024"/>
    <x v="0"/>
    <s v="Resilience"/>
    <x v="0"/>
    <s v="FFA"/>
    <m/>
    <m/>
    <s v="AMBOSARY"/>
    <x v="0"/>
    <m/>
    <s v="Anosy"/>
    <s v="Amboasary"/>
    <m/>
    <s v="Befaitse"/>
    <s v="Befaitse"/>
    <m/>
    <m/>
    <n v="2195"/>
    <n v="439"/>
    <x v="0"/>
    <m/>
    <n v="30"/>
    <m/>
    <m/>
    <m/>
    <m/>
    <m/>
    <m/>
    <m/>
    <m/>
    <m/>
    <m/>
    <m/>
    <m/>
    <m/>
    <n v="52680000"/>
    <n v="11554.810775716473"/>
  </r>
  <r>
    <x v="2"/>
    <n v="2024"/>
    <x v="0"/>
    <s v="Resilience"/>
    <x v="0"/>
    <s v="FFA"/>
    <m/>
    <m/>
    <s v="AMBOSARY"/>
    <x v="0"/>
    <m/>
    <s v="Anosy"/>
    <s v="Amboasary"/>
    <m/>
    <s v="Fandiova centre"/>
    <s v="Fandiova centre"/>
    <m/>
    <m/>
    <n v="2225"/>
    <n v="445"/>
    <x v="0"/>
    <m/>
    <n v="30"/>
    <m/>
    <m/>
    <m/>
    <m/>
    <m/>
    <m/>
    <m/>
    <m/>
    <m/>
    <m/>
    <m/>
    <m/>
    <m/>
    <n v="53400000"/>
    <n v="11712.73529656909"/>
  </r>
  <r>
    <x v="2"/>
    <n v="2024"/>
    <x v="0"/>
    <s v="Resilience"/>
    <x v="0"/>
    <s v="FFA"/>
    <m/>
    <m/>
    <s v="AMBOSARY"/>
    <x v="0"/>
    <m/>
    <s v="Anosy"/>
    <s v="Amboasary"/>
    <m/>
    <s v="Fenoaivo"/>
    <s v="Fenoaivo"/>
    <m/>
    <m/>
    <n v="1500"/>
    <n v="300"/>
    <x v="0"/>
    <m/>
    <n v="30"/>
    <m/>
    <m/>
    <m/>
    <m/>
    <m/>
    <m/>
    <m/>
    <m/>
    <m/>
    <m/>
    <m/>
    <m/>
    <m/>
    <n v="36000000"/>
    <n v="7896.2260426308467"/>
  </r>
  <r>
    <x v="2"/>
    <n v="2024"/>
    <x v="0"/>
    <s v="Resilience"/>
    <x v="0"/>
    <s v="FFA"/>
    <m/>
    <m/>
    <s v="AMBOSARY"/>
    <x v="0"/>
    <m/>
    <s v="Anosy"/>
    <s v="Amboasary"/>
    <m/>
    <s v="Anjahamahavelo"/>
    <s v="Anjahamahavelo"/>
    <m/>
    <m/>
    <n v="5510"/>
    <n v="1102"/>
    <x v="0"/>
    <m/>
    <n v="30"/>
    <m/>
    <m/>
    <m/>
    <m/>
    <m/>
    <m/>
    <m/>
    <m/>
    <m/>
    <m/>
    <m/>
    <m/>
    <m/>
    <n v="132240000"/>
    <n v="29005.470329930642"/>
  </r>
  <r>
    <x v="2"/>
    <n v="2024"/>
    <x v="0"/>
    <s v="Resilience"/>
    <x v="0"/>
    <s v="FFA"/>
    <m/>
    <m/>
    <s v="Ambovombe"/>
    <x v="0"/>
    <m/>
    <s v="Androy"/>
    <s v="Ambovombe"/>
    <m/>
    <s v="Namolora"/>
    <s v="Namolora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2"/>
    <n v="2024"/>
    <x v="0"/>
    <s v="Resilience"/>
    <x v="0"/>
    <s v="FFA"/>
    <m/>
    <m/>
    <s v="Ambovombe"/>
    <x v="0"/>
    <m/>
    <s v="Androy"/>
    <s v="Ambovombe"/>
    <m/>
    <s v="Vohibagnemba"/>
    <s v="Vohibagnemba"/>
    <m/>
    <m/>
    <n v="800"/>
    <n v="160"/>
    <x v="0"/>
    <m/>
    <n v="30"/>
    <m/>
    <m/>
    <m/>
    <m/>
    <m/>
    <m/>
    <m/>
    <m/>
    <m/>
    <m/>
    <m/>
    <m/>
    <m/>
    <n v="19200000"/>
    <n v="4211.3205560697852"/>
  </r>
  <r>
    <x v="2"/>
    <n v="2024"/>
    <x v="0"/>
    <s v="Resilience"/>
    <x v="0"/>
    <s v="FFA"/>
    <m/>
    <m/>
    <s v="Ambovombe"/>
    <x v="0"/>
    <m/>
    <s v="Androy"/>
    <s v="Ambovombe"/>
    <m/>
    <s v="Ambasy"/>
    <s v="Ambasy"/>
    <m/>
    <m/>
    <n v="1120"/>
    <n v="224"/>
    <x v="0"/>
    <m/>
    <n v="30"/>
    <m/>
    <m/>
    <m/>
    <m/>
    <m/>
    <m/>
    <m/>
    <m/>
    <m/>
    <m/>
    <m/>
    <m/>
    <m/>
    <n v="26880000"/>
    <n v="5895.8487784976987"/>
  </r>
  <r>
    <x v="2"/>
    <n v="2024"/>
    <x v="0"/>
    <s v="Resilience"/>
    <x v="0"/>
    <s v="FFA"/>
    <m/>
    <m/>
    <s v="Ambovombe"/>
    <x v="0"/>
    <m/>
    <s v="Androy"/>
    <s v="Ambovombe"/>
    <m/>
    <s v="Talaky Bas"/>
    <s v="Talaky Bas"/>
    <m/>
    <m/>
    <n v="1000"/>
    <n v="200"/>
    <x v="0"/>
    <m/>
    <n v="30"/>
    <m/>
    <m/>
    <m/>
    <m/>
    <m/>
    <m/>
    <m/>
    <m/>
    <m/>
    <m/>
    <m/>
    <m/>
    <m/>
    <n v="24000000"/>
    <n v="5264.1506950872308"/>
  </r>
  <r>
    <x v="2"/>
    <n v="2025"/>
    <x v="0"/>
    <s v="Resilience"/>
    <x v="0"/>
    <s v="FFA"/>
    <m/>
    <m/>
    <s v="Ambovombe"/>
    <x v="0"/>
    <m/>
    <s v="Androy"/>
    <s v="Ambovombe"/>
    <m/>
    <s v="Sihanamaro"/>
    <s v="Sihanamaro"/>
    <m/>
    <m/>
    <n v="12500"/>
    <n v="2500"/>
    <x v="0"/>
    <m/>
    <n v="30"/>
    <m/>
    <m/>
    <m/>
    <m/>
    <m/>
    <m/>
    <m/>
    <m/>
    <m/>
    <m/>
    <m/>
    <m/>
    <m/>
    <n v="300000000"/>
    <n v="65801.883688590387"/>
  </r>
  <r>
    <x v="2"/>
    <n v="2024"/>
    <x v="0"/>
    <s v="Resilience"/>
    <x v="0"/>
    <s v="FFA"/>
    <m/>
    <m/>
    <s v="Ambovombe"/>
    <x v="0"/>
    <m/>
    <s v="Androy"/>
    <s v="Ambovombe"/>
    <m/>
    <s v="Ankako"/>
    <s v="Ankako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2"/>
    <n v="2024"/>
    <x v="0"/>
    <s v="Resilience"/>
    <x v="0"/>
    <s v="FFA"/>
    <m/>
    <m/>
    <s v="Manakara"/>
    <x v="1"/>
    <m/>
    <s v="Fitovinany"/>
    <s v="Ambovombe"/>
    <m/>
    <s v="Vohitsova"/>
    <s v="Vohitsova"/>
    <m/>
    <m/>
    <n v="1600"/>
    <n v="320"/>
    <x v="0"/>
    <m/>
    <n v="30"/>
    <m/>
    <m/>
    <m/>
    <m/>
    <m/>
    <m/>
    <m/>
    <m/>
    <m/>
    <m/>
    <m/>
    <m/>
    <m/>
    <n v="38400000"/>
    <n v="8422.6411121395704"/>
  </r>
  <r>
    <x v="2"/>
    <n v="2024"/>
    <x v="0"/>
    <s v="Resilience"/>
    <x v="0"/>
    <s v="FFA"/>
    <m/>
    <m/>
    <s v="Manakara"/>
    <x v="1"/>
    <m/>
    <s v="Fitovinany"/>
    <s v="Manakara"/>
    <m/>
    <s v="ANKARIMBARY"/>
    <s v="ANKARIMBARY"/>
    <m/>
    <m/>
    <n v="2200"/>
    <n v="440"/>
    <x v="0"/>
    <m/>
    <n v="30"/>
    <m/>
    <m/>
    <m/>
    <m/>
    <m/>
    <m/>
    <m/>
    <m/>
    <m/>
    <m/>
    <m/>
    <m/>
    <m/>
    <n v="52800000"/>
    <n v="11581.131529191909"/>
  </r>
  <r>
    <x v="2"/>
    <n v="2024"/>
    <x v="0"/>
    <s v="Resilience"/>
    <x v="0"/>
    <s v="FFA"/>
    <m/>
    <m/>
    <s v="Manakara"/>
    <x v="1"/>
    <m/>
    <s v="Fitovinany"/>
    <s v="Manakara"/>
    <m/>
    <s v="IVATO"/>
    <s v="IVATO"/>
    <m/>
    <m/>
    <n v="4000"/>
    <n v="800"/>
    <x v="0"/>
    <m/>
    <n v="30"/>
    <m/>
    <m/>
    <m/>
    <m/>
    <m/>
    <m/>
    <m/>
    <m/>
    <m/>
    <m/>
    <m/>
    <m/>
    <m/>
    <n v="96000000"/>
    <n v="21056.602780348923"/>
  </r>
  <r>
    <x v="2"/>
    <n v="2024"/>
    <x v="0"/>
    <s v="Resilience"/>
    <x v="0"/>
    <s v="FFA"/>
    <m/>
    <m/>
    <s v="Manakara"/>
    <x v="1"/>
    <m/>
    <s v="Fitovinany"/>
    <s v="Manakara"/>
    <m/>
    <s v="Vohindava"/>
    <s v="Vohitrindry"/>
    <m/>
    <m/>
    <n v="3500"/>
    <n v="700"/>
    <x v="0"/>
    <m/>
    <n v="30"/>
    <m/>
    <m/>
    <m/>
    <m/>
    <m/>
    <m/>
    <m/>
    <m/>
    <m/>
    <m/>
    <m/>
    <m/>
    <m/>
    <n v="84000000"/>
    <n v="18424.527432805309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m/>
    <s v="Fort dauphin"/>
    <s v="Amboasary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m/>
    <s v="Fort dauphin"/>
    <s v="Amboasary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m/>
    <s v="Fort dauphin"/>
    <s v="Amboasary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m/>
    <s v="Fort dauphin"/>
    <s v="Amboasary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m/>
    <s v="Fort dauphin"/>
    <s v="Amboasary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m/>
    <s v="Fort dauphin"/>
    <s v="Amboasary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Ambahita"/>
    <m/>
    <m/>
    <m/>
    <n v="16706"/>
    <n v="3341.2"/>
    <x v="1"/>
    <m/>
    <n v="30"/>
    <n v="200.47200000000001"/>
    <n v="0"/>
    <n v="0"/>
    <m/>
    <n v="30.070799999999998"/>
    <n v="17.5413"/>
    <m/>
    <n v="0"/>
    <n v="0"/>
    <n v="0"/>
    <m/>
    <n v="0"/>
    <n v="248.08410000000001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Amborompotsy"/>
    <m/>
    <m/>
    <m/>
    <n v="17635"/>
    <n v="3527"/>
    <x v="1"/>
    <m/>
    <n v="30"/>
    <n v="211.62"/>
    <n v="0"/>
    <n v="0"/>
    <m/>
    <n v="31.742999999999999"/>
    <n v="18.516749999999998"/>
    <m/>
    <n v="0"/>
    <n v="0"/>
    <n v="0"/>
    <m/>
    <n v="0"/>
    <n v="261.87975"/>
    <m/>
    <n v="0"/>
  </r>
  <r>
    <x v="0"/>
    <n v="2024"/>
    <x v="2"/>
    <s v="GD"/>
    <x v="3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x v="0"/>
    <m/>
    <n v="30"/>
    <m/>
    <m/>
    <m/>
    <m/>
    <m/>
    <m/>
    <m/>
    <n v="0"/>
    <n v="0"/>
    <n v="0"/>
    <m/>
    <n v="0"/>
    <n v="0"/>
    <n v="1623744000"/>
    <n v="356151.37942682172"/>
  </r>
  <r>
    <x v="0"/>
    <n v="2024"/>
    <x v="2"/>
    <s v="GD"/>
    <x v="3"/>
    <s v="URT_GD: General Distribution"/>
    <n v="2"/>
    <m/>
    <s v="Amboasary"/>
    <x v="0"/>
    <s v="Taolagnaro"/>
    <s v="Anosy"/>
    <s v="Taolagnaro"/>
    <m/>
    <s v="Andranobory"/>
    <m/>
    <m/>
    <m/>
    <n v="7275"/>
    <n v="1455"/>
    <x v="1"/>
    <m/>
    <n v="30"/>
    <n v="87.3"/>
    <n v="0"/>
    <n v="0"/>
    <m/>
    <n v="13.095000000000001"/>
    <n v="7.6387499999999999"/>
    <m/>
    <n v="0"/>
    <n v="0"/>
    <n v="0"/>
    <m/>
    <n v="0"/>
    <n v="108.03375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Androipano"/>
    <m/>
    <m/>
    <m/>
    <n v="11555"/>
    <n v="2311"/>
    <x v="1"/>
    <m/>
    <n v="30"/>
    <n v="138.66"/>
    <n v="0"/>
    <n v="0"/>
    <m/>
    <n v="20.798999999999999"/>
    <n v="12.13275"/>
    <m/>
    <n v="0"/>
    <n v="0"/>
    <n v="0"/>
    <m/>
    <n v="0"/>
    <n v="171.59174999999999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Androka"/>
    <m/>
    <m/>
    <m/>
    <n v="35000"/>
    <m/>
    <x v="1"/>
    <m/>
    <n v="15"/>
    <n v="210"/>
    <n v="0"/>
    <n v="0"/>
    <m/>
    <n v="31.5"/>
    <n v="18.375"/>
    <m/>
    <n v="0"/>
    <n v="0"/>
    <n v="0"/>
    <m/>
    <n v="0"/>
    <n v="259.875"/>
    <n v="0"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Androka"/>
    <m/>
    <m/>
    <m/>
    <m/>
    <n v="7000"/>
    <x v="0"/>
    <m/>
    <n v="15"/>
    <m/>
    <m/>
    <m/>
    <m/>
    <m/>
    <m/>
    <m/>
    <n v="0"/>
    <n v="0"/>
    <n v="0"/>
    <m/>
    <n v="0"/>
    <n v="0"/>
    <n v="840000000"/>
    <n v="184245.27432805308"/>
  </r>
  <r>
    <x v="0"/>
    <n v="2024"/>
    <x v="2"/>
    <s v="GD"/>
    <x v="3"/>
    <s v="URT_GD: General Distribution"/>
    <n v="1"/>
    <m/>
    <m/>
    <x v="1"/>
    <m/>
    <s v="Vatovavy"/>
    <s v="Nosy Varika"/>
    <m/>
    <s v="Ambahy"/>
    <m/>
    <m/>
    <m/>
    <n v="3744"/>
    <n v="748.8"/>
    <x v="0"/>
    <m/>
    <n v="30"/>
    <n v="0"/>
    <n v="0"/>
    <n v="0"/>
    <m/>
    <n v="0"/>
    <n v="0"/>
    <m/>
    <n v="0"/>
    <n v="0"/>
    <n v="0"/>
    <n v="0"/>
    <n v="0"/>
    <n v="0"/>
    <n v="179712000"/>
    <n v="39417.960404813188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Anivorano Mitsinjo"/>
    <m/>
    <m/>
    <m/>
    <n v="6800"/>
    <n v="1360"/>
    <x v="1"/>
    <m/>
    <n v="30"/>
    <n v="81.599999999999994"/>
    <n v="0"/>
    <n v="0"/>
    <m/>
    <n v="12.24"/>
    <n v="7.14"/>
    <m/>
    <n v="0"/>
    <n v="0"/>
    <n v="0"/>
    <m/>
    <n v="0"/>
    <n v="100.97999999999999"/>
    <m/>
    <n v="0"/>
  </r>
  <r>
    <x v="0"/>
    <n v="2024"/>
    <x v="2"/>
    <s v="GD"/>
    <x v="3"/>
    <s v="URT_GD: General Distribution"/>
    <n v="1"/>
    <m/>
    <m/>
    <x v="1"/>
    <m/>
    <s v="Vatovavy"/>
    <s v="Nosy Varika"/>
    <m/>
    <s v="Ambodirian'I Sahafary"/>
    <m/>
    <m/>
    <m/>
    <n v="18225"/>
    <n v="3645"/>
    <x v="0"/>
    <m/>
    <n v="30"/>
    <n v="0"/>
    <n v="0"/>
    <n v="0"/>
    <m/>
    <n v="0"/>
    <n v="0"/>
    <m/>
    <n v="0"/>
    <n v="0"/>
    <n v="0"/>
    <n v="0"/>
    <n v="0"/>
    <n v="0"/>
    <n v="874800000"/>
    <n v="191878.29283592958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Anja Nord"/>
    <m/>
    <m/>
    <m/>
    <n v="3770"/>
    <n v="754"/>
    <x v="1"/>
    <m/>
    <n v="30"/>
    <n v="45.24"/>
    <n v="0"/>
    <n v="0"/>
    <m/>
    <n v="6.7859999999999996"/>
    <n v="3.9584999999999999"/>
    <m/>
    <n v="0"/>
    <n v="0"/>
    <n v="0"/>
    <m/>
    <n v="0"/>
    <n v="55.984500000000004"/>
    <m/>
    <n v="0"/>
  </r>
  <r>
    <x v="0"/>
    <n v="2024"/>
    <x v="2"/>
    <s v="GD"/>
    <x v="3"/>
    <s v="URT_GD: General Distribution"/>
    <n v="1"/>
    <m/>
    <s v="Ambovombe"/>
    <x v="0"/>
    <s v="Taolagnaro"/>
    <s v="Androy"/>
    <s v="Ambovombe"/>
    <m/>
    <s v="Ampamata"/>
    <m/>
    <m/>
    <m/>
    <n v="10150"/>
    <n v="2030"/>
    <x v="1"/>
    <m/>
    <n v="30"/>
    <n v="121.8"/>
    <n v="0"/>
    <n v="0"/>
    <m/>
    <n v="18.27"/>
    <n v="10.657500000000001"/>
    <m/>
    <n v="0"/>
    <n v="0"/>
    <n v="0"/>
    <m/>
    <n v="0"/>
    <n v="150.72749999999999"/>
    <m/>
    <n v="0"/>
  </r>
  <r>
    <x v="0"/>
    <n v="2024"/>
    <x v="2"/>
    <s v="GD"/>
    <x v="3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x v="1"/>
    <m/>
    <n v="30"/>
    <n v="226.56"/>
    <n v="0"/>
    <n v="0"/>
    <m/>
    <n v="33.984000000000002"/>
    <n v="19.824000000000002"/>
    <m/>
    <n v="0"/>
    <n v="0"/>
    <n v="0"/>
    <m/>
    <n v="0"/>
    <n v="280.36799999999999"/>
    <m/>
    <n v="0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Ankazombalala"/>
    <m/>
    <m/>
    <m/>
    <n v="12000"/>
    <n v="2400"/>
    <x v="0"/>
    <m/>
    <n v="30"/>
    <m/>
    <m/>
    <m/>
    <m/>
    <m/>
    <m/>
    <m/>
    <n v="0"/>
    <n v="0"/>
    <n v="0"/>
    <m/>
    <n v="0"/>
    <n v="0"/>
    <n v="576000000"/>
    <n v="126339.61668209355"/>
  </r>
  <r>
    <x v="0"/>
    <n v="2024"/>
    <x v="2"/>
    <s v="GD"/>
    <x v="3"/>
    <s v="URT_GD: General Distribution"/>
    <n v="2"/>
    <m/>
    <m/>
    <x v="1"/>
    <m/>
    <s v="Atsimo Antsinana"/>
    <s v="Vondrozo"/>
    <m/>
    <s v="Anandravy"/>
    <m/>
    <m/>
    <m/>
    <n v="4797"/>
    <n v="959.4"/>
    <x v="1"/>
    <m/>
    <n v="30"/>
    <n v="57.564"/>
    <n v="0"/>
    <n v="0"/>
    <m/>
    <n v="8.6346000000000007"/>
    <n v="5.0368500000000003"/>
    <m/>
    <n v="0"/>
    <n v="0"/>
    <n v="0"/>
    <m/>
    <n v="0"/>
    <n v="71.23545"/>
    <m/>
    <n v="0"/>
  </r>
  <r>
    <x v="0"/>
    <n v="2024"/>
    <x v="2"/>
    <s v="GD"/>
    <x v="3"/>
    <s v="URT_GD: General Distribution"/>
    <n v="2"/>
    <m/>
    <s v="Ampanihy"/>
    <x v="2"/>
    <s v="Tuléar"/>
    <s v="Atsimo Andrefana"/>
    <s v="Ampanihy Ouest"/>
    <m/>
    <s v="Ankiliabo"/>
    <m/>
    <m/>
    <m/>
    <n v="18100"/>
    <n v="3620"/>
    <x v="1"/>
    <m/>
    <n v="30"/>
    <n v="217.2"/>
    <n v="0"/>
    <n v="0"/>
    <m/>
    <n v="32.58"/>
    <n v="19.004999999999999"/>
    <m/>
    <n v="0"/>
    <n v="0"/>
    <n v="0"/>
    <m/>
    <n v="0"/>
    <n v="268.78499999999997"/>
    <m/>
    <n v="0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Antsakoamaro"/>
    <m/>
    <m/>
    <m/>
    <n v="6201"/>
    <n v="1240.2"/>
    <x v="1"/>
    <m/>
    <n v="30"/>
    <n v="74.412000000000006"/>
    <n v="0"/>
    <n v="0"/>
    <m/>
    <n v="11.161799999999999"/>
    <n v="6.51105"/>
    <m/>
    <n v="0"/>
    <n v="0"/>
    <n v="0"/>
    <m/>
    <n v="0"/>
    <n v="92.084850000000003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Belafike haut"/>
    <m/>
    <m/>
    <m/>
    <n v="10195"/>
    <n v="2039"/>
    <x v="1"/>
    <m/>
    <n v="30"/>
    <n v="122.34"/>
    <n v="0"/>
    <n v="0"/>
    <m/>
    <n v="18.350999999999999"/>
    <n v="10.704750000000001"/>
    <m/>
    <n v="0"/>
    <n v="0"/>
    <n v="0"/>
    <m/>
    <n v="0"/>
    <n v="151.39574999999999"/>
    <m/>
    <n v="0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Belindo Mahasoa"/>
    <m/>
    <m/>
    <m/>
    <n v="15000"/>
    <n v="3000"/>
    <x v="1"/>
    <m/>
    <n v="30"/>
    <n v="180"/>
    <n v="0"/>
    <n v="0"/>
    <m/>
    <n v="27"/>
    <n v="15.75"/>
    <m/>
    <n v="0"/>
    <n v="0"/>
    <n v="0"/>
    <m/>
    <n v="0"/>
    <n v="222.75"/>
    <m/>
    <n v="0"/>
  </r>
  <r>
    <x v="0"/>
    <n v="2024"/>
    <x v="2"/>
    <s v="GD"/>
    <x v="3"/>
    <s v="URT_GD: General Distribution"/>
    <n v="2"/>
    <m/>
    <m/>
    <x v="1"/>
    <m/>
    <s v="Atsimo Antsinana"/>
    <s v="Midongy Atsimo"/>
    <m/>
    <s v="Andranolalina"/>
    <m/>
    <m/>
    <m/>
    <n v="7334"/>
    <n v="1466.8"/>
    <x v="0"/>
    <m/>
    <n v="30"/>
    <n v="0"/>
    <n v="0"/>
    <n v="0"/>
    <m/>
    <n v="0"/>
    <n v="0"/>
    <m/>
    <n v="0"/>
    <n v="0"/>
    <n v="0"/>
    <n v="0"/>
    <n v="0"/>
    <n v="0"/>
    <n v="352032000"/>
    <n v="77214.562395539499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Ankazomanga Ouest"/>
    <m/>
    <m/>
    <m/>
    <n v="3627"/>
    <n v="725.4"/>
    <x v="0"/>
    <m/>
    <n v="30"/>
    <m/>
    <m/>
    <m/>
    <m/>
    <m/>
    <m/>
    <m/>
    <n v="0"/>
    <n v="0"/>
    <n v="0"/>
    <n v="0"/>
    <n v="0"/>
    <n v="0"/>
    <n v="174096000"/>
    <n v="38186.149142162772"/>
  </r>
  <r>
    <x v="0"/>
    <n v="2024"/>
    <x v="2"/>
    <s v="GD"/>
    <x v="3"/>
    <s v="URT_GD: General Distribution"/>
    <n v="1"/>
    <m/>
    <s v="Tuléar"/>
    <x v="3"/>
    <s v="Tuléar"/>
    <s v="Atsimo Andrefana"/>
    <s v="Betioky"/>
    <m/>
    <s v="Beora"/>
    <m/>
    <m/>
    <m/>
    <n v="1000"/>
    <n v="200"/>
    <x v="1"/>
    <m/>
    <n v="30"/>
    <n v="12"/>
    <n v="0"/>
    <n v="0"/>
    <m/>
    <n v="1.8"/>
    <n v="1.05"/>
    <m/>
    <n v="0"/>
    <n v="0"/>
    <n v="0"/>
    <m/>
    <n v="0"/>
    <n v="14.850000000000001"/>
    <m/>
    <n v="0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Bevitiky"/>
    <m/>
    <m/>
    <m/>
    <n v="6341"/>
    <n v="1268.2"/>
    <x v="1"/>
    <m/>
    <n v="30"/>
    <n v="76.091999999999999"/>
    <n v="0"/>
    <n v="0"/>
    <m/>
    <n v="11.4138"/>
    <n v="6.6580500000000002"/>
    <m/>
    <n v="0"/>
    <n v="0"/>
    <n v="0"/>
    <m/>
    <n v="0"/>
    <n v="94.163849999999996"/>
    <m/>
    <n v="0"/>
  </r>
  <r>
    <x v="0"/>
    <n v="2024"/>
    <x v="2"/>
    <s v="GD"/>
    <x v="3"/>
    <s v="URT_GD: General Distribution"/>
    <n v="1"/>
    <m/>
    <s v="Amboasary"/>
    <x v="0"/>
    <s v="Taolagnaro"/>
    <s v="Anosy"/>
    <s v="Amboasary"/>
    <m/>
    <s v="Ebelo"/>
    <m/>
    <m/>
    <m/>
    <n v="13542"/>
    <n v="2708.4"/>
    <x v="1"/>
    <m/>
    <n v="30"/>
    <n v="162.50399999999999"/>
    <n v="0"/>
    <n v="0"/>
    <m/>
    <n v="24.375599999999999"/>
    <n v="14.219099999999999"/>
    <m/>
    <n v="0"/>
    <n v="0"/>
    <n v="0"/>
    <m/>
    <n v="0"/>
    <n v="201.09869999999998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Gogogogo"/>
    <m/>
    <m/>
    <m/>
    <n v="18955"/>
    <n v="3791"/>
    <x v="1"/>
    <m/>
    <n v="30"/>
    <n v="227.46"/>
    <n v="0"/>
    <n v="0"/>
    <m/>
    <n v="34.119"/>
    <n v="19.902750000000001"/>
    <m/>
    <n v="0"/>
    <n v="0"/>
    <n v="0"/>
    <m/>
    <n v="0"/>
    <n v="281.48175000000003"/>
    <m/>
    <n v="0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Lazarivo"/>
    <m/>
    <m/>
    <m/>
    <n v="10900"/>
    <n v="2180"/>
    <x v="1"/>
    <m/>
    <n v="30"/>
    <n v="130.80000000000001"/>
    <n v="0"/>
    <n v="0"/>
    <m/>
    <n v="19.62"/>
    <n v="11.445"/>
    <m/>
    <n v="0"/>
    <n v="0"/>
    <n v="0"/>
    <m/>
    <n v="0"/>
    <n v="161.86500000000001"/>
    <m/>
    <n v="0"/>
  </r>
  <r>
    <x v="0"/>
    <n v="2024"/>
    <x v="2"/>
    <s v="GD"/>
    <x v="3"/>
    <s v="URT_GD: General Distribution"/>
    <n v="1"/>
    <m/>
    <s v="Amboasary"/>
    <x v="0"/>
    <s v="Taolagnaro"/>
    <s v="Anosy"/>
    <s v="Amboasary"/>
    <m/>
    <s v="Mahabo"/>
    <m/>
    <m/>
    <m/>
    <n v="5759"/>
    <n v="1151.8"/>
    <x v="1"/>
    <m/>
    <n v="30"/>
    <n v="69.108000000000004"/>
    <n v="0"/>
    <n v="0"/>
    <m/>
    <n v="10.366199999999999"/>
    <n v="6.0469499999999998"/>
    <m/>
    <n v="0"/>
    <n v="0"/>
    <n v="0"/>
    <m/>
    <n v="0"/>
    <n v="85.521149999999992"/>
    <m/>
    <n v="0"/>
  </r>
  <r>
    <x v="0"/>
    <n v="2024"/>
    <x v="2"/>
    <s v="GD"/>
    <x v="3"/>
    <s v="URT_GD: General Distribution"/>
    <n v="1"/>
    <m/>
    <s v="Amboasary"/>
    <x v="0"/>
    <s v="Taolagnaro"/>
    <s v="Anosy"/>
    <s v="Amboasary"/>
    <m/>
    <s v="Mahaly"/>
    <m/>
    <m/>
    <m/>
    <n v="20745"/>
    <n v="4149"/>
    <x v="1"/>
    <m/>
    <n v="30"/>
    <n v="248.94"/>
    <n v="0"/>
    <n v="0"/>
    <m/>
    <n v="37.341000000000001"/>
    <n v="21.782250000000001"/>
    <m/>
    <n v="0"/>
    <n v="0"/>
    <n v="0"/>
    <m/>
    <n v="0"/>
    <n v="308.06324999999998"/>
    <m/>
    <n v="0"/>
  </r>
  <r>
    <x v="0"/>
    <n v="2024"/>
    <x v="2"/>
    <s v="GD"/>
    <x v="3"/>
    <s v="URT_GD: General Distribution"/>
    <n v="2"/>
    <m/>
    <m/>
    <x v="1"/>
    <m/>
    <s v="Atsimo Antsinana"/>
    <s v="Vondrozo"/>
    <m/>
    <s v="Mahatsinjo"/>
    <m/>
    <m/>
    <m/>
    <n v="7686"/>
    <n v="1537.2"/>
    <x v="1"/>
    <m/>
    <n v="30"/>
    <n v="92.231999999999999"/>
    <n v="0"/>
    <n v="0"/>
    <m/>
    <n v="13.8348"/>
    <n v="8.0702999999999996"/>
    <m/>
    <n v="0"/>
    <n v="0"/>
    <n v="0"/>
    <m/>
    <n v="0"/>
    <n v="114.1371"/>
    <m/>
    <n v="0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Manakompy"/>
    <m/>
    <m/>
    <m/>
    <n v="6759"/>
    <n v="1351.8"/>
    <x v="1"/>
    <m/>
    <n v="30"/>
    <n v="81.108000000000004"/>
    <n v="0"/>
    <n v="0"/>
    <m/>
    <n v="12.1662"/>
    <n v="7.0969499999999996"/>
    <m/>
    <n v="0"/>
    <n v="0"/>
    <n v="0"/>
    <m/>
    <n v="0"/>
    <n v="100.37115"/>
    <m/>
    <n v="0"/>
  </r>
  <r>
    <x v="0"/>
    <n v="2024"/>
    <x v="2"/>
    <s v="GD"/>
    <x v="3"/>
    <s v="URT_GD: General Distribution"/>
    <n v="2"/>
    <m/>
    <s v="Amboasary"/>
    <x v="0"/>
    <s v="Taolagnaro"/>
    <s v="Anosy"/>
    <s v="Amboasary"/>
    <m/>
    <s v="Maromby"/>
    <m/>
    <m/>
    <m/>
    <n v="15242"/>
    <n v="3048.4"/>
    <x v="1"/>
    <m/>
    <n v="30"/>
    <n v="182.904"/>
    <n v="0"/>
    <n v="0"/>
    <m/>
    <n v="27.435600000000001"/>
    <n v="16.004100000000001"/>
    <m/>
    <n v="0"/>
    <n v="0"/>
    <n v="0"/>
    <m/>
    <n v="0"/>
    <n v="226.34369999999998"/>
    <m/>
    <n v="0"/>
  </r>
  <r>
    <x v="0"/>
    <n v="2024"/>
    <x v="2"/>
    <s v="GD"/>
    <x v="3"/>
    <s v="URT_GD: General Distribution"/>
    <n v="1"/>
    <m/>
    <s v="Ampanihy"/>
    <x v="2"/>
    <s v="Tuléar"/>
    <s v="Atsimo Andrefana"/>
    <s v="Ampanihy Ouest"/>
    <m/>
    <s v="Ankilizato"/>
    <m/>
    <m/>
    <m/>
    <n v="7940"/>
    <n v="1588"/>
    <x v="1"/>
    <m/>
    <n v="30"/>
    <n v="95.28"/>
    <n v="0"/>
    <n v="0"/>
    <m/>
    <n v="14.292"/>
    <n v="8.3369999999999997"/>
    <m/>
    <n v="0"/>
    <n v="0"/>
    <n v="0"/>
    <m/>
    <n v="0"/>
    <n v="117.90900000000001"/>
    <m/>
    <n v="0"/>
  </r>
  <r>
    <x v="0"/>
    <n v="2024"/>
    <x v="2"/>
    <s v="GD"/>
    <x v="3"/>
    <s v="URT_GD: General Distribution"/>
    <n v="1"/>
    <m/>
    <s v="Tuléar"/>
    <x v="3"/>
    <s v="Tuléar"/>
    <s v="Atsimo Andrefana"/>
    <s v="Betioky"/>
    <m/>
    <s v="Marosavoa"/>
    <m/>
    <m/>
    <m/>
    <n v="3766"/>
    <n v="753.2"/>
    <x v="1"/>
    <m/>
    <n v="30"/>
    <n v="45.192"/>
    <n v="0"/>
    <n v="0"/>
    <m/>
    <n v="6.7788000000000004"/>
    <n v="3.9542999999999999"/>
    <m/>
    <n v="0"/>
    <n v="0"/>
    <n v="0"/>
    <m/>
    <n v="0"/>
    <n v="55.9251"/>
    <m/>
    <n v="0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Maroviro"/>
    <m/>
    <m/>
    <m/>
    <n v="12420"/>
    <n v="2484"/>
    <x v="1"/>
    <m/>
    <n v="30"/>
    <n v="149.04"/>
    <n v="0"/>
    <n v="0"/>
    <m/>
    <n v="22.356000000000002"/>
    <n v="13.041"/>
    <m/>
    <n v="0"/>
    <n v="0"/>
    <n v="0"/>
    <m/>
    <n v="0"/>
    <n v="184.43699999999998"/>
    <m/>
    <n v="0"/>
  </r>
  <r>
    <x v="0"/>
    <n v="2024"/>
    <x v="2"/>
    <s v="GD"/>
    <x v="3"/>
    <s v="URT_GD: General Distribution"/>
    <n v="1"/>
    <m/>
    <s v="Ambovombe"/>
    <x v="0"/>
    <s v="Taolagnaro"/>
    <s v="Androy"/>
    <s v="Ambovombe"/>
    <m/>
    <s v="Antanimora Atsimo"/>
    <m/>
    <m/>
    <m/>
    <n v="26403"/>
    <n v="5280.6"/>
    <x v="0"/>
    <m/>
    <n v="30"/>
    <n v="0"/>
    <n v="0"/>
    <n v="0"/>
    <m/>
    <n v="0"/>
    <n v="0"/>
    <m/>
    <n v="0"/>
    <n v="0"/>
    <n v="0"/>
    <n v="0"/>
    <n v="0"/>
    <n v="0"/>
    <n v="1267344000"/>
    <n v="277978.7416047763"/>
  </r>
  <r>
    <x v="0"/>
    <n v="2024"/>
    <x v="2"/>
    <s v="GD"/>
    <x v="3"/>
    <s v="URT_GD: General Distribution"/>
    <n v="1"/>
    <m/>
    <m/>
    <x v="1"/>
    <m/>
    <s v="Atsimo Antsinana"/>
    <s v="Vangaindrano"/>
    <m/>
    <s v="Matanga"/>
    <m/>
    <m/>
    <m/>
    <n v="13734"/>
    <n v="2746.8"/>
    <x v="1"/>
    <m/>
    <n v="30"/>
    <n v="164.80799999999999"/>
    <n v="0"/>
    <n v="0"/>
    <m/>
    <n v="24.7212"/>
    <n v="14.4207"/>
    <m/>
    <n v="0"/>
    <n v="0"/>
    <n v="0"/>
    <m/>
    <n v="0"/>
    <n v="203.94990000000001"/>
    <m/>
    <n v="0"/>
  </r>
  <r>
    <x v="0"/>
    <n v="2024"/>
    <x v="2"/>
    <s v="GD"/>
    <x v="3"/>
    <s v="URT_GD: General Distribution"/>
    <n v="1"/>
    <m/>
    <m/>
    <x v="1"/>
    <m/>
    <s v="Atsimo Antsinana"/>
    <s v="Befotaka"/>
    <m/>
    <s v="Antondabe"/>
    <m/>
    <m/>
    <m/>
    <n v="5174"/>
    <n v="1034.8"/>
    <x v="1"/>
    <m/>
    <n v="30"/>
    <n v="62.088000000000001"/>
    <m/>
    <m/>
    <m/>
    <n v="9.3132000000000001"/>
    <n v="5.4326999999999996"/>
    <m/>
    <n v="0"/>
    <n v="0"/>
    <n v="0"/>
    <m/>
    <n v="0"/>
    <n v="76.8339"/>
    <m/>
    <n v="0"/>
  </r>
  <r>
    <x v="0"/>
    <n v="2024"/>
    <x v="2"/>
    <s v="GD"/>
    <x v="3"/>
    <s v="URT_GD: General Distribution"/>
    <n v="1"/>
    <m/>
    <s v="Amboasary"/>
    <x v="0"/>
    <s v="Taolagnaro"/>
    <s v="Anosy"/>
    <s v="Amboasary"/>
    <m/>
    <s v="Ranobe"/>
    <m/>
    <m/>
    <m/>
    <n v="8462"/>
    <n v="1692.4"/>
    <x v="1"/>
    <m/>
    <n v="30"/>
    <n v="101.544"/>
    <n v="0"/>
    <n v="0"/>
    <m/>
    <n v="15.2316"/>
    <n v="8.8850999999999996"/>
    <m/>
    <n v="0"/>
    <n v="0"/>
    <n v="0"/>
    <m/>
    <n v="0"/>
    <n v="125.66069999999999"/>
    <m/>
    <n v="0"/>
  </r>
  <r>
    <x v="0"/>
    <n v="2024"/>
    <x v="2"/>
    <s v="GD"/>
    <x v="3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x v="1"/>
    <m/>
    <n v="30"/>
    <n v="132.39599999999999"/>
    <n v="0"/>
    <n v="0"/>
    <m/>
    <n v="19.859400000000001"/>
    <n v="11.58465"/>
    <m/>
    <n v="0"/>
    <n v="0"/>
    <n v="0"/>
    <m/>
    <n v="0"/>
    <n v="163.84004999999999"/>
    <m/>
    <n v="0"/>
  </r>
  <r>
    <x v="0"/>
    <n v="2024"/>
    <x v="2"/>
    <s v="GD"/>
    <x v="3"/>
    <s v="URT_GD: General Distribution"/>
    <n v="1"/>
    <m/>
    <m/>
    <x v="1"/>
    <m/>
    <s v="Atsimo Antsinana"/>
    <s v="Befotaka"/>
    <m/>
    <s v="Befotaka Sud"/>
    <m/>
    <m/>
    <m/>
    <n v="10257"/>
    <n v="2051.4"/>
    <x v="0"/>
    <m/>
    <n v="30"/>
    <n v="0"/>
    <n v="0"/>
    <n v="0"/>
    <m/>
    <n v="0"/>
    <n v="0"/>
    <m/>
    <n v="0"/>
    <n v="0"/>
    <n v="0"/>
    <n v="0"/>
    <n v="0"/>
    <n v="0"/>
    <n v="492336000"/>
    <n v="107988.78735901945"/>
  </r>
  <r>
    <x v="0"/>
    <n v="2024"/>
    <x v="2"/>
    <s v="GD"/>
    <x v="3"/>
    <s v="URT_GD: General Distribution"/>
    <n v="1"/>
    <m/>
    <m/>
    <x v="1"/>
    <m/>
    <s v="Vatovavy"/>
    <s v="Nosy Varika"/>
    <m/>
    <s v="Fanivelona"/>
    <m/>
    <m/>
    <m/>
    <n v="10240"/>
    <n v="2048"/>
    <x v="0"/>
    <m/>
    <n v="30"/>
    <n v="0"/>
    <n v="0"/>
    <n v="0"/>
    <m/>
    <n v="0"/>
    <n v="0"/>
    <m/>
    <n v="0"/>
    <n v="0"/>
    <n v="0"/>
    <n v="0"/>
    <n v="0"/>
    <n v="0"/>
    <n v="491520000"/>
    <n v="107809.8062353865"/>
  </r>
  <r>
    <x v="0"/>
    <n v="2024"/>
    <x v="2"/>
    <s v="GD"/>
    <x v="3"/>
    <s v="URT_GD: General Distribution"/>
    <n v="1"/>
    <m/>
    <m/>
    <x v="1"/>
    <m/>
    <s v="Vatovavy"/>
    <s v="Nosy Varika"/>
    <m/>
    <s v="Fiadanana"/>
    <m/>
    <m/>
    <m/>
    <n v="12803"/>
    <n v="2560.6"/>
    <x v="0"/>
    <m/>
    <n v="30"/>
    <n v="0"/>
    <n v="0"/>
    <n v="0"/>
    <m/>
    <n v="0"/>
    <n v="0"/>
    <m/>
    <n v="0"/>
    <n v="0"/>
    <n v="0"/>
    <n v="0"/>
    <n v="0"/>
    <n v="0"/>
    <n v="614544000"/>
    <n v="134793.84269840363"/>
  </r>
  <r>
    <x v="0"/>
    <n v="2024"/>
    <x v="2"/>
    <s v="GD"/>
    <x v="3"/>
    <s v="URT_GD: General Distribution"/>
    <n v="2"/>
    <m/>
    <m/>
    <x v="1"/>
    <m/>
    <s v="Atsimo Antsinana"/>
    <s v="Midongy Atsimo"/>
    <m/>
    <s v="Ivondro"/>
    <m/>
    <m/>
    <m/>
    <n v="7475"/>
    <n v="1495"/>
    <x v="0"/>
    <m/>
    <n v="30"/>
    <n v="0"/>
    <n v="0"/>
    <n v="0"/>
    <m/>
    <n v="0"/>
    <n v="0"/>
    <m/>
    <n v="0"/>
    <n v="0"/>
    <n v="0"/>
    <n v="0"/>
    <n v="0"/>
    <n v="0"/>
    <n v="358800000"/>
    <n v="78699.052891554107"/>
  </r>
  <r>
    <x v="0"/>
    <n v="2024"/>
    <x v="2"/>
    <s v="GD"/>
    <x v="3"/>
    <s v="URT_GD: General Distribution"/>
    <n v="1"/>
    <m/>
    <s v="Ambovombe"/>
    <x v="0"/>
    <s v="Taolagnaro"/>
    <s v="Androy"/>
    <s v="Ambovombe"/>
    <m/>
    <s v="Jafaro"/>
    <m/>
    <m/>
    <m/>
    <n v="26677"/>
    <n v="5335.4"/>
    <x v="1"/>
    <m/>
    <n v="30"/>
    <n v="320.12400000000002"/>
    <n v="0"/>
    <n v="0"/>
    <m/>
    <n v="48.018599999999999"/>
    <n v="28.010850000000001"/>
    <m/>
    <n v="0"/>
    <n v="0"/>
    <n v="0"/>
    <m/>
    <n v="0"/>
    <n v="396.15345000000002"/>
    <m/>
    <n v="0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Tongobory"/>
    <m/>
    <m/>
    <m/>
    <n v="8716"/>
    <n v="1743.2"/>
    <x v="1"/>
    <m/>
    <n v="30"/>
    <n v="104.592"/>
    <n v="0"/>
    <n v="0"/>
    <m/>
    <n v="15.688800000000001"/>
    <n v="9.1517999999999997"/>
    <m/>
    <n v="0"/>
    <n v="0"/>
    <n v="0"/>
    <m/>
    <n v="0"/>
    <n v="129.43260000000001"/>
    <m/>
    <n v="0"/>
  </r>
  <r>
    <x v="0"/>
    <n v="2024"/>
    <x v="2"/>
    <s v="GD"/>
    <x v="3"/>
    <s v="URT_GD: General Distribution"/>
    <n v="1"/>
    <m/>
    <m/>
    <x v="1"/>
    <m/>
    <s v="Atsimo Antsinana"/>
    <s v="Vangaindrano"/>
    <m/>
    <s v="Manambondro"/>
    <m/>
    <m/>
    <m/>
    <n v="4868"/>
    <n v="973.6"/>
    <x v="0"/>
    <m/>
    <n v="30"/>
    <m/>
    <m/>
    <m/>
    <m/>
    <m/>
    <m/>
    <m/>
    <n v="0"/>
    <n v="0"/>
    <n v="0"/>
    <m/>
    <n v="0"/>
    <n v="0"/>
    <n v="233664000"/>
    <n v="51251.771167369283"/>
  </r>
  <r>
    <x v="0"/>
    <n v="2024"/>
    <x v="2"/>
    <s v="GD"/>
    <x v="3"/>
    <s v="URT_GD: General Distribution"/>
    <n v="1"/>
    <m/>
    <s v="Tuléar"/>
    <x v="3"/>
    <s v="Tuléar"/>
    <s v="Atsimo Andrefana"/>
    <s v="Betioky"/>
    <m/>
    <s v="Maroarivo Ankazomanga"/>
    <m/>
    <m/>
    <m/>
    <n v="6455"/>
    <n v="1291"/>
    <x v="1"/>
    <m/>
    <n v="30"/>
    <n v="77.459999999999994"/>
    <n v="0"/>
    <n v="0"/>
    <m/>
    <n v="11.619"/>
    <n v="6.7777500000000002"/>
    <m/>
    <n v="0"/>
    <n v="0"/>
    <n v="0"/>
    <n v="0"/>
    <n v="0"/>
    <n v="95.856749999999991"/>
    <m/>
    <n v="0"/>
  </r>
  <r>
    <x v="0"/>
    <n v="2024"/>
    <x v="2"/>
    <s v="GD"/>
    <x v="3"/>
    <s v="URT_GD: General Distribution"/>
    <n v="1"/>
    <m/>
    <m/>
    <x v="1"/>
    <m/>
    <s v="Atsimo Antsinana"/>
    <s v="Vangaindrano"/>
    <m/>
    <s v="Marokibo"/>
    <m/>
    <m/>
    <m/>
    <n v="4267"/>
    <n v="853.4"/>
    <x v="1"/>
    <m/>
    <n v="30"/>
    <n v="51.204000000000001"/>
    <n v="0"/>
    <n v="0"/>
    <m/>
    <n v="7.6806000000000001"/>
    <n v="4.4803499999999996"/>
    <m/>
    <n v="0"/>
    <n v="0"/>
    <n v="0"/>
    <m/>
    <n v="0"/>
    <n v="63.36495"/>
    <m/>
    <n v="0"/>
  </r>
  <r>
    <x v="0"/>
    <n v="2024"/>
    <x v="2"/>
    <s v="GD"/>
    <x v="3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x v="1"/>
    <m/>
    <n v="30"/>
    <n v="151.548"/>
    <n v="0"/>
    <n v="0"/>
    <m/>
    <n v="22.732199999999999"/>
    <n v="13.260450000000001"/>
    <m/>
    <n v="0"/>
    <n v="0"/>
    <n v="0"/>
    <m/>
    <n v="0"/>
    <n v="187.54065"/>
    <m/>
    <n v="0"/>
  </r>
  <r>
    <x v="0"/>
    <n v="2024"/>
    <x v="2"/>
    <s v="GD"/>
    <x v="3"/>
    <s v="URT_GD: General Distribution"/>
    <n v="1"/>
    <m/>
    <m/>
    <x v="1"/>
    <m/>
    <s v="Atsimo Antsinana"/>
    <s v="Vangaindrano"/>
    <m/>
    <s v="Masianaka"/>
    <m/>
    <m/>
    <m/>
    <n v="19824"/>
    <n v="3964.8"/>
    <x v="1"/>
    <m/>
    <n v="30"/>
    <n v="237.88800000000001"/>
    <n v="0"/>
    <n v="0"/>
    <m/>
    <n v="35.683199999999999"/>
    <n v="20.815200000000001"/>
    <m/>
    <n v="0"/>
    <n v="0"/>
    <n v="0"/>
    <m/>
    <n v="0"/>
    <n v="294.38639999999998"/>
    <m/>
    <n v="0"/>
  </r>
  <r>
    <x v="0"/>
    <n v="2024"/>
    <x v="2"/>
    <s v="GD"/>
    <x v="3"/>
    <s v="URT_GD: General Distribution"/>
    <n v="1"/>
    <m/>
    <m/>
    <x v="1"/>
    <m/>
    <s v="Atsimo Antsinana"/>
    <s v="Vangaindrano"/>
    <m/>
    <s v="Ranomena"/>
    <m/>
    <m/>
    <m/>
    <n v="17521"/>
    <n v="3504.2"/>
    <x v="0"/>
    <m/>
    <n v="30"/>
    <m/>
    <m/>
    <m/>
    <m/>
    <m/>
    <m/>
    <m/>
    <n v="0"/>
    <n v="0"/>
    <n v="0"/>
    <m/>
    <n v="0"/>
    <n v="0"/>
    <n v="841008000"/>
    <n v="184466.36865724676"/>
  </r>
  <r>
    <x v="0"/>
    <n v="2024"/>
    <x v="2"/>
    <s v="GD"/>
    <x v="3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x v="1"/>
    <m/>
    <n v="30"/>
    <n v="68.975999999999999"/>
    <n v="0"/>
    <n v="0"/>
    <m/>
    <n v="10.346399999999999"/>
    <n v="6.0354000000000001"/>
    <m/>
    <n v="0"/>
    <n v="0"/>
    <n v="0"/>
    <m/>
    <n v="0"/>
    <n v="85.357799999999997"/>
    <m/>
    <n v="0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Salobe"/>
    <m/>
    <m/>
    <m/>
    <n v="4446"/>
    <n v="889.2"/>
    <x v="0"/>
    <m/>
    <n v="30"/>
    <n v="0"/>
    <n v="0"/>
    <n v="0"/>
    <m/>
    <n v="0"/>
    <n v="0"/>
    <m/>
    <n v="0"/>
    <n v="0"/>
    <n v="0"/>
    <n v="0"/>
    <n v="0"/>
    <n v="0"/>
    <n v="213408000"/>
    <n v="46808.827980715658"/>
  </r>
  <r>
    <x v="0"/>
    <n v="2024"/>
    <x v="2"/>
    <s v="GD"/>
    <x v="3"/>
    <s v="URT_GD: General Distribution"/>
    <n v="2"/>
    <m/>
    <s v="Tuléar"/>
    <x v="3"/>
    <s v="Tuléar"/>
    <s v="Atsimo Andrefana"/>
    <s v="Betioky"/>
    <m/>
    <s v="Tanambao Haut"/>
    <m/>
    <m/>
    <m/>
    <n v="5765"/>
    <n v="1153"/>
    <x v="0"/>
    <m/>
    <n v="30"/>
    <n v="0"/>
    <n v="0"/>
    <n v="0"/>
    <m/>
    <n v="0"/>
    <n v="0"/>
    <m/>
    <n v="0"/>
    <n v="0"/>
    <n v="0"/>
    <n v="0"/>
    <n v="0"/>
    <n v="0"/>
    <n v="276720000"/>
    <n v="60695.657514355771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Ambahita"/>
    <m/>
    <m/>
    <m/>
    <n v="1002"/>
    <n v="1002"/>
    <x v="1"/>
    <m/>
    <n v="90"/>
    <n v="0"/>
    <n v="0"/>
    <n v="0"/>
    <n v="0"/>
    <n v="0"/>
    <n v="0"/>
    <n v="0"/>
    <n v="0"/>
    <n v="0"/>
    <n v="0"/>
    <n v="4.5090000000000003"/>
    <n v="0"/>
    <n v="4.5090000000000003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Amborompotsy"/>
    <m/>
    <m/>
    <m/>
    <n v="1058"/>
    <n v="1058"/>
    <x v="1"/>
    <m/>
    <n v="90"/>
    <n v="0"/>
    <n v="0"/>
    <n v="0"/>
    <n v="0"/>
    <n v="0"/>
    <n v="0"/>
    <n v="0"/>
    <n v="0"/>
    <n v="0"/>
    <n v="0"/>
    <n v="4.7610000000000001"/>
    <n v="0"/>
    <n v="4.761000000000000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Ambovombe"/>
    <m/>
    <s v="Andalatanosy"/>
    <m/>
    <m/>
    <m/>
    <n v="2030"/>
    <n v="2030"/>
    <x v="1"/>
    <m/>
    <n v="90"/>
    <n v="0"/>
    <n v="0"/>
    <n v="0"/>
    <n v="0"/>
    <n v="0"/>
    <n v="0"/>
    <n v="0"/>
    <n v="0"/>
    <n v="0"/>
    <n v="0"/>
    <n v="9.1349999999999998"/>
    <n v="0"/>
    <n v="9.1349999999999998"/>
    <m/>
    <n v="0"/>
  </r>
  <r>
    <x v="0"/>
    <n v="2024"/>
    <x v="2"/>
    <s v="Nutrition"/>
    <x v="4"/>
    <s v="URT_PREV:Prevention of acute malnutrition"/>
    <n v="2"/>
    <m/>
    <m/>
    <x v="0"/>
    <s v="Taolagnaro"/>
    <s v="Anosy"/>
    <s v="Taolagnaro"/>
    <m/>
    <s v="Andranobory"/>
    <m/>
    <m/>
    <m/>
    <n v="437"/>
    <n v="437"/>
    <x v="1"/>
    <m/>
    <n v="90"/>
    <n v="0"/>
    <n v="0"/>
    <n v="0"/>
    <n v="0"/>
    <n v="0"/>
    <n v="0"/>
    <n v="0"/>
    <n v="0"/>
    <n v="0"/>
    <n v="0"/>
    <n v="1.9664999999999999"/>
    <n v="0"/>
    <n v="1.9664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Androipano"/>
    <m/>
    <m/>
    <m/>
    <m/>
    <n v="0"/>
    <x v="1"/>
    <m/>
    <n v="90"/>
    <n v="0"/>
    <n v="0"/>
    <n v="0"/>
    <n v="0"/>
    <n v="0"/>
    <n v="0"/>
    <n v="0"/>
    <n v="0"/>
    <n v="0"/>
    <n v="0"/>
    <n v="0"/>
    <n v="0"/>
    <n v="0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Androka"/>
    <m/>
    <m/>
    <m/>
    <n v="2100"/>
    <n v="2100"/>
    <x v="1"/>
    <m/>
    <n v="90"/>
    <n v="0"/>
    <n v="0"/>
    <n v="0"/>
    <n v="0"/>
    <n v="0"/>
    <n v="0"/>
    <n v="0"/>
    <n v="0"/>
    <n v="0"/>
    <n v="0"/>
    <n v="9.4499999999999993"/>
    <n v="0"/>
    <n v="9.4499999999999993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Anivorano Mitsinjo"/>
    <m/>
    <m/>
    <m/>
    <n v="408"/>
    <n v="408"/>
    <x v="1"/>
    <m/>
    <n v="90"/>
    <n v="0"/>
    <n v="0"/>
    <n v="0"/>
    <n v="0"/>
    <n v="0"/>
    <n v="0"/>
    <n v="0"/>
    <n v="0"/>
    <n v="0"/>
    <n v="0"/>
    <n v="1.8360000000000001"/>
    <n v="0"/>
    <n v="1.8360000000000001"/>
    <m/>
    <n v="0"/>
  </r>
  <r>
    <x v="0"/>
    <n v="2024"/>
    <x v="2"/>
    <s v="Nutrition"/>
    <x v="4"/>
    <s v="URT_PREV:Prevention of acute malnutrition"/>
    <n v="1"/>
    <m/>
    <m/>
    <x v="1"/>
    <m/>
    <s v="Vatovavy"/>
    <s v="Nosy Varika"/>
    <s v="YPA"/>
    <s v="Ambahy"/>
    <m/>
    <m/>
    <m/>
    <n v="225"/>
    <n v="225"/>
    <x v="1"/>
    <m/>
    <n v="90"/>
    <n v="0"/>
    <n v="0"/>
    <n v="0"/>
    <n v="0"/>
    <n v="0"/>
    <n v="0"/>
    <n v="0"/>
    <n v="0"/>
    <n v="0"/>
    <n v="0"/>
    <n v="1.0125"/>
    <n v="0"/>
    <n v="1.0125"/>
    <m/>
    <m/>
  </r>
  <r>
    <x v="0"/>
    <n v="2024"/>
    <x v="2"/>
    <s v="Nutrition"/>
    <x v="4"/>
    <s v="URT_PREV:Prevention of acute malnutrition"/>
    <m/>
    <m/>
    <m/>
    <x v="1"/>
    <m/>
    <s v="Vatovavy"/>
    <s v="Nosy Varika"/>
    <s v="YPA"/>
    <s v="Ambodirian'I Sahafary"/>
    <m/>
    <m/>
    <m/>
    <n v="1094"/>
    <n v="1094"/>
    <x v="1"/>
    <m/>
    <n v="90"/>
    <n v="0"/>
    <n v="0"/>
    <n v="0"/>
    <n v="0"/>
    <n v="0"/>
    <n v="0"/>
    <n v="0"/>
    <n v="0"/>
    <n v="0"/>
    <n v="0"/>
    <n v="4.923"/>
    <n v="0"/>
    <n v="4.923"/>
    <m/>
    <m/>
  </r>
  <r>
    <x v="0"/>
    <n v="2024"/>
    <x v="2"/>
    <s v="Nutrition"/>
    <x v="4"/>
    <s v="URT_PREV:Prevention of acute malnutrition"/>
    <m/>
    <m/>
    <m/>
    <x v="1"/>
    <m/>
    <s v="Atsimo Antsinana"/>
    <s v="Vondrozo"/>
    <s v="WHH"/>
    <s v="Anandravy"/>
    <m/>
    <m/>
    <m/>
    <n v="288"/>
    <n v="288"/>
    <x v="1"/>
    <m/>
    <n v="90"/>
    <n v="0"/>
    <n v="0"/>
    <n v="0"/>
    <n v="0"/>
    <n v="0"/>
    <n v="0"/>
    <n v="0"/>
    <n v="0"/>
    <n v="0"/>
    <n v="0"/>
    <n v="1.296"/>
    <n v="0"/>
    <n v="1.296"/>
    <m/>
    <n v="0"/>
  </r>
  <r>
    <x v="0"/>
    <n v="2024"/>
    <x v="2"/>
    <s v="Nutrition"/>
    <x v="4"/>
    <s v="URT_PREV:Prevention of acute malnutrition"/>
    <m/>
    <m/>
    <m/>
    <x v="1"/>
    <m/>
    <s v="Atsimo Antsinana"/>
    <s v="Midongy Atsimo"/>
    <s v="WHH"/>
    <s v="Andranolalina"/>
    <m/>
    <m/>
    <m/>
    <n v="440"/>
    <n v="440"/>
    <x v="1"/>
    <m/>
    <n v="90"/>
    <n v="0"/>
    <n v="0"/>
    <n v="0"/>
    <n v="0"/>
    <n v="0"/>
    <n v="0"/>
    <n v="0"/>
    <n v="0"/>
    <n v="0"/>
    <n v="0"/>
    <n v="1.98"/>
    <n v="0"/>
    <n v="1.98"/>
    <m/>
    <m/>
  </r>
  <r>
    <x v="0"/>
    <n v="2024"/>
    <x v="2"/>
    <s v="Nutrition"/>
    <x v="4"/>
    <s v="URT_PREV:Prevention of acute malnutrition"/>
    <m/>
    <m/>
    <m/>
    <x v="1"/>
    <m/>
    <s v="Atsimo Antsinana"/>
    <s v="Vondrozo"/>
    <s v="WHH"/>
    <s v="Mahatsinjo"/>
    <m/>
    <m/>
    <m/>
    <n v="461"/>
    <n v="461"/>
    <x v="1"/>
    <m/>
    <n v="90"/>
    <n v="0"/>
    <n v="0"/>
    <n v="0"/>
    <n v="0"/>
    <n v="0"/>
    <n v="0"/>
    <n v="0"/>
    <n v="0"/>
    <n v="0"/>
    <n v="0"/>
    <n v="2.0745"/>
    <n v="0"/>
    <n v="2.0745"/>
    <m/>
    <n v="0"/>
  </r>
  <r>
    <x v="0"/>
    <n v="2024"/>
    <x v="2"/>
    <s v="Nutrition"/>
    <x v="4"/>
    <s v="URT_PREV:Prevention of acute malnutrition"/>
    <m/>
    <m/>
    <m/>
    <x v="1"/>
    <m/>
    <s v="Atsimo Antsinana"/>
    <s v="Vangaindrano"/>
    <s v="WHH"/>
    <s v="Matanga"/>
    <m/>
    <m/>
    <m/>
    <n v="824"/>
    <n v="824"/>
    <x v="1"/>
    <m/>
    <n v="90"/>
    <m/>
    <m/>
    <m/>
    <m/>
    <m/>
    <m/>
    <m/>
    <m/>
    <m/>
    <m/>
    <n v="3.7080000000000002"/>
    <n v="0"/>
    <n v="3.7080000000000002"/>
    <m/>
    <m/>
  </r>
  <r>
    <x v="0"/>
    <n v="2024"/>
    <x v="2"/>
    <s v="Nutrition"/>
    <x v="4"/>
    <s v="URT_PREV:Prevention of acute malnutrition"/>
    <m/>
    <m/>
    <m/>
    <x v="1"/>
    <m/>
    <s v="Atsimo Antsinana"/>
    <s v="Befotaka"/>
    <s v="WHH"/>
    <s v="Antondabe"/>
    <s v="TBD"/>
    <m/>
    <m/>
    <n v="310"/>
    <n v="310"/>
    <x v="1"/>
    <m/>
    <n v="90"/>
    <n v="0"/>
    <n v="0"/>
    <n v="0"/>
    <n v="0"/>
    <n v="0"/>
    <n v="0"/>
    <n v="0"/>
    <n v="0"/>
    <n v="0"/>
    <n v="0"/>
    <n v="1.395"/>
    <n v="0"/>
    <n v="1.395"/>
    <m/>
    <n v="0"/>
  </r>
  <r>
    <x v="0"/>
    <n v="2024"/>
    <x v="2"/>
    <s v="Nutrition"/>
    <x v="4"/>
    <s v="URT_PREV:Prevention of acute malnutrition"/>
    <m/>
    <m/>
    <m/>
    <x v="1"/>
    <m/>
    <s v="Atsimo Antsinana"/>
    <s v="Befotaka"/>
    <s v="WHH"/>
    <s v="Befotaka Sud"/>
    <s v="TBD"/>
    <m/>
    <m/>
    <n v="615"/>
    <n v="615"/>
    <x v="1"/>
    <m/>
    <n v="90"/>
    <n v="0"/>
    <n v="0"/>
    <n v="0"/>
    <n v="0"/>
    <n v="0"/>
    <n v="0"/>
    <n v="0"/>
    <n v="0"/>
    <n v="0"/>
    <n v="0"/>
    <n v="2.7675000000000001"/>
    <n v="0"/>
    <n v="2.7675000000000001"/>
    <m/>
    <n v="0"/>
  </r>
  <r>
    <x v="0"/>
    <n v="2024"/>
    <x v="2"/>
    <s v="Nutrition"/>
    <x v="4"/>
    <s v="URT_PREV:Prevention of acute malnutrition"/>
    <m/>
    <m/>
    <m/>
    <x v="1"/>
    <m/>
    <s v="Vatovavy"/>
    <s v="Nosy Varika"/>
    <s v="YPA"/>
    <s v="Fanivelona"/>
    <m/>
    <m/>
    <m/>
    <n v="614"/>
    <n v="614"/>
    <x v="1"/>
    <m/>
    <n v="90"/>
    <n v="0"/>
    <n v="0"/>
    <n v="0"/>
    <n v="0"/>
    <n v="0"/>
    <n v="0"/>
    <n v="0"/>
    <n v="0"/>
    <n v="0"/>
    <n v="0"/>
    <n v="2.7629999999999999"/>
    <n v="0"/>
    <n v="2.7629999999999999"/>
    <m/>
    <m/>
  </r>
  <r>
    <x v="0"/>
    <n v="2024"/>
    <x v="2"/>
    <s v="Nutrition"/>
    <x v="4"/>
    <s v="URT_PREV:Prevention of acute malnutrition"/>
    <m/>
    <m/>
    <m/>
    <x v="1"/>
    <m/>
    <s v="Vatovavy"/>
    <s v="Nosy Varika"/>
    <s v="YPA"/>
    <s v="Fiadanana"/>
    <m/>
    <m/>
    <m/>
    <n v="768"/>
    <n v="768"/>
    <x v="1"/>
    <m/>
    <n v="90"/>
    <n v="0"/>
    <n v="0"/>
    <n v="0"/>
    <n v="0"/>
    <n v="0"/>
    <n v="0"/>
    <n v="0"/>
    <n v="0"/>
    <n v="0"/>
    <n v="0"/>
    <n v="3.456"/>
    <n v="0"/>
    <n v="3.456"/>
    <m/>
    <m/>
  </r>
  <r>
    <x v="0"/>
    <n v="2024"/>
    <x v="2"/>
    <s v="Nutrition"/>
    <x v="4"/>
    <s v="URT_PREV:Prevention of acute malnutrition"/>
    <m/>
    <m/>
    <m/>
    <x v="1"/>
    <m/>
    <s v="Atsimo Antsinana"/>
    <s v="Midongy Atsimo"/>
    <s v="WHH"/>
    <s v="Ivondro"/>
    <m/>
    <m/>
    <m/>
    <n v="449"/>
    <n v="449"/>
    <x v="1"/>
    <m/>
    <n v="90"/>
    <n v="0"/>
    <n v="0"/>
    <n v="0"/>
    <n v="0"/>
    <n v="0"/>
    <n v="0"/>
    <n v="0"/>
    <n v="0"/>
    <n v="0"/>
    <n v="0"/>
    <n v="2.0205000000000002"/>
    <n v="0"/>
    <n v="2.0205000000000002"/>
    <m/>
    <m/>
  </r>
  <r>
    <x v="0"/>
    <n v="2024"/>
    <x v="2"/>
    <s v="Nutrition"/>
    <x v="4"/>
    <s v="URT_PREV:Prevention of acute malnutrition"/>
    <m/>
    <m/>
    <m/>
    <x v="1"/>
    <m/>
    <s v="Atsimo Antsinana"/>
    <s v="Vangaindrano"/>
    <s v="WHH"/>
    <s v="Manambondro"/>
    <m/>
    <m/>
    <m/>
    <n v="292"/>
    <n v="292"/>
    <x v="1"/>
    <m/>
    <n v="90"/>
    <m/>
    <m/>
    <m/>
    <m/>
    <m/>
    <m/>
    <m/>
    <m/>
    <m/>
    <m/>
    <n v="1.3140000000000001"/>
    <n v="0"/>
    <n v="1.3140000000000001"/>
    <m/>
    <m/>
  </r>
  <r>
    <x v="0"/>
    <n v="2024"/>
    <x v="2"/>
    <s v="Nutrition"/>
    <x v="4"/>
    <s v="URT_PREV:Prevention of acute malnutrition"/>
    <m/>
    <m/>
    <m/>
    <x v="1"/>
    <m/>
    <s v="Atsimo Antsinana"/>
    <s v="Vangaindrano"/>
    <s v="WHH"/>
    <s v="Marokibo"/>
    <m/>
    <m/>
    <m/>
    <n v="256"/>
    <n v="256"/>
    <x v="1"/>
    <m/>
    <n v="90"/>
    <m/>
    <m/>
    <m/>
    <m/>
    <m/>
    <m/>
    <m/>
    <m/>
    <m/>
    <m/>
    <n v="1.1519999999999999"/>
    <n v="0"/>
    <n v="1.1519999999999999"/>
    <m/>
    <m/>
  </r>
  <r>
    <x v="0"/>
    <n v="2024"/>
    <x v="2"/>
    <s v="Nutrition"/>
    <x v="4"/>
    <s v="URT_PREV:Prevention of acute malnutrition"/>
    <m/>
    <m/>
    <m/>
    <x v="1"/>
    <m/>
    <s v="Atsimo Antsinana"/>
    <s v="Vangaindrano"/>
    <s v="WHH"/>
    <s v="Masianaka"/>
    <m/>
    <m/>
    <m/>
    <n v="1189"/>
    <n v="1189"/>
    <x v="1"/>
    <m/>
    <n v="90"/>
    <m/>
    <m/>
    <m/>
    <m/>
    <m/>
    <m/>
    <m/>
    <m/>
    <m/>
    <m/>
    <n v="5.3505000000000003"/>
    <n v="0"/>
    <n v="5.3505000000000003"/>
    <m/>
    <m/>
  </r>
  <r>
    <x v="0"/>
    <n v="2024"/>
    <x v="2"/>
    <s v="Nutrition"/>
    <x v="4"/>
    <s v="URT_PREV:Prevention of acute malnutrition"/>
    <m/>
    <m/>
    <m/>
    <x v="1"/>
    <m/>
    <s v="Atsimo Antsinana"/>
    <s v="Vangaindrano"/>
    <s v="WHH"/>
    <s v="Ranomena"/>
    <m/>
    <m/>
    <m/>
    <n v="1051"/>
    <n v="1051"/>
    <x v="1"/>
    <m/>
    <n v="90"/>
    <m/>
    <m/>
    <m/>
    <m/>
    <m/>
    <m/>
    <m/>
    <m/>
    <m/>
    <m/>
    <n v="4.7294999999999998"/>
    <n v="0"/>
    <n v="4.7294999999999998"/>
    <m/>
    <m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Anja Nord"/>
    <m/>
    <m/>
    <m/>
    <n v="226"/>
    <n v="226"/>
    <x v="1"/>
    <m/>
    <n v="90"/>
    <n v="0"/>
    <n v="0"/>
    <n v="0"/>
    <n v="0"/>
    <n v="0"/>
    <n v="0"/>
    <n v="0"/>
    <n v="0"/>
    <n v="0"/>
    <n v="0"/>
    <n v="1.0169999999999999"/>
    <n v="0"/>
    <n v="1.0169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Ambovombe"/>
    <m/>
    <s v="Ampamata"/>
    <m/>
    <m/>
    <m/>
    <n v="609"/>
    <n v="609"/>
    <x v="1"/>
    <m/>
    <n v="90"/>
    <n v="0"/>
    <n v="0"/>
    <n v="0"/>
    <n v="0"/>
    <n v="0"/>
    <n v="0"/>
    <n v="0"/>
    <n v="0"/>
    <n v="0"/>
    <n v="0"/>
    <n v="2.7404999999999999"/>
    <n v="0"/>
    <n v="2.7404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Ambovombe"/>
    <m/>
    <s v="Anjeky Ankilikira"/>
    <m/>
    <m/>
    <m/>
    <n v="1133"/>
    <n v="1133"/>
    <x v="1"/>
    <m/>
    <n v="90"/>
    <n v="0"/>
    <n v="0"/>
    <n v="0"/>
    <n v="0"/>
    <n v="0"/>
    <n v="0"/>
    <n v="0"/>
    <n v="0"/>
    <n v="0"/>
    <n v="0"/>
    <n v="5.0984999999999996"/>
    <n v="0"/>
    <n v="5.0984999999999996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Ankazombalala"/>
    <m/>
    <m/>
    <m/>
    <n v="720"/>
    <n v="720"/>
    <x v="1"/>
    <m/>
    <n v="90"/>
    <n v="0"/>
    <n v="0"/>
    <n v="0"/>
    <n v="0"/>
    <n v="0"/>
    <n v="0"/>
    <n v="0"/>
    <n v="0"/>
    <n v="0"/>
    <n v="0"/>
    <n v="3.24"/>
    <n v="0"/>
    <n v="3.24"/>
    <m/>
    <n v="0"/>
  </r>
  <r>
    <x v="0"/>
    <n v="2024"/>
    <x v="2"/>
    <s v="Nutrition"/>
    <x v="4"/>
    <s v="URT_PREV:Prevention of acute malnutrition"/>
    <n v="2"/>
    <m/>
    <m/>
    <x v="2"/>
    <s v="Tuléar"/>
    <s v="Atsimo Andrefana"/>
    <s v="Ampanihy Ouest"/>
    <m/>
    <s v="Ankiliabo"/>
    <m/>
    <m/>
    <m/>
    <n v="1086"/>
    <n v="1086"/>
    <x v="1"/>
    <m/>
    <n v="90"/>
    <n v="0"/>
    <n v="0"/>
    <n v="0"/>
    <n v="0"/>
    <n v="0"/>
    <n v="0"/>
    <n v="0"/>
    <n v="0"/>
    <n v="0"/>
    <n v="0"/>
    <n v="4.8869999999999996"/>
    <n v="0"/>
    <n v="4.8869999999999996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Antsakoamaro"/>
    <m/>
    <m/>
    <m/>
    <n v="372"/>
    <n v="372"/>
    <x v="1"/>
    <m/>
    <n v="90"/>
    <n v="0"/>
    <n v="0"/>
    <n v="0"/>
    <n v="0"/>
    <n v="0"/>
    <n v="0"/>
    <n v="0"/>
    <n v="0"/>
    <n v="0"/>
    <n v="0"/>
    <n v="1.6739999999999999"/>
    <n v="0"/>
    <n v="1.6739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Belafike haut"/>
    <m/>
    <m/>
    <m/>
    <n v="612"/>
    <n v="612"/>
    <x v="1"/>
    <m/>
    <n v="90"/>
    <n v="0"/>
    <n v="0"/>
    <n v="0"/>
    <n v="0"/>
    <n v="0"/>
    <n v="0"/>
    <n v="0"/>
    <n v="0"/>
    <n v="0"/>
    <n v="0"/>
    <n v="2.754"/>
    <n v="0"/>
    <n v="2.754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Belindo Mahasoa"/>
    <m/>
    <m/>
    <m/>
    <n v="900"/>
    <n v="900"/>
    <x v="1"/>
    <m/>
    <n v="90"/>
    <n v="0"/>
    <n v="0"/>
    <n v="0"/>
    <n v="0"/>
    <n v="0"/>
    <n v="0"/>
    <n v="0"/>
    <n v="0"/>
    <n v="0"/>
    <n v="0"/>
    <n v="4.05"/>
    <n v="0"/>
    <n v="4.05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Ankazomanga Ouest"/>
    <m/>
    <m/>
    <m/>
    <n v="218"/>
    <n v="218"/>
    <x v="1"/>
    <m/>
    <n v="90"/>
    <n v="0"/>
    <n v="0"/>
    <n v="0"/>
    <n v="0"/>
    <n v="0"/>
    <n v="0"/>
    <n v="0"/>
    <n v="0"/>
    <n v="0"/>
    <n v="0"/>
    <n v="0.98099999999999998"/>
    <n v="0"/>
    <n v="0.98099999999999998"/>
    <m/>
    <m/>
  </r>
  <r>
    <x v="0"/>
    <n v="2024"/>
    <x v="2"/>
    <s v="Nutrition"/>
    <x v="4"/>
    <s v="URT_PREV:Prevention of acute malnutrition"/>
    <n v="1"/>
    <m/>
    <m/>
    <x v="3"/>
    <s v="Tuléar"/>
    <s v="Atsimo Andrefana"/>
    <s v="Betioky"/>
    <m/>
    <s v="Beora"/>
    <m/>
    <m/>
    <m/>
    <n v="60"/>
    <n v="60"/>
    <x v="1"/>
    <m/>
    <n v="90"/>
    <n v="0"/>
    <n v="0"/>
    <n v="0"/>
    <n v="0"/>
    <n v="0"/>
    <n v="0"/>
    <n v="0"/>
    <n v="0"/>
    <n v="0"/>
    <n v="0"/>
    <n v="0.27"/>
    <n v="0"/>
    <n v="0.27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Bevitiky"/>
    <m/>
    <m/>
    <m/>
    <n v="380"/>
    <n v="380"/>
    <x v="1"/>
    <m/>
    <n v="90"/>
    <n v="0"/>
    <n v="0"/>
    <n v="0"/>
    <n v="0"/>
    <n v="0"/>
    <n v="0"/>
    <n v="0"/>
    <n v="0"/>
    <n v="0"/>
    <n v="0"/>
    <n v="1.71"/>
    <n v="0"/>
    <n v="1.71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s v="Amboasary"/>
    <m/>
    <s v="Ebelo"/>
    <m/>
    <m/>
    <m/>
    <n v="813"/>
    <n v="813"/>
    <x v="1"/>
    <m/>
    <n v="90"/>
    <n v="0"/>
    <n v="0"/>
    <n v="0"/>
    <n v="0"/>
    <n v="0"/>
    <n v="0"/>
    <n v="0"/>
    <n v="0"/>
    <n v="0"/>
    <n v="0"/>
    <n v="3.6585000000000001"/>
    <n v="0"/>
    <n v="3.6585000000000001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Gogogogo"/>
    <m/>
    <m/>
    <m/>
    <n v="1137"/>
    <n v="1137"/>
    <x v="1"/>
    <m/>
    <n v="90"/>
    <n v="0"/>
    <n v="0"/>
    <n v="0"/>
    <n v="0"/>
    <n v="0"/>
    <n v="0"/>
    <n v="0"/>
    <n v="0"/>
    <n v="0"/>
    <n v="0"/>
    <n v="5.1165000000000003"/>
    <n v="0"/>
    <n v="5.1165000000000003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Lazarivo"/>
    <m/>
    <m/>
    <m/>
    <n v="654"/>
    <n v="654"/>
    <x v="1"/>
    <m/>
    <n v="90"/>
    <n v="0"/>
    <n v="0"/>
    <n v="0"/>
    <n v="0"/>
    <n v="0"/>
    <n v="0"/>
    <n v="0"/>
    <n v="0"/>
    <n v="0"/>
    <n v="0"/>
    <n v="2.9430000000000001"/>
    <n v="0"/>
    <n v="2.9430000000000001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s v="Amboasary"/>
    <m/>
    <s v="Mahabo"/>
    <m/>
    <m/>
    <m/>
    <n v="346"/>
    <n v="346"/>
    <x v="1"/>
    <m/>
    <n v="90"/>
    <n v="0"/>
    <n v="0"/>
    <n v="0"/>
    <n v="0"/>
    <n v="0"/>
    <n v="0"/>
    <n v="0"/>
    <n v="0"/>
    <n v="0"/>
    <n v="0"/>
    <n v="1.5569999999999999"/>
    <n v="0"/>
    <n v="1.5569999999999999"/>
    <m/>
    <n v="0"/>
  </r>
  <r>
    <x v="0"/>
    <n v="2024"/>
    <x v="2"/>
    <s v="Nutrition"/>
    <x v="4"/>
    <s v="URT_PREV:Prevention of acute malnutrition"/>
    <n v="1"/>
    <m/>
    <s v="Amboasary"/>
    <x v="0"/>
    <s v="Taolagnaro"/>
    <s v="Anosy"/>
    <s v="Amboasary"/>
    <m/>
    <s v="Mahaly"/>
    <m/>
    <m/>
    <m/>
    <n v="1245"/>
    <n v="1245"/>
    <x v="1"/>
    <m/>
    <n v="90"/>
    <n v="0"/>
    <n v="0"/>
    <n v="0"/>
    <n v="0"/>
    <n v="0"/>
    <n v="0"/>
    <n v="0"/>
    <n v="0"/>
    <n v="0"/>
    <n v="0"/>
    <n v="5.6025"/>
    <n v="0"/>
    <n v="5.6025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Manakompy"/>
    <m/>
    <m/>
    <m/>
    <n v="406"/>
    <n v="406"/>
    <x v="1"/>
    <m/>
    <n v="90"/>
    <n v="0"/>
    <n v="0"/>
    <n v="0"/>
    <n v="0"/>
    <n v="0"/>
    <n v="0"/>
    <n v="0"/>
    <n v="0"/>
    <n v="0"/>
    <n v="0"/>
    <n v="1.827"/>
    <n v="0"/>
    <n v="1.827"/>
    <m/>
    <n v="0"/>
  </r>
  <r>
    <x v="0"/>
    <n v="2024"/>
    <x v="2"/>
    <s v="Nutrition"/>
    <x v="4"/>
    <s v="URT_PREV:Prevention of acute malnutrition"/>
    <n v="2"/>
    <m/>
    <s v="Amboasary"/>
    <x v="0"/>
    <s v="Taolagnaro"/>
    <s v="Anosy"/>
    <s v="Amboasary"/>
    <m/>
    <s v="Maromby"/>
    <m/>
    <m/>
    <m/>
    <n v="915"/>
    <n v="915"/>
    <x v="1"/>
    <m/>
    <n v="90"/>
    <n v="0"/>
    <n v="0"/>
    <n v="0"/>
    <n v="0"/>
    <n v="0"/>
    <n v="0"/>
    <n v="0"/>
    <n v="0"/>
    <n v="0"/>
    <n v="0"/>
    <n v="4.1174999999999997"/>
    <n v="0"/>
    <n v="4.1174999999999997"/>
    <m/>
    <n v="0"/>
  </r>
  <r>
    <x v="0"/>
    <n v="2024"/>
    <x v="2"/>
    <s v="Nutrition"/>
    <x v="4"/>
    <s v="URT_PREV:Prevention of acute malnutrition"/>
    <n v="1"/>
    <m/>
    <m/>
    <x v="3"/>
    <s v="Tuléar"/>
    <s v="Atsimo Andrefana"/>
    <s v="Betioky"/>
    <m/>
    <s v="Marosavoa"/>
    <m/>
    <m/>
    <m/>
    <n v="226"/>
    <n v="226"/>
    <x v="1"/>
    <m/>
    <n v="90"/>
    <n v="0"/>
    <n v="0"/>
    <n v="0"/>
    <n v="0"/>
    <n v="0"/>
    <n v="0"/>
    <n v="0"/>
    <n v="0"/>
    <n v="0"/>
    <n v="0"/>
    <n v="1.0169999999999999"/>
    <n v="0"/>
    <n v="1.0169999999999999"/>
    <m/>
    <n v="0"/>
  </r>
  <r>
    <x v="0"/>
    <n v="2024"/>
    <x v="2"/>
    <s v="Nutrition"/>
    <x v="4"/>
    <s v="URT_PREV:Prevention of acute malnutrition"/>
    <n v="1"/>
    <m/>
    <m/>
    <x v="2"/>
    <s v="Tuléar"/>
    <s v="Atsimo Andrefana"/>
    <s v="Ampanihy Ouest"/>
    <m/>
    <s v="Ankilizato"/>
    <m/>
    <m/>
    <m/>
    <n v="476"/>
    <n v="476"/>
    <x v="1"/>
    <m/>
    <n v="90"/>
    <n v="0"/>
    <n v="0"/>
    <n v="0"/>
    <n v="0"/>
    <n v="0"/>
    <n v="0"/>
    <n v="0"/>
    <n v="0"/>
    <n v="0"/>
    <n v="0"/>
    <n v="2.1419999999999999"/>
    <n v="0"/>
    <n v="2.1419999999999999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Maroviro"/>
    <m/>
    <m/>
    <m/>
    <n v="745"/>
    <n v="745"/>
    <x v="1"/>
    <m/>
    <n v="90"/>
    <n v="0"/>
    <n v="0"/>
    <n v="0"/>
    <n v="0"/>
    <n v="0"/>
    <n v="0"/>
    <n v="0"/>
    <n v="0"/>
    <n v="0"/>
    <n v="0"/>
    <n v="3.3525"/>
    <n v="0"/>
    <n v="3.3525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Ambovombe"/>
    <m/>
    <s v="Antanimora Atsimo"/>
    <m/>
    <m/>
    <m/>
    <n v="1584"/>
    <n v="1584"/>
    <x v="1"/>
    <m/>
    <n v="90"/>
    <n v="0"/>
    <n v="0"/>
    <n v="0"/>
    <n v="0"/>
    <n v="0"/>
    <n v="0"/>
    <n v="0"/>
    <n v="0"/>
    <n v="0"/>
    <n v="0"/>
    <n v="7.1280000000000001"/>
    <n v="0"/>
    <n v="7.1280000000000001"/>
    <m/>
    <m/>
  </r>
  <r>
    <x v="0"/>
    <n v="2024"/>
    <x v="2"/>
    <s v="Nutrition"/>
    <x v="4"/>
    <s v="URT_PREV:Prevention of acute malnutrition"/>
    <n v="1"/>
    <m/>
    <s v="Amboasary"/>
    <x v="0"/>
    <s v="Taolagnaro"/>
    <s v="Anosy"/>
    <s v="Amboasary"/>
    <m/>
    <s v="Ranobe"/>
    <m/>
    <m/>
    <m/>
    <n v="508"/>
    <n v="508"/>
    <x v="1"/>
    <m/>
    <n v="90"/>
    <n v="0"/>
    <n v="0"/>
    <n v="0"/>
    <n v="0"/>
    <n v="0"/>
    <n v="0"/>
    <n v="0"/>
    <n v="0"/>
    <n v="0"/>
    <n v="0"/>
    <n v="2.286"/>
    <n v="0"/>
    <n v="2.286"/>
    <m/>
    <n v="0"/>
  </r>
  <r>
    <x v="0"/>
    <n v="2024"/>
    <x v="2"/>
    <s v="Nutrition"/>
    <x v="4"/>
    <s v="URT_PREV:Prevention of acute malnutrition"/>
    <n v="2"/>
    <m/>
    <s v="Amboasary"/>
    <x v="0"/>
    <s v="Taolagnaro"/>
    <s v="Anosy"/>
    <s v="Amboasary"/>
    <m/>
    <s v="Tanandva Sud"/>
    <m/>
    <m/>
    <m/>
    <n v="662"/>
    <n v="662"/>
    <x v="1"/>
    <m/>
    <n v="90"/>
    <n v="0"/>
    <n v="0"/>
    <n v="0"/>
    <n v="0"/>
    <n v="0"/>
    <n v="0"/>
    <n v="0"/>
    <n v="0"/>
    <n v="0"/>
    <n v="0"/>
    <n v="2.9790000000000001"/>
    <n v="0"/>
    <n v="2.979000000000000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Ambovombe"/>
    <m/>
    <s v="Jafaro"/>
    <m/>
    <m/>
    <m/>
    <n v="1601"/>
    <n v="1601"/>
    <x v="1"/>
    <m/>
    <n v="90"/>
    <n v="0"/>
    <n v="0"/>
    <n v="0"/>
    <n v="0"/>
    <n v="0"/>
    <n v="0"/>
    <n v="0"/>
    <n v="0"/>
    <n v="0"/>
    <n v="0"/>
    <n v="7.2045000000000003"/>
    <n v="0"/>
    <n v="7.2045000000000003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Tongobory"/>
    <m/>
    <m/>
    <m/>
    <n v="523"/>
    <n v="523"/>
    <x v="1"/>
    <m/>
    <n v="90"/>
    <n v="0"/>
    <n v="0"/>
    <n v="0"/>
    <n v="0"/>
    <n v="0"/>
    <n v="0"/>
    <n v="0"/>
    <n v="0"/>
    <n v="0"/>
    <n v="0"/>
    <n v="2.3534999999999999"/>
    <n v="0"/>
    <n v="2.3534999999999999"/>
    <m/>
    <n v="0"/>
  </r>
  <r>
    <x v="0"/>
    <n v="2024"/>
    <x v="2"/>
    <s v="Nutrition"/>
    <x v="4"/>
    <s v="URT_PREV:Prevention of acute malnutrition"/>
    <n v="1"/>
    <m/>
    <m/>
    <x v="3"/>
    <s v="Tuléar"/>
    <s v="Atsimo Andrefana"/>
    <s v="Betioky"/>
    <m/>
    <s v="Maroarivo Ankazomanga"/>
    <m/>
    <m/>
    <m/>
    <n v="387"/>
    <n v="387"/>
    <x v="1"/>
    <m/>
    <n v="90"/>
    <n v="0"/>
    <n v="0"/>
    <n v="0"/>
    <n v="0"/>
    <n v="0"/>
    <n v="0"/>
    <n v="0"/>
    <n v="0"/>
    <n v="0"/>
    <n v="0"/>
    <n v="1.7415"/>
    <n v="0"/>
    <n v="1.7415"/>
    <m/>
    <m/>
  </r>
  <r>
    <x v="0"/>
    <n v="2024"/>
    <x v="2"/>
    <s v="Nutrition"/>
    <x v="4"/>
    <s v="URT_PREV:Prevention of acute malnutrition"/>
    <n v="1"/>
    <m/>
    <m/>
    <x v="0"/>
    <s v="Taolagnaro"/>
    <s v="Androy"/>
    <s v="Beloha"/>
    <m/>
    <s v="Tranovaho"/>
    <m/>
    <m/>
    <m/>
    <n v="758"/>
    <n v="758"/>
    <x v="1"/>
    <m/>
    <n v="90"/>
    <n v="0"/>
    <n v="0"/>
    <n v="0"/>
    <n v="0"/>
    <n v="0"/>
    <n v="0"/>
    <n v="0"/>
    <n v="0"/>
    <n v="0"/>
    <n v="0"/>
    <n v="3.411"/>
    <n v="0"/>
    <n v="3.411"/>
    <m/>
    <n v="0"/>
  </r>
  <r>
    <x v="0"/>
    <n v="2024"/>
    <x v="2"/>
    <s v="Nutrition"/>
    <x v="4"/>
    <s v="URT_PREV:Prevention of acute malnutrition"/>
    <n v="1"/>
    <m/>
    <m/>
    <x v="0"/>
    <s v="Taolagnaro"/>
    <s v="Androy"/>
    <s v="Bekily"/>
    <m/>
    <s v="Tsikolaky"/>
    <m/>
    <m/>
    <m/>
    <n v="345"/>
    <n v="345"/>
    <x v="1"/>
    <m/>
    <n v="90"/>
    <n v="0"/>
    <n v="0"/>
    <n v="0"/>
    <n v="0"/>
    <n v="0"/>
    <n v="0"/>
    <n v="0"/>
    <n v="0"/>
    <n v="0"/>
    <n v="0"/>
    <n v="1.5525"/>
    <n v="0"/>
    <n v="1.5525"/>
    <m/>
    <n v="0"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Salobe"/>
    <m/>
    <m/>
    <m/>
    <n v="267"/>
    <n v="267"/>
    <x v="1"/>
    <m/>
    <n v="90"/>
    <n v="0"/>
    <n v="0"/>
    <n v="0"/>
    <n v="0"/>
    <n v="0"/>
    <n v="0"/>
    <n v="0"/>
    <n v="0"/>
    <n v="0"/>
    <n v="0"/>
    <n v="1.2015"/>
    <n v="0"/>
    <n v="1.2015"/>
    <m/>
    <m/>
  </r>
  <r>
    <x v="0"/>
    <n v="2024"/>
    <x v="2"/>
    <s v="Nutrition"/>
    <x v="4"/>
    <s v="URT_PREV:Prevention of acute malnutrition"/>
    <n v="2"/>
    <m/>
    <m/>
    <x v="3"/>
    <s v="Tuléar"/>
    <s v="Atsimo Andrefana"/>
    <s v="Betioky"/>
    <m/>
    <s v="Tanambao Haut"/>
    <m/>
    <m/>
    <m/>
    <n v="346"/>
    <n v="346"/>
    <x v="1"/>
    <m/>
    <n v="90"/>
    <n v="0"/>
    <n v="0"/>
    <n v="0"/>
    <n v="0"/>
    <n v="0"/>
    <n v="0"/>
    <n v="0"/>
    <n v="0"/>
    <n v="0"/>
    <n v="0"/>
    <n v="1.5569999999999999"/>
    <n v="0"/>
    <n v="1.55699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Ambahita"/>
    <m/>
    <m/>
    <m/>
    <n v="835"/>
    <n v="835"/>
    <x v="1"/>
    <m/>
    <n v="90"/>
    <m/>
    <n v="0"/>
    <n v="0"/>
    <n v="0"/>
    <n v="0"/>
    <n v="1.5029999999999999"/>
    <m/>
    <n v="0"/>
    <n v="15.03"/>
    <n v="0"/>
    <m/>
    <n v="0"/>
    <n v="16.532999999999998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Amborompotsy"/>
    <m/>
    <m/>
    <m/>
    <n v="882"/>
    <n v="882"/>
    <x v="1"/>
    <m/>
    <n v="90"/>
    <m/>
    <n v="0"/>
    <n v="0"/>
    <n v="0"/>
    <n v="0"/>
    <n v="1.5875999999999999"/>
    <m/>
    <n v="0"/>
    <n v="15.875999999999999"/>
    <n v="0"/>
    <m/>
    <n v="0"/>
    <n v="17.4636"/>
    <m/>
    <m/>
  </r>
  <r>
    <x v="0"/>
    <n v="2024"/>
    <x v="2"/>
    <s v="Nutrition"/>
    <x v="5"/>
    <s v="URT_PREV:Prevention of acute malnutrition"/>
    <n v="1"/>
    <m/>
    <m/>
    <x v="0"/>
    <s v="Taolagnaro"/>
    <s v="Androy"/>
    <s v="Ambovombe"/>
    <m/>
    <s v="Andalatanosy"/>
    <m/>
    <m/>
    <m/>
    <n v="1691"/>
    <n v="1691"/>
    <x v="1"/>
    <m/>
    <n v="90"/>
    <m/>
    <n v="0"/>
    <n v="0"/>
    <n v="0"/>
    <n v="0"/>
    <n v="3.0438000000000001"/>
    <m/>
    <n v="0"/>
    <n v="30.437999999999999"/>
    <n v="0"/>
    <m/>
    <n v="0"/>
    <n v="33.4818"/>
    <m/>
    <m/>
  </r>
  <r>
    <x v="0"/>
    <n v="2024"/>
    <x v="2"/>
    <s v="Nutrition"/>
    <x v="5"/>
    <s v="URT_PREV:Prevention of acute malnutrition"/>
    <n v="2"/>
    <m/>
    <m/>
    <x v="0"/>
    <s v="Taolagnaro"/>
    <s v="Anosy"/>
    <s v="Taolagnaro"/>
    <m/>
    <s v="Andranobory"/>
    <m/>
    <m/>
    <m/>
    <n v="364"/>
    <n v="364"/>
    <x v="1"/>
    <m/>
    <n v="90"/>
    <m/>
    <n v="0"/>
    <n v="0"/>
    <n v="0"/>
    <n v="0"/>
    <n v="0.6552"/>
    <m/>
    <n v="0"/>
    <n v="6.5519999999999996"/>
    <n v="0"/>
    <m/>
    <n v="0"/>
    <n v="7.2071999999999994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Androipano"/>
    <m/>
    <m/>
    <m/>
    <m/>
    <n v="0"/>
    <x v="2"/>
    <m/>
    <m/>
    <m/>
    <n v="0"/>
    <n v="0"/>
    <n v="0"/>
    <n v="0"/>
    <n v="0"/>
    <m/>
    <n v="0"/>
    <n v="0"/>
    <n v="0"/>
    <m/>
    <n v="0"/>
    <n v="0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Androka"/>
    <m/>
    <m/>
    <m/>
    <n v="1750"/>
    <n v="1750"/>
    <x v="1"/>
    <m/>
    <n v="90"/>
    <m/>
    <n v="0"/>
    <n v="0"/>
    <n v="0"/>
    <n v="0"/>
    <n v="3.15"/>
    <m/>
    <n v="0"/>
    <n v="31.5"/>
    <n v="0"/>
    <m/>
    <n v="0"/>
    <n v="34.65"/>
    <m/>
    <m/>
  </r>
  <r>
    <x v="0"/>
    <n v="2024"/>
    <x v="2"/>
    <s v="Nutrition"/>
    <x v="5"/>
    <s v="URT_PREV:Prevention of acute malnutrition"/>
    <n v="1"/>
    <m/>
    <m/>
    <x v="1"/>
    <m/>
    <s v="Vatovavy"/>
    <s v="Nosy Varika"/>
    <s v="YPA"/>
    <s v="Ambahy"/>
    <m/>
    <m/>
    <m/>
    <n v="187"/>
    <n v="187"/>
    <x v="1"/>
    <m/>
    <n v="90"/>
    <n v="0"/>
    <n v="0"/>
    <n v="0"/>
    <n v="0"/>
    <n v="0"/>
    <n v="0.33660000000000001"/>
    <m/>
    <n v="0"/>
    <n v="3.3660000000000001"/>
    <n v="0"/>
    <n v="0"/>
    <n v="0"/>
    <n v="3.7026000000000003"/>
    <m/>
    <m/>
  </r>
  <r>
    <x v="0"/>
    <n v="2024"/>
    <x v="2"/>
    <s v="Nutrition"/>
    <x v="5"/>
    <s v="URT_PREV:Prevention of acute malnutrition"/>
    <n v="1"/>
    <m/>
    <m/>
    <x v="1"/>
    <m/>
    <s v="Vatovavy"/>
    <s v="Nosy Varika"/>
    <s v="YPA"/>
    <s v="Ambodirian'I Sahafary"/>
    <m/>
    <m/>
    <m/>
    <n v="911"/>
    <n v="911"/>
    <x v="1"/>
    <m/>
    <n v="90"/>
    <n v="0"/>
    <n v="0"/>
    <n v="0"/>
    <n v="0"/>
    <n v="0"/>
    <n v="1.6397999999999999"/>
    <m/>
    <n v="0"/>
    <n v="16.398"/>
    <n v="0"/>
    <n v="0"/>
    <n v="0"/>
    <n v="18.037800000000001"/>
    <m/>
    <m/>
  </r>
  <r>
    <x v="0"/>
    <n v="2024"/>
    <x v="2"/>
    <s v="Nutrition"/>
    <x v="5"/>
    <s v="URT_PREV:Prevention of acute malnutrition"/>
    <n v="2"/>
    <m/>
    <m/>
    <x v="1"/>
    <m/>
    <s v="Atsimo Antsinana"/>
    <s v="Vondrozo"/>
    <s v="WHH"/>
    <s v="Anandravy"/>
    <m/>
    <m/>
    <m/>
    <n v="240"/>
    <n v="240"/>
    <x v="1"/>
    <m/>
    <n v="90"/>
    <m/>
    <n v="0"/>
    <n v="0"/>
    <n v="0"/>
    <n v="0"/>
    <n v="0.432"/>
    <m/>
    <n v="0"/>
    <n v="4.32"/>
    <n v="0"/>
    <m/>
    <n v="0"/>
    <n v="4.7520000000000007"/>
    <m/>
    <m/>
  </r>
  <r>
    <x v="0"/>
    <n v="2024"/>
    <x v="2"/>
    <s v="Nutrition"/>
    <x v="5"/>
    <s v="URT_PREV:Prevention of acute malnutrition"/>
    <n v="2"/>
    <m/>
    <m/>
    <x v="1"/>
    <m/>
    <s v="Atsimo Antsinana"/>
    <s v="Midongy Atsimo"/>
    <s v="WHH"/>
    <s v="Andranolalina"/>
    <m/>
    <m/>
    <m/>
    <n v="367"/>
    <n v="367"/>
    <x v="1"/>
    <m/>
    <n v="90"/>
    <n v="0"/>
    <n v="0"/>
    <n v="0"/>
    <n v="0"/>
    <n v="0"/>
    <n v="0.66059999999999997"/>
    <m/>
    <n v="0"/>
    <n v="6.6059999999999999"/>
    <n v="0"/>
    <n v="0"/>
    <n v="0"/>
    <n v="7.2665999999999995"/>
    <m/>
    <m/>
  </r>
  <r>
    <x v="0"/>
    <n v="2024"/>
    <x v="2"/>
    <s v="Nutrition"/>
    <x v="5"/>
    <s v="URT_PREV:Prevention of acute malnutrition"/>
    <n v="2"/>
    <m/>
    <m/>
    <x v="1"/>
    <m/>
    <s v="Atsimo Antsinana"/>
    <s v="Vondrozo"/>
    <s v="WHH"/>
    <s v="Mahatsinjo"/>
    <m/>
    <m/>
    <m/>
    <n v="384"/>
    <n v="384"/>
    <x v="1"/>
    <m/>
    <n v="90"/>
    <m/>
    <n v="0"/>
    <n v="0"/>
    <n v="0"/>
    <n v="0"/>
    <n v="0.69120000000000004"/>
    <m/>
    <n v="0"/>
    <n v="6.9119999999999999"/>
    <n v="0"/>
    <m/>
    <n v="0"/>
    <n v="7.6032000000000002"/>
    <m/>
    <m/>
  </r>
  <r>
    <x v="0"/>
    <n v="2024"/>
    <x v="2"/>
    <s v="Nutrition"/>
    <x v="5"/>
    <s v="URT_PREV:Prevention of acute malnutrition"/>
    <n v="1"/>
    <m/>
    <m/>
    <x v="1"/>
    <m/>
    <s v="Atsimo Antsinana"/>
    <s v="Vangaindrano"/>
    <s v="WHH"/>
    <s v="Matanga"/>
    <m/>
    <m/>
    <m/>
    <n v="687"/>
    <n v="687"/>
    <x v="1"/>
    <m/>
    <n v="90"/>
    <m/>
    <n v="0"/>
    <n v="0"/>
    <n v="0"/>
    <n v="0"/>
    <n v="1.2365999999999999"/>
    <m/>
    <n v="0"/>
    <n v="12.366"/>
    <n v="0"/>
    <m/>
    <n v="0"/>
    <n v="13.602599999999999"/>
    <m/>
    <m/>
  </r>
  <r>
    <x v="0"/>
    <n v="2024"/>
    <x v="2"/>
    <s v="Nutrition"/>
    <x v="5"/>
    <s v="URT_PREV:Prevention of acute malnutrition"/>
    <n v="2"/>
    <m/>
    <m/>
    <x v="1"/>
    <m/>
    <s v="Atsimo Antsinana"/>
    <s v="Befotaka"/>
    <s v="WHH"/>
    <s v="Antondabe"/>
    <m/>
    <m/>
    <m/>
    <n v="259"/>
    <n v="259"/>
    <x v="1"/>
    <m/>
    <n v="90"/>
    <m/>
    <n v="0"/>
    <n v="0"/>
    <n v="0"/>
    <n v="0"/>
    <n v="0.4662"/>
    <m/>
    <n v="0"/>
    <n v="4.6619999999999999"/>
    <n v="0"/>
    <m/>
    <n v="0"/>
    <n v="5.1281999999999996"/>
    <m/>
    <m/>
  </r>
  <r>
    <x v="0"/>
    <n v="2024"/>
    <x v="2"/>
    <s v="Nutrition"/>
    <x v="5"/>
    <s v="URT_PREV:Prevention of acute malnutrition"/>
    <n v="1"/>
    <m/>
    <m/>
    <x v="1"/>
    <m/>
    <s v="Atsimo Antsinana"/>
    <s v="Befotaka"/>
    <s v="WHH"/>
    <s v="Befotaka Sud"/>
    <m/>
    <m/>
    <m/>
    <n v="513"/>
    <n v="513"/>
    <x v="1"/>
    <m/>
    <n v="90"/>
    <n v="0"/>
    <n v="0"/>
    <n v="0"/>
    <n v="0"/>
    <n v="0"/>
    <n v="0.9234"/>
    <m/>
    <n v="0"/>
    <n v="9.234"/>
    <n v="0"/>
    <n v="0"/>
    <n v="0"/>
    <n v="10.157399999999999"/>
    <m/>
    <m/>
  </r>
  <r>
    <x v="0"/>
    <n v="2024"/>
    <x v="2"/>
    <s v="Nutrition"/>
    <x v="5"/>
    <s v="URT_PREV:Prevention of acute malnutrition"/>
    <n v="1"/>
    <m/>
    <m/>
    <x v="1"/>
    <m/>
    <s v="Vatovavy"/>
    <s v="Nosy Varika"/>
    <s v="YPA"/>
    <s v="Fanivelona"/>
    <m/>
    <m/>
    <m/>
    <n v="512"/>
    <n v="512"/>
    <x v="1"/>
    <m/>
    <n v="90"/>
    <n v="0"/>
    <n v="0"/>
    <n v="0"/>
    <n v="0"/>
    <n v="0"/>
    <n v="0.92159999999999997"/>
    <m/>
    <n v="0"/>
    <n v="9.2159999999999993"/>
    <n v="0"/>
    <n v="0"/>
    <n v="0"/>
    <n v="10.137599999999999"/>
    <m/>
    <m/>
  </r>
  <r>
    <x v="0"/>
    <n v="2024"/>
    <x v="2"/>
    <s v="Nutrition"/>
    <x v="5"/>
    <s v="URT_PREV:Prevention of acute malnutrition"/>
    <n v="1"/>
    <m/>
    <m/>
    <x v="1"/>
    <m/>
    <s v="Vatovavy"/>
    <s v="Nosy Varika"/>
    <s v="YPA"/>
    <s v="Fiadanana"/>
    <m/>
    <m/>
    <m/>
    <n v="640"/>
    <n v="640"/>
    <x v="1"/>
    <m/>
    <n v="90"/>
    <n v="0"/>
    <n v="0"/>
    <n v="0"/>
    <n v="0"/>
    <n v="0"/>
    <n v="1.1519999999999999"/>
    <m/>
    <n v="0"/>
    <n v="11.52"/>
    <n v="0"/>
    <n v="0"/>
    <n v="0"/>
    <n v="12.671999999999999"/>
    <m/>
    <m/>
  </r>
  <r>
    <x v="0"/>
    <n v="2024"/>
    <x v="2"/>
    <s v="Nutrition"/>
    <x v="5"/>
    <s v="URT_PREV:Prevention of acute malnutrition"/>
    <n v="2"/>
    <m/>
    <m/>
    <x v="1"/>
    <m/>
    <s v="Atsimo Antsinana"/>
    <s v="Midongy Atsimo"/>
    <s v="WHH"/>
    <s v="Ivondro"/>
    <m/>
    <m/>
    <m/>
    <n v="374"/>
    <n v="374"/>
    <x v="1"/>
    <m/>
    <n v="90"/>
    <n v="0"/>
    <n v="0"/>
    <n v="0"/>
    <n v="0"/>
    <n v="0"/>
    <n v="0.67320000000000002"/>
    <m/>
    <n v="0"/>
    <n v="6.7320000000000002"/>
    <n v="0"/>
    <n v="0"/>
    <n v="0"/>
    <n v="7.4052000000000007"/>
    <m/>
    <m/>
  </r>
  <r>
    <x v="0"/>
    <n v="2024"/>
    <x v="2"/>
    <s v="Nutrition"/>
    <x v="5"/>
    <s v="URT_PREV:Prevention of acute malnutrition"/>
    <n v="1"/>
    <m/>
    <m/>
    <x v="1"/>
    <m/>
    <s v="Atsimo Antsinana"/>
    <s v="Vangaindrano"/>
    <s v="WHH"/>
    <s v="Manambondro"/>
    <m/>
    <m/>
    <m/>
    <n v="243"/>
    <n v="243"/>
    <x v="1"/>
    <m/>
    <n v="90"/>
    <m/>
    <n v="0"/>
    <n v="0"/>
    <n v="0"/>
    <n v="0"/>
    <n v="0.43740000000000001"/>
    <m/>
    <n v="0"/>
    <n v="4.3739999999999997"/>
    <n v="0"/>
    <m/>
    <n v="0"/>
    <n v="4.8113999999999999"/>
    <m/>
    <m/>
  </r>
  <r>
    <x v="0"/>
    <n v="2024"/>
    <x v="2"/>
    <s v="Nutrition"/>
    <x v="5"/>
    <s v="URT_PREV:Prevention of acute malnutrition"/>
    <n v="1"/>
    <m/>
    <m/>
    <x v="1"/>
    <m/>
    <s v="Atsimo Antsinana"/>
    <s v="Vangaindrano"/>
    <s v="WHH"/>
    <s v="Marokibo"/>
    <m/>
    <m/>
    <m/>
    <n v="213"/>
    <n v="213"/>
    <x v="1"/>
    <m/>
    <n v="90"/>
    <m/>
    <n v="0"/>
    <n v="0"/>
    <n v="0"/>
    <n v="0"/>
    <n v="0.38340000000000002"/>
    <m/>
    <n v="0"/>
    <n v="3.8340000000000001"/>
    <n v="0"/>
    <m/>
    <n v="0"/>
    <n v="4.2174000000000005"/>
    <m/>
    <m/>
  </r>
  <r>
    <x v="0"/>
    <n v="2024"/>
    <x v="2"/>
    <s v="Nutrition"/>
    <x v="5"/>
    <s v="URT_PREV:Prevention of acute malnutrition"/>
    <n v="1"/>
    <m/>
    <m/>
    <x v="1"/>
    <m/>
    <s v="Atsimo Antsinana"/>
    <s v="Vangaindrano"/>
    <s v="WHH"/>
    <s v="Masianaka"/>
    <m/>
    <m/>
    <m/>
    <n v="991"/>
    <n v="991"/>
    <x v="1"/>
    <m/>
    <n v="90"/>
    <m/>
    <n v="0"/>
    <n v="0"/>
    <n v="0"/>
    <n v="0"/>
    <n v="1.7838000000000001"/>
    <m/>
    <n v="0"/>
    <n v="17.838000000000001"/>
    <n v="0"/>
    <m/>
    <n v="0"/>
    <n v="19.6218"/>
    <m/>
    <m/>
  </r>
  <r>
    <x v="0"/>
    <n v="2024"/>
    <x v="2"/>
    <s v="Nutrition"/>
    <x v="5"/>
    <s v="URT_PREV:Prevention of acute malnutrition"/>
    <n v="1"/>
    <m/>
    <m/>
    <x v="1"/>
    <m/>
    <s v="Atsimo Antsinana"/>
    <s v="Vangaindrano"/>
    <s v="WHH"/>
    <s v="Ranomena"/>
    <m/>
    <m/>
    <m/>
    <n v="876"/>
    <n v="876"/>
    <x v="1"/>
    <m/>
    <n v="90"/>
    <m/>
    <n v="0"/>
    <n v="0"/>
    <n v="0"/>
    <n v="0"/>
    <n v="1.5768"/>
    <m/>
    <n v="0"/>
    <n v="15.768000000000001"/>
    <n v="0"/>
    <m/>
    <n v="0"/>
    <n v="17.3447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Anivorano Mitsinjo"/>
    <m/>
    <m/>
    <m/>
    <n v="340"/>
    <n v="340"/>
    <x v="1"/>
    <m/>
    <n v="90"/>
    <m/>
    <n v="0"/>
    <n v="0"/>
    <n v="0"/>
    <n v="0"/>
    <n v="0.61199999999999999"/>
    <m/>
    <n v="0"/>
    <n v="6.12"/>
    <n v="0"/>
    <m/>
    <n v="0"/>
    <n v="6.7320000000000002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Anja Nord"/>
    <m/>
    <m/>
    <m/>
    <n v="189"/>
    <n v="189"/>
    <x v="1"/>
    <m/>
    <n v="90"/>
    <m/>
    <n v="0"/>
    <n v="0"/>
    <n v="0"/>
    <n v="0"/>
    <n v="0.3402"/>
    <m/>
    <n v="0"/>
    <n v="3.4020000000000001"/>
    <n v="0"/>
    <m/>
    <n v="0"/>
    <n v="3.7422"/>
    <m/>
    <m/>
  </r>
  <r>
    <x v="0"/>
    <n v="2024"/>
    <x v="2"/>
    <s v="Nutrition"/>
    <x v="5"/>
    <s v="URT_PREV:Prevention of acute malnutrition"/>
    <n v="1"/>
    <m/>
    <m/>
    <x v="0"/>
    <s v="Taolagnaro"/>
    <s v="Androy"/>
    <s v="Ambovombe"/>
    <m/>
    <s v="Ampamata"/>
    <m/>
    <m/>
    <m/>
    <n v="508"/>
    <n v="508"/>
    <x v="1"/>
    <m/>
    <n v="90"/>
    <m/>
    <n v="0"/>
    <n v="0"/>
    <n v="0"/>
    <n v="0"/>
    <n v="0.91439999999999999"/>
    <m/>
    <n v="0"/>
    <n v="9.1440000000000001"/>
    <n v="0"/>
    <m/>
    <n v="0"/>
    <n v="10.058400000000001"/>
    <m/>
    <m/>
  </r>
  <r>
    <x v="0"/>
    <n v="2024"/>
    <x v="2"/>
    <s v="Nutrition"/>
    <x v="5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x v="1"/>
    <m/>
    <n v="90"/>
    <m/>
    <n v="0"/>
    <n v="0"/>
    <n v="0"/>
    <n v="0"/>
    <n v="1.6992"/>
    <m/>
    <n v="0"/>
    <n v="16.992000000000001"/>
    <n v="0"/>
    <m/>
    <n v="0"/>
    <n v="18.691200000000002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Ankazombalala"/>
    <m/>
    <m/>
    <m/>
    <n v="600"/>
    <n v="600"/>
    <x v="1"/>
    <m/>
    <n v="90"/>
    <m/>
    <n v="0"/>
    <n v="0"/>
    <n v="0"/>
    <n v="0"/>
    <n v="1.08"/>
    <m/>
    <n v="0"/>
    <n v="10.8"/>
    <n v="0"/>
    <m/>
    <n v="0"/>
    <n v="11.88"/>
    <m/>
    <m/>
  </r>
  <r>
    <x v="0"/>
    <n v="2024"/>
    <x v="2"/>
    <s v="Nutrition"/>
    <x v="5"/>
    <s v="URT_PREV:Prevention of acute malnutrition"/>
    <n v="2"/>
    <m/>
    <m/>
    <x v="2"/>
    <s v="Tuléar"/>
    <s v="Atsimo Andrefana"/>
    <s v="Ampanihy Ouest"/>
    <m/>
    <s v="Ankiliabo"/>
    <m/>
    <m/>
    <m/>
    <n v="905"/>
    <n v="905"/>
    <x v="1"/>
    <m/>
    <n v="90"/>
    <m/>
    <n v="0"/>
    <n v="0"/>
    <n v="0"/>
    <n v="0"/>
    <n v="1.629"/>
    <m/>
    <n v="0"/>
    <n v="16.29"/>
    <n v="0"/>
    <m/>
    <n v="0"/>
    <n v="17.919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Antsakoamaro"/>
    <m/>
    <m/>
    <m/>
    <n v="310"/>
    <n v="310"/>
    <x v="1"/>
    <m/>
    <n v="90"/>
    <m/>
    <n v="0"/>
    <n v="0"/>
    <n v="0"/>
    <n v="0"/>
    <n v="0.55800000000000005"/>
    <m/>
    <n v="0"/>
    <n v="5.58"/>
    <n v="0"/>
    <m/>
    <n v="0"/>
    <n v="6.1379999999999999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Belafike haut"/>
    <m/>
    <m/>
    <m/>
    <n v="510"/>
    <n v="510"/>
    <x v="1"/>
    <m/>
    <n v="90"/>
    <m/>
    <n v="0"/>
    <n v="0"/>
    <n v="0"/>
    <n v="0"/>
    <n v="0.91800000000000004"/>
    <m/>
    <n v="0"/>
    <n v="9.18"/>
    <n v="0"/>
    <m/>
    <n v="0"/>
    <n v="10.097999999999999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Belindo Mahasoa"/>
    <m/>
    <m/>
    <m/>
    <n v="750"/>
    <n v="750"/>
    <x v="1"/>
    <m/>
    <n v="90"/>
    <m/>
    <n v="0"/>
    <n v="0"/>
    <n v="0"/>
    <n v="0"/>
    <n v="1.35"/>
    <m/>
    <n v="0"/>
    <n v="13.5"/>
    <n v="0"/>
    <m/>
    <n v="0"/>
    <n v="14.85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Ankazomanga Ouest"/>
    <m/>
    <m/>
    <m/>
    <n v="181"/>
    <n v="181"/>
    <x v="1"/>
    <m/>
    <n v="90"/>
    <n v="0"/>
    <n v="0"/>
    <n v="0"/>
    <n v="0"/>
    <n v="0"/>
    <n v="0.32579999999999998"/>
    <m/>
    <n v="0"/>
    <n v="3.258"/>
    <n v="0"/>
    <n v="0"/>
    <n v="0"/>
    <n v="3.5838000000000001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s v="Betioky"/>
    <m/>
    <s v="Beora"/>
    <m/>
    <m/>
    <m/>
    <n v="50"/>
    <n v="50"/>
    <x v="1"/>
    <m/>
    <n v="90"/>
    <m/>
    <n v="0"/>
    <n v="0"/>
    <n v="0"/>
    <n v="0"/>
    <n v="0.09"/>
    <m/>
    <n v="0"/>
    <n v="0.9"/>
    <n v="0"/>
    <m/>
    <n v="0"/>
    <n v="0.99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Bevitiky"/>
    <m/>
    <m/>
    <m/>
    <n v="317"/>
    <n v="317"/>
    <x v="1"/>
    <m/>
    <n v="90"/>
    <m/>
    <n v="0"/>
    <n v="0"/>
    <n v="0"/>
    <n v="0"/>
    <n v="0.5706"/>
    <m/>
    <n v="0"/>
    <n v="5.7060000000000004"/>
    <n v="0"/>
    <m/>
    <n v="0"/>
    <n v="6.2766000000000002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x v="1"/>
    <m/>
    <n v="90"/>
    <m/>
    <n v="0"/>
    <n v="0"/>
    <n v="0"/>
    <n v="0"/>
    <n v="1.2185999999999999"/>
    <m/>
    <n v="0"/>
    <n v="12.186"/>
    <n v="0"/>
    <m/>
    <n v="0"/>
    <n v="13.4046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Gogogogo"/>
    <m/>
    <m/>
    <m/>
    <n v="948"/>
    <n v="948"/>
    <x v="1"/>
    <m/>
    <n v="90"/>
    <m/>
    <n v="0"/>
    <n v="0"/>
    <n v="0"/>
    <n v="0"/>
    <n v="1.7063999999999999"/>
    <m/>
    <n v="0"/>
    <n v="17.064"/>
    <n v="0"/>
    <m/>
    <n v="0"/>
    <n v="18.770399999999999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Lazarivo"/>
    <m/>
    <m/>
    <m/>
    <n v="545"/>
    <n v="545"/>
    <x v="1"/>
    <m/>
    <n v="90"/>
    <m/>
    <n v="0"/>
    <n v="0"/>
    <n v="0"/>
    <n v="0"/>
    <n v="0.98099999999999998"/>
    <m/>
    <n v="0"/>
    <n v="9.81"/>
    <n v="0"/>
    <m/>
    <n v="0"/>
    <n v="10.791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x v="1"/>
    <m/>
    <n v="90"/>
    <m/>
    <n v="0"/>
    <n v="0"/>
    <n v="0"/>
    <n v="0"/>
    <n v="0.51839999999999997"/>
    <m/>
    <n v="0"/>
    <n v="5.1840000000000002"/>
    <n v="0"/>
    <m/>
    <n v="0"/>
    <n v="5.7023999999999999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x v="1"/>
    <m/>
    <n v="90"/>
    <m/>
    <n v="0"/>
    <n v="0"/>
    <n v="0"/>
    <n v="0"/>
    <n v="1.8666"/>
    <m/>
    <n v="0"/>
    <n v="18.666"/>
    <n v="0"/>
    <m/>
    <n v="0"/>
    <n v="20.532600000000002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Manakompy"/>
    <m/>
    <m/>
    <m/>
    <n v="338"/>
    <n v="338"/>
    <x v="1"/>
    <m/>
    <n v="90"/>
    <m/>
    <n v="0"/>
    <n v="0"/>
    <n v="0"/>
    <n v="0"/>
    <n v="0.60840000000000005"/>
    <m/>
    <n v="0"/>
    <n v="6.0839999999999996"/>
    <n v="0"/>
    <m/>
    <n v="0"/>
    <n v="6.6923999999999992"/>
    <m/>
    <m/>
  </r>
  <r>
    <x v="0"/>
    <n v="2024"/>
    <x v="2"/>
    <s v="Nutrition"/>
    <x v="5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x v="1"/>
    <m/>
    <n v="90"/>
    <m/>
    <n v="0"/>
    <n v="0"/>
    <n v="0"/>
    <n v="0"/>
    <n v="1.3715999999999999"/>
    <m/>
    <n v="0"/>
    <n v="13.715999999999999"/>
    <n v="0"/>
    <m/>
    <n v="0"/>
    <n v="15.087599999999998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s v="Betioky"/>
    <m/>
    <s v="Marosavoa"/>
    <m/>
    <m/>
    <m/>
    <n v="188"/>
    <n v="188"/>
    <x v="1"/>
    <m/>
    <n v="90"/>
    <m/>
    <n v="0"/>
    <n v="0"/>
    <n v="0"/>
    <n v="0"/>
    <n v="0.33839999999999998"/>
    <m/>
    <n v="0"/>
    <n v="3.3839999999999999"/>
    <n v="0"/>
    <m/>
    <n v="0"/>
    <n v="3.7223999999999999"/>
    <m/>
    <m/>
  </r>
  <r>
    <x v="0"/>
    <n v="2024"/>
    <x v="2"/>
    <s v="Nutrition"/>
    <x v="5"/>
    <s v="URT_PREV:Prevention of acute malnutrition"/>
    <n v="1"/>
    <m/>
    <m/>
    <x v="2"/>
    <s v="Tuléar"/>
    <s v="Atsimo Andrefana"/>
    <s v="Ampanihy Ouest"/>
    <m/>
    <s v="Ankilizato"/>
    <m/>
    <m/>
    <m/>
    <n v="397"/>
    <n v="397"/>
    <x v="1"/>
    <m/>
    <n v="90"/>
    <m/>
    <n v="0"/>
    <n v="0"/>
    <n v="0"/>
    <n v="0"/>
    <n v="0.71460000000000001"/>
    <m/>
    <n v="0"/>
    <n v="7.1459999999999999"/>
    <n v="0"/>
    <m/>
    <n v="0"/>
    <n v="7.8605999999999998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Maroviro"/>
    <m/>
    <m/>
    <m/>
    <n v="621"/>
    <n v="621"/>
    <x v="1"/>
    <m/>
    <n v="90"/>
    <m/>
    <n v="0"/>
    <n v="0"/>
    <n v="0"/>
    <n v="0"/>
    <n v="1.1177999999999999"/>
    <m/>
    <n v="0"/>
    <n v="11.178000000000001"/>
    <n v="0"/>
    <m/>
    <n v="0"/>
    <n v="12.2958"/>
    <m/>
    <m/>
  </r>
  <r>
    <x v="0"/>
    <n v="2024"/>
    <x v="2"/>
    <s v="Nutrition"/>
    <x v="5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x v="1"/>
    <m/>
    <n v="90"/>
    <n v="0"/>
    <n v="0"/>
    <n v="0"/>
    <n v="0"/>
    <n v="0"/>
    <n v="2.3759999999999999"/>
    <m/>
    <n v="0"/>
    <n v="23.76"/>
    <n v="0"/>
    <n v="0"/>
    <n v="0"/>
    <n v="26.136000000000003"/>
    <m/>
    <m/>
  </r>
  <r>
    <x v="0"/>
    <n v="2024"/>
    <x v="2"/>
    <s v="Nutrition"/>
    <x v="5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x v="1"/>
    <m/>
    <n v="90"/>
    <m/>
    <n v="0"/>
    <n v="0"/>
    <n v="0"/>
    <n v="0"/>
    <n v="0.76139999999999997"/>
    <m/>
    <n v="0"/>
    <n v="7.6139999999999999"/>
    <n v="0"/>
    <m/>
    <n v="0"/>
    <n v="8.3753999999999991"/>
    <m/>
    <m/>
  </r>
  <r>
    <x v="0"/>
    <n v="2024"/>
    <x v="2"/>
    <s v="Nutrition"/>
    <x v="5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x v="1"/>
    <m/>
    <n v="90"/>
    <m/>
    <n v="0"/>
    <n v="0"/>
    <n v="0"/>
    <n v="0"/>
    <n v="0.99360000000000004"/>
    <m/>
    <n v="0"/>
    <n v="9.9359999999999999"/>
    <n v="0"/>
    <m/>
    <n v="0"/>
    <n v="10.929600000000001"/>
    <m/>
    <m/>
  </r>
  <r>
    <x v="0"/>
    <n v="2024"/>
    <x v="2"/>
    <s v="Nutrition"/>
    <x v="5"/>
    <s v="URT_PREV:Prevention of acute malnutrition"/>
    <n v="1"/>
    <m/>
    <m/>
    <x v="0"/>
    <s v="Taolagnaro"/>
    <s v="Androy"/>
    <s v="Ambovombe"/>
    <m/>
    <s v="Jafaro"/>
    <m/>
    <m/>
    <m/>
    <n v="1334"/>
    <n v="1334"/>
    <x v="1"/>
    <m/>
    <n v="90"/>
    <m/>
    <n v="0"/>
    <n v="0"/>
    <n v="0"/>
    <n v="0"/>
    <n v="2.4011999999999998"/>
    <m/>
    <n v="0"/>
    <n v="24.012"/>
    <n v="0"/>
    <m/>
    <n v="0"/>
    <n v="26.4132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Tongobory"/>
    <m/>
    <m/>
    <m/>
    <n v="436"/>
    <n v="436"/>
    <x v="1"/>
    <m/>
    <n v="90"/>
    <m/>
    <n v="0"/>
    <n v="0"/>
    <n v="0"/>
    <n v="0"/>
    <n v="0.78480000000000005"/>
    <m/>
    <n v="0"/>
    <n v="7.8479999999999999"/>
    <n v="0"/>
    <m/>
    <n v="0"/>
    <n v="8.6327999999999996"/>
    <m/>
    <m/>
  </r>
  <r>
    <x v="0"/>
    <n v="2024"/>
    <x v="2"/>
    <s v="Nutrition"/>
    <x v="5"/>
    <s v="URT_PREV:Prevention of acute malnutrition"/>
    <n v="1"/>
    <m/>
    <m/>
    <x v="3"/>
    <s v="Tuléar"/>
    <s v="Atsimo Andrefana"/>
    <s v="Betioky"/>
    <m/>
    <s v="Maroarivo Ankazomanga"/>
    <m/>
    <m/>
    <m/>
    <n v="323"/>
    <n v="323"/>
    <x v="1"/>
    <m/>
    <n v="90"/>
    <n v="0"/>
    <n v="0"/>
    <n v="0"/>
    <n v="0"/>
    <n v="0"/>
    <n v="0.58140000000000003"/>
    <m/>
    <n v="0"/>
    <n v="5.8140000000000001"/>
    <n v="0"/>
    <n v="0"/>
    <n v="0"/>
    <n v="6.3954000000000004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loha"/>
    <m/>
    <s v="Tranovaho"/>
    <m/>
    <m/>
    <m/>
    <n v="631"/>
    <n v="631"/>
    <x v="1"/>
    <m/>
    <n v="90"/>
    <m/>
    <n v="0"/>
    <n v="0"/>
    <n v="0"/>
    <n v="0"/>
    <n v="1.1357999999999999"/>
    <m/>
    <n v="0"/>
    <n v="11.358000000000001"/>
    <n v="0"/>
    <m/>
    <n v="0"/>
    <n v="12.4938"/>
    <m/>
    <m/>
  </r>
  <r>
    <x v="0"/>
    <n v="2024"/>
    <x v="2"/>
    <s v="Nutrition"/>
    <x v="5"/>
    <s v="URT_PREV:Prevention of acute malnutrition"/>
    <n v="1"/>
    <m/>
    <m/>
    <x v="0"/>
    <s v="Taolagnaro"/>
    <s v="Androy"/>
    <s v="Bekily"/>
    <m/>
    <s v="Tsikolaky"/>
    <m/>
    <m/>
    <m/>
    <n v="287"/>
    <n v="287"/>
    <x v="1"/>
    <m/>
    <n v="90"/>
    <m/>
    <n v="0"/>
    <n v="0"/>
    <n v="0"/>
    <n v="0"/>
    <n v="0.51659999999999995"/>
    <m/>
    <n v="0"/>
    <n v="5.1660000000000004"/>
    <n v="0"/>
    <m/>
    <n v="0"/>
    <n v="5.6826000000000008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Salobe"/>
    <m/>
    <m/>
    <m/>
    <n v="222"/>
    <n v="222"/>
    <x v="1"/>
    <m/>
    <n v="90"/>
    <n v="0"/>
    <n v="0"/>
    <n v="0"/>
    <n v="0"/>
    <n v="0"/>
    <n v="0.39960000000000001"/>
    <m/>
    <n v="0"/>
    <n v="3.996"/>
    <n v="0"/>
    <n v="0"/>
    <n v="0"/>
    <n v="4.3956"/>
    <m/>
    <m/>
  </r>
  <r>
    <x v="0"/>
    <n v="2024"/>
    <x v="2"/>
    <s v="Nutrition"/>
    <x v="5"/>
    <s v="URT_PREV:Prevention of acute malnutrition"/>
    <n v="2"/>
    <m/>
    <m/>
    <x v="3"/>
    <s v="Tuléar"/>
    <s v="Atsimo Andrefana"/>
    <s v="Betioky"/>
    <m/>
    <s v="Tanambao Haut"/>
    <m/>
    <m/>
    <m/>
    <n v="288"/>
    <n v="288"/>
    <x v="1"/>
    <m/>
    <n v="90"/>
    <n v="0"/>
    <n v="0"/>
    <n v="0"/>
    <n v="0"/>
    <n v="0"/>
    <n v="0.51839999999999997"/>
    <m/>
    <n v="0"/>
    <n v="5.1840000000000002"/>
    <n v="0"/>
    <n v="0"/>
    <n v="0"/>
    <n v="5.7023999999999999"/>
    <m/>
    <m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Ambahita"/>
    <m/>
    <m/>
    <m/>
    <n v="1002"/>
    <n v="1002"/>
    <x v="1"/>
    <m/>
    <n v="30"/>
    <n v="0"/>
    <n v="0"/>
    <n v="0"/>
    <n v="0"/>
    <n v="0"/>
    <n v="0"/>
    <n v="0"/>
    <n v="0"/>
    <n v="0"/>
    <n v="0"/>
    <n v="1.5029999999999999"/>
    <n v="0"/>
    <n v="1.5029999999999999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Amborompotsy"/>
    <m/>
    <m/>
    <m/>
    <n v="1058"/>
    <n v="1058"/>
    <x v="1"/>
    <m/>
    <n v="30"/>
    <n v="0"/>
    <n v="0"/>
    <n v="0"/>
    <n v="0"/>
    <n v="0"/>
    <n v="0"/>
    <n v="0"/>
    <n v="0"/>
    <n v="0"/>
    <n v="0"/>
    <n v="1.587"/>
    <n v="0"/>
    <n v="1.58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Ambovombe"/>
    <m/>
    <s v="Andalatanosy"/>
    <m/>
    <m/>
    <m/>
    <n v="2030"/>
    <n v="2030"/>
    <x v="1"/>
    <m/>
    <n v="30"/>
    <n v="0"/>
    <n v="0"/>
    <n v="0"/>
    <n v="0"/>
    <n v="0"/>
    <n v="0"/>
    <n v="0"/>
    <n v="0"/>
    <n v="0"/>
    <n v="0"/>
    <n v="3.0449999999999999"/>
    <n v="0"/>
    <n v="3.0449999999999999"/>
    <m/>
    <n v="0"/>
  </r>
  <r>
    <x v="1"/>
    <n v="2024"/>
    <x v="2"/>
    <s v="Nutrition"/>
    <x v="4"/>
    <s v="URT_PREV:Prevention of acute malnutrition"/>
    <n v="2"/>
    <m/>
    <m/>
    <x v="0"/>
    <s v="Taolagnaro"/>
    <s v="Anosy"/>
    <s v="Taolagnaro"/>
    <m/>
    <s v="Andranobory"/>
    <m/>
    <m/>
    <m/>
    <n v="437"/>
    <n v="437"/>
    <x v="1"/>
    <m/>
    <n v="30"/>
    <n v="0"/>
    <n v="0"/>
    <n v="0"/>
    <n v="0"/>
    <n v="0"/>
    <n v="0"/>
    <n v="0"/>
    <n v="0"/>
    <n v="0"/>
    <n v="0"/>
    <n v="0.65549999999999997"/>
    <n v="0"/>
    <n v="0.65549999999999997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Androipano"/>
    <m/>
    <m/>
    <m/>
    <m/>
    <n v="0"/>
    <x v="1"/>
    <m/>
    <n v="30"/>
    <n v="0"/>
    <n v="0"/>
    <n v="0"/>
    <n v="0"/>
    <n v="0"/>
    <n v="0"/>
    <n v="0"/>
    <n v="0"/>
    <n v="0"/>
    <n v="0"/>
    <n v="0"/>
    <n v="0"/>
    <n v="0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Androka"/>
    <m/>
    <m/>
    <m/>
    <n v="2100"/>
    <n v="2100"/>
    <x v="1"/>
    <m/>
    <n v="30"/>
    <n v="0"/>
    <n v="0"/>
    <n v="0"/>
    <n v="0"/>
    <n v="0"/>
    <n v="0"/>
    <n v="0"/>
    <n v="0"/>
    <n v="0"/>
    <n v="0"/>
    <n v="3.15"/>
    <n v="0"/>
    <n v="3.15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Anivorano Mitsinjo"/>
    <m/>
    <m/>
    <m/>
    <n v="408"/>
    <n v="408"/>
    <x v="1"/>
    <m/>
    <n v="30"/>
    <n v="0"/>
    <n v="0"/>
    <n v="0"/>
    <n v="0"/>
    <n v="0"/>
    <n v="0"/>
    <n v="0"/>
    <n v="0"/>
    <n v="0"/>
    <n v="0"/>
    <n v="0.61199999999999999"/>
    <n v="0"/>
    <n v="0.61199999999999999"/>
    <m/>
    <n v="0"/>
  </r>
  <r>
    <x v="1"/>
    <n v="2024"/>
    <x v="2"/>
    <s v="Nutrition"/>
    <x v="4"/>
    <s v="URT_PREV:Prevention of acute malnutrition"/>
    <n v="1"/>
    <m/>
    <m/>
    <x v="1"/>
    <m/>
    <s v="Vatovavy"/>
    <s v="Nosy Varika"/>
    <s v="YPA"/>
    <s v="Ambahy"/>
    <m/>
    <m/>
    <m/>
    <n v="225"/>
    <n v="225"/>
    <x v="1"/>
    <m/>
    <n v="30"/>
    <n v="0"/>
    <n v="0"/>
    <n v="0"/>
    <n v="0"/>
    <n v="0"/>
    <n v="0"/>
    <n v="0"/>
    <n v="0"/>
    <n v="0"/>
    <n v="0"/>
    <n v="0.33750000000000002"/>
    <n v="0"/>
    <n v="0.33750000000000002"/>
    <m/>
    <m/>
  </r>
  <r>
    <x v="1"/>
    <n v="2024"/>
    <x v="2"/>
    <s v="Nutrition"/>
    <x v="4"/>
    <s v="URT_PREV:Prevention of acute malnutrition"/>
    <m/>
    <m/>
    <m/>
    <x v="1"/>
    <m/>
    <s v="Vatovavy"/>
    <s v="Nosy Varika"/>
    <s v="YPA"/>
    <s v="Ambodirian'I Sahafary"/>
    <m/>
    <m/>
    <m/>
    <n v="1094"/>
    <n v="1094"/>
    <x v="1"/>
    <m/>
    <n v="30"/>
    <n v="0"/>
    <n v="0"/>
    <n v="0"/>
    <n v="0"/>
    <n v="0"/>
    <n v="0"/>
    <n v="0"/>
    <n v="0"/>
    <n v="0"/>
    <n v="0"/>
    <n v="1.641"/>
    <n v="0"/>
    <n v="1.641"/>
    <m/>
    <m/>
  </r>
  <r>
    <x v="1"/>
    <n v="2024"/>
    <x v="2"/>
    <s v="Nutrition"/>
    <x v="4"/>
    <s v="URT_PREV:Prevention of acute malnutrition"/>
    <m/>
    <m/>
    <m/>
    <x v="1"/>
    <m/>
    <s v="Atsimo Antsinana"/>
    <s v="Vondrozo"/>
    <s v="WHH"/>
    <s v="Anandravy"/>
    <m/>
    <m/>
    <m/>
    <n v="288"/>
    <n v="288"/>
    <x v="1"/>
    <m/>
    <n v="30"/>
    <n v="0"/>
    <n v="0"/>
    <n v="0"/>
    <n v="0"/>
    <n v="0"/>
    <n v="0"/>
    <n v="0"/>
    <n v="0"/>
    <n v="0"/>
    <n v="0"/>
    <n v="0.432"/>
    <n v="0"/>
    <n v="0.432"/>
    <m/>
    <n v="0"/>
  </r>
  <r>
    <x v="1"/>
    <n v="2024"/>
    <x v="2"/>
    <s v="Nutrition"/>
    <x v="4"/>
    <s v="URT_PREV:Prevention of acute malnutrition"/>
    <m/>
    <m/>
    <m/>
    <x v="1"/>
    <m/>
    <s v="Atsimo Antsinana"/>
    <s v="Midongy Atsimo"/>
    <s v="WHH"/>
    <s v="Andranolalina"/>
    <m/>
    <m/>
    <m/>
    <n v="440"/>
    <n v="440"/>
    <x v="1"/>
    <m/>
    <n v="30"/>
    <n v="0"/>
    <n v="0"/>
    <n v="0"/>
    <n v="0"/>
    <n v="0"/>
    <n v="0"/>
    <n v="0"/>
    <n v="0"/>
    <n v="0"/>
    <n v="0"/>
    <n v="0.66"/>
    <n v="0"/>
    <n v="0.66"/>
    <m/>
    <m/>
  </r>
  <r>
    <x v="1"/>
    <n v="2024"/>
    <x v="2"/>
    <s v="Nutrition"/>
    <x v="4"/>
    <s v="URT_PREV:Prevention of acute malnutrition"/>
    <m/>
    <m/>
    <m/>
    <x v="1"/>
    <m/>
    <s v="Atsimo Antsinana"/>
    <s v="Vondrozo"/>
    <s v="WHH"/>
    <s v="Mahatsinjo"/>
    <m/>
    <m/>
    <m/>
    <n v="461"/>
    <n v="461"/>
    <x v="1"/>
    <m/>
    <n v="30"/>
    <n v="0"/>
    <n v="0"/>
    <n v="0"/>
    <n v="0"/>
    <n v="0"/>
    <n v="0"/>
    <n v="0"/>
    <n v="0"/>
    <n v="0"/>
    <n v="0"/>
    <n v="0.6915"/>
    <n v="0"/>
    <n v="0.6915"/>
    <m/>
    <n v="0"/>
  </r>
  <r>
    <x v="1"/>
    <n v="2024"/>
    <x v="2"/>
    <s v="Nutrition"/>
    <x v="4"/>
    <s v="URT_PREV:Prevention of acute malnutrition"/>
    <m/>
    <m/>
    <m/>
    <x v="1"/>
    <m/>
    <s v="Atsimo Antsinana"/>
    <s v="Vangaindrano"/>
    <s v="WHH"/>
    <s v="Matanga"/>
    <m/>
    <m/>
    <m/>
    <n v="824"/>
    <n v="824"/>
    <x v="1"/>
    <m/>
    <n v="30"/>
    <m/>
    <m/>
    <m/>
    <m/>
    <m/>
    <m/>
    <m/>
    <m/>
    <m/>
    <m/>
    <n v="1.236"/>
    <n v="0"/>
    <n v="1.236"/>
    <m/>
    <m/>
  </r>
  <r>
    <x v="1"/>
    <n v="2024"/>
    <x v="2"/>
    <s v="Nutrition"/>
    <x v="4"/>
    <s v="URT_PREV:Prevention of acute malnutrition"/>
    <m/>
    <m/>
    <m/>
    <x v="1"/>
    <m/>
    <s v="Atsimo Antsinana"/>
    <s v="Befotaka"/>
    <s v="WHH"/>
    <s v="Antondabe"/>
    <s v="TBD"/>
    <m/>
    <m/>
    <n v="310"/>
    <n v="310"/>
    <x v="1"/>
    <m/>
    <n v="30"/>
    <n v="0"/>
    <n v="0"/>
    <n v="0"/>
    <n v="0"/>
    <n v="0"/>
    <n v="0"/>
    <n v="0"/>
    <n v="0"/>
    <n v="0"/>
    <n v="0"/>
    <n v="0.46500000000000002"/>
    <n v="0"/>
    <n v="0.46500000000000002"/>
    <m/>
    <n v="0"/>
  </r>
  <r>
    <x v="1"/>
    <n v="2024"/>
    <x v="2"/>
    <s v="Nutrition"/>
    <x v="4"/>
    <s v="URT_PREV:Prevention of acute malnutrition"/>
    <m/>
    <m/>
    <m/>
    <x v="1"/>
    <m/>
    <s v="Atsimo Antsinana"/>
    <s v="Befotaka"/>
    <s v="WHH"/>
    <s v="Befotaka Sud"/>
    <s v="TBD"/>
    <m/>
    <m/>
    <n v="615"/>
    <n v="615"/>
    <x v="1"/>
    <m/>
    <n v="30"/>
    <n v="0"/>
    <n v="0"/>
    <n v="0"/>
    <n v="0"/>
    <n v="0"/>
    <n v="0"/>
    <n v="0"/>
    <n v="0"/>
    <n v="0"/>
    <n v="0"/>
    <n v="0.92249999999999999"/>
    <n v="0"/>
    <n v="0.92249999999999999"/>
    <m/>
    <n v="0"/>
  </r>
  <r>
    <x v="1"/>
    <n v="2024"/>
    <x v="2"/>
    <s v="Nutrition"/>
    <x v="4"/>
    <s v="URT_PREV:Prevention of acute malnutrition"/>
    <m/>
    <m/>
    <m/>
    <x v="1"/>
    <m/>
    <s v="Vatovavy"/>
    <s v="Nosy Varika"/>
    <s v="YPA"/>
    <s v="Fanivelona"/>
    <m/>
    <m/>
    <m/>
    <n v="614"/>
    <n v="614"/>
    <x v="1"/>
    <m/>
    <n v="30"/>
    <n v="0"/>
    <n v="0"/>
    <n v="0"/>
    <n v="0"/>
    <n v="0"/>
    <n v="0"/>
    <n v="0"/>
    <n v="0"/>
    <n v="0"/>
    <n v="0"/>
    <n v="0.92100000000000004"/>
    <n v="0"/>
    <n v="0.92100000000000004"/>
    <m/>
    <m/>
  </r>
  <r>
    <x v="1"/>
    <n v="2024"/>
    <x v="2"/>
    <s v="Nutrition"/>
    <x v="4"/>
    <s v="URT_PREV:Prevention of acute malnutrition"/>
    <m/>
    <m/>
    <m/>
    <x v="1"/>
    <m/>
    <s v="Vatovavy"/>
    <s v="Nosy Varika"/>
    <s v="YPA"/>
    <s v="Fiadanana"/>
    <m/>
    <m/>
    <m/>
    <n v="768"/>
    <n v="768"/>
    <x v="1"/>
    <m/>
    <n v="30"/>
    <n v="0"/>
    <n v="0"/>
    <n v="0"/>
    <n v="0"/>
    <n v="0"/>
    <n v="0"/>
    <n v="0"/>
    <n v="0"/>
    <n v="0"/>
    <n v="0"/>
    <n v="1.1519999999999999"/>
    <n v="0"/>
    <n v="1.1519999999999999"/>
    <m/>
    <m/>
  </r>
  <r>
    <x v="1"/>
    <n v="2024"/>
    <x v="2"/>
    <s v="Nutrition"/>
    <x v="4"/>
    <s v="URT_PREV:Prevention of acute malnutrition"/>
    <m/>
    <m/>
    <m/>
    <x v="1"/>
    <m/>
    <s v="Atsimo Antsinana"/>
    <s v="Midongy Atsimo"/>
    <s v="WHH"/>
    <s v="Ivondro"/>
    <m/>
    <m/>
    <m/>
    <n v="449"/>
    <n v="449"/>
    <x v="1"/>
    <m/>
    <n v="30"/>
    <n v="0"/>
    <n v="0"/>
    <n v="0"/>
    <n v="0"/>
    <n v="0"/>
    <n v="0"/>
    <n v="0"/>
    <n v="0"/>
    <n v="0"/>
    <n v="0"/>
    <n v="0.67349999999999999"/>
    <n v="0"/>
    <n v="0.67349999999999999"/>
    <m/>
    <m/>
  </r>
  <r>
    <x v="1"/>
    <n v="2024"/>
    <x v="2"/>
    <s v="Nutrition"/>
    <x v="4"/>
    <s v="URT_PREV:Prevention of acute malnutrition"/>
    <m/>
    <m/>
    <m/>
    <x v="1"/>
    <m/>
    <s v="Atsimo Antsinana"/>
    <s v="Vangaindrano"/>
    <s v="WHH"/>
    <s v="Manambondro"/>
    <m/>
    <m/>
    <m/>
    <n v="292"/>
    <n v="292"/>
    <x v="1"/>
    <m/>
    <n v="30"/>
    <m/>
    <m/>
    <m/>
    <m/>
    <m/>
    <m/>
    <m/>
    <m/>
    <m/>
    <m/>
    <n v="0.438"/>
    <n v="0"/>
    <n v="0.438"/>
    <m/>
    <m/>
  </r>
  <r>
    <x v="1"/>
    <n v="2024"/>
    <x v="2"/>
    <s v="Nutrition"/>
    <x v="4"/>
    <s v="URT_PREV:Prevention of acute malnutrition"/>
    <m/>
    <m/>
    <m/>
    <x v="1"/>
    <m/>
    <s v="Atsimo Antsinana"/>
    <s v="Vangaindrano"/>
    <s v="WHH"/>
    <s v="Marokibo"/>
    <m/>
    <m/>
    <m/>
    <n v="256"/>
    <n v="256"/>
    <x v="1"/>
    <m/>
    <n v="30"/>
    <m/>
    <m/>
    <m/>
    <m/>
    <m/>
    <m/>
    <m/>
    <m/>
    <m/>
    <m/>
    <n v="0.38400000000000001"/>
    <n v="0"/>
    <n v="0.38400000000000001"/>
    <m/>
    <m/>
  </r>
  <r>
    <x v="1"/>
    <n v="2024"/>
    <x v="2"/>
    <s v="Nutrition"/>
    <x v="4"/>
    <s v="URT_PREV:Prevention of acute malnutrition"/>
    <m/>
    <m/>
    <m/>
    <x v="1"/>
    <m/>
    <s v="Atsimo Antsinana"/>
    <s v="Vangaindrano"/>
    <s v="WHH"/>
    <s v="Masianaka"/>
    <m/>
    <m/>
    <m/>
    <n v="1189"/>
    <n v="1189"/>
    <x v="1"/>
    <m/>
    <n v="30"/>
    <m/>
    <m/>
    <m/>
    <m/>
    <m/>
    <m/>
    <m/>
    <m/>
    <m/>
    <m/>
    <n v="1.7835000000000001"/>
    <n v="0"/>
    <n v="1.7835000000000001"/>
    <m/>
    <m/>
  </r>
  <r>
    <x v="1"/>
    <n v="2024"/>
    <x v="2"/>
    <s v="Nutrition"/>
    <x v="4"/>
    <s v="URT_PREV:Prevention of acute malnutrition"/>
    <m/>
    <m/>
    <m/>
    <x v="1"/>
    <m/>
    <s v="Atsimo Antsinana"/>
    <s v="Vangaindrano"/>
    <s v="WHH"/>
    <s v="Ranomena"/>
    <m/>
    <m/>
    <m/>
    <n v="1051"/>
    <n v="1051"/>
    <x v="1"/>
    <m/>
    <n v="30"/>
    <m/>
    <m/>
    <m/>
    <m/>
    <m/>
    <m/>
    <m/>
    <m/>
    <m/>
    <m/>
    <n v="1.5765"/>
    <n v="0"/>
    <n v="1.5765"/>
    <m/>
    <m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Anja Nord"/>
    <m/>
    <m/>
    <m/>
    <n v="226"/>
    <n v="226"/>
    <x v="1"/>
    <m/>
    <n v="30"/>
    <n v="0"/>
    <n v="0"/>
    <n v="0"/>
    <n v="0"/>
    <n v="0"/>
    <n v="0"/>
    <n v="0"/>
    <n v="0"/>
    <n v="0"/>
    <n v="0"/>
    <n v="0.33900000000000002"/>
    <n v="0"/>
    <n v="0.33900000000000002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Ambovombe"/>
    <m/>
    <s v="Ampamata"/>
    <m/>
    <m/>
    <m/>
    <n v="609"/>
    <n v="609"/>
    <x v="1"/>
    <m/>
    <n v="30"/>
    <n v="0"/>
    <n v="0"/>
    <n v="0"/>
    <n v="0"/>
    <n v="0"/>
    <n v="0"/>
    <n v="0"/>
    <n v="0"/>
    <n v="0"/>
    <n v="0"/>
    <n v="0.91349999999999998"/>
    <n v="0"/>
    <n v="0.91349999999999998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Ambovombe"/>
    <m/>
    <s v="Anjeky Ankilikira"/>
    <m/>
    <m/>
    <m/>
    <n v="1133"/>
    <n v="1133"/>
    <x v="1"/>
    <m/>
    <n v="30"/>
    <n v="0"/>
    <n v="0"/>
    <n v="0"/>
    <n v="0"/>
    <n v="0"/>
    <n v="0"/>
    <n v="0"/>
    <n v="0"/>
    <n v="0"/>
    <n v="0"/>
    <n v="1.6995"/>
    <n v="0"/>
    <n v="1.699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Ankazombalala"/>
    <m/>
    <m/>
    <m/>
    <n v="720"/>
    <n v="720"/>
    <x v="1"/>
    <m/>
    <n v="30"/>
    <n v="0"/>
    <n v="0"/>
    <n v="0"/>
    <n v="0"/>
    <n v="0"/>
    <n v="0"/>
    <n v="0"/>
    <n v="0"/>
    <n v="0"/>
    <n v="0"/>
    <n v="1.08"/>
    <n v="0"/>
    <n v="1.08"/>
    <m/>
    <n v="0"/>
  </r>
  <r>
    <x v="1"/>
    <n v="2024"/>
    <x v="2"/>
    <s v="Nutrition"/>
    <x v="4"/>
    <s v="URT_PREV:Prevention of acute malnutrition"/>
    <n v="2"/>
    <m/>
    <m/>
    <x v="2"/>
    <s v="Tuléar"/>
    <s v="Atsimo Andrefana"/>
    <s v="Ampanihy Ouest"/>
    <m/>
    <s v="Ankiliabo"/>
    <m/>
    <m/>
    <m/>
    <n v="1086"/>
    <n v="1086"/>
    <x v="1"/>
    <m/>
    <n v="30"/>
    <n v="0"/>
    <n v="0"/>
    <n v="0"/>
    <n v="0"/>
    <n v="0"/>
    <n v="0"/>
    <n v="0"/>
    <n v="0"/>
    <n v="0"/>
    <n v="0"/>
    <n v="1.629"/>
    <n v="0"/>
    <n v="1.62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Antsakoamaro"/>
    <m/>
    <m/>
    <m/>
    <n v="372"/>
    <n v="372"/>
    <x v="1"/>
    <m/>
    <n v="30"/>
    <n v="0"/>
    <n v="0"/>
    <n v="0"/>
    <n v="0"/>
    <n v="0"/>
    <n v="0"/>
    <n v="0"/>
    <n v="0"/>
    <n v="0"/>
    <n v="0"/>
    <n v="0.55800000000000005"/>
    <n v="0"/>
    <n v="0.55800000000000005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Belafike haut"/>
    <m/>
    <m/>
    <m/>
    <n v="612"/>
    <n v="612"/>
    <x v="1"/>
    <m/>
    <n v="30"/>
    <n v="0"/>
    <n v="0"/>
    <n v="0"/>
    <n v="0"/>
    <n v="0"/>
    <n v="0"/>
    <n v="0"/>
    <n v="0"/>
    <n v="0"/>
    <n v="0"/>
    <n v="0.91800000000000004"/>
    <n v="0"/>
    <n v="0.91800000000000004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Belindo Mahasoa"/>
    <m/>
    <m/>
    <m/>
    <n v="900"/>
    <n v="900"/>
    <x v="1"/>
    <m/>
    <n v="30"/>
    <n v="0"/>
    <n v="0"/>
    <n v="0"/>
    <n v="0"/>
    <n v="0"/>
    <n v="0"/>
    <n v="0"/>
    <n v="0"/>
    <n v="0"/>
    <n v="0"/>
    <n v="1.35"/>
    <n v="0"/>
    <n v="1.3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Ankazomanga Ouest"/>
    <m/>
    <m/>
    <m/>
    <n v="218"/>
    <n v="218"/>
    <x v="1"/>
    <m/>
    <n v="30"/>
    <n v="0"/>
    <n v="0"/>
    <n v="0"/>
    <n v="0"/>
    <n v="0"/>
    <n v="0"/>
    <n v="0"/>
    <n v="0"/>
    <n v="0"/>
    <n v="0"/>
    <n v="0.32700000000000001"/>
    <n v="0"/>
    <n v="0.32700000000000001"/>
    <m/>
    <m/>
  </r>
  <r>
    <x v="1"/>
    <n v="2024"/>
    <x v="2"/>
    <s v="Nutrition"/>
    <x v="4"/>
    <s v="URT_PREV:Prevention of acute malnutrition"/>
    <n v="1"/>
    <m/>
    <m/>
    <x v="3"/>
    <s v="Tuléar"/>
    <s v="Atsimo Andrefana"/>
    <s v="Betioky"/>
    <m/>
    <s v="Beora"/>
    <m/>
    <m/>
    <m/>
    <n v="60"/>
    <n v="60"/>
    <x v="1"/>
    <m/>
    <n v="30"/>
    <n v="0"/>
    <n v="0"/>
    <n v="0"/>
    <n v="0"/>
    <n v="0"/>
    <n v="0"/>
    <n v="0"/>
    <n v="0"/>
    <n v="0"/>
    <n v="0"/>
    <n v="0.09"/>
    <n v="0"/>
    <n v="0.0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Bevitiky"/>
    <m/>
    <m/>
    <m/>
    <n v="380"/>
    <n v="380"/>
    <x v="1"/>
    <m/>
    <n v="30"/>
    <n v="0"/>
    <n v="0"/>
    <n v="0"/>
    <n v="0"/>
    <n v="0"/>
    <n v="0"/>
    <n v="0"/>
    <n v="0"/>
    <n v="0"/>
    <n v="0"/>
    <n v="0.56999999999999995"/>
    <n v="0"/>
    <n v="0.56999999999999995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s v="Amboasary"/>
    <m/>
    <s v="Ebelo"/>
    <m/>
    <m/>
    <m/>
    <n v="813"/>
    <n v="813"/>
    <x v="1"/>
    <m/>
    <n v="30"/>
    <n v="0"/>
    <n v="0"/>
    <n v="0"/>
    <n v="0"/>
    <n v="0"/>
    <n v="0"/>
    <n v="0"/>
    <n v="0"/>
    <n v="0"/>
    <n v="0"/>
    <n v="1.2195"/>
    <n v="0"/>
    <n v="1.2195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Gogogogo"/>
    <m/>
    <m/>
    <m/>
    <n v="1137"/>
    <n v="1137"/>
    <x v="1"/>
    <m/>
    <n v="30"/>
    <n v="0"/>
    <n v="0"/>
    <n v="0"/>
    <n v="0"/>
    <n v="0"/>
    <n v="0"/>
    <n v="0"/>
    <n v="0"/>
    <n v="0"/>
    <n v="0"/>
    <n v="1.7055"/>
    <n v="0"/>
    <n v="1.705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Lazarivo"/>
    <m/>
    <m/>
    <m/>
    <n v="654"/>
    <n v="654"/>
    <x v="1"/>
    <m/>
    <n v="30"/>
    <n v="0"/>
    <n v="0"/>
    <n v="0"/>
    <n v="0"/>
    <n v="0"/>
    <n v="0"/>
    <n v="0"/>
    <n v="0"/>
    <n v="0"/>
    <n v="0"/>
    <n v="0.98099999999999998"/>
    <n v="0"/>
    <n v="0.98099999999999998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s v="Amboasary"/>
    <m/>
    <s v="Mahabo"/>
    <m/>
    <m/>
    <m/>
    <n v="346"/>
    <n v="346"/>
    <x v="1"/>
    <m/>
    <n v="30"/>
    <n v="0"/>
    <n v="0"/>
    <n v="0"/>
    <n v="0"/>
    <n v="0"/>
    <n v="0"/>
    <n v="0"/>
    <n v="0"/>
    <n v="0"/>
    <n v="0"/>
    <n v="0.51900000000000002"/>
    <n v="0"/>
    <n v="0.51900000000000002"/>
    <m/>
    <n v="0"/>
  </r>
  <r>
    <x v="1"/>
    <n v="2024"/>
    <x v="2"/>
    <s v="Nutrition"/>
    <x v="4"/>
    <s v="URT_PREV:Prevention of acute malnutrition"/>
    <n v="1"/>
    <m/>
    <s v="Amboasary"/>
    <x v="0"/>
    <s v="Taolagnaro"/>
    <s v="Anosy"/>
    <s v="Amboasary"/>
    <m/>
    <s v="Mahaly"/>
    <m/>
    <m/>
    <m/>
    <n v="1245"/>
    <n v="1245"/>
    <x v="1"/>
    <m/>
    <n v="30"/>
    <n v="0"/>
    <n v="0"/>
    <n v="0"/>
    <n v="0"/>
    <n v="0"/>
    <n v="0"/>
    <n v="0"/>
    <n v="0"/>
    <n v="0"/>
    <n v="0"/>
    <n v="1.8674999999999999"/>
    <n v="0"/>
    <n v="1.8674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Manakompy"/>
    <m/>
    <m/>
    <m/>
    <n v="406"/>
    <n v="406"/>
    <x v="1"/>
    <m/>
    <n v="30"/>
    <n v="0"/>
    <n v="0"/>
    <n v="0"/>
    <n v="0"/>
    <n v="0"/>
    <n v="0"/>
    <n v="0"/>
    <n v="0"/>
    <n v="0"/>
    <n v="0"/>
    <n v="0.60899999999999999"/>
    <n v="0"/>
    <n v="0.60899999999999999"/>
    <m/>
    <n v="0"/>
  </r>
  <r>
    <x v="1"/>
    <n v="2024"/>
    <x v="2"/>
    <s v="Nutrition"/>
    <x v="4"/>
    <s v="URT_PREV:Prevention of acute malnutrition"/>
    <n v="2"/>
    <m/>
    <s v="Amboasary"/>
    <x v="0"/>
    <s v="Taolagnaro"/>
    <s v="Anosy"/>
    <s v="Amboasary"/>
    <m/>
    <s v="Maromby"/>
    <m/>
    <m/>
    <m/>
    <n v="915"/>
    <n v="915"/>
    <x v="1"/>
    <m/>
    <n v="30"/>
    <n v="0"/>
    <n v="0"/>
    <n v="0"/>
    <n v="0"/>
    <n v="0"/>
    <n v="0"/>
    <n v="0"/>
    <n v="0"/>
    <n v="0"/>
    <n v="0"/>
    <n v="1.3725000000000001"/>
    <n v="0"/>
    <n v="1.3725000000000001"/>
    <m/>
    <n v="0"/>
  </r>
  <r>
    <x v="1"/>
    <n v="2024"/>
    <x v="2"/>
    <s v="Nutrition"/>
    <x v="4"/>
    <s v="URT_PREV:Prevention of acute malnutrition"/>
    <n v="1"/>
    <m/>
    <m/>
    <x v="3"/>
    <s v="Tuléar"/>
    <s v="Atsimo Andrefana"/>
    <s v="Betioky"/>
    <m/>
    <s v="Marosavoa"/>
    <m/>
    <m/>
    <m/>
    <n v="226"/>
    <n v="226"/>
    <x v="1"/>
    <m/>
    <n v="30"/>
    <n v="0"/>
    <n v="0"/>
    <n v="0"/>
    <n v="0"/>
    <n v="0"/>
    <n v="0"/>
    <n v="0"/>
    <n v="0"/>
    <n v="0"/>
    <n v="0"/>
    <n v="0.33900000000000002"/>
    <n v="0"/>
    <n v="0.33900000000000002"/>
    <m/>
    <n v="0"/>
  </r>
  <r>
    <x v="1"/>
    <n v="2024"/>
    <x v="2"/>
    <s v="Nutrition"/>
    <x v="4"/>
    <s v="URT_PREV:Prevention of acute malnutrition"/>
    <n v="1"/>
    <m/>
    <m/>
    <x v="2"/>
    <s v="Tuléar"/>
    <s v="Atsimo Andrefana"/>
    <s v="Ampanihy Ouest"/>
    <m/>
    <s v="Ankilizato"/>
    <m/>
    <m/>
    <m/>
    <n v="476"/>
    <n v="476"/>
    <x v="1"/>
    <m/>
    <n v="30"/>
    <n v="0"/>
    <n v="0"/>
    <n v="0"/>
    <n v="0"/>
    <n v="0"/>
    <n v="0"/>
    <n v="0"/>
    <n v="0"/>
    <n v="0"/>
    <n v="0"/>
    <n v="0.71399999999999997"/>
    <n v="0"/>
    <n v="0.7139999999999999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Maroviro"/>
    <m/>
    <m/>
    <m/>
    <n v="745"/>
    <n v="745"/>
    <x v="1"/>
    <m/>
    <n v="30"/>
    <n v="0"/>
    <n v="0"/>
    <n v="0"/>
    <n v="0"/>
    <n v="0"/>
    <n v="0"/>
    <n v="0"/>
    <n v="0"/>
    <n v="0"/>
    <n v="0"/>
    <n v="1.1174999999999999"/>
    <n v="0"/>
    <n v="1.1174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Ambovombe"/>
    <m/>
    <s v="Antanimora Atsimo"/>
    <m/>
    <m/>
    <m/>
    <n v="1584"/>
    <n v="1584"/>
    <x v="1"/>
    <m/>
    <n v="30"/>
    <n v="0"/>
    <n v="0"/>
    <n v="0"/>
    <n v="0"/>
    <n v="0"/>
    <n v="0"/>
    <n v="0"/>
    <n v="0"/>
    <n v="0"/>
    <n v="0"/>
    <n v="2.3759999999999999"/>
    <n v="0"/>
    <n v="2.3759999999999999"/>
    <m/>
    <m/>
  </r>
  <r>
    <x v="1"/>
    <n v="2024"/>
    <x v="2"/>
    <s v="Nutrition"/>
    <x v="4"/>
    <s v="URT_PREV:Prevention of acute malnutrition"/>
    <n v="1"/>
    <m/>
    <s v="Amboasary"/>
    <x v="0"/>
    <s v="Taolagnaro"/>
    <s v="Anosy"/>
    <s v="Amboasary"/>
    <m/>
    <s v="Ranobe"/>
    <m/>
    <m/>
    <m/>
    <n v="508"/>
    <n v="508"/>
    <x v="1"/>
    <m/>
    <n v="30"/>
    <n v="0"/>
    <n v="0"/>
    <n v="0"/>
    <n v="0"/>
    <n v="0"/>
    <n v="0"/>
    <n v="0"/>
    <n v="0"/>
    <n v="0"/>
    <n v="0"/>
    <n v="0.76200000000000001"/>
    <n v="0"/>
    <n v="0.76200000000000001"/>
    <m/>
    <n v="0"/>
  </r>
  <r>
    <x v="1"/>
    <n v="2024"/>
    <x v="2"/>
    <s v="Nutrition"/>
    <x v="4"/>
    <s v="URT_PREV:Prevention of acute malnutrition"/>
    <n v="2"/>
    <m/>
    <s v="Amboasary"/>
    <x v="0"/>
    <s v="Taolagnaro"/>
    <s v="Anosy"/>
    <s v="Amboasary"/>
    <m/>
    <s v="Tanandva Sud"/>
    <m/>
    <m/>
    <m/>
    <n v="662"/>
    <n v="662"/>
    <x v="1"/>
    <m/>
    <n v="30"/>
    <n v="0"/>
    <n v="0"/>
    <n v="0"/>
    <n v="0"/>
    <n v="0"/>
    <n v="0"/>
    <n v="0"/>
    <n v="0"/>
    <n v="0"/>
    <n v="0"/>
    <n v="0.99299999999999999"/>
    <n v="0"/>
    <n v="0.99299999999999999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Ambovombe"/>
    <m/>
    <s v="Jafaro"/>
    <m/>
    <m/>
    <m/>
    <n v="1601"/>
    <n v="1601"/>
    <x v="1"/>
    <m/>
    <n v="30"/>
    <n v="0"/>
    <n v="0"/>
    <n v="0"/>
    <n v="0"/>
    <n v="0"/>
    <n v="0"/>
    <n v="0"/>
    <n v="0"/>
    <n v="0"/>
    <n v="0"/>
    <n v="2.4015"/>
    <n v="0"/>
    <n v="2.4015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Tongobory"/>
    <m/>
    <m/>
    <m/>
    <n v="523"/>
    <n v="523"/>
    <x v="1"/>
    <m/>
    <n v="30"/>
    <n v="0"/>
    <n v="0"/>
    <n v="0"/>
    <n v="0"/>
    <n v="0"/>
    <n v="0"/>
    <n v="0"/>
    <n v="0"/>
    <n v="0"/>
    <n v="0"/>
    <n v="0.78449999999999998"/>
    <n v="0"/>
    <n v="0.78449999999999998"/>
    <m/>
    <n v="0"/>
  </r>
  <r>
    <x v="1"/>
    <n v="2024"/>
    <x v="2"/>
    <s v="Nutrition"/>
    <x v="4"/>
    <s v="URT_PREV:Prevention of acute malnutrition"/>
    <n v="1"/>
    <m/>
    <m/>
    <x v="3"/>
    <s v="Tuléar"/>
    <s v="Atsimo Andrefana"/>
    <s v="Betioky"/>
    <m/>
    <s v="Maroarivo Ankazomanga"/>
    <m/>
    <m/>
    <m/>
    <n v="387"/>
    <n v="387"/>
    <x v="1"/>
    <m/>
    <n v="30"/>
    <n v="0"/>
    <n v="0"/>
    <n v="0"/>
    <n v="0"/>
    <n v="0"/>
    <n v="0"/>
    <n v="0"/>
    <n v="0"/>
    <n v="0"/>
    <n v="0"/>
    <n v="0.58050000000000002"/>
    <n v="0"/>
    <n v="0.58050000000000002"/>
    <m/>
    <m/>
  </r>
  <r>
    <x v="1"/>
    <n v="2024"/>
    <x v="2"/>
    <s v="Nutrition"/>
    <x v="4"/>
    <s v="URT_PREV:Prevention of acute malnutrition"/>
    <n v="1"/>
    <m/>
    <m/>
    <x v="0"/>
    <s v="Taolagnaro"/>
    <s v="Androy"/>
    <s v="Beloha"/>
    <m/>
    <s v="Tranovaho"/>
    <m/>
    <m/>
    <m/>
    <n v="758"/>
    <n v="758"/>
    <x v="1"/>
    <m/>
    <n v="30"/>
    <n v="0"/>
    <n v="0"/>
    <n v="0"/>
    <n v="0"/>
    <n v="0"/>
    <n v="0"/>
    <n v="0"/>
    <n v="0"/>
    <n v="0"/>
    <n v="0"/>
    <n v="1.137"/>
    <n v="0"/>
    <n v="1.137"/>
    <m/>
    <n v="0"/>
  </r>
  <r>
    <x v="1"/>
    <n v="2024"/>
    <x v="2"/>
    <s v="Nutrition"/>
    <x v="4"/>
    <s v="URT_PREV:Prevention of acute malnutrition"/>
    <n v="1"/>
    <m/>
    <m/>
    <x v="0"/>
    <s v="Taolagnaro"/>
    <s v="Androy"/>
    <s v="Bekily"/>
    <m/>
    <s v="Tsikolaky"/>
    <m/>
    <m/>
    <m/>
    <n v="345"/>
    <n v="345"/>
    <x v="1"/>
    <m/>
    <n v="30"/>
    <n v="0"/>
    <n v="0"/>
    <n v="0"/>
    <n v="0"/>
    <n v="0"/>
    <n v="0"/>
    <n v="0"/>
    <n v="0"/>
    <n v="0"/>
    <n v="0"/>
    <n v="0.51749999999999996"/>
    <n v="0"/>
    <n v="0.51749999999999996"/>
    <m/>
    <n v="0"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Salobe"/>
    <m/>
    <m/>
    <m/>
    <n v="267"/>
    <n v="267"/>
    <x v="1"/>
    <m/>
    <n v="30"/>
    <n v="0"/>
    <n v="0"/>
    <n v="0"/>
    <n v="0"/>
    <n v="0"/>
    <n v="0"/>
    <n v="0"/>
    <n v="0"/>
    <n v="0"/>
    <n v="0"/>
    <n v="0.40050000000000002"/>
    <n v="0"/>
    <n v="0.40050000000000002"/>
    <m/>
    <m/>
  </r>
  <r>
    <x v="1"/>
    <n v="2024"/>
    <x v="2"/>
    <s v="Nutrition"/>
    <x v="4"/>
    <s v="URT_PREV:Prevention of acute malnutrition"/>
    <n v="2"/>
    <m/>
    <m/>
    <x v="3"/>
    <s v="Tuléar"/>
    <s v="Atsimo Andrefana"/>
    <s v="Betioky"/>
    <m/>
    <s v="Tanambao Haut"/>
    <m/>
    <m/>
    <m/>
    <n v="346"/>
    <n v="346"/>
    <x v="1"/>
    <m/>
    <n v="30"/>
    <n v="0"/>
    <n v="0"/>
    <n v="0"/>
    <n v="0"/>
    <n v="0"/>
    <n v="0"/>
    <n v="0"/>
    <n v="0"/>
    <n v="0"/>
    <n v="0"/>
    <n v="0.51900000000000002"/>
    <n v="0"/>
    <n v="0.51900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Ambahita"/>
    <m/>
    <m/>
    <m/>
    <n v="835"/>
    <n v="835"/>
    <x v="1"/>
    <m/>
    <n v="30"/>
    <m/>
    <n v="0"/>
    <n v="0"/>
    <n v="0"/>
    <n v="0"/>
    <n v="0.501"/>
    <m/>
    <n v="0"/>
    <n v="5.01"/>
    <n v="0"/>
    <m/>
    <n v="0"/>
    <n v="5.5110000000000001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Amborompotsy"/>
    <m/>
    <m/>
    <m/>
    <n v="882"/>
    <n v="882"/>
    <x v="1"/>
    <m/>
    <n v="30"/>
    <m/>
    <n v="0"/>
    <n v="0"/>
    <n v="0"/>
    <n v="0"/>
    <n v="0.5292"/>
    <m/>
    <n v="0"/>
    <n v="5.2919999999999998"/>
    <n v="0"/>
    <m/>
    <n v="0"/>
    <n v="5.8212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s v="Ambovombe"/>
    <m/>
    <s v="Andalatanosy"/>
    <m/>
    <m/>
    <m/>
    <n v="1691"/>
    <n v="1691"/>
    <x v="1"/>
    <m/>
    <n v="30"/>
    <m/>
    <n v="0"/>
    <n v="0"/>
    <n v="0"/>
    <n v="0"/>
    <n v="1.0145999999999999"/>
    <m/>
    <n v="0"/>
    <n v="10.146000000000001"/>
    <n v="0"/>
    <m/>
    <n v="0"/>
    <n v="11.160600000000001"/>
    <m/>
    <m/>
  </r>
  <r>
    <x v="1"/>
    <n v="2024"/>
    <x v="2"/>
    <s v="Nutrition"/>
    <x v="5"/>
    <s v="URT_PREV:Prevention of acute malnutrition"/>
    <n v="2"/>
    <m/>
    <m/>
    <x v="0"/>
    <s v="Taolagnaro"/>
    <s v="Anosy"/>
    <s v="Taolagnaro"/>
    <m/>
    <s v="Andranobory"/>
    <m/>
    <m/>
    <m/>
    <n v="364"/>
    <n v="364"/>
    <x v="1"/>
    <m/>
    <n v="30"/>
    <m/>
    <n v="0"/>
    <n v="0"/>
    <n v="0"/>
    <n v="0"/>
    <n v="0.21840000000000001"/>
    <m/>
    <n v="0"/>
    <n v="2.1840000000000002"/>
    <n v="0"/>
    <m/>
    <n v="0"/>
    <n v="2.4024000000000001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Androipano"/>
    <m/>
    <m/>
    <m/>
    <m/>
    <n v="0"/>
    <x v="2"/>
    <m/>
    <m/>
    <m/>
    <n v="0"/>
    <n v="0"/>
    <n v="0"/>
    <n v="0"/>
    <n v="0"/>
    <m/>
    <n v="0"/>
    <n v="0"/>
    <n v="0"/>
    <m/>
    <n v="0"/>
    <n v="0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Androka"/>
    <m/>
    <m/>
    <m/>
    <n v="1750"/>
    <n v="1750"/>
    <x v="1"/>
    <m/>
    <n v="30"/>
    <m/>
    <n v="0"/>
    <n v="0"/>
    <n v="0"/>
    <n v="0"/>
    <n v="1.05"/>
    <m/>
    <n v="0"/>
    <n v="10.5"/>
    <n v="0"/>
    <m/>
    <n v="0"/>
    <n v="11.55"/>
    <m/>
    <m/>
  </r>
  <r>
    <x v="1"/>
    <n v="2024"/>
    <x v="2"/>
    <s v="Nutrition"/>
    <x v="5"/>
    <s v="URT_PREV:Prevention of acute malnutrition"/>
    <n v="1"/>
    <m/>
    <m/>
    <x v="1"/>
    <m/>
    <s v="Vatovavy"/>
    <s v="Nosy Varika"/>
    <s v="YPA"/>
    <s v="Ambahy"/>
    <m/>
    <m/>
    <m/>
    <n v="187"/>
    <n v="187"/>
    <x v="1"/>
    <m/>
    <n v="30"/>
    <n v="0"/>
    <n v="0"/>
    <n v="0"/>
    <n v="0"/>
    <n v="0"/>
    <n v="0.11219999999999999"/>
    <m/>
    <n v="0"/>
    <n v="1.1220000000000001"/>
    <n v="0"/>
    <n v="0"/>
    <n v="0"/>
    <n v="1.2342000000000002"/>
    <m/>
    <m/>
  </r>
  <r>
    <x v="1"/>
    <n v="2024"/>
    <x v="2"/>
    <s v="Nutrition"/>
    <x v="5"/>
    <s v="URT_PREV:Prevention of acute malnutrition"/>
    <n v="1"/>
    <m/>
    <m/>
    <x v="1"/>
    <m/>
    <s v="Vatovavy"/>
    <s v="Nosy Varika"/>
    <s v="YPA"/>
    <s v="Ambodirian'I Sahafary"/>
    <m/>
    <m/>
    <m/>
    <n v="911"/>
    <n v="911"/>
    <x v="1"/>
    <m/>
    <n v="30"/>
    <n v="0"/>
    <n v="0"/>
    <n v="0"/>
    <n v="0"/>
    <n v="0"/>
    <n v="0.54659999999999997"/>
    <m/>
    <n v="0"/>
    <n v="5.4660000000000002"/>
    <n v="0"/>
    <n v="0"/>
    <n v="0"/>
    <n v="6.0125999999999999"/>
    <m/>
    <m/>
  </r>
  <r>
    <x v="1"/>
    <n v="2024"/>
    <x v="2"/>
    <s v="Nutrition"/>
    <x v="5"/>
    <s v="URT_PREV:Prevention of acute malnutrition"/>
    <n v="2"/>
    <m/>
    <m/>
    <x v="1"/>
    <m/>
    <s v="Atsimo Antsinana"/>
    <s v="Vondrozo"/>
    <s v="WHH"/>
    <s v="Anandravy"/>
    <m/>
    <m/>
    <m/>
    <n v="240"/>
    <n v="240"/>
    <x v="1"/>
    <m/>
    <n v="30"/>
    <m/>
    <n v="0"/>
    <n v="0"/>
    <n v="0"/>
    <n v="0"/>
    <n v="0.14399999999999999"/>
    <m/>
    <n v="0"/>
    <n v="1.44"/>
    <n v="0"/>
    <m/>
    <n v="0"/>
    <n v="1.5839999999999999"/>
    <m/>
    <m/>
  </r>
  <r>
    <x v="1"/>
    <n v="2024"/>
    <x v="2"/>
    <s v="Nutrition"/>
    <x v="5"/>
    <s v="URT_PREV:Prevention of acute malnutrition"/>
    <n v="2"/>
    <m/>
    <m/>
    <x v="1"/>
    <m/>
    <s v="Atsimo Antsinana"/>
    <s v="Midongy Atsimo"/>
    <s v="WHH"/>
    <s v="Andranolalina"/>
    <m/>
    <m/>
    <m/>
    <n v="367"/>
    <n v="367"/>
    <x v="1"/>
    <m/>
    <n v="30"/>
    <n v="0"/>
    <n v="0"/>
    <n v="0"/>
    <n v="0"/>
    <n v="0"/>
    <n v="0.22020000000000001"/>
    <m/>
    <n v="0"/>
    <n v="2.202"/>
    <n v="0"/>
    <n v="0"/>
    <n v="0"/>
    <n v="2.4222000000000001"/>
    <m/>
    <m/>
  </r>
  <r>
    <x v="1"/>
    <n v="2024"/>
    <x v="2"/>
    <s v="Nutrition"/>
    <x v="5"/>
    <s v="URT_PREV:Prevention of acute malnutrition"/>
    <n v="2"/>
    <m/>
    <m/>
    <x v="1"/>
    <m/>
    <s v="Atsimo Antsinana"/>
    <s v="Vondrozo"/>
    <s v="WHH"/>
    <s v="Mahatsinjo"/>
    <m/>
    <m/>
    <m/>
    <n v="384"/>
    <n v="384"/>
    <x v="1"/>
    <m/>
    <n v="30"/>
    <m/>
    <n v="0"/>
    <n v="0"/>
    <n v="0"/>
    <n v="0"/>
    <n v="0.23039999999999999"/>
    <m/>
    <n v="0"/>
    <n v="2.3039999999999998"/>
    <n v="0"/>
    <m/>
    <n v="0"/>
    <n v="2.5343999999999998"/>
    <m/>
    <m/>
  </r>
  <r>
    <x v="1"/>
    <n v="2024"/>
    <x v="2"/>
    <s v="Nutrition"/>
    <x v="5"/>
    <s v="URT_PREV:Prevention of acute malnutrition"/>
    <n v="1"/>
    <m/>
    <m/>
    <x v="1"/>
    <m/>
    <s v="Atsimo Antsinana"/>
    <s v="Vangaindrano"/>
    <s v="WHH"/>
    <s v="Matanga"/>
    <m/>
    <m/>
    <m/>
    <n v="687"/>
    <n v="687"/>
    <x v="1"/>
    <m/>
    <n v="30"/>
    <m/>
    <n v="0"/>
    <n v="0"/>
    <n v="0"/>
    <n v="0"/>
    <n v="0.41220000000000001"/>
    <m/>
    <n v="0"/>
    <n v="4.1219999999999999"/>
    <n v="0"/>
    <m/>
    <n v="0"/>
    <n v="4.5342000000000002"/>
    <m/>
    <m/>
  </r>
  <r>
    <x v="1"/>
    <n v="2024"/>
    <x v="2"/>
    <s v="Nutrition"/>
    <x v="5"/>
    <s v="URT_PREV:Prevention of acute malnutrition"/>
    <n v="2"/>
    <m/>
    <m/>
    <x v="1"/>
    <m/>
    <s v="Atsimo Antsinana"/>
    <s v="Befotaka"/>
    <s v="WHH"/>
    <s v="Antondabe"/>
    <m/>
    <m/>
    <m/>
    <n v="259"/>
    <n v="259"/>
    <x v="1"/>
    <m/>
    <n v="30"/>
    <m/>
    <n v="0"/>
    <n v="0"/>
    <n v="0"/>
    <n v="0"/>
    <n v="0.15540000000000001"/>
    <m/>
    <n v="0"/>
    <n v="1.554"/>
    <n v="0"/>
    <m/>
    <n v="0"/>
    <n v="1.7094"/>
    <m/>
    <m/>
  </r>
  <r>
    <x v="1"/>
    <n v="2024"/>
    <x v="2"/>
    <s v="Nutrition"/>
    <x v="5"/>
    <s v="URT_PREV:Prevention of acute malnutrition"/>
    <n v="1"/>
    <m/>
    <m/>
    <x v="1"/>
    <m/>
    <s v="Atsimo Antsinana"/>
    <s v="Befotaka"/>
    <s v="WHH"/>
    <s v="Befotaka Sud"/>
    <m/>
    <m/>
    <m/>
    <n v="513"/>
    <n v="513"/>
    <x v="1"/>
    <m/>
    <n v="30"/>
    <n v="0"/>
    <n v="0"/>
    <n v="0"/>
    <n v="0"/>
    <n v="0"/>
    <n v="0.30780000000000002"/>
    <m/>
    <n v="0"/>
    <n v="3.0779999999999998"/>
    <n v="0"/>
    <n v="0"/>
    <n v="0"/>
    <n v="3.3857999999999997"/>
    <m/>
    <m/>
  </r>
  <r>
    <x v="1"/>
    <n v="2024"/>
    <x v="2"/>
    <s v="Nutrition"/>
    <x v="5"/>
    <s v="URT_PREV:Prevention of acute malnutrition"/>
    <n v="1"/>
    <m/>
    <m/>
    <x v="1"/>
    <m/>
    <s v="Vatovavy"/>
    <s v="Nosy Varika"/>
    <s v="YPA"/>
    <s v="Fanivelona"/>
    <m/>
    <m/>
    <m/>
    <n v="512"/>
    <n v="512"/>
    <x v="1"/>
    <m/>
    <n v="30"/>
    <n v="0"/>
    <n v="0"/>
    <n v="0"/>
    <n v="0"/>
    <n v="0"/>
    <n v="0.30719999999999997"/>
    <m/>
    <n v="0"/>
    <n v="3.0720000000000001"/>
    <n v="0"/>
    <n v="0"/>
    <n v="0"/>
    <n v="3.3792"/>
    <m/>
    <m/>
  </r>
  <r>
    <x v="1"/>
    <n v="2024"/>
    <x v="2"/>
    <s v="Nutrition"/>
    <x v="5"/>
    <s v="URT_PREV:Prevention of acute malnutrition"/>
    <n v="1"/>
    <m/>
    <m/>
    <x v="1"/>
    <m/>
    <s v="Vatovavy"/>
    <s v="Nosy Varika"/>
    <s v="YPA"/>
    <s v="Fiadanana"/>
    <m/>
    <m/>
    <m/>
    <n v="640"/>
    <n v="640"/>
    <x v="1"/>
    <m/>
    <n v="30"/>
    <n v="0"/>
    <n v="0"/>
    <n v="0"/>
    <n v="0"/>
    <n v="0"/>
    <n v="0.38400000000000001"/>
    <m/>
    <n v="0"/>
    <n v="3.84"/>
    <n v="0"/>
    <n v="0"/>
    <n v="0"/>
    <n v="4.2240000000000002"/>
    <m/>
    <m/>
  </r>
  <r>
    <x v="1"/>
    <n v="2024"/>
    <x v="2"/>
    <s v="Nutrition"/>
    <x v="5"/>
    <s v="URT_PREV:Prevention of acute malnutrition"/>
    <n v="2"/>
    <m/>
    <m/>
    <x v="1"/>
    <m/>
    <s v="Atsimo Antsinana"/>
    <s v="Midongy Atsimo"/>
    <s v="WHH"/>
    <s v="Ivondro"/>
    <m/>
    <m/>
    <m/>
    <n v="374"/>
    <n v="374"/>
    <x v="1"/>
    <m/>
    <n v="30"/>
    <n v="0"/>
    <n v="0"/>
    <n v="0"/>
    <n v="0"/>
    <n v="0"/>
    <n v="0.22439999999999999"/>
    <m/>
    <n v="0"/>
    <n v="2.2440000000000002"/>
    <n v="0"/>
    <n v="0"/>
    <n v="0"/>
    <n v="2.4684000000000004"/>
    <m/>
    <m/>
  </r>
  <r>
    <x v="1"/>
    <n v="2024"/>
    <x v="2"/>
    <s v="Nutrition"/>
    <x v="5"/>
    <s v="URT_PREV:Prevention of acute malnutrition"/>
    <n v="1"/>
    <m/>
    <m/>
    <x v="1"/>
    <m/>
    <s v="Atsimo Antsinana"/>
    <s v="Vangaindrano"/>
    <s v="WHH"/>
    <s v="Manambondro"/>
    <m/>
    <m/>
    <m/>
    <n v="243"/>
    <n v="243"/>
    <x v="1"/>
    <m/>
    <n v="30"/>
    <m/>
    <n v="0"/>
    <n v="0"/>
    <n v="0"/>
    <n v="0"/>
    <n v="0.14580000000000001"/>
    <m/>
    <n v="0"/>
    <n v="1.458"/>
    <n v="0"/>
    <m/>
    <n v="0"/>
    <n v="1.6037999999999999"/>
    <m/>
    <m/>
  </r>
  <r>
    <x v="1"/>
    <n v="2024"/>
    <x v="2"/>
    <s v="Nutrition"/>
    <x v="5"/>
    <s v="URT_PREV:Prevention of acute malnutrition"/>
    <n v="1"/>
    <m/>
    <m/>
    <x v="1"/>
    <m/>
    <s v="Atsimo Antsinana"/>
    <s v="Vangaindrano"/>
    <s v="WHH"/>
    <s v="Marokibo"/>
    <m/>
    <m/>
    <m/>
    <n v="213"/>
    <n v="213"/>
    <x v="1"/>
    <m/>
    <n v="30"/>
    <m/>
    <n v="0"/>
    <n v="0"/>
    <n v="0"/>
    <n v="0"/>
    <n v="0.1278"/>
    <m/>
    <n v="0"/>
    <n v="1.278"/>
    <n v="0"/>
    <m/>
    <n v="0"/>
    <n v="1.4057999999999999"/>
    <m/>
    <m/>
  </r>
  <r>
    <x v="1"/>
    <n v="2024"/>
    <x v="2"/>
    <s v="Nutrition"/>
    <x v="5"/>
    <s v="URT_PREV:Prevention of acute malnutrition"/>
    <n v="1"/>
    <m/>
    <m/>
    <x v="1"/>
    <m/>
    <s v="Atsimo Antsinana"/>
    <s v="Vangaindrano"/>
    <s v="WHH"/>
    <s v="Masianaka"/>
    <m/>
    <m/>
    <m/>
    <n v="991"/>
    <n v="991"/>
    <x v="1"/>
    <m/>
    <n v="30"/>
    <m/>
    <n v="0"/>
    <n v="0"/>
    <n v="0"/>
    <n v="0"/>
    <n v="0.59460000000000002"/>
    <m/>
    <n v="0"/>
    <n v="5.9459999999999997"/>
    <n v="0"/>
    <m/>
    <n v="0"/>
    <n v="6.5405999999999995"/>
    <m/>
    <m/>
  </r>
  <r>
    <x v="1"/>
    <n v="2024"/>
    <x v="2"/>
    <s v="Nutrition"/>
    <x v="5"/>
    <s v="URT_PREV:Prevention of acute malnutrition"/>
    <n v="1"/>
    <m/>
    <m/>
    <x v="1"/>
    <m/>
    <s v="Atsimo Antsinana"/>
    <s v="Vangaindrano"/>
    <s v="WHH"/>
    <s v="Ranomena"/>
    <m/>
    <m/>
    <m/>
    <n v="876"/>
    <n v="876"/>
    <x v="1"/>
    <m/>
    <n v="30"/>
    <m/>
    <n v="0"/>
    <n v="0"/>
    <n v="0"/>
    <n v="0"/>
    <n v="0.52559999999999996"/>
    <m/>
    <n v="0"/>
    <n v="5.2560000000000002"/>
    <n v="0"/>
    <m/>
    <n v="0"/>
    <n v="5.7816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Anivorano Mitsinjo"/>
    <m/>
    <m/>
    <m/>
    <n v="340"/>
    <n v="340"/>
    <x v="1"/>
    <m/>
    <n v="30"/>
    <m/>
    <n v="0"/>
    <n v="0"/>
    <n v="0"/>
    <n v="0"/>
    <n v="0.20399999999999999"/>
    <m/>
    <n v="0"/>
    <n v="2.04"/>
    <n v="0"/>
    <m/>
    <n v="0"/>
    <n v="2.2440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Anja Nord"/>
    <m/>
    <m/>
    <m/>
    <n v="189"/>
    <n v="189"/>
    <x v="1"/>
    <m/>
    <n v="30"/>
    <m/>
    <n v="0"/>
    <n v="0"/>
    <n v="0"/>
    <n v="0"/>
    <n v="0.1134"/>
    <m/>
    <n v="0"/>
    <n v="1.1339999999999999"/>
    <n v="0"/>
    <m/>
    <n v="0"/>
    <n v="1.2473999999999998"/>
    <m/>
    <m/>
  </r>
  <r>
    <x v="1"/>
    <n v="2024"/>
    <x v="2"/>
    <s v="Nutrition"/>
    <x v="5"/>
    <s v="URT_PREV:Prevention of acute malnutrition"/>
    <n v="1"/>
    <m/>
    <m/>
    <x v="0"/>
    <s v="Taolagnaro"/>
    <s v="Androy"/>
    <s v="Ambovombe"/>
    <m/>
    <s v="Ampamata"/>
    <m/>
    <m/>
    <m/>
    <n v="508"/>
    <n v="508"/>
    <x v="1"/>
    <m/>
    <n v="30"/>
    <m/>
    <n v="0"/>
    <n v="0"/>
    <n v="0"/>
    <n v="0"/>
    <n v="0.30480000000000002"/>
    <m/>
    <n v="0"/>
    <n v="3.048"/>
    <n v="0"/>
    <m/>
    <n v="0"/>
    <n v="3.3528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s v="Ambovombe"/>
    <m/>
    <s v="Anjeky Ankilikira"/>
    <m/>
    <m/>
    <m/>
    <n v="944"/>
    <n v="944"/>
    <x v="1"/>
    <m/>
    <n v="30"/>
    <m/>
    <n v="0"/>
    <n v="0"/>
    <n v="0"/>
    <n v="0"/>
    <n v="0.56640000000000001"/>
    <m/>
    <n v="0"/>
    <n v="5.6639999999999997"/>
    <n v="0"/>
    <m/>
    <n v="0"/>
    <n v="6.2303999999999995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Ankazombalala"/>
    <m/>
    <m/>
    <m/>
    <n v="600"/>
    <n v="600"/>
    <x v="1"/>
    <m/>
    <n v="30"/>
    <m/>
    <n v="0"/>
    <n v="0"/>
    <n v="0"/>
    <n v="0"/>
    <n v="0.36"/>
    <m/>
    <n v="0"/>
    <n v="3.6"/>
    <n v="0"/>
    <m/>
    <n v="0"/>
    <n v="3.96"/>
    <m/>
    <m/>
  </r>
  <r>
    <x v="1"/>
    <n v="2024"/>
    <x v="2"/>
    <s v="Nutrition"/>
    <x v="5"/>
    <s v="URT_PREV:Prevention of acute malnutrition"/>
    <n v="2"/>
    <m/>
    <m/>
    <x v="2"/>
    <s v="Tuléar"/>
    <s v="Atsimo Andrefana"/>
    <s v="Ampanihy Ouest"/>
    <m/>
    <s v="Ankiliabo"/>
    <m/>
    <m/>
    <m/>
    <n v="905"/>
    <n v="905"/>
    <x v="1"/>
    <m/>
    <n v="30"/>
    <m/>
    <n v="0"/>
    <n v="0"/>
    <n v="0"/>
    <n v="0"/>
    <n v="0.54300000000000004"/>
    <m/>
    <n v="0"/>
    <n v="5.43"/>
    <n v="0"/>
    <m/>
    <n v="0"/>
    <n v="5.9729999999999999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Antsakoamaro"/>
    <m/>
    <m/>
    <m/>
    <n v="310"/>
    <n v="310"/>
    <x v="1"/>
    <m/>
    <n v="30"/>
    <m/>
    <n v="0"/>
    <n v="0"/>
    <n v="0"/>
    <n v="0"/>
    <n v="0.186"/>
    <m/>
    <n v="0"/>
    <n v="1.86"/>
    <n v="0"/>
    <m/>
    <n v="0"/>
    <n v="2.0460000000000003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Belafike haut"/>
    <m/>
    <m/>
    <m/>
    <n v="510"/>
    <n v="510"/>
    <x v="1"/>
    <m/>
    <n v="30"/>
    <m/>
    <n v="0"/>
    <n v="0"/>
    <n v="0"/>
    <n v="0"/>
    <n v="0.30599999999999999"/>
    <m/>
    <n v="0"/>
    <n v="3.06"/>
    <n v="0"/>
    <m/>
    <n v="0"/>
    <n v="3.3660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Belindo Mahasoa"/>
    <m/>
    <m/>
    <m/>
    <n v="750"/>
    <n v="750"/>
    <x v="1"/>
    <m/>
    <n v="30"/>
    <m/>
    <n v="0"/>
    <n v="0"/>
    <n v="0"/>
    <n v="0"/>
    <n v="0.45"/>
    <m/>
    <n v="0"/>
    <n v="4.5"/>
    <n v="0"/>
    <m/>
    <n v="0"/>
    <n v="4.95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Ankazomanga Ouest"/>
    <m/>
    <m/>
    <m/>
    <n v="181"/>
    <n v="181"/>
    <x v="1"/>
    <m/>
    <n v="30"/>
    <n v="0"/>
    <n v="0"/>
    <n v="0"/>
    <n v="0"/>
    <n v="0"/>
    <n v="0.1086"/>
    <m/>
    <n v="0"/>
    <n v="1.0860000000000001"/>
    <n v="0"/>
    <n v="0"/>
    <n v="0"/>
    <n v="1.1946000000000001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s v="Betioky"/>
    <m/>
    <s v="Beora"/>
    <m/>
    <m/>
    <m/>
    <n v="50"/>
    <n v="50"/>
    <x v="1"/>
    <m/>
    <n v="30"/>
    <m/>
    <n v="0"/>
    <n v="0"/>
    <n v="0"/>
    <n v="0"/>
    <n v="0.03"/>
    <m/>
    <n v="0"/>
    <n v="0.3"/>
    <n v="0"/>
    <m/>
    <n v="0"/>
    <n v="0.32999999999999996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Bevitiky"/>
    <m/>
    <m/>
    <m/>
    <n v="317"/>
    <n v="317"/>
    <x v="1"/>
    <m/>
    <n v="30"/>
    <m/>
    <n v="0"/>
    <n v="0"/>
    <n v="0"/>
    <n v="0"/>
    <n v="0.19020000000000001"/>
    <m/>
    <n v="0"/>
    <n v="1.9019999999999999"/>
    <n v="0"/>
    <m/>
    <n v="0"/>
    <n v="2.0922000000000001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s v="Amboasary"/>
    <m/>
    <s v="Ebelo"/>
    <m/>
    <m/>
    <m/>
    <n v="677"/>
    <n v="677"/>
    <x v="1"/>
    <m/>
    <n v="30"/>
    <m/>
    <n v="0"/>
    <n v="0"/>
    <n v="0"/>
    <n v="0"/>
    <n v="0.40620000000000001"/>
    <m/>
    <n v="0"/>
    <n v="4.0620000000000003"/>
    <n v="0"/>
    <m/>
    <n v="0"/>
    <n v="4.4682000000000004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Gogogogo"/>
    <m/>
    <m/>
    <m/>
    <n v="948"/>
    <n v="948"/>
    <x v="1"/>
    <m/>
    <n v="30"/>
    <m/>
    <n v="0"/>
    <n v="0"/>
    <n v="0"/>
    <n v="0"/>
    <n v="0.56879999999999997"/>
    <m/>
    <n v="0"/>
    <n v="5.6879999999999997"/>
    <n v="0"/>
    <m/>
    <n v="0"/>
    <n v="6.2568000000000001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Lazarivo"/>
    <m/>
    <m/>
    <m/>
    <n v="545"/>
    <n v="545"/>
    <x v="1"/>
    <m/>
    <n v="30"/>
    <m/>
    <n v="0"/>
    <n v="0"/>
    <n v="0"/>
    <n v="0"/>
    <n v="0.32700000000000001"/>
    <m/>
    <n v="0"/>
    <n v="3.27"/>
    <n v="0"/>
    <m/>
    <n v="0"/>
    <n v="3.597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s v="Amboasary"/>
    <m/>
    <s v="Mahabo"/>
    <m/>
    <m/>
    <m/>
    <n v="288"/>
    <n v="288"/>
    <x v="1"/>
    <m/>
    <n v="30"/>
    <m/>
    <n v="0"/>
    <n v="0"/>
    <n v="0"/>
    <n v="0"/>
    <n v="0.17280000000000001"/>
    <m/>
    <n v="0"/>
    <n v="1.728"/>
    <n v="0"/>
    <m/>
    <n v="0"/>
    <n v="1.9008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s v="Amboasary"/>
    <m/>
    <s v="Mahaly"/>
    <m/>
    <m/>
    <m/>
    <n v="1037"/>
    <n v="1037"/>
    <x v="1"/>
    <m/>
    <n v="30"/>
    <m/>
    <n v="0"/>
    <n v="0"/>
    <n v="0"/>
    <n v="0"/>
    <n v="0.62219999999999998"/>
    <m/>
    <n v="0"/>
    <n v="6.2220000000000004"/>
    <n v="0"/>
    <m/>
    <n v="0"/>
    <n v="6.8442000000000007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Manakompy"/>
    <m/>
    <m/>
    <m/>
    <n v="338"/>
    <n v="338"/>
    <x v="1"/>
    <m/>
    <n v="30"/>
    <m/>
    <n v="0"/>
    <n v="0"/>
    <n v="0"/>
    <n v="0"/>
    <n v="0.20280000000000001"/>
    <m/>
    <n v="0"/>
    <n v="2.028"/>
    <n v="0"/>
    <m/>
    <n v="0"/>
    <n v="2.2307999999999999"/>
    <m/>
    <m/>
  </r>
  <r>
    <x v="1"/>
    <n v="2024"/>
    <x v="2"/>
    <s v="Nutrition"/>
    <x v="5"/>
    <s v="URT_PREV:Prevention of acute malnutrition"/>
    <n v="2"/>
    <m/>
    <s v="Amboasary"/>
    <x v="0"/>
    <s v="Taolagnaro"/>
    <s v="Anosy"/>
    <s v="Amboasary"/>
    <m/>
    <s v="Maromby"/>
    <m/>
    <m/>
    <m/>
    <n v="762"/>
    <n v="762"/>
    <x v="1"/>
    <m/>
    <n v="30"/>
    <m/>
    <n v="0"/>
    <n v="0"/>
    <n v="0"/>
    <n v="0"/>
    <n v="0.4572"/>
    <m/>
    <n v="0"/>
    <n v="4.5720000000000001"/>
    <n v="0"/>
    <m/>
    <n v="0"/>
    <n v="5.0292000000000003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s v="Betioky"/>
    <m/>
    <s v="Marosavoa"/>
    <m/>
    <m/>
    <m/>
    <n v="188"/>
    <n v="188"/>
    <x v="1"/>
    <m/>
    <n v="30"/>
    <m/>
    <n v="0"/>
    <n v="0"/>
    <n v="0"/>
    <n v="0"/>
    <n v="0.1128"/>
    <m/>
    <n v="0"/>
    <n v="1.1279999999999999"/>
    <n v="0"/>
    <m/>
    <n v="0"/>
    <n v="1.2407999999999999"/>
    <m/>
    <m/>
  </r>
  <r>
    <x v="1"/>
    <n v="2024"/>
    <x v="2"/>
    <s v="Nutrition"/>
    <x v="5"/>
    <s v="URT_PREV:Prevention of acute malnutrition"/>
    <n v="1"/>
    <m/>
    <m/>
    <x v="2"/>
    <s v="Tuléar"/>
    <s v="Atsimo Andrefana"/>
    <s v="Ampanihy Ouest"/>
    <m/>
    <s v="Ankilizato"/>
    <m/>
    <m/>
    <m/>
    <n v="397"/>
    <n v="397"/>
    <x v="1"/>
    <m/>
    <n v="30"/>
    <m/>
    <n v="0"/>
    <n v="0"/>
    <n v="0"/>
    <n v="0"/>
    <n v="0.2382"/>
    <m/>
    <n v="0"/>
    <n v="2.3820000000000001"/>
    <n v="0"/>
    <m/>
    <n v="0"/>
    <n v="2.6202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Maroviro"/>
    <m/>
    <m/>
    <m/>
    <n v="621"/>
    <n v="621"/>
    <x v="1"/>
    <m/>
    <n v="30"/>
    <m/>
    <n v="0"/>
    <n v="0"/>
    <n v="0"/>
    <n v="0"/>
    <n v="0.37259999999999999"/>
    <m/>
    <n v="0"/>
    <n v="3.726"/>
    <n v="0"/>
    <m/>
    <n v="0"/>
    <n v="4.0986000000000002"/>
    <m/>
    <m/>
  </r>
  <r>
    <x v="1"/>
    <n v="2024"/>
    <x v="2"/>
    <s v="Nutrition"/>
    <x v="5"/>
    <s v="URT_PREV:Prevention of acute malnutrition"/>
    <n v="1"/>
    <m/>
    <m/>
    <x v="0"/>
    <s v="Taolagnaro"/>
    <s v="Androy"/>
    <s v="Ambovombe"/>
    <m/>
    <s v="Antanimora Atsimo"/>
    <m/>
    <m/>
    <m/>
    <n v="1320"/>
    <n v="1320"/>
    <x v="1"/>
    <m/>
    <n v="30"/>
    <n v="0"/>
    <n v="0"/>
    <n v="0"/>
    <n v="0"/>
    <n v="0"/>
    <n v="0.79200000000000004"/>
    <m/>
    <n v="0"/>
    <n v="7.92"/>
    <n v="0"/>
    <n v="0"/>
    <n v="0"/>
    <n v="8.7119999999999997"/>
    <m/>
    <m/>
  </r>
  <r>
    <x v="1"/>
    <n v="2024"/>
    <x v="2"/>
    <s v="Nutrition"/>
    <x v="5"/>
    <s v="URT_PREV:Prevention of acute malnutrition"/>
    <n v="1"/>
    <m/>
    <s v="Amboasary"/>
    <x v="0"/>
    <s v="Taolagnaro"/>
    <s v="Anosy"/>
    <s v="Amboasary"/>
    <m/>
    <s v="Ranobe"/>
    <m/>
    <m/>
    <m/>
    <n v="423"/>
    <n v="423"/>
    <x v="1"/>
    <m/>
    <n v="30"/>
    <m/>
    <n v="0"/>
    <n v="0"/>
    <n v="0"/>
    <n v="0"/>
    <n v="0.25380000000000003"/>
    <m/>
    <n v="0"/>
    <n v="2.5379999999999998"/>
    <n v="0"/>
    <m/>
    <n v="0"/>
    <n v="2.7917999999999998"/>
    <m/>
    <m/>
  </r>
  <r>
    <x v="1"/>
    <n v="2024"/>
    <x v="2"/>
    <s v="Nutrition"/>
    <x v="5"/>
    <s v="URT_PREV:Prevention of acute malnutrition"/>
    <n v="2"/>
    <m/>
    <s v="Amboasary"/>
    <x v="0"/>
    <s v="Taolagnaro"/>
    <s v="Anosy"/>
    <s v="Amboasary"/>
    <m/>
    <s v="Tanandva Sud"/>
    <m/>
    <m/>
    <m/>
    <n v="552"/>
    <n v="552"/>
    <x v="1"/>
    <m/>
    <n v="30"/>
    <m/>
    <n v="0"/>
    <n v="0"/>
    <n v="0"/>
    <n v="0"/>
    <n v="0.33119999999999999"/>
    <m/>
    <n v="0"/>
    <n v="3.3119999999999998"/>
    <n v="0"/>
    <m/>
    <n v="0"/>
    <n v="3.6431999999999998"/>
    <m/>
    <m/>
  </r>
  <r>
    <x v="1"/>
    <n v="2024"/>
    <x v="2"/>
    <s v="Nutrition"/>
    <x v="5"/>
    <s v="URT_PREV:Prevention of acute malnutrition"/>
    <n v="1"/>
    <m/>
    <m/>
    <x v="0"/>
    <s v="Taolagnaro"/>
    <s v="Androy"/>
    <s v="Ambovombe"/>
    <m/>
    <s v="Jafaro"/>
    <m/>
    <m/>
    <m/>
    <n v="1334"/>
    <n v="1334"/>
    <x v="1"/>
    <m/>
    <n v="30"/>
    <m/>
    <n v="0"/>
    <n v="0"/>
    <n v="0"/>
    <n v="0"/>
    <n v="0.8004"/>
    <m/>
    <n v="0"/>
    <n v="8.0039999999999996"/>
    <n v="0"/>
    <m/>
    <n v="0"/>
    <n v="8.8043999999999993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Tongobory"/>
    <m/>
    <m/>
    <m/>
    <n v="436"/>
    <n v="436"/>
    <x v="1"/>
    <m/>
    <n v="30"/>
    <m/>
    <n v="0"/>
    <n v="0"/>
    <n v="0"/>
    <n v="0"/>
    <n v="0.2616"/>
    <m/>
    <n v="0"/>
    <n v="2.6160000000000001"/>
    <n v="0"/>
    <m/>
    <n v="0"/>
    <n v="2.8776000000000002"/>
    <m/>
    <m/>
  </r>
  <r>
    <x v="1"/>
    <n v="2024"/>
    <x v="2"/>
    <s v="Nutrition"/>
    <x v="5"/>
    <s v="URT_PREV:Prevention of acute malnutrition"/>
    <n v="1"/>
    <m/>
    <m/>
    <x v="3"/>
    <s v="Tuléar"/>
    <s v="Atsimo Andrefana"/>
    <s v="Betioky"/>
    <m/>
    <s v="Maroarivo Ankazomanga"/>
    <m/>
    <m/>
    <m/>
    <n v="323"/>
    <n v="323"/>
    <x v="1"/>
    <m/>
    <n v="30"/>
    <n v="0"/>
    <n v="0"/>
    <n v="0"/>
    <n v="0"/>
    <n v="0"/>
    <n v="0.1938"/>
    <m/>
    <n v="0"/>
    <n v="1.9379999999999999"/>
    <n v="0"/>
    <n v="0"/>
    <n v="0"/>
    <n v="2.1318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loha"/>
    <m/>
    <s v="Tranovaho"/>
    <m/>
    <m/>
    <m/>
    <n v="631"/>
    <n v="631"/>
    <x v="1"/>
    <m/>
    <n v="30"/>
    <m/>
    <n v="0"/>
    <n v="0"/>
    <n v="0"/>
    <n v="0"/>
    <n v="0.37859999999999999"/>
    <m/>
    <n v="0"/>
    <n v="3.786"/>
    <n v="0"/>
    <m/>
    <n v="0"/>
    <n v="4.1646000000000001"/>
    <m/>
    <m/>
  </r>
  <r>
    <x v="1"/>
    <n v="2024"/>
    <x v="2"/>
    <s v="Nutrition"/>
    <x v="5"/>
    <s v="URT_PREV:Prevention of acute malnutrition"/>
    <n v="1"/>
    <m/>
    <m/>
    <x v="0"/>
    <s v="Taolagnaro"/>
    <s v="Androy"/>
    <s v="Bekily"/>
    <m/>
    <s v="Tsikolaky"/>
    <m/>
    <m/>
    <m/>
    <n v="287"/>
    <n v="287"/>
    <x v="1"/>
    <m/>
    <n v="30"/>
    <m/>
    <n v="0"/>
    <n v="0"/>
    <n v="0"/>
    <n v="0"/>
    <n v="0.17219999999999999"/>
    <m/>
    <n v="0"/>
    <n v="1.722"/>
    <n v="0"/>
    <m/>
    <n v="0"/>
    <n v="1.8941999999999999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Salobe"/>
    <m/>
    <m/>
    <m/>
    <n v="222"/>
    <n v="222"/>
    <x v="1"/>
    <m/>
    <n v="30"/>
    <n v="0"/>
    <n v="0"/>
    <n v="0"/>
    <n v="0"/>
    <n v="0"/>
    <n v="0.13320000000000001"/>
    <m/>
    <n v="0"/>
    <n v="1.3320000000000001"/>
    <n v="0"/>
    <n v="0"/>
    <n v="0"/>
    <n v="1.4652000000000001"/>
    <m/>
    <m/>
  </r>
  <r>
    <x v="1"/>
    <n v="2024"/>
    <x v="2"/>
    <s v="Nutrition"/>
    <x v="5"/>
    <s v="URT_PREV:Prevention of acute malnutrition"/>
    <n v="2"/>
    <m/>
    <m/>
    <x v="3"/>
    <s v="Tuléar"/>
    <s v="Atsimo Andrefana"/>
    <s v="Betioky"/>
    <m/>
    <s v="Tanambao Haut"/>
    <m/>
    <m/>
    <m/>
    <n v="288"/>
    <n v="288"/>
    <x v="1"/>
    <m/>
    <n v="30"/>
    <n v="0"/>
    <n v="0"/>
    <n v="0"/>
    <n v="0"/>
    <n v="0"/>
    <n v="0.17280000000000001"/>
    <m/>
    <n v="0"/>
    <n v="1.728"/>
    <n v="0"/>
    <n v="0"/>
    <n v="0"/>
    <n v="1.9008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AMAL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VA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KISE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ARABEMOK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TANANTS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ILANY HAUT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ONDROMEN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MILITS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SETA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FOTADREVO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ZA HAUT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SAKO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TSIRIR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LINJ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TOHABAT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ALATAN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SONJO 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BAKAKA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KATRAFA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GNAVOHA CENTRE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TANANDAVA I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ALAFANTSIKY"/>
    <m/>
    <m/>
    <n v="0"/>
    <m/>
    <x v="1"/>
    <m/>
    <n v="30"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0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0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0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0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0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0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0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ar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d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0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0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0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0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atr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dr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1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1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1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mbila Centre"/>
    <n v="573"/>
    <m/>
    <n v="573"/>
    <m/>
    <x v="1"/>
    <m/>
    <n v="30"/>
    <m/>
    <m/>
    <m/>
    <m/>
    <m/>
    <m/>
    <m/>
    <m/>
    <m/>
    <m/>
    <n v="0.85950000000000004"/>
    <m/>
    <n v="0.85950000000000004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Beanana"/>
    <n v="270"/>
    <m/>
    <n v="270"/>
    <m/>
    <x v="1"/>
    <m/>
    <n v="30"/>
    <m/>
    <m/>
    <m/>
    <m/>
    <m/>
    <m/>
    <m/>
    <m/>
    <m/>
    <m/>
    <n v="0.40500000000000003"/>
    <m/>
    <n v="0.40500000000000003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Andriana"/>
    <n v="162"/>
    <m/>
    <n v="162"/>
    <m/>
    <x v="1"/>
    <m/>
    <n v="30"/>
    <m/>
    <m/>
    <m/>
    <m/>
    <m/>
    <m/>
    <m/>
    <m/>
    <m/>
    <m/>
    <n v="0.24299999999999999"/>
    <m/>
    <n v="0.24299999999999999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mbila"/>
    <s v="Loharano"/>
    <n v="145"/>
    <m/>
    <n v="145"/>
    <m/>
    <x v="1"/>
    <m/>
    <n v="30"/>
    <m/>
    <m/>
    <m/>
    <m/>
    <m/>
    <m/>
    <m/>
    <m/>
    <m/>
    <m/>
    <n v="0.2175"/>
    <m/>
    <n v="0.2175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Mahavelo"/>
    <n v="125"/>
    <m/>
    <n v="125"/>
    <m/>
    <x v="1"/>
    <m/>
    <n v="30"/>
    <m/>
    <m/>
    <m/>
    <m/>
    <m/>
    <m/>
    <m/>
    <m/>
    <m/>
    <m/>
    <n v="0.1875"/>
    <m/>
    <n v="0.1875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aranana"/>
    <n v="41"/>
    <m/>
    <n v="41"/>
    <m/>
    <x v="1"/>
    <m/>
    <n v="30"/>
    <m/>
    <m/>
    <m/>
    <m/>
    <m/>
    <m/>
    <m/>
    <m/>
    <m/>
    <m/>
    <n v="6.1499999999999999E-2"/>
    <m/>
    <n v="6.1499999999999999E-2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Vohilava"/>
    <n v="50"/>
    <m/>
    <n v="50"/>
    <m/>
    <x v="1"/>
    <m/>
    <n v="30"/>
    <m/>
    <m/>
    <m/>
    <m/>
    <m/>
    <m/>
    <m/>
    <m/>
    <m/>
    <m/>
    <n v="7.4999999999999997E-2"/>
    <m/>
    <n v="7.4999999999999997E-2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keba Ouest"/>
    <n v="71"/>
    <m/>
    <n v="71"/>
    <m/>
    <x v="1"/>
    <m/>
    <n v="30"/>
    <m/>
    <m/>
    <m/>
    <m/>
    <m/>
    <m/>
    <m/>
    <m/>
    <m/>
    <m/>
    <n v="0.1065"/>
    <m/>
    <n v="0.1065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Tsaratanana"/>
    <n v="39"/>
    <m/>
    <n v="39"/>
    <m/>
    <x v="1"/>
    <m/>
    <n v="30"/>
    <m/>
    <m/>
    <m/>
    <m/>
    <m/>
    <m/>
    <m/>
    <m/>
    <m/>
    <m/>
    <n v="5.8500000000000003E-2"/>
    <m/>
    <n v="5.8500000000000003E-2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drranomangatsiaka"/>
    <n v="25"/>
    <m/>
    <n v="25"/>
    <m/>
    <x v="1"/>
    <m/>
    <n v="30"/>
    <m/>
    <m/>
    <m/>
    <m/>
    <m/>
    <m/>
    <m/>
    <m/>
    <m/>
    <m/>
    <n v="3.7499999999999999E-2"/>
    <m/>
    <n v="3.7499999999999999E-2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mbodivakoka"/>
    <n v="70"/>
    <m/>
    <n v="70"/>
    <m/>
    <x v="1"/>
    <m/>
    <n v="30"/>
    <m/>
    <m/>
    <m/>
    <m/>
    <m/>
    <m/>
    <m/>
    <m/>
    <m/>
    <m/>
    <n v="0.105"/>
    <m/>
    <n v="0.105"/>
    <m/>
    <m/>
  </r>
  <r>
    <x v="2"/>
    <n v="2024"/>
    <x v="1"/>
    <s v="Nutrition"/>
    <x v="1"/>
    <s v="NPA_STUN:Prevention of Stunting"/>
    <m/>
    <m/>
    <s v="Manakara"/>
    <x v="1"/>
    <m/>
    <s v="Fitovinany"/>
    <s v="Manakara"/>
    <s v="NY TANINTSIKA"/>
    <s v="Anteza"/>
    <s v="Anteza"/>
    <n v="53"/>
    <m/>
    <n v="53"/>
    <m/>
    <x v="1"/>
    <m/>
    <n v="30"/>
    <m/>
    <m/>
    <m/>
    <m/>
    <m/>
    <m/>
    <m/>
    <m/>
    <m/>
    <m/>
    <n v="7.9500000000000001E-2"/>
    <m/>
    <n v="7.9500000000000001E-2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Tsaravary"/>
    <n v="212"/>
    <m/>
    <n v="212"/>
    <m/>
    <x v="1"/>
    <m/>
    <n v="30"/>
    <m/>
    <m/>
    <m/>
    <m/>
    <m/>
    <m/>
    <m/>
    <m/>
    <m/>
    <m/>
    <n v="0.318"/>
    <m/>
    <n v="0.318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aravary"/>
    <s v="Ampasimbola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mbohimiarina"/>
    <n v="344"/>
    <m/>
    <n v="344"/>
    <m/>
    <x v="1"/>
    <m/>
    <n v="30"/>
    <m/>
    <m/>
    <m/>
    <m/>
    <m/>
    <m/>
    <m/>
    <m/>
    <m/>
    <m/>
    <n v="0.51600000000000001"/>
    <m/>
    <n v="0.51600000000000001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Tsiatosika"/>
    <n v="363"/>
    <m/>
    <n v="363"/>
    <m/>
    <x v="1"/>
    <m/>
    <n v="30"/>
    <m/>
    <m/>
    <m/>
    <m/>
    <m/>
    <m/>
    <m/>
    <m/>
    <m/>
    <m/>
    <n v="0.54449999999999998"/>
    <m/>
    <n v="0.54449999999999998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ivorano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Tsiatosika"/>
    <s v="Ankarongana"/>
    <n v="202"/>
    <m/>
    <n v="202"/>
    <m/>
    <x v="1"/>
    <m/>
    <n v="30"/>
    <m/>
    <m/>
    <m/>
    <m/>
    <m/>
    <m/>
    <m/>
    <m/>
    <m/>
    <m/>
    <n v="0.30299999999999999"/>
    <m/>
    <n v="0.30299999999999999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Mahatsara Sud"/>
    <n v="368"/>
    <m/>
    <n v="368"/>
    <m/>
    <x v="1"/>
    <m/>
    <n v="30"/>
    <m/>
    <m/>
    <m/>
    <m/>
    <m/>
    <m/>
    <m/>
    <m/>
    <m/>
    <m/>
    <n v="0.55200000000000005"/>
    <m/>
    <n v="0.55200000000000005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Mahatsara Sud"/>
    <s v="Amboanato"/>
    <n v="78"/>
    <m/>
    <n v="78"/>
    <m/>
    <x v="1"/>
    <m/>
    <n v="30"/>
    <m/>
    <m/>
    <m/>
    <m/>
    <m/>
    <m/>
    <m/>
    <m/>
    <m/>
    <m/>
    <n v="0.11700000000000001"/>
    <m/>
    <n v="0.11700000000000001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Ambaladara"/>
    <n v="283"/>
    <m/>
    <n v="283"/>
    <m/>
    <x v="1"/>
    <m/>
    <n v="30"/>
    <m/>
    <m/>
    <m/>
    <m/>
    <m/>
    <m/>
    <m/>
    <m/>
    <m/>
    <m/>
    <n v="0.42449999999999999"/>
    <m/>
    <n v="0.42449999999999999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karima"/>
    <n v="286"/>
    <m/>
    <n v="286"/>
    <m/>
    <x v="1"/>
    <m/>
    <n v="30"/>
    <m/>
    <m/>
    <m/>
    <m/>
    <m/>
    <m/>
    <m/>
    <m/>
    <m/>
    <m/>
    <n v="0.42899999999999999"/>
    <m/>
    <n v="0.42899999999999999"/>
    <m/>
    <m/>
  </r>
  <r>
    <x v="2"/>
    <n v="2024"/>
    <x v="1"/>
    <s v="Nutrition"/>
    <x v="1"/>
    <s v="NPA_STUN:Prevention of Stunting"/>
    <m/>
    <m/>
    <s v="Manakara"/>
    <x v="1"/>
    <m/>
    <s v="Vatovavy"/>
    <s v="Mananjary"/>
    <s v="NY TANINTSIKA"/>
    <s v="Marokarima"/>
    <s v="Marohandriana"/>
    <n v="182"/>
    <m/>
    <n v="182"/>
    <m/>
    <x v="1"/>
    <m/>
    <n v="30"/>
    <m/>
    <m/>
    <m/>
    <m/>
    <m/>
    <m/>
    <m/>
    <m/>
    <m/>
    <m/>
    <n v="0.27300000000000002"/>
    <m/>
    <n v="0.27300000000000002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mbila Centre"/>
    <m/>
    <n v="700"/>
    <n v="700"/>
    <m/>
    <x v="1"/>
    <m/>
    <n v="30"/>
    <m/>
    <m/>
    <m/>
    <m/>
    <m/>
    <n v="0.42"/>
    <m/>
    <m/>
    <n v="4.2"/>
    <m/>
    <m/>
    <m/>
    <n v="4.62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Beanana"/>
    <m/>
    <n v="350"/>
    <n v="350"/>
    <m/>
    <x v="1"/>
    <m/>
    <n v="30"/>
    <m/>
    <m/>
    <m/>
    <m/>
    <m/>
    <n v="0.21"/>
    <m/>
    <m/>
    <n v="2.1"/>
    <m/>
    <m/>
    <m/>
    <n v="2.31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Andriana"/>
    <m/>
    <n v="185"/>
    <n v="185"/>
    <m/>
    <x v="1"/>
    <m/>
    <n v="30"/>
    <m/>
    <m/>
    <m/>
    <m/>
    <m/>
    <n v="0.111"/>
    <m/>
    <m/>
    <n v="1.1100000000000001"/>
    <m/>
    <m/>
    <m/>
    <n v="1.2210000000000001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mbila"/>
    <s v="Loharano"/>
    <m/>
    <n v="170"/>
    <n v="170"/>
    <m/>
    <x v="1"/>
    <m/>
    <n v="30"/>
    <m/>
    <m/>
    <m/>
    <m/>
    <m/>
    <n v="0.10199999999999999"/>
    <m/>
    <m/>
    <n v="1.02"/>
    <m/>
    <m/>
    <m/>
    <n v="1.1220000000000001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Mahavelo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arana"/>
    <m/>
    <n v="45"/>
    <n v="45"/>
    <m/>
    <x v="1"/>
    <m/>
    <n v="30"/>
    <m/>
    <m/>
    <m/>
    <m/>
    <m/>
    <n v="2.7E-2"/>
    <m/>
    <m/>
    <n v="0.27"/>
    <m/>
    <m/>
    <m/>
    <n v="0.29700000000000004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Vohilava"/>
    <m/>
    <n v="50"/>
    <n v="50"/>
    <m/>
    <x v="1"/>
    <m/>
    <n v="30"/>
    <m/>
    <m/>
    <m/>
    <m/>
    <m/>
    <n v="0.03"/>
    <m/>
    <m/>
    <n v="0.3"/>
    <m/>
    <m/>
    <m/>
    <n v="0.32999999999999996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keba Ouest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Tsaratanana"/>
    <m/>
    <n v="40"/>
    <n v="40"/>
    <m/>
    <x v="1"/>
    <m/>
    <n v="30"/>
    <m/>
    <m/>
    <m/>
    <m/>
    <m/>
    <n v="2.4E-2"/>
    <m/>
    <m/>
    <n v="0.24"/>
    <m/>
    <m/>
    <m/>
    <n v="0.26400000000000001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dranomangatsiaka"/>
    <m/>
    <n v="25"/>
    <n v="25"/>
    <m/>
    <x v="1"/>
    <m/>
    <n v="30"/>
    <m/>
    <m/>
    <m/>
    <m/>
    <m/>
    <n v="1.4999999999999999E-2"/>
    <m/>
    <m/>
    <n v="0.15"/>
    <m/>
    <m/>
    <m/>
    <n v="0.16499999999999998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mbodivakoka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Manakara"/>
    <x v="1"/>
    <m/>
    <s v="Fitovinany"/>
    <s v="Manakara"/>
    <s v="NY TANINTSIKA"/>
    <s v="Anteza"/>
    <s v="Anteza"/>
    <m/>
    <n v="55"/>
    <n v="55"/>
    <m/>
    <x v="1"/>
    <m/>
    <n v="30"/>
    <m/>
    <m/>
    <m/>
    <m/>
    <m/>
    <n v="3.3000000000000002E-2"/>
    <m/>
    <m/>
    <n v="0.33"/>
    <m/>
    <m/>
    <m/>
    <n v="0.36299999999999999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Mahatsara Sud"/>
    <m/>
    <n v="365"/>
    <n v="433.26599999999996"/>
    <m/>
    <x v="1"/>
    <m/>
    <n v="30"/>
    <m/>
    <m/>
    <m/>
    <m/>
    <m/>
    <n v="0.25995959999999996"/>
    <m/>
    <m/>
    <n v="2.599596"/>
    <m/>
    <m/>
    <m/>
    <n v="2.8595556000000002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Mahatsara Sud"/>
    <s v="Amboanato"/>
    <m/>
    <n v="75"/>
    <n v="347.774"/>
    <m/>
    <x v="1"/>
    <m/>
    <n v="30"/>
    <m/>
    <m/>
    <m/>
    <m/>
    <m/>
    <n v="0.2086644"/>
    <m/>
    <m/>
    <n v="2.0866439999999997"/>
    <m/>
    <m/>
    <m/>
    <n v="2.2953083999999997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Ambaladara"/>
    <m/>
    <n v="320"/>
    <n v="595.55799999999999"/>
    <m/>
    <x v="1"/>
    <m/>
    <n v="30"/>
    <m/>
    <m/>
    <m/>
    <m/>
    <m/>
    <n v="0.35733479999999995"/>
    <m/>
    <m/>
    <n v="3.5733479999999997"/>
    <m/>
    <m/>
    <m/>
    <n v="3.9306827999999996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karima"/>
    <m/>
    <n v="330"/>
    <n v="502.49199999999996"/>
    <m/>
    <x v="1"/>
    <m/>
    <n v="30"/>
    <m/>
    <m/>
    <m/>
    <m/>
    <m/>
    <n v="0.30149519999999996"/>
    <m/>
    <m/>
    <n v="3.0149519999999996"/>
    <m/>
    <m/>
    <m/>
    <n v="3.3164471999999998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Marokarima"/>
    <s v="Marohandriana"/>
    <m/>
    <n v="205"/>
    <n v="205"/>
    <m/>
    <x v="1"/>
    <m/>
    <n v="30"/>
    <m/>
    <m/>
    <m/>
    <m/>
    <m/>
    <n v="0.123"/>
    <m/>
    <m/>
    <n v="1.23"/>
    <m/>
    <m/>
    <m/>
    <n v="1.353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Tsaravary"/>
    <m/>
    <n v="248"/>
    <n v="248"/>
    <m/>
    <x v="1"/>
    <m/>
    <n v="30"/>
    <m/>
    <m/>
    <m/>
    <m/>
    <m/>
    <n v="0.14879999999999999"/>
    <m/>
    <m/>
    <n v="1.488"/>
    <m/>
    <m/>
    <m/>
    <n v="1.6368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aravary"/>
    <s v="Ampasimbola"/>
    <m/>
    <n v="226"/>
    <n v="226"/>
    <m/>
    <x v="1"/>
    <m/>
    <n v="30"/>
    <m/>
    <m/>
    <m/>
    <m/>
    <m/>
    <n v="0.1356"/>
    <m/>
    <m/>
    <n v="1.3560000000000001"/>
    <m/>
    <m/>
    <m/>
    <n v="1.4916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mbohimiarina"/>
    <m/>
    <n v="278"/>
    <n v="278"/>
    <m/>
    <x v="1"/>
    <m/>
    <n v="30"/>
    <m/>
    <m/>
    <m/>
    <m/>
    <m/>
    <n v="0.1668"/>
    <m/>
    <m/>
    <n v="1.6679999999999999"/>
    <m/>
    <m/>
    <m/>
    <n v="1.8348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Tsiatosika"/>
    <m/>
    <n v="497"/>
    <n v="497"/>
    <m/>
    <x v="1"/>
    <m/>
    <n v="30"/>
    <m/>
    <m/>
    <m/>
    <m/>
    <m/>
    <n v="0.29820000000000002"/>
    <m/>
    <m/>
    <n v="2.9820000000000002"/>
    <m/>
    <m/>
    <m/>
    <n v="3.2802000000000002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ivorano"/>
    <m/>
    <n v="254"/>
    <n v="254"/>
    <m/>
    <x v="1"/>
    <m/>
    <n v="30"/>
    <m/>
    <m/>
    <m/>
    <m/>
    <m/>
    <n v="0.15240000000000001"/>
    <m/>
    <m/>
    <n v="1.524"/>
    <m/>
    <m/>
    <m/>
    <n v="1.6764000000000001"/>
    <m/>
    <m/>
  </r>
  <r>
    <x v="2"/>
    <n v="2024"/>
    <x v="1"/>
    <s v="Nutrition"/>
    <x v="2"/>
    <s v="NPA_STUN:Prevention of Stunting"/>
    <m/>
    <m/>
    <s v="Manakara"/>
    <x v="1"/>
    <m/>
    <s v="Vatovavy"/>
    <s v="Mananjary"/>
    <s v="NY TANINTSIKA"/>
    <s v="Tsiatosika"/>
    <s v="Ankarongana"/>
    <m/>
    <n v="247"/>
    <n v="247"/>
    <m/>
    <x v="1"/>
    <m/>
    <n v="30"/>
    <m/>
    <m/>
    <m/>
    <m/>
    <m/>
    <n v="0.1482"/>
    <m/>
    <m/>
    <n v="1.482"/>
    <m/>
    <m/>
    <m/>
    <n v="1.6301999999999999"/>
    <m/>
    <m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0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0"/>
    <n v="2024"/>
    <x v="1"/>
    <s v="Nutrition"/>
    <x v="2"/>
    <s v="NPA_STUN:Prevention of Stunting"/>
    <m/>
    <m/>
    <s v="Amboadary"/>
    <x v="0"/>
    <s v="Taolagnaro"/>
    <s v="Fort dauphin"/>
    <s v="Amboasary"/>
    <m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AMAL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VAR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KISE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ARABEMOK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TANANTSO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ILANY HAUT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ONDROMEN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MILITS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SETA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FOTADREVO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ZA HAUT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SAKO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TSIRIR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LINJ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TOHABAT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ALATAN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SONJO 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BAKAKA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KATRAFA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GNAVOHA CENTRE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TANANDAVA I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ALAFANTSIKY"/>
    <m/>
    <m/>
    <m/>
    <m/>
    <x v="1"/>
    <m/>
    <n v="30"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1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1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1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1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1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1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1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1"/>
    <n v="2024"/>
    <x v="1"/>
    <s v="Nutrition"/>
    <x v="1"/>
    <s v="NPA_STUN:Prevention of Stunting"/>
    <m/>
    <m/>
    <s v="Amboadary"/>
    <x v="0"/>
    <s v="Taolagnaro"/>
    <s v="Anosy"/>
    <s v="Amboasary"/>
    <s v="YPA"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1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Ambahita"/>
    <m/>
    <m/>
    <m/>
    <n v="16706"/>
    <n v="3341.2"/>
    <x v="1"/>
    <m/>
    <n v="15"/>
    <n v="100.236"/>
    <n v="0"/>
    <n v="0"/>
    <m/>
    <n v="15.035399999999999"/>
    <n v="8.7706499999999998"/>
    <m/>
    <n v="0"/>
    <n v="0"/>
    <n v="0"/>
    <m/>
    <n v="0"/>
    <n v="124.04205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Amborompotsy"/>
    <m/>
    <m/>
    <m/>
    <n v="17635"/>
    <n v="3527"/>
    <x v="1"/>
    <m/>
    <n v="15"/>
    <n v="105.81"/>
    <n v="0"/>
    <n v="0"/>
    <m/>
    <n v="15.871499999999999"/>
    <n v="9.2583749999999991"/>
    <m/>
    <n v="0"/>
    <n v="0"/>
    <n v="0"/>
    <m/>
    <n v="0"/>
    <n v="130.939875"/>
    <m/>
    <n v="0"/>
  </r>
  <r>
    <x v="2"/>
    <n v="2024"/>
    <x v="2"/>
    <s v="GD"/>
    <x v="3"/>
    <s v="URT_GD: General Distribution"/>
    <n v="1"/>
    <m/>
    <s v="Ambovombe"/>
    <x v="0"/>
    <s v="Taolagnaro"/>
    <s v="Androy"/>
    <s v="Ambovombe"/>
    <m/>
    <s v="Andalatanosy"/>
    <m/>
    <m/>
    <m/>
    <n v="33828"/>
    <n v="6765.6"/>
    <x v="1"/>
    <m/>
    <n v="15"/>
    <n v="202.96799999999999"/>
    <n v="0"/>
    <n v="0"/>
    <m/>
    <n v="30.4452"/>
    <n v="17.759699999999999"/>
    <m/>
    <n v="0"/>
    <n v="0"/>
    <n v="0"/>
    <m/>
    <n v="0"/>
    <n v="251.1729"/>
    <m/>
    <n v="0"/>
  </r>
  <r>
    <x v="2"/>
    <n v="2024"/>
    <x v="2"/>
    <s v="GD"/>
    <x v="3"/>
    <s v="URT_GD: General Distribution"/>
    <n v="2"/>
    <m/>
    <s v="Amboasary"/>
    <x v="0"/>
    <s v="Taolagnaro"/>
    <s v="Anosy"/>
    <s v="Taolagnaro"/>
    <m/>
    <s v="Andranobory"/>
    <m/>
    <m/>
    <m/>
    <n v="7275"/>
    <n v="1455"/>
    <x v="1"/>
    <m/>
    <n v="15"/>
    <n v="43.65"/>
    <n v="0"/>
    <n v="0"/>
    <m/>
    <n v="6.5475000000000003"/>
    <n v="3.819375"/>
    <m/>
    <n v="0"/>
    <n v="0"/>
    <n v="0"/>
    <m/>
    <n v="0"/>
    <n v="54.01687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Androipano"/>
    <m/>
    <m/>
    <m/>
    <n v="11555"/>
    <n v="2311"/>
    <x v="1"/>
    <m/>
    <n v="15"/>
    <n v="69.33"/>
    <n v="0"/>
    <n v="0"/>
    <m/>
    <n v="10.3995"/>
    <n v="6.0663749999999999"/>
    <m/>
    <n v="0"/>
    <n v="0"/>
    <n v="0"/>
    <m/>
    <n v="0"/>
    <n v="85.795874999999995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Androka"/>
    <m/>
    <m/>
    <m/>
    <n v="35000"/>
    <n v="7000"/>
    <x v="1"/>
    <m/>
    <n v="15"/>
    <n v="210"/>
    <n v="0"/>
    <n v="0"/>
    <m/>
    <n v="31.5"/>
    <n v="18.375"/>
    <m/>
    <n v="0"/>
    <n v="0"/>
    <n v="0"/>
    <m/>
    <n v="0"/>
    <n v="259.875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Anivorano Mitsinjo"/>
    <m/>
    <m/>
    <m/>
    <n v="6800"/>
    <n v="1360"/>
    <x v="1"/>
    <m/>
    <n v="15"/>
    <n v="40.799999999999997"/>
    <n v="0"/>
    <n v="0"/>
    <m/>
    <n v="6.12"/>
    <n v="3.57"/>
    <m/>
    <n v="0"/>
    <n v="0"/>
    <n v="0"/>
    <m/>
    <n v="0"/>
    <n v="50.489999999999995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Anja Nord"/>
    <m/>
    <m/>
    <m/>
    <n v="3770"/>
    <n v="754"/>
    <x v="1"/>
    <m/>
    <n v="15"/>
    <n v="22.62"/>
    <n v="0"/>
    <n v="0"/>
    <m/>
    <n v="3.3929999999999998"/>
    <n v="1.97925"/>
    <m/>
    <n v="0"/>
    <n v="0"/>
    <n v="0"/>
    <m/>
    <n v="0"/>
    <n v="27.992250000000002"/>
    <m/>
    <n v="0"/>
  </r>
  <r>
    <x v="2"/>
    <n v="2024"/>
    <x v="2"/>
    <s v="GD"/>
    <x v="3"/>
    <s v="URT_GD: General Distribution"/>
    <n v="1"/>
    <m/>
    <s v="Ambovombe"/>
    <x v="0"/>
    <s v="Taolagnaro"/>
    <s v="Androy"/>
    <s v="Ambovombe"/>
    <m/>
    <s v="Ampamata"/>
    <m/>
    <m/>
    <m/>
    <n v="10150"/>
    <n v="2030"/>
    <x v="1"/>
    <m/>
    <n v="15"/>
    <n v="60.9"/>
    <n v="0"/>
    <n v="0"/>
    <m/>
    <n v="9.1349999999999998"/>
    <n v="5.3287500000000003"/>
    <m/>
    <n v="0"/>
    <n v="0"/>
    <n v="0"/>
    <m/>
    <n v="0"/>
    <n v="75.363749999999996"/>
    <m/>
    <n v="0"/>
  </r>
  <r>
    <x v="2"/>
    <n v="2024"/>
    <x v="2"/>
    <s v="GD"/>
    <x v="3"/>
    <s v="URT_GD: General Distribution"/>
    <n v="1"/>
    <m/>
    <s v="Ambovombe"/>
    <x v="0"/>
    <s v="Taolagnaro"/>
    <s v="Androy"/>
    <s v="Ambovombe"/>
    <m/>
    <s v="Anjeky Ankilikira"/>
    <m/>
    <m/>
    <m/>
    <n v="18880"/>
    <n v="3776"/>
    <x v="1"/>
    <m/>
    <n v="15"/>
    <n v="113.28"/>
    <n v="0"/>
    <n v="0"/>
    <m/>
    <n v="16.992000000000001"/>
    <n v="9.9120000000000008"/>
    <m/>
    <n v="0"/>
    <n v="0"/>
    <n v="0"/>
    <m/>
    <n v="0"/>
    <n v="140.184"/>
    <m/>
    <n v="0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Ankazombalala"/>
    <m/>
    <m/>
    <m/>
    <n v="12000"/>
    <n v="2400"/>
    <x v="1"/>
    <m/>
    <n v="15"/>
    <n v="72"/>
    <n v="0"/>
    <n v="0"/>
    <m/>
    <n v="10.8"/>
    <n v="6.3"/>
    <m/>
    <n v="0"/>
    <n v="0"/>
    <n v="0"/>
    <m/>
    <n v="0"/>
    <n v="89.1"/>
    <m/>
    <n v="0"/>
  </r>
  <r>
    <x v="2"/>
    <n v="2024"/>
    <x v="2"/>
    <s v="GD"/>
    <x v="3"/>
    <s v="URT_GD: General Distribution"/>
    <n v="2"/>
    <m/>
    <m/>
    <x v="1"/>
    <m/>
    <s v="Atsimo Antsinana"/>
    <s v="Vondrozo"/>
    <m/>
    <s v="Anandravy"/>
    <m/>
    <m/>
    <m/>
    <n v="4797"/>
    <n v="959.4"/>
    <x v="1"/>
    <m/>
    <n v="15"/>
    <n v="28.782"/>
    <n v="0"/>
    <n v="0"/>
    <m/>
    <n v="4.3173000000000004"/>
    <n v="2.5184250000000001"/>
    <m/>
    <n v="0"/>
    <n v="0"/>
    <n v="0"/>
    <m/>
    <n v="0"/>
    <n v="35.617725"/>
    <m/>
    <n v="0"/>
  </r>
  <r>
    <x v="2"/>
    <n v="2024"/>
    <x v="2"/>
    <s v="GD"/>
    <x v="3"/>
    <s v="URT_GD: General Distribution"/>
    <n v="2"/>
    <m/>
    <s v="Ampanihy"/>
    <x v="2"/>
    <s v="Tuléar"/>
    <s v="Atsimo Andrefana"/>
    <s v="Ampanihy Ouest"/>
    <m/>
    <s v="Ankiliabo"/>
    <m/>
    <m/>
    <m/>
    <n v="18100"/>
    <n v="3620"/>
    <x v="1"/>
    <m/>
    <n v="15"/>
    <n v="108.6"/>
    <n v="0"/>
    <n v="0"/>
    <m/>
    <n v="16.29"/>
    <n v="9.5024999999999995"/>
    <m/>
    <n v="0"/>
    <n v="0"/>
    <n v="0"/>
    <m/>
    <n v="0"/>
    <n v="134.39249999999998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Antsakoamaro"/>
    <m/>
    <m/>
    <m/>
    <n v="6201"/>
    <n v="1240.2"/>
    <x v="1"/>
    <m/>
    <n v="15"/>
    <n v="37.206000000000003"/>
    <n v="0"/>
    <n v="0"/>
    <m/>
    <n v="5.5808999999999997"/>
    <n v="3.255525"/>
    <m/>
    <n v="0"/>
    <n v="0"/>
    <n v="0"/>
    <m/>
    <n v="0"/>
    <n v="46.042425000000001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Belafike haut"/>
    <m/>
    <m/>
    <m/>
    <n v="10195"/>
    <n v="2039"/>
    <x v="1"/>
    <m/>
    <n v="15"/>
    <n v="61.17"/>
    <n v="0"/>
    <n v="0"/>
    <m/>
    <n v="9.1754999999999995"/>
    <n v="5.3523750000000003"/>
    <m/>
    <n v="0"/>
    <n v="0"/>
    <n v="0"/>
    <m/>
    <n v="0"/>
    <n v="75.697874999999996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Belindo Mahasoa"/>
    <m/>
    <m/>
    <m/>
    <n v="15000"/>
    <n v="3000"/>
    <x v="1"/>
    <m/>
    <n v="15"/>
    <n v="90"/>
    <n v="0"/>
    <n v="0"/>
    <m/>
    <n v="13.5"/>
    <n v="7.875"/>
    <m/>
    <n v="0"/>
    <n v="0"/>
    <n v="0"/>
    <m/>
    <n v="0"/>
    <n v="111.375"/>
    <m/>
    <n v="0"/>
  </r>
  <r>
    <x v="2"/>
    <n v="2024"/>
    <x v="2"/>
    <s v="GD"/>
    <x v="3"/>
    <s v="URT_GD: General Distribution"/>
    <n v="1"/>
    <m/>
    <s v="Tuléar"/>
    <x v="3"/>
    <s v="Tuléar"/>
    <s v="Atsimo Andrefana"/>
    <s v="Betioky"/>
    <m/>
    <s v="Beora"/>
    <m/>
    <m/>
    <m/>
    <n v="1000"/>
    <n v="200"/>
    <x v="1"/>
    <m/>
    <n v="15"/>
    <n v="6"/>
    <n v="0"/>
    <n v="0"/>
    <m/>
    <n v="0.9"/>
    <n v="0.52500000000000002"/>
    <m/>
    <n v="0"/>
    <n v="0"/>
    <n v="0"/>
    <m/>
    <n v="0"/>
    <n v="7.4250000000000007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Bevitiky"/>
    <m/>
    <m/>
    <m/>
    <n v="6341"/>
    <n v="1268.2"/>
    <x v="1"/>
    <m/>
    <n v="15"/>
    <n v="38.045999999999999"/>
    <n v="0"/>
    <n v="0"/>
    <m/>
    <n v="5.7069000000000001"/>
    <n v="3.3290250000000001"/>
    <m/>
    <n v="0"/>
    <n v="0"/>
    <n v="0"/>
    <m/>
    <n v="0"/>
    <n v="47.081924999999998"/>
    <m/>
    <n v="0"/>
  </r>
  <r>
    <x v="2"/>
    <n v="2024"/>
    <x v="2"/>
    <s v="GD"/>
    <x v="3"/>
    <s v="URT_GD: General Distribution"/>
    <n v="1"/>
    <m/>
    <s v="Amboasary"/>
    <x v="0"/>
    <s v="Taolagnaro"/>
    <s v="Anosy"/>
    <s v="Amboasary"/>
    <m/>
    <s v="Ebelo"/>
    <m/>
    <m/>
    <m/>
    <n v="13542"/>
    <n v="2708.4"/>
    <x v="1"/>
    <m/>
    <n v="15"/>
    <n v="81.251999999999995"/>
    <n v="0"/>
    <n v="0"/>
    <m/>
    <n v="12.187799999999999"/>
    <n v="7.1095499999999996"/>
    <m/>
    <n v="0"/>
    <n v="0"/>
    <n v="0"/>
    <m/>
    <n v="0"/>
    <n v="100.5493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Gogogogo"/>
    <m/>
    <m/>
    <m/>
    <n v="18955"/>
    <n v="3791"/>
    <x v="1"/>
    <m/>
    <n v="15"/>
    <n v="113.73"/>
    <n v="0"/>
    <n v="0"/>
    <m/>
    <n v="17.0595"/>
    <n v="9.9513750000000005"/>
    <m/>
    <n v="0"/>
    <n v="0"/>
    <n v="0"/>
    <m/>
    <n v="0"/>
    <n v="140.74087500000002"/>
    <m/>
    <n v="0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Lazarivo"/>
    <m/>
    <m/>
    <m/>
    <n v="10900"/>
    <n v="2180"/>
    <x v="1"/>
    <m/>
    <n v="15"/>
    <n v="65.400000000000006"/>
    <n v="0"/>
    <n v="0"/>
    <m/>
    <n v="9.81"/>
    <n v="5.7225000000000001"/>
    <m/>
    <n v="0"/>
    <n v="0"/>
    <n v="0"/>
    <m/>
    <n v="0"/>
    <n v="80.932500000000005"/>
    <m/>
    <n v="0"/>
  </r>
  <r>
    <x v="2"/>
    <n v="2024"/>
    <x v="2"/>
    <s v="GD"/>
    <x v="3"/>
    <s v="URT_GD: General Distribution"/>
    <n v="1"/>
    <m/>
    <s v="Amboasary"/>
    <x v="0"/>
    <s v="Taolagnaro"/>
    <s v="Anosy"/>
    <s v="Amboasary"/>
    <m/>
    <s v="Mahabo"/>
    <m/>
    <m/>
    <m/>
    <n v="5759"/>
    <n v="1151.8"/>
    <x v="1"/>
    <m/>
    <n v="15"/>
    <n v="34.554000000000002"/>
    <n v="0"/>
    <n v="0"/>
    <m/>
    <n v="5.1830999999999996"/>
    <n v="3.0234749999999999"/>
    <m/>
    <n v="0"/>
    <n v="0"/>
    <n v="0"/>
    <m/>
    <n v="0"/>
    <n v="42.760574999999996"/>
    <m/>
    <n v="0"/>
  </r>
  <r>
    <x v="2"/>
    <n v="2024"/>
    <x v="2"/>
    <s v="GD"/>
    <x v="3"/>
    <s v="URT_GD: General Distribution"/>
    <n v="1"/>
    <m/>
    <s v="Amboasary"/>
    <x v="0"/>
    <s v="Taolagnaro"/>
    <s v="Anosy"/>
    <s v="Amboasary"/>
    <m/>
    <s v="Mahaly"/>
    <m/>
    <m/>
    <m/>
    <n v="20745"/>
    <n v="4149"/>
    <x v="1"/>
    <m/>
    <n v="15"/>
    <n v="124.47"/>
    <n v="0"/>
    <n v="0"/>
    <m/>
    <n v="18.670500000000001"/>
    <n v="10.891125000000001"/>
    <m/>
    <n v="0"/>
    <n v="0"/>
    <n v="0"/>
    <m/>
    <n v="0"/>
    <n v="154.03162499999999"/>
    <m/>
    <n v="0"/>
  </r>
  <r>
    <x v="2"/>
    <n v="2024"/>
    <x v="2"/>
    <s v="GD"/>
    <x v="3"/>
    <s v="URT_GD: General Distribution"/>
    <n v="2"/>
    <m/>
    <m/>
    <x v="1"/>
    <m/>
    <s v="Atsimo Antsinana"/>
    <s v="Vondrozo"/>
    <m/>
    <s v="Mahatsinjo"/>
    <m/>
    <m/>
    <m/>
    <n v="7686"/>
    <n v="1537.2"/>
    <x v="1"/>
    <m/>
    <n v="15"/>
    <n v="46.116"/>
    <n v="0"/>
    <n v="0"/>
    <m/>
    <n v="6.9173999999999998"/>
    <n v="4.0351499999999998"/>
    <m/>
    <n v="0"/>
    <n v="0"/>
    <n v="0"/>
    <m/>
    <n v="0"/>
    <n v="57.068550000000002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Manakompy"/>
    <m/>
    <m/>
    <m/>
    <n v="6759"/>
    <n v="1351.8"/>
    <x v="1"/>
    <m/>
    <n v="15"/>
    <n v="40.554000000000002"/>
    <n v="0"/>
    <n v="0"/>
    <m/>
    <n v="6.0831"/>
    <n v="3.5484749999999998"/>
    <m/>
    <n v="0"/>
    <n v="0"/>
    <n v="0"/>
    <m/>
    <n v="0"/>
    <n v="50.185575"/>
    <m/>
    <n v="0"/>
  </r>
  <r>
    <x v="2"/>
    <n v="2024"/>
    <x v="2"/>
    <s v="GD"/>
    <x v="3"/>
    <s v="URT_GD: General Distribution"/>
    <n v="2"/>
    <m/>
    <s v="Amboasary"/>
    <x v="0"/>
    <s v="Taolagnaro"/>
    <s v="Anosy"/>
    <s v="Amboasary"/>
    <m/>
    <s v="Maromby"/>
    <m/>
    <m/>
    <m/>
    <n v="15242"/>
    <n v="3048.4"/>
    <x v="1"/>
    <m/>
    <n v="15"/>
    <n v="91.451999999999998"/>
    <n v="0"/>
    <n v="0"/>
    <m/>
    <n v="13.7178"/>
    <n v="8.0020500000000006"/>
    <m/>
    <n v="0"/>
    <n v="0"/>
    <n v="0"/>
    <m/>
    <n v="0"/>
    <n v="113.17184999999999"/>
    <m/>
    <n v="0"/>
  </r>
  <r>
    <x v="2"/>
    <n v="2024"/>
    <x v="2"/>
    <s v="GD"/>
    <x v="3"/>
    <s v="URT_GD: General Distribution"/>
    <n v="1"/>
    <m/>
    <s v="Ampanihy"/>
    <x v="2"/>
    <s v="Tuléar"/>
    <s v="Atsimo Andrefana"/>
    <s v="Ampanihy Ouest"/>
    <m/>
    <s v="Ankilizato"/>
    <m/>
    <m/>
    <m/>
    <n v="7940"/>
    <n v="1588"/>
    <x v="1"/>
    <m/>
    <n v="15"/>
    <n v="47.64"/>
    <n v="0"/>
    <n v="0"/>
    <m/>
    <n v="7.1459999999999999"/>
    <n v="4.1684999999999999"/>
    <m/>
    <n v="0"/>
    <n v="0"/>
    <n v="0"/>
    <m/>
    <n v="0"/>
    <n v="58.954500000000003"/>
    <m/>
    <n v="0"/>
  </r>
  <r>
    <x v="2"/>
    <n v="2024"/>
    <x v="2"/>
    <s v="GD"/>
    <x v="3"/>
    <s v="URT_GD: General Distribution"/>
    <n v="1"/>
    <m/>
    <s v="Tuléar"/>
    <x v="3"/>
    <s v="Tuléar"/>
    <s v="Atsimo Andrefana"/>
    <s v="Betioky"/>
    <m/>
    <s v="Marosavoa"/>
    <m/>
    <m/>
    <m/>
    <n v="3766"/>
    <n v="753.2"/>
    <x v="1"/>
    <m/>
    <n v="15"/>
    <n v="22.596"/>
    <n v="0"/>
    <n v="0"/>
    <m/>
    <n v="3.3894000000000002"/>
    <n v="1.97715"/>
    <m/>
    <n v="0"/>
    <n v="0"/>
    <n v="0"/>
    <m/>
    <n v="0"/>
    <n v="27.96255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Maroviro"/>
    <m/>
    <m/>
    <m/>
    <n v="12420"/>
    <n v="2484"/>
    <x v="1"/>
    <m/>
    <n v="15"/>
    <n v="74.52"/>
    <n v="0"/>
    <n v="0"/>
    <m/>
    <n v="11.178000000000001"/>
    <n v="6.5205000000000002"/>
    <m/>
    <n v="0"/>
    <n v="0"/>
    <n v="0"/>
    <m/>
    <n v="0"/>
    <n v="92.218499999999992"/>
    <m/>
    <n v="0"/>
  </r>
  <r>
    <x v="2"/>
    <n v="2024"/>
    <x v="2"/>
    <s v="GD"/>
    <x v="3"/>
    <s v="URT_GD: General Distribution"/>
    <n v="1"/>
    <m/>
    <m/>
    <x v="1"/>
    <m/>
    <s v="Atsimo Antsinana"/>
    <s v="Vangaindrano"/>
    <m/>
    <s v="Matanga"/>
    <m/>
    <m/>
    <m/>
    <n v="13734"/>
    <n v="2746.8"/>
    <x v="1"/>
    <m/>
    <n v="15"/>
    <n v="82.403999999999996"/>
    <n v="0"/>
    <n v="0"/>
    <m/>
    <n v="12.3606"/>
    <n v="7.21035"/>
    <m/>
    <n v="0"/>
    <n v="0"/>
    <n v="0"/>
    <m/>
    <n v="0"/>
    <n v="101.97495000000001"/>
    <m/>
    <n v="0"/>
  </r>
  <r>
    <x v="2"/>
    <n v="2024"/>
    <x v="2"/>
    <s v="GD"/>
    <x v="3"/>
    <s v="URT_GD: General Distribution"/>
    <n v="1"/>
    <m/>
    <m/>
    <x v="1"/>
    <m/>
    <s v="Atsimo Antsinana"/>
    <s v="Befotaka"/>
    <m/>
    <s v="Antondabe"/>
    <m/>
    <m/>
    <m/>
    <n v="5174"/>
    <n v="1034.8"/>
    <x v="1"/>
    <m/>
    <n v="15"/>
    <n v="31.044"/>
    <n v="0"/>
    <n v="0"/>
    <m/>
    <n v="4.6566000000000001"/>
    <n v="2.7163499999999998"/>
    <m/>
    <n v="0"/>
    <n v="0"/>
    <n v="0"/>
    <m/>
    <n v="0"/>
    <n v="38.41695"/>
    <m/>
    <m/>
  </r>
  <r>
    <x v="2"/>
    <n v="2024"/>
    <x v="2"/>
    <s v="GD"/>
    <x v="3"/>
    <s v="URT_GD: General Distribution"/>
    <n v="1"/>
    <m/>
    <s v="Amboasary"/>
    <x v="0"/>
    <s v="Taolagnaro"/>
    <s v="Anosy"/>
    <s v="Amboasary"/>
    <m/>
    <s v="Ranobe"/>
    <m/>
    <m/>
    <m/>
    <n v="8462"/>
    <n v="1692.4"/>
    <x v="1"/>
    <m/>
    <n v="15"/>
    <n v="50.771999999999998"/>
    <n v="0"/>
    <n v="0"/>
    <m/>
    <n v="7.6158000000000001"/>
    <n v="4.4425499999999998"/>
    <m/>
    <n v="0"/>
    <n v="0"/>
    <n v="0"/>
    <m/>
    <n v="0"/>
    <n v="62.830349999999996"/>
    <m/>
    <n v="0"/>
  </r>
  <r>
    <x v="2"/>
    <n v="2024"/>
    <x v="2"/>
    <s v="GD"/>
    <x v="3"/>
    <s v="URT_GD: General Distribution"/>
    <n v="2"/>
    <m/>
    <s v="Amboasary"/>
    <x v="0"/>
    <s v="Taolagnaro"/>
    <s v="Anosy"/>
    <s v="Amboasary"/>
    <m/>
    <s v="Tanandva Sud"/>
    <m/>
    <m/>
    <m/>
    <n v="11033"/>
    <n v="2206.6"/>
    <x v="1"/>
    <m/>
    <n v="15"/>
    <n v="66.197999999999993"/>
    <n v="0"/>
    <n v="0"/>
    <m/>
    <n v="9.9297000000000004"/>
    <n v="5.7923249999999999"/>
    <m/>
    <n v="0"/>
    <n v="0"/>
    <n v="0"/>
    <m/>
    <n v="0"/>
    <n v="81.920024999999995"/>
    <m/>
    <n v="0"/>
  </r>
  <r>
    <x v="2"/>
    <n v="2024"/>
    <x v="2"/>
    <s v="GD"/>
    <x v="3"/>
    <s v="URT_GD: General Distribution"/>
    <n v="1"/>
    <m/>
    <s v="Ambovombe"/>
    <x v="0"/>
    <s v="Taolagnaro"/>
    <s v="Androy"/>
    <s v="Ambovombe"/>
    <m/>
    <s v="Jafaro"/>
    <m/>
    <m/>
    <m/>
    <n v="26677"/>
    <n v="5335.4"/>
    <x v="1"/>
    <m/>
    <n v="15"/>
    <n v="160.06200000000001"/>
    <n v="0"/>
    <n v="0"/>
    <m/>
    <n v="24.0093"/>
    <n v="14.005425000000001"/>
    <m/>
    <n v="0"/>
    <n v="0"/>
    <n v="0"/>
    <m/>
    <n v="0"/>
    <n v="198.07672500000001"/>
    <m/>
    <n v="0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Tongobory"/>
    <m/>
    <m/>
    <m/>
    <n v="8716"/>
    <n v="1743.2"/>
    <x v="1"/>
    <m/>
    <n v="15"/>
    <n v="52.295999999999999"/>
    <n v="0"/>
    <n v="0"/>
    <m/>
    <n v="7.8444000000000003"/>
    <n v="4.5758999999999999"/>
    <m/>
    <n v="0"/>
    <n v="0"/>
    <n v="0"/>
    <m/>
    <n v="0"/>
    <n v="64.716300000000004"/>
    <m/>
    <n v="0"/>
  </r>
  <r>
    <x v="2"/>
    <n v="2024"/>
    <x v="2"/>
    <s v="GD"/>
    <x v="3"/>
    <s v="URT_GD: General Distribution"/>
    <n v="1"/>
    <m/>
    <m/>
    <x v="1"/>
    <m/>
    <s v="Atsimo Antsinana"/>
    <s v="Vangaindrano"/>
    <m/>
    <s v="Manambondro"/>
    <m/>
    <m/>
    <m/>
    <n v="4868"/>
    <n v="973.6"/>
    <x v="1"/>
    <m/>
    <n v="15"/>
    <n v="29.207999999999998"/>
    <n v="0"/>
    <n v="0"/>
    <m/>
    <n v="4.3811999999999998"/>
    <n v="2.5556999999999999"/>
    <m/>
    <n v="0"/>
    <n v="0"/>
    <n v="0"/>
    <m/>
    <n v="0"/>
    <n v="36.1449"/>
    <m/>
    <n v="0"/>
  </r>
  <r>
    <x v="2"/>
    <n v="2024"/>
    <x v="2"/>
    <s v="GD"/>
    <x v="3"/>
    <s v="URT_GD: General Distribution"/>
    <n v="1"/>
    <m/>
    <m/>
    <x v="1"/>
    <m/>
    <s v="Atsimo Antsinana"/>
    <s v="Vangaindrano"/>
    <m/>
    <s v="Marokibo"/>
    <m/>
    <m/>
    <m/>
    <n v="4267"/>
    <n v="853.4"/>
    <x v="1"/>
    <m/>
    <n v="15"/>
    <n v="25.602"/>
    <n v="0"/>
    <n v="0"/>
    <m/>
    <n v="3.8403"/>
    <n v="2.2401749999999998"/>
    <m/>
    <n v="0"/>
    <n v="0"/>
    <n v="0"/>
    <m/>
    <n v="0"/>
    <n v="31.682475"/>
    <m/>
    <n v="0"/>
  </r>
  <r>
    <x v="2"/>
    <n v="2024"/>
    <x v="2"/>
    <s v="GD"/>
    <x v="3"/>
    <s v="URT_GD: General Distribution"/>
    <n v="1"/>
    <m/>
    <s v="Tsihombe"/>
    <x v="0"/>
    <s v="Taolagnaro"/>
    <s v="Androy"/>
    <s v="Beloha"/>
    <m/>
    <s v="Tranovaho"/>
    <m/>
    <m/>
    <m/>
    <n v="12629"/>
    <n v="2525.8000000000002"/>
    <x v="1"/>
    <m/>
    <n v="15"/>
    <n v="75.774000000000001"/>
    <n v="0"/>
    <n v="0"/>
    <m/>
    <n v="11.366099999999999"/>
    <n v="6.6302250000000003"/>
    <m/>
    <n v="0"/>
    <n v="0"/>
    <n v="0"/>
    <m/>
    <n v="0"/>
    <n v="93.770325"/>
    <m/>
    <n v="0"/>
  </r>
  <r>
    <x v="2"/>
    <n v="2024"/>
    <x v="2"/>
    <s v="GD"/>
    <x v="3"/>
    <s v="URT_GD: General Distribution"/>
    <n v="1"/>
    <m/>
    <m/>
    <x v="1"/>
    <m/>
    <s v="Atsimo Antsinana"/>
    <s v="Vangaindrano"/>
    <m/>
    <s v="Masianaka"/>
    <m/>
    <m/>
    <m/>
    <n v="19824"/>
    <n v="3964.8"/>
    <x v="1"/>
    <m/>
    <n v="15"/>
    <n v="118.944"/>
    <n v="0"/>
    <n v="0"/>
    <m/>
    <n v="17.8416"/>
    <n v="10.4076"/>
    <m/>
    <n v="0"/>
    <n v="0"/>
    <n v="0"/>
    <m/>
    <n v="0"/>
    <n v="147.19319999999999"/>
    <m/>
    <n v="0"/>
  </r>
  <r>
    <x v="2"/>
    <n v="2024"/>
    <x v="2"/>
    <s v="GD"/>
    <x v="3"/>
    <s v="URT_GD: General Distribution"/>
    <n v="1"/>
    <m/>
    <m/>
    <x v="1"/>
    <m/>
    <s v="Atsimo Antsinana"/>
    <s v="Vangaindrano"/>
    <m/>
    <s v="Ranomena"/>
    <m/>
    <m/>
    <m/>
    <n v="17521"/>
    <n v="3504.2"/>
    <x v="1"/>
    <m/>
    <n v="15"/>
    <n v="105.126"/>
    <n v="0"/>
    <n v="0"/>
    <m/>
    <n v="15.7689"/>
    <n v="9.1985250000000001"/>
    <m/>
    <n v="0"/>
    <n v="0"/>
    <n v="0"/>
    <m/>
    <n v="0"/>
    <n v="130.093425"/>
    <m/>
    <n v="0"/>
  </r>
  <r>
    <x v="2"/>
    <n v="2024"/>
    <x v="2"/>
    <s v="GD"/>
    <x v="3"/>
    <s v="URT_GD: General Distribution"/>
    <n v="1"/>
    <m/>
    <s v="Bekily"/>
    <x v="0"/>
    <s v="Taolagnaro"/>
    <s v="Androy"/>
    <s v="Bekily"/>
    <m/>
    <s v="Tsikolaky"/>
    <m/>
    <m/>
    <m/>
    <n v="5748"/>
    <n v="1149.5999999999999"/>
    <x v="1"/>
    <m/>
    <n v="15"/>
    <n v="34.488"/>
    <n v="0"/>
    <n v="0"/>
    <m/>
    <n v="5.1731999999999996"/>
    <n v="3.0177"/>
    <m/>
    <n v="0"/>
    <n v="0"/>
    <n v="0"/>
    <m/>
    <n v="0"/>
    <n v="42.678899999999999"/>
    <m/>
    <n v="0"/>
  </r>
  <r>
    <x v="2"/>
    <n v="2024"/>
    <x v="2"/>
    <s v="GD"/>
    <x v="3"/>
    <s v="URT_GD: General Distribution"/>
    <n v="1"/>
    <m/>
    <m/>
    <x v="1"/>
    <m/>
    <s v="Vatovavy"/>
    <s v="Nosy Varika"/>
    <m/>
    <s v="Ambahy"/>
    <m/>
    <m/>
    <m/>
    <n v="3744"/>
    <n v="748.8"/>
    <x v="0"/>
    <m/>
    <n v="15"/>
    <n v="0"/>
    <n v="0"/>
    <n v="0"/>
    <n v="0"/>
    <n v="0"/>
    <n v="0"/>
    <n v="0"/>
    <n v="0"/>
    <n v="0"/>
    <n v="0"/>
    <n v="0"/>
    <n v="0"/>
    <n v="0"/>
    <n v="89856000"/>
    <n v="19708.980202406594"/>
  </r>
  <r>
    <x v="2"/>
    <n v="2024"/>
    <x v="2"/>
    <s v="GD"/>
    <x v="3"/>
    <s v="URT_GD: General Distribution"/>
    <n v="1"/>
    <m/>
    <m/>
    <x v="1"/>
    <m/>
    <s v="Vatovavy"/>
    <s v="Nosy Varika"/>
    <m/>
    <s v="Ambodirian'I Sahafary"/>
    <m/>
    <m/>
    <m/>
    <n v="18225"/>
    <n v="3645"/>
    <x v="0"/>
    <m/>
    <n v="15"/>
    <n v="0"/>
    <n v="0"/>
    <n v="0"/>
    <n v="0"/>
    <n v="0"/>
    <n v="0"/>
    <n v="0"/>
    <n v="0"/>
    <n v="0"/>
    <n v="0"/>
    <n v="0"/>
    <n v="0"/>
    <n v="0"/>
    <n v="437400000"/>
    <n v="95939.146417964788"/>
  </r>
  <r>
    <x v="2"/>
    <n v="2024"/>
    <x v="2"/>
    <s v="GD"/>
    <x v="3"/>
    <s v="URT_GD: General Distribution"/>
    <n v="2"/>
    <m/>
    <m/>
    <x v="1"/>
    <m/>
    <s v="Atsimo Antsinana"/>
    <s v="Midongy Atsimo"/>
    <m/>
    <s v="Andranolalina"/>
    <m/>
    <m/>
    <m/>
    <n v="7334"/>
    <n v="1466.8"/>
    <x v="0"/>
    <m/>
    <n v="15"/>
    <n v="0"/>
    <n v="0"/>
    <n v="0"/>
    <n v="0"/>
    <n v="0"/>
    <n v="0"/>
    <n v="0"/>
    <n v="0"/>
    <n v="0"/>
    <n v="0"/>
    <n v="0"/>
    <n v="0"/>
    <n v="0"/>
    <n v="176016000"/>
    <n v="38607.281197769749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Ankazomanga Ouest"/>
    <m/>
    <m/>
    <m/>
    <n v="3627"/>
    <n v="725.4"/>
    <x v="0"/>
    <m/>
    <n v="15"/>
    <n v="0"/>
    <n v="0"/>
    <n v="0"/>
    <n v="0"/>
    <n v="0"/>
    <n v="0"/>
    <n v="0"/>
    <n v="0"/>
    <n v="0"/>
    <n v="0"/>
    <n v="0"/>
    <n v="0"/>
    <n v="0"/>
    <n v="87048000"/>
    <n v="19093.074571081386"/>
  </r>
  <r>
    <x v="2"/>
    <n v="2024"/>
    <x v="2"/>
    <s v="GD"/>
    <x v="3"/>
    <s v="URT_GD: General Distribution"/>
    <n v="1"/>
    <m/>
    <s v="Ambovombe"/>
    <x v="0"/>
    <s v="Taolagnaro"/>
    <s v="Androy"/>
    <s v="Ambovombe"/>
    <m/>
    <s v="Antanimora Atsimo"/>
    <m/>
    <m/>
    <m/>
    <n v="26403"/>
    <n v="5280.6"/>
    <x v="0"/>
    <m/>
    <n v="15"/>
    <n v="0"/>
    <n v="0"/>
    <n v="0"/>
    <n v="0"/>
    <n v="0"/>
    <n v="0"/>
    <n v="0"/>
    <n v="0"/>
    <n v="0"/>
    <n v="0"/>
    <n v="0"/>
    <n v="0"/>
    <n v="0"/>
    <n v="633672000"/>
    <n v="138989.37080238815"/>
  </r>
  <r>
    <x v="2"/>
    <n v="2024"/>
    <x v="2"/>
    <s v="GD"/>
    <x v="3"/>
    <s v="URT_GD: General Distribution"/>
    <n v="1"/>
    <m/>
    <m/>
    <x v="1"/>
    <m/>
    <s v="Atsimo Antsinana"/>
    <s v="Befotaka"/>
    <m/>
    <s v="Befotaka Sud"/>
    <m/>
    <m/>
    <m/>
    <n v="10257"/>
    <n v="2051.4"/>
    <x v="0"/>
    <m/>
    <n v="15"/>
    <n v="0"/>
    <n v="0"/>
    <n v="0"/>
    <n v="0"/>
    <n v="0"/>
    <n v="0"/>
    <n v="0"/>
    <n v="0"/>
    <n v="0"/>
    <n v="0"/>
    <n v="0"/>
    <n v="0"/>
    <n v="0"/>
    <n v="246168000"/>
    <n v="53994.393679509725"/>
  </r>
  <r>
    <x v="2"/>
    <n v="2024"/>
    <x v="2"/>
    <s v="GD"/>
    <x v="3"/>
    <s v="URT_GD: General Distribution"/>
    <n v="1"/>
    <m/>
    <m/>
    <x v="1"/>
    <m/>
    <s v="Vatovavy"/>
    <s v="Nosy Varika"/>
    <m/>
    <s v="Fanivelona"/>
    <m/>
    <m/>
    <m/>
    <n v="10240"/>
    <n v="2048"/>
    <x v="0"/>
    <m/>
    <n v="15"/>
    <n v="0"/>
    <n v="0"/>
    <n v="0"/>
    <n v="0"/>
    <n v="0"/>
    <n v="0"/>
    <n v="0"/>
    <n v="0"/>
    <n v="0"/>
    <n v="0"/>
    <n v="0"/>
    <n v="0"/>
    <n v="0"/>
    <n v="245760000"/>
    <n v="53904.903117693248"/>
  </r>
  <r>
    <x v="2"/>
    <n v="2024"/>
    <x v="2"/>
    <s v="GD"/>
    <x v="3"/>
    <s v="URT_GD: General Distribution"/>
    <n v="1"/>
    <m/>
    <m/>
    <x v="1"/>
    <m/>
    <s v="Vatovavy"/>
    <s v="Nosy Varika"/>
    <m/>
    <s v="Fiadanana"/>
    <m/>
    <m/>
    <m/>
    <n v="12803"/>
    <n v="2560.6"/>
    <x v="0"/>
    <m/>
    <n v="15"/>
    <n v="0"/>
    <n v="0"/>
    <n v="0"/>
    <n v="0"/>
    <n v="0"/>
    <n v="0"/>
    <n v="0"/>
    <n v="0"/>
    <n v="0"/>
    <n v="0"/>
    <n v="0"/>
    <n v="0"/>
    <n v="0"/>
    <n v="307272000"/>
    <n v="67396.921349201817"/>
  </r>
  <r>
    <x v="2"/>
    <n v="2024"/>
    <x v="2"/>
    <s v="GD"/>
    <x v="3"/>
    <s v="URT_GD: General Distribution"/>
    <n v="2"/>
    <m/>
    <m/>
    <x v="1"/>
    <m/>
    <s v="Atsimo Antsinana"/>
    <s v="Midongy Atsimo"/>
    <m/>
    <s v="Ivondro"/>
    <m/>
    <m/>
    <m/>
    <n v="7475"/>
    <n v="1495"/>
    <x v="0"/>
    <m/>
    <n v="15"/>
    <n v="0"/>
    <n v="0"/>
    <n v="0"/>
    <n v="0"/>
    <n v="0"/>
    <n v="0"/>
    <n v="0"/>
    <n v="0"/>
    <n v="0"/>
    <n v="0"/>
    <n v="0"/>
    <n v="0"/>
    <n v="0"/>
    <n v="179400000"/>
    <n v="39349.526445777054"/>
  </r>
  <r>
    <x v="2"/>
    <n v="2024"/>
    <x v="2"/>
    <s v="GD"/>
    <x v="3"/>
    <s v="URT_GD: General Distribution"/>
    <n v="1"/>
    <m/>
    <s v="Tuléar"/>
    <x v="3"/>
    <s v="Tuléar"/>
    <s v="Atsimo Andrefana"/>
    <s v="Betioky"/>
    <m/>
    <s v="Maroarivo Ankazomanga"/>
    <m/>
    <m/>
    <m/>
    <n v="6455"/>
    <n v="1291"/>
    <x v="0"/>
    <m/>
    <n v="15"/>
    <n v="0"/>
    <n v="0"/>
    <n v="0"/>
    <n v="0"/>
    <n v="0"/>
    <n v="0"/>
    <n v="0"/>
    <n v="0"/>
    <n v="0"/>
    <n v="0"/>
    <n v="0"/>
    <n v="0"/>
    <n v="0"/>
    <n v="154920000"/>
    <n v="33980.092736788079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Salobe"/>
    <m/>
    <m/>
    <m/>
    <n v="4446"/>
    <n v="889.2"/>
    <x v="0"/>
    <m/>
    <n v="15"/>
    <n v="0"/>
    <n v="0"/>
    <n v="0"/>
    <n v="0"/>
    <n v="0"/>
    <n v="0"/>
    <n v="0"/>
    <n v="0"/>
    <n v="0"/>
    <n v="0"/>
    <n v="0"/>
    <n v="0"/>
    <n v="0"/>
    <n v="106704000"/>
    <n v="23404.413990357829"/>
  </r>
  <r>
    <x v="2"/>
    <n v="2024"/>
    <x v="2"/>
    <s v="GD"/>
    <x v="3"/>
    <s v="URT_GD: General Distribution"/>
    <n v="2"/>
    <m/>
    <s v="Tuléar"/>
    <x v="3"/>
    <s v="Tuléar"/>
    <s v="Atsimo Andrefana"/>
    <s v="Betioky"/>
    <m/>
    <s v="Tanambao Haut"/>
    <m/>
    <m/>
    <m/>
    <n v="5765"/>
    <n v="1153"/>
    <x v="0"/>
    <m/>
    <n v="15"/>
    <n v="0"/>
    <n v="0"/>
    <n v="0"/>
    <n v="0"/>
    <n v="0"/>
    <n v="0"/>
    <n v="0"/>
    <n v="0"/>
    <n v="0"/>
    <n v="0"/>
    <n v="0"/>
    <n v="0"/>
    <n v="0"/>
    <n v="138360000"/>
    <n v="30347.828757177886"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BORY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ANINDRAT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LITELO I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JABELITSA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SELY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BEFOLOTS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KITIKIT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ROJ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MPITANAK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ONGAENO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ROLINT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ITAMPOLO I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VOMB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T/RIONA NOR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NDRANOVA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A/MASINTS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ITAMPOLO"/>
    <s v="MALANGERIA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NDROIPAN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BESELY SU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NDROIMPANO"/>
    <s v="AMBOLOSOGN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BORY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ANINDRAT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LITELO II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JABELITSA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SELY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BEFOLOTS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KITIKITI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ROJ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MPITANAK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ONGAENOR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ROLINT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ITAMPOLO II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VOMBE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T/RIONA NOR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NDRANOVA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A/MASINTSOA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ITAMPOLO"/>
    <s v="MALANGERIA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NDROIPAN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BESELY SU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TSIANDRIONA SUD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ALATSIMIVIKY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NDROIMPANO"/>
    <s v="AMBOLOSOGNO"/>
    <m/>
    <m/>
    <n v="0"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AMAL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VA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KISE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ARABEMOK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TANANTS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ILANY HAUT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ONDROMEN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MILITS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SETA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FOTADREVO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TEZA HAUT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SAKO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DRANOTSIRIR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LINJ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TOHABAT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NIVORANO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MBALATAN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ASONJO 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FOTADREVO"/>
    <s v="BEBAKAKA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KATRAFA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GNAVOHA CENTRE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TANANDAVA I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Ampanihy"/>
    <x v="2"/>
    <s v="TOLIARA"/>
    <s v="Atsimo Andrefana"/>
    <s v="Ampanihy Ouest"/>
    <s v="TOHANA"/>
    <s v="AGNAVOHA"/>
    <s v="ANALAFANTSIKY"/>
    <m/>
    <m/>
    <m/>
    <m/>
    <x v="1"/>
    <m/>
    <n v="30"/>
    <m/>
    <m/>
    <m/>
    <m/>
    <m/>
    <n v="0"/>
    <m/>
    <m/>
    <n v="0"/>
    <m/>
    <m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AMAL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VAR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KISE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ARABEMOK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TANANTSO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ILANY HAUT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ONDROMEN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MILITS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SETA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FOTADREVO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TEZA HAUT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SAKO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DRANOTSIRIR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LINJ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TOHABAT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NIVORANO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MBALATAN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ASONJO 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FOTADREVO"/>
    <s v="BEBAKAKA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KATRAFA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GNAVOHA CENTRE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MANDABE ANKILIMARO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TANANDAVA I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panihy"/>
    <x v="2"/>
    <s v="TOLIARA"/>
    <s v="Atsimo Andrefana"/>
    <s v="Ampanihy Ouest"/>
    <s v="TOHANA"/>
    <s v="AGNAVOHA"/>
    <s v="ANALAFANTSIKY"/>
    <m/>
    <m/>
    <m/>
    <m/>
    <x v="1"/>
    <m/>
    <n v="30"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IADAMANDROSO"/>
    <n v="192"/>
    <m/>
    <n v="192"/>
    <m/>
    <x v="1"/>
    <m/>
    <n v="30"/>
    <m/>
    <m/>
    <m/>
    <m/>
    <m/>
    <m/>
    <m/>
    <m/>
    <m/>
    <m/>
    <n v="0.28799999999999998"/>
    <m/>
    <n v="0.287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TSIVORY"/>
    <n v="168"/>
    <m/>
    <n v="168"/>
    <m/>
    <x v="1"/>
    <m/>
    <n v="30"/>
    <m/>
    <m/>
    <m/>
    <m/>
    <m/>
    <m/>
    <m/>
    <m/>
    <m/>
    <m/>
    <n v="0.252"/>
    <m/>
    <n v="0.252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ORAFENO"/>
    <n v="186"/>
    <m/>
    <n v="186"/>
    <m/>
    <x v="1"/>
    <m/>
    <n v="30"/>
    <m/>
    <m/>
    <m/>
    <m/>
    <m/>
    <m/>
    <m/>
    <m/>
    <m/>
    <m/>
    <n v="0.27900000000000003"/>
    <m/>
    <n v="0.2790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SARODRANO"/>
    <n v="179"/>
    <m/>
    <n v="179"/>
    <m/>
    <x v="1"/>
    <m/>
    <n v="30"/>
    <m/>
    <m/>
    <m/>
    <m/>
    <m/>
    <m/>
    <m/>
    <m/>
    <m/>
    <m/>
    <n v="0.26850000000000002"/>
    <m/>
    <n v="0.268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ABOROTSY "/>
    <n v="164"/>
    <m/>
    <n v="164"/>
    <m/>
    <x v="1"/>
    <m/>
    <n v="30"/>
    <m/>
    <m/>
    <m/>
    <m/>
    <m/>
    <m/>
    <m/>
    <m/>
    <m/>
    <m/>
    <n v="0.246"/>
    <m/>
    <n v="0.246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LENALENA"/>
    <n v="174"/>
    <m/>
    <n v="174"/>
    <m/>
    <x v="1"/>
    <m/>
    <n v="30"/>
    <m/>
    <m/>
    <m/>
    <m/>
    <m/>
    <m/>
    <m/>
    <m/>
    <m/>
    <m/>
    <n v="0.26100000000000001"/>
    <m/>
    <n v="0.2610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FARIVOLO"/>
    <n v="168"/>
    <m/>
    <n v="168"/>
    <m/>
    <x v="1"/>
    <m/>
    <n v="30"/>
    <m/>
    <m/>
    <m/>
    <m/>
    <m/>
    <m/>
    <m/>
    <m/>
    <m/>
    <m/>
    <n v="0.252"/>
    <m/>
    <n v="0.252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BEVOVOKA"/>
    <n v="320"/>
    <m/>
    <n v="320"/>
    <m/>
    <x v="1"/>
    <m/>
    <n v="30"/>
    <m/>
    <m/>
    <m/>
    <m/>
    <m/>
    <m/>
    <m/>
    <m/>
    <m/>
    <m/>
    <n v="0.48"/>
    <m/>
    <n v="0.4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MPIHA"/>
    <n v="180"/>
    <m/>
    <n v="180"/>
    <m/>
    <x v="1"/>
    <m/>
    <n v="30"/>
    <m/>
    <m/>
    <m/>
    <m/>
    <m/>
    <m/>
    <m/>
    <m/>
    <m/>
    <m/>
    <n v="0.27"/>
    <m/>
    <n v="0.27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MAROVOTRY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IMANJOLA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TOHANA"/>
    <s v="TSIVORY"/>
    <s v="ANKILY"/>
    <n v="173"/>
    <m/>
    <n v="173"/>
    <m/>
    <x v="1"/>
    <m/>
    <n v="30"/>
    <m/>
    <m/>
    <m/>
    <m/>
    <m/>
    <m/>
    <m/>
    <m/>
    <m/>
    <m/>
    <n v="0.25950000000000001"/>
    <m/>
    <n v="0.259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EHAVO"/>
    <n v="103"/>
    <m/>
    <n v="103"/>
    <m/>
    <x v="1"/>
    <m/>
    <n v="30"/>
    <m/>
    <m/>
    <m/>
    <m/>
    <m/>
    <m/>
    <m/>
    <m/>
    <m/>
    <m/>
    <n v="0.1545"/>
    <m/>
    <n v="0.154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MORAFENO"/>
    <n v="367"/>
    <m/>
    <n v="367"/>
    <m/>
    <x v="1"/>
    <m/>
    <n v="30"/>
    <m/>
    <m/>
    <m/>
    <m/>
    <m/>
    <m/>
    <m/>
    <m/>
    <m/>
    <m/>
    <n v="0.55049999999999999"/>
    <m/>
    <n v="0.550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SILIMOSA"/>
    <n v="578"/>
    <m/>
    <n v="578"/>
    <m/>
    <x v="1"/>
    <m/>
    <n v="30"/>
    <m/>
    <m/>
    <m/>
    <m/>
    <m/>
    <m/>
    <m/>
    <m/>
    <m/>
    <m/>
    <n v="0.86699999999999999"/>
    <m/>
    <n v="0.8669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NANDAVA"/>
    <n v="501"/>
    <m/>
    <n v="501"/>
    <m/>
    <x v="1"/>
    <m/>
    <n v="30"/>
    <m/>
    <m/>
    <m/>
    <m/>
    <m/>
    <m/>
    <m/>
    <m/>
    <m/>
    <m/>
    <n v="0.75149999999999995"/>
    <m/>
    <n v="0.7514999999999999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ARANAKA ANKILIMENA"/>
    <n v="392"/>
    <m/>
    <n v="392"/>
    <m/>
    <x v="1"/>
    <m/>
    <n v="30"/>
    <m/>
    <m/>
    <m/>
    <m/>
    <m/>
    <m/>
    <m/>
    <m/>
    <m/>
    <m/>
    <n v="0.58799999999999997"/>
    <m/>
    <n v="0.58799999999999997"/>
    <m/>
    <m/>
  </r>
  <r>
    <x v="2"/>
    <n v="2024"/>
    <x v="1"/>
    <s v="Nutrition"/>
    <x v="1"/>
    <s v="NPA_STUN:Prevention of Stunting"/>
    <m/>
    <m/>
    <s v="Amboasary"/>
    <x v="0"/>
    <s v="Taolagnaro"/>
    <s v="Anosy"/>
    <s v="Ambovombe"/>
    <s v="YPA"/>
    <s v="SIHANAMARO"/>
    <s v="TERABOVO"/>
    <n v="556"/>
    <m/>
    <n v="556"/>
    <m/>
    <x v="1"/>
    <m/>
    <n v="30"/>
    <m/>
    <m/>
    <m/>
    <m/>
    <m/>
    <m/>
    <m/>
    <m/>
    <m/>
    <m/>
    <n v="0.83399999999999996"/>
    <m/>
    <n v="0.83399999999999996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AVABAZA"/>
    <n v="234"/>
    <m/>
    <n v="234"/>
    <m/>
    <x v="1"/>
    <m/>
    <n v="30"/>
    <m/>
    <m/>
    <m/>
    <m/>
    <m/>
    <m/>
    <m/>
    <m/>
    <m/>
    <m/>
    <n v="0.35099999999999998"/>
    <m/>
    <n v="0.350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DRENARA"/>
    <n v="104"/>
    <m/>
    <n v="104"/>
    <m/>
    <x v="1"/>
    <m/>
    <n v="30"/>
    <m/>
    <m/>
    <m/>
    <m/>
    <m/>
    <m/>
    <m/>
    <m/>
    <m/>
    <m/>
    <n v="0.156"/>
    <m/>
    <n v="0.156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ANKIRIKIRIKE"/>
    <n v="471"/>
    <m/>
    <n v="471"/>
    <m/>
    <x v="1"/>
    <m/>
    <n v="30"/>
    <m/>
    <m/>
    <m/>
    <m/>
    <m/>
    <m/>
    <m/>
    <m/>
    <m/>
    <m/>
    <n v="0.70650000000000002"/>
    <m/>
    <n v="0.706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FAITSE"/>
    <n v="215"/>
    <m/>
    <n v="215"/>
    <m/>
    <x v="1"/>
    <m/>
    <n v="30"/>
    <m/>
    <m/>
    <m/>
    <m/>
    <m/>
    <m/>
    <m/>
    <m/>
    <m/>
    <m/>
    <n v="0.32250000000000001"/>
    <m/>
    <n v="0.322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BERENTY"/>
    <n v="199"/>
    <m/>
    <n v="199"/>
    <m/>
    <x v="1"/>
    <m/>
    <n v="30"/>
    <m/>
    <m/>
    <m/>
    <m/>
    <m/>
    <m/>
    <m/>
    <m/>
    <m/>
    <m/>
    <n v="0.29849999999999999"/>
    <m/>
    <n v="0.29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FANDIOVA"/>
    <n v="194"/>
    <m/>
    <n v="194"/>
    <m/>
    <x v="1"/>
    <m/>
    <n v="30"/>
    <m/>
    <m/>
    <m/>
    <m/>
    <m/>
    <m/>
    <m/>
    <m/>
    <m/>
    <m/>
    <n v="0.29099999999999998"/>
    <m/>
    <n v="0.290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HELIBONDRO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AROMENA CENTRE"/>
    <n v="151"/>
    <m/>
    <n v="151"/>
    <m/>
    <x v="1"/>
    <m/>
    <n v="30"/>
    <m/>
    <m/>
    <m/>
    <m/>
    <m/>
    <m/>
    <m/>
    <m/>
    <m/>
    <m/>
    <n v="0.22650000000000001"/>
    <m/>
    <n v="0.226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HARA"/>
    <s v="MIEBA"/>
    <n v="523"/>
    <m/>
    <n v="523"/>
    <m/>
    <x v="1"/>
    <m/>
    <n v="30"/>
    <m/>
    <m/>
    <m/>
    <m/>
    <m/>
    <m/>
    <m/>
    <m/>
    <m/>
    <m/>
    <n v="0.78449999999999998"/>
    <m/>
    <n v="0.784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MPOTOBATO"/>
    <n v="163"/>
    <m/>
    <n v="163"/>
    <m/>
    <x v="1"/>
    <m/>
    <n v="30"/>
    <m/>
    <m/>
    <m/>
    <m/>
    <m/>
    <m/>
    <m/>
    <m/>
    <m/>
    <m/>
    <n v="0.2445"/>
    <m/>
    <n v="0.244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DAVABOAY"/>
    <n v="187"/>
    <m/>
    <n v="187"/>
    <m/>
    <x v="1"/>
    <m/>
    <n v="30"/>
    <m/>
    <m/>
    <m/>
    <m/>
    <m/>
    <m/>
    <m/>
    <m/>
    <m/>
    <m/>
    <n v="0.28050000000000003"/>
    <m/>
    <n v="0.2805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ANKARA BERANO"/>
    <n v="127"/>
    <m/>
    <n v="127"/>
    <m/>
    <x v="1"/>
    <m/>
    <n v="30"/>
    <m/>
    <m/>
    <m/>
    <m/>
    <m/>
    <m/>
    <m/>
    <m/>
    <m/>
    <m/>
    <n v="0.1905"/>
    <m/>
    <n v="0.190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BERANO VILLE"/>
    <n v="190"/>
    <m/>
    <n v="190"/>
    <m/>
    <x v="1"/>
    <m/>
    <n v="30"/>
    <m/>
    <m/>
    <m/>
    <m/>
    <m/>
    <m/>
    <m/>
    <m/>
    <m/>
    <m/>
    <n v="0.28499999999999998"/>
    <m/>
    <n v="0.284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BERANO"/>
    <s v="MANITSEVO"/>
    <n v="278"/>
    <m/>
    <n v="278"/>
    <m/>
    <x v="1"/>
    <m/>
    <n v="30"/>
    <m/>
    <m/>
    <m/>
    <m/>
    <m/>
    <m/>
    <m/>
    <m/>
    <m/>
    <m/>
    <n v="0.41699999999999998"/>
    <m/>
    <n v="0.4169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ALOALO"/>
    <n v="205"/>
    <m/>
    <n v="205"/>
    <m/>
    <x v="1"/>
    <m/>
    <n v="30"/>
    <m/>
    <m/>
    <m/>
    <m/>
    <m/>
    <m/>
    <m/>
    <m/>
    <m/>
    <m/>
    <n v="0.3075"/>
    <m/>
    <n v="0.307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JAMAHAVELO"/>
    <n v="395"/>
    <m/>
    <n v="395"/>
    <m/>
    <x v="1"/>
    <m/>
    <n v="30"/>
    <m/>
    <m/>
    <m/>
    <m/>
    <m/>
    <m/>
    <m/>
    <m/>
    <m/>
    <m/>
    <n v="0.59250000000000003"/>
    <m/>
    <n v="0.5925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ANKILIMITRAHA (ANJADO)"/>
    <n v="239"/>
    <m/>
    <n v="239"/>
    <m/>
    <x v="1"/>
    <m/>
    <n v="30"/>
    <m/>
    <m/>
    <m/>
    <m/>
    <m/>
    <m/>
    <m/>
    <m/>
    <m/>
    <m/>
    <n v="0.35849999999999999"/>
    <m/>
    <n v="0.35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kiria"/>
    <n v="263"/>
    <m/>
    <n v="263"/>
    <m/>
    <x v="1"/>
    <m/>
    <n v="30"/>
    <m/>
    <m/>
    <m/>
    <m/>
    <m/>
    <m/>
    <m/>
    <m/>
    <m/>
    <m/>
    <n v="0.39450000000000002"/>
    <m/>
    <n v="0.39450000000000002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BERAKETA"/>
    <n v="301"/>
    <m/>
    <n v="301"/>
    <m/>
    <x v="1"/>
    <m/>
    <n v="30"/>
    <m/>
    <m/>
    <m/>
    <m/>
    <m/>
    <m/>
    <m/>
    <m/>
    <m/>
    <m/>
    <n v="0.45150000000000001"/>
    <m/>
    <n v="0.451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FENOAIVO"/>
    <n v="146"/>
    <m/>
    <n v="146"/>
    <m/>
    <x v="1"/>
    <m/>
    <n v="30"/>
    <m/>
    <m/>
    <m/>
    <m/>
    <m/>
    <m/>
    <m/>
    <m/>
    <m/>
    <m/>
    <n v="0.219"/>
    <m/>
    <n v="0.21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IFOTAKA"/>
    <s v="IFOTAKA CENTRE"/>
    <n v="469"/>
    <m/>
    <n v="469"/>
    <m/>
    <x v="1"/>
    <m/>
    <n v="30"/>
    <m/>
    <m/>
    <m/>
    <m/>
    <m/>
    <m/>
    <m/>
    <m/>
    <m/>
    <m/>
    <n v="0.70350000000000001"/>
    <m/>
    <n v="0.703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DROVASOA"/>
    <n v="233"/>
    <m/>
    <n v="233"/>
    <m/>
    <x v="1"/>
    <m/>
    <n v="30"/>
    <m/>
    <m/>
    <m/>
    <m/>
    <m/>
    <m/>
    <m/>
    <m/>
    <m/>
    <m/>
    <n v="0.34949999999999998"/>
    <m/>
    <n v="0.34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ANKILIDONGA"/>
    <n v="207"/>
    <m/>
    <n v="207"/>
    <m/>
    <x v="1"/>
    <m/>
    <n v="30"/>
    <m/>
    <m/>
    <m/>
    <m/>
    <m/>
    <m/>
    <m/>
    <m/>
    <m/>
    <m/>
    <n v="0.3105"/>
    <m/>
    <n v="0.310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DRAPASY ANTSAKOAMASY"/>
    <n v="159"/>
    <m/>
    <n v="159"/>
    <m/>
    <x v="1"/>
    <m/>
    <n v="30"/>
    <m/>
    <m/>
    <m/>
    <m/>
    <m/>
    <m/>
    <m/>
    <m/>
    <m/>
    <m/>
    <n v="0.23849999999999999"/>
    <m/>
    <n v="0.238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MANINDRA CENTRE"/>
    <n v="163"/>
    <m/>
    <n v="163"/>
    <m/>
    <x v="1"/>
    <m/>
    <n v="30"/>
    <m/>
    <m/>
    <m/>
    <m/>
    <m/>
    <m/>
    <m/>
    <m/>
    <m/>
    <m/>
    <n v="0.2445"/>
    <m/>
    <n v="0.244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AMPONA CENTRE"/>
    <n v="164"/>
    <m/>
    <n v="164"/>
    <m/>
    <x v="1"/>
    <m/>
    <n v="30"/>
    <m/>
    <m/>
    <m/>
    <m/>
    <m/>
    <m/>
    <m/>
    <m/>
    <m/>
    <m/>
    <n v="0.246"/>
    <m/>
    <n v="0.246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SIHANAKARA"/>
    <n v="251"/>
    <m/>
    <n v="251"/>
    <m/>
    <x v="1"/>
    <m/>
    <n v="30"/>
    <m/>
    <m/>
    <m/>
    <m/>
    <m/>
    <m/>
    <m/>
    <m/>
    <m/>
    <m/>
    <n v="0.3765"/>
    <m/>
    <n v="0.3765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SAMPONA"/>
    <s v="VAHAVOLA CENTRE"/>
    <n v="204"/>
    <m/>
    <n v="204"/>
    <m/>
    <x v="1"/>
    <m/>
    <n v="30"/>
    <m/>
    <m/>
    <m/>
    <m/>
    <m/>
    <m/>
    <m/>
    <m/>
    <m/>
    <m/>
    <n v="0.30599999999999999"/>
    <m/>
    <n v="0.3059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MBATOMENA"/>
    <n v="193"/>
    <m/>
    <n v="193"/>
    <m/>
    <x v="1"/>
    <m/>
    <n v="30"/>
    <m/>
    <m/>
    <m/>
    <m/>
    <m/>
    <m/>
    <m/>
    <m/>
    <m/>
    <m/>
    <n v="0.28949999999999998"/>
    <m/>
    <n v="0.28949999999999998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ANTSOVELA VILLE"/>
    <n v="356"/>
    <m/>
    <n v="356"/>
    <m/>
    <x v="1"/>
    <m/>
    <n v="30"/>
    <m/>
    <m/>
    <m/>
    <m/>
    <m/>
    <m/>
    <m/>
    <m/>
    <m/>
    <m/>
    <n v="0.53400000000000003"/>
    <m/>
    <n v="0.53400000000000003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MAROLOHA"/>
    <n v="203"/>
    <m/>
    <n v="203"/>
    <m/>
    <x v="1"/>
    <m/>
    <n v="30"/>
    <m/>
    <m/>
    <m/>
    <m/>
    <m/>
    <m/>
    <m/>
    <m/>
    <m/>
    <m/>
    <n v="0.30449999999999999"/>
    <m/>
    <n v="0.30449999999999999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TANANDAVA"/>
    <n v="379"/>
    <m/>
    <n v="379"/>
    <m/>
    <x v="1"/>
    <m/>
    <n v="30"/>
    <m/>
    <m/>
    <m/>
    <m/>
    <m/>
    <m/>
    <m/>
    <m/>
    <m/>
    <m/>
    <n v="0.56850000000000001"/>
    <m/>
    <n v="0.56850000000000001"/>
    <m/>
    <m/>
  </r>
  <r>
    <x v="2"/>
    <n v="2024"/>
    <x v="1"/>
    <s v="Nutrition"/>
    <x v="1"/>
    <s v="NPA_STUN:Prevention of Stunting"/>
    <m/>
    <m/>
    <s v="Amboasary"/>
    <x v="0"/>
    <s v="Taolagnaro"/>
    <s v="Anosy"/>
    <s v="Amboasary"/>
    <s v="YPA"/>
    <s v="TANANDAVA"/>
    <s v="VOHIBARY"/>
    <n v="31"/>
    <m/>
    <n v="31"/>
    <m/>
    <x v="1"/>
    <m/>
    <n v="30"/>
    <m/>
    <m/>
    <m/>
    <m/>
    <m/>
    <m/>
    <m/>
    <m/>
    <m/>
    <m/>
    <n v="4.65E-2"/>
    <m/>
    <n v="4.65E-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IADAMANDROSO"/>
    <m/>
    <n v="157"/>
    <n v="157"/>
    <m/>
    <x v="1"/>
    <m/>
    <n v="30"/>
    <m/>
    <m/>
    <m/>
    <m/>
    <m/>
    <n v="9.4200000000000006E-2"/>
    <m/>
    <m/>
    <n v="0.94199999999999995"/>
    <m/>
    <m/>
    <m/>
    <n v="1.036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TSIVORY"/>
    <m/>
    <n v="164"/>
    <n v="164"/>
    <m/>
    <x v="1"/>
    <m/>
    <n v="30"/>
    <m/>
    <m/>
    <m/>
    <m/>
    <m/>
    <n v="9.8400000000000001E-2"/>
    <m/>
    <m/>
    <n v="0.98399999999999999"/>
    <m/>
    <m/>
    <m/>
    <n v="1.082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ORAFENO"/>
    <m/>
    <n v="102"/>
    <n v="102"/>
    <m/>
    <x v="1"/>
    <m/>
    <n v="30"/>
    <m/>
    <m/>
    <m/>
    <m/>
    <m/>
    <n v="6.1199999999999997E-2"/>
    <m/>
    <m/>
    <n v="0.61199999999999999"/>
    <m/>
    <m/>
    <m/>
    <n v="0.6732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SARODRANO"/>
    <m/>
    <n v="153"/>
    <n v="153"/>
    <m/>
    <x v="1"/>
    <m/>
    <n v="30"/>
    <m/>
    <m/>
    <m/>
    <m/>
    <m/>
    <n v="9.1800000000000007E-2"/>
    <m/>
    <m/>
    <n v="0.91800000000000004"/>
    <m/>
    <m/>
    <m/>
    <n v="1.00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ABOROTSY "/>
    <m/>
    <n v="118"/>
    <n v="118"/>
    <m/>
    <x v="1"/>
    <m/>
    <n v="30"/>
    <m/>
    <m/>
    <m/>
    <m/>
    <m/>
    <n v="7.0800000000000002E-2"/>
    <m/>
    <m/>
    <n v="0.70799999999999996"/>
    <m/>
    <m/>
    <m/>
    <n v="0.7787999999999999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LENALENA"/>
    <m/>
    <n v="142"/>
    <n v="142"/>
    <m/>
    <x v="1"/>
    <m/>
    <n v="30"/>
    <m/>
    <m/>
    <m/>
    <m/>
    <m/>
    <n v="8.5199999999999998E-2"/>
    <m/>
    <m/>
    <n v="0.85199999999999998"/>
    <m/>
    <m/>
    <m/>
    <n v="0.93720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FARIVOLO"/>
    <m/>
    <n v="137"/>
    <n v="137"/>
    <m/>
    <x v="1"/>
    <m/>
    <n v="30"/>
    <m/>
    <m/>
    <m/>
    <m/>
    <m/>
    <n v="8.2199999999999995E-2"/>
    <m/>
    <m/>
    <n v="0.82199999999999995"/>
    <m/>
    <m/>
    <m/>
    <n v="0.9041999999999998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BEVOVOKA"/>
    <m/>
    <n v="220"/>
    <n v="220"/>
    <m/>
    <x v="1"/>
    <m/>
    <n v="30"/>
    <m/>
    <m/>
    <m/>
    <m/>
    <m/>
    <n v="0.13200000000000001"/>
    <m/>
    <m/>
    <n v="1.32"/>
    <m/>
    <m/>
    <m/>
    <n v="1.45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MPIH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MAROVOTRY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IMANJOLA"/>
    <m/>
    <n v="187"/>
    <n v="187"/>
    <m/>
    <x v="1"/>
    <m/>
    <n v="30"/>
    <m/>
    <m/>
    <m/>
    <m/>
    <m/>
    <n v="0.11219999999999999"/>
    <m/>
    <m/>
    <n v="1.1220000000000001"/>
    <m/>
    <m/>
    <m/>
    <n v="1.2342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TOHANA"/>
    <s v="TSIVORY"/>
    <s v="ANKILY"/>
    <m/>
    <n v="151"/>
    <n v="151"/>
    <m/>
    <x v="1"/>
    <m/>
    <n v="30"/>
    <m/>
    <m/>
    <m/>
    <m/>
    <m/>
    <n v="9.06E-2"/>
    <m/>
    <m/>
    <n v="0.90600000000000003"/>
    <m/>
    <m/>
    <m/>
    <n v="0.9966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EHAVO"/>
    <m/>
    <n v="75"/>
    <n v="75"/>
    <m/>
    <x v="1"/>
    <m/>
    <n v="30"/>
    <m/>
    <m/>
    <m/>
    <m/>
    <m/>
    <n v="4.4999999999999998E-2"/>
    <m/>
    <m/>
    <n v="0.45"/>
    <m/>
    <m/>
    <m/>
    <n v="0.49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MORAFENO"/>
    <m/>
    <n v="228"/>
    <n v="228"/>
    <m/>
    <x v="1"/>
    <m/>
    <n v="30"/>
    <m/>
    <m/>
    <m/>
    <m/>
    <m/>
    <n v="0.1368"/>
    <m/>
    <m/>
    <n v="1.3680000000000001"/>
    <m/>
    <m/>
    <m/>
    <n v="1.5048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SILIMOSA"/>
    <m/>
    <n v="323"/>
    <n v="323"/>
    <m/>
    <x v="1"/>
    <m/>
    <n v="30"/>
    <m/>
    <m/>
    <m/>
    <m/>
    <m/>
    <n v="0.1938"/>
    <m/>
    <m/>
    <n v="1.9379999999999999"/>
    <m/>
    <m/>
    <m/>
    <n v="2.1318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NANDAVA"/>
    <m/>
    <n v="314"/>
    <n v="314"/>
    <m/>
    <x v="1"/>
    <m/>
    <n v="30"/>
    <m/>
    <m/>
    <m/>
    <m/>
    <m/>
    <n v="0.18840000000000001"/>
    <m/>
    <m/>
    <n v="1.8839999999999999"/>
    <m/>
    <m/>
    <m/>
    <n v="2.072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ARANAKA ANKILIMENA"/>
    <m/>
    <n v="241"/>
    <n v="241"/>
    <m/>
    <x v="1"/>
    <m/>
    <n v="30"/>
    <m/>
    <m/>
    <m/>
    <m/>
    <m/>
    <n v="0.14460000000000001"/>
    <m/>
    <m/>
    <n v="1.446"/>
    <m/>
    <m/>
    <m/>
    <n v="1.590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vombe"/>
    <s v="YPA"/>
    <s v="SIHANAMARO"/>
    <s v="TERABOVO"/>
    <m/>
    <n v="343"/>
    <n v="343"/>
    <m/>
    <x v="1"/>
    <m/>
    <n v="30"/>
    <m/>
    <m/>
    <m/>
    <m/>
    <m/>
    <n v="0.20580000000000001"/>
    <m/>
    <m/>
    <n v="2.0579999999999998"/>
    <m/>
    <m/>
    <m/>
    <n v="2.2637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AVABAZA"/>
    <m/>
    <n v="159"/>
    <n v="159"/>
    <m/>
    <x v="1"/>
    <m/>
    <n v="30"/>
    <m/>
    <m/>
    <m/>
    <m/>
    <m/>
    <n v="9.5399999999999999E-2"/>
    <m/>
    <m/>
    <n v="0.95399999999999996"/>
    <m/>
    <m/>
    <m/>
    <n v="1.0493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DRENARA"/>
    <m/>
    <n v="114"/>
    <n v="114"/>
    <m/>
    <x v="1"/>
    <m/>
    <n v="30"/>
    <m/>
    <m/>
    <m/>
    <m/>
    <m/>
    <n v="6.8400000000000002E-2"/>
    <m/>
    <m/>
    <n v="0.68400000000000005"/>
    <m/>
    <m/>
    <m/>
    <n v="0.7524000000000000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ANKIRIKIRIKE"/>
    <m/>
    <n v="301"/>
    <n v="301"/>
    <m/>
    <x v="1"/>
    <m/>
    <n v="30"/>
    <m/>
    <m/>
    <m/>
    <m/>
    <m/>
    <n v="0.18060000000000001"/>
    <m/>
    <m/>
    <n v="1.806"/>
    <m/>
    <m/>
    <m/>
    <n v="1.9866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FAITSE"/>
    <m/>
    <n v="119"/>
    <n v="119"/>
    <m/>
    <x v="1"/>
    <m/>
    <n v="30"/>
    <m/>
    <m/>
    <m/>
    <m/>
    <m/>
    <n v="7.1400000000000005E-2"/>
    <m/>
    <m/>
    <n v="0.71399999999999997"/>
    <m/>
    <m/>
    <m/>
    <n v="0.78539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BERENTY"/>
    <m/>
    <n v="166"/>
    <n v="166"/>
    <m/>
    <x v="1"/>
    <m/>
    <n v="30"/>
    <m/>
    <m/>
    <m/>
    <m/>
    <m/>
    <n v="9.9599999999999994E-2"/>
    <m/>
    <m/>
    <n v="0.996"/>
    <m/>
    <m/>
    <m/>
    <n v="1.0955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FANDIOVA"/>
    <m/>
    <n v="130"/>
    <n v="130"/>
    <m/>
    <x v="1"/>
    <m/>
    <n v="30"/>
    <m/>
    <m/>
    <m/>
    <m/>
    <m/>
    <n v="7.8E-2"/>
    <m/>
    <m/>
    <n v="0.78"/>
    <m/>
    <m/>
    <m/>
    <n v="0.857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HELIBONDRO"/>
    <m/>
    <n v="146"/>
    <n v="146"/>
    <m/>
    <x v="1"/>
    <m/>
    <n v="30"/>
    <m/>
    <m/>
    <m/>
    <m/>
    <m/>
    <n v="8.7599999999999997E-2"/>
    <m/>
    <m/>
    <n v="0.876"/>
    <m/>
    <m/>
    <m/>
    <n v="0.9636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AROMENA CENTRE"/>
    <m/>
    <n v="129"/>
    <n v="129"/>
    <m/>
    <x v="1"/>
    <m/>
    <n v="30"/>
    <m/>
    <m/>
    <m/>
    <m/>
    <m/>
    <n v="7.7399999999999997E-2"/>
    <m/>
    <m/>
    <n v="0.77400000000000002"/>
    <m/>
    <m/>
    <m/>
    <n v="0.8514000000000000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HARA"/>
    <s v="MIEBA"/>
    <m/>
    <n v="353"/>
    <n v="353"/>
    <m/>
    <x v="1"/>
    <m/>
    <n v="30"/>
    <m/>
    <m/>
    <m/>
    <m/>
    <m/>
    <n v="0.21179999999999999"/>
    <m/>
    <m/>
    <n v="2.1179999999999999"/>
    <m/>
    <m/>
    <m/>
    <n v="2.329799999999999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MPOTOBATO"/>
    <m/>
    <n v="141"/>
    <n v="141"/>
    <m/>
    <x v="1"/>
    <m/>
    <n v="30"/>
    <m/>
    <m/>
    <m/>
    <m/>
    <m/>
    <n v="8.4599999999999995E-2"/>
    <m/>
    <m/>
    <n v="0.84599999999999997"/>
    <m/>
    <m/>
    <m/>
    <n v="0.9305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DAVABOAY"/>
    <m/>
    <n v="194"/>
    <n v="194"/>
    <m/>
    <x v="1"/>
    <m/>
    <n v="30"/>
    <m/>
    <m/>
    <m/>
    <m/>
    <m/>
    <n v="0.1164"/>
    <m/>
    <m/>
    <n v="1.1639999999999999"/>
    <m/>
    <m/>
    <m/>
    <n v="1.280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ANKARA BERANO"/>
    <m/>
    <n v="69"/>
    <n v="69"/>
    <m/>
    <x v="1"/>
    <m/>
    <n v="30"/>
    <m/>
    <m/>
    <m/>
    <m/>
    <m/>
    <n v="4.1399999999999999E-2"/>
    <m/>
    <m/>
    <n v="0.41399999999999998"/>
    <m/>
    <m/>
    <m/>
    <n v="0.4553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BERANO VILLE"/>
    <m/>
    <n v="131"/>
    <n v="131"/>
    <m/>
    <x v="1"/>
    <m/>
    <n v="30"/>
    <m/>
    <m/>
    <m/>
    <m/>
    <m/>
    <n v="7.8600000000000003E-2"/>
    <m/>
    <m/>
    <n v="0.78600000000000003"/>
    <m/>
    <m/>
    <m/>
    <n v="0.8646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BERANO"/>
    <s v="MANITSEVO"/>
    <m/>
    <n v="128"/>
    <n v="128"/>
    <m/>
    <x v="1"/>
    <m/>
    <n v="30"/>
    <m/>
    <m/>
    <m/>
    <m/>
    <m/>
    <n v="7.6799999999999993E-2"/>
    <m/>
    <m/>
    <n v="0.76800000000000002"/>
    <m/>
    <m/>
    <m/>
    <n v="0.844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ALOALO"/>
    <m/>
    <n v="96"/>
    <n v="96"/>
    <m/>
    <x v="1"/>
    <m/>
    <n v="30"/>
    <m/>
    <m/>
    <m/>
    <m/>
    <m/>
    <n v="5.7599999999999998E-2"/>
    <m/>
    <m/>
    <n v="0.57599999999999996"/>
    <m/>
    <m/>
    <m/>
    <n v="0.6335999999999999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JAMAHAVELO"/>
    <m/>
    <n v="340"/>
    <n v="340"/>
    <m/>
    <x v="1"/>
    <m/>
    <n v="30"/>
    <m/>
    <m/>
    <m/>
    <m/>
    <m/>
    <n v="0.20399999999999999"/>
    <m/>
    <m/>
    <n v="2.04"/>
    <m/>
    <m/>
    <m/>
    <n v="2.244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ANKILIMITRAHA (ANJADO)"/>
    <m/>
    <n v="120"/>
    <n v="120"/>
    <m/>
    <x v="1"/>
    <m/>
    <n v="30"/>
    <m/>
    <m/>
    <m/>
    <m/>
    <m/>
    <n v="7.1999999999999995E-2"/>
    <m/>
    <m/>
    <n v="0.72"/>
    <m/>
    <m/>
    <m/>
    <n v="0.7919999999999999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kiria"/>
    <m/>
    <n v="173"/>
    <n v="173"/>
    <m/>
    <x v="1"/>
    <m/>
    <n v="30"/>
    <m/>
    <m/>
    <m/>
    <m/>
    <m/>
    <n v="0.1038"/>
    <m/>
    <m/>
    <n v="1.038"/>
    <m/>
    <m/>
    <m/>
    <n v="1.1417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BERAKETA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FENOAIVO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IFOTAKA"/>
    <s v="IFOTAKA CENTRE"/>
    <m/>
    <n v="294"/>
    <n v="294"/>
    <m/>
    <x v="1"/>
    <m/>
    <n v="30"/>
    <m/>
    <m/>
    <m/>
    <m/>
    <m/>
    <n v="0.1764"/>
    <m/>
    <m/>
    <n v="1.764"/>
    <m/>
    <m/>
    <m/>
    <n v="1.9403999999999999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DROVASOA"/>
    <m/>
    <n v="101"/>
    <n v="101"/>
    <m/>
    <x v="1"/>
    <m/>
    <n v="30"/>
    <m/>
    <m/>
    <m/>
    <m/>
    <m/>
    <n v="6.0600000000000001E-2"/>
    <m/>
    <m/>
    <n v="0.60599999999999998"/>
    <m/>
    <m/>
    <m/>
    <n v="0.6665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ANKILIDONGA"/>
    <m/>
    <n v="110"/>
    <n v="110"/>
    <m/>
    <x v="1"/>
    <m/>
    <n v="30"/>
    <m/>
    <m/>
    <m/>
    <m/>
    <m/>
    <n v="6.6000000000000003E-2"/>
    <m/>
    <m/>
    <n v="0.66"/>
    <m/>
    <m/>
    <m/>
    <n v="0.72599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DRAPASY ANTSAKOAMASY"/>
    <m/>
    <n v="87"/>
    <n v="87"/>
    <m/>
    <x v="1"/>
    <m/>
    <n v="30"/>
    <m/>
    <m/>
    <m/>
    <m/>
    <m/>
    <n v="5.2200000000000003E-2"/>
    <m/>
    <m/>
    <n v="0.52200000000000002"/>
    <m/>
    <m/>
    <m/>
    <n v="0.57420000000000004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MANINDRA CENTRE"/>
    <m/>
    <n v="82"/>
    <n v="82"/>
    <m/>
    <x v="1"/>
    <m/>
    <n v="30"/>
    <m/>
    <m/>
    <m/>
    <m/>
    <m/>
    <n v="4.9200000000000001E-2"/>
    <m/>
    <m/>
    <n v="0.49199999999999999"/>
    <m/>
    <m/>
    <m/>
    <n v="0.54120000000000001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AMPONA CENTRE"/>
    <m/>
    <n v="95"/>
    <n v="95"/>
    <m/>
    <x v="1"/>
    <m/>
    <n v="30"/>
    <m/>
    <m/>
    <m/>
    <m/>
    <m/>
    <n v="5.7000000000000002E-2"/>
    <m/>
    <m/>
    <n v="0.56999999999999995"/>
    <m/>
    <m/>
    <m/>
    <n v="0.62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SIHANAKARA"/>
    <m/>
    <n v="231"/>
    <n v="231"/>
    <m/>
    <x v="1"/>
    <m/>
    <n v="30"/>
    <m/>
    <m/>
    <m/>
    <m/>
    <m/>
    <n v="0.1386"/>
    <m/>
    <m/>
    <n v="1.3859999999999999"/>
    <m/>
    <m/>
    <m/>
    <n v="1.5246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SAMPONA"/>
    <s v="VAHAVOLA CENTRE"/>
    <m/>
    <n v="143"/>
    <n v="143"/>
    <m/>
    <x v="1"/>
    <m/>
    <n v="30"/>
    <m/>
    <m/>
    <m/>
    <m/>
    <m/>
    <n v="8.5800000000000001E-2"/>
    <m/>
    <m/>
    <n v="0.85799999999999998"/>
    <m/>
    <m/>
    <m/>
    <n v="0.94379999999999997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MBATOMENA"/>
    <m/>
    <n v="116"/>
    <n v="116"/>
    <m/>
    <x v="1"/>
    <m/>
    <n v="30"/>
    <m/>
    <m/>
    <m/>
    <m/>
    <m/>
    <n v="6.9599999999999995E-2"/>
    <m/>
    <m/>
    <n v="0.69599999999999995"/>
    <m/>
    <m/>
    <m/>
    <n v="0.76559999999999995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ANTSOVELA VILLE"/>
    <m/>
    <n v="180"/>
    <n v="180"/>
    <m/>
    <x v="1"/>
    <m/>
    <n v="30"/>
    <m/>
    <m/>
    <m/>
    <m/>
    <m/>
    <n v="0.108"/>
    <m/>
    <m/>
    <n v="1.08"/>
    <m/>
    <m/>
    <m/>
    <n v="1.1880000000000002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MAROLOHA"/>
    <m/>
    <n v="111"/>
    <n v="111"/>
    <m/>
    <x v="1"/>
    <m/>
    <n v="30"/>
    <m/>
    <m/>
    <m/>
    <m/>
    <m/>
    <n v="6.6600000000000006E-2"/>
    <m/>
    <m/>
    <n v="0.66600000000000004"/>
    <m/>
    <m/>
    <m/>
    <n v="0.73260000000000003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TANANDAVA"/>
    <m/>
    <n v="318"/>
    <n v="318"/>
    <m/>
    <x v="1"/>
    <m/>
    <n v="30"/>
    <m/>
    <m/>
    <m/>
    <m/>
    <m/>
    <n v="0.1908"/>
    <m/>
    <m/>
    <n v="1.9079999999999999"/>
    <m/>
    <m/>
    <m/>
    <n v="2.0987999999999998"/>
    <m/>
    <m/>
  </r>
  <r>
    <x v="2"/>
    <n v="2024"/>
    <x v="1"/>
    <s v="Nutrition"/>
    <x v="2"/>
    <s v="NPA_STUN:Prevention of Stunting"/>
    <m/>
    <m/>
    <s v="Amboasary"/>
    <x v="0"/>
    <s v="Taolagnaro"/>
    <s v="Anosy"/>
    <s v="Amboasary"/>
    <s v="YPA"/>
    <s v="TANANDAVA"/>
    <s v="VOHIBARY"/>
    <m/>
    <n v="54"/>
    <n v="54"/>
    <m/>
    <x v="1"/>
    <m/>
    <n v="30"/>
    <m/>
    <m/>
    <m/>
    <m/>
    <m/>
    <n v="3.2399999999999998E-2"/>
    <m/>
    <m/>
    <n v="0.32400000000000001"/>
    <m/>
    <m/>
    <m/>
    <n v="0.35639999999999999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Mikaikarivo Haut"/>
    <m/>
    <n v="282"/>
    <n v="282"/>
    <m/>
    <x v="1"/>
    <m/>
    <n v="30"/>
    <m/>
    <m/>
    <m/>
    <m/>
    <m/>
    <n v="0.16919999999999999"/>
    <m/>
    <m/>
    <n v="1.6919999999999999"/>
    <m/>
    <m/>
    <m/>
    <n v="1.8612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nivorano Mitsinjo"/>
    <m/>
    <n v="425"/>
    <n v="425"/>
    <m/>
    <x v="1"/>
    <m/>
    <n v="30"/>
    <m/>
    <m/>
    <m/>
    <m/>
    <m/>
    <n v="0.255"/>
    <m/>
    <m/>
    <n v="2.5499999999999998"/>
    <m/>
    <m/>
    <m/>
    <n v="2.8049999999999997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tsely"/>
    <m/>
    <n v="420"/>
    <n v="420"/>
    <m/>
    <x v="1"/>
    <m/>
    <n v="30"/>
    <m/>
    <m/>
    <m/>
    <m/>
    <m/>
    <n v="0.252"/>
    <m/>
    <m/>
    <n v="2.52"/>
    <m/>
    <m/>
    <m/>
    <n v="2.7720000000000002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raketa"/>
    <m/>
    <n v="965"/>
    <n v="965"/>
    <m/>
    <x v="1"/>
    <m/>
    <n v="30"/>
    <m/>
    <m/>
    <m/>
    <m/>
    <m/>
    <n v="0.57899999999999996"/>
    <m/>
    <m/>
    <n v="5.79"/>
    <m/>
    <m/>
    <m/>
    <n v="6.3689999999999998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Ankily Soarano"/>
    <m/>
    <n v="471"/>
    <n v="471"/>
    <m/>
    <x v="1"/>
    <m/>
    <n v="30"/>
    <m/>
    <m/>
    <m/>
    <m/>
    <m/>
    <n v="0.28260000000000002"/>
    <m/>
    <m/>
    <n v="2.8260000000000001"/>
    <m/>
    <m/>
    <m/>
    <n v="3.1086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akoa"/>
    <m/>
    <n v="0"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Fenoarivo I"/>
    <m/>
    <m/>
    <n v="0"/>
    <m/>
    <x v="1"/>
    <m/>
    <m/>
    <m/>
    <m/>
    <m/>
    <m/>
    <m/>
    <n v="0"/>
    <m/>
    <m/>
    <n v="0"/>
    <m/>
    <m/>
    <m/>
    <n v="0"/>
    <m/>
    <m/>
  </r>
  <r>
    <x v="2"/>
    <n v="2024"/>
    <x v="1"/>
    <s v="Nutrition"/>
    <x v="2"/>
    <s v="NPA_STUN:Prevention of Stunting"/>
    <m/>
    <m/>
    <s v="Bekily"/>
    <x v="0"/>
    <s v="Taolagnaro"/>
    <s v="Androy"/>
    <s v="Bekily"/>
    <s v="TOHANA"/>
    <s v="Besakoa"/>
    <s v="Besohihy"/>
    <m/>
    <n v="305"/>
    <n v="305"/>
    <m/>
    <x v="1"/>
    <m/>
    <n v="30"/>
    <m/>
    <m/>
    <m/>
    <m/>
    <m/>
    <n v="0.183"/>
    <m/>
    <m/>
    <n v="1.83"/>
    <m/>
    <m/>
    <m/>
    <n v="2.0129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mbatofots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Mikaikarivo Haut"/>
    <n v="280"/>
    <n v="217"/>
    <n v="497"/>
    <m/>
    <x v="1"/>
    <m/>
    <n v="30"/>
    <m/>
    <m/>
    <m/>
    <m/>
    <m/>
    <m/>
    <m/>
    <m/>
    <m/>
    <m/>
    <n v="0.74550000000000005"/>
    <m/>
    <n v="0.74550000000000005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nivorano Mitsinjo"/>
    <n v="350"/>
    <n v="317"/>
    <n v="667"/>
    <m/>
    <x v="1"/>
    <m/>
    <n v="30"/>
    <m/>
    <m/>
    <m/>
    <m/>
    <m/>
    <m/>
    <m/>
    <m/>
    <m/>
    <m/>
    <n v="1.0004999999999999"/>
    <m/>
    <n v="1.0004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Atondrits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Anivorano Mitsinjo"/>
    <s v="Vohitan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tsely"/>
    <n v="640"/>
    <n v="374"/>
    <n v="1014"/>
    <m/>
    <x v="1"/>
    <m/>
    <n v="30"/>
    <m/>
    <m/>
    <m/>
    <m/>
    <m/>
    <m/>
    <m/>
    <m/>
    <m/>
    <m/>
    <n v="1.5209999999999999"/>
    <m/>
    <n v="1.5209999999999999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raketa"/>
    <n v="887"/>
    <n v="672"/>
    <n v="1559"/>
    <m/>
    <x v="1"/>
    <m/>
    <n v="30"/>
    <m/>
    <m/>
    <m/>
    <m/>
    <m/>
    <m/>
    <m/>
    <m/>
    <m/>
    <m/>
    <n v="2.3384999999999998"/>
    <m/>
    <n v="2.3384999999999998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mbalasarak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Analabe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Beadabo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Ifanrants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raketa"/>
    <s v="Tomboarivo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dranomasy Vohitany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Ankily Soarano"/>
    <n v="280"/>
    <n v="238"/>
    <n v="518"/>
    <m/>
    <x v="1"/>
    <m/>
    <n v="30"/>
    <m/>
    <m/>
    <m/>
    <m/>
    <m/>
    <m/>
    <m/>
    <m/>
    <m/>
    <m/>
    <n v="0.77700000000000002"/>
    <m/>
    <n v="0.77700000000000002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akoa"/>
    <m/>
    <m/>
    <n v="0"/>
    <m/>
    <x v="1"/>
    <m/>
    <m/>
    <m/>
    <m/>
    <m/>
    <m/>
    <m/>
    <m/>
    <m/>
    <m/>
    <m/>
    <m/>
    <n v="0"/>
    <m/>
    <n v="0"/>
    <m/>
    <m/>
  </r>
  <r>
    <x v="2"/>
    <n v="2024"/>
    <x v="1"/>
    <s v="Nutrition"/>
    <x v="1"/>
    <s v="NPA_STUN:Prevention of Stunting"/>
    <m/>
    <m/>
    <s v="Bekily"/>
    <x v="0"/>
    <s v="Taolagnaro"/>
    <s v="Androy"/>
    <s v="Bekily"/>
    <s v="TOHANA"/>
    <s v="Besakoa"/>
    <s v="Besohihy"/>
    <n v="154"/>
    <n v="110"/>
    <n v="264"/>
    <m/>
    <x v="1"/>
    <m/>
    <n v="30"/>
    <m/>
    <m/>
    <m/>
    <m/>
    <m/>
    <m/>
    <m/>
    <m/>
    <m/>
    <m/>
    <n v="0.39600000000000002"/>
    <m/>
    <n v="0.39600000000000002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havoa"/>
    <m/>
    <n v="535"/>
    <n v="535"/>
    <m/>
    <x v="1"/>
    <m/>
    <n v="30"/>
    <m/>
    <m/>
    <m/>
    <m/>
    <m/>
    <n v="0.32100000000000001"/>
    <m/>
    <m/>
    <n v="3.21"/>
    <m/>
    <m/>
    <m/>
    <n v="3.5310000000000001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hazoarivo"/>
    <m/>
    <n v="270"/>
    <n v="270"/>
    <m/>
    <x v="1"/>
    <m/>
    <n v="30"/>
    <m/>
    <m/>
    <m/>
    <m/>
    <m/>
    <n v="0.16200000000000001"/>
    <m/>
    <m/>
    <n v="1.62"/>
    <m/>
    <m/>
    <m/>
    <n v="1.782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Manasoa Mahafaly"/>
    <m/>
    <n v="300"/>
    <n v="300"/>
    <m/>
    <x v="1"/>
    <m/>
    <n v="30"/>
    <m/>
    <m/>
    <m/>
    <m/>
    <m/>
    <n v="0.18"/>
    <m/>
    <m/>
    <n v="1.8"/>
    <m/>
    <m/>
    <m/>
    <n v="1.98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ely Est"/>
    <m/>
    <n v="385"/>
    <n v="385"/>
    <m/>
    <x v="1"/>
    <m/>
    <n v="30"/>
    <m/>
    <m/>
    <m/>
    <m/>
    <m/>
    <n v="0.23100000000000001"/>
    <m/>
    <m/>
    <n v="2.31"/>
    <m/>
    <m/>
    <m/>
    <n v="2.5409999999999999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BEAVOHA/ANKAZOMBALALA"/>
    <s v="Besavoa centre"/>
    <m/>
    <n v="150"/>
    <n v="150"/>
    <m/>
    <x v="1"/>
    <m/>
    <n v="30"/>
    <m/>
    <m/>
    <m/>
    <m/>
    <m/>
    <n v="0.09"/>
    <m/>
    <m/>
    <n v="0.9"/>
    <m/>
    <m/>
    <m/>
    <n v="0.99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Masiaboay"/>
    <m/>
    <n v="325"/>
    <n v="325"/>
    <m/>
    <x v="1"/>
    <m/>
    <n v="30"/>
    <m/>
    <m/>
    <m/>
    <m/>
    <m/>
    <n v="0.19500000000000001"/>
    <m/>
    <m/>
    <n v="1.95"/>
    <m/>
    <m/>
    <m/>
    <n v="2.145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dranotakatse"/>
    <m/>
    <n v="465"/>
    <n v="465"/>
    <m/>
    <x v="1"/>
    <m/>
    <n v="30"/>
    <m/>
    <m/>
    <m/>
    <m/>
    <m/>
    <n v="0.27900000000000003"/>
    <m/>
    <m/>
    <n v="2.79"/>
    <m/>
    <m/>
    <m/>
    <n v="3.069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MASIABOAY"/>
    <s v="Antararaty"/>
    <m/>
    <n v="90"/>
    <n v="90"/>
    <m/>
    <x v="1"/>
    <m/>
    <n v="30"/>
    <m/>
    <m/>
    <m/>
    <m/>
    <m/>
    <n v="5.3999999999999999E-2"/>
    <m/>
    <m/>
    <n v="0.54"/>
    <m/>
    <m/>
    <m/>
    <n v="0.59400000000000008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Sakamasay"/>
    <m/>
    <n v="225"/>
    <n v="225"/>
    <m/>
    <x v="1"/>
    <m/>
    <n v="30"/>
    <m/>
    <m/>
    <m/>
    <m/>
    <m/>
    <n v="0.13500000000000001"/>
    <m/>
    <m/>
    <n v="1.35"/>
    <m/>
    <m/>
    <m/>
    <n v="1.4850000000000001"/>
    <m/>
    <m/>
  </r>
  <r>
    <x v="2"/>
    <n v="2024"/>
    <x v="1"/>
    <s v="Nutrition"/>
    <x v="2"/>
    <s v="NPA_STUN:Prevention of Stunting"/>
    <m/>
    <m/>
    <s v="Tuléar"/>
    <x v="3"/>
    <s v="Tuléar"/>
    <s v="Atsimo Andrefana"/>
    <s v="Betioky"/>
    <s v="TOHANA"/>
    <s v="SAKAMASAY"/>
    <s v="Antamotamo"/>
    <m/>
    <n v="135"/>
    <n v="135"/>
    <m/>
    <x v="1"/>
    <m/>
    <n v="30"/>
    <m/>
    <m/>
    <m/>
    <m/>
    <m/>
    <n v="8.1000000000000003E-2"/>
    <m/>
    <m/>
    <n v="0.81"/>
    <m/>
    <m/>
    <m/>
    <n v="0.89100000000000001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havoa"/>
    <n v="685"/>
    <m/>
    <n v="685"/>
    <m/>
    <x v="1"/>
    <m/>
    <n v="30"/>
    <m/>
    <m/>
    <m/>
    <m/>
    <m/>
    <m/>
    <m/>
    <m/>
    <m/>
    <m/>
    <n v="1.0275000000000001"/>
    <m/>
    <n v="1.0275000000000001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hazoarivo"/>
    <n v="725"/>
    <m/>
    <n v="725"/>
    <m/>
    <x v="1"/>
    <m/>
    <n v="30"/>
    <m/>
    <m/>
    <m/>
    <m/>
    <m/>
    <m/>
    <m/>
    <m/>
    <m/>
    <m/>
    <n v="1.0874999999999999"/>
    <m/>
    <n v="1.0874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Manasoa Mahafaly"/>
    <n v="580"/>
    <m/>
    <n v="580"/>
    <m/>
    <x v="1"/>
    <m/>
    <n v="30"/>
    <m/>
    <m/>
    <m/>
    <m/>
    <m/>
    <m/>
    <m/>
    <m/>
    <m/>
    <m/>
    <n v="0.87"/>
    <m/>
    <n v="0.87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ely Est"/>
    <n v="795"/>
    <m/>
    <n v="795"/>
    <m/>
    <x v="1"/>
    <m/>
    <n v="30"/>
    <m/>
    <m/>
    <m/>
    <m/>
    <m/>
    <m/>
    <m/>
    <m/>
    <m/>
    <m/>
    <n v="1.1924999999999999"/>
    <m/>
    <n v="1.1924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BEAVOHA/ANKAZOMBALALA"/>
    <s v="Besavoa centre"/>
    <n v="670"/>
    <m/>
    <n v="670"/>
    <m/>
    <x v="1"/>
    <m/>
    <n v="30"/>
    <m/>
    <m/>
    <m/>
    <m/>
    <m/>
    <m/>
    <m/>
    <m/>
    <m/>
    <m/>
    <n v="1.0049999999999999"/>
    <m/>
    <n v="1.0049999999999999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Masiaboay"/>
    <n v="625"/>
    <m/>
    <n v="625"/>
    <m/>
    <x v="1"/>
    <m/>
    <n v="30"/>
    <m/>
    <m/>
    <m/>
    <m/>
    <m/>
    <m/>
    <m/>
    <m/>
    <m/>
    <m/>
    <n v="0.9375"/>
    <m/>
    <n v="0.9375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dranotakatse"/>
    <n v="1100"/>
    <m/>
    <n v="1100"/>
    <m/>
    <x v="1"/>
    <m/>
    <n v="30"/>
    <m/>
    <m/>
    <m/>
    <m/>
    <m/>
    <m/>
    <m/>
    <m/>
    <m/>
    <m/>
    <n v="1.65"/>
    <m/>
    <n v="1.65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MASIABOAY"/>
    <s v="Antararaty"/>
    <n v="230"/>
    <m/>
    <n v="230"/>
    <m/>
    <x v="1"/>
    <m/>
    <n v="30"/>
    <m/>
    <m/>
    <m/>
    <m/>
    <m/>
    <m/>
    <m/>
    <m/>
    <m/>
    <m/>
    <n v="0.34499999999999997"/>
    <m/>
    <n v="0.34499999999999997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Sakamasay"/>
    <n v="450"/>
    <m/>
    <n v="450"/>
    <m/>
    <x v="1"/>
    <m/>
    <n v="30"/>
    <m/>
    <m/>
    <m/>
    <m/>
    <m/>
    <m/>
    <m/>
    <m/>
    <m/>
    <m/>
    <n v="0.67500000000000004"/>
    <m/>
    <n v="0.67500000000000004"/>
    <m/>
    <m/>
  </r>
  <r>
    <x v="2"/>
    <n v="2024"/>
    <x v="1"/>
    <s v="Nutrition"/>
    <x v="1"/>
    <s v="NPA_STUN:Prevention of Stunting"/>
    <m/>
    <m/>
    <s v="Tuléar"/>
    <x v="3"/>
    <s v="Tuléar"/>
    <s v="Atsimo Andrefana"/>
    <s v="Betioky"/>
    <s v="TOHANA"/>
    <s v="SAKAMASAY"/>
    <s v="Antamotamo"/>
    <n v="220"/>
    <m/>
    <n v="220"/>
    <m/>
    <x v="1"/>
    <m/>
    <n v="30"/>
    <m/>
    <m/>
    <m/>
    <m/>
    <m/>
    <m/>
    <m/>
    <m/>
    <m/>
    <m/>
    <n v="0.33"/>
    <m/>
    <n v="0.33"/>
    <m/>
    <m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DREGNARA"/>
    <s v="Antanifoty"/>
    <n v="15"/>
    <m/>
    <n v="15"/>
    <m/>
    <x v="0"/>
    <m/>
    <n v="30"/>
    <m/>
    <m/>
    <m/>
    <m/>
    <m/>
    <m/>
    <m/>
    <m/>
    <m/>
    <m/>
    <m/>
    <m/>
    <m/>
    <n v="315000"/>
    <n v="69.0919778730199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DREGNARA"/>
    <s v="Beraketa"/>
    <n v="17"/>
    <m/>
    <n v="17"/>
    <m/>
    <x v="0"/>
    <m/>
    <n v="30"/>
    <m/>
    <m/>
    <m/>
    <m/>
    <m/>
    <m/>
    <m/>
    <m/>
    <m/>
    <m/>
    <m/>
    <m/>
    <m/>
    <n v="357000"/>
    <n v="78.30424158942256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CENTRE"/>
    <n v="37"/>
    <m/>
    <n v="37"/>
    <m/>
    <x v="0"/>
    <m/>
    <n v="30"/>
    <m/>
    <m/>
    <m/>
    <m/>
    <m/>
    <m/>
    <m/>
    <m/>
    <m/>
    <m/>
    <m/>
    <m/>
    <m/>
    <n v="777000"/>
    <n v="170.4268787534491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I EST AMBATO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I"/>
    <n v="3"/>
    <m/>
    <n v="3"/>
    <m/>
    <x v="0"/>
    <m/>
    <n v="30"/>
    <m/>
    <m/>
    <m/>
    <m/>
    <m/>
    <m/>
    <m/>
    <m/>
    <m/>
    <m/>
    <m/>
    <m/>
    <m/>
    <n v="63000"/>
    <n v="13.818395574603981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Marotomboka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PPNR"/>
    <n v="25"/>
    <m/>
    <n v="25"/>
    <m/>
    <x v="0"/>
    <m/>
    <n v="30"/>
    <m/>
    <m/>
    <m/>
    <m/>
    <m/>
    <m/>
    <m/>
    <m/>
    <m/>
    <m/>
    <m/>
    <m/>
    <m/>
    <n v="525000"/>
    <n v="115.15329645503317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SNTP"/>
    <n v="61"/>
    <m/>
    <n v="61"/>
    <m/>
    <x v="0"/>
    <m/>
    <n v="30"/>
    <m/>
    <m/>
    <m/>
    <m/>
    <m/>
    <m/>
    <m/>
    <m/>
    <m/>
    <m/>
    <m/>
    <m/>
    <m/>
    <n v="1281000"/>
    <n v="280.97404335028097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kirikirika Vaonoro"/>
    <n v="35"/>
    <m/>
    <n v="35"/>
    <m/>
    <x v="0"/>
    <m/>
    <n v="30"/>
    <m/>
    <m/>
    <m/>
    <m/>
    <m/>
    <m/>
    <m/>
    <m/>
    <m/>
    <m/>
    <m/>
    <m/>
    <m/>
    <n v="735000"/>
    <n v="161.21461503704646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Antanamalaza"/>
    <n v="52"/>
    <m/>
    <n v="52"/>
    <m/>
    <x v="0"/>
    <m/>
    <n v="30"/>
    <m/>
    <m/>
    <m/>
    <m/>
    <m/>
    <m/>
    <m/>
    <m/>
    <m/>
    <m/>
    <m/>
    <m/>
    <m/>
    <n v="1092000"/>
    <n v="239.51885662646902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Tanambao"/>
    <n v="56"/>
    <m/>
    <n v="56"/>
    <m/>
    <x v="0"/>
    <m/>
    <n v="30"/>
    <m/>
    <m/>
    <m/>
    <m/>
    <m/>
    <m/>
    <m/>
    <m/>
    <m/>
    <m/>
    <m/>
    <m/>
    <m/>
    <n v="1176000"/>
    <n v="257.94338405927431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Tanataloha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Taranty Haut"/>
    <n v="33"/>
    <m/>
    <n v="33"/>
    <m/>
    <x v="0"/>
    <m/>
    <n v="30"/>
    <m/>
    <m/>
    <m/>
    <m/>
    <m/>
    <m/>
    <m/>
    <m/>
    <m/>
    <m/>
    <m/>
    <m/>
    <m/>
    <n v="693000"/>
    <n v="152.00235132064378"/>
  </r>
  <r>
    <x v="2"/>
    <n v="2024"/>
    <x v="1"/>
    <s v="Nutrition"/>
    <x v="1"/>
    <s v="NPA_STUN:Prevention of Stunting"/>
    <m/>
    <m/>
    <s v="Amboadary"/>
    <x v="0"/>
    <s v="Taolagnaro"/>
    <s v="Anosy"/>
    <s v="Amboasary"/>
    <m/>
    <s v="ANKIRIKIRIKE"/>
    <s v="VOHIBASIE ANIVORANO"/>
    <n v="42"/>
    <m/>
    <n v="42"/>
    <m/>
    <x v="0"/>
    <m/>
    <n v="30"/>
    <m/>
    <m/>
    <m/>
    <m/>
    <m/>
    <m/>
    <m/>
    <m/>
    <m/>
    <m/>
    <m/>
    <m/>
    <m/>
    <n v="882000"/>
    <n v="193.45753804445573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DREGNARA"/>
    <s v="Antanifoty"/>
    <m/>
    <n v="15"/>
    <n v="15"/>
    <m/>
    <x v="0"/>
    <m/>
    <n v="31"/>
    <m/>
    <m/>
    <m/>
    <m/>
    <m/>
    <m/>
    <m/>
    <m/>
    <m/>
    <m/>
    <m/>
    <m/>
    <m/>
    <n v="315000"/>
    <n v="69.0919778730199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DREGNARA"/>
    <s v="Beraketa"/>
    <m/>
    <n v="19"/>
    <n v="19"/>
    <m/>
    <x v="0"/>
    <m/>
    <n v="32"/>
    <m/>
    <m/>
    <m/>
    <m/>
    <m/>
    <m/>
    <m/>
    <m/>
    <m/>
    <m/>
    <m/>
    <m/>
    <m/>
    <n v="1140000"/>
    <n v="250.04715801664346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CENTRE"/>
    <m/>
    <n v="31"/>
    <n v="31"/>
    <m/>
    <x v="0"/>
    <m/>
    <n v="3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I EST AMBATO"/>
    <m/>
    <n v="18"/>
    <n v="18"/>
    <m/>
    <x v="0"/>
    <m/>
    <n v="34"/>
    <m/>
    <m/>
    <m/>
    <m/>
    <m/>
    <m/>
    <m/>
    <m/>
    <m/>
    <m/>
    <m/>
    <m/>
    <m/>
    <n v="1080000"/>
    <n v="236.88678127892538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I"/>
    <m/>
    <n v="16"/>
    <n v="16"/>
    <m/>
    <x v="0"/>
    <m/>
    <n v="35"/>
    <m/>
    <m/>
    <m/>
    <m/>
    <m/>
    <m/>
    <m/>
    <m/>
    <m/>
    <m/>
    <m/>
    <m/>
    <m/>
    <n v="960000"/>
    <n v="210.56602780348925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Marotomboka"/>
    <m/>
    <n v="8"/>
    <n v="8"/>
    <m/>
    <x v="0"/>
    <m/>
    <n v="36"/>
    <m/>
    <m/>
    <m/>
    <m/>
    <m/>
    <m/>
    <m/>
    <m/>
    <m/>
    <m/>
    <m/>
    <m/>
    <m/>
    <n v="480000"/>
    <n v="105.28301390174462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PPNR"/>
    <m/>
    <n v="13"/>
    <n v="13"/>
    <m/>
    <x v="0"/>
    <m/>
    <n v="37"/>
    <m/>
    <m/>
    <m/>
    <m/>
    <m/>
    <m/>
    <m/>
    <m/>
    <m/>
    <m/>
    <m/>
    <m/>
    <m/>
    <n v="780000"/>
    <n v="171.084897590335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SNTP"/>
    <m/>
    <n v="38"/>
    <n v="38"/>
    <m/>
    <x v="0"/>
    <m/>
    <n v="38"/>
    <m/>
    <m/>
    <m/>
    <m/>
    <m/>
    <m/>
    <m/>
    <m/>
    <m/>
    <m/>
    <m/>
    <m/>
    <m/>
    <n v="2280000"/>
    <n v="500.09431603328693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kirikirika Vaonoro"/>
    <m/>
    <n v="25"/>
    <n v="25"/>
    <m/>
    <x v="0"/>
    <m/>
    <n v="39"/>
    <m/>
    <m/>
    <m/>
    <m/>
    <m/>
    <m/>
    <m/>
    <m/>
    <m/>
    <m/>
    <m/>
    <m/>
    <m/>
    <n v="1500000"/>
    <n v="329.00941844295193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Antanamalaza"/>
    <m/>
    <n v="45"/>
    <n v="45"/>
    <m/>
    <x v="0"/>
    <m/>
    <n v="40"/>
    <m/>
    <m/>
    <m/>
    <m/>
    <m/>
    <m/>
    <m/>
    <m/>
    <m/>
    <m/>
    <m/>
    <m/>
    <m/>
    <n v="2700000"/>
    <n v="592.2169531973135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nambao"/>
    <m/>
    <n v="17"/>
    <n v="17"/>
    <m/>
    <x v="0"/>
    <m/>
    <n v="41"/>
    <m/>
    <m/>
    <m/>
    <m/>
    <m/>
    <m/>
    <m/>
    <m/>
    <m/>
    <m/>
    <m/>
    <m/>
    <m/>
    <n v="1020000"/>
    <n v="223.72640454120733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nataloha"/>
    <m/>
    <n v="40"/>
    <n v="40"/>
    <m/>
    <x v="0"/>
    <m/>
    <n v="42"/>
    <m/>
    <m/>
    <m/>
    <m/>
    <m/>
    <m/>
    <m/>
    <m/>
    <m/>
    <m/>
    <m/>
    <m/>
    <m/>
    <n v="2400000"/>
    <n v="526.41506950872315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Taranty Haut"/>
    <m/>
    <n v="31"/>
    <n v="31"/>
    <m/>
    <x v="0"/>
    <m/>
    <n v="43"/>
    <m/>
    <m/>
    <m/>
    <m/>
    <m/>
    <m/>
    <m/>
    <m/>
    <m/>
    <m/>
    <m/>
    <m/>
    <m/>
    <n v="1860000"/>
    <n v="407.97167886926042"/>
  </r>
  <r>
    <x v="2"/>
    <n v="2024"/>
    <x v="1"/>
    <s v="Nutrition"/>
    <x v="2"/>
    <s v="NPA_STUN:Prevention of Stunting"/>
    <m/>
    <m/>
    <s v="Amboadary"/>
    <x v="0"/>
    <s v="Taolagnaro"/>
    <s v="Fort dauphin"/>
    <s v="Amboasary"/>
    <s v="YPA"/>
    <s v="ANKIRIKIRIKE"/>
    <s v="VOHIBASIE ANIVORANO"/>
    <m/>
    <n v="19"/>
    <n v="19"/>
    <m/>
    <x v="0"/>
    <m/>
    <n v="44"/>
    <m/>
    <m/>
    <m/>
    <m/>
    <m/>
    <m/>
    <m/>
    <m/>
    <m/>
    <m/>
    <m/>
    <m/>
    <m/>
    <n v="1140000"/>
    <n v="250.04715801664346"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zaha"/>
    <s v="Bezaha I"/>
    <n v="84"/>
    <m/>
    <n v="84"/>
    <m/>
    <x v="1"/>
    <m/>
    <n v="90"/>
    <m/>
    <m/>
    <m/>
    <m/>
    <m/>
    <m/>
    <m/>
    <n v="0.76500000000000001"/>
    <m/>
    <m/>
    <m/>
    <m/>
    <n v="0.76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zaha"/>
    <s v="Bezaha II"/>
    <n v="100"/>
    <m/>
    <n v="100"/>
    <m/>
    <x v="1"/>
    <m/>
    <n v="90"/>
    <m/>
    <m/>
    <m/>
    <m/>
    <m/>
    <m/>
    <m/>
    <n v="0.9"/>
    <m/>
    <m/>
    <m/>
    <m/>
    <n v="0.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zaha"/>
    <s v="Bezaha III"/>
    <n v="80"/>
    <m/>
    <n v="80"/>
    <m/>
    <x v="1"/>
    <m/>
    <n v="90"/>
    <m/>
    <m/>
    <m/>
    <m/>
    <m/>
    <m/>
    <m/>
    <n v="0.72"/>
    <m/>
    <m/>
    <m/>
    <m/>
    <n v="0.7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zaha"/>
    <s v="Bezaha IV"/>
    <n v="116"/>
    <m/>
    <n v="116"/>
    <m/>
    <x v="1"/>
    <m/>
    <n v="90"/>
    <m/>
    <m/>
    <m/>
    <m/>
    <m/>
    <m/>
    <m/>
    <n v="1.05"/>
    <m/>
    <m/>
    <m/>
    <m/>
    <n v="1.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zaha"/>
    <s v="Misay"/>
    <n v="98"/>
    <m/>
    <n v="98"/>
    <m/>
    <x v="1"/>
    <m/>
    <n v="90"/>
    <m/>
    <m/>
    <m/>
    <m/>
    <m/>
    <m/>
    <m/>
    <n v="0.9"/>
    <m/>
    <m/>
    <m/>
    <m/>
    <n v="0.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lobe"/>
    <s v="Salobe"/>
    <n v="89"/>
    <m/>
    <n v="89"/>
    <m/>
    <x v="1"/>
    <m/>
    <n v="90"/>
    <m/>
    <m/>
    <m/>
    <m/>
    <m/>
    <m/>
    <m/>
    <n v="0.81"/>
    <m/>
    <m/>
    <m/>
    <m/>
    <n v="0.8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lobe"/>
    <s v="Saloambany"/>
    <n v="113"/>
    <m/>
    <n v="113"/>
    <m/>
    <x v="1"/>
    <m/>
    <n v="90"/>
    <m/>
    <m/>
    <m/>
    <m/>
    <m/>
    <m/>
    <m/>
    <n v="1.02"/>
    <m/>
    <m/>
    <m/>
    <m/>
    <n v="1.0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nalobe"/>
    <s v="Manalobe"/>
    <n v="101"/>
    <m/>
    <n v="101"/>
    <m/>
    <x v="1"/>
    <m/>
    <n v="90"/>
    <m/>
    <m/>
    <m/>
    <m/>
    <m/>
    <m/>
    <m/>
    <n v="0.91500000000000004"/>
    <m/>
    <m/>
    <m/>
    <m/>
    <n v="0.9150000000000000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nalobe"/>
    <s v="Ankilamasy"/>
    <n v="52"/>
    <m/>
    <n v="52"/>
    <m/>
    <x v="1"/>
    <m/>
    <n v="90"/>
    <m/>
    <m/>
    <m/>
    <m/>
    <m/>
    <m/>
    <m/>
    <n v="0.48"/>
    <m/>
    <m/>
    <m/>
    <m/>
    <n v="0.4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Fenoandala"/>
    <s v="Fenoandala"/>
    <n v="48"/>
    <m/>
    <n v="48"/>
    <m/>
    <x v="1"/>
    <m/>
    <n v="9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Antevamena Nord"/>
    <n v="0"/>
    <m/>
    <n v="12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Fenoatsimo"/>
    <n v="0"/>
    <m/>
    <n v="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Andraketa"/>
    <n v="0"/>
    <m/>
    <n v="1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Vohibe"/>
    <n v="0"/>
    <m/>
    <n v="13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Tongobory"/>
    <n v="0"/>
    <m/>
    <n v="8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ongobory"/>
    <s v="Ihotry"/>
    <n v="0"/>
    <m/>
    <n v="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ameantsoa"/>
    <s v="Tameantsoa"/>
    <n v="28"/>
    <m/>
    <n v="28"/>
    <m/>
    <x v="1"/>
    <m/>
    <n v="9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ameantsoa"/>
    <s v="Laniry"/>
    <n v="47"/>
    <m/>
    <n v="47"/>
    <m/>
    <x v="1"/>
    <m/>
    <n v="9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ameantsoa"/>
    <s v="Eboro"/>
    <n v="0"/>
    <m/>
    <n v="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Tameantsoa"/>
    <s v="Bemoky"/>
    <n v="0"/>
    <m/>
    <n v="2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Beheloke Haut"/>
    <n v="0"/>
    <m/>
    <n v="13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Ankilibory"/>
    <n v="0"/>
    <m/>
    <n v="18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Beheloka Bas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Ambahevah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Ankilimivony"/>
    <n v="0"/>
    <m/>
    <n v="15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heloka"/>
    <s v="Vatolalak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Efoetse"/>
    <s v="Maintilime"/>
    <n v="0"/>
    <m/>
    <n v="14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Efoetse"/>
    <s v="Ambola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Efoetse"/>
    <s v="Efoetse"/>
    <n v="0"/>
    <m/>
    <n v="1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Efoetse"/>
    <s v="Maromitilike"/>
    <n v="0"/>
    <m/>
    <n v="19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Beraketa Est"/>
    <n v="80"/>
    <m/>
    <n v="80"/>
    <m/>
    <x v="1"/>
    <m/>
    <n v="3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Bevatry"/>
    <n v="36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Ankilivalo"/>
    <n v="36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Tanapiso"/>
    <n v="58"/>
    <m/>
    <n v="58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Mitsinjo"/>
    <n v="25"/>
    <m/>
    <n v="25"/>
    <m/>
    <x v="1"/>
    <m/>
    <n v="3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Ranotsara"/>
    <n v="51"/>
    <m/>
    <n v="51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Benenitra"/>
    <n v="60"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nenitra"/>
    <s v="Berevo"/>
    <n v="50"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ilimary"/>
    <s v="Ankilimary"/>
    <n v="80"/>
    <m/>
    <n v="80"/>
    <m/>
    <x v="1"/>
    <m/>
    <n v="90"/>
    <m/>
    <m/>
    <m/>
    <m/>
    <m/>
    <m/>
    <m/>
    <n v="0.72"/>
    <m/>
    <m/>
    <m/>
    <m/>
    <n v="0.7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Ehara"/>
    <s v="Analamena"/>
    <n v="126"/>
    <m/>
    <n v="126"/>
    <m/>
    <x v="1"/>
    <m/>
    <n v="90"/>
    <m/>
    <m/>
    <m/>
    <m/>
    <m/>
    <m/>
    <m/>
    <n v="1.1399999999999999"/>
    <m/>
    <m/>
    <m/>
    <m/>
    <n v="1.139999999999999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mbatry tanamba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ndranokotot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mbatry Mitsinj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mbatry ambony"/>
    <n v="73"/>
    <m/>
    <n v="73"/>
    <m/>
    <x v="1"/>
    <m/>
    <n v="9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Mahab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Besakoa nord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ndranotantel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Besakoa Sud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Ambatry manorih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MBATRY"/>
    <s v="Tsilavondrifots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Andrahavi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Vovomen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Morafen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Beval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Ankazomang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Vonje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Ankavol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Mihong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Tokoendol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Vomba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Ankand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kazomanga Ouest"/>
    <s v="Fanat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mpasindava"/>
    <n v="23"/>
    <m/>
    <n v="23"/>
    <m/>
    <x v="1"/>
    <m/>
    <n v="6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njambalo"/>
    <n v="12"/>
    <m/>
    <n v="12"/>
    <m/>
    <x v="1"/>
    <m/>
    <n v="6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nkiliarivo"/>
    <n v="4"/>
    <m/>
    <n v="4"/>
    <m/>
    <x v="1"/>
    <m/>
    <n v="6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nkotoboke"/>
    <n v="14"/>
    <m/>
    <n v="14"/>
    <m/>
    <x v="1"/>
    <m/>
    <n v="6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nontsy"/>
    <n v="10"/>
    <m/>
    <n v="10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Beantake"/>
    <n v="12"/>
    <m/>
    <n v="12"/>
    <m/>
    <x v="1"/>
    <m/>
    <n v="6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Befaha"/>
    <n v="22"/>
    <m/>
    <n v="22"/>
    <m/>
    <x v="1"/>
    <m/>
    <n v="60"/>
    <m/>
    <m/>
    <m/>
    <m/>
    <m/>
    <m/>
    <m/>
    <n v="0.19500000000000001"/>
    <m/>
    <m/>
    <m/>
    <m/>
    <n v="0.19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Besatra"/>
    <n v="24"/>
    <m/>
    <n v="24"/>
    <m/>
    <x v="1"/>
    <m/>
    <n v="6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Ereteke"/>
    <n v="24"/>
    <m/>
    <n v="24"/>
    <m/>
    <x v="1"/>
    <m/>
    <n v="6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Mikaikarivo"/>
    <n v="8"/>
    <m/>
    <n v="8"/>
    <m/>
    <x v="1"/>
    <m/>
    <n v="6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ntake"/>
    <s v="Ankililaza"/>
    <n v="13"/>
    <m/>
    <n v="13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ambararata morafeno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Beavoha"/>
    <n v="35"/>
    <m/>
    <n v="35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Mahaty"/>
    <n v="28"/>
    <m/>
    <n v="28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Tanambao satrapotsy"/>
    <n v="17"/>
    <m/>
    <n v="17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Bejio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Bezaha mahafaly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Analafaly"/>
    <n v="20"/>
    <m/>
    <n v="20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Manasoa mahafaly"/>
    <n v="31"/>
    <m/>
    <n v="31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Ambinda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Besely"/>
    <n v="35"/>
    <m/>
    <n v="35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Ampanihy antarabory"/>
    <n v="22"/>
    <m/>
    <n v="22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avoha"/>
    <s v="Mahazoarivo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ora"/>
    <s v="beora Tanambao"/>
    <n v="31"/>
    <m/>
    <n v="31"/>
    <m/>
    <x v="1"/>
    <m/>
    <n v="90"/>
    <m/>
    <m/>
    <m/>
    <m/>
    <m/>
    <m/>
    <m/>
    <n v="0.255"/>
    <m/>
    <m/>
    <m/>
    <m/>
    <n v="0.25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ora"/>
    <s v="Betaibala"/>
    <n v="26"/>
    <m/>
    <n v="26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ora"/>
    <s v="Beanike vohidroa"/>
    <n v="34"/>
    <m/>
    <n v="34"/>
    <m/>
    <x v="1"/>
    <m/>
    <n v="90"/>
    <m/>
    <m/>
    <m/>
    <m/>
    <m/>
    <m/>
    <m/>
    <n v="0.315"/>
    <m/>
    <m/>
    <m/>
    <m/>
    <n v="0.3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ora"/>
    <s v="Ampanimaro"/>
    <n v="35"/>
    <m/>
    <n v="35"/>
    <m/>
    <x v="1"/>
    <m/>
    <n v="90"/>
    <m/>
    <m/>
    <m/>
    <m/>
    <m/>
    <m/>
    <m/>
    <n v="0.315"/>
    <m/>
    <m/>
    <m/>
    <m/>
    <n v="0.31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ora"/>
    <s v="vohitolia"/>
    <n v="26"/>
    <m/>
    <n v="26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Antamotam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Belalits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Sakamasa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Behamal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Tsiborak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akamasay"/>
    <s v="BESAIHATSE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mpasimandroake"/>
    <n v="19"/>
    <m/>
    <n v="19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nkilimasy"/>
    <n v="13"/>
    <m/>
    <n v="13"/>
    <m/>
    <x v="1"/>
    <m/>
    <n v="9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Besavoa"/>
    <n v="20"/>
    <m/>
    <n v="2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nkilimiangatse"/>
    <n v="12"/>
    <m/>
    <n v="12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ntsakoamasy"/>
    <n v="36"/>
    <m/>
    <n v="3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nketrake"/>
    <n v="174"/>
    <m/>
    <n v="174"/>
    <m/>
    <x v="1"/>
    <m/>
    <n v="90"/>
    <m/>
    <m/>
    <m/>
    <m/>
    <m/>
    <m/>
    <m/>
    <n v="1.5"/>
    <m/>
    <m/>
    <m/>
    <m/>
    <n v="1.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Ranond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mpakabo"/>
    <n v="11"/>
    <m/>
    <n v="11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Ambalahaz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Betioky"/>
    <s v="Betioky II"/>
    <n v="17"/>
    <m/>
    <n v="17"/>
    <m/>
    <x v="1"/>
    <m/>
    <n v="9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mbatokapike Sud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dranotakatse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jamena Nord"/>
    <n v="18"/>
    <m/>
    <n v="18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jamena Sud"/>
    <n v="26"/>
    <m/>
    <n v="2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Bekily"/>
    <n v="27"/>
    <m/>
    <n v="27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Bevontake"/>
    <n v="26"/>
    <m/>
    <n v="2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Masiaboay"/>
    <n v="28"/>
    <m/>
    <n v="28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Tanantsoa"/>
    <n v="20"/>
    <m/>
    <n v="20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katrakatrake"/>
    <n v="23"/>
    <m/>
    <n v="23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tararaty"/>
    <n v="13"/>
    <m/>
    <n v="13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Marohira"/>
    <n v="17"/>
    <m/>
    <n v="17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siaboay"/>
    <s v="Ankamena"/>
    <n v="24"/>
    <m/>
    <n v="24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Manatsa"/>
    <n v="50"/>
    <m/>
    <n v="50"/>
    <m/>
    <x v="1"/>
    <m/>
    <n v="9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Tanambao II"/>
    <n v="70"/>
    <m/>
    <n v="70"/>
    <m/>
    <x v="1"/>
    <m/>
    <n v="90"/>
    <m/>
    <m/>
    <m/>
    <m/>
    <m/>
    <m/>
    <m/>
    <n v="0.6"/>
    <m/>
    <m/>
    <m/>
    <m/>
    <n v="0.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Mitsinjo"/>
    <n v="38"/>
    <m/>
    <n v="38"/>
    <m/>
    <x v="1"/>
    <m/>
    <n v="90"/>
    <m/>
    <m/>
    <m/>
    <m/>
    <m/>
    <m/>
    <m/>
    <n v="0.28499999999999998"/>
    <m/>
    <m/>
    <m/>
    <m/>
    <n v="0.2849999999999999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Fenoanivo"/>
    <n v="62"/>
    <m/>
    <n v="62"/>
    <m/>
    <x v="1"/>
    <m/>
    <n v="90"/>
    <m/>
    <m/>
    <m/>
    <m/>
    <m/>
    <m/>
    <m/>
    <n v="0.36"/>
    <m/>
    <m/>
    <m/>
    <m/>
    <n v="0.3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Ambario"/>
    <n v="65"/>
    <m/>
    <n v="65"/>
    <m/>
    <x v="1"/>
    <m/>
    <n v="90"/>
    <m/>
    <m/>
    <m/>
    <m/>
    <m/>
    <m/>
    <m/>
    <n v="0.435"/>
    <m/>
    <m/>
    <m/>
    <m/>
    <n v="0.435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Befotaka"/>
    <n v="44"/>
    <m/>
    <n v="44"/>
    <m/>
    <x v="1"/>
    <m/>
    <n v="90"/>
    <m/>
    <m/>
    <m/>
    <m/>
    <m/>
    <m/>
    <m/>
    <n v="0.34499999999999997"/>
    <m/>
    <m/>
    <m/>
    <m/>
    <n v="0.34499999999999997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Andranomangatsiaka"/>
    <n v="61"/>
    <m/>
    <n v="61"/>
    <m/>
    <x v="1"/>
    <m/>
    <n v="90"/>
    <m/>
    <m/>
    <m/>
    <m/>
    <m/>
    <m/>
    <m/>
    <n v="0.48"/>
    <m/>
    <m/>
    <m/>
    <m/>
    <n v="0.4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Mahabo-Sud"/>
    <n v="64"/>
    <m/>
    <n v="64"/>
    <m/>
    <x v="1"/>
    <m/>
    <n v="90"/>
    <m/>
    <m/>
    <m/>
    <m/>
    <m/>
    <m/>
    <m/>
    <n v="0.40500000000000003"/>
    <m/>
    <m/>
    <m/>
    <m/>
    <n v="0.40500000000000003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Besatra"/>
    <n v="69"/>
    <m/>
    <n v="69"/>
    <m/>
    <x v="1"/>
    <m/>
    <n v="90"/>
    <m/>
    <m/>
    <m/>
    <m/>
    <m/>
    <m/>
    <m/>
    <n v="0.52500000000000002"/>
    <m/>
    <m/>
    <m/>
    <m/>
    <n v="0.5250000000000000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Andranomangatsiaka"/>
    <s v=" Sakoamaro"/>
    <n v="65"/>
    <m/>
    <n v="65"/>
    <m/>
    <x v="1"/>
    <m/>
    <n v="90"/>
    <m/>
    <m/>
    <m/>
    <m/>
    <m/>
    <m/>
    <m/>
    <n v="0.40500000000000003"/>
    <m/>
    <m/>
    <m/>
    <m/>
    <n v="0.40500000000000003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alalentik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dranam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Maroariv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mbor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Miary 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Mihaga andremb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mbatofotsy OEST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tsakoamaro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Maroarivo tanadav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kilimiada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Maroarivo"/>
    <s v="Andremiory"/>
    <n v="0"/>
    <m/>
    <n v="0"/>
    <m/>
    <x v="1"/>
    <m/>
    <n v="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Toliara"/>
    <s v="ORN AA"/>
    <s v="Toliara"/>
    <s v="Betania"/>
    <n v="800"/>
    <m/>
    <n v="800"/>
    <m/>
    <x v="1"/>
    <m/>
    <n v="60"/>
    <m/>
    <m/>
    <m/>
    <m/>
    <m/>
    <m/>
    <m/>
    <n v="4.8"/>
    <m/>
    <m/>
    <m/>
    <m/>
    <n v="4.8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Ambatomainty"/>
    <n v="38"/>
    <m/>
    <n v="38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Vohipotsy II"/>
    <n v="16"/>
    <m/>
    <n v="16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Beroanga"/>
    <n v="14"/>
    <m/>
    <n v="14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Bevinda"/>
    <n v="25"/>
    <m/>
    <n v="25"/>
    <m/>
    <x v="1"/>
    <m/>
    <n v="9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Soamanonga"/>
    <n v="30"/>
    <m/>
    <n v="3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Besakoa"/>
    <n v="19"/>
    <m/>
    <n v="19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Vohipotsy IV"/>
    <n v="31"/>
    <m/>
    <n v="31"/>
    <m/>
    <x v="1"/>
    <m/>
    <n v="9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Ihela haut"/>
    <n v="23"/>
    <m/>
    <n v="23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Ihela bas"/>
    <n v="0"/>
    <m/>
    <n v="0"/>
    <m/>
    <x v="1"/>
    <m/>
    <n v="9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Tulear"/>
    <x v="3"/>
    <s v="Tulear"/>
    <s v="Atsimo Andrefana"/>
    <s v="Betioky"/>
    <s v="ORN AA"/>
    <s v="Soamanonga"/>
    <s v="Betampy"/>
    <n v="25"/>
    <m/>
    <n v="25"/>
    <m/>
    <x v="1"/>
    <m/>
    <n v="9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ahevah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ararata 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atomanambah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end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oropot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boropotsy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mpiket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aramaline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avabib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ind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ov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ranomale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rea Andradi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drevis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gnarama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gnalamisak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afoj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azo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e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ili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iliman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ilimanondro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ilima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isakis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kon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Antanema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halango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halango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katraf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lale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lamo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moit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moit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on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rono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Besav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Fenoarivo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Maola 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Maola 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Maroako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Montom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Sag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Tanantsoa Voh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Tsotsam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BOROPOTSY"/>
    <s v="Vohipetse Vohoitsarag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mbalatsief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Moton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Gorogod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mpanih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kilimalang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dranomam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toh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Reampot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Tokov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Lafib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Terahanomb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sako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mbatolahino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Tsimidre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tsari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tanimai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mbohimahataza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Sihaninal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laz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Reamboh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Firan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dranova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nkilitok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Etrobe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Etanj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Ambalav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Sihanamito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tsibar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habo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Lavap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Bevit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MPANIHY"/>
    <s v="Evaz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gnadabola_himagn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mbat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alafants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avoha_Ambonirano_(_Anavoha_Haut)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avoha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katraf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kotobe_Avarad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Andamak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Mandabe_Kil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AVOHA"/>
    <s v="Tanandava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MBALADOD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MBALAND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MBALATSIMIVI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NDROIMP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NKAMENA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NKAMENA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ANKILIAMBANY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BESELY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BETRATRAT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IMPANO"/>
    <s v="TSIANDRION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AMBOHIBO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ANDROKA_E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ANDROKA_VA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ANTSAK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BEHARAH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BELAM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MANE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SAODO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TSIMAFA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DROKA "/>
    <s v="ZAM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GN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MPANORI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NDAMO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NJAMIS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NKILI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AN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BEHAVAND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BETAIMBAL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EKELELA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E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ETAK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REAK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REAMB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ABO"/>
    <s v="TSIJOBOGN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GNARAMITER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GN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MBATOLAHITSIR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MBOAID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NDRAKIA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NKILIM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ANKILIMIV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BEFAMA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MAROHOL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MAROHOLA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SAROTSAHAT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TANAMBA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TSIANDE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VOHIMIROR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MIVORY"/>
    <s v="VOHIMIROR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MBATOROH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ALAMATEZ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ALAMATEZA_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DRANOL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DRAOMP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JEMB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JI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KATRAKATR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ANKILIZ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BEFAMATA AMPANORI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BEKAKO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BEKAKO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BEKAKO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BEVOA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E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MAN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MAROVAH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SAKAMASAY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ANKILIZATO"/>
    <s v="SAKAMASAY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MBATOVAKY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MPAMA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NAVIAVY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NDAK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NKILIMASY_AMPH_BEL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NKILITELO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ANKINI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ADALA_ANTANISI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ADAL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ADALA_FAHARAZ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ADAL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KINAGNA_MANAKARALA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LAFIK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LAFIK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LAFIKE_VOHI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LOLO_ANKAPI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BELOLO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HANIMBE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LALIKAMA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MIKAIKARI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NAMELOMAMPI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NAMELOMAMPIA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NAMELOMAMPIA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RANOHANDATSE_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TAOLAMBOS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TRATSIOTSE_KAND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VINAN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BELAFIKA HAUT"/>
    <s v="VINANITELO_ANKILIM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MBATOKAPI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MBATOKAPIKE_ANIVO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MBATOVAKY-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MBINDA_AMPH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NKOZOHOZO ANDAKIL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NDOHARAN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NDRAN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NT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ANTSEVASE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DEB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HATRAVY_AMPOTOMAIN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HATRAV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HAZONDREGEN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HOLI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KINAG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SAKOA_LIAMBOS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VIRO_BETSONG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BEVIRO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EJEDA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EJEDA_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ESIF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ET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EVOVO_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FARAF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KILEMIDEG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NAKARALAHY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NAKARALAHY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NAKARAVAV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NDOPAKE 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NDOPAKE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AROVAHA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IRAF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MITSORI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SANIRATANT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SEVASEVA_BEFO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TANANDAV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TANANONDA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TSAMEREA_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TSIKOAKAH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EJEDA"/>
    <s v="TSIZARA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AMBONDROMEN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ANALAB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ANTOHABAT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BEAMA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BEPEH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BEVA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FOTADREVO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FOTADREVO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SATRAGNARI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FOTADREVO"/>
    <s v="SETA 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MBONDROKI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NAMO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NKILIMANOND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NKILIM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NKILIMIVO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ANKININY_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BEADALA 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BEAVAK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BEFA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BEKOMPIST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BELAMBO_AMBOR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GOGOGOG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GOGOGOG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LOHAO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SATRAPOTSY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SATRAPOTY_MILANJ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TANANTSO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TAOLAMBOSITSE_ANKININ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TAOLAMBOSITSE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GOGOGOGO"/>
    <s v="TSIMAIMPAOS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AMBOROVORO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ANDRANOMILITSE ANKILEMAS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KINDRIA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AMBATOFOTSY 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SOAMANONGA EST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BEVAH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BELOLO ANTANIMENA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AMBATOVAKY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SOAMANONGA OUEST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VOHITANY"/>
    <s v="BEBALAHAZO"/>
    <n v="25"/>
    <n v="25"/>
    <n v="50"/>
    <m/>
    <x v="1"/>
    <m/>
    <n v="60"/>
    <m/>
    <m/>
    <m/>
    <m/>
    <m/>
    <m/>
    <m/>
    <n v="0.3"/>
    <m/>
    <m/>
    <m/>
    <m/>
    <n v="0.3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BEAVOHA SU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TSIANDRIONA 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BEFENG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BEFOLO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BESELY_NORD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BEVALA_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ITAMPOLO_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ITAMPOLO_II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MAROLINT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SAKARI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ITAMPOLO"/>
    <s v="TONGAENOR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MBAHOTE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MBINANITEL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NJAMAROTE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NKARAGNAB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NKARAHARA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NKILIMAHA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ANKILIMIHAM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GORAG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JABIH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KILY CENTR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SAL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TRANDRAKY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TRANDRAKY_HAUT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ETSAK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BOKONA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EFOT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MANIR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PINJO_BAS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REAMBOHITSY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REMENGOK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TSIASIM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VOHIDREKITSE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panihy"/>
    <x v="2"/>
    <s v="TOLIARA"/>
    <s v="Atsimo Andrefana"/>
    <s v="Ampanihy Ouest"/>
    <s v="ORN AA"/>
    <s v="MANIRY"/>
    <s v="VOTOVOATAVO"/>
    <m/>
    <m/>
    <n v="0"/>
    <m/>
    <x v="1"/>
    <m/>
    <m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MBAZOAMIRAFY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MBOASARY II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JAKAMBA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KANKA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KARAMENA"/>
    <m/>
    <m/>
    <n v="13"/>
    <m/>
    <x v="1"/>
    <m/>
    <n v="30"/>
    <m/>
    <m/>
    <m/>
    <m/>
    <m/>
    <m/>
    <m/>
    <n v="3.9E-2"/>
    <m/>
    <m/>
    <m/>
    <m/>
    <n v="3.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KILEFAL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KILIMAFAITS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TSEREDREO(EX ANKILEMASY)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TANATANAPOTY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TSATRAHAMASY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BEANIKE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BEHABOBO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BEHANTAMAREAGNE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BEROROHA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Tranobe Maromainty (EKONKA)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ESANTA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MALANGY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MAROFANOGNE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MAROMALAY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DOZINY (EX MITSANGANA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KILIVINONJY (Ex SARIHANGY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SEVOHIPOTY"/>
    <m/>
    <m/>
    <n v="63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TALAKY Centre"/>
    <m/>
    <m/>
    <n v="62"/>
    <m/>
    <x v="1"/>
    <m/>
    <n v="3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MANGARIVOTSE (Ex TANAMBAO 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TSIRANGOT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VANGAY AMBANEAVOHA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EKONKA CENTRAL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LAVANDRANDRA 1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BERARY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NDABOLY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Milahane Fenoarivo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mboro Bekokako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VOMBE"/>
    <s v="Ambolomareagne 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ZOA"/>
    <s v="AMBAZOA"/>
    <m/>
    <m/>
    <n v="75"/>
    <m/>
    <x v="1"/>
    <m/>
    <n v="3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ZOA"/>
    <s v="AMBOROMINENDRA"/>
    <m/>
    <m/>
    <n v="73"/>
    <m/>
    <x v="1"/>
    <m/>
    <n v="30"/>
    <m/>
    <m/>
    <m/>
    <m/>
    <m/>
    <m/>
    <m/>
    <n v="0.219"/>
    <m/>
    <m/>
    <m/>
    <m/>
    <n v="0.21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ZOA"/>
    <s v="ANTANAMIHERY"/>
    <m/>
    <m/>
    <n v="72"/>
    <m/>
    <x v="1"/>
    <m/>
    <n v="3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ZOA"/>
    <s v="IKOTOALA"/>
    <m/>
    <m/>
    <n v="67"/>
    <m/>
    <x v="1"/>
    <m/>
    <n v="30"/>
    <m/>
    <m/>
    <m/>
    <m/>
    <m/>
    <m/>
    <m/>
    <n v="0.20100000000000001"/>
    <m/>
    <m/>
    <m/>
    <m/>
    <n v="0.20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ZOA"/>
    <s v="TSIFAHERA Ampaipaike "/>
    <m/>
    <m/>
    <n v="66"/>
    <m/>
    <x v="1"/>
    <m/>
    <n v="30"/>
    <m/>
    <m/>
    <m/>
    <m/>
    <m/>
    <m/>
    <m/>
    <n v="0.19800000000000001"/>
    <m/>
    <m/>
    <m/>
    <m/>
    <n v="0.19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AIVO"/>
    <s v="AMBONAIVO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AIVO"/>
    <s v="MAROFOHY (ANALAVAO)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AIVO"/>
    <s v="ANKARANDOHA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AIVO"/>
    <s v="MAROLAVA 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ERADA"/>
    <s v="Ambanekily sud"/>
    <m/>
    <m/>
    <n v="23"/>
    <m/>
    <x v="1"/>
    <m/>
    <n v="30"/>
    <m/>
    <m/>
    <m/>
    <m/>
    <m/>
    <m/>
    <m/>
    <n v="6.9000000000000006E-2"/>
    <m/>
    <m/>
    <m/>
    <m/>
    <n v="6.9000000000000006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ERADA"/>
    <s v="Ambory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ERADA"/>
    <s v="Erada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ERADA"/>
    <s v="Habohabo Nord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ERADA"/>
    <s v="NISORONA 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Amboro"/>
    <m/>
    <m/>
    <n v="58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Ankeoheo Marolava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Ankilerandro Ambanisarike(Ankilerandro)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Maroafo Marofoty"/>
    <m/>
    <m/>
    <n v="83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Bekokako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Marohafotse"/>
    <m/>
    <m/>
    <n v="70"/>
    <m/>
    <x v="1"/>
    <m/>
    <n v="3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Mokofo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Tsimihevo 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TSIMANANADA"/>
    <s v="BOTREOKE"/>
    <m/>
    <m/>
    <n v="67"/>
    <m/>
    <x v="1"/>
    <m/>
    <n v="30"/>
    <m/>
    <m/>
    <m/>
    <m/>
    <m/>
    <m/>
    <m/>
    <n v="0.20100000000000001"/>
    <m/>
    <m/>
    <m/>
    <m/>
    <n v="0.20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Ankilehogo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Ankororoke Mahazosoa "/>
    <m/>
    <m/>
    <n v="45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Belambo Fanavaozana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Betsimeda"/>
    <m/>
    <m/>
    <n v="46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Erakoka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Erakoka Andrefana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Radabetsimivaky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Vahavola centre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MAINTY"/>
    <s v="Betsimeda Ankilimilaly 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 Maropia  Ambohimazav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Ampanavy Fototsambo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Behabobo Nord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Vohimiary"/>
    <m/>
    <m/>
    <n v="61"/>
    <m/>
    <x v="1"/>
    <m/>
    <n v="30"/>
    <m/>
    <m/>
    <m/>
    <m/>
    <m/>
    <m/>
    <m/>
    <n v="0.183"/>
    <m/>
    <m/>
    <m/>
    <m/>
    <n v="0.18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alopoty III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Ambaro III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Belitsake Dodo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Antsomotsoy Centre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Antsomotsoy Ankeloke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havokak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alopoty I 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eagne Tsihelegne"/>
    <m/>
    <m/>
    <n v="44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Soatsifa Agnivorano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pia Ankilibe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do Ankilemasy"/>
    <m/>
    <m/>
    <n v="20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Belemboke Sevohitse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Belemboke Ambany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alopoty II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Maropia nord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Savara centre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Soatamea centre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Soatsifa Haut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Soatsifa I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Tanambao Efaly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Tanambao Sud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Tsirandrany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ALOPOTY"/>
    <s v="Ankalimboro Tsiavihandro 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gnorike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mbovo 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alahov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alaisoke"/>
    <m/>
    <m/>
    <n v="12"/>
    <m/>
    <x v="1"/>
    <m/>
    <n v="3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alaisoke I"/>
    <m/>
    <m/>
    <n v="27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dramanera II"/>
    <m/>
    <m/>
    <n v="19"/>
    <m/>
    <x v="1"/>
    <m/>
    <n v="30"/>
    <m/>
    <m/>
    <m/>
    <m/>
    <m/>
    <m/>
    <m/>
    <n v="5.7000000000000002E-2"/>
    <m/>
    <m/>
    <m/>
    <m/>
    <n v="5.7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kazomanga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kilemiharatsy"/>
    <m/>
    <m/>
    <n v="27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SIMAVO MAGNARITSOA (Ankiletelo)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kliabo Nord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Ankiliabo Sud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Belindo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Ehavo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Ianakafy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Manja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Mantsake"/>
    <m/>
    <m/>
    <n v="14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Montombe II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Morafeno 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Savilava "/>
    <m/>
    <m/>
    <n v="32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Sihanamitohy I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anandav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aranak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erabovo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siamaly Ankilemamy"/>
    <m/>
    <m/>
    <n v="24"/>
    <m/>
    <x v="1"/>
    <m/>
    <n v="3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Tsilimbe Marofoty"/>
    <m/>
    <m/>
    <n v="28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SIHANAMARO"/>
    <s v="Zantelo 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Ambanisarika Centre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Ankako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Etsoh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AMBAROMANINTSY(Marofoty)"/>
    <m/>
    <m/>
    <n v="36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Ankiliabon'Ibon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Ankilimara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RETOKA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ANISARIKE"/>
    <s v="TANAMBAO Ankilifaly(Ex Androhondroho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Ambondro I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Ampisandrata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Bebea"/>
    <m/>
    <m/>
    <n v="89"/>
    <m/>
    <x v="1"/>
    <m/>
    <n v="30"/>
    <m/>
    <m/>
    <m/>
    <m/>
    <m/>
    <m/>
    <m/>
    <n v="0.26700000000000002"/>
    <m/>
    <m/>
    <m/>
    <m/>
    <n v="0.267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Lamitihy sud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Mahazoarivo"/>
    <m/>
    <m/>
    <n v="77"/>
    <m/>
    <x v="1"/>
    <m/>
    <n v="30"/>
    <m/>
    <m/>
    <m/>
    <m/>
    <m/>
    <m/>
    <m/>
    <n v="0.23100000000000001"/>
    <m/>
    <m/>
    <m/>
    <m/>
    <n v="0.23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NDRO"/>
    <s v="Tsimagnanto "/>
    <m/>
    <m/>
    <n v="94"/>
    <m/>
    <x v="1"/>
    <m/>
    <n v="30"/>
    <m/>
    <m/>
    <m/>
    <m/>
    <m/>
    <m/>
    <m/>
    <n v="0.28199999999999997"/>
    <m/>
    <m/>
    <m/>
    <m/>
    <n v="0.28199999999999997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Amboroke"/>
    <m/>
    <m/>
    <n v="54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Anjeky Tanandava "/>
    <m/>
    <m/>
    <n v="55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Anjoty Marolava II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ZAFINDRAMIRY(Ankilikira)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Antanimiare I"/>
    <m/>
    <m/>
    <n v="69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BEANATARA Sud(Beanantara)"/>
    <m/>
    <m/>
    <n v="40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Beanantara I"/>
    <m/>
    <m/>
    <n v="63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Marovaho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JEKY ANKILIKIRA/ BEANANTARA"/>
    <s v="SEHAMIAVOTSE(Tombodriha )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NKAMISY"/>
    <m/>
    <m/>
    <n v="21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MBATORATY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MBORY Haut (AMBORY Bas)"/>
    <m/>
    <m/>
    <n v="59"/>
    <m/>
    <x v="1"/>
    <m/>
    <n v="30"/>
    <m/>
    <m/>
    <m/>
    <m/>
    <m/>
    <m/>
    <m/>
    <n v="0.17699999999999999"/>
    <m/>
    <m/>
    <m/>
    <m/>
    <n v="0.17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NJAKAMBA HAUT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NJEBA"/>
    <m/>
    <m/>
    <n v="49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ANKOTSOBE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BASAKOA BAS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JAFARO"/>
    <m/>
    <m/>
    <n v="46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JAFARO"/>
    <s v="MANDILY"/>
    <m/>
    <m/>
    <n v="43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 AMBANENATO I ex A.BEDARO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AMPILOFILO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ANDEMBY"/>
    <m/>
    <m/>
    <n v="71"/>
    <m/>
    <x v="1"/>
    <m/>
    <n v="30"/>
    <m/>
    <m/>
    <m/>
    <m/>
    <m/>
    <m/>
    <m/>
    <n v="0.21299999999999999"/>
    <m/>
    <m/>
    <m/>
    <m/>
    <n v="0.21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AMPANASA"/>
    <m/>
    <m/>
    <n v="65"/>
    <m/>
    <x v="1"/>
    <m/>
    <n v="30"/>
    <m/>
    <m/>
    <m/>
    <m/>
    <m/>
    <m/>
    <m/>
    <n v="0.19500000000000001"/>
    <m/>
    <m/>
    <m/>
    <m/>
    <n v="0.19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ANDRANOVALO ex ANTESOAMAY"/>
    <m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IMANOMBO"/>
    <s v="IMANOMBO CENTRE"/>
    <m/>
    <m/>
    <n v="83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PAMATA"/>
    <s v="ANTAFIANAMPELA"/>
    <m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PAMATA"/>
    <s v="BESATRA SOARANO"/>
    <m/>
    <m/>
    <n v="78"/>
    <m/>
    <x v="1"/>
    <m/>
    <n v="3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PAMATA"/>
    <s v="AMPAMATA CENTRE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PAMATA"/>
    <s v="ANDALIPITO"/>
    <m/>
    <m/>
    <n v="58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PAMATA"/>
    <s v="NANDROSOA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NDALAKAOLO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KONDRIA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NDALATANOSY NORD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VOHIPANDRANY"/>
    <m/>
    <m/>
    <n v="51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EDASOTSE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NDALATANOSY SUD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MPAHEJOLOKE"/>
    <m/>
    <m/>
    <n v="41"/>
    <m/>
    <x v="1"/>
    <m/>
    <n v="30"/>
    <m/>
    <m/>
    <m/>
    <m/>
    <m/>
    <m/>
    <m/>
    <n v="0.123"/>
    <m/>
    <m/>
    <m/>
    <m/>
    <n v="0.12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MBONDROMBE"/>
    <m/>
    <m/>
    <n v="18"/>
    <m/>
    <x v="1"/>
    <m/>
    <n v="3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ANDROVASOA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VOHITSANOMBE"/>
    <m/>
    <m/>
    <n v="50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ALATANOSY"/>
    <s v="MAROFANY"/>
    <m/>
    <m/>
    <n v="5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AMBENDRANA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MITREAKE CENTR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MAROVATO LAHABE"/>
    <m/>
    <m/>
    <n v="3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MAROVATO CENTRE"/>
    <m/>
    <m/>
    <n v="60"/>
    <m/>
    <x v="1"/>
    <m/>
    <n v="3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MIANDRASO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MAROVATO BEFENO"/>
    <s v="NAMALAZA II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TANIMORA"/>
    <s v="BEFENO (Ex AMBALIANDRO)"/>
    <m/>
    <m/>
    <n v="25"/>
    <m/>
    <x v="1"/>
    <m/>
    <n v="30"/>
    <m/>
    <m/>
    <m/>
    <m/>
    <m/>
    <m/>
    <m/>
    <n v="7.4999999999999997E-2"/>
    <m/>
    <m/>
    <m/>
    <m/>
    <n v="7.4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TANIMORA"/>
    <s v="ANDABOLY"/>
    <m/>
    <m/>
    <n v="61"/>
    <m/>
    <x v="1"/>
    <m/>
    <n v="30"/>
    <m/>
    <m/>
    <m/>
    <m/>
    <m/>
    <m/>
    <m/>
    <n v="0.183"/>
    <m/>
    <m/>
    <m/>
    <m/>
    <n v="0.183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TANIMORA"/>
    <s v="ANKILEFALY"/>
    <m/>
    <m/>
    <n v="47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TANIMORA"/>
    <s v="ANTSIRA"/>
    <m/>
    <m/>
    <n v="53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TANIMORA"/>
    <s v="ANDRANOGISO ANKILIMANINTSY (Ex ANTANIMORA CENTRE)"/>
    <m/>
    <m/>
    <n v="0"/>
    <m/>
    <x v="1"/>
    <m/>
    <n v="30"/>
    <m/>
    <m/>
    <m/>
    <m/>
    <m/>
    <m/>
    <m/>
    <n v="0"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ALAMARE"/>
    <s v="AGNAFONDRAVOAY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ALAMARE"/>
    <s v="ANJAMALINEKE"/>
    <m/>
    <m/>
    <n v="5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ALAMARE"/>
    <s v="MAROLAVA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Betioky Ampozy"/>
    <m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Antanantsoa"/>
    <m/>
    <m/>
    <n v="33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Mahatomotse centre"/>
    <m/>
    <m/>
    <n v="37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Savilava-Androy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ANDRANOTSIRIRY MANKATRATSE"/>
    <m/>
    <m/>
    <n v="38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ANKILETELO"/>
    <m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MBOHIMALAZA"/>
    <s v="ANDROVASOA"/>
    <m/>
    <m/>
    <n v="30"/>
    <m/>
    <x v="1"/>
    <m/>
    <n v="3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RAGNANIVO"/>
    <s v="Andragnanivo Centre"/>
    <m/>
    <m/>
    <n v="64"/>
    <m/>
    <x v="1"/>
    <m/>
    <n v="3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RAGNANIVO"/>
    <s v="Maregny"/>
    <m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RAGNANIVO"/>
    <s v="Tsimagnarake centre"/>
    <m/>
    <m/>
    <n v="55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RAGNANIVO"/>
    <s v="Marosoritse Ouest (Marosoritsy Est)"/>
    <m/>
    <m/>
    <n v="81"/>
    <m/>
    <x v="1"/>
    <m/>
    <n v="30"/>
    <m/>
    <m/>
    <m/>
    <m/>
    <m/>
    <m/>
    <m/>
    <n v="0.24299999999999999"/>
    <m/>
    <m/>
    <m/>
    <m/>
    <n v="0.242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RAGNANIVO"/>
    <s v="Androvamare II"/>
    <m/>
    <m/>
    <n v="6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OHARANO AMBINANY"/>
    <s v="Ambinagny Est"/>
    <m/>
    <m/>
    <n v="36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OHARANO AMBINANY"/>
    <s v="Ambararata Centre"/>
    <m/>
    <m/>
    <n v="3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OHARANO AMBINANY"/>
    <s v="Andraketa centre"/>
    <m/>
    <m/>
    <n v="22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Ambovombe"/>
    <s v="ORN Androy"/>
    <s v="ANDOHARANO AMBINANY"/>
    <s v="Analave Foty"/>
    <m/>
    <m/>
    <n v="29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TSIVORY"/>
    <s v="Tsivory"/>
    <m/>
    <m/>
    <n v="31"/>
    <m/>
    <x v="1"/>
    <m/>
    <n v="6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rovotry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ELONTY"/>
    <s v="Elonty"/>
    <m/>
    <m/>
    <n v="45"/>
    <m/>
    <x v="1"/>
    <m/>
    <n v="6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mandresy"/>
    <m/>
    <m/>
    <n v="7"/>
    <m/>
    <x v="1"/>
    <m/>
    <n v="6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sakoa "/>
    <m/>
    <m/>
    <n v="3"/>
    <m/>
    <x v="1"/>
    <m/>
    <n v="6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MAHALY"/>
    <s v="Mahaly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dabolava"/>
    <m/>
    <m/>
    <n v="16"/>
    <m/>
    <x v="1"/>
    <m/>
    <n v="6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boangy"/>
    <m/>
    <m/>
    <n v="20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ly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hazoarivo"/>
    <m/>
    <m/>
    <n v="5"/>
    <m/>
    <x v="1"/>
    <m/>
    <n v="60"/>
    <m/>
    <m/>
    <m/>
    <m/>
    <m/>
    <m/>
    <m/>
    <n v="0.03"/>
    <m/>
    <m/>
    <m/>
    <m/>
    <n v="0.03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EBELO"/>
    <s v="Ebelo"/>
    <m/>
    <m/>
    <n v="35"/>
    <m/>
    <x v="1"/>
    <m/>
    <n v="60"/>
    <m/>
    <m/>
    <m/>
    <m/>
    <m/>
    <m/>
    <m/>
    <n v="0.21"/>
    <m/>
    <m/>
    <m/>
    <m/>
    <n v="0.2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MAROTSIRAKY"/>
    <s v="Marotsiraky"/>
    <m/>
    <m/>
    <n v="27"/>
    <m/>
    <x v="1"/>
    <m/>
    <n v="6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TOMBOARIVO"/>
    <s v="Tomboarivo"/>
    <m/>
    <m/>
    <n v="37"/>
    <m/>
    <x v="1"/>
    <m/>
    <n v="60"/>
    <m/>
    <m/>
    <m/>
    <m/>
    <m/>
    <m/>
    <m/>
    <n v="0.222"/>
    <m/>
    <m/>
    <m/>
    <m/>
    <n v="0.22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MANEVY"/>
    <s v="Manev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roantsiva"/>
    <m/>
    <m/>
    <n v="12"/>
    <m/>
    <x v="1"/>
    <m/>
    <n v="6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pamatoha"/>
    <m/>
    <m/>
    <n v="6"/>
    <m/>
    <x v="1"/>
    <m/>
    <n v="6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ESIRA"/>
    <s v="Esira"/>
    <m/>
    <m/>
    <n v="16"/>
    <m/>
    <x v="1"/>
    <m/>
    <n v="6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MAROMBY"/>
    <s v="Maromby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anandava Nord"/>
    <m/>
    <m/>
    <n v="34"/>
    <m/>
    <x v="1"/>
    <m/>
    <n v="6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dranondambo"/>
    <m/>
    <m/>
    <n v="19"/>
    <m/>
    <x v="1"/>
    <m/>
    <n v="6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TRANOMARO"/>
    <s v="Ankazoabo"/>
    <m/>
    <m/>
    <n v="26"/>
    <m/>
    <x v="1"/>
    <m/>
    <n v="6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pilira"/>
    <m/>
    <m/>
    <n v="31"/>
    <m/>
    <x v="1"/>
    <m/>
    <n v="6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ragnomaro"/>
    <m/>
    <m/>
    <n v="39"/>
    <m/>
    <x v="1"/>
    <m/>
    <n v="6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silamaha"/>
    <m/>
    <m/>
    <n v="4"/>
    <m/>
    <x v="1"/>
    <m/>
    <n v="60"/>
    <m/>
    <m/>
    <m/>
    <m/>
    <m/>
    <m/>
    <m/>
    <n v="2.4E-2"/>
    <m/>
    <m/>
    <m/>
    <m/>
    <n v="2.4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MAHABO"/>
    <s v="Mahabo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RANOBE"/>
    <s v="Ranobe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Fenoarivo"/>
    <m/>
    <m/>
    <n v="23"/>
    <m/>
    <x v="1"/>
    <m/>
    <n v="6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halomboro"/>
    <m/>
    <m/>
    <n v="38"/>
    <m/>
    <x v="1"/>
    <m/>
    <n v="60"/>
    <m/>
    <m/>
    <m/>
    <m/>
    <m/>
    <m/>
    <m/>
    <n v="0.22800000000000001"/>
    <m/>
    <m/>
    <m/>
    <m/>
    <n v="0.22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BERANO VILLE"/>
    <s v="Berano"/>
    <m/>
    <m/>
    <n v="39"/>
    <m/>
    <x v="1"/>
    <m/>
    <n v="6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nitsevo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IFOTAKA"/>
    <s v="Fenoaivo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kiri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atrafa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batomainty"/>
    <m/>
    <m/>
    <n v="8"/>
    <m/>
    <x v="1"/>
    <m/>
    <n v="6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limanintsy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Ifotak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jamahavelo"/>
    <m/>
    <m/>
    <n v="33"/>
    <m/>
    <x v="1"/>
    <m/>
    <n v="60"/>
    <m/>
    <m/>
    <m/>
    <m/>
    <m/>
    <m/>
    <m/>
    <n v="0.19800000000000001"/>
    <m/>
    <m/>
    <m/>
    <m/>
    <n v="0.19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Ifotaka DP"/>
    <m/>
    <m/>
    <n v="15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sarapioky"/>
    <m/>
    <m/>
    <n v="32"/>
    <m/>
    <x v="1"/>
    <m/>
    <n v="60"/>
    <m/>
    <m/>
    <m/>
    <m/>
    <m/>
    <m/>
    <m/>
    <n v="0.192"/>
    <m/>
    <m/>
    <m/>
    <m/>
    <n v="0.19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aloalo"/>
    <m/>
    <m/>
    <n v="27"/>
    <m/>
    <x v="1"/>
    <m/>
    <n v="6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tsivavy Ankamena"/>
    <m/>
    <m/>
    <n v="9"/>
    <m/>
    <x v="1"/>
    <m/>
    <n v="6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SAMPONA"/>
    <s v="Ankilibe Vahavola"/>
    <m/>
    <m/>
    <n v="15"/>
    <m/>
    <x v="1"/>
    <m/>
    <n v="6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bahy Ianakafy"/>
    <m/>
    <m/>
    <n v="3"/>
    <m/>
    <x v="1"/>
    <m/>
    <n v="6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nindra"/>
    <m/>
    <m/>
    <n v="22"/>
    <m/>
    <x v="1"/>
    <m/>
    <n v="6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limanara"/>
    <m/>
    <m/>
    <n v="34"/>
    <m/>
    <x v="1"/>
    <m/>
    <n v="6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limitraha"/>
    <m/>
    <m/>
    <n v="18"/>
    <m/>
    <x v="1"/>
    <m/>
    <n v="6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BEHARA"/>
    <s v="Behara bas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rikirika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davabaza"/>
    <m/>
    <m/>
    <n v="17"/>
    <m/>
    <x v="1"/>
    <m/>
    <n v="6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faitsy"/>
    <m/>
    <m/>
    <n v="12"/>
    <m/>
    <x v="1"/>
    <m/>
    <n v="6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hara Haut"/>
    <m/>
    <m/>
    <n v="24"/>
    <m/>
    <x v="1"/>
    <m/>
    <n v="6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renty"/>
    <m/>
    <m/>
    <n v="8"/>
    <m/>
    <x v="1"/>
    <m/>
    <n v="6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TANANDAVA SUD"/>
    <s v="Vohibary"/>
    <m/>
    <m/>
    <n v="10"/>
    <m/>
    <x v="1"/>
    <m/>
    <n v="6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anambe"/>
    <m/>
    <m/>
    <n v="6"/>
    <m/>
    <x v="1"/>
    <m/>
    <n v="6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tsovela SAMA"/>
    <m/>
    <m/>
    <n v="19"/>
    <m/>
    <x v="1"/>
    <m/>
    <n v="6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mbatomena"/>
    <m/>
    <m/>
    <n v="36"/>
    <m/>
    <x v="1"/>
    <m/>
    <n v="6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aroloha"/>
    <m/>
    <m/>
    <n v="2"/>
    <m/>
    <x v="1"/>
    <m/>
    <n v="60"/>
    <m/>
    <m/>
    <m/>
    <m/>
    <m/>
    <m/>
    <m/>
    <n v="1.2E-2"/>
    <m/>
    <m/>
    <m/>
    <m/>
    <n v="1.2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s v="AMBOASARY SUD"/>
    <s v="Ampihamy/ Behabobo"/>
    <m/>
    <m/>
    <n v="20"/>
    <m/>
    <x v="1"/>
    <m/>
    <n v="6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Talakifeno"/>
    <m/>
    <m/>
    <n v="44"/>
    <m/>
    <x v="1"/>
    <m/>
    <n v="60"/>
    <m/>
    <m/>
    <m/>
    <m/>
    <m/>
    <m/>
    <m/>
    <n v="0.26400000000000001"/>
    <m/>
    <m/>
    <m/>
    <m/>
    <n v="0.26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Morafeno/tan"/>
    <m/>
    <m/>
    <n v="40"/>
    <m/>
    <x v="1"/>
    <m/>
    <n v="60"/>
    <m/>
    <m/>
    <m/>
    <m/>
    <m/>
    <m/>
    <m/>
    <n v="0.24"/>
    <m/>
    <m/>
    <m/>
    <m/>
    <n v="0.24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SSM"/>
    <m/>
    <m/>
    <n v="10"/>
    <m/>
    <x v="1"/>
    <m/>
    <n v="6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amena tanantsoa"/>
    <m/>
    <m/>
    <n v="38"/>
    <m/>
    <x v="1"/>
    <m/>
    <n v="60"/>
    <m/>
    <m/>
    <m/>
    <m/>
    <m/>
    <m/>
    <m/>
    <n v="0.22800000000000001"/>
    <m/>
    <m/>
    <m/>
    <m/>
    <n v="0.228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Limby"/>
    <m/>
    <m/>
    <n v="45"/>
    <m/>
    <x v="1"/>
    <m/>
    <n v="60"/>
    <m/>
    <m/>
    <m/>
    <m/>
    <m/>
    <m/>
    <m/>
    <n v="0.27"/>
    <m/>
    <m/>
    <m/>
    <m/>
    <n v="0.27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Ianakafy"/>
    <m/>
    <m/>
    <n v="46"/>
    <m/>
    <x v="1"/>
    <m/>
    <n v="60"/>
    <m/>
    <m/>
    <m/>
    <m/>
    <m/>
    <m/>
    <m/>
    <n v="0.27600000000000002"/>
    <m/>
    <m/>
    <m/>
    <m/>
    <n v="0.276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Ankitry"/>
    <m/>
    <m/>
    <n v="46"/>
    <m/>
    <x v="1"/>
    <m/>
    <n v="60"/>
    <m/>
    <m/>
    <m/>
    <m/>
    <m/>
    <m/>
    <m/>
    <n v="0.27600000000000002"/>
    <m/>
    <m/>
    <m/>
    <m/>
    <n v="0.2760000000000000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Amboasary"/>
    <s v="ORN ANOSY"/>
    <m/>
    <s v="Belitsaka"/>
    <m/>
    <m/>
    <n v="13"/>
    <m/>
    <x v="1"/>
    <m/>
    <n v="6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IANABINDA"/>
    <s v="IANABINDA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MELO"/>
    <m/>
    <m/>
    <n v="13"/>
    <m/>
    <x v="1"/>
    <m/>
    <n v="9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TATABE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TANIMAINTY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KAROKA TOBY"/>
    <m/>
    <m/>
    <n v="29"/>
    <m/>
    <x v="1"/>
    <m/>
    <n v="90"/>
    <m/>
    <m/>
    <m/>
    <m/>
    <m/>
    <m/>
    <m/>
    <n v="0.26100000000000001"/>
    <m/>
    <m/>
    <m/>
    <m/>
    <n v="0.26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FENOARIVO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VAHO IANABIND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VORONKAFOTRA"/>
    <m/>
    <m/>
    <n v="26"/>
    <m/>
    <x v="1"/>
    <m/>
    <n v="9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BEKOROBO"/>
    <s v="ITROHO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KOROBO(Manandrotsy)"/>
    <m/>
    <m/>
    <n v="49"/>
    <m/>
    <x v="1"/>
    <m/>
    <n v="90"/>
    <m/>
    <m/>
    <m/>
    <m/>
    <m/>
    <m/>
    <m/>
    <n v="0.441"/>
    <m/>
    <m/>
    <m/>
    <m/>
    <n v="0.44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NANOVY"/>
    <m/>
    <m/>
    <n v="26"/>
    <m/>
    <x v="1"/>
    <m/>
    <n v="90"/>
    <m/>
    <m/>
    <m/>
    <m/>
    <m/>
    <m/>
    <m/>
    <n v="0.23400000000000001"/>
    <m/>
    <m/>
    <m/>
    <m/>
    <n v="0.234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NINGAVAHATSY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ALAMBY"/>
    <m/>
    <m/>
    <n v="19"/>
    <m/>
    <x v="1"/>
    <m/>
    <n v="9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MBATOMENA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ISOANALA"/>
    <s v="BETAIMBALA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ROVALA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ARO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LAVALILA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SOANALA NORD"/>
    <m/>
    <m/>
    <n v="19"/>
    <m/>
    <x v="1"/>
    <m/>
    <n v="9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NONOKY(Isoanala)"/>
    <m/>
    <m/>
    <n v="5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RAKETA SUD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ROK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RAGIRAGY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TANANDAVA SUD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VOHITSEVO"/>
    <m/>
    <m/>
    <n v="15"/>
    <m/>
    <x v="1"/>
    <m/>
    <n v="9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SOANALA SUD"/>
    <m/>
    <m/>
    <n v="24"/>
    <m/>
    <x v="1"/>
    <m/>
    <n v="90"/>
    <m/>
    <m/>
    <m/>
    <m/>
    <m/>
    <m/>
    <m/>
    <n v="0.216"/>
    <m/>
    <m/>
    <m/>
    <m/>
    <n v="0.21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TANAMBAO"/>
    <m/>
    <m/>
    <n v="18"/>
    <m/>
    <x v="1"/>
    <m/>
    <n v="9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SARODRANO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ANALAMARY"/>
    <s v="ANALAMAR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PIA"/>
    <m/>
    <m/>
    <n v="25"/>
    <m/>
    <x v="1"/>
    <m/>
    <n v="9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NOMBO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RORA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SAMBALAH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ABORANO(Analamary) 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MAHABO"/>
    <s v="RIANDAMPY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KENIHENY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ADABO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NEVY"/>
    <m/>
    <m/>
    <n v="3"/>
    <m/>
    <x v="1"/>
    <m/>
    <n v="90"/>
    <m/>
    <m/>
    <m/>
    <m/>
    <m/>
    <m/>
    <m/>
    <n v="2.7E-2"/>
    <m/>
    <m/>
    <m/>
    <m/>
    <n v="2.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HABO(BENONOKY)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NDABE"/>
    <m/>
    <m/>
    <n v="1"/>
    <m/>
    <x v="1"/>
    <m/>
    <n v="90"/>
    <m/>
    <m/>
    <m/>
    <m/>
    <m/>
    <m/>
    <m/>
    <n v="8.9999999999999993E-3"/>
    <m/>
    <m/>
    <m/>
    <m/>
    <n v="8.9999999999999993E-3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RANOMENA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ABORANO(Mahabo)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IANAKAFY"/>
    <s v="APANDRATOLON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HAZOFOTS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ANAKAFY/ANKATRAFAY"/>
    <m/>
    <m/>
    <n v="20"/>
    <m/>
    <x v="1"/>
    <m/>
    <n v="90"/>
    <m/>
    <m/>
    <m/>
    <m/>
    <m/>
    <m/>
    <m/>
    <n v="0.18"/>
    <m/>
    <m/>
    <m/>
    <m/>
    <n v="0.1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HASOA OUEST"/>
    <m/>
    <m/>
    <n v="5"/>
    <m/>
    <x v="1"/>
    <m/>
    <n v="9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TANANDAVA OUEST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KININY"/>
    <m/>
    <m/>
    <n v="7"/>
    <m/>
    <x v="1"/>
    <m/>
    <n v="9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VOHITELO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MBONGO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MBATOMIALA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KAS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KILIMARY"/>
    <m/>
    <m/>
    <n v="10"/>
    <m/>
    <x v="1"/>
    <m/>
    <n v="90"/>
    <m/>
    <m/>
    <m/>
    <m/>
    <m/>
    <m/>
    <m/>
    <n v="0.09"/>
    <m/>
    <m/>
    <m/>
    <m/>
    <n v="0.0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VAHO IANAKAFY"/>
    <m/>
    <m/>
    <n v="3"/>
    <m/>
    <x v="1"/>
    <m/>
    <n v="90"/>
    <m/>
    <m/>
    <m/>
    <m/>
    <m/>
    <m/>
    <m/>
    <n v="2.7E-2"/>
    <m/>
    <m/>
    <m/>
    <m/>
    <n v="2.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SAKAMAHILY"/>
    <s v="AMBINANY SUD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SAKAMAHILY OUEST"/>
    <m/>
    <m/>
    <n v="9"/>
    <m/>
    <x v="1"/>
    <m/>
    <n v="9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MBARARATA NORD(Antanimainty)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AHASOA NORD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NDOHARANO"/>
    <m/>
    <m/>
    <n v="6"/>
    <m/>
    <x v="1"/>
    <m/>
    <n v="90"/>
    <m/>
    <m/>
    <m/>
    <m/>
    <m/>
    <m/>
    <m/>
    <n v="5.3999999999999999E-2"/>
    <m/>
    <m/>
    <m/>
    <m/>
    <n v="5.3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AMBATOMIVARY"/>
    <s v="MITSINJO"/>
    <m/>
    <m/>
    <n v="4"/>
    <m/>
    <x v="1"/>
    <m/>
    <n v="90"/>
    <m/>
    <m/>
    <m/>
    <m/>
    <m/>
    <m/>
    <m/>
    <n v="3.5999999999999997E-2"/>
    <m/>
    <m/>
    <m/>
    <m/>
    <n v="3.5999999999999997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VOHITRAMBOA"/>
    <m/>
    <m/>
    <n v="8"/>
    <m/>
    <x v="1"/>
    <m/>
    <n v="90"/>
    <m/>
    <m/>
    <m/>
    <m/>
    <m/>
    <m/>
    <m/>
    <n v="7.1999999999999995E-2"/>
    <m/>
    <m/>
    <m/>
    <m/>
    <n v="7.1999999999999995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NANARENA BESAKOA"/>
    <s v="NANARENA BESAKOA"/>
    <m/>
    <m/>
    <n v="78"/>
    <m/>
    <x v="1"/>
    <m/>
    <n v="90"/>
    <m/>
    <m/>
    <m/>
    <m/>
    <m/>
    <m/>
    <m/>
    <n v="0.70199999999999996"/>
    <m/>
    <m/>
    <m/>
    <m/>
    <n v="0.7019999999999999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TANANDAVA"/>
    <m/>
    <m/>
    <n v="16"/>
    <m/>
    <x v="1"/>
    <m/>
    <n v="9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s v="BENATO TOBY"/>
    <s v="BENATO TOBY"/>
    <m/>
    <m/>
    <n v="13"/>
    <m/>
    <x v="1"/>
    <m/>
    <n v="9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AMBATOVITA"/>
    <m/>
    <m/>
    <n v="12"/>
    <m/>
    <x v="1"/>
    <m/>
    <n v="9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SAMBALAHY"/>
    <m/>
    <m/>
    <n v="2"/>
    <m/>
    <x v="1"/>
    <m/>
    <n v="90"/>
    <m/>
    <m/>
    <m/>
    <m/>
    <m/>
    <m/>
    <m/>
    <n v="1.7999999999999999E-2"/>
    <m/>
    <m/>
    <m/>
    <m/>
    <n v="1.7999999999999999E-2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BEPEHA"/>
    <m/>
    <m/>
    <n v="14"/>
    <m/>
    <x v="1"/>
    <m/>
    <n v="9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IVOHITSOA"/>
    <m/>
    <m/>
    <n v="29"/>
    <m/>
    <x v="1"/>
    <m/>
    <n v="90"/>
    <m/>
    <m/>
    <m/>
    <m/>
    <m/>
    <m/>
    <m/>
    <n v="0.26100000000000001"/>
    <m/>
    <m/>
    <m/>
    <m/>
    <n v="0.26100000000000001"/>
    <m/>
    <m/>
  </r>
  <r>
    <x v="0"/>
    <n v="2024"/>
    <x v="2"/>
    <s v="Nutrition"/>
    <x v="6"/>
    <s v="URT_MAM:Treatment of moderate acute malnutrition"/>
    <m/>
    <m/>
    <s v="Ambovombe"/>
    <x v="0"/>
    <s v="Taolagnaro"/>
    <s v="Anosy"/>
    <s v="betroka"/>
    <s v="ORN ANOSY"/>
    <m/>
    <s v="MORAFENO"/>
    <m/>
    <m/>
    <n v="21"/>
    <m/>
    <x v="1"/>
    <m/>
    <n v="9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HITA"/>
    <s v="Ambahita centrale"/>
    <n v="39"/>
    <m/>
    <n v="3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HITA"/>
    <s v="Ampany/ Androtsy"/>
    <n v="36"/>
    <m/>
    <n v="27"/>
    <m/>
    <x v="1"/>
    <m/>
    <n v="30"/>
    <m/>
    <m/>
    <m/>
    <m/>
    <m/>
    <m/>
    <m/>
    <n v="0.108"/>
    <m/>
    <m/>
    <m/>
    <m/>
    <n v="0.108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HITA"/>
    <s v="Andranomatavy"/>
    <n v="22"/>
    <m/>
    <n v="14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HITA"/>
    <s v="Beamalo"/>
    <n v="29"/>
    <m/>
    <n v="33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MAINTY"/>
    <s v="Anarabe II"/>
    <n v="52"/>
    <m/>
    <n v="6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MAINTY"/>
    <s v="Ambatomainty"/>
    <n v="52"/>
    <m/>
    <n v="5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SOLA"/>
    <s v="Ambatosola Centre"/>
    <n v="49"/>
    <m/>
    <n v="58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SOLA"/>
    <s v="Anadabolava"/>
    <n v="52"/>
    <m/>
    <n v="57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SOLA"/>
    <s v="Esaka"/>
    <n v="35"/>
    <m/>
    <n v="36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MBATOSOLA"/>
    <s v="Mandabe"/>
    <n v="44"/>
    <m/>
    <n v="53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IVORANO MITSINJO"/>
    <s v="Anivorano Mitsinjo"/>
    <n v="75"/>
    <m/>
    <n v="84"/>
    <m/>
    <x v="1"/>
    <m/>
    <n v="30"/>
    <m/>
    <m/>
    <m/>
    <m/>
    <m/>
    <m/>
    <m/>
    <n v="0.22500000000000001"/>
    <m/>
    <m/>
    <m/>
    <m/>
    <n v="0.22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IVORANO MITSINJO"/>
    <s v="Antanimena"/>
    <n v="63"/>
    <m/>
    <n v="58"/>
    <m/>
    <x v="1"/>
    <m/>
    <n v="30"/>
    <m/>
    <m/>
    <m/>
    <m/>
    <m/>
    <m/>
    <m/>
    <n v="0.189"/>
    <m/>
    <m/>
    <m/>
    <m/>
    <n v="0.18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IVORANO MITSINJO"/>
    <s v="Ankilemivory Esogny"/>
    <n v="57"/>
    <m/>
    <n v="74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JA-NORD"/>
    <s v="Anja-Nord"/>
    <n v="34"/>
    <m/>
    <n v="47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JA-NORD"/>
    <s v="Besandraha"/>
    <n v="38"/>
    <m/>
    <n v="50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JA-NORD"/>
    <s v="Mikaikarivo I"/>
    <n v="38"/>
    <m/>
    <n v="40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JA-NORD"/>
    <s v="Ankatsakatsa "/>
    <n v="27"/>
    <m/>
    <n v="43"/>
    <m/>
    <x v="1"/>
    <m/>
    <n v="30"/>
    <m/>
    <m/>
    <m/>
    <m/>
    <m/>
    <m/>
    <m/>
    <n v="8.1000000000000003E-2"/>
    <m/>
    <m/>
    <m/>
    <m/>
    <n v="8.1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Vohimary II"/>
    <n v="39"/>
    <m/>
    <n v="58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Andriabe"/>
    <n v="35"/>
    <m/>
    <n v="41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Andranomanitsy"/>
    <n v="45"/>
    <m/>
    <n v="38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Ambinanivelo"/>
    <n v="37"/>
    <m/>
    <n v="50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Ankaranabo Nord Centre"/>
    <n v="20"/>
    <m/>
    <n v="51"/>
    <m/>
    <x v="1"/>
    <m/>
    <n v="30"/>
    <m/>
    <m/>
    <m/>
    <m/>
    <m/>
    <m/>
    <m/>
    <n v="0.06"/>
    <m/>
    <m/>
    <m/>
    <m/>
    <n v="0.0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Vohimary I"/>
    <n v="33"/>
    <m/>
    <n v="54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KARANABO NORD"/>
    <s v="Anarabe I"/>
    <n v="69"/>
    <m/>
    <n v="68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TSAKOAMARO"/>
    <s v="Antsakoamaro"/>
    <n v="69"/>
    <m/>
    <n v="59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ANTSAKOAMARO"/>
    <s v="Ankazota"/>
    <n v="35"/>
    <m/>
    <n v="43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Andamilamy"/>
    <n v="37"/>
    <m/>
    <n v="29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Befangitsy"/>
    <n v="68"/>
    <m/>
    <n v="88"/>
    <m/>
    <x v="1"/>
    <m/>
    <n v="30"/>
    <m/>
    <m/>
    <m/>
    <m/>
    <m/>
    <m/>
    <m/>
    <n v="0.20399999999999999"/>
    <m/>
    <m/>
    <m/>
    <m/>
    <n v="0.20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Ambatomainty"/>
    <n v="28"/>
    <m/>
    <n v="43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Ankaboa"/>
    <n v="34"/>
    <m/>
    <n v="54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Ankiliarivo"/>
    <n v="52"/>
    <m/>
    <n v="51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Ankilemiary"/>
    <n v="45"/>
    <m/>
    <n v="50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Menambahy I"/>
    <n v="83"/>
    <m/>
    <n v="104"/>
    <m/>
    <x v="1"/>
    <m/>
    <n v="30"/>
    <m/>
    <m/>
    <m/>
    <m/>
    <m/>
    <m/>
    <m/>
    <n v="0.249"/>
    <m/>
    <m/>
    <m/>
    <m/>
    <n v="0.24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Marovaho-Bas"/>
    <n v="42"/>
    <m/>
    <n v="42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Marovaho Haut"/>
    <n v="48"/>
    <m/>
    <n v="48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KITRO"/>
    <s v="Miary Haut"/>
    <n v="39"/>
    <m/>
    <n v="29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Ampanamperandrotsy"/>
    <n v="53"/>
    <m/>
    <n v="36"/>
    <m/>
    <x v="1"/>
    <m/>
    <n v="30"/>
    <m/>
    <m/>
    <m/>
    <m/>
    <m/>
    <m/>
    <m/>
    <n v="0.159"/>
    <m/>
    <m/>
    <m/>
    <m/>
    <n v="0.15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Tanantsoa"/>
    <n v="34"/>
    <m/>
    <n v="37"/>
    <m/>
    <x v="1"/>
    <m/>
    <n v="30"/>
    <m/>
    <m/>
    <m/>
    <m/>
    <m/>
    <m/>
    <m/>
    <n v="0.10199999999999999"/>
    <m/>
    <m/>
    <m/>
    <m/>
    <n v="0.101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Andranomavo"/>
    <n v="50"/>
    <m/>
    <n v="38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Belindo "/>
    <n v="56"/>
    <m/>
    <n v="46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Ankininy"/>
    <n v="48"/>
    <m/>
    <n v="46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LINDO MAHASOA"/>
    <s v="Ambasy"/>
    <n v="50"/>
    <m/>
    <n v="42"/>
    <m/>
    <x v="1"/>
    <m/>
    <n v="30"/>
    <m/>
    <m/>
    <m/>
    <m/>
    <m/>
    <m/>
    <m/>
    <n v="0.15"/>
    <m/>
    <m/>
    <m/>
    <m/>
    <n v="0.1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Beraketa I"/>
    <n v="45"/>
    <m/>
    <n v="74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Beraketa II"/>
    <n v="45"/>
    <m/>
    <n v="62"/>
    <m/>
    <x v="1"/>
    <m/>
    <n v="30"/>
    <m/>
    <m/>
    <m/>
    <m/>
    <m/>
    <m/>
    <m/>
    <n v="0.13500000000000001"/>
    <m/>
    <m/>
    <m/>
    <m/>
    <n v="0.13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Amboasary"/>
    <n v="57"/>
    <m/>
    <n v="57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Ifarantsa"/>
    <n v="35"/>
    <m/>
    <n v="50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Besakoa ifarantsa"/>
    <n v="31"/>
    <m/>
    <n v="42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Ampandrandava"/>
    <n v="74"/>
    <m/>
    <n v="56"/>
    <m/>
    <x v="1"/>
    <m/>
    <n v="30"/>
    <m/>
    <m/>
    <m/>
    <m/>
    <m/>
    <m/>
    <m/>
    <n v="0.222"/>
    <m/>
    <m/>
    <m/>
    <m/>
    <n v="0.22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Antsely"/>
    <n v="43"/>
    <m/>
    <n v="68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Ambalasaraka"/>
    <n v="46"/>
    <m/>
    <n v="51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RAKETA"/>
    <s v="Ambondrombe"/>
    <n v="46"/>
    <m/>
    <n v="63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SAKOA"/>
    <s v="Besakoa Centrale"/>
    <n v="37"/>
    <m/>
    <n v="20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SAKOA"/>
    <s v="Fenoarivo I"/>
    <n v="16"/>
    <m/>
    <n v="41"/>
    <m/>
    <x v="1"/>
    <m/>
    <n v="3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SAKOA"/>
    <s v="Mahasoa Vohintany"/>
    <n v="35"/>
    <m/>
    <n v="4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SAKOA"/>
    <s v="Ampany Anivorano"/>
    <n v="33"/>
    <m/>
    <n v="24"/>
    <m/>
    <x v="1"/>
    <m/>
    <n v="30"/>
    <m/>
    <m/>
    <m/>
    <m/>
    <m/>
    <m/>
    <m/>
    <n v="9.9000000000000005E-2"/>
    <m/>
    <m/>
    <m/>
    <m/>
    <n v="9.9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SAKOA"/>
    <s v="Besohihy"/>
    <n v="14"/>
    <m/>
    <n v="27"/>
    <m/>
    <x v="1"/>
    <m/>
    <n v="30"/>
    <m/>
    <m/>
    <m/>
    <m/>
    <m/>
    <m/>
    <m/>
    <n v="4.2000000000000003E-2"/>
    <m/>
    <m/>
    <m/>
    <m/>
    <n v="4.2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TEZA"/>
    <s v="Beteza Centrale"/>
    <n v="52"/>
    <m/>
    <n v="64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TEZA"/>
    <s v="Ankilivalo Haut"/>
    <n v="49"/>
    <m/>
    <n v="47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TEZA"/>
    <s v="Antsosa I"/>
    <n v="39"/>
    <m/>
    <n v="57"/>
    <m/>
    <x v="1"/>
    <m/>
    <n v="30"/>
    <m/>
    <m/>
    <m/>
    <m/>
    <m/>
    <m/>
    <m/>
    <n v="0.11700000000000001"/>
    <m/>
    <m/>
    <m/>
    <m/>
    <n v="0.117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TEZA"/>
    <s v="Ankarenantsoa"/>
    <n v="57"/>
    <m/>
    <n v="66"/>
    <m/>
    <x v="1"/>
    <m/>
    <n v="30"/>
    <m/>
    <m/>
    <m/>
    <m/>
    <m/>
    <m/>
    <m/>
    <n v="0.17100000000000001"/>
    <m/>
    <m/>
    <m/>
    <m/>
    <n v="0.171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TEZA"/>
    <s v="Pelaraiky"/>
    <n v="15"/>
    <m/>
    <n v="54"/>
    <m/>
    <x v="1"/>
    <m/>
    <n v="30"/>
    <m/>
    <m/>
    <m/>
    <m/>
    <m/>
    <m/>
    <m/>
    <n v="4.4999999999999998E-2"/>
    <m/>
    <m/>
    <m/>
    <m/>
    <n v="4.4999999999999998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Bevitiky Centre"/>
    <n v="55"/>
    <m/>
    <n v="77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Anaviavy"/>
    <n v="48"/>
    <m/>
    <n v="72"/>
    <m/>
    <x v="1"/>
    <m/>
    <n v="30"/>
    <m/>
    <m/>
    <m/>
    <m/>
    <m/>
    <m/>
    <m/>
    <n v="0.14399999999999999"/>
    <m/>
    <m/>
    <m/>
    <m/>
    <n v="0.14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Andaro"/>
    <n v="40"/>
    <m/>
    <n v="59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Antsatra"/>
    <n v="31"/>
    <m/>
    <n v="54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Befamonty"/>
    <n v="40"/>
    <m/>
    <n v="36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Anjatakary"/>
    <n v="35"/>
    <m/>
    <n v="29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Tsioga Vohimary"/>
    <n v="49"/>
    <m/>
    <n v="46"/>
    <m/>
    <x v="1"/>
    <m/>
    <n v="30"/>
    <m/>
    <m/>
    <m/>
    <m/>
    <m/>
    <m/>
    <m/>
    <n v="0.14699999999999999"/>
    <m/>
    <m/>
    <m/>
    <m/>
    <n v="0.14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BEVITIKY"/>
    <s v="Vatoarivo"/>
    <n v="40"/>
    <m/>
    <n v="42"/>
    <m/>
    <x v="1"/>
    <m/>
    <n v="30"/>
    <m/>
    <m/>
    <m/>
    <m/>
    <m/>
    <m/>
    <m/>
    <n v="0.12"/>
    <m/>
    <m/>
    <m/>
    <m/>
    <n v="0.1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MANAKOMPY"/>
    <n v="22"/>
    <m/>
    <n v="34"/>
    <m/>
    <x v="1"/>
    <m/>
    <n v="30"/>
    <m/>
    <m/>
    <m/>
    <m/>
    <m/>
    <m/>
    <m/>
    <n v="6.6000000000000003E-2"/>
    <m/>
    <m/>
    <m/>
    <m/>
    <n v="6.600000000000000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ANKILISOASOMANGY"/>
    <n v="31"/>
    <m/>
    <n v="31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AMBORIGNABO"/>
    <n v="28"/>
    <m/>
    <n v="26"/>
    <m/>
    <x v="1"/>
    <m/>
    <n v="30"/>
    <m/>
    <m/>
    <m/>
    <m/>
    <m/>
    <m/>
    <m/>
    <n v="8.4000000000000005E-2"/>
    <m/>
    <m/>
    <m/>
    <m/>
    <n v="8.4000000000000005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MAIKANDRO"/>
    <n v="21"/>
    <m/>
    <n v="40"/>
    <m/>
    <x v="1"/>
    <m/>
    <n v="30"/>
    <m/>
    <m/>
    <m/>
    <m/>
    <m/>
    <m/>
    <m/>
    <n v="6.3E-2"/>
    <m/>
    <m/>
    <m/>
    <m/>
    <n v="6.3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ANJA OUEST"/>
    <n v="16"/>
    <m/>
    <n v="48"/>
    <m/>
    <x v="1"/>
    <m/>
    <n v="30"/>
    <m/>
    <m/>
    <m/>
    <m/>
    <m/>
    <m/>
    <m/>
    <n v="4.8000000000000001E-2"/>
    <m/>
    <m/>
    <m/>
    <m/>
    <n v="4.8000000000000001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NAKOMPY"/>
    <s v="ANKAZOABO"/>
    <n v="43"/>
    <m/>
    <n v="35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Maroviro centre"/>
    <n v="29"/>
    <m/>
    <n v="46"/>
    <m/>
    <x v="1"/>
    <m/>
    <n v="30"/>
    <m/>
    <m/>
    <m/>
    <m/>
    <m/>
    <m/>
    <m/>
    <n v="8.6999999999999994E-2"/>
    <m/>
    <m/>
    <m/>
    <m/>
    <n v="8.6999999999999994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Andriambola nord"/>
    <n v="37"/>
    <m/>
    <n v="54"/>
    <m/>
    <x v="1"/>
    <m/>
    <n v="30"/>
    <m/>
    <m/>
    <m/>
    <m/>
    <m/>
    <m/>
    <m/>
    <n v="0.111"/>
    <m/>
    <m/>
    <m/>
    <m/>
    <n v="0.11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Betaimbala Centre"/>
    <n v="47"/>
    <m/>
    <n v="40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Sakoandroa"/>
    <n v="47"/>
    <m/>
    <n v="44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Akonatsy"/>
    <n v="46"/>
    <m/>
    <n v="62"/>
    <m/>
    <x v="1"/>
    <m/>
    <n v="30"/>
    <m/>
    <m/>
    <m/>
    <m/>
    <m/>
    <m/>
    <m/>
    <n v="0.13800000000000001"/>
    <m/>
    <m/>
    <m/>
    <m/>
    <n v="0.13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Betaimbala Haut"/>
    <n v="31"/>
    <m/>
    <n v="45"/>
    <m/>
    <x v="1"/>
    <m/>
    <n v="30"/>
    <m/>
    <m/>
    <m/>
    <m/>
    <m/>
    <m/>
    <m/>
    <n v="9.2999999999999999E-2"/>
    <m/>
    <m/>
    <m/>
    <m/>
    <n v="9.2999999999999999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AROVIRO"/>
    <s v="Marabory"/>
    <n v="35"/>
    <m/>
    <n v="38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Bedona"/>
    <n v="56"/>
    <m/>
    <n v="39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Befangitsy"/>
    <n v="54"/>
    <m/>
    <n v="47"/>
    <m/>
    <x v="1"/>
    <m/>
    <n v="30"/>
    <m/>
    <m/>
    <m/>
    <m/>
    <m/>
    <m/>
    <m/>
    <n v="0.16200000000000001"/>
    <m/>
    <m/>
    <m/>
    <m/>
    <n v="0.16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Marofany"/>
    <n v="51"/>
    <m/>
    <n v="39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Ambararata Ouest"/>
    <n v="69"/>
    <m/>
    <n v="75"/>
    <m/>
    <x v="1"/>
    <m/>
    <n v="30"/>
    <m/>
    <m/>
    <m/>
    <m/>
    <m/>
    <m/>
    <m/>
    <n v="0.20699999999999999"/>
    <m/>
    <m/>
    <m/>
    <m/>
    <n v="0.206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Mitsinjo"/>
    <n v="42"/>
    <m/>
    <n v="30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Andranomiteraky"/>
    <n v="56"/>
    <m/>
    <n v="32"/>
    <m/>
    <x v="1"/>
    <m/>
    <n v="30"/>
    <m/>
    <m/>
    <m/>
    <m/>
    <m/>
    <m/>
    <m/>
    <n v="0.16800000000000001"/>
    <m/>
    <m/>
    <m/>
    <m/>
    <n v="0.168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Ambohimandroso"/>
    <n v="26"/>
    <m/>
    <n v="57"/>
    <m/>
    <x v="1"/>
    <m/>
    <n v="30"/>
    <m/>
    <m/>
    <m/>
    <m/>
    <m/>
    <m/>
    <m/>
    <n v="7.8E-2"/>
    <m/>
    <m/>
    <m/>
    <m/>
    <n v="7.8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MORAFENO BEKILY"/>
    <s v="Andranomamy"/>
    <n v="35"/>
    <m/>
    <n v="45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MBAO TSIRANDRANY"/>
    <s v="TANAMBAO TSIRANDRANY CENTRE"/>
    <n v="42"/>
    <m/>
    <n v="75"/>
    <m/>
    <x v="1"/>
    <m/>
    <n v="30"/>
    <m/>
    <m/>
    <m/>
    <m/>
    <m/>
    <m/>
    <m/>
    <n v="0.126"/>
    <m/>
    <m/>
    <m/>
    <m/>
    <n v="0.12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MBAO TSIRANDRANY"/>
    <s v="MATSINJO"/>
    <n v="35"/>
    <m/>
    <n v="44"/>
    <m/>
    <x v="1"/>
    <m/>
    <n v="30"/>
    <m/>
    <m/>
    <m/>
    <m/>
    <m/>
    <m/>
    <m/>
    <n v="0.105"/>
    <m/>
    <m/>
    <m/>
    <m/>
    <n v="0.105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MBAO TSIRANDRANY"/>
    <s v="MORAFENO TANANDAVA"/>
    <n v="44"/>
    <m/>
    <n v="53"/>
    <m/>
    <x v="1"/>
    <m/>
    <n v="30"/>
    <m/>
    <m/>
    <m/>
    <m/>
    <m/>
    <m/>
    <m/>
    <n v="0.13200000000000001"/>
    <m/>
    <m/>
    <m/>
    <m/>
    <n v="0.132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NDAVA"/>
    <s v="Sakara Haut"/>
    <n v="32"/>
    <m/>
    <n v="27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NDAVA"/>
    <s v="Sarisambo"/>
    <n v="82"/>
    <m/>
    <n v="35"/>
    <m/>
    <x v="1"/>
    <m/>
    <n v="30"/>
    <m/>
    <m/>
    <m/>
    <m/>
    <m/>
    <m/>
    <m/>
    <n v="0.246"/>
    <m/>
    <m/>
    <m/>
    <m/>
    <n v="0.24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ANANDAVA"/>
    <s v="Anantaka"/>
    <n v="58"/>
    <m/>
    <n v="32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SIKOLAKY"/>
    <s v="ANJATSOA"/>
    <n v="51"/>
    <m/>
    <n v="89"/>
    <m/>
    <x v="1"/>
    <m/>
    <n v="30"/>
    <m/>
    <m/>
    <m/>
    <m/>
    <m/>
    <m/>
    <m/>
    <n v="0.153"/>
    <m/>
    <m/>
    <m/>
    <m/>
    <n v="0.153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SIKOLAKY"/>
    <s v="MAHABO"/>
    <n v="62"/>
    <m/>
    <n v="106"/>
    <m/>
    <x v="1"/>
    <m/>
    <n v="30"/>
    <m/>
    <m/>
    <m/>
    <m/>
    <m/>
    <m/>
    <m/>
    <n v="0.186"/>
    <m/>
    <m/>
    <m/>
    <m/>
    <n v="0.18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SIKOLAKY"/>
    <s v="BELIO HAUT"/>
    <n v="58"/>
    <m/>
    <n v="49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SIKOLAKY"/>
    <s v="TSIKOLAKY"/>
    <n v="55"/>
    <m/>
    <n v="64"/>
    <m/>
    <x v="1"/>
    <m/>
    <n v="30"/>
    <m/>
    <m/>
    <m/>
    <m/>
    <m/>
    <m/>
    <m/>
    <n v="0.16500000000000001"/>
    <m/>
    <m/>
    <m/>
    <m/>
    <n v="0.16500000000000001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TSIKOLAKY"/>
    <s v="ANKILIMILOPAKY"/>
    <n v="58"/>
    <m/>
    <n v="54"/>
    <m/>
    <x v="1"/>
    <m/>
    <n v="30"/>
    <m/>
    <m/>
    <m/>
    <m/>
    <m/>
    <m/>
    <m/>
    <n v="0.17399999999999999"/>
    <m/>
    <m/>
    <m/>
    <m/>
    <n v="0.1739999999999999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VOHIMANGA"/>
    <s v="Vohimanga Centrale"/>
    <n v="43"/>
    <m/>
    <n v="52"/>
    <m/>
    <x v="1"/>
    <m/>
    <n v="30"/>
    <m/>
    <m/>
    <m/>
    <m/>
    <m/>
    <m/>
    <m/>
    <n v="0.129"/>
    <m/>
    <m/>
    <m/>
    <m/>
    <n v="0.129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VOHIMANGA"/>
    <s v="Mahatalaky"/>
    <n v="38"/>
    <m/>
    <n v="32"/>
    <m/>
    <x v="1"/>
    <m/>
    <n v="30"/>
    <m/>
    <m/>
    <m/>
    <m/>
    <m/>
    <m/>
    <m/>
    <n v="0.114"/>
    <m/>
    <m/>
    <m/>
    <m/>
    <n v="0.114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VOHIMANGA"/>
    <s v="Soakijaha"/>
    <n v="52"/>
    <m/>
    <n v="42"/>
    <m/>
    <x v="1"/>
    <m/>
    <n v="30"/>
    <m/>
    <m/>
    <m/>
    <m/>
    <m/>
    <m/>
    <m/>
    <n v="0.156"/>
    <m/>
    <m/>
    <m/>
    <m/>
    <n v="0.156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VOHIMANGA"/>
    <s v="Besamata"/>
    <n v="32"/>
    <m/>
    <n v="47"/>
    <m/>
    <x v="1"/>
    <m/>
    <n v="30"/>
    <m/>
    <m/>
    <m/>
    <m/>
    <m/>
    <m/>
    <m/>
    <n v="9.6000000000000002E-2"/>
    <m/>
    <m/>
    <m/>
    <m/>
    <n v="9.6000000000000002E-2"/>
    <m/>
    <m/>
  </r>
  <r>
    <x v="0"/>
    <n v="2024"/>
    <x v="2"/>
    <s v="Nutrition"/>
    <x v="6"/>
    <s v="URT_MAM:Treatment of moderate acute malnutrition"/>
    <m/>
    <m/>
    <s v="Bekily"/>
    <x v="0"/>
    <s v="Taolagnaro"/>
    <s v="Androy"/>
    <s v="Bekily"/>
    <s v="ORN Androy"/>
    <s v="VOHIMANGA"/>
    <s v="Vohimanga I"/>
    <n v="47"/>
    <m/>
    <n v="44"/>
    <m/>
    <x v="1"/>
    <m/>
    <n v="30"/>
    <m/>
    <m/>
    <m/>
    <m/>
    <m/>
    <m/>
    <m/>
    <n v="0.14099999999999999"/>
    <m/>
    <m/>
    <m/>
    <m/>
    <n v="0.14099999999999999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Andranol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Ambohivo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Sihanadal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Angobeg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Sihanabo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Tiri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Sampez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Tsaniria/Ampatiol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loha"/>
    <s v="Beloha Atsim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heny"/>
    <s v="Antaly/Agn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heny"/>
    <s v="Andrambal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heny"/>
    <s v="Antsaniri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Sakara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Ampanagn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Marobasia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Marohe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Andranotsikio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Behabobo"/>
    <s v="Antane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Ambatotsivala"/>
    <s v="Korong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Ambatotsivala"/>
    <s v="Andingoling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Ambatotsivala"/>
    <s v="Ambatotsiv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Ambatotsivala"/>
    <s v="Ankilivah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Vohibo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Antso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Rerang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Sabok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Andranohere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roa"/>
    <s v="Andamilam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Manombo Tane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Ampot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Marolin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Ambala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Andovoky/Ankileva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Zandro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Lokoari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Marolinta"/>
    <s v="Tanandava/Tesomang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Kopok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mbatofo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njapoty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mpilofi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nanaja/Ananakirihi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ntse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Kopoky"/>
    <s v="Anjad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nkilisina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nkilevalo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nkilevalo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Betaimbo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Tsimilafi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Barab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Masomba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Befama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Lavanon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Vavao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Soamanit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mbazoamilol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Savilinto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gnalal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ndrasek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gnanademb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Nato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ngirazat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Agnirinihamb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Beloha"/>
    <s v="ORN Androy"/>
    <s v="Tranovaho"/>
    <s v="Tranovah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Antaritari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Ambaromano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Ambonai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Anj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Andraketalah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Ihod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Talaky bas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taritarika"/>
    <s v="Beievotse Tanamba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Ambar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Ambanikily Volanki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Andranonagnom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Ankoro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Betaimbor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Mantar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Marovat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Nosy 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Belits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Marovato"/>
    <s v="Soramen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Anatsosa Centr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Ambovoto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Ankilimigah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Besako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Maroaka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Namoi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Tampototse Maromaint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Tampototse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Tanami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Nikoly"/>
    <s v="Tamonto Ankili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Avaradro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Antarant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Ankorako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Anjatsamp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Bevaz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Marohira Su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Marohira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Mahendr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Sakamas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Evaz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Tsihombe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Tsihombe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Tsivorikel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Tsindamb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Antsakoantso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Tsihombe"/>
    <s v="Zafindraval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katamboalav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mpeng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karangota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teny Ouest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kimb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mpi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daza Ampahepot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Behodats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Tanamanj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Tsitind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da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koror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mbaromalano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Anjampaly"/>
    <s v="Antavy Nord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Ambo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Ankilitel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Anja Haut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Ambot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Benono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Ankilimiary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Bem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Faux Cap"/>
    <s v="Tanand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Behazomanga"/>
    <s v="Anjatok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Behazomanga"/>
    <s v="Ankilivalo 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Behazomanga"/>
    <s v="Ankilivalo II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Behazomanga"/>
    <s v="Namotah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Imongy"/>
    <s v="Imongy Terebe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Imongy"/>
    <s v="Marob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Imongy"/>
    <s v="Ankoritsike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Imongy"/>
    <s v="Andramirava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Ambovombe"/>
    <x v="0"/>
    <s v="Taolagnaro"/>
    <s v="Androy"/>
    <s v="Tsihombe"/>
    <s v="ORN Androy"/>
    <s v="Beloha"/>
    <s v="Beloha Atsimo"/>
    <m/>
    <m/>
    <m/>
    <m/>
    <x v="1"/>
    <m/>
    <m/>
    <m/>
    <m/>
    <m/>
    <m/>
    <m/>
    <m/>
    <m/>
    <m/>
    <m/>
    <m/>
    <m/>
    <m/>
    <n v="0"/>
    <m/>
    <m/>
  </r>
  <r>
    <x v="0"/>
    <n v="2024"/>
    <x v="2"/>
    <s v="Nutrition"/>
    <x v="6"/>
    <s v="URT_MAM:Treatment of moderate acute malnutrition"/>
    <m/>
    <m/>
    <s v="Manakara"/>
    <x v="1"/>
    <m/>
    <s v="Fitovinany"/>
    <s v="Ikongo"/>
    <s v="ORN Fitovinany"/>
    <s v="Ikongo"/>
    <s v="Ikongo"/>
    <m/>
    <m/>
    <n v="750"/>
    <m/>
    <x v="1"/>
    <m/>
    <n v="90"/>
    <m/>
    <m/>
    <m/>
    <m/>
    <m/>
    <m/>
    <m/>
    <n v="6.75"/>
    <m/>
    <m/>
    <m/>
    <m/>
    <n v="6.75"/>
    <m/>
    <m/>
  </r>
  <r>
    <x v="0"/>
    <n v="2024"/>
    <x v="2"/>
    <s v="Nutrition"/>
    <x v="6"/>
    <s v="URT_MAM:Treatment of moderate acute malnutrition"/>
    <m/>
    <m/>
    <s v="Manakara"/>
    <x v="1"/>
    <m/>
    <s v="Fitovinany"/>
    <s v="Ikongo"/>
    <s v="ORN Fitovinany"/>
    <s v="Ifanire"/>
    <s v="Ifanire"/>
    <m/>
    <m/>
    <n v="200"/>
    <m/>
    <x v="1"/>
    <m/>
    <n v="90"/>
    <m/>
    <m/>
    <m/>
    <m/>
    <m/>
    <m/>
    <m/>
    <n v="1.8"/>
    <m/>
    <m/>
    <m/>
    <m/>
    <n v="1.8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s v="Befotaka"/>
    <s v="ORN Atsimo Atsinanana"/>
    <s v="Befotaka"/>
    <s v="Befotaka"/>
    <m/>
    <m/>
    <n v="274"/>
    <m/>
    <x v="1"/>
    <m/>
    <n v="90"/>
    <m/>
    <m/>
    <m/>
    <m/>
    <m/>
    <m/>
    <m/>
    <n v="2.4660000000000002"/>
    <m/>
    <m/>
    <m/>
    <m/>
    <n v="2.4660000000000002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s v="Farafangana"/>
    <s v="ORN Atsimo Atsinanana"/>
    <s v="Farafangana"/>
    <s v="Farafangana"/>
    <m/>
    <m/>
    <n v="2825"/>
    <m/>
    <x v="1"/>
    <m/>
    <n v="90"/>
    <m/>
    <m/>
    <m/>
    <m/>
    <m/>
    <m/>
    <m/>
    <n v="25.425000000000001"/>
    <m/>
    <m/>
    <m/>
    <m/>
    <n v="25.425000000000001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s v="Vondrozo"/>
    <s v="ORN Atsimo Atsinanana"/>
    <s v="Vondrozo"/>
    <s v="Vondrozo"/>
    <m/>
    <m/>
    <n v="1321"/>
    <m/>
    <x v="1"/>
    <m/>
    <n v="90"/>
    <m/>
    <m/>
    <m/>
    <m/>
    <m/>
    <m/>
    <m/>
    <n v="11.888999999999999"/>
    <m/>
    <m/>
    <m/>
    <m/>
    <n v="11.888999999999999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s v="Vangaindrano"/>
    <s v="ORN Atsimo Atsinanana"/>
    <s v="Vangaindrano"/>
    <s v="Vangaindrano"/>
    <m/>
    <m/>
    <n v="2075"/>
    <m/>
    <x v="1"/>
    <m/>
    <n v="90"/>
    <m/>
    <m/>
    <m/>
    <m/>
    <m/>
    <m/>
    <m/>
    <n v="18.675000000000001"/>
    <m/>
    <m/>
    <m/>
    <m/>
    <n v="18.675000000000001"/>
    <m/>
    <m/>
  </r>
  <r>
    <x v="0"/>
    <n v="2024"/>
    <x v="2"/>
    <s v="Nutrition"/>
    <x v="6"/>
    <s v="URT_MAM:Treatment of moderate acute malnutrition"/>
    <m/>
    <m/>
    <s v="Manakara"/>
    <x v="1"/>
    <m/>
    <s v="Atsimo Atsinanana"/>
    <s v="Midongy Atsimo"/>
    <s v="ORN Atsimo Atsinanana"/>
    <s v="Midongy"/>
    <s v="Midongy"/>
    <m/>
    <m/>
    <n v="450"/>
    <m/>
    <x v="1"/>
    <m/>
    <n v="90"/>
    <m/>
    <m/>
    <m/>
    <m/>
    <m/>
    <m/>
    <m/>
    <n v="4.05"/>
    <m/>
    <m/>
    <m/>
    <m/>
    <n v="4.05"/>
    <m/>
    <m/>
  </r>
  <r>
    <x v="1"/>
    <n v="2025"/>
    <x v="2"/>
    <s v="Nutrition"/>
    <x v="7"/>
    <s v="PEC FEFA"/>
    <m/>
    <m/>
    <s v="Manakara"/>
    <x v="1"/>
    <s v="Manakara"/>
    <s v="Fitovinany"/>
    <s v="Manakara"/>
    <s v="DRS"/>
    <s v="Manakara"/>
    <s v="Manakara"/>
    <m/>
    <n v="1303.6122750000002"/>
    <n v="1303.6122750000002"/>
    <m/>
    <x v="1"/>
    <m/>
    <n v="30"/>
    <m/>
    <m/>
    <m/>
    <m/>
    <m/>
    <n v="0.97770920625000013"/>
    <m/>
    <m/>
    <n v="9.7770920625000013"/>
    <m/>
    <m/>
    <m/>
    <n v="10.754801268750001"/>
    <m/>
    <m/>
  </r>
  <r>
    <x v="1"/>
    <n v="2025"/>
    <x v="2"/>
    <s v="Nutrition"/>
    <x v="7"/>
    <s v="PEC FEFA"/>
    <m/>
    <m/>
    <s v="Manakara"/>
    <x v="1"/>
    <s v="Manakara"/>
    <s v="Fitovinany"/>
    <s v="Manakara"/>
    <s v="DRS"/>
    <s v="IKONGO"/>
    <s v="IKONGO"/>
    <m/>
    <n v="1252.4223000000002"/>
    <n v="1252.4223000000002"/>
    <m/>
    <x v="1"/>
    <m/>
    <n v="30"/>
    <m/>
    <m/>
    <m/>
    <m/>
    <m/>
    <n v="0.93931672500000019"/>
    <m/>
    <m/>
    <n v="9.3931672500000012"/>
    <m/>
    <m/>
    <m/>
    <n v="10.332483975000001"/>
    <m/>
    <m/>
  </r>
  <r>
    <x v="1"/>
    <n v="2025"/>
    <x v="2"/>
    <s v="Nutrition"/>
    <x v="7"/>
    <s v="PEC FEFA"/>
    <m/>
    <m/>
    <s v="Amboasary"/>
    <x v="0"/>
    <s v="Taolagnaro"/>
    <s v="Anosy"/>
    <s v="Amboasary"/>
    <s v="DRS"/>
    <s v="Amboasary"/>
    <s v="Amboasary"/>
    <m/>
    <n v="2049"/>
    <n v="2049"/>
    <m/>
    <x v="1"/>
    <m/>
    <n v="30"/>
    <m/>
    <m/>
    <m/>
    <m/>
    <m/>
    <n v="1.5367500000000001"/>
    <m/>
    <m/>
    <n v="15.3675"/>
    <m/>
    <m/>
    <m/>
    <n v="16.904250000000001"/>
    <m/>
    <m/>
  </r>
  <r>
    <x v="1"/>
    <n v="2025"/>
    <x v="2"/>
    <s v="Nutrition"/>
    <x v="7"/>
    <s v="PEC FEFA"/>
    <m/>
    <m/>
    <s v="Amboasary"/>
    <x v="0"/>
    <s v="Taolagnaro"/>
    <s v="Anosy"/>
    <s v="betroka"/>
    <s v="DRS"/>
    <s v="Betroka"/>
    <s v="Betroka"/>
    <m/>
    <n v="2595"/>
    <n v="2595"/>
    <m/>
    <x v="1"/>
    <m/>
    <n v="30"/>
    <m/>
    <m/>
    <m/>
    <m/>
    <m/>
    <n v="1.94625"/>
    <m/>
    <m/>
    <n v="19.462499999999999"/>
    <m/>
    <m/>
    <m/>
    <n v="21.408749999999998"/>
    <m/>
    <m/>
  </r>
  <r>
    <x v="2"/>
    <n v="2025"/>
    <x v="2"/>
    <s v="Nutrition"/>
    <x v="7"/>
    <s v="PEC FEFA"/>
    <m/>
    <m/>
    <s v="Manakara"/>
    <x v="1"/>
    <s v="Manakara"/>
    <s v="Fitovinany"/>
    <s v="Manakara"/>
    <s v="DRS"/>
    <s v="Manakara"/>
    <s v="Manakara"/>
    <m/>
    <n v="1303.6122750000002"/>
    <n v="1303.6122750000002"/>
    <m/>
    <x v="1"/>
    <m/>
    <n v="30"/>
    <m/>
    <m/>
    <m/>
    <m/>
    <m/>
    <n v="0.97770920625000013"/>
    <m/>
    <m/>
    <n v="9.7770920625000013"/>
    <m/>
    <m/>
    <m/>
    <n v="10.754801268750001"/>
    <m/>
    <m/>
  </r>
  <r>
    <x v="2"/>
    <n v="2025"/>
    <x v="2"/>
    <s v="Nutrition"/>
    <x v="7"/>
    <s v="PEC FEFA"/>
    <m/>
    <m/>
    <s v="Manakara"/>
    <x v="1"/>
    <s v="Manakara"/>
    <s v="Fitovinany"/>
    <s v="Manakara"/>
    <s v="DRS"/>
    <s v="IKONGO"/>
    <s v="IKONGO"/>
    <m/>
    <n v="1252.4223000000002"/>
    <n v="1252.4223000000002"/>
    <m/>
    <x v="1"/>
    <m/>
    <n v="30"/>
    <m/>
    <m/>
    <m/>
    <m/>
    <m/>
    <n v="0.93931672500000019"/>
    <m/>
    <m/>
    <n v="9.3931672500000012"/>
    <m/>
    <m/>
    <m/>
    <n v="10.332483975000001"/>
    <m/>
    <m/>
  </r>
  <r>
    <x v="2"/>
    <n v="2025"/>
    <x v="2"/>
    <s v="Nutrition"/>
    <x v="7"/>
    <s v="PEC FEFA"/>
    <m/>
    <m/>
    <s v="Amboasary"/>
    <x v="0"/>
    <s v="Taolagnaro"/>
    <s v="Anosy"/>
    <s v="Amboasary"/>
    <s v="DRS"/>
    <s v="Amboasary"/>
    <s v="Amboasary"/>
    <m/>
    <n v="2049"/>
    <n v="2049"/>
    <m/>
    <x v="1"/>
    <m/>
    <n v="30"/>
    <m/>
    <m/>
    <m/>
    <m/>
    <m/>
    <n v="1.5367500000000001"/>
    <m/>
    <m/>
    <n v="15.3675"/>
    <m/>
    <m/>
    <m/>
    <n v="16.904250000000001"/>
    <m/>
    <m/>
  </r>
  <r>
    <x v="2"/>
    <n v="2025"/>
    <x v="2"/>
    <s v="Nutrition"/>
    <x v="7"/>
    <s v="PEC FEFA"/>
    <m/>
    <m/>
    <s v="Amboasary"/>
    <x v="0"/>
    <s v="Taolagnaro"/>
    <s v="Anosy"/>
    <s v="betroka"/>
    <s v="DRS"/>
    <s v="Betroka"/>
    <s v="Betroka"/>
    <m/>
    <n v="2595"/>
    <n v="2595"/>
    <m/>
    <x v="1"/>
    <m/>
    <n v="30"/>
    <m/>
    <m/>
    <m/>
    <m/>
    <m/>
    <n v="1.94625"/>
    <m/>
    <m/>
    <n v="19.462499999999999"/>
    <m/>
    <m/>
    <m/>
    <n v="21.408749999999998"/>
    <m/>
    <m/>
  </r>
  <r>
    <x v="0"/>
    <n v="2024"/>
    <x v="3"/>
    <s v="SMP1"/>
    <x v="8"/>
    <s v="School feeding"/>
    <m/>
    <m/>
    <s v="Antananarivo"/>
    <x v="4"/>
    <m/>
    <s v="Amoron'i Mania"/>
    <s v="AMBOSITRA"/>
    <m/>
    <s v="ANDINA"/>
    <s v="Ampasina"/>
    <m/>
    <m/>
    <n v="312"/>
    <m/>
    <x v="3"/>
    <s v="hybride"/>
    <m/>
    <n v="2.4"/>
    <m/>
    <m/>
    <m/>
    <n v="0.15"/>
    <n v="0.17100000000000001"/>
    <m/>
    <m/>
    <m/>
    <m/>
    <m/>
    <m/>
    <m/>
    <n v="6891456"/>
    <m/>
  </r>
  <r>
    <x v="0"/>
    <n v="2024"/>
    <x v="3"/>
    <s v="SMP1"/>
    <x v="8"/>
    <s v="School feeding"/>
    <m/>
    <m/>
    <s v="Antananarivo"/>
    <x v="4"/>
    <m/>
    <s v="Amoron'i Mania"/>
    <s v="AMBOSITRA"/>
    <m/>
    <s v="ANDINA"/>
    <s v="Ampiterena"/>
    <m/>
    <m/>
    <n v="217"/>
    <m/>
    <x v="3"/>
    <s v="hybride"/>
    <m/>
    <n v="1.65"/>
    <m/>
    <m/>
    <m/>
    <n v="0.1"/>
    <n v="0.1215"/>
    <m/>
    <m/>
    <m/>
    <m/>
    <m/>
    <m/>
    <m/>
    <n v="4793096"/>
    <m/>
  </r>
  <r>
    <x v="0"/>
    <n v="2024"/>
    <x v="3"/>
    <s v="SMP1"/>
    <x v="8"/>
    <s v="School feeding"/>
    <m/>
    <m/>
    <s v="Antananarivo"/>
    <x v="4"/>
    <m/>
    <s v="Amoron'i Mania"/>
    <s v="AMBOSITRA"/>
    <m/>
    <s v="ANDINA"/>
    <s v="Andina"/>
    <m/>
    <m/>
    <n v="470"/>
    <m/>
    <x v="3"/>
    <s v="hybride"/>
    <m/>
    <n v="3.6"/>
    <m/>
    <m/>
    <m/>
    <n v="0.2"/>
    <n v="0.25650000000000001"/>
    <m/>
    <m/>
    <m/>
    <m/>
    <m/>
    <m/>
    <m/>
    <n v="10381360"/>
    <m/>
  </r>
  <r>
    <x v="0"/>
    <n v="2024"/>
    <x v="3"/>
    <s v="SMP1"/>
    <x v="8"/>
    <s v="School feeding"/>
    <m/>
    <m/>
    <s v="Antananarivo"/>
    <x v="4"/>
    <m/>
    <s v="Amoron'i Mania"/>
    <s v="AMBOSITRA"/>
    <m/>
    <s v="ANDINA"/>
    <s v="Tananomby"/>
    <m/>
    <m/>
    <n v="287"/>
    <m/>
    <x v="3"/>
    <s v="hybride"/>
    <m/>
    <n v="2.2000000000000002"/>
    <m/>
    <m/>
    <m/>
    <n v="0.1"/>
    <n v="0.1575"/>
    <m/>
    <m/>
    <m/>
    <m/>
    <m/>
    <m/>
    <m/>
    <n v="6339256"/>
    <m/>
  </r>
  <r>
    <x v="0"/>
    <n v="2024"/>
    <x v="3"/>
    <s v="SMP1"/>
    <x v="8"/>
    <s v="School feeding"/>
    <m/>
    <m/>
    <s v="Antananarivo"/>
    <x v="4"/>
    <m/>
    <s v="Amoron'i Mania"/>
    <s v="AMBOSITRA"/>
    <m/>
    <s v="ANDINA"/>
    <s v="Vohitraivo"/>
    <m/>
    <m/>
    <n v="233"/>
    <m/>
    <x v="3"/>
    <s v="hybride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ntananarivo"/>
    <x v="4"/>
    <m/>
    <s v="Amoron'i Mania"/>
    <s v="AMBOSITRA"/>
    <m/>
    <s v="ANKAZOAMBO"/>
    <s v="Ambatomenaloha"/>
    <m/>
    <m/>
    <n v="222"/>
    <m/>
    <x v="3"/>
    <s v="hybride"/>
    <m/>
    <n v="1.7"/>
    <m/>
    <m/>
    <m/>
    <n v="0.1"/>
    <n v="0.1215"/>
    <m/>
    <m/>
    <m/>
    <m/>
    <m/>
    <m/>
    <m/>
    <n v="4903536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Ambohitsoa"/>
    <m/>
    <m/>
    <n v="77"/>
    <m/>
    <x v="3"/>
    <s v="hybride"/>
    <m/>
    <n v="0.6"/>
    <m/>
    <m/>
    <m/>
    <n v="0.05"/>
    <n v="4.0500000000000001E-2"/>
    <m/>
    <m/>
    <m/>
    <m/>
    <m/>
    <m/>
    <m/>
    <n v="1700776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Ampahipeno"/>
    <m/>
    <m/>
    <n v="221"/>
    <m/>
    <x v="3"/>
    <s v="hybride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Ankorabe"/>
    <m/>
    <m/>
    <n v="73"/>
    <m/>
    <x v="3"/>
    <s v="hybride"/>
    <m/>
    <n v="0.55000000000000004"/>
    <m/>
    <m/>
    <m/>
    <n v="0.05"/>
    <n v="4.0500000000000001E-2"/>
    <m/>
    <m/>
    <m/>
    <m/>
    <m/>
    <m/>
    <m/>
    <n v="1612424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Anovy"/>
    <m/>
    <m/>
    <n v="99"/>
    <m/>
    <x v="3"/>
    <s v="hybride"/>
    <m/>
    <n v="0.75"/>
    <m/>
    <m/>
    <m/>
    <n v="0.05"/>
    <n v="5.3999999999999999E-2"/>
    <m/>
    <m/>
    <m/>
    <m/>
    <m/>
    <m/>
    <m/>
    <n v="2186712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Soamandroso"/>
    <m/>
    <m/>
    <n v="151"/>
    <m/>
    <x v="3"/>
    <s v="hybride"/>
    <m/>
    <n v="1.1499999999999999"/>
    <m/>
    <m/>
    <m/>
    <n v="0.05"/>
    <n v="8.1000000000000003E-2"/>
    <m/>
    <m/>
    <m/>
    <m/>
    <m/>
    <m/>
    <m/>
    <n v="3335288"/>
    <m/>
  </r>
  <r>
    <x v="0"/>
    <n v="2024"/>
    <x v="3"/>
    <s v="SMP1"/>
    <x v="8"/>
    <s v="School feeding"/>
    <m/>
    <m/>
    <s v="Antananarivo"/>
    <x v="4"/>
    <m/>
    <s v="Amoron'i Mania"/>
    <s v="AMBOSITRA"/>
    <m/>
    <s v="FAHIZAY"/>
    <s v="Soanierana Volazato"/>
    <m/>
    <m/>
    <n v="305"/>
    <m/>
    <x v="3"/>
    <s v="hybride"/>
    <m/>
    <n v="2.35"/>
    <m/>
    <m/>
    <m/>
    <n v="0.15"/>
    <n v="0.16650000000000001"/>
    <m/>
    <m/>
    <m/>
    <m/>
    <m/>
    <m/>
    <m/>
    <n v="6736840"/>
    <m/>
  </r>
  <r>
    <x v="0"/>
    <n v="2024"/>
    <x v="3"/>
    <s v="SMP1"/>
    <x v="8"/>
    <s v="School feeding"/>
    <m/>
    <m/>
    <s v="Antananarivo"/>
    <x v="4"/>
    <m/>
    <s v="Amoron'i Mania"/>
    <s v="AMBOSITRA"/>
    <m/>
    <s v="IVATO CENTRE"/>
    <s v="Ivato Centre"/>
    <m/>
    <m/>
    <n v="451"/>
    <m/>
    <x v="3"/>
    <s v="hybride"/>
    <m/>
    <n v="3.45"/>
    <m/>
    <m/>
    <m/>
    <n v="0.15"/>
    <n v="0.2475"/>
    <m/>
    <m/>
    <m/>
    <m/>
    <m/>
    <m/>
    <m/>
    <n v="9961688"/>
    <m/>
  </r>
  <r>
    <x v="0"/>
    <n v="2024"/>
    <x v="3"/>
    <s v="SMP1"/>
    <x v="8"/>
    <s v="School feeding"/>
    <m/>
    <m/>
    <s v="Antananarivo"/>
    <x v="4"/>
    <m/>
    <s v="Amoron'i Mania"/>
    <s v="AMBOSITRA"/>
    <m/>
    <s v="IVATO CENTRE"/>
    <s v="Tsaingy"/>
    <m/>
    <m/>
    <n v="242"/>
    <m/>
    <x v="3"/>
    <s v="hybride"/>
    <m/>
    <n v="1.85"/>
    <m/>
    <m/>
    <m/>
    <n v="0.1"/>
    <n v="0.13500000000000001"/>
    <m/>
    <m/>
    <m/>
    <m/>
    <m/>
    <m/>
    <m/>
    <n v="5345296"/>
    <m/>
  </r>
  <r>
    <x v="0"/>
    <n v="2024"/>
    <x v="3"/>
    <s v="SMP1"/>
    <x v="8"/>
    <s v="School feeding"/>
    <m/>
    <m/>
    <s v="Antananarivo"/>
    <x v="4"/>
    <m/>
    <s v="Amoron'i Mania"/>
    <s v="AMBOSITRA"/>
    <m/>
    <s v="IVONY MIARAMIASA"/>
    <s v="Ivony Firaisantsoa"/>
    <m/>
    <m/>
    <n v="199"/>
    <m/>
    <x v="3"/>
    <s v="hybride"/>
    <m/>
    <n v="1.55"/>
    <m/>
    <m/>
    <m/>
    <n v="0.1"/>
    <n v="0.108"/>
    <m/>
    <m/>
    <m/>
    <m/>
    <m/>
    <m/>
    <m/>
    <n v="4395512"/>
    <m/>
  </r>
  <r>
    <x v="0"/>
    <n v="2024"/>
    <x v="3"/>
    <s v="SMP1"/>
    <x v="8"/>
    <s v="School feeding"/>
    <m/>
    <m/>
    <s v="Antananarivo"/>
    <x v="4"/>
    <m/>
    <s v="Amoron'i Mania"/>
    <s v="AMBOSITRA"/>
    <m/>
    <s v="IVONY MIARAMIASA"/>
    <s v="Maintitondro"/>
    <m/>
    <m/>
    <n v="223"/>
    <m/>
    <x v="3"/>
    <s v="hybride"/>
    <m/>
    <n v="1.7"/>
    <m/>
    <m/>
    <m/>
    <n v="0.1"/>
    <n v="0.1215"/>
    <m/>
    <m/>
    <m/>
    <m/>
    <m/>
    <m/>
    <m/>
    <n v="4925624"/>
    <m/>
  </r>
  <r>
    <x v="0"/>
    <n v="2024"/>
    <x v="3"/>
    <s v="SMP1"/>
    <x v="8"/>
    <s v="School feeding"/>
    <m/>
    <m/>
    <s v="Antananarivo"/>
    <x v="4"/>
    <m/>
    <s v="Amoron'i Mania"/>
    <s v="AMBOSITRA"/>
    <m/>
    <s v="AMBOSITRA"/>
    <s v="Andriamanalina"/>
    <m/>
    <m/>
    <n v="767"/>
    <m/>
    <x v="3"/>
    <s v="hybride"/>
    <m/>
    <n v="5.9"/>
    <m/>
    <m/>
    <m/>
    <n v="0.3"/>
    <n v="0.42299999999999999"/>
    <m/>
    <m/>
    <m/>
    <m/>
    <m/>
    <m/>
    <m/>
    <n v="16941496"/>
    <m/>
  </r>
  <r>
    <x v="0"/>
    <n v="2024"/>
    <x v="3"/>
    <s v="SMP1"/>
    <x v="8"/>
    <s v="School feeding"/>
    <m/>
    <m/>
    <s v="Antananarivo"/>
    <x v="4"/>
    <m/>
    <s v="Amoron'i Mania"/>
    <s v="AMBOSITRA"/>
    <m/>
    <s v="AMBOSITRA"/>
    <s v="Antoetra"/>
    <m/>
    <m/>
    <n v="157"/>
    <m/>
    <x v="3"/>
    <s v="hybride"/>
    <m/>
    <n v="1.2"/>
    <m/>
    <m/>
    <m/>
    <n v="0.1"/>
    <n v="8.5500000000000007E-2"/>
    <m/>
    <m/>
    <m/>
    <m/>
    <m/>
    <m/>
    <m/>
    <n v="3467816"/>
    <m/>
  </r>
  <r>
    <x v="0"/>
    <n v="2024"/>
    <x v="3"/>
    <s v="SMP1"/>
    <x v="8"/>
    <s v="School feeding"/>
    <m/>
    <m/>
    <s v="Antananarivo"/>
    <x v="4"/>
    <m/>
    <s v="Amoron'i Mania"/>
    <s v="AMBOSITRA"/>
    <m/>
    <s v="AMBOSITRA"/>
    <s v="Tanetibe"/>
    <m/>
    <m/>
    <n v="302"/>
    <m/>
    <x v="3"/>
    <s v="hybride"/>
    <m/>
    <n v="2.35"/>
    <m/>
    <m/>
    <m/>
    <n v="0.1"/>
    <n v="0.16650000000000001"/>
    <m/>
    <m/>
    <m/>
    <m/>
    <m/>
    <m/>
    <m/>
    <n v="6670576"/>
    <m/>
  </r>
  <r>
    <x v="0"/>
    <n v="2024"/>
    <x v="3"/>
    <s v="SMP1"/>
    <x v="8"/>
    <s v="School feeding"/>
    <m/>
    <m/>
    <s v="Antananarivo"/>
    <x v="4"/>
    <m/>
    <s v="Amoron'i Mania"/>
    <s v="AMBOSITRA"/>
    <m/>
    <s v="AMBOSITRA"/>
    <s v="Vatovory"/>
    <m/>
    <m/>
    <n v="513"/>
    <m/>
    <x v="3"/>
    <s v="hybride"/>
    <m/>
    <n v="3.95"/>
    <m/>
    <m/>
    <m/>
    <n v="0.2"/>
    <n v="0.28349999999999997"/>
    <m/>
    <m/>
    <m/>
    <m/>
    <m/>
    <m/>
    <m/>
    <n v="11331144"/>
    <m/>
  </r>
  <r>
    <x v="0"/>
    <n v="2024"/>
    <x v="3"/>
    <s v="SMP1"/>
    <x v="8"/>
    <s v="School feeding"/>
    <m/>
    <m/>
    <s v="Antananarivo"/>
    <x v="4"/>
    <m/>
    <s v="Analamanga"/>
    <s v="MANANDRIANA"/>
    <m/>
    <s v="ANDAKATANIKELY"/>
    <s v="Kianjavola"/>
    <m/>
    <m/>
    <n v="286"/>
    <m/>
    <x v="3"/>
    <s v="hybride"/>
    <m/>
    <n v="2.2000000000000002"/>
    <m/>
    <m/>
    <m/>
    <n v="0.1"/>
    <n v="0.1575"/>
    <m/>
    <m/>
    <m/>
    <m/>
    <m/>
    <m/>
    <m/>
    <n v="6317168"/>
    <m/>
  </r>
  <r>
    <x v="0"/>
    <n v="2024"/>
    <x v="3"/>
    <s v="SMP1"/>
    <x v="8"/>
    <s v="School feeding"/>
    <m/>
    <m/>
    <s v="Antananarivo"/>
    <x v="4"/>
    <m/>
    <s v="Analamanga"/>
    <s v="MANANDRIANA"/>
    <m/>
    <s v="ANDAKATANIKELY"/>
    <s v="Soalazaina"/>
    <m/>
    <m/>
    <n v="233"/>
    <m/>
    <x v="3"/>
    <s v="hybride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ntananarivo"/>
    <x v="4"/>
    <m/>
    <s v="Vakinakaratra"/>
    <s v="ANTSIRABE II"/>
    <m/>
    <s v="ALAKAMISY"/>
    <s v="EPP MAHABODO"/>
    <m/>
    <m/>
    <n v="161"/>
    <m/>
    <x v="3"/>
    <s v="HGSF"/>
    <m/>
    <n v="0.55000000000000004"/>
    <m/>
    <m/>
    <m/>
    <n v="0.05"/>
    <n v="4.0500000000000001E-2"/>
    <m/>
    <m/>
    <m/>
    <m/>
    <m/>
    <m/>
    <m/>
    <n v="3556168"/>
    <m/>
  </r>
  <r>
    <x v="0"/>
    <n v="2024"/>
    <x v="3"/>
    <s v="SMP1"/>
    <x v="8"/>
    <s v="School feeding"/>
    <m/>
    <m/>
    <s v="Antananarivo"/>
    <x v="4"/>
    <m/>
    <s v="Vakinakaratra"/>
    <s v="ANTSIRABE II"/>
    <m/>
    <s v="AMBOHIBARY"/>
    <s v="EPP AMBOHIBARY"/>
    <m/>
    <m/>
    <n v="463"/>
    <m/>
    <x v="3"/>
    <s v="HGSF"/>
    <m/>
    <n v="1.5"/>
    <m/>
    <m/>
    <m/>
    <n v="0.1"/>
    <n v="0.1125"/>
    <m/>
    <m/>
    <m/>
    <m/>
    <m/>
    <m/>
    <m/>
    <n v="10226744"/>
    <m/>
  </r>
  <r>
    <x v="0"/>
    <n v="2024"/>
    <x v="3"/>
    <s v="SMP1"/>
    <x v="8"/>
    <s v="School feeding"/>
    <m/>
    <m/>
    <s v="Antananarivo"/>
    <x v="4"/>
    <m/>
    <s v="Vakinakaratra"/>
    <s v="ANTSIRABE II"/>
    <m/>
    <s v="MANDROSOHASINA"/>
    <s v="EPP KIANJANAKANGA"/>
    <m/>
    <m/>
    <n v="353"/>
    <m/>
    <x v="3"/>
    <s v="HGSF"/>
    <m/>
    <n v="1.1499999999999999"/>
    <m/>
    <m/>
    <m/>
    <n v="0.05"/>
    <n v="8.1000000000000003E-2"/>
    <m/>
    <m/>
    <m/>
    <m/>
    <m/>
    <m/>
    <m/>
    <n v="7797064"/>
    <m/>
  </r>
  <r>
    <x v="0"/>
    <n v="2024"/>
    <x v="3"/>
    <s v="SMP1"/>
    <x v="8"/>
    <s v="School feeding"/>
    <m/>
    <m/>
    <s v="Antananarivo"/>
    <x v="4"/>
    <m/>
    <s v="Vakinakaratra"/>
    <s v="ANTSIRABE II"/>
    <m/>
    <s v="ANTANAMBAO"/>
    <s v="EPP INDROAMITA"/>
    <m/>
    <m/>
    <n v="171"/>
    <m/>
    <x v="3"/>
    <s v="HGSF"/>
    <m/>
    <n v="0.55000000000000004"/>
    <m/>
    <m/>
    <m/>
    <n v="0.05"/>
    <n v="4.0500000000000001E-2"/>
    <m/>
    <m/>
    <m/>
    <m/>
    <m/>
    <m/>
    <m/>
    <n v="3777048"/>
    <m/>
  </r>
  <r>
    <x v="0"/>
    <n v="2024"/>
    <x v="3"/>
    <s v="SMP1"/>
    <x v="8"/>
    <s v="School feeding"/>
    <m/>
    <m/>
    <s v="Antananarivo"/>
    <x v="4"/>
    <m/>
    <s v="Vakinakaratra"/>
    <s v="ANTSIRABE II"/>
    <m/>
    <s v="TSARAHONENANA"/>
    <s v="EPP SOAVINARIVO"/>
    <m/>
    <m/>
    <n v="243"/>
    <m/>
    <x v="3"/>
    <s v="HGSF"/>
    <m/>
    <n v="0.8"/>
    <m/>
    <m/>
    <m/>
    <n v="0.05"/>
    <n v="5.8500000000000003E-2"/>
    <m/>
    <m/>
    <m/>
    <m/>
    <m/>
    <m/>
    <m/>
    <n v="5367384"/>
    <m/>
  </r>
  <r>
    <x v="0"/>
    <n v="2024"/>
    <x v="3"/>
    <s v="SMP1"/>
    <x v="8"/>
    <s v="School feeding"/>
    <m/>
    <m/>
    <s v="Antananarivo"/>
    <x v="4"/>
    <m/>
    <s v="Itasy"/>
    <s v="Miarinarivo"/>
    <m/>
    <s v="SOAMAHAMANINA"/>
    <s v="ECOLE COMMUNAUTAIRE MIANGOLABE"/>
    <m/>
    <m/>
    <n v="111"/>
    <m/>
    <x v="3"/>
    <s v="HGSF"/>
    <m/>
    <n v="0.4"/>
    <m/>
    <m/>
    <m/>
    <n v="0"/>
    <n v="3.15E-2"/>
    <m/>
    <m/>
    <m/>
    <m/>
    <m/>
    <m/>
    <m/>
    <n v="2451768"/>
    <m/>
  </r>
  <r>
    <x v="0"/>
    <n v="2024"/>
    <x v="3"/>
    <s v="SMP1"/>
    <x v="8"/>
    <s v="School feeding"/>
    <m/>
    <m/>
    <s v="Antananarivo"/>
    <x v="4"/>
    <m/>
    <s v="Itasy"/>
    <s v="Miarinarivo"/>
    <m/>
    <s v="AMBATOMANJAKA"/>
    <s v="ECOLE COMMUNAUTAIRE SOANAVELA"/>
    <m/>
    <m/>
    <n v="86"/>
    <m/>
    <x v="3"/>
    <s v="HGSF"/>
    <m/>
    <n v="0.3"/>
    <m/>
    <m/>
    <m/>
    <n v="0"/>
    <n v="2.2499999999999999E-2"/>
    <m/>
    <m/>
    <m/>
    <m/>
    <m/>
    <m/>
    <m/>
    <n v="1899568"/>
    <m/>
  </r>
  <r>
    <x v="0"/>
    <n v="2024"/>
    <x v="3"/>
    <s v="SMP1"/>
    <x v="8"/>
    <s v="School feeding"/>
    <m/>
    <m/>
    <s v="Antananarivo"/>
    <x v="4"/>
    <m/>
    <s v="Itasy"/>
    <s v="Miarinarivo"/>
    <m/>
    <s v="ANALAVORY"/>
    <s v="EPP AMBOHIBARY I"/>
    <m/>
    <m/>
    <n v="322"/>
    <m/>
    <x v="3"/>
    <s v="HGSF"/>
    <m/>
    <n v="1.1000000000000001"/>
    <m/>
    <m/>
    <m/>
    <n v="0.05"/>
    <n v="7.6499999999999999E-2"/>
    <m/>
    <m/>
    <m/>
    <m/>
    <m/>
    <m/>
    <m/>
    <n v="7112336"/>
    <m/>
  </r>
  <r>
    <x v="0"/>
    <n v="2024"/>
    <x v="3"/>
    <s v="SMP1"/>
    <x v="8"/>
    <s v="School feeding"/>
    <m/>
    <m/>
    <s v="Antananarivo"/>
    <x v="4"/>
    <m/>
    <s v="Itasy"/>
    <s v="Miarinarivo"/>
    <m/>
    <s v="ANALAVORY"/>
    <s v="EPP ANTONGOMBATO"/>
    <m/>
    <m/>
    <n v="164"/>
    <m/>
    <x v="3"/>
    <s v="HGSF"/>
    <m/>
    <n v="0.55000000000000004"/>
    <m/>
    <m/>
    <m/>
    <n v="0.05"/>
    <n v="4.0500000000000001E-2"/>
    <m/>
    <m/>
    <m/>
    <m/>
    <m/>
    <m/>
    <m/>
    <n v="3622432"/>
    <m/>
  </r>
  <r>
    <x v="0"/>
    <n v="2024"/>
    <x v="3"/>
    <s v="SMP1"/>
    <x v="8"/>
    <s v="School feeding"/>
    <m/>
    <m/>
    <s v="Antananarivo"/>
    <x v="4"/>
    <m/>
    <s v="Itasy"/>
    <s v="Miarinarivo"/>
    <m/>
    <s v="MIARINARIVO II"/>
    <s v="EPP IGARARANA"/>
    <m/>
    <m/>
    <n v="176"/>
    <m/>
    <x v="3"/>
    <s v="HGSF"/>
    <m/>
    <n v="0.6"/>
    <m/>
    <m/>
    <m/>
    <n v="0.05"/>
    <n v="4.4999999999999998E-2"/>
    <m/>
    <m/>
    <m/>
    <m/>
    <m/>
    <m/>
    <m/>
    <n v="3887488"/>
    <m/>
  </r>
  <r>
    <x v="0"/>
    <n v="2024"/>
    <x v="3"/>
    <s v="SMP1"/>
    <x v="8"/>
    <s v="School feeding"/>
    <m/>
    <m/>
    <s v="Antananarivo"/>
    <x v="4"/>
    <m/>
    <s v="Itasy"/>
    <s v="ARIVONIMAMO"/>
    <m/>
    <s v="ANDRANOMIELY"/>
    <s v="EPP BONGAVATO"/>
    <m/>
    <m/>
    <n v="112"/>
    <m/>
    <x v="3"/>
    <s v="HGSF"/>
    <m/>
    <n v="0.35"/>
    <m/>
    <m/>
    <m/>
    <n v="0"/>
    <n v="3.15E-2"/>
    <m/>
    <m/>
    <m/>
    <m/>
    <m/>
    <m/>
    <m/>
    <n v="2473856"/>
    <m/>
  </r>
  <r>
    <x v="0"/>
    <n v="2024"/>
    <x v="3"/>
    <s v="SMP1"/>
    <x v="8"/>
    <s v="School feeding"/>
    <m/>
    <m/>
    <s v="Antananarivo"/>
    <x v="4"/>
    <m/>
    <s v="Itasy"/>
    <s v="ARIVONIMAMO"/>
    <m/>
    <s v="MIANDRANDRA"/>
    <s v="EPP BONGATSARA"/>
    <m/>
    <m/>
    <n v="80"/>
    <m/>
    <x v="3"/>
    <s v="HGSF"/>
    <m/>
    <n v="0.25"/>
    <m/>
    <m/>
    <m/>
    <n v="0"/>
    <n v="2.2499999999999999E-2"/>
    <m/>
    <m/>
    <m/>
    <m/>
    <m/>
    <m/>
    <m/>
    <n v="1767040"/>
    <m/>
  </r>
  <r>
    <x v="0"/>
    <n v="2024"/>
    <x v="3"/>
    <s v="SMP1"/>
    <x v="8"/>
    <s v="School feeding"/>
    <m/>
    <m/>
    <s v="Antananarivo"/>
    <x v="4"/>
    <m/>
    <s v="Itasy"/>
    <s v="ARIVONIMAMO"/>
    <m/>
    <s v="TSIMADILO"/>
    <s v="EPP TALATA TSIMADILO"/>
    <m/>
    <m/>
    <n v="256"/>
    <m/>
    <x v="3"/>
    <s v="HGSF"/>
    <m/>
    <n v="0.85"/>
    <m/>
    <m/>
    <m/>
    <n v="0.05"/>
    <n v="5.8500000000000003E-2"/>
    <m/>
    <m/>
    <m/>
    <m/>
    <m/>
    <m/>
    <m/>
    <n v="5654528"/>
    <m/>
  </r>
  <r>
    <x v="0"/>
    <n v="2024"/>
    <x v="3"/>
    <s v="SMP1"/>
    <x v="8"/>
    <s v="School feeding"/>
    <m/>
    <m/>
    <s v="Amboasary"/>
    <x v="0"/>
    <s v="Taolagnaro"/>
    <s v="Anosy"/>
    <s v="betroka"/>
    <m/>
    <s v="AMBALASOA"/>
    <s v="EPP IRITSOKA"/>
    <m/>
    <m/>
    <n v="96"/>
    <m/>
    <x v="3"/>
    <s v="HGSF"/>
    <m/>
    <n v="0.35"/>
    <m/>
    <m/>
    <m/>
    <n v="0"/>
    <n v="2.7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s v="betroka"/>
    <m/>
    <s v="ANALAMARY"/>
    <s v="ECOLE COMMUNAUTAIRE IFATAKA"/>
    <m/>
    <m/>
    <n v="60"/>
    <m/>
    <x v="3"/>
    <s v="HGSF"/>
    <m/>
    <n v="0.2"/>
    <m/>
    <m/>
    <m/>
    <n v="0"/>
    <n v="1.35E-2"/>
    <m/>
    <m/>
    <m/>
    <m/>
    <m/>
    <m/>
    <m/>
    <n v="1325280"/>
    <m/>
  </r>
  <r>
    <x v="0"/>
    <n v="2024"/>
    <x v="3"/>
    <s v="SMP1"/>
    <x v="8"/>
    <s v="School feeding"/>
    <m/>
    <m/>
    <s v="Amboasary"/>
    <x v="0"/>
    <s v="Taolagnaro"/>
    <s v="Anosy"/>
    <s v="betroka"/>
    <m/>
    <s v="ANALAMARY"/>
    <s v="EPP MORARANO"/>
    <m/>
    <m/>
    <n v="165"/>
    <m/>
    <x v="3"/>
    <s v="HGSF"/>
    <m/>
    <n v="0.55000000000000004"/>
    <m/>
    <m/>
    <m/>
    <n v="0.05"/>
    <n v="4.0500000000000001E-2"/>
    <m/>
    <m/>
    <m/>
    <m/>
    <m/>
    <m/>
    <m/>
    <n v="3644520"/>
    <m/>
  </r>
  <r>
    <x v="0"/>
    <n v="2024"/>
    <x v="3"/>
    <s v="SMP1"/>
    <x v="8"/>
    <s v="School feeding"/>
    <m/>
    <m/>
    <s v="Amboasary"/>
    <x v="0"/>
    <s v="Taolagnaro"/>
    <s v="Anosy"/>
    <s v="betroka"/>
    <m/>
    <s v="IANABINDA"/>
    <s v="ECOLE COMMUNAUTAIRE SAHENY"/>
    <m/>
    <m/>
    <n v="143"/>
    <m/>
    <x v="3"/>
    <s v="HGSF"/>
    <m/>
    <n v="0.5"/>
    <m/>
    <m/>
    <m/>
    <n v="0"/>
    <n v="3.15E-2"/>
    <m/>
    <m/>
    <m/>
    <m/>
    <m/>
    <m/>
    <m/>
    <n v="3158584"/>
    <m/>
  </r>
  <r>
    <x v="0"/>
    <n v="2024"/>
    <x v="3"/>
    <s v="SMP1"/>
    <x v="8"/>
    <s v="School feeding"/>
    <m/>
    <m/>
    <s v="Amboasary"/>
    <x v="0"/>
    <s v="Taolagnaro"/>
    <s v="Anosy"/>
    <s v="betroka"/>
    <m/>
    <s v="IANABINDA"/>
    <s v="ECOLE COMMUNAUTAIRE SAKALALY"/>
    <m/>
    <m/>
    <n v="124"/>
    <m/>
    <x v="3"/>
    <s v="HGSF"/>
    <m/>
    <n v="0.4"/>
    <m/>
    <m/>
    <m/>
    <n v="0"/>
    <n v="3.15E-2"/>
    <m/>
    <m/>
    <m/>
    <m/>
    <m/>
    <m/>
    <m/>
    <n v="2738912"/>
    <m/>
  </r>
  <r>
    <x v="0"/>
    <n v="2024"/>
    <x v="3"/>
    <s v="SMP1"/>
    <x v="8"/>
    <s v="School feeding"/>
    <m/>
    <m/>
    <s v="Amboasary"/>
    <x v="0"/>
    <s v="Taolagnaro"/>
    <s v="Anosy"/>
    <s v="betroka"/>
    <m/>
    <s v="IANABINDA"/>
    <s v="ECOLE COMMUNAUTAIRE TSIHOTOY"/>
    <m/>
    <m/>
    <n v="134"/>
    <m/>
    <x v="3"/>
    <s v="HGSF"/>
    <m/>
    <n v="0.45"/>
    <m/>
    <m/>
    <m/>
    <n v="0"/>
    <n v="3.15E-2"/>
    <m/>
    <m/>
    <m/>
    <m/>
    <m/>
    <m/>
    <m/>
    <n v="2959792"/>
    <m/>
  </r>
  <r>
    <x v="0"/>
    <n v="2024"/>
    <x v="3"/>
    <s v="SMP1"/>
    <x v="8"/>
    <s v="School feeding"/>
    <m/>
    <m/>
    <s v="Amboasary"/>
    <x v="0"/>
    <s v="Taolagnaro"/>
    <s v="Anosy"/>
    <s v="betroka"/>
    <m/>
    <s v="SAKAMAHILY"/>
    <s v="ECOLE COMMUNAUTAIRE FIADANA"/>
    <m/>
    <m/>
    <n v="143"/>
    <m/>
    <x v="3"/>
    <s v="HGSF"/>
    <m/>
    <n v="0.5"/>
    <m/>
    <m/>
    <m/>
    <n v="0"/>
    <n v="3.15E-2"/>
    <m/>
    <m/>
    <m/>
    <m/>
    <m/>
    <m/>
    <m/>
    <n v="3158584"/>
    <m/>
  </r>
  <r>
    <x v="0"/>
    <n v="2024"/>
    <x v="3"/>
    <s v="SMP1"/>
    <x v="8"/>
    <s v="School feeding"/>
    <m/>
    <m/>
    <s v="Amboasary"/>
    <x v="0"/>
    <s v="Taolagnaro"/>
    <s v="Anosy"/>
    <s v="betroka"/>
    <m/>
    <s v="SAKAMAHILY"/>
    <s v="ECOLE COMMUNAUTAIRE NAGNARENA"/>
    <m/>
    <m/>
    <n v="129"/>
    <m/>
    <x v="3"/>
    <s v="HGSF"/>
    <m/>
    <n v="0.45"/>
    <m/>
    <m/>
    <m/>
    <n v="0"/>
    <n v="3.15E-2"/>
    <m/>
    <m/>
    <m/>
    <m/>
    <m/>
    <m/>
    <m/>
    <n v="2849352"/>
    <m/>
  </r>
  <r>
    <x v="0"/>
    <n v="2024"/>
    <x v="3"/>
    <s v="SMP1"/>
    <x v="8"/>
    <s v="School feeding"/>
    <m/>
    <m/>
    <s v="Amboasary"/>
    <x v="0"/>
    <s v="Taolagnaro"/>
    <s v="Anosy"/>
    <s v="betroka"/>
    <m/>
    <s v="SAKAMAHILY"/>
    <s v="EPP ANDOHARANO"/>
    <m/>
    <m/>
    <n v="82"/>
    <m/>
    <x v="3"/>
    <s v="HGSF"/>
    <m/>
    <n v="0.3"/>
    <m/>
    <m/>
    <m/>
    <n v="0"/>
    <n v="2.2499999999999999E-2"/>
    <m/>
    <m/>
    <m/>
    <m/>
    <m/>
    <m/>
    <m/>
    <n v="18112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BATOABO"/>
    <s v="EPP BEROTSY"/>
    <m/>
    <m/>
    <n v="151"/>
    <m/>
    <x v="3"/>
    <s v="HGSF"/>
    <m/>
    <n v="0.95"/>
    <m/>
    <m/>
    <m/>
    <n v="0.05"/>
    <n v="6.7500000000000004E-2"/>
    <m/>
    <m/>
    <m/>
    <m/>
    <m/>
    <m/>
    <m/>
    <n v="333528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TANANDAV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VINANINTSAH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TORONDREH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PP AMPAS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AMBALALANG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ANDASI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PP ANKARI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AMBOTA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PP MAHAB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COLE COMMUNAUTAIRE MANGATSIAK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COLE COMMUNAUTAIRE AMBINAKY ENAKAL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PP MANGI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COLE COMMUNAUTAIRE MORAFEN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IMENA"/>
    <s v="ECOLE COMMUNAUTAIRE BETSIPANG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AMBANIALA"/>
    <m/>
    <m/>
    <n v="442"/>
    <m/>
    <x v="3"/>
    <s v="HGSF"/>
    <m/>
    <n v="2.7"/>
    <m/>
    <m/>
    <m/>
    <n v="0.15"/>
    <n v="0.19350000000000001"/>
    <m/>
    <m/>
    <m/>
    <m/>
    <m/>
    <m/>
    <m/>
    <n v="976289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AMPASY NAHAMPONA"/>
    <m/>
    <m/>
    <n v="535"/>
    <m/>
    <x v="3"/>
    <s v="HGSF"/>
    <m/>
    <n v="3.25"/>
    <m/>
    <m/>
    <m/>
    <n v="0.2"/>
    <n v="0.22950000000000001"/>
    <m/>
    <m/>
    <m/>
    <m/>
    <m/>
    <m/>
    <m/>
    <n v="118170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EPP ENATO"/>
    <m/>
    <m/>
    <n v="431"/>
    <m/>
    <x v="3"/>
    <s v="HGSF"/>
    <m/>
    <n v="2.65"/>
    <m/>
    <m/>
    <m/>
    <n v="0.15"/>
    <n v="0.189"/>
    <m/>
    <m/>
    <m/>
    <m/>
    <m/>
    <m/>
    <m/>
    <n v="951992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EPP MANGAIKY"/>
    <m/>
    <m/>
    <n v="408"/>
    <m/>
    <x v="3"/>
    <s v="HGSF"/>
    <m/>
    <n v="2.5"/>
    <m/>
    <m/>
    <m/>
    <n v="0.15"/>
    <n v="0.17549999999999999"/>
    <m/>
    <m/>
    <m/>
    <m/>
    <m/>
    <m/>
    <m/>
    <n v="90119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EPP ANKA MAROMAGNIRY"/>
    <m/>
    <m/>
    <n v="328"/>
    <m/>
    <x v="3"/>
    <s v="HGSF"/>
    <m/>
    <n v="2"/>
    <m/>
    <m/>
    <m/>
    <n v="0.15"/>
    <n v="0.14399999999999999"/>
    <m/>
    <m/>
    <m/>
    <m/>
    <m/>
    <m/>
    <m/>
    <n v="724486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MPASY NAHAMPOANA"/>
    <s v="EPP ANALAMBENDRANA"/>
    <m/>
    <m/>
    <n v="296"/>
    <m/>
    <x v="3"/>
    <s v="HGSF"/>
    <m/>
    <n v="1.8"/>
    <m/>
    <m/>
    <m/>
    <n v="0.1"/>
    <n v="0.126"/>
    <m/>
    <m/>
    <m/>
    <m/>
    <m/>
    <m/>
    <m/>
    <n v="65380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Ambarobe"/>
    <m/>
    <m/>
    <n v="359"/>
    <m/>
    <x v="3"/>
    <s v="HGSF"/>
    <m/>
    <n v="2.15"/>
    <m/>
    <m/>
    <m/>
    <n v="0.15"/>
    <n v="0.1575"/>
    <m/>
    <m/>
    <m/>
    <m/>
    <m/>
    <m/>
    <m/>
    <n v="792959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EPP ANALAPATSY"/>
    <m/>
    <m/>
    <n v="282"/>
    <m/>
    <x v="3"/>
    <s v="HGSF"/>
    <m/>
    <n v="1.7"/>
    <m/>
    <m/>
    <m/>
    <n v="0.1"/>
    <n v="0.1215"/>
    <m/>
    <m/>
    <m/>
    <m/>
    <m/>
    <m/>
    <m/>
    <n v="62288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MAROAKY"/>
    <m/>
    <m/>
    <n v="326"/>
    <m/>
    <x v="3"/>
    <s v="HGSF"/>
    <m/>
    <n v="1.95"/>
    <m/>
    <m/>
    <m/>
    <n v="0.15"/>
    <n v="0.13950000000000001"/>
    <m/>
    <m/>
    <m/>
    <m/>
    <m/>
    <m/>
    <m/>
    <n v="720068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Analapatsy II"/>
    <m/>
    <m/>
    <n v="318"/>
    <m/>
    <x v="3"/>
    <s v="HGSF"/>
    <m/>
    <n v="1.95"/>
    <m/>
    <m/>
    <m/>
    <n v="0.15"/>
    <n v="0.13950000000000001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EPP ANKOTRAKY"/>
    <m/>
    <m/>
    <n v="96"/>
    <m/>
    <x v="3"/>
    <s v="HGSF"/>
    <m/>
    <n v="0.75"/>
    <m/>
    <m/>
    <m/>
    <n v="0.05"/>
    <n v="5.3999999999999999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EPP ANDRIVORY"/>
    <m/>
    <m/>
    <n v="360"/>
    <m/>
    <x v="3"/>
    <s v="HGSF"/>
    <m/>
    <n v="2.2000000000000002"/>
    <m/>
    <m/>
    <m/>
    <n v="0.15"/>
    <n v="0.1575"/>
    <m/>
    <m/>
    <m/>
    <m/>
    <m/>
    <m/>
    <m/>
    <n v="79516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EPP ANDROTSY AGNAPOLY"/>
    <m/>
    <m/>
    <n v="208"/>
    <m/>
    <x v="3"/>
    <s v="HGSF"/>
    <m/>
    <n v="1.3"/>
    <m/>
    <m/>
    <m/>
    <n v="0.1"/>
    <n v="9.4500000000000001E-2"/>
    <m/>
    <m/>
    <m/>
    <m/>
    <m/>
    <m/>
    <m/>
    <n v="45943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Namanona"/>
    <m/>
    <m/>
    <n v="210"/>
    <m/>
    <x v="3"/>
    <s v="HGSF"/>
    <m/>
    <n v="1.3"/>
    <m/>
    <m/>
    <m/>
    <n v="0.1"/>
    <n v="9.4500000000000001E-2"/>
    <m/>
    <m/>
    <m/>
    <m/>
    <m/>
    <m/>
    <m/>
    <n v="46384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AMPASINDAVA"/>
    <m/>
    <m/>
    <n v="182"/>
    <m/>
    <x v="3"/>
    <s v="HGSF"/>
    <m/>
    <n v="1.1000000000000001"/>
    <m/>
    <m/>
    <m/>
    <n v="0.1"/>
    <n v="8.1000000000000003E-2"/>
    <m/>
    <m/>
    <m/>
    <m/>
    <m/>
    <m/>
    <m/>
    <n v="40200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ANDOHARANO"/>
    <m/>
    <m/>
    <n v="145"/>
    <m/>
    <x v="3"/>
    <s v="HGSF"/>
    <m/>
    <n v="1.1000000000000001"/>
    <m/>
    <m/>
    <m/>
    <n v="0.05"/>
    <n v="8.1000000000000003E-2"/>
    <m/>
    <m/>
    <m/>
    <m/>
    <m/>
    <m/>
    <m/>
    <n v="320276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ANDRANOBORY"/>
    <m/>
    <m/>
    <n v="512"/>
    <m/>
    <x v="3"/>
    <s v="HGSF"/>
    <m/>
    <n v="3.15"/>
    <m/>
    <m/>
    <m/>
    <n v="0.2"/>
    <n v="0.2205"/>
    <m/>
    <m/>
    <m/>
    <m/>
    <m/>
    <m/>
    <m/>
    <n v="1130905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ANKAZOMALAGNY"/>
    <m/>
    <m/>
    <n v="282"/>
    <m/>
    <x v="3"/>
    <s v="HGSF"/>
    <m/>
    <n v="1.7"/>
    <m/>
    <m/>
    <m/>
    <n v="0.1"/>
    <n v="0.1215"/>
    <m/>
    <m/>
    <m/>
    <m/>
    <m/>
    <m/>
    <m/>
    <n v="62288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BELAY"/>
    <m/>
    <m/>
    <n v="218"/>
    <m/>
    <x v="3"/>
    <s v="HGSF"/>
    <m/>
    <n v="1.35"/>
    <m/>
    <m/>
    <m/>
    <n v="0.1"/>
    <n v="9.4500000000000001E-2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ANDEMBY"/>
    <m/>
    <m/>
    <n v="244"/>
    <m/>
    <x v="3"/>
    <s v="HGSF"/>
    <m/>
    <n v="1.5"/>
    <m/>
    <m/>
    <m/>
    <n v="0.1"/>
    <n v="0.108"/>
    <m/>
    <m/>
    <m/>
    <m/>
    <m/>
    <m/>
    <m/>
    <n v="53894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COLE COMMUNAUTAIRE MORAFENO-SUD"/>
    <m/>
    <m/>
    <n v="110"/>
    <m/>
    <x v="3"/>
    <s v="HGSF"/>
    <m/>
    <n v="0.85"/>
    <m/>
    <m/>
    <m/>
    <n v="0.05"/>
    <n v="5.8500000000000003E-2"/>
    <m/>
    <m/>
    <m/>
    <m/>
    <m/>
    <m/>
    <m/>
    <n v="24296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ANKILIMIARY"/>
    <m/>
    <m/>
    <n v="260"/>
    <m/>
    <x v="3"/>
    <s v="HGSF"/>
    <m/>
    <n v="1.6"/>
    <m/>
    <m/>
    <m/>
    <n v="0.1"/>
    <n v="0.1125"/>
    <m/>
    <m/>
    <m/>
    <m/>
    <m/>
    <m/>
    <m/>
    <n v="57428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PP ENAGNORASA"/>
    <m/>
    <m/>
    <n v="117"/>
    <m/>
    <x v="3"/>
    <s v="HGSF"/>
    <m/>
    <n v="0.9"/>
    <m/>
    <m/>
    <m/>
    <n v="0.05"/>
    <n v="6.3E-2"/>
    <m/>
    <m/>
    <m/>
    <m/>
    <m/>
    <m/>
    <m/>
    <n v="258429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DRANOBORY"/>
    <s v="ECOLE COMMUNAUTAIRE MORAFENO NORD"/>
    <m/>
    <m/>
    <n v="172"/>
    <m/>
    <x v="3"/>
    <s v="HGSF"/>
    <m/>
    <n v="1.05"/>
    <m/>
    <m/>
    <m/>
    <n v="0.1"/>
    <n v="7.6499999999999999E-2"/>
    <m/>
    <m/>
    <m/>
    <m/>
    <m/>
    <m/>
    <m/>
    <n v="379913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ANDRODAVA"/>
    <m/>
    <m/>
    <n v="287"/>
    <m/>
    <x v="3"/>
    <s v="HGSF"/>
    <m/>
    <n v="1.75"/>
    <m/>
    <m/>
    <m/>
    <n v="0.1"/>
    <n v="0.126"/>
    <m/>
    <m/>
    <m/>
    <m/>
    <m/>
    <m/>
    <m/>
    <n v="633925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ANKARAMENA"/>
    <m/>
    <m/>
    <n v="518"/>
    <m/>
    <x v="3"/>
    <s v="HGSF"/>
    <m/>
    <n v="3.15"/>
    <m/>
    <m/>
    <m/>
    <n v="0.2"/>
    <n v="0.22500000000000001"/>
    <m/>
    <m/>
    <m/>
    <m/>
    <m/>
    <m/>
    <m/>
    <n v="1144158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BEFENO"/>
    <m/>
    <m/>
    <n v="335"/>
    <m/>
    <x v="3"/>
    <s v="HGSF"/>
    <m/>
    <n v="2"/>
    <m/>
    <m/>
    <m/>
    <n v="0.15"/>
    <n v="0.14849999999999999"/>
    <m/>
    <m/>
    <m/>
    <m/>
    <m/>
    <m/>
    <m/>
    <n v="73994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bobaky"/>
    <m/>
    <m/>
    <n v="409"/>
    <m/>
    <x v="3"/>
    <s v="HGSF"/>
    <m/>
    <n v="2.5"/>
    <m/>
    <m/>
    <m/>
    <n v="0.15"/>
    <n v="0.17549999999999999"/>
    <m/>
    <m/>
    <m/>
    <m/>
    <m/>
    <m/>
    <m/>
    <n v="903399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MANISY"/>
    <m/>
    <m/>
    <n v="204"/>
    <m/>
    <x v="3"/>
    <s v="HGSF"/>
    <m/>
    <n v="1.25"/>
    <m/>
    <m/>
    <m/>
    <n v="0.1"/>
    <n v="0.09"/>
    <m/>
    <m/>
    <m/>
    <m/>
    <m/>
    <m/>
    <m/>
    <n v="450595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TANAMBAO"/>
    <m/>
    <m/>
    <n v="355"/>
    <m/>
    <x v="3"/>
    <s v="HGSF"/>
    <m/>
    <n v="2.2000000000000002"/>
    <m/>
    <m/>
    <m/>
    <n v="0.15"/>
    <n v="0.153"/>
    <m/>
    <m/>
    <m/>
    <m/>
    <m/>
    <m/>
    <m/>
    <n v="784124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TAVIALA"/>
    <m/>
    <m/>
    <n v="459"/>
    <m/>
    <x v="3"/>
    <s v="HGSF"/>
    <m/>
    <n v="2.75"/>
    <m/>
    <m/>
    <m/>
    <n v="0.2"/>
    <n v="0.20250000000000001"/>
    <m/>
    <m/>
    <m/>
    <m/>
    <m/>
    <m/>
    <m/>
    <n v="1013839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Tsiatoro"/>
    <m/>
    <m/>
    <n v="193"/>
    <m/>
    <x v="3"/>
    <s v="HGSF"/>
    <m/>
    <n v="1.2"/>
    <m/>
    <m/>
    <m/>
    <n v="0.1"/>
    <n v="8.5500000000000007E-2"/>
    <m/>
    <m/>
    <m/>
    <m/>
    <m/>
    <m/>
    <m/>
    <n v="426298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ANALANDRAVY"/>
    <m/>
    <m/>
    <n v="341"/>
    <m/>
    <x v="3"/>
    <s v="HGSF"/>
    <m/>
    <n v="2.1"/>
    <m/>
    <m/>
    <m/>
    <n v="0.15"/>
    <n v="0.14849999999999999"/>
    <m/>
    <m/>
    <m/>
    <m/>
    <m/>
    <m/>
    <m/>
    <n v="753200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AMENA"/>
    <s v="EPP ANDOHAVONDRO"/>
    <m/>
    <m/>
    <n v="242"/>
    <m/>
    <x v="3"/>
    <s v="HGSF"/>
    <m/>
    <n v="1.5"/>
    <m/>
    <m/>
    <m/>
    <n v="0.1"/>
    <n v="0.10349999999999999"/>
    <m/>
    <m/>
    <m/>
    <m/>
    <m/>
    <m/>
    <m/>
    <n v="534529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IABOAKOHO"/>
    <s v="EPP IABOAKOHO"/>
    <m/>
    <m/>
    <n v="161"/>
    <m/>
    <x v="3"/>
    <s v="HGSF"/>
    <m/>
    <n v="1"/>
    <m/>
    <m/>
    <m/>
    <n v="0.1"/>
    <n v="7.1999999999999995E-2"/>
    <m/>
    <m/>
    <m/>
    <m/>
    <m/>
    <m/>
    <m/>
    <n v="355616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ANDRAMANAKA"/>
    <m/>
    <m/>
    <n v="302"/>
    <m/>
    <x v="3"/>
    <s v="HGSF"/>
    <m/>
    <n v="1.8"/>
    <m/>
    <m/>
    <m/>
    <n v="0.1"/>
    <n v="0.1305"/>
    <m/>
    <m/>
    <m/>
    <m/>
    <m/>
    <m/>
    <m/>
    <n v="667057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ANENA"/>
    <m/>
    <m/>
    <n v="208"/>
    <m/>
    <x v="3"/>
    <s v="HGSF"/>
    <m/>
    <n v="1.3"/>
    <m/>
    <m/>
    <m/>
    <n v="0.1"/>
    <n v="9.4500000000000001E-2"/>
    <m/>
    <m/>
    <m/>
    <m/>
    <m/>
    <m/>
    <m/>
    <n v="45943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EMAGNEVY"/>
    <m/>
    <m/>
    <n v="185"/>
    <m/>
    <x v="3"/>
    <s v="HGSF"/>
    <m/>
    <n v="1.1499999999999999"/>
    <m/>
    <m/>
    <m/>
    <n v="0.1"/>
    <n v="8.1000000000000003E-2"/>
    <m/>
    <m/>
    <m/>
    <m/>
    <m/>
    <m/>
    <m/>
    <n v="40862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IABOAKOHO"/>
    <s v="EPP ESOHIHY MITSINJO"/>
    <m/>
    <m/>
    <n v="148"/>
    <m/>
    <x v="3"/>
    <s v="HGSF"/>
    <m/>
    <n v="0.9"/>
    <m/>
    <m/>
    <m/>
    <n v="0.05"/>
    <n v="6.7500000000000004E-2"/>
    <m/>
    <m/>
    <m/>
    <m/>
    <m/>
    <m/>
    <m/>
    <n v="326902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FARAFARA-VATAMBE"/>
    <m/>
    <m/>
    <n v="294"/>
    <m/>
    <x v="3"/>
    <s v="HGSF"/>
    <m/>
    <n v="1.8"/>
    <m/>
    <m/>
    <m/>
    <n v="0.1"/>
    <n v="0.1305"/>
    <m/>
    <m/>
    <m/>
    <m/>
    <m/>
    <m/>
    <m/>
    <n v="64938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MAHATALAKY"/>
    <m/>
    <m/>
    <n v="302"/>
    <m/>
    <x v="3"/>
    <s v="HGSF"/>
    <m/>
    <n v="1.8"/>
    <m/>
    <m/>
    <m/>
    <n v="0.1"/>
    <n v="0.1305"/>
    <m/>
    <m/>
    <m/>
    <m/>
    <m/>
    <m/>
    <m/>
    <n v="667057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TSANORIHA"/>
    <m/>
    <m/>
    <n v="218"/>
    <m/>
    <x v="3"/>
    <s v="HGSF"/>
    <m/>
    <n v="1.35"/>
    <m/>
    <m/>
    <m/>
    <n v="0.1"/>
    <n v="9.4500000000000001E-2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TSIHAROA"/>
    <m/>
    <m/>
    <n v="235"/>
    <m/>
    <x v="3"/>
    <s v="HGSF"/>
    <m/>
    <n v="1.4"/>
    <m/>
    <m/>
    <m/>
    <n v="0.1"/>
    <n v="0.10349999999999999"/>
    <m/>
    <m/>
    <m/>
    <m/>
    <m/>
    <m/>
    <m/>
    <n v="51906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BEANDRY"/>
    <m/>
    <m/>
    <n v="84"/>
    <m/>
    <x v="3"/>
    <s v="HGSF"/>
    <m/>
    <n v="0.65"/>
    <m/>
    <m/>
    <m/>
    <n v="0.05"/>
    <n v="4.4999999999999998E-2"/>
    <m/>
    <m/>
    <m/>
    <m/>
    <m/>
    <m/>
    <m/>
    <n v="185539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MANANARA II"/>
    <m/>
    <m/>
    <n v="388"/>
    <m/>
    <x v="3"/>
    <s v="HGSF"/>
    <m/>
    <n v="2.35"/>
    <m/>
    <m/>
    <m/>
    <n v="0.15"/>
    <n v="0.17100000000000001"/>
    <m/>
    <m/>
    <m/>
    <m/>
    <m/>
    <m/>
    <m/>
    <n v="857014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HATALAKY"/>
    <s v="EPP ANTAHOVARY"/>
    <m/>
    <m/>
    <n v="96"/>
    <m/>
    <x v="3"/>
    <s v="HGSF"/>
    <m/>
    <n v="0.75"/>
    <m/>
    <m/>
    <m/>
    <n v="0.05"/>
    <n v="5.3999999999999999E-2"/>
    <m/>
    <m/>
    <m/>
    <m/>
    <m/>
    <m/>
    <m/>
    <n v="21204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AMBARO"/>
    <s v="EPP NOSIBE"/>
    <m/>
    <m/>
    <n v="370"/>
    <m/>
    <x v="3"/>
    <s v="HGSF"/>
    <m/>
    <n v="2.25"/>
    <m/>
    <m/>
    <m/>
    <n v="0.15"/>
    <n v="0.16200000000000001"/>
    <m/>
    <m/>
    <m/>
    <m/>
    <m/>
    <m/>
    <m/>
    <n v="817256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AMBARO"/>
    <s v="EPP ESALO"/>
    <m/>
    <m/>
    <n v="450"/>
    <m/>
    <x v="3"/>
    <s v="HGSF"/>
    <m/>
    <n v="2.75"/>
    <m/>
    <m/>
    <m/>
    <n v="0.15"/>
    <n v="0.19350000000000001"/>
    <m/>
    <m/>
    <m/>
    <m/>
    <m/>
    <m/>
    <m/>
    <n v="993960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ANTENINA"/>
    <s v="EPP ANKAREFO"/>
    <m/>
    <m/>
    <n v="196"/>
    <m/>
    <x v="3"/>
    <s v="HGSF"/>
    <m/>
    <n v="1.2"/>
    <m/>
    <m/>
    <m/>
    <n v="0.1"/>
    <n v="0.09"/>
    <m/>
    <m/>
    <m/>
    <m/>
    <m/>
    <m/>
    <m/>
    <n v="43292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DROMODROMOTRA"/>
    <s v="EPP ITAPERA"/>
    <m/>
    <m/>
    <n v="240"/>
    <m/>
    <x v="3"/>
    <s v="HGSF"/>
    <m/>
    <n v="1.45"/>
    <m/>
    <m/>
    <m/>
    <n v="0.1"/>
    <n v="0.10349999999999999"/>
    <m/>
    <m/>
    <m/>
    <m/>
    <m/>
    <m/>
    <m/>
    <n v="530112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DROMODROMOTRA"/>
    <s v="EPP MANDROMODROMOTRA"/>
    <m/>
    <m/>
    <n v="466"/>
    <m/>
    <x v="3"/>
    <s v="HGSF"/>
    <m/>
    <n v="2.85"/>
    <m/>
    <m/>
    <m/>
    <n v="0.2"/>
    <n v="0.20250000000000001"/>
    <m/>
    <m/>
    <m/>
    <m/>
    <m/>
    <m/>
    <m/>
    <n v="1029300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DROMODROMOTRA"/>
    <s v="EPP TANANOLO"/>
    <m/>
    <m/>
    <n v="182"/>
    <m/>
    <x v="3"/>
    <s v="HGSF"/>
    <m/>
    <n v="1.1000000000000001"/>
    <m/>
    <m/>
    <m/>
    <n v="0.1"/>
    <n v="8.1000000000000003E-2"/>
    <m/>
    <m/>
    <m/>
    <m/>
    <m/>
    <m/>
    <m/>
    <n v="40200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MANDROMODROMOTRA"/>
    <s v="EPP EMONTY"/>
    <m/>
    <m/>
    <n v="280"/>
    <m/>
    <x v="3"/>
    <s v="HGSF"/>
    <m/>
    <n v="1.7"/>
    <m/>
    <m/>
    <m/>
    <n v="0.1"/>
    <n v="0.126"/>
    <m/>
    <m/>
    <m/>
    <m/>
    <m/>
    <m/>
    <m/>
    <n v="618464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Ambario"/>
    <m/>
    <m/>
    <n v="319"/>
    <m/>
    <x v="3"/>
    <s v="HGSF"/>
    <m/>
    <n v="1.95"/>
    <m/>
    <m/>
    <m/>
    <n v="0.15"/>
    <n v="0.13950000000000001"/>
    <m/>
    <m/>
    <m/>
    <m/>
    <m/>
    <m/>
    <m/>
    <n v="70460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ANDREBASY"/>
    <m/>
    <m/>
    <n v="435"/>
    <m/>
    <x v="3"/>
    <s v="HGSF"/>
    <m/>
    <n v="2.65"/>
    <m/>
    <m/>
    <m/>
    <n v="0.15"/>
    <n v="0.19350000000000001"/>
    <m/>
    <m/>
    <m/>
    <m/>
    <m/>
    <m/>
    <m/>
    <n v="96082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ANKAZOFOTSY I"/>
    <m/>
    <m/>
    <n v="221"/>
    <m/>
    <x v="3"/>
    <s v="HGSF"/>
    <m/>
    <n v="1.35"/>
    <m/>
    <m/>
    <m/>
    <n v="0.1"/>
    <n v="9.9000000000000005E-2"/>
    <m/>
    <m/>
    <m/>
    <m/>
    <m/>
    <m/>
    <m/>
    <n v="48814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ANKAZOFOTSY II"/>
    <m/>
    <m/>
    <n v="136"/>
    <m/>
    <x v="3"/>
    <s v="HGSF"/>
    <m/>
    <n v="0.85"/>
    <m/>
    <m/>
    <m/>
    <n v="0.05"/>
    <n v="6.3E-2"/>
    <m/>
    <m/>
    <m/>
    <m/>
    <m/>
    <m/>
    <m/>
    <n v="300396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ILIVALO"/>
    <s v="EPP ANKILIVALO"/>
    <m/>
    <m/>
    <n v="520"/>
    <m/>
    <x v="3"/>
    <s v="HGSF"/>
    <m/>
    <n v="3.15"/>
    <m/>
    <m/>
    <m/>
    <n v="0.2"/>
    <n v="0.22950000000000001"/>
    <m/>
    <m/>
    <m/>
    <m/>
    <m/>
    <m/>
    <m/>
    <n v="1148576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ILIVALO"/>
    <s v="EPP MAROVATOFORIHA"/>
    <m/>
    <m/>
    <n v="221"/>
    <m/>
    <x v="3"/>
    <s v="HGSF"/>
    <m/>
    <n v="1.35"/>
    <m/>
    <m/>
    <m/>
    <n v="0.1"/>
    <n v="9.9000000000000005E-2"/>
    <m/>
    <m/>
    <m/>
    <m/>
    <m/>
    <m/>
    <m/>
    <n v="48814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ELOVOKY AMPANGALAKONGO"/>
    <m/>
    <m/>
    <n v="196"/>
    <m/>
    <x v="3"/>
    <s v="HGSF"/>
    <m/>
    <n v="1.2"/>
    <m/>
    <m/>
    <m/>
    <n v="0.1"/>
    <n v="0.09"/>
    <m/>
    <m/>
    <m/>
    <m/>
    <m/>
    <m/>
    <m/>
    <n v="4329248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RANOPISO"/>
    <m/>
    <m/>
    <n v="678"/>
    <m/>
    <x v="3"/>
    <s v="HGSF"/>
    <m/>
    <n v="4.0999999999999996"/>
    <m/>
    <m/>
    <m/>
    <n v="0.25"/>
    <n v="0.29249999999999998"/>
    <m/>
    <m/>
    <m/>
    <m/>
    <m/>
    <m/>
    <m/>
    <n v="1497566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PATSY"/>
    <s v="EPP MAROVATOBE"/>
    <m/>
    <m/>
    <n v="349"/>
    <m/>
    <x v="3"/>
    <s v="HGSF"/>
    <m/>
    <n v="2.1"/>
    <m/>
    <m/>
    <m/>
    <n v="0.15"/>
    <n v="0.153"/>
    <m/>
    <m/>
    <m/>
    <m/>
    <m/>
    <m/>
    <m/>
    <n v="770871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AMPIKAZO"/>
    <m/>
    <m/>
    <n v="223"/>
    <m/>
    <x v="3"/>
    <s v="HGSF"/>
    <m/>
    <n v="1.4"/>
    <m/>
    <m/>
    <m/>
    <n v="0.1"/>
    <n v="9.9000000000000005E-2"/>
    <m/>
    <m/>
    <m/>
    <m/>
    <m/>
    <m/>
    <m/>
    <n v="492562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MAROMAINTY"/>
    <m/>
    <m/>
    <n v="197"/>
    <m/>
    <x v="3"/>
    <s v="HGSF"/>
    <m/>
    <n v="1.2"/>
    <m/>
    <m/>
    <m/>
    <n v="0.1"/>
    <n v="8.5500000000000007E-2"/>
    <m/>
    <m/>
    <m/>
    <m/>
    <m/>
    <m/>
    <m/>
    <n v="435133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ANJEKOVA"/>
    <m/>
    <m/>
    <n v="147"/>
    <m/>
    <x v="3"/>
    <s v="HGSF"/>
    <m/>
    <n v="0.9"/>
    <m/>
    <m/>
    <m/>
    <n v="0.05"/>
    <n v="6.7500000000000004E-2"/>
    <m/>
    <m/>
    <m/>
    <m/>
    <m/>
    <m/>
    <m/>
    <n v="324693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PP BEDARO"/>
    <m/>
    <m/>
    <n v="114"/>
    <m/>
    <x v="3"/>
    <s v="HGSF"/>
    <m/>
    <n v="0.9"/>
    <m/>
    <m/>
    <m/>
    <n v="0.05"/>
    <n v="6.3E-2"/>
    <m/>
    <m/>
    <m/>
    <m/>
    <m/>
    <m/>
    <m/>
    <n v="251803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RANOPISO"/>
    <s v="ECOLE COMMUNAUTAIRE BERAKETA"/>
    <m/>
    <m/>
    <n v="147"/>
    <m/>
    <x v="3"/>
    <s v="HGSF"/>
    <m/>
    <n v="0.9"/>
    <m/>
    <m/>
    <m/>
    <n v="0.05"/>
    <n v="6.7500000000000004E-2"/>
    <m/>
    <m/>
    <m/>
    <m/>
    <m/>
    <m/>
    <m/>
    <n v="324693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ARISAMBO"/>
    <s v="EPP AMBOAVOLA"/>
    <m/>
    <m/>
    <n v="260"/>
    <m/>
    <x v="3"/>
    <s v="HGSF"/>
    <m/>
    <n v="1.6"/>
    <m/>
    <m/>
    <m/>
    <n v="0.1"/>
    <n v="0.1125"/>
    <m/>
    <m/>
    <m/>
    <m/>
    <m/>
    <m/>
    <m/>
    <n v="57428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ARISAMBO"/>
    <s v="EPP ANENA"/>
    <m/>
    <m/>
    <n v="432"/>
    <m/>
    <x v="3"/>
    <s v="HGSF"/>
    <m/>
    <n v="2.65"/>
    <m/>
    <m/>
    <m/>
    <n v="0.15"/>
    <n v="0.189"/>
    <m/>
    <m/>
    <m/>
    <m/>
    <m/>
    <m/>
    <m/>
    <n v="954201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ARISAMBO"/>
    <s v="EPP ITALY"/>
    <m/>
    <m/>
    <n v="194"/>
    <m/>
    <x v="3"/>
    <s v="HGSF"/>
    <m/>
    <n v="1.2"/>
    <m/>
    <m/>
    <m/>
    <n v="0.1"/>
    <n v="8.5500000000000007E-2"/>
    <m/>
    <m/>
    <m/>
    <m/>
    <m/>
    <m/>
    <m/>
    <n v="42850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NIERANA"/>
    <s v="EPP AMPASY-MORAFENO"/>
    <m/>
    <m/>
    <n v="258"/>
    <m/>
    <x v="3"/>
    <s v="HGSF"/>
    <m/>
    <n v="1.55"/>
    <m/>
    <m/>
    <m/>
    <n v="0.1"/>
    <n v="0.1125"/>
    <m/>
    <m/>
    <m/>
    <m/>
    <m/>
    <m/>
    <m/>
    <n v="56987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NIERANA"/>
    <s v="EPP ANDRAMAKA"/>
    <m/>
    <m/>
    <n v="477"/>
    <m/>
    <x v="3"/>
    <s v="HGSF"/>
    <m/>
    <n v="2.9"/>
    <m/>
    <m/>
    <m/>
    <n v="0.2"/>
    <n v="0.21149999999999999"/>
    <m/>
    <m/>
    <m/>
    <m/>
    <m/>
    <m/>
    <m/>
    <n v="1053597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NIERANA"/>
    <s v="ANDRANARA"/>
    <m/>
    <m/>
    <n v="308"/>
    <m/>
    <x v="3"/>
    <s v="HGSF"/>
    <m/>
    <n v="1.9"/>
    <m/>
    <m/>
    <m/>
    <n v="0.15"/>
    <n v="0.13500000000000001"/>
    <m/>
    <m/>
    <m/>
    <m/>
    <m/>
    <m/>
    <m/>
    <n v="68031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NIERANA"/>
    <s v="EPP LAFITSINANANA"/>
    <m/>
    <m/>
    <n v="542"/>
    <m/>
    <x v="3"/>
    <s v="HGSF"/>
    <m/>
    <n v="3.3"/>
    <m/>
    <m/>
    <m/>
    <n v="0.2"/>
    <n v="0.23400000000000001"/>
    <m/>
    <m/>
    <m/>
    <m/>
    <m/>
    <m/>
    <m/>
    <n v="1197169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NIERANA"/>
    <s v="EPP SOANIERANA"/>
    <m/>
    <m/>
    <n v="519"/>
    <m/>
    <x v="3"/>
    <s v="HGSF"/>
    <m/>
    <n v="3.15"/>
    <m/>
    <m/>
    <m/>
    <n v="0.2"/>
    <n v="0.22950000000000001"/>
    <m/>
    <m/>
    <m/>
    <m/>
    <m/>
    <m/>
    <m/>
    <n v="114636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I"/>
    <s v="EPP LOHALOVOKY"/>
    <m/>
    <m/>
    <n v="305"/>
    <m/>
    <x v="3"/>
    <s v="HGSF"/>
    <m/>
    <n v="1.85"/>
    <m/>
    <m/>
    <m/>
    <n v="0.15"/>
    <n v="0.13500000000000001"/>
    <m/>
    <m/>
    <m/>
    <m/>
    <m/>
    <m/>
    <m/>
    <n v="673684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I"/>
    <s v="EPP AMBINANIKELY"/>
    <m/>
    <m/>
    <n v="509"/>
    <m/>
    <x v="3"/>
    <s v="HGSF"/>
    <m/>
    <n v="3.1"/>
    <m/>
    <m/>
    <m/>
    <n v="0.2"/>
    <n v="0.2205"/>
    <m/>
    <m/>
    <m/>
    <m/>
    <m/>
    <m/>
    <m/>
    <n v="1124279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"/>
    <s v="EPP AMBOANATO"/>
    <m/>
    <m/>
    <n v="894"/>
    <m/>
    <x v="3"/>
    <s v="HGSF"/>
    <m/>
    <n v="5.4"/>
    <m/>
    <m/>
    <m/>
    <n v="0.3"/>
    <n v="0.38700000000000001"/>
    <m/>
    <m/>
    <m/>
    <m/>
    <m/>
    <m/>
    <m/>
    <n v="19746672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I"/>
    <s v="EPP AMPAMAKIAMBATO"/>
    <m/>
    <m/>
    <n v="688"/>
    <m/>
    <x v="3"/>
    <s v="HGSF"/>
    <m/>
    <n v="4.1500000000000004"/>
    <m/>
    <m/>
    <m/>
    <n v="0.25"/>
    <n v="0.30149999999999999"/>
    <m/>
    <m/>
    <m/>
    <m/>
    <m/>
    <m/>
    <m/>
    <n v="1519654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"/>
    <s v="EPP ANDRAKARAKA"/>
    <m/>
    <m/>
    <n v="308"/>
    <m/>
    <x v="3"/>
    <s v="HGSF"/>
    <m/>
    <n v="1.9"/>
    <m/>
    <m/>
    <m/>
    <n v="0.15"/>
    <n v="0.13500000000000001"/>
    <m/>
    <m/>
    <m/>
    <m/>
    <m/>
    <m/>
    <m/>
    <n v="680310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"/>
    <s v="EPP CENTRE II"/>
    <m/>
    <m/>
    <n v="327"/>
    <m/>
    <x v="3"/>
    <s v="HGSF"/>
    <m/>
    <n v="2"/>
    <m/>
    <m/>
    <m/>
    <n v="0.15"/>
    <n v="0.14399999999999999"/>
    <m/>
    <m/>
    <m/>
    <m/>
    <m/>
    <m/>
    <m/>
    <n v="722277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I"/>
    <s v="EPP TANAMBAO"/>
    <m/>
    <m/>
    <n v="1425"/>
    <m/>
    <x v="3"/>
    <s v="HGSF"/>
    <m/>
    <n v="8.6"/>
    <m/>
    <m/>
    <m/>
    <n v="0.5"/>
    <n v="0.61650000000000005"/>
    <m/>
    <m/>
    <m/>
    <m/>
    <m/>
    <m/>
    <m/>
    <n v="3147540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OLANARO III"/>
    <s v="EPP AMBINANIBE"/>
    <m/>
    <m/>
    <n v="337"/>
    <m/>
    <x v="3"/>
    <s v="HGSF"/>
    <m/>
    <n v="2.0499999999999998"/>
    <m/>
    <m/>
    <m/>
    <n v="0.15"/>
    <n v="0.14849999999999999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IERA"/>
    <s v="EPP TSIMELAHY"/>
    <m/>
    <m/>
    <n v="410"/>
    <m/>
    <x v="3"/>
    <s v="HGSF"/>
    <m/>
    <n v="2.5"/>
    <m/>
    <m/>
    <m/>
    <n v="0.15"/>
    <n v="0.17549999999999999"/>
    <m/>
    <m/>
    <m/>
    <m/>
    <m/>
    <m/>
    <m/>
    <n v="905608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IERA"/>
    <s v="EPP ANKARIERA"/>
    <m/>
    <m/>
    <n v="228"/>
    <m/>
    <x v="3"/>
    <s v="HGSF"/>
    <m/>
    <n v="1.4"/>
    <m/>
    <m/>
    <m/>
    <n v="0.1"/>
    <n v="9.9000000000000005E-2"/>
    <m/>
    <m/>
    <m/>
    <m/>
    <m/>
    <m/>
    <m/>
    <n v="503606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IERA"/>
    <s v="BERONGO"/>
    <m/>
    <m/>
    <n v="538"/>
    <m/>
    <x v="3"/>
    <s v="HGSF"/>
    <m/>
    <n v="3.25"/>
    <m/>
    <m/>
    <m/>
    <n v="0.2"/>
    <n v="0.23400000000000001"/>
    <m/>
    <m/>
    <m/>
    <m/>
    <m/>
    <m/>
    <m/>
    <n v="1188334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IERA"/>
    <s v="EPP ANDREVAVO"/>
    <m/>
    <m/>
    <n v="300"/>
    <m/>
    <x v="3"/>
    <s v="HGSF"/>
    <m/>
    <n v="1.85"/>
    <m/>
    <m/>
    <m/>
    <n v="0.1"/>
    <n v="0.1305"/>
    <m/>
    <m/>
    <m/>
    <m/>
    <m/>
    <m/>
    <m/>
    <n v="6626400"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KARIERA"/>
    <s v="EPP BEVILANY"/>
    <m/>
    <m/>
    <n v="253"/>
    <m/>
    <x v="3"/>
    <s v="HGSF"/>
    <m/>
    <n v="1.55"/>
    <m/>
    <m/>
    <m/>
    <n v="0.1"/>
    <n v="0.1125"/>
    <m/>
    <m/>
    <m/>
    <m/>
    <m/>
    <m/>
    <m/>
    <n v="5588264"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VARY"/>
    <s v="EPP ANDRIAMBE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SOAVARY"/>
    <s v="EPP SOAVARY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ANALAMARY"/>
    <s v="EPP BEVENTIHAZO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PP ANDROANGALAV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FORT DAUPHIN"/>
    <m/>
    <s v="TANANDAVA MADRERE"/>
    <s v="ECOLE COMMUNAUTAIRE ANTSIFOKONINA"/>
    <m/>
    <m/>
    <s v=" -   "/>
    <m/>
    <x v="3"/>
    <s v="HGSF"/>
    <m/>
    <n v="0"/>
    <m/>
    <m/>
    <m/>
    <n v="0"/>
    <n v="0"/>
    <m/>
    <m/>
    <m/>
    <m/>
    <m/>
    <m/>
    <m/>
    <m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"/>
    <s v="ANARABAJY"/>
    <m/>
    <m/>
    <n v="325"/>
    <m/>
    <x v="3"/>
    <s v="HGSF"/>
    <m/>
    <n v="2.25"/>
    <m/>
    <m/>
    <m/>
    <n v="0.15"/>
    <n v="0.16200000000000001"/>
    <m/>
    <m/>
    <m/>
    <m/>
    <m/>
    <m/>
    <m/>
    <n v="71786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ANKILEISOKE"/>
    <m/>
    <m/>
    <n v="361"/>
    <m/>
    <x v="3"/>
    <s v="HGSF"/>
    <m/>
    <n v="2.5"/>
    <m/>
    <m/>
    <m/>
    <n v="0.15"/>
    <n v="0.18"/>
    <m/>
    <m/>
    <m/>
    <m/>
    <m/>
    <m/>
    <m/>
    <n v="797376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I"/>
    <s v="EPP BEDARO"/>
    <m/>
    <m/>
    <n v="701"/>
    <m/>
    <x v="3"/>
    <s v="HGSF"/>
    <m/>
    <n v="4.8499999999999996"/>
    <m/>
    <m/>
    <m/>
    <n v="0.25"/>
    <n v="0.34649999999999997"/>
    <m/>
    <m/>
    <m/>
    <m/>
    <m/>
    <m/>
    <m/>
    <n v="1548368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BERANO GALLOIS"/>
    <m/>
    <m/>
    <n v="719"/>
    <m/>
    <x v="3"/>
    <s v="HGSF"/>
    <m/>
    <n v="4.95"/>
    <m/>
    <m/>
    <m/>
    <n v="0.25"/>
    <n v="0.35099999999999998"/>
    <m/>
    <m/>
    <m/>
    <m/>
    <m/>
    <m/>
    <m/>
    <n v="1588127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EPP HOVOTSOTSY"/>
    <m/>
    <m/>
    <n v="337"/>
    <m/>
    <x v="3"/>
    <s v="HGSF"/>
    <m/>
    <n v="2.2999999999999998"/>
    <m/>
    <m/>
    <m/>
    <n v="0.15"/>
    <n v="0.17100000000000001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EPP LOVASOA BEHABOBO"/>
    <m/>
    <m/>
    <n v="291"/>
    <m/>
    <x v="3"/>
    <s v="HGSF"/>
    <m/>
    <n v="2"/>
    <m/>
    <m/>
    <m/>
    <n v="0.1"/>
    <n v="0.14399999999999999"/>
    <m/>
    <m/>
    <m/>
    <m/>
    <m/>
    <m/>
    <m/>
    <n v="642760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ROMBAZY"/>
    <m/>
    <m/>
    <n v="386"/>
    <m/>
    <x v="3"/>
    <s v="HGSF"/>
    <m/>
    <n v="2.7"/>
    <m/>
    <m/>
    <m/>
    <n v="0.15"/>
    <n v="0.189"/>
    <m/>
    <m/>
    <m/>
    <m/>
    <m/>
    <m/>
    <m/>
    <n v="852596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EPP SPSM"/>
    <m/>
    <m/>
    <n v="1107"/>
    <m/>
    <x v="3"/>
    <s v="HGSF"/>
    <m/>
    <n v="7.6"/>
    <m/>
    <m/>
    <m/>
    <n v="0.4"/>
    <n v="0.54449999999999998"/>
    <m/>
    <m/>
    <m/>
    <m/>
    <m/>
    <m/>
    <m/>
    <n v="2445141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I"/>
    <s v="EPP TARANTY-AMBENDRA"/>
    <m/>
    <m/>
    <n v="165"/>
    <m/>
    <x v="3"/>
    <s v="HGSF"/>
    <m/>
    <n v="1.25"/>
    <m/>
    <m/>
    <m/>
    <n v="0.1"/>
    <n v="0.09"/>
    <m/>
    <m/>
    <m/>
    <m/>
    <m/>
    <m/>
    <m/>
    <n v="364452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TARANTSOA ANKITRY"/>
    <m/>
    <m/>
    <n v="573"/>
    <m/>
    <x v="3"/>
    <s v="HGSF"/>
    <m/>
    <n v="3.95"/>
    <m/>
    <m/>
    <m/>
    <n v="0.2"/>
    <n v="0.28349999999999997"/>
    <m/>
    <m/>
    <m/>
    <m/>
    <m/>
    <m/>
    <m/>
    <n v="1265642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BEVALA DP"/>
    <m/>
    <m/>
    <n v="621"/>
    <m/>
    <x v="3"/>
    <s v="HGSF"/>
    <m/>
    <n v="4.3"/>
    <m/>
    <m/>
    <m/>
    <n v="0.25"/>
    <n v="0.30599999999999999"/>
    <m/>
    <m/>
    <m/>
    <m/>
    <m/>
    <m/>
    <m/>
    <n v="1371664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"/>
    <s v="EPP SOARAVINA LIMBY"/>
    <m/>
    <m/>
    <n v="382"/>
    <m/>
    <x v="3"/>
    <s v="HGSF"/>
    <m/>
    <n v="2.65"/>
    <m/>
    <m/>
    <m/>
    <n v="0.15"/>
    <n v="0.189"/>
    <m/>
    <m/>
    <m/>
    <m/>
    <m/>
    <m/>
    <m/>
    <n v="843761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I"/>
    <s v="EPP ANDALOA BEDARO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AMBOASARY III"/>
    <s v="EPP TARANTY BAS"/>
    <m/>
    <m/>
    <n v="237"/>
    <m/>
    <x v="3"/>
    <s v="HGSF"/>
    <m/>
    <n v="1.8"/>
    <m/>
    <m/>
    <m/>
    <n v="0.1"/>
    <n v="0.1305"/>
    <m/>
    <m/>
    <m/>
    <m/>
    <m/>
    <m/>
    <m/>
    <n v="523485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ANDAVABAZA"/>
    <m/>
    <m/>
    <n v="545"/>
    <m/>
    <x v="3"/>
    <s v="HGSF"/>
    <m/>
    <n v="3.8"/>
    <m/>
    <m/>
    <m/>
    <n v="0.2"/>
    <n v="0.27"/>
    <m/>
    <m/>
    <m/>
    <m/>
    <m/>
    <m/>
    <m/>
    <n v="1203796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I"/>
    <s v="ANKIRIKIRY"/>
    <m/>
    <m/>
    <n v="581"/>
    <m/>
    <x v="3"/>
    <s v="HGSF"/>
    <m/>
    <n v="4"/>
    <m/>
    <m/>
    <m/>
    <n v="0.2"/>
    <n v="0.28799999999999998"/>
    <m/>
    <m/>
    <m/>
    <m/>
    <m/>
    <m/>
    <m/>
    <n v="1283312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ANTSIVAVY"/>
    <m/>
    <m/>
    <n v="423"/>
    <m/>
    <x v="3"/>
    <s v="HGSF"/>
    <m/>
    <n v="2.95"/>
    <m/>
    <m/>
    <m/>
    <n v="0.15"/>
    <n v="0.20699999999999999"/>
    <m/>
    <m/>
    <m/>
    <m/>
    <m/>
    <m/>
    <m/>
    <n v="934322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BEFAITSY"/>
    <m/>
    <m/>
    <n v="713"/>
    <m/>
    <x v="3"/>
    <s v="HGSF"/>
    <m/>
    <n v="4.95"/>
    <m/>
    <m/>
    <m/>
    <n v="0.25"/>
    <n v="0.35099999999999998"/>
    <m/>
    <m/>
    <m/>
    <m/>
    <m/>
    <m/>
    <m/>
    <n v="1574874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FANDIOVA"/>
    <m/>
    <m/>
    <n v="296"/>
    <m/>
    <x v="3"/>
    <s v="HGSF"/>
    <m/>
    <n v="2.0499999999999998"/>
    <m/>
    <m/>
    <m/>
    <n v="0.1"/>
    <n v="0.14399999999999999"/>
    <m/>
    <m/>
    <m/>
    <m/>
    <m/>
    <m/>
    <m/>
    <n v="653804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HELIBONDRO"/>
    <m/>
    <m/>
    <n v="504"/>
    <m/>
    <x v="3"/>
    <s v="HGSF"/>
    <m/>
    <n v="3.45"/>
    <m/>
    <m/>
    <m/>
    <n v="0.2"/>
    <n v="0.252"/>
    <m/>
    <m/>
    <m/>
    <m/>
    <m/>
    <m/>
    <m/>
    <n v="1113235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MAROMENA"/>
    <m/>
    <m/>
    <n v="526"/>
    <m/>
    <x v="3"/>
    <s v="HGSF"/>
    <m/>
    <n v="3.6"/>
    <m/>
    <m/>
    <m/>
    <n v="0.2"/>
    <n v="0.26100000000000001"/>
    <m/>
    <m/>
    <m/>
    <m/>
    <m/>
    <m/>
    <m/>
    <n v="1161828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MASIABIBY"/>
    <m/>
    <m/>
    <n v="461"/>
    <m/>
    <x v="3"/>
    <s v="HGSF"/>
    <m/>
    <n v="3.2"/>
    <m/>
    <m/>
    <m/>
    <n v="0.2"/>
    <n v="0.22950000000000001"/>
    <m/>
    <m/>
    <m/>
    <m/>
    <m/>
    <m/>
    <m/>
    <n v="1018256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I"/>
    <s v="RANOMAINTY"/>
    <m/>
    <m/>
    <n v="255"/>
    <m/>
    <x v="3"/>
    <s v="HGSF"/>
    <m/>
    <n v="1.95"/>
    <m/>
    <m/>
    <m/>
    <n v="0.1"/>
    <n v="0.13950000000000001"/>
    <m/>
    <m/>
    <m/>
    <m/>
    <m/>
    <m/>
    <m/>
    <n v="563244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ANKASIKITOKA"/>
    <m/>
    <m/>
    <n v="519"/>
    <m/>
    <x v="3"/>
    <s v="HGSF"/>
    <m/>
    <n v="3.6"/>
    <m/>
    <m/>
    <m/>
    <n v="0.2"/>
    <n v="0.25650000000000001"/>
    <m/>
    <m/>
    <m/>
    <m/>
    <m/>
    <m/>
    <m/>
    <n v="1146367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MAROMENA I"/>
    <m/>
    <m/>
    <n v="200"/>
    <m/>
    <x v="3"/>
    <s v="HGSF"/>
    <m/>
    <n v="1.55"/>
    <m/>
    <m/>
    <m/>
    <n v="0.1"/>
    <n v="0.108"/>
    <m/>
    <m/>
    <m/>
    <m/>
    <m/>
    <m/>
    <m/>
    <n v="44176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PP ANDRANOGISO"/>
    <m/>
    <m/>
    <n v="130"/>
    <m/>
    <x v="3"/>
    <s v="HGSF"/>
    <m/>
    <n v="1"/>
    <m/>
    <m/>
    <m/>
    <n v="0.05"/>
    <n v="7.1999999999999995E-2"/>
    <m/>
    <m/>
    <m/>
    <m/>
    <m/>
    <m/>
    <m/>
    <n v="287144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HARA I"/>
    <s v="ECOLE COMMUNAUTAIRE ETSILA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EBELO"/>
    <s v="Ranomainty"/>
    <m/>
    <m/>
    <n v="476"/>
    <m/>
    <x v="3"/>
    <s v="HGSF"/>
    <m/>
    <n v="3.3"/>
    <m/>
    <m/>
    <m/>
    <n v="0.2"/>
    <n v="0.23849999999999999"/>
    <m/>
    <m/>
    <m/>
    <m/>
    <m/>
    <m/>
    <m/>
    <n v="1051388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ESIRA"/>
    <s v="Eramamy"/>
    <m/>
    <m/>
    <n v="223"/>
    <m/>
    <x v="3"/>
    <s v="HGSF"/>
    <m/>
    <n v="1.7"/>
    <m/>
    <m/>
    <m/>
    <n v="0.1"/>
    <n v="0.1215"/>
    <m/>
    <m/>
    <m/>
    <m/>
    <m/>
    <m/>
    <m/>
    <n v="492562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AMBANINATO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Andranomanintsy"/>
    <m/>
    <m/>
    <n v="464"/>
    <m/>
    <x v="3"/>
    <s v="HGSF"/>
    <m/>
    <n v="3.2"/>
    <m/>
    <m/>
    <m/>
    <n v="0.2"/>
    <n v="0.23400000000000001"/>
    <m/>
    <m/>
    <m/>
    <m/>
    <m/>
    <m/>
    <m/>
    <n v="1024883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ANJAMAHAVELO"/>
    <m/>
    <m/>
    <n v="600"/>
    <m/>
    <x v="3"/>
    <s v="HGSF"/>
    <m/>
    <n v="4.1500000000000004"/>
    <m/>
    <m/>
    <m/>
    <n v="0.2"/>
    <n v="0.29699999999999999"/>
    <m/>
    <m/>
    <m/>
    <m/>
    <m/>
    <m/>
    <m/>
    <n v="132528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BEBARIMO"/>
    <m/>
    <m/>
    <n v="334"/>
    <m/>
    <x v="3"/>
    <s v="HGSF"/>
    <m/>
    <n v="2.35"/>
    <m/>
    <m/>
    <m/>
    <n v="0.15"/>
    <n v="0.16650000000000001"/>
    <m/>
    <m/>
    <m/>
    <m/>
    <m/>
    <m/>
    <m/>
    <n v="737739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"/>
    <s v="Belay"/>
    <m/>
    <m/>
    <n v="471"/>
    <m/>
    <x v="3"/>
    <s v="HGSF"/>
    <m/>
    <n v="3.25"/>
    <m/>
    <m/>
    <m/>
    <n v="0.2"/>
    <n v="0.23400000000000001"/>
    <m/>
    <m/>
    <m/>
    <m/>
    <m/>
    <m/>
    <m/>
    <n v="1040344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BERAKETA"/>
    <m/>
    <m/>
    <n v="610"/>
    <m/>
    <x v="3"/>
    <s v="HGSF"/>
    <m/>
    <n v="4.2"/>
    <m/>
    <m/>
    <m/>
    <n v="0.25"/>
    <n v="0.30149999999999999"/>
    <m/>
    <m/>
    <m/>
    <m/>
    <m/>
    <m/>
    <m/>
    <n v="1347368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"/>
    <s v="Besely"/>
    <m/>
    <m/>
    <n v="344"/>
    <m/>
    <x v="3"/>
    <s v="HGSF"/>
    <m/>
    <n v="2.4"/>
    <m/>
    <m/>
    <m/>
    <n v="0.15"/>
    <n v="0.17100000000000001"/>
    <m/>
    <m/>
    <m/>
    <m/>
    <m/>
    <m/>
    <m/>
    <n v="759827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Fenoaivo"/>
    <m/>
    <m/>
    <n v="420"/>
    <m/>
    <x v="3"/>
    <s v="HGSF"/>
    <m/>
    <n v="2.9"/>
    <m/>
    <m/>
    <m/>
    <n v="0.15"/>
    <n v="0.21149999999999999"/>
    <m/>
    <m/>
    <m/>
    <m/>
    <m/>
    <m/>
    <m/>
    <n v="927696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"/>
    <s v="IFOTAKA CENTRE"/>
    <m/>
    <m/>
    <n v="657"/>
    <m/>
    <x v="3"/>
    <s v="HGSF"/>
    <m/>
    <n v="4.55"/>
    <m/>
    <m/>
    <m/>
    <n v="0.25"/>
    <n v="0.32400000000000001"/>
    <m/>
    <m/>
    <m/>
    <m/>
    <m/>
    <m/>
    <m/>
    <n v="1451181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MAHABO"/>
    <m/>
    <m/>
    <n v="232"/>
    <m/>
    <x v="3"/>
    <s v="HGSF"/>
    <m/>
    <n v="1.8"/>
    <m/>
    <m/>
    <m/>
    <n v="0.1"/>
    <n v="0.126"/>
    <m/>
    <m/>
    <m/>
    <m/>
    <m/>
    <m/>
    <m/>
    <n v="512441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TSARIMPIOKY"/>
    <m/>
    <m/>
    <n v="509"/>
    <m/>
    <x v="3"/>
    <s v="HGSF"/>
    <m/>
    <n v="3.5"/>
    <m/>
    <m/>
    <m/>
    <n v="0.2"/>
    <n v="0.252"/>
    <m/>
    <m/>
    <m/>
    <m/>
    <m/>
    <m/>
    <m/>
    <n v="1124279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BEFANTSIOLOTSY"/>
    <m/>
    <m/>
    <n v="427"/>
    <m/>
    <x v="3"/>
    <s v="HGSF"/>
    <m/>
    <n v="2.95"/>
    <m/>
    <m/>
    <m/>
    <n v="0.15"/>
    <n v="0.21149999999999999"/>
    <m/>
    <m/>
    <m/>
    <m/>
    <m/>
    <m/>
    <m/>
    <n v="943157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Analoalo"/>
    <m/>
    <m/>
    <n v="337"/>
    <m/>
    <x v="3"/>
    <s v="HGSF"/>
    <m/>
    <n v="2.2999999999999998"/>
    <m/>
    <m/>
    <m/>
    <n v="0.15"/>
    <n v="0.17100000000000001"/>
    <m/>
    <m/>
    <m/>
    <m/>
    <m/>
    <m/>
    <m/>
    <n v="744365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AMBOVO"/>
    <m/>
    <m/>
    <n v="400"/>
    <m/>
    <x v="3"/>
    <s v="HGSF"/>
    <m/>
    <n v="2.8"/>
    <m/>
    <m/>
    <m/>
    <n v="0.15"/>
    <n v="0.19800000000000001"/>
    <m/>
    <m/>
    <m/>
    <m/>
    <m/>
    <m/>
    <m/>
    <n v="88352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ANJAHAMAVELO II"/>
    <m/>
    <m/>
    <n v="318"/>
    <m/>
    <x v="3"/>
    <s v="HGSF"/>
    <m/>
    <n v="2.2000000000000002"/>
    <m/>
    <m/>
    <m/>
    <n v="0.15"/>
    <n v="0.1575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LAVAKAPAHA"/>
    <m/>
    <m/>
    <n v="158"/>
    <m/>
    <x v="3"/>
    <s v="HGSF"/>
    <m/>
    <n v="1.2"/>
    <m/>
    <m/>
    <m/>
    <n v="0.1"/>
    <n v="8.5500000000000007E-2"/>
    <m/>
    <m/>
    <m/>
    <m/>
    <m/>
    <m/>
    <m/>
    <n v="348990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ANKAZOTA"/>
    <m/>
    <m/>
    <n v="200"/>
    <m/>
    <x v="3"/>
    <s v="HGSF"/>
    <m/>
    <n v="1.55"/>
    <m/>
    <m/>
    <m/>
    <n v="0.1"/>
    <n v="0.108"/>
    <m/>
    <m/>
    <m/>
    <m/>
    <m/>
    <m/>
    <m/>
    <n v="44176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EPP AMBATOMAINTY"/>
    <m/>
    <m/>
    <n v="278"/>
    <m/>
    <x v="3"/>
    <s v="HGSF"/>
    <m/>
    <n v="1.95"/>
    <m/>
    <m/>
    <m/>
    <n v="0.1"/>
    <n v="0.13950000000000001"/>
    <m/>
    <m/>
    <m/>
    <m/>
    <m/>
    <m/>
    <m/>
    <n v="614046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IFOTAKA II"/>
    <s v="Ankilimanitsy"/>
    <m/>
    <m/>
    <n v="318"/>
    <m/>
    <x v="3"/>
    <s v="HGSF"/>
    <m/>
    <n v="2.2000000000000002"/>
    <m/>
    <m/>
    <m/>
    <n v="0.15"/>
    <n v="0.1575"/>
    <m/>
    <m/>
    <m/>
    <m/>
    <m/>
    <m/>
    <m/>
    <n v="702398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ROMBY"/>
    <s v="Befihamy"/>
    <m/>
    <m/>
    <n v="335"/>
    <m/>
    <x v="3"/>
    <s v="HGSF"/>
    <m/>
    <n v="2.2999999999999998"/>
    <m/>
    <m/>
    <m/>
    <n v="0.15"/>
    <n v="0.16650000000000001"/>
    <m/>
    <m/>
    <m/>
    <m/>
    <m/>
    <m/>
    <m/>
    <n v="739948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ROMBY"/>
    <s v="EPP MAROMBY"/>
    <m/>
    <m/>
    <n v="530"/>
    <m/>
    <x v="3"/>
    <s v="HGSF"/>
    <m/>
    <n v="3.65"/>
    <m/>
    <m/>
    <m/>
    <n v="0.2"/>
    <n v="0.26100000000000001"/>
    <m/>
    <m/>
    <m/>
    <m/>
    <m/>
    <m/>
    <m/>
    <n v="1170664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ROMBY"/>
    <s v="Besakoa"/>
    <m/>
    <m/>
    <n v="125"/>
    <m/>
    <x v="3"/>
    <s v="HGSF"/>
    <m/>
    <n v="0.95"/>
    <m/>
    <m/>
    <m/>
    <n v="0.05"/>
    <n v="6.7500000000000004E-2"/>
    <m/>
    <m/>
    <m/>
    <m/>
    <m/>
    <m/>
    <m/>
    <n v="27610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SAMPONA"/>
    <s v="ANKILIMALAINDIO"/>
    <m/>
    <m/>
    <n v="644"/>
    <m/>
    <x v="3"/>
    <s v="HGSF"/>
    <m/>
    <n v="4.45"/>
    <m/>
    <m/>
    <m/>
    <n v="0.25"/>
    <n v="0.31950000000000001"/>
    <m/>
    <m/>
    <m/>
    <m/>
    <m/>
    <m/>
    <m/>
    <n v="1422467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SAMPONA"/>
    <s v="EPP EZAKA"/>
    <m/>
    <m/>
    <n v="455"/>
    <m/>
    <x v="3"/>
    <s v="HGSF"/>
    <m/>
    <n v="3.15"/>
    <m/>
    <m/>
    <m/>
    <n v="0.2"/>
    <n v="0.22500000000000001"/>
    <m/>
    <m/>
    <m/>
    <m/>
    <m/>
    <m/>
    <m/>
    <n v="1005004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SAMPONA"/>
    <s v="EPP MANINDRA"/>
    <m/>
    <m/>
    <n v="368"/>
    <m/>
    <x v="3"/>
    <s v="HGSF"/>
    <m/>
    <n v="2.5499999999999998"/>
    <m/>
    <m/>
    <m/>
    <n v="0.15"/>
    <n v="0.18"/>
    <m/>
    <m/>
    <m/>
    <m/>
    <m/>
    <m/>
    <m/>
    <n v="812838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SAMPONA"/>
    <s v="VAHAVOLA "/>
    <m/>
    <m/>
    <n v="735"/>
    <m/>
    <x v="3"/>
    <s v="HGSF"/>
    <m/>
    <n v="5.0999999999999996"/>
    <m/>
    <m/>
    <m/>
    <n v="0.25"/>
    <n v="0.36"/>
    <m/>
    <m/>
    <m/>
    <m/>
    <m/>
    <m/>
    <m/>
    <n v="1623468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SAMPONA"/>
    <s v="EPP ANKILIMANARA"/>
    <m/>
    <m/>
    <n v="397"/>
    <m/>
    <x v="3"/>
    <s v="HGSF"/>
    <m/>
    <n v="2.75"/>
    <m/>
    <m/>
    <m/>
    <n v="0.15"/>
    <n v="0.19350000000000001"/>
    <m/>
    <m/>
    <m/>
    <m/>
    <m/>
    <m/>
    <m/>
    <n v="876893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ANIZA"/>
    <m/>
    <m/>
    <n v="366"/>
    <m/>
    <x v="3"/>
    <s v="HGSF"/>
    <m/>
    <n v="2.5499999999999998"/>
    <m/>
    <m/>
    <m/>
    <n v="0.15"/>
    <n v="0.18"/>
    <m/>
    <m/>
    <m/>
    <m/>
    <m/>
    <m/>
    <m/>
    <n v="808420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AMPASIMPOLAKA"/>
    <m/>
    <m/>
    <n v="679"/>
    <m/>
    <x v="3"/>
    <s v="HGSF"/>
    <m/>
    <n v="4.7"/>
    <m/>
    <m/>
    <m/>
    <n v="0.25"/>
    <n v="0.33300000000000002"/>
    <m/>
    <m/>
    <m/>
    <m/>
    <m/>
    <m/>
    <m/>
    <n v="1499775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POTOBATO"/>
    <m/>
    <m/>
    <n v="294"/>
    <m/>
    <x v="3"/>
    <s v="HGSF"/>
    <m/>
    <n v="2.0499999999999998"/>
    <m/>
    <m/>
    <m/>
    <n v="0.1"/>
    <n v="0.14849999999999999"/>
    <m/>
    <m/>
    <m/>
    <m/>
    <m/>
    <m/>
    <m/>
    <n v="649387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OASARY CENTRE"/>
    <m/>
    <m/>
    <n v="251"/>
    <m/>
    <x v="3"/>
    <s v="HGSF"/>
    <m/>
    <n v="1.95"/>
    <m/>
    <m/>
    <m/>
    <n v="0.1"/>
    <n v="0.13950000000000001"/>
    <m/>
    <m/>
    <m/>
    <m/>
    <m/>
    <m/>
    <m/>
    <n v="554408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MAROAIKY II"/>
    <m/>
    <m/>
    <n v="293"/>
    <m/>
    <x v="3"/>
    <s v="HGSF"/>
    <m/>
    <n v="2"/>
    <m/>
    <m/>
    <m/>
    <n v="0.1"/>
    <n v="0.14849999999999999"/>
    <m/>
    <m/>
    <m/>
    <m/>
    <m/>
    <m/>
    <m/>
    <n v="647178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RANOMARO"/>
    <s v="EPP ANKARAHARA AMANDA"/>
    <m/>
    <m/>
    <n v="254"/>
    <m/>
    <x v="3"/>
    <s v="HGSF"/>
    <m/>
    <n v="1.95"/>
    <m/>
    <m/>
    <m/>
    <n v="0.1"/>
    <n v="0.13950000000000001"/>
    <m/>
    <m/>
    <m/>
    <m/>
    <m/>
    <m/>
    <m/>
    <n v="5610352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RANOMARO"/>
    <s v="Ampilira"/>
    <m/>
    <m/>
    <n v="331"/>
    <m/>
    <x v="3"/>
    <s v="HGSF"/>
    <m/>
    <n v="2.2999999999999998"/>
    <m/>
    <m/>
    <m/>
    <n v="0.15"/>
    <n v="0.16650000000000001"/>
    <m/>
    <m/>
    <m/>
    <m/>
    <m/>
    <m/>
    <m/>
    <n v="731112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RANOMARO"/>
    <s v="Beza"/>
    <m/>
    <m/>
    <n v="270"/>
    <m/>
    <x v="3"/>
    <s v="HGSF"/>
    <m/>
    <n v="1.85"/>
    <m/>
    <m/>
    <m/>
    <n v="0.1"/>
    <n v="0.13500000000000001"/>
    <m/>
    <m/>
    <m/>
    <m/>
    <m/>
    <m/>
    <m/>
    <n v="596376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RANOMARO"/>
    <s v="Tranomaro"/>
    <m/>
    <m/>
    <n v="690"/>
    <m/>
    <x v="3"/>
    <s v="HGSF"/>
    <m/>
    <n v="4.75"/>
    <m/>
    <m/>
    <m/>
    <n v="0.25"/>
    <n v="0.33750000000000002"/>
    <m/>
    <m/>
    <m/>
    <m/>
    <m/>
    <m/>
    <m/>
    <n v="1524072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RANOMARO"/>
    <s v="EPP ANKARAHARA NONOKY"/>
    <m/>
    <m/>
    <n v="142"/>
    <m/>
    <x v="3"/>
    <s v="HGSF"/>
    <m/>
    <n v="1.1000000000000001"/>
    <m/>
    <m/>
    <m/>
    <n v="0.05"/>
    <n v="7.6499999999999999E-2"/>
    <m/>
    <m/>
    <m/>
    <m/>
    <m/>
    <m/>
    <m/>
    <n v="313649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SIVORY"/>
    <s v="Ankilitelo"/>
    <m/>
    <m/>
    <n v="492"/>
    <m/>
    <x v="3"/>
    <s v="HGSF"/>
    <m/>
    <n v="3.4"/>
    <m/>
    <m/>
    <m/>
    <n v="0.2"/>
    <n v="0.2475"/>
    <m/>
    <m/>
    <m/>
    <m/>
    <m/>
    <m/>
    <m/>
    <n v="1086729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SIVORY"/>
    <s v="EPP BEVAHY"/>
    <m/>
    <m/>
    <n v="210"/>
    <m/>
    <x v="3"/>
    <s v="HGSF"/>
    <m/>
    <n v="1.6"/>
    <m/>
    <m/>
    <m/>
    <n v="0.1"/>
    <n v="0.11700000000000001"/>
    <m/>
    <m/>
    <m/>
    <m/>
    <m/>
    <m/>
    <m/>
    <n v="463848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SIVORY"/>
    <s v="EPP IMANJOLA"/>
    <m/>
    <m/>
    <n v="407"/>
    <m/>
    <x v="3"/>
    <s v="HGSF"/>
    <m/>
    <n v="2.8"/>
    <m/>
    <m/>
    <m/>
    <n v="0.15"/>
    <n v="0.20250000000000001"/>
    <m/>
    <m/>
    <m/>
    <m/>
    <m/>
    <m/>
    <m/>
    <n v="898981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SIVORY"/>
    <s v="Tsivory"/>
    <m/>
    <m/>
    <n v="1375"/>
    <m/>
    <x v="3"/>
    <s v="HGSF"/>
    <m/>
    <n v="9.4499999999999993"/>
    <m/>
    <m/>
    <m/>
    <n v="0.5"/>
    <n v="0.67949999999999999"/>
    <m/>
    <m/>
    <m/>
    <m/>
    <m/>
    <m/>
    <m/>
    <n v="303710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RANOBE"/>
    <s v="Ranobe"/>
    <m/>
    <m/>
    <n v="347"/>
    <m/>
    <x v="3"/>
    <s v="HGSF"/>
    <m/>
    <n v="2.4"/>
    <m/>
    <m/>
    <m/>
    <n v="0.15"/>
    <n v="0.17100000000000001"/>
    <m/>
    <m/>
    <m/>
    <m/>
    <m/>
    <m/>
    <m/>
    <n v="766453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OMBOARIVO"/>
    <s v="EPP ANDROMASY"/>
    <m/>
    <m/>
    <n v="106"/>
    <m/>
    <x v="3"/>
    <s v="HGSF"/>
    <m/>
    <n v="0.8"/>
    <m/>
    <m/>
    <m/>
    <n v="0.05"/>
    <n v="5.8500000000000003E-2"/>
    <m/>
    <m/>
    <m/>
    <m/>
    <m/>
    <m/>
    <m/>
    <n v="234132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OMBOARIVO"/>
    <s v="EPP MANANDAVENOKA"/>
    <m/>
    <m/>
    <n v="188"/>
    <m/>
    <x v="3"/>
    <s v="HGSF"/>
    <m/>
    <n v="1.45"/>
    <m/>
    <m/>
    <m/>
    <n v="0.1"/>
    <n v="0.10349999999999999"/>
    <m/>
    <m/>
    <m/>
    <m/>
    <m/>
    <m/>
    <m/>
    <n v="415254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TOMBOARIVO"/>
    <s v="EPP TOMBOARIVO"/>
    <m/>
    <m/>
    <n v="371"/>
    <m/>
    <x v="3"/>
    <s v="HGSF"/>
    <m/>
    <n v="2.5499999999999998"/>
    <m/>
    <m/>
    <m/>
    <n v="0.15"/>
    <n v="0.1845"/>
    <m/>
    <m/>
    <m/>
    <m/>
    <m/>
    <m/>
    <m/>
    <n v="8194648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OLOVOHITSY"/>
    <m/>
    <m/>
    <n v="213"/>
    <m/>
    <x v="3"/>
    <s v="HGSF"/>
    <m/>
    <n v="1.65"/>
    <m/>
    <m/>
    <m/>
    <n v="0.1"/>
    <n v="0.11700000000000001"/>
    <m/>
    <m/>
    <m/>
    <m/>
    <m/>
    <m/>
    <m/>
    <n v="470474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BEVOANGY"/>
    <m/>
    <m/>
    <n v="225"/>
    <m/>
    <x v="3"/>
    <s v="HGSF"/>
    <m/>
    <n v="1.75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ASY TANAMBAO"/>
    <m/>
    <m/>
    <n v="265"/>
    <m/>
    <x v="3"/>
    <s v="HGSF"/>
    <m/>
    <n v="2.0499999999999998"/>
    <m/>
    <m/>
    <m/>
    <n v="0.1"/>
    <n v="0.14399999999999999"/>
    <m/>
    <m/>
    <m/>
    <m/>
    <m/>
    <m/>
    <m/>
    <n v="585332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ASY CENTRE"/>
    <m/>
    <m/>
    <n v="212"/>
    <m/>
    <x v="3"/>
    <s v="HGSF"/>
    <m/>
    <n v="1.65"/>
    <m/>
    <m/>
    <m/>
    <n v="0.1"/>
    <n v="0.11700000000000001"/>
    <m/>
    <m/>
    <m/>
    <m/>
    <m/>
    <m/>
    <m/>
    <n v="4682656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BERANO VILLE"/>
    <s v="EPP AMBOLOVOHITSE TANAMIARY"/>
    <m/>
    <m/>
    <n v="218"/>
    <m/>
    <x v="3"/>
    <s v="HGSF"/>
    <m/>
    <n v="1.7"/>
    <m/>
    <m/>
    <m/>
    <n v="0.1"/>
    <n v="0.1215"/>
    <m/>
    <m/>
    <m/>
    <m/>
    <m/>
    <m/>
    <m/>
    <n v="481518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Fangidraty"/>
    <m/>
    <m/>
    <n v="203"/>
    <m/>
    <x v="3"/>
    <s v="HGSF"/>
    <m/>
    <n v="1.55"/>
    <m/>
    <m/>
    <m/>
    <n v="0.1"/>
    <n v="0.1125"/>
    <m/>
    <m/>
    <m/>
    <m/>
    <m/>
    <m/>
    <m/>
    <n v="448386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ANTSEJEBY"/>
    <m/>
    <m/>
    <n v="273"/>
    <m/>
    <x v="3"/>
    <s v="HGSF"/>
    <m/>
    <n v="1.9"/>
    <m/>
    <m/>
    <m/>
    <n v="0.1"/>
    <n v="0.13500000000000001"/>
    <m/>
    <m/>
    <m/>
    <m/>
    <m/>
    <m/>
    <m/>
    <n v="6030024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TSIMANATEBOLY"/>
    <m/>
    <m/>
    <n v="145"/>
    <m/>
    <x v="3"/>
    <s v="HGSF"/>
    <m/>
    <n v="1.1000000000000001"/>
    <m/>
    <m/>
    <m/>
    <n v="0.05"/>
    <n v="8.1000000000000003E-2"/>
    <m/>
    <m/>
    <m/>
    <m/>
    <m/>
    <m/>
    <m/>
    <n v="3202760"/>
    <m/>
  </r>
  <r>
    <x v="0"/>
    <n v="2024"/>
    <x v="3"/>
    <s v="SMP1"/>
    <x v="8"/>
    <s v="School feeding"/>
    <m/>
    <m/>
    <s v="Amboasary"/>
    <x v="0"/>
    <s v="Taolagnaro"/>
    <s v="Anosy"/>
    <s v="AMBOASARY SUD"/>
    <m/>
    <s v="MAHABO"/>
    <s v="EPP ANALOALO"/>
    <m/>
    <m/>
    <n v="142"/>
    <m/>
    <x v="3"/>
    <s v="HGSF"/>
    <m/>
    <n v="1.1000000000000001"/>
    <m/>
    <m/>
    <m/>
    <n v="0.05"/>
    <n v="7.6499999999999999E-2"/>
    <m/>
    <m/>
    <m/>
    <m/>
    <m/>
    <m/>
    <m/>
    <n v="313649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AMBANISARIKA"/>
    <m/>
    <m/>
    <n v="602"/>
    <m/>
    <x v="1"/>
    <s v="classique"/>
    <m/>
    <n v="4.0999999999999996"/>
    <m/>
    <m/>
    <m/>
    <n v="0.85"/>
    <n v="0.29249999999999998"/>
    <m/>
    <m/>
    <m/>
    <m/>
    <m/>
    <m/>
    <n v="5.242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EPP ANDROHONDROHO"/>
    <m/>
    <m/>
    <n v="322"/>
    <m/>
    <x v="3"/>
    <s v="HGSF"/>
    <m/>
    <n v="2.2000000000000002"/>
    <m/>
    <m/>
    <m/>
    <n v="0.15"/>
    <n v="0.1575"/>
    <m/>
    <m/>
    <m/>
    <m/>
    <m/>
    <m/>
    <m/>
    <n v="711233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MAHALOTO"/>
    <m/>
    <m/>
    <n v="510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TANAMBAO ANKILIFALY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EPP ANKIRAVA"/>
    <m/>
    <m/>
    <n v="198"/>
    <m/>
    <x v="3"/>
    <s v="HGSF"/>
    <m/>
    <n v="1.5"/>
    <m/>
    <m/>
    <m/>
    <n v="0.1"/>
    <n v="0.108"/>
    <m/>
    <m/>
    <m/>
    <m/>
    <m/>
    <m/>
    <m/>
    <n v="4373424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ETSOHA ANKILIROMOTSY"/>
    <m/>
    <m/>
    <n v="267"/>
    <m/>
    <x v="1"/>
    <s v="classique"/>
    <m/>
    <n v="1.85"/>
    <m/>
    <m/>
    <m/>
    <n v="0.35"/>
    <n v="0.1305"/>
    <m/>
    <m/>
    <m/>
    <m/>
    <m/>
    <m/>
    <n v="2.3305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RETOKA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NISARIKA"/>
    <s v="EPP ANTSAKOAMAMY"/>
    <m/>
    <m/>
    <n v="321"/>
    <m/>
    <x v="3"/>
    <s v="HGSF"/>
    <m/>
    <n v="2.2000000000000002"/>
    <m/>
    <m/>
    <m/>
    <n v="0.15"/>
    <n v="0.1575"/>
    <m/>
    <m/>
    <m/>
    <m/>
    <m/>
    <m/>
    <m/>
    <n v="70902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AMBAZOA"/>
    <m/>
    <m/>
    <n v="349"/>
    <m/>
    <x v="3"/>
    <s v="HGSF"/>
    <m/>
    <n v="2.7"/>
    <m/>
    <m/>
    <m/>
    <n v="0.15"/>
    <n v="0.17100000000000001"/>
    <m/>
    <m/>
    <m/>
    <m/>
    <m/>
    <m/>
    <m/>
    <n v="770871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AMBAZOAMAZAVA"/>
    <m/>
    <m/>
    <n v="559"/>
    <m/>
    <x v="1"/>
    <s v="classique"/>
    <m/>
    <n v="3.75"/>
    <m/>
    <m/>
    <m/>
    <n v="0.8"/>
    <n v="0.27"/>
    <m/>
    <m/>
    <m/>
    <m/>
    <m/>
    <m/>
    <n v="4.8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AMPAIPAIKA"/>
    <m/>
    <m/>
    <n v="342"/>
    <m/>
    <x v="1"/>
    <s v="classique"/>
    <m/>
    <n v="2.65"/>
    <m/>
    <m/>
    <m/>
    <n v="0.5"/>
    <n v="0.16650000000000001"/>
    <m/>
    <m/>
    <m/>
    <m/>
    <m/>
    <m/>
    <n v="3.316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EPP ANTANIMIHERY"/>
    <m/>
    <m/>
    <n v="721"/>
    <m/>
    <x v="3"/>
    <s v="HGSF"/>
    <m/>
    <n v="4.9000000000000004"/>
    <m/>
    <m/>
    <m/>
    <n v="0.25"/>
    <n v="0.34649999999999997"/>
    <m/>
    <m/>
    <m/>
    <m/>
    <m/>
    <m/>
    <m/>
    <n v="159254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TSIFAHERA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IKOTOALABAS"/>
    <m/>
    <m/>
    <n v="517"/>
    <m/>
    <x v="1"/>
    <s v="classique"/>
    <m/>
    <n v="4"/>
    <m/>
    <m/>
    <m/>
    <n v="0.9"/>
    <n v="0.28349999999999997"/>
    <m/>
    <m/>
    <m/>
    <m/>
    <m/>
    <m/>
    <n v="5.1835000000000004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SATRIE"/>
    <m/>
    <m/>
    <n v="32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AMBASY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AZOA"/>
    <s v="SOAMBOTRY"/>
    <m/>
    <m/>
    <n v="320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ANDAMBOMITRO"/>
    <m/>
    <m/>
    <n v="217"/>
    <m/>
    <x v="1"/>
    <s v="classique"/>
    <m/>
    <n v="1.65"/>
    <m/>
    <m/>
    <m/>
    <n v="0.4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EPP ANKATRAFAIMAZAVA"/>
    <m/>
    <m/>
    <n v="327"/>
    <m/>
    <x v="3"/>
    <s v="HGSF"/>
    <m/>
    <n v="2.2000000000000002"/>
    <m/>
    <m/>
    <m/>
    <n v="0.15"/>
    <n v="0.1575"/>
    <m/>
    <m/>
    <m/>
    <m/>
    <m/>
    <m/>
    <m/>
    <n v="7222776"/>
    <m/>
  </r>
  <r>
    <x v="0"/>
    <n v="2024"/>
    <x v="3"/>
    <s v="SMP1"/>
    <x v="8"/>
    <s v="School feeding"/>
    <m/>
    <m/>
    <s v="Ambovombe"/>
    <x v="0"/>
    <s v="Taolagnaro"/>
    <s v="Androy"/>
    <s v="Ambovombe"/>
    <m/>
    <s v="ANALAMARY"/>
    <s v="ANKILISANA"/>
    <m/>
    <m/>
    <n v="227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BEVOALAVO"/>
    <m/>
    <m/>
    <n v="320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EPP MAHATOMOTSY"/>
    <m/>
    <m/>
    <n v="277"/>
    <m/>
    <x v="3"/>
    <s v="HGSF"/>
    <m/>
    <n v="1.9"/>
    <m/>
    <m/>
    <m/>
    <n v="0.1"/>
    <n v="0.13500000000000001"/>
    <m/>
    <m/>
    <m/>
    <m/>
    <m/>
    <m/>
    <m/>
    <n v="611837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TATY"/>
    <m/>
    <m/>
    <n v="440"/>
    <m/>
    <x v="1"/>
    <s v="classique"/>
    <m/>
    <n v="3"/>
    <m/>
    <m/>
    <m/>
    <n v="0.65"/>
    <n v="0.21149999999999999"/>
    <m/>
    <m/>
    <m/>
    <m/>
    <m/>
    <m/>
    <n v="3.8614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MIARINTSOA"/>
    <m/>
    <m/>
    <n v="344"/>
    <m/>
    <x v="1"/>
    <s v="classique"/>
    <m/>
    <n v="2.35"/>
    <m/>
    <m/>
    <m/>
    <n v="0.5"/>
    <n v="0.16650000000000001"/>
    <m/>
    <m/>
    <m/>
    <m/>
    <m/>
    <m/>
    <n v="3.0165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ANKARAMENA"/>
    <m/>
    <m/>
    <n v="215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EPP ANTANAMIARE ANKILITELO"/>
    <m/>
    <m/>
    <n v="167"/>
    <m/>
    <x v="3"/>
    <s v="HGSF"/>
    <m/>
    <n v="1.3"/>
    <m/>
    <m/>
    <m/>
    <n v="0.1"/>
    <n v="0.09"/>
    <m/>
    <m/>
    <m/>
    <m/>
    <m/>
    <m/>
    <m/>
    <n v="368869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ANTRANOTSIEFA"/>
    <m/>
    <m/>
    <n v="26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TANANDAVA MATOMBOLY"/>
    <m/>
    <m/>
    <n v="287"/>
    <m/>
    <x v="1"/>
    <s v="classique"/>
    <m/>
    <n v="1.95"/>
    <m/>
    <m/>
    <m/>
    <n v="0.4"/>
    <n v="0.13950000000000001"/>
    <m/>
    <m/>
    <m/>
    <m/>
    <m/>
    <m/>
    <n v="2.489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AMPAMOLORA"/>
    <m/>
    <m/>
    <n v="226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ANDOHALAMBO"/>
    <m/>
    <m/>
    <n v="273"/>
    <m/>
    <x v="1"/>
    <s v="classique"/>
    <m/>
    <n v="1.85"/>
    <m/>
    <m/>
    <m/>
    <n v="0.4"/>
    <n v="0.13500000000000001"/>
    <m/>
    <m/>
    <m/>
    <m/>
    <m/>
    <m/>
    <n v="2.384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EPP ANKILEROE MAROLAVA"/>
    <m/>
    <m/>
    <n v="164"/>
    <m/>
    <x v="3"/>
    <s v="HGSF"/>
    <m/>
    <n v="1.25"/>
    <m/>
    <m/>
    <m/>
    <n v="0.1"/>
    <n v="0.09"/>
    <m/>
    <m/>
    <m/>
    <m/>
    <m/>
    <m/>
    <m/>
    <n v="362243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HIMALAZA"/>
    <s v="EPP ANDOHATRAGNO MAHAVONJY"/>
    <m/>
    <m/>
    <n v="246"/>
    <m/>
    <x v="3"/>
    <s v="HGSF"/>
    <m/>
    <n v="1.65"/>
    <m/>
    <m/>
    <m/>
    <n v="0.1"/>
    <n v="0.1215"/>
    <m/>
    <m/>
    <m/>
    <m/>
    <m/>
    <m/>
    <m/>
    <n v="54336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AMBOKOKE"/>
    <m/>
    <m/>
    <n v="161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AMBONAIVO"/>
    <m/>
    <m/>
    <n v="639"/>
    <m/>
    <x v="1"/>
    <s v="classique"/>
    <m/>
    <n v="4.3"/>
    <m/>
    <m/>
    <m/>
    <n v="0.9"/>
    <n v="0.3105"/>
    <m/>
    <m/>
    <m/>
    <m/>
    <m/>
    <m/>
    <n v="5.5105000000000004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BELALITSE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MAROMAINTY"/>
    <m/>
    <m/>
    <n v="241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NANDROSOA"/>
    <m/>
    <m/>
    <n v="156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AIVO"/>
    <s v="EPP BEANGEA"/>
    <m/>
    <m/>
    <n v="182"/>
    <m/>
    <x v="3"/>
    <s v="HGSF"/>
    <m/>
    <n v="1.4"/>
    <m/>
    <m/>
    <m/>
    <n v="0.1"/>
    <n v="9.9000000000000005E-2"/>
    <m/>
    <m/>
    <m/>
    <m/>
    <m/>
    <m/>
    <m/>
    <n v="402001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EPP AMPASEMAHASOA"/>
    <m/>
    <m/>
    <n v="420"/>
    <m/>
    <x v="3"/>
    <s v="HGSF"/>
    <m/>
    <n v="2.85"/>
    <m/>
    <m/>
    <m/>
    <n v="0.15"/>
    <n v="0.20699999999999999"/>
    <m/>
    <m/>
    <m/>
    <m/>
    <m/>
    <m/>
    <m/>
    <n v="927696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EPP AMBONDRO ANATIROVA"/>
    <m/>
    <m/>
    <n v="727"/>
    <m/>
    <x v="3"/>
    <s v="HGSF"/>
    <m/>
    <n v="4.9000000000000004"/>
    <m/>
    <m/>
    <m/>
    <n v="0.25"/>
    <n v="0.35099999999999998"/>
    <m/>
    <m/>
    <m/>
    <m/>
    <m/>
    <m/>
    <m/>
    <n v="1605797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ANDASARY"/>
    <m/>
    <m/>
    <n v="250"/>
    <m/>
    <x v="1"/>
    <s v="classique"/>
    <m/>
    <n v="1.7"/>
    <m/>
    <m/>
    <m/>
    <n v="0.35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EPP ANKAZOABO II"/>
    <m/>
    <m/>
    <n v="304"/>
    <m/>
    <x v="3"/>
    <s v="HGSF"/>
    <m/>
    <n v="2.0499999999999998"/>
    <m/>
    <m/>
    <m/>
    <n v="0.15"/>
    <n v="0.14849999999999999"/>
    <m/>
    <m/>
    <m/>
    <m/>
    <m/>
    <m/>
    <m/>
    <n v="671475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ANTSOTRY FALIAKONDRO"/>
    <m/>
    <m/>
    <n v="215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LAMITIHY BELANKY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LAMITIHY SUD"/>
    <m/>
    <m/>
    <n v="453"/>
    <m/>
    <x v="1"/>
    <s v="classique"/>
    <m/>
    <n v="3.05"/>
    <m/>
    <m/>
    <m/>
    <n v="0.65"/>
    <n v="0.2205"/>
    <m/>
    <m/>
    <m/>
    <m/>
    <m/>
    <m/>
    <n v="3.920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EPP MONTIFENO"/>
    <m/>
    <m/>
    <n v="355"/>
    <m/>
    <x v="3"/>
    <s v="HGSF"/>
    <m/>
    <n v="2.4500000000000002"/>
    <m/>
    <m/>
    <m/>
    <n v="0.15"/>
    <n v="0.17100000000000001"/>
    <m/>
    <m/>
    <m/>
    <m/>
    <m/>
    <m/>
    <m/>
    <n v="784124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TSIMANANKIARAKY"/>
    <m/>
    <m/>
    <n v="421"/>
    <m/>
    <x v="1"/>
    <s v="classique"/>
    <m/>
    <n v="2.85"/>
    <m/>
    <m/>
    <m/>
    <n v="0.6"/>
    <n v="0.20699999999999999"/>
    <m/>
    <m/>
    <m/>
    <m/>
    <m/>
    <m/>
    <n v="3.65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VAZOA"/>
    <m/>
    <m/>
    <n v="227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BELAY MAROLAVA"/>
    <m/>
    <m/>
    <n v="192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EPP IMONGY AMPIHAMY"/>
    <m/>
    <m/>
    <n v="298"/>
    <m/>
    <x v="3"/>
    <s v="HGSF"/>
    <m/>
    <n v="2.0499999999999998"/>
    <m/>
    <m/>
    <m/>
    <n v="0.1"/>
    <n v="0.14399999999999999"/>
    <m/>
    <m/>
    <m/>
    <m/>
    <m/>
    <m/>
    <m/>
    <n v="6582224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NDRO"/>
    <s v="LAMITIHY BELAZA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AMBAZOAMIRAFY"/>
    <m/>
    <m/>
    <n v="221"/>
    <m/>
    <x v="3"/>
    <s v="HGSF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AMBOASARY II"/>
    <m/>
    <m/>
    <n v="442"/>
    <m/>
    <x v="3"/>
    <s v="HGSF"/>
    <m/>
    <n v="3"/>
    <m/>
    <m/>
    <m/>
    <n v="0.15"/>
    <n v="0.216"/>
    <m/>
    <m/>
    <m/>
    <m/>
    <m/>
    <m/>
    <m/>
    <n v="976289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AMBOLOMAREAGNE"/>
    <m/>
    <m/>
    <n v="451"/>
    <m/>
    <x v="3"/>
    <s v="HGSF"/>
    <m/>
    <n v="3.05"/>
    <m/>
    <m/>
    <m/>
    <n v="0.15"/>
    <n v="0.216"/>
    <m/>
    <m/>
    <m/>
    <m/>
    <m/>
    <m/>
    <m/>
    <n v="996168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ANKARAMENA"/>
    <m/>
    <m/>
    <n v="382"/>
    <m/>
    <x v="3"/>
    <s v="HGSF"/>
    <m/>
    <n v="2.6"/>
    <m/>
    <m/>
    <m/>
    <n v="0.15"/>
    <n v="0.1845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ANKILIMAFAITSE"/>
    <m/>
    <m/>
    <n v="927"/>
    <m/>
    <x v="1"/>
    <s v="classique"/>
    <m/>
    <n v="5.25"/>
    <m/>
    <m/>
    <m/>
    <n v="1.35"/>
    <n v="0.45"/>
    <m/>
    <m/>
    <m/>
    <m/>
    <m/>
    <m/>
    <n v="7.0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ANTETEBEY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ANTSATRAHAMASY"/>
    <m/>
    <m/>
    <n v="276"/>
    <m/>
    <x v="3"/>
    <s v="HGSF"/>
    <m/>
    <n v="1.9"/>
    <m/>
    <m/>
    <m/>
    <n v="0.1"/>
    <n v="0.13500000000000001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ANTSEKY NORD"/>
    <m/>
    <m/>
    <n v="302"/>
    <m/>
    <x v="1"/>
    <s v="classique"/>
    <m/>
    <n v="2.0499999999999998"/>
    <m/>
    <m/>
    <m/>
    <n v="0.45"/>
    <n v="0.14849999999999999"/>
    <m/>
    <m/>
    <m/>
    <m/>
    <m/>
    <m/>
    <n v="2.6484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BEVATO"/>
    <m/>
    <m/>
    <n v="477"/>
    <m/>
    <x v="3"/>
    <s v="HGSF"/>
    <m/>
    <n v="3.25"/>
    <m/>
    <m/>
    <m/>
    <n v="0.2"/>
    <n v="0.23400000000000001"/>
    <m/>
    <m/>
    <m/>
    <m/>
    <m/>
    <m/>
    <m/>
    <n v="1053597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ESANTA"/>
    <m/>
    <m/>
    <n v="608"/>
    <m/>
    <x v="3"/>
    <s v="HGSF"/>
    <m/>
    <n v="4.0999999999999996"/>
    <m/>
    <m/>
    <m/>
    <n v="0.25"/>
    <n v="0.29249999999999998"/>
    <m/>
    <m/>
    <m/>
    <m/>
    <m/>
    <m/>
    <m/>
    <n v="13429504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MAROMALAY"/>
    <m/>
    <m/>
    <n v="392"/>
    <m/>
    <x v="3"/>
    <s v="HGSF"/>
    <m/>
    <n v="2.65"/>
    <m/>
    <m/>
    <m/>
    <n v="0.15"/>
    <n v="0.19350000000000001"/>
    <m/>
    <m/>
    <m/>
    <m/>
    <m/>
    <m/>
    <m/>
    <n v="865849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MITSANGANA"/>
    <m/>
    <m/>
    <n v="624"/>
    <m/>
    <x v="1"/>
    <s v="classique"/>
    <m/>
    <n v="4.25"/>
    <m/>
    <m/>
    <m/>
    <n v="1.05"/>
    <n v="0.30149999999999999"/>
    <m/>
    <m/>
    <m/>
    <m/>
    <m/>
    <m/>
    <n v="5.601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SEVOHIPOTY"/>
    <m/>
    <m/>
    <n v="613"/>
    <m/>
    <x v="3"/>
    <s v="HGSF"/>
    <m/>
    <n v="4.7"/>
    <m/>
    <m/>
    <m/>
    <n v="0.25"/>
    <n v="0.33750000000000002"/>
    <m/>
    <m/>
    <m/>
    <m/>
    <m/>
    <m/>
    <m/>
    <n v="13539944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TALAKY"/>
    <m/>
    <m/>
    <n v="551"/>
    <m/>
    <x v="3"/>
    <s v="HGSF"/>
    <m/>
    <n v="3.7"/>
    <m/>
    <m/>
    <m/>
    <n v="0.2"/>
    <n v="0.26550000000000001"/>
    <m/>
    <m/>
    <m/>
    <m/>
    <m/>
    <m/>
    <m/>
    <n v="1217048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ANTANAMBAO"/>
    <m/>
    <m/>
    <n v="948"/>
    <m/>
    <x v="1"/>
    <s v="classique"/>
    <m/>
    <n v="6.3"/>
    <m/>
    <m/>
    <m/>
    <n v="1.35"/>
    <n v="0.45900000000000002"/>
    <m/>
    <m/>
    <m/>
    <m/>
    <m/>
    <m/>
    <n v="8.10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TSEREDREO"/>
    <m/>
    <m/>
    <n v="210"/>
    <m/>
    <x v="3"/>
    <s v="HGSF"/>
    <m/>
    <n v="1.6"/>
    <m/>
    <m/>
    <m/>
    <n v="0.1"/>
    <n v="0.11700000000000001"/>
    <m/>
    <m/>
    <m/>
    <m/>
    <m/>
    <m/>
    <m/>
    <n v="463848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BEABO"/>
    <m/>
    <m/>
    <n v="721"/>
    <m/>
    <x v="3"/>
    <s v="HGSF"/>
    <m/>
    <n v="4.9000000000000004"/>
    <m/>
    <m/>
    <m/>
    <n v="0.25"/>
    <n v="0.34649999999999997"/>
    <m/>
    <m/>
    <m/>
    <m/>
    <m/>
    <m/>
    <m/>
    <n v="159254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EPP LAVANDRANDRA"/>
    <m/>
    <m/>
    <n v="359"/>
    <m/>
    <x v="3"/>
    <s v="HGSF"/>
    <m/>
    <n v="2.4"/>
    <m/>
    <m/>
    <m/>
    <n v="0.15"/>
    <n v="0.17549999999999999"/>
    <m/>
    <m/>
    <m/>
    <m/>
    <m/>
    <m/>
    <m/>
    <n v="792959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BEANIKEI"/>
    <m/>
    <m/>
    <n v="276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EPP TSINGIVILAHY"/>
    <m/>
    <m/>
    <n v="239"/>
    <m/>
    <x v="3"/>
    <s v="HGSF"/>
    <m/>
    <n v="1.65"/>
    <m/>
    <m/>
    <m/>
    <n v="0.1"/>
    <n v="0.11700000000000001"/>
    <m/>
    <m/>
    <m/>
    <m/>
    <m/>
    <m/>
    <m/>
    <n v="527903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I"/>
    <s v="ANKAZOABO"/>
    <m/>
    <m/>
    <n v="382"/>
    <m/>
    <x v="1"/>
    <s v="classique"/>
    <m/>
    <n v="2.6"/>
    <m/>
    <m/>
    <m/>
    <n v="0.55000000000000004"/>
    <n v="0.1845"/>
    <m/>
    <m/>
    <m/>
    <m/>
    <m/>
    <m/>
    <n v="3.3345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MBOVOMBE I"/>
    <s v="TOBY MAHAVELO"/>
    <m/>
    <m/>
    <n v="974"/>
    <m/>
    <x v="3"/>
    <s v="HGSF"/>
    <m/>
    <n v="6.55"/>
    <m/>
    <m/>
    <m/>
    <n v="0.35"/>
    <n v="0.46800000000000003"/>
    <m/>
    <m/>
    <m/>
    <m/>
    <m/>
    <m/>
    <m/>
    <n v="21513712"/>
    <m/>
  </r>
  <r>
    <x v="0"/>
    <n v="2024"/>
    <x v="3"/>
    <s v="SMP1"/>
    <x v="8"/>
    <s v="School feeding"/>
    <m/>
    <m/>
    <s v="Ambovombe"/>
    <x v="0"/>
    <s v="Taolagnaro"/>
    <s v="Androy"/>
    <s v="Ambovombe"/>
    <m/>
    <s v="AMPAMATA"/>
    <s v="EPP AMPAMATA CENTRE"/>
    <m/>
    <m/>
    <n v="511"/>
    <m/>
    <x v="3"/>
    <s v="HGSF"/>
    <m/>
    <n v="3.45"/>
    <m/>
    <m/>
    <m/>
    <n v="0.2"/>
    <n v="0.2475"/>
    <m/>
    <m/>
    <m/>
    <m/>
    <m/>
    <m/>
    <m/>
    <n v="1128696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PAMATA"/>
    <s v="EPP AMPANAPERANDROTSY I"/>
    <m/>
    <m/>
    <n v="382"/>
    <m/>
    <x v="3"/>
    <s v="HGSF"/>
    <m/>
    <n v="2.6"/>
    <m/>
    <m/>
    <m/>
    <n v="0.15"/>
    <n v="0.1845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s v="Ambovombe"/>
    <m/>
    <s v="AMPAMATA"/>
    <s v="EPP ANKALIRANO/BESATRA"/>
    <m/>
    <m/>
    <n v="133"/>
    <m/>
    <x v="3"/>
    <s v="HGSF"/>
    <m/>
    <n v="1"/>
    <m/>
    <m/>
    <m/>
    <n v="0.05"/>
    <n v="7.1999999999999995E-2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s v="Ambovombe"/>
    <m/>
    <s v="AMPAMATA"/>
    <s v="EPP BESATRA SOARANO"/>
    <m/>
    <m/>
    <n v="256"/>
    <m/>
    <x v="3"/>
    <s v="HGSF"/>
    <m/>
    <n v="1.75"/>
    <m/>
    <m/>
    <m/>
    <n v="0.1"/>
    <n v="0.126"/>
    <m/>
    <m/>
    <m/>
    <m/>
    <m/>
    <m/>
    <m/>
    <n v="5654528"/>
    <m/>
  </r>
  <r>
    <x v="0"/>
    <n v="2024"/>
    <x v="3"/>
    <s v="SMP1"/>
    <x v="8"/>
    <s v="School feeding"/>
    <m/>
    <m/>
    <s v="Ambovombe"/>
    <x v="0"/>
    <s v="Taolagnaro"/>
    <s v="Androy"/>
    <s v="Ambovombe"/>
    <m/>
    <s v="AMPAMATA"/>
    <s v="EPP TAFIANAMPELA"/>
    <m/>
    <m/>
    <n v="138"/>
    <m/>
    <x v="3"/>
    <s v="HGSF"/>
    <m/>
    <n v="1.05"/>
    <m/>
    <m/>
    <m/>
    <n v="0.05"/>
    <n v="7.6499999999999999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EPP AMBONDROMBE"/>
    <m/>
    <m/>
    <n v="346"/>
    <m/>
    <x v="3"/>
    <s v="HGSF"/>
    <m/>
    <n v="2.35"/>
    <m/>
    <m/>
    <m/>
    <n v="0.15"/>
    <n v="0.17100000000000001"/>
    <m/>
    <m/>
    <m/>
    <m/>
    <m/>
    <m/>
    <m/>
    <n v="7642448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ANDALATANOSY"/>
    <m/>
    <m/>
    <n v="607"/>
    <m/>
    <x v="3"/>
    <s v="HGSF"/>
    <m/>
    <n v="4.0999999999999996"/>
    <m/>
    <m/>
    <m/>
    <n v="0.25"/>
    <n v="0.29249999999999998"/>
    <m/>
    <m/>
    <m/>
    <m/>
    <m/>
    <m/>
    <m/>
    <n v="13407416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ANDRAMBAROTRA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BEHENA HAUT"/>
    <m/>
    <m/>
    <n v="354"/>
    <m/>
    <x v="1"/>
    <s v="classique"/>
    <m/>
    <n v="2.4"/>
    <m/>
    <m/>
    <m/>
    <n v="0.5"/>
    <n v="0.17100000000000001"/>
    <m/>
    <m/>
    <m/>
    <m/>
    <m/>
    <m/>
    <n v="3.0709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BEKOPIKE NORD"/>
    <m/>
    <m/>
    <n v="333"/>
    <m/>
    <x v="1"/>
    <s v="classique"/>
    <m/>
    <n v="2.2999999999999998"/>
    <m/>
    <m/>
    <m/>
    <n v="0.4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BEKOPIKE SUD"/>
    <m/>
    <m/>
    <n v="274"/>
    <m/>
    <x v="1"/>
    <s v="classique"/>
    <m/>
    <n v="1.85"/>
    <m/>
    <m/>
    <m/>
    <n v="0.4"/>
    <n v="0.13500000000000001"/>
    <m/>
    <m/>
    <m/>
    <m/>
    <m/>
    <m/>
    <n v="2.384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ECOLE COMMUNAUTAIRE ANDEMBY"/>
    <m/>
    <m/>
    <n v="234"/>
    <m/>
    <x v="3"/>
    <s v="HGSF"/>
    <m/>
    <n v="1.2"/>
    <m/>
    <m/>
    <m/>
    <n v="0.05"/>
    <n v="0.10349999999999999"/>
    <m/>
    <m/>
    <m/>
    <m/>
    <m/>
    <m/>
    <m/>
    <n v="5168592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ALATANOSY"/>
    <s v="EPP ANDROHONDROHO"/>
    <m/>
    <m/>
    <n v="194"/>
    <m/>
    <x v="3"/>
    <s v="HGSF"/>
    <m/>
    <n v="1.5"/>
    <m/>
    <m/>
    <m/>
    <n v="0.1"/>
    <n v="0.108"/>
    <m/>
    <m/>
    <m/>
    <m/>
    <m/>
    <m/>
    <m/>
    <n v="4285072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ANJEKY AMBOROKE"/>
    <m/>
    <m/>
    <n v="503"/>
    <m/>
    <x v="1"/>
    <s v="classique"/>
    <m/>
    <n v="3.4"/>
    <m/>
    <m/>
    <m/>
    <n v="0.75"/>
    <n v="0.24299999999999999"/>
    <m/>
    <m/>
    <m/>
    <m/>
    <m/>
    <m/>
    <n v="4.393000000000000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EPP ANJEKY ENIKONTY"/>
    <m/>
    <m/>
    <n v="500"/>
    <m/>
    <x v="3"/>
    <s v="HGSF"/>
    <m/>
    <n v="3.4"/>
    <m/>
    <m/>
    <m/>
    <n v="0.2"/>
    <n v="0.24299999999999999"/>
    <m/>
    <m/>
    <m/>
    <m/>
    <m/>
    <m/>
    <m/>
    <n v="11044000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ANJEKY ERADA"/>
    <m/>
    <m/>
    <n v="545"/>
    <m/>
    <x v="1"/>
    <s v="classique"/>
    <m/>
    <n v="3.7"/>
    <m/>
    <m/>
    <m/>
    <n v="0.8"/>
    <n v="0.26550000000000001"/>
    <m/>
    <m/>
    <m/>
    <m/>
    <m/>
    <m/>
    <n v="4.765500000000000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ANKILIKIRA"/>
    <m/>
    <m/>
    <n v="662"/>
    <m/>
    <x v="1"/>
    <s v="classique"/>
    <m/>
    <n v="4.45"/>
    <m/>
    <m/>
    <m/>
    <n v="0.95"/>
    <n v="0.31950000000000001"/>
    <m/>
    <m/>
    <m/>
    <m/>
    <m/>
    <m/>
    <n v="5.719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BEANANTARA"/>
    <m/>
    <m/>
    <n v="724"/>
    <m/>
    <x v="3"/>
    <s v="HGSF"/>
    <m/>
    <n v="4.9000000000000004"/>
    <m/>
    <m/>
    <m/>
    <n v="0.25"/>
    <n v="0.35099999999999998"/>
    <m/>
    <m/>
    <m/>
    <m/>
    <m/>
    <m/>
    <m/>
    <n v="15991712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EPP MAROFOTY AVARADROVA"/>
    <m/>
    <m/>
    <n v="491"/>
    <m/>
    <x v="3"/>
    <s v="HGSF"/>
    <m/>
    <n v="3.35"/>
    <m/>
    <m/>
    <m/>
    <n v="0.2"/>
    <n v="0.23849999999999999"/>
    <m/>
    <m/>
    <m/>
    <m/>
    <m/>
    <m/>
    <m/>
    <n v="10845208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MAROHO CENTRE"/>
    <m/>
    <m/>
    <n v="558"/>
    <m/>
    <x v="1"/>
    <s v="classique"/>
    <m/>
    <n v="3.8"/>
    <m/>
    <m/>
    <m/>
    <n v="0.8"/>
    <n v="0.27"/>
    <m/>
    <m/>
    <m/>
    <m/>
    <m/>
    <m/>
    <n v="4.869999999999999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EPP ANJEKY BEIEVOTSE"/>
    <m/>
    <m/>
    <n v="429"/>
    <m/>
    <x v="3"/>
    <s v="HGSF"/>
    <m/>
    <n v="2.9"/>
    <m/>
    <m/>
    <m/>
    <n v="0.15"/>
    <n v="0.20699999999999999"/>
    <m/>
    <m/>
    <m/>
    <m/>
    <m/>
    <m/>
    <m/>
    <n v="9475752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EPP EDABA TANANTSOA"/>
    <m/>
    <m/>
    <n v="558"/>
    <m/>
    <x v="3"/>
    <s v="HGSF"/>
    <m/>
    <n v="3.8"/>
    <m/>
    <m/>
    <m/>
    <n v="0.2"/>
    <n v="0.27"/>
    <m/>
    <m/>
    <m/>
    <m/>
    <m/>
    <m/>
    <m/>
    <n v="12325104"/>
    <m/>
  </r>
  <r>
    <x v="0"/>
    <n v="2024"/>
    <x v="3"/>
    <s v="SMP1"/>
    <x v="8"/>
    <s v="School feeding"/>
    <m/>
    <m/>
    <s v="Ambovombe"/>
    <x v="0"/>
    <s v="Taolagnaro"/>
    <s v="Androy"/>
    <s v="Ambovombe"/>
    <m/>
    <s v="BEANANTARA"/>
    <s v="EPP TSIMIHEVO"/>
    <m/>
    <m/>
    <n v="398"/>
    <m/>
    <x v="3"/>
    <s v="HGSF"/>
    <m/>
    <n v="2.7"/>
    <m/>
    <m/>
    <m/>
    <n v="0.15"/>
    <n v="0.19350000000000001"/>
    <m/>
    <m/>
    <m/>
    <m/>
    <m/>
    <m/>
    <m/>
    <n v="8791024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-OUEST"/>
    <s v="ANDABOLY ANTANIMORA SUD"/>
    <m/>
    <m/>
    <n v="754"/>
    <m/>
    <x v="3"/>
    <s v="HGSF"/>
    <m/>
    <n v="5.0999999999999996"/>
    <m/>
    <m/>
    <m/>
    <n v="0.25"/>
    <n v="0.36449999999999999"/>
    <m/>
    <m/>
    <m/>
    <m/>
    <m/>
    <m/>
    <m/>
    <n v="16654352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 EST"/>
    <s v="EPP ANKILIFALY"/>
    <m/>
    <m/>
    <n v="267"/>
    <m/>
    <x v="3"/>
    <s v="HGSF"/>
    <m/>
    <n v="1.85"/>
    <m/>
    <m/>
    <m/>
    <n v="0.1"/>
    <n v="0.1305"/>
    <m/>
    <m/>
    <m/>
    <m/>
    <m/>
    <m/>
    <m/>
    <n v="5897496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OHARANO"/>
    <s v="ANKILEMASY TEDO TSIMIALONJAFY"/>
    <m/>
    <m/>
    <n v="337"/>
    <m/>
    <x v="1"/>
    <s v="classique"/>
    <m/>
    <n v="2.25"/>
    <m/>
    <m/>
    <m/>
    <n v="0.5"/>
    <n v="0.16650000000000001"/>
    <m/>
    <m/>
    <m/>
    <m/>
    <m/>
    <m/>
    <n v="2.9165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OHARANO"/>
    <s v="ANKILIMILOPAKE"/>
    <m/>
    <m/>
    <n v="411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 OUEST"/>
    <s v="EPP ANTANIMORA CENTRE"/>
    <m/>
    <m/>
    <n v="1001"/>
    <m/>
    <x v="3"/>
    <s v="HGSF"/>
    <m/>
    <n v="7.45"/>
    <m/>
    <m/>
    <m/>
    <n v="0.35"/>
    <n v="0.54900000000000004"/>
    <m/>
    <m/>
    <m/>
    <m/>
    <m/>
    <m/>
    <m/>
    <n v="22110088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 EST"/>
    <s v="EPP MANAVY"/>
    <m/>
    <m/>
    <n v="234"/>
    <m/>
    <x v="3"/>
    <s v="HGSF"/>
    <m/>
    <n v="1.8"/>
    <m/>
    <m/>
    <m/>
    <n v="0.1"/>
    <n v="0.1305"/>
    <m/>
    <m/>
    <m/>
    <m/>
    <m/>
    <m/>
    <m/>
    <n v="5168592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OHARANO"/>
    <s v="AMBINANY I"/>
    <m/>
    <m/>
    <n v="255"/>
    <m/>
    <x v="3"/>
    <s v="HGSF"/>
    <m/>
    <n v="1.75"/>
    <m/>
    <m/>
    <m/>
    <n v="0.1"/>
    <n v="0.1215"/>
    <m/>
    <m/>
    <m/>
    <m/>
    <m/>
    <m/>
    <m/>
    <n v="563244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 EST"/>
    <s v="EPP BEMAMBA AMPOZY"/>
    <m/>
    <m/>
    <n v="190"/>
    <m/>
    <x v="3"/>
    <s v="HGSF"/>
    <m/>
    <n v="1.45"/>
    <m/>
    <m/>
    <m/>
    <n v="0.1"/>
    <n v="0.10349999999999999"/>
    <m/>
    <m/>
    <m/>
    <m/>
    <m/>
    <m/>
    <m/>
    <n v="419672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TANIMORA EST"/>
    <s v="EPP AMPOZY ANKARAMANOY"/>
    <m/>
    <m/>
    <n v="191"/>
    <m/>
    <x v="3"/>
    <s v="HGSF"/>
    <m/>
    <n v="1.45"/>
    <m/>
    <m/>
    <m/>
    <n v="0.1"/>
    <n v="0.10349999999999999"/>
    <m/>
    <m/>
    <m/>
    <m/>
    <m/>
    <m/>
    <m/>
    <n v="4218808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AMBANIKILY NORD"/>
    <m/>
    <m/>
    <n v="212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AMBORY I"/>
    <m/>
    <m/>
    <n v="737"/>
    <m/>
    <x v="1"/>
    <s v="classique"/>
    <m/>
    <n v="4.95"/>
    <m/>
    <m/>
    <m/>
    <n v="1.05"/>
    <n v="0.35549999999999998"/>
    <m/>
    <m/>
    <m/>
    <m/>
    <m/>
    <m/>
    <n v="6.3555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ANKARAGNABO"/>
    <m/>
    <m/>
    <n v="490"/>
    <m/>
    <x v="1"/>
    <s v="classique"/>
    <m/>
    <n v="3.35"/>
    <m/>
    <m/>
    <m/>
    <n v="0.7"/>
    <n v="0.23849999999999999"/>
    <m/>
    <m/>
    <m/>
    <m/>
    <m/>
    <m/>
    <n v="4.288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BELITSAKY"/>
    <m/>
    <m/>
    <n v="411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ERADA"/>
    <m/>
    <m/>
    <n v="712"/>
    <m/>
    <x v="1"/>
    <s v="classique"/>
    <m/>
    <n v="4.8"/>
    <m/>
    <m/>
    <m/>
    <n v="1.05"/>
    <n v="0.34649999999999997"/>
    <m/>
    <m/>
    <m/>
    <m/>
    <m/>
    <m/>
    <n v="6.196499999999999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MITREAKY"/>
    <m/>
    <m/>
    <n v="291"/>
    <m/>
    <x v="1"/>
    <s v="classique"/>
    <m/>
    <n v="1.95"/>
    <m/>
    <m/>
    <m/>
    <n v="0.4"/>
    <n v="0.14399999999999999"/>
    <m/>
    <m/>
    <m/>
    <m/>
    <m/>
    <m/>
    <n v="2.494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NISOROGNA"/>
    <m/>
    <m/>
    <n v="280"/>
    <m/>
    <x v="1"/>
    <s v="classique"/>
    <m/>
    <n v="1.9"/>
    <m/>
    <m/>
    <m/>
    <n v="0"/>
    <n v="0.13950000000000001"/>
    <m/>
    <m/>
    <m/>
    <m/>
    <m/>
    <m/>
    <n v="2.0394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ERADA"/>
    <s v="HABOHABONORD"/>
    <m/>
    <m/>
    <n v="200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IMANOMBO"/>
    <s v="EPP BETSIRIRY"/>
    <m/>
    <m/>
    <s v=" -   "/>
    <m/>
    <x v="3"/>
    <s v="HGSF"/>
    <m/>
    <n v="0"/>
    <m/>
    <m/>
    <m/>
    <n v="0"/>
    <n v="0"/>
    <m/>
    <m/>
    <m/>
    <m/>
    <m/>
    <m/>
    <m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EPP ANKARANANIVO"/>
    <m/>
    <m/>
    <n v="312"/>
    <m/>
    <x v="3"/>
    <s v="HGSF"/>
    <m/>
    <n v="2.15"/>
    <m/>
    <m/>
    <m/>
    <n v="0.15"/>
    <n v="0.14849999999999999"/>
    <m/>
    <m/>
    <m/>
    <m/>
    <m/>
    <m/>
    <m/>
    <n v="6891456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ANKILIMIANDRA"/>
    <m/>
    <m/>
    <n v="249"/>
    <m/>
    <x v="3"/>
    <s v="HGSF"/>
    <m/>
    <n v="1.7"/>
    <m/>
    <m/>
    <m/>
    <n v="0.1"/>
    <n v="0.1215"/>
    <m/>
    <m/>
    <m/>
    <m/>
    <m/>
    <m/>
    <m/>
    <n v="5499912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EPP ANKILIMIARY"/>
    <m/>
    <m/>
    <n v="228"/>
    <m/>
    <x v="3"/>
    <s v="HGSF"/>
    <m/>
    <n v="1.55"/>
    <m/>
    <m/>
    <m/>
    <n v="0.1"/>
    <n v="0.1125"/>
    <m/>
    <m/>
    <m/>
    <m/>
    <m/>
    <m/>
    <m/>
    <n v="5036064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ANKOROKOROKE"/>
    <m/>
    <m/>
    <n v="183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ANKOTSOBE"/>
    <m/>
    <m/>
    <n v="480"/>
    <m/>
    <x v="1"/>
    <s v="classique"/>
    <m/>
    <n v="3.25"/>
    <m/>
    <m/>
    <m/>
    <n v="0.7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EPP BESAKOA BAS"/>
    <m/>
    <m/>
    <n v="423"/>
    <m/>
    <x v="3"/>
    <s v="HGSF"/>
    <m/>
    <n v="2.9"/>
    <m/>
    <m/>
    <m/>
    <n v="0.15"/>
    <n v="0.20250000000000001"/>
    <m/>
    <m/>
    <m/>
    <m/>
    <m/>
    <m/>
    <m/>
    <n v="9343224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JAFARO"/>
    <m/>
    <m/>
    <n v="483"/>
    <m/>
    <x v="3"/>
    <s v="HGSF"/>
    <m/>
    <n v="3.25"/>
    <m/>
    <m/>
    <m/>
    <n v="0.2"/>
    <n v="0.23400000000000001"/>
    <m/>
    <m/>
    <m/>
    <m/>
    <m/>
    <m/>
    <m/>
    <n v="10668504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TSIABETSAKA"/>
    <m/>
    <m/>
    <n v="256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EPP AMBATORATY"/>
    <m/>
    <m/>
    <n v="328"/>
    <m/>
    <x v="3"/>
    <s v="HGSF"/>
    <m/>
    <n v="2.2000000000000002"/>
    <m/>
    <m/>
    <m/>
    <n v="0.15"/>
    <n v="0.1575"/>
    <m/>
    <m/>
    <m/>
    <m/>
    <m/>
    <m/>
    <m/>
    <n v="7244864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EPP TSIMANARAKE"/>
    <m/>
    <m/>
    <n v="354"/>
    <m/>
    <x v="3"/>
    <s v="HGSF"/>
    <m/>
    <n v="2.4"/>
    <m/>
    <m/>
    <m/>
    <n v="0.15"/>
    <n v="0.17100000000000001"/>
    <m/>
    <m/>
    <m/>
    <m/>
    <m/>
    <m/>
    <m/>
    <n v="7819152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ANKARANANDINDO"/>
    <m/>
    <m/>
    <n v="262"/>
    <m/>
    <x v="3"/>
    <s v="HGSF"/>
    <m/>
    <n v="1.8"/>
    <m/>
    <m/>
    <m/>
    <n v="0.1"/>
    <n v="0.1305"/>
    <m/>
    <m/>
    <m/>
    <m/>
    <m/>
    <m/>
    <m/>
    <n v="5787056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LAGNANE"/>
    <m/>
    <m/>
    <n v="313"/>
    <m/>
    <x v="3"/>
    <s v="HGSF"/>
    <m/>
    <n v="2.1"/>
    <m/>
    <m/>
    <m/>
    <n v="0.15"/>
    <n v="0.153"/>
    <m/>
    <m/>
    <m/>
    <m/>
    <m/>
    <m/>
    <m/>
    <n v="6913544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ECOLE COMMUNAUTAIRE ANKISAKISAKE"/>
    <m/>
    <m/>
    <n v="324"/>
    <m/>
    <x v="1"/>
    <s v="classique"/>
    <m/>
    <n v="2.2000000000000002"/>
    <m/>
    <m/>
    <m/>
    <n v="0.45"/>
    <n v="0.1575"/>
    <m/>
    <m/>
    <m/>
    <m/>
    <m/>
    <m/>
    <n v="2.807500000000000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EPP ANKILIMALANGY"/>
    <m/>
    <m/>
    <n v="307"/>
    <m/>
    <x v="3"/>
    <s v="HGSF"/>
    <m/>
    <n v="2.1"/>
    <m/>
    <m/>
    <m/>
    <n v="0.15"/>
    <n v="0.153"/>
    <m/>
    <m/>
    <m/>
    <m/>
    <m/>
    <m/>
    <m/>
    <n v="6781016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EPP BEVOTRY"/>
    <m/>
    <m/>
    <n v="193"/>
    <m/>
    <x v="3"/>
    <s v="HGSF"/>
    <m/>
    <n v="1.5"/>
    <m/>
    <m/>
    <m/>
    <n v="0.1"/>
    <n v="0.108"/>
    <m/>
    <m/>
    <m/>
    <m/>
    <m/>
    <m/>
    <m/>
    <n v="4262984"/>
    <m/>
  </r>
  <r>
    <x v="0"/>
    <n v="2024"/>
    <x v="3"/>
    <s v="SMP1"/>
    <x v="8"/>
    <s v="School feeding"/>
    <m/>
    <m/>
    <s v="Ambovombe"/>
    <x v="0"/>
    <s v="Taolagnaro"/>
    <s v="Androy"/>
    <s v="Ambovombe"/>
    <m/>
    <s v="JAFARO"/>
    <s v="EPP ANDROTOKA"/>
    <m/>
    <m/>
    <n v="170"/>
    <m/>
    <x v="3"/>
    <s v="HGSF"/>
    <m/>
    <n v="1.3"/>
    <m/>
    <m/>
    <m/>
    <n v="0.1"/>
    <n v="9.4500000000000001E-2"/>
    <m/>
    <m/>
    <m/>
    <m/>
    <m/>
    <m/>
    <m/>
    <n v="375496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EPP AMPANIHY-HAUT"/>
    <m/>
    <m/>
    <n v="191"/>
    <m/>
    <x v="3"/>
    <s v="HGSF"/>
    <m/>
    <n v="1.45"/>
    <m/>
    <m/>
    <m/>
    <n v="0.1"/>
    <n v="0.10349999999999999"/>
    <m/>
    <m/>
    <m/>
    <m/>
    <m/>
    <m/>
    <m/>
    <n v="4218808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ANKILIMANINTSY II"/>
    <m/>
    <m/>
    <n v="444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ANKOROROKA MAHAZOSOA"/>
    <m/>
    <m/>
    <n v="641"/>
    <m/>
    <x v="1"/>
    <s v="classique"/>
    <m/>
    <n v="4.95"/>
    <m/>
    <m/>
    <m/>
    <n v="1.1000000000000001"/>
    <n v="0.35099999999999998"/>
    <m/>
    <m/>
    <m/>
    <m/>
    <m/>
    <m/>
    <n v="6.401000000000000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BELAMBO"/>
    <m/>
    <m/>
    <n v="374"/>
    <m/>
    <x v="1"/>
    <s v="classique"/>
    <m/>
    <n v="2.5499999999999998"/>
    <m/>
    <m/>
    <m/>
    <n v="0.5"/>
    <n v="0.18"/>
    <m/>
    <m/>
    <m/>
    <m/>
    <m/>
    <m/>
    <n v="3.2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EPP ANKILIMAROALOKA"/>
    <m/>
    <m/>
    <n v="438"/>
    <m/>
    <x v="3"/>
    <s v="HGSF"/>
    <m/>
    <n v="2.95"/>
    <m/>
    <m/>
    <m/>
    <n v="0.15"/>
    <n v="0.21149999999999999"/>
    <m/>
    <m/>
    <m/>
    <m/>
    <m/>
    <m/>
    <m/>
    <n v="9674544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VAHAVOLA ANKILESOA"/>
    <m/>
    <m/>
    <n v="425"/>
    <m/>
    <x v="1"/>
    <s v="classique"/>
    <m/>
    <n v="2.85"/>
    <m/>
    <m/>
    <m/>
    <n v="0.6"/>
    <n v="0.20699999999999999"/>
    <m/>
    <m/>
    <m/>
    <m/>
    <m/>
    <m/>
    <n v="3.65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RADABETSIMIVAKY"/>
    <m/>
    <m/>
    <n v="522"/>
    <m/>
    <x v="1"/>
    <s v="classique"/>
    <m/>
    <n v="3.55"/>
    <m/>
    <m/>
    <m/>
    <n v="0.75"/>
    <n v="0.252"/>
    <m/>
    <m/>
    <m/>
    <m/>
    <m/>
    <m/>
    <n v="4.551999999999999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ERAKOKA"/>
    <m/>
    <m/>
    <n v="1042"/>
    <m/>
    <x v="1"/>
    <s v="classique"/>
    <m/>
    <n v="6.95"/>
    <m/>
    <m/>
    <m/>
    <n v="1.55"/>
    <n v="0.47699999999999998"/>
    <m/>
    <m/>
    <m/>
    <m/>
    <m/>
    <m/>
    <n v="8.977000000000000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MAINTY"/>
    <s v="ANKILIHOGO HAUT"/>
    <m/>
    <m/>
    <n v="526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AMBOASARY I"/>
    <m/>
    <m/>
    <n v="812"/>
    <m/>
    <x v="1"/>
    <s v="classique"/>
    <m/>
    <n v="5.55"/>
    <m/>
    <m/>
    <m/>
    <n v="1.2"/>
    <n v="0.36899999999999999"/>
    <m/>
    <m/>
    <m/>
    <m/>
    <m/>
    <m/>
    <n v="7.118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ANTSOMONTSOY"/>
    <m/>
    <m/>
    <n v="807"/>
    <m/>
    <x v="1"/>
    <s v="classique"/>
    <m/>
    <n v="5.45"/>
    <m/>
    <m/>
    <m/>
    <n v="1.1499999999999999"/>
    <n v="0.38700000000000001"/>
    <m/>
    <m/>
    <m/>
    <m/>
    <m/>
    <m/>
    <n v="6.987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BEHABOBO NORD"/>
    <m/>
    <m/>
    <n v="858"/>
    <m/>
    <x v="1"/>
    <s v="classique"/>
    <m/>
    <n v="5.8"/>
    <m/>
    <m/>
    <m/>
    <n v="1.25"/>
    <n v="0.41399999999999998"/>
    <m/>
    <m/>
    <m/>
    <m/>
    <m/>
    <m/>
    <n v="7.463999999999999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MAROALOPOTY II"/>
    <m/>
    <m/>
    <n v="650"/>
    <m/>
    <x v="1"/>
    <s v="classique"/>
    <m/>
    <n v="5"/>
    <m/>
    <m/>
    <m/>
    <n v="1.1000000000000001"/>
    <n v="0.35549999999999998"/>
    <m/>
    <m/>
    <m/>
    <m/>
    <m/>
    <m/>
    <n v="6.4554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SOATSIFA"/>
    <m/>
    <m/>
    <n v="609"/>
    <m/>
    <x v="1"/>
    <s v="classique"/>
    <m/>
    <n v="4.7"/>
    <m/>
    <m/>
    <m/>
    <n v="1.05"/>
    <n v="0.33300000000000002"/>
    <m/>
    <m/>
    <m/>
    <m/>
    <m/>
    <m/>
    <n v="6.083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TANAMBAO SUD"/>
    <m/>
    <m/>
    <n v="601"/>
    <m/>
    <x v="1"/>
    <s v="classique"/>
    <m/>
    <n v="4.0999999999999996"/>
    <m/>
    <m/>
    <m/>
    <n v="0.85"/>
    <n v="0.29249999999999998"/>
    <m/>
    <m/>
    <m/>
    <m/>
    <m/>
    <m/>
    <n v="5.242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SOATAMEA MORAFENO"/>
    <m/>
    <m/>
    <n v="340"/>
    <m/>
    <x v="1"/>
    <s v="classique"/>
    <m/>
    <n v="2.6"/>
    <m/>
    <m/>
    <m/>
    <n v="0.6"/>
    <n v="0.189"/>
    <m/>
    <m/>
    <m/>
    <m/>
    <m/>
    <m/>
    <n v="3.389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SAVARA CENTRE"/>
    <m/>
    <m/>
    <n v="454"/>
    <m/>
    <x v="1"/>
    <s v="classique"/>
    <m/>
    <n v="3.1"/>
    <m/>
    <m/>
    <m/>
    <n v="0.65"/>
    <n v="0.2205"/>
    <m/>
    <m/>
    <m/>
    <m/>
    <m/>
    <m/>
    <n v="3.9704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ALOPOTY"/>
    <s v="EPP MAROPIA AMPISOPISO"/>
    <m/>
    <m/>
    <n v="172"/>
    <m/>
    <x v="3"/>
    <s v="HGSF"/>
    <m/>
    <n v="1.3"/>
    <m/>
    <m/>
    <m/>
    <n v="0.1"/>
    <n v="9.4500000000000001E-2"/>
    <m/>
    <m/>
    <m/>
    <m/>
    <m/>
    <m/>
    <m/>
    <n v="3799136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VATO BEFENO"/>
    <s v="EPP AMBOROKAHAKE"/>
    <m/>
    <m/>
    <n v="374"/>
    <m/>
    <x v="3"/>
    <s v="HGSF"/>
    <m/>
    <n v="2.5499999999999998"/>
    <m/>
    <m/>
    <m/>
    <n v="0.15"/>
    <n v="0.18"/>
    <m/>
    <m/>
    <m/>
    <m/>
    <m/>
    <m/>
    <m/>
    <n v="8260912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VATO BEFENO"/>
    <s v="MAROVATO BEFENO"/>
    <m/>
    <m/>
    <n v="539"/>
    <m/>
    <x v="1"/>
    <s v="classique"/>
    <m/>
    <n v="3.65"/>
    <m/>
    <m/>
    <m/>
    <n v="0.75"/>
    <n v="0.26100000000000001"/>
    <m/>
    <m/>
    <m/>
    <m/>
    <m/>
    <m/>
    <n v="4.661000000000000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VATO BEFENO"/>
    <s v="NAMALAZA I"/>
    <m/>
    <m/>
    <n v="348"/>
    <m/>
    <x v="1"/>
    <s v="classique"/>
    <m/>
    <n v="2.35"/>
    <m/>
    <m/>
    <m/>
    <n v="0.5"/>
    <n v="0.17100000000000001"/>
    <m/>
    <m/>
    <m/>
    <m/>
    <m/>
    <m/>
    <n v="3.020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MAROVATO BEFENO"/>
    <s v="EPP TSITEKE HAZOLAVA"/>
    <m/>
    <m/>
    <n v="280"/>
    <m/>
    <x v="3"/>
    <s v="HGSF"/>
    <m/>
    <n v="1.9"/>
    <m/>
    <m/>
    <m/>
    <n v="0.1"/>
    <n v="0.13950000000000001"/>
    <m/>
    <m/>
    <m/>
    <m/>
    <m/>
    <m/>
    <m/>
    <n v="618464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ANALAISOKE"/>
    <m/>
    <m/>
    <n v="447"/>
    <m/>
    <x v="3"/>
    <s v="HGSF"/>
    <m/>
    <n v="3"/>
    <m/>
    <m/>
    <m/>
    <n v="0.15"/>
    <n v="0.216"/>
    <m/>
    <m/>
    <m/>
    <m/>
    <m/>
    <m/>
    <m/>
    <n v="9873336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ANALAMANOY"/>
    <m/>
    <m/>
    <n v="225"/>
    <m/>
    <x v="3"/>
    <s v="HGSF"/>
    <m/>
    <n v="1.5"/>
    <m/>
    <m/>
    <m/>
    <n v="0.1"/>
    <n v="0.108"/>
    <m/>
    <m/>
    <m/>
    <m/>
    <m/>
    <m/>
    <m/>
    <n v="496980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ANDRAMANERA"/>
    <m/>
    <m/>
    <n v="209"/>
    <m/>
    <x v="3"/>
    <s v="HGSF"/>
    <m/>
    <n v="1.6"/>
    <m/>
    <m/>
    <m/>
    <n v="0.1"/>
    <n v="0.11700000000000001"/>
    <m/>
    <m/>
    <m/>
    <m/>
    <m/>
    <m/>
    <m/>
    <n v="4616392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ANKALITRANDRAKE"/>
    <m/>
    <m/>
    <n v="252"/>
    <m/>
    <x v="1"/>
    <s v="classique"/>
    <m/>
    <n v="1.7"/>
    <m/>
    <m/>
    <m/>
    <n v="0.4"/>
    <n v="0.126"/>
    <m/>
    <m/>
    <m/>
    <m/>
    <m/>
    <m/>
    <n v="2.22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ANKAZOMANGA"/>
    <m/>
    <m/>
    <n v="308"/>
    <m/>
    <x v="1"/>
    <s v="classique"/>
    <m/>
    <n v="2.1"/>
    <m/>
    <m/>
    <m/>
    <n v="0"/>
    <n v="0.153"/>
    <m/>
    <m/>
    <m/>
    <m/>
    <m/>
    <m/>
    <n v="2.253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ANKILIABO NORD"/>
    <m/>
    <m/>
    <n v="383"/>
    <m/>
    <x v="1"/>
    <s v="classique"/>
    <m/>
    <n v="2.6"/>
    <m/>
    <m/>
    <m/>
    <n v="0.55000000000000004"/>
    <n v="0.1845"/>
    <m/>
    <m/>
    <m/>
    <m/>
    <m/>
    <m/>
    <n v="3.3345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BELINDO/ANALAHOVA"/>
    <m/>
    <m/>
    <n v="323"/>
    <m/>
    <x v="3"/>
    <s v="HGSF"/>
    <m/>
    <n v="2.2000000000000002"/>
    <m/>
    <m/>
    <m/>
    <n v="0.15"/>
    <n v="0.1575"/>
    <m/>
    <m/>
    <m/>
    <m/>
    <m/>
    <m/>
    <m/>
    <n v="7134424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IANAKAFY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MANTSAKE"/>
    <m/>
    <m/>
    <n v="250"/>
    <m/>
    <x v="3"/>
    <s v="HGSF"/>
    <m/>
    <n v="1.7"/>
    <m/>
    <m/>
    <m/>
    <n v="0.1"/>
    <n v="0.1215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MIANDRA"/>
    <m/>
    <m/>
    <n v="253"/>
    <m/>
    <x v="3"/>
    <s v="HGSF"/>
    <m/>
    <n v="1.75"/>
    <m/>
    <m/>
    <m/>
    <n v="0.1"/>
    <n v="0.126"/>
    <m/>
    <m/>
    <m/>
    <m/>
    <m/>
    <m/>
    <m/>
    <n v="5588264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MORAFENO"/>
    <m/>
    <m/>
    <n v="368"/>
    <m/>
    <x v="1"/>
    <s v="classique"/>
    <m/>
    <n v="2.5"/>
    <m/>
    <m/>
    <m/>
    <n v="0.5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SILIMOSA"/>
    <m/>
    <m/>
    <n v="275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TANANDAVA"/>
    <m/>
    <m/>
    <n v="409"/>
    <m/>
    <x v="1"/>
    <s v="classique"/>
    <m/>
    <n v="2.8"/>
    <m/>
    <m/>
    <m/>
    <n v="0.6"/>
    <n v="0.19800000000000001"/>
    <m/>
    <m/>
    <m/>
    <m/>
    <m/>
    <m/>
    <n v="3.5979999999999999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PP TERABOVO"/>
    <m/>
    <m/>
    <n v="353"/>
    <m/>
    <x v="3"/>
    <s v="HGSF"/>
    <m/>
    <n v="2.4"/>
    <m/>
    <m/>
    <m/>
    <n v="0.15"/>
    <n v="0.17100000000000001"/>
    <m/>
    <m/>
    <m/>
    <m/>
    <m/>
    <m/>
    <m/>
    <n v="7797064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TONDROKE"/>
    <m/>
    <m/>
    <n v="162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SIHANAMARO"/>
    <s v="ECOLE COMMUNAUTAIRE SIHANAMITOHY MAROLAVA II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ANKARA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MOKOFO"/>
    <m/>
    <m/>
    <n v="520"/>
    <m/>
    <x v="1"/>
    <s v="classique"/>
    <m/>
    <n v="3.5"/>
    <m/>
    <m/>
    <m/>
    <n v="0.75"/>
    <n v="0.252"/>
    <m/>
    <m/>
    <m/>
    <m/>
    <m/>
    <m/>
    <n v="4.501999999999999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AMBITIKE I"/>
    <m/>
    <m/>
    <n v="364"/>
    <m/>
    <x v="1"/>
    <s v="classique"/>
    <m/>
    <n v="2.5"/>
    <m/>
    <m/>
    <m/>
    <n v="0.55000000000000004"/>
    <n v="0.18"/>
    <m/>
    <m/>
    <m/>
    <m/>
    <m/>
    <m/>
    <n v="3.23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AMBITIKE II"/>
    <m/>
    <m/>
    <n v="398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EPP TSIMIHEVO"/>
    <m/>
    <m/>
    <n v="274"/>
    <m/>
    <x v="3"/>
    <s v="HGSF"/>
    <m/>
    <n v="1.85"/>
    <m/>
    <m/>
    <m/>
    <n v="0.1"/>
    <n v="0.13500000000000001"/>
    <m/>
    <m/>
    <m/>
    <m/>
    <m/>
    <m/>
    <m/>
    <n v="6052112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AGNANATSAKOA SOATAMEA"/>
    <m/>
    <m/>
    <n v="298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EPP SOALIOKE"/>
    <m/>
    <m/>
    <n v="455"/>
    <m/>
    <x v="3"/>
    <s v="HGSF"/>
    <m/>
    <n v="3.1"/>
    <m/>
    <m/>
    <m/>
    <n v="0.2"/>
    <n v="0.2205"/>
    <m/>
    <m/>
    <m/>
    <m/>
    <m/>
    <m/>
    <m/>
    <n v="10050040"/>
    <m/>
  </r>
  <r>
    <x v="0"/>
    <n v="2024"/>
    <x v="3"/>
    <s v="SMP1"/>
    <x v="8"/>
    <s v="School feeding"/>
    <m/>
    <m/>
    <s v="Ambovombe"/>
    <x v="0"/>
    <s v="Taolagnaro"/>
    <s v="Androy"/>
    <s v="Ambovombe"/>
    <m/>
    <s v="TSIMANANADA"/>
    <s v="ANJAMARO"/>
    <m/>
    <m/>
    <n v="512"/>
    <m/>
    <x v="1"/>
    <s v="classique"/>
    <m/>
    <n v="3.5"/>
    <m/>
    <m/>
    <m/>
    <n v="0.75"/>
    <n v="0.2475"/>
    <m/>
    <m/>
    <m/>
    <m/>
    <m/>
    <m/>
    <n v="4.4974999999999996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ALAMARY"/>
    <s v="ANAFONDRAVOAY"/>
    <m/>
    <m/>
    <n v="508"/>
    <m/>
    <x v="1"/>
    <s v="classique"/>
    <m/>
    <n v="3.45"/>
    <m/>
    <m/>
    <m/>
    <n v="0.75"/>
    <n v="0.24299999999999999"/>
    <m/>
    <m/>
    <m/>
    <m/>
    <m/>
    <m/>
    <n v="4.443000000000000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ALAMARY"/>
    <s v="ANKILIMALANGY I"/>
    <m/>
    <m/>
    <n v="262"/>
    <m/>
    <x v="1"/>
    <s v="classique"/>
    <m/>
    <n v="1.8"/>
    <m/>
    <m/>
    <m/>
    <n v="0.35"/>
    <n v="0.1305"/>
    <m/>
    <m/>
    <m/>
    <m/>
    <m/>
    <m/>
    <n v="2.2805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ALAMARY"/>
    <s v="ANKILIMALANGY II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ALAMARY"/>
    <s v="ANALAMARY CENTRE"/>
    <m/>
    <m/>
    <n v="297"/>
    <m/>
    <x v="1"/>
    <m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ANDRAGNANIVO"/>
    <s v="Androvamare"/>
    <m/>
    <m/>
    <n v="271"/>
    <m/>
    <x v="3"/>
    <s v="HGSF"/>
    <m/>
    <n v="1.85"/>
    <m/>
    <m/>
    <m/>
    <n v="0.1"/>
    <n v="0.1305"/>
    <m/>
    <m/>
    <m/>
    <m/>
    <m/>
    <m/>
    <m/>
    <n v="5985848"/>
    <m/>
  </r>
  <r>
    <x v="0"/>
    <n v="2024"/>
    <x v="3"/>
    <s v="SMP1"/>
    <x v="8"/>
    <s v="School feeding"/>
    <m/>
    <m/>
    <s v="Ambovombe"/>
    <x v="0"/>
    <s v="Taolagnaro"/>
    <s v="Androy"/>
    <s v="Ambovombe"/>
    <m/>
    <s v=" ANTANIMORA EST "/>
    <s v=" Vohitsova "/>
    <m/>
    <m/>
    <n v="553"/>
    <m/>
    <x v="1"/>
    <s v="classique"/>
    <m/>
    <n v="4.25"/>
    <m/>
    <m/>
    <m/>
    <n v="0.2"/>
    <n v="0.30599999999999999"/>
    <m/>
    <m/>
    <m/>
    <m/>
    <m/>
    <m/>
    <n v="4.7560000000000002"/>
    <n v="0"/>
    <m/>
  </r>
  <r>
    <x v="0"/>
    <n v="2024"/>
    <x v="3"/>
    <s v="SMP1"/>
    <x v="8"/>
    <s v="School feeding"/>
    <m/>
    <m/>
    <s v="Ambovombe"/>
    <x v="0"/>
    <s v="Taolagnaro"/>
    <s v="Androy"/>
    <s v="Ambovombe"/>
    <m/>
    <s v=" AMBOHIMALAZA "/>
    <s v=" ANKAKO "/>
    <m/>
    <m/>
    <n v="314"/>
    <m/>
    <x v="1"/>
    <s v="HGSF"/>
    <m/>
    <n v="2.4"/>
    <m/>
    <m/>
    <m/>
    <n v="0.15"/>
    <n v="0.17100000000000001"/>
    <m/>
    <m/>
    <m/>
    <m/>
    <m/>
    <m/>
    <n v="2.7209999999999996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DAVAKIO"/>
    <m/>
    <m/>
    <n v="217"/>
    <m/>
    <x v="1"/>
    <s v="classique"/>
    <m/>
    <n v="1.65"/>
    <m/>
    <m/>
    <m/>
    <n v="0.4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DAY I"/>
    <m/>
    <m/>
    <n v="511"/>
    <m/>
    <x v="1"/>
    <s v="classique"/>
    <m/>
    <n v="1.7"/>
    <m/>
    <m/>
    <m/>
    <n v="0.35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DAZA"/>
    <m/>
    <m/>
    <n v="363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JAMPALY"/>
    <m/>
    <m/>
    <n v="451"/>
    <m/>
    <x v="1"/>
    <s v="classique"/>
    <m/>
    <n v="1.45"/>
    <m/>
    <m/>
    <m/>
    <n v="0.3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KATAMBOALAVO"/>
    <m/>
    <m/>
    <n v="403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ANTENY EST"/>
    <m/>
    <m/>
    <n v="350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TANAMANJARY"/>
    <m/>
    <m/>
    <n v="245"/>
    <m/>
    <x v="1"/>
    <s v="classique"/>
    <m/>
    <n v="1.9"/>
    <m/>
    <m/>
    <m/>
    <n v="0.45"/>
    <n v="0.13500000000000001"/>
    <m/>
    <m/>
    <m/>
    <m/>
    <m/>
    <m/>
    <n v="2.4850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JAMPALY"/>
    <s v="TSITINDROKA"/>
    <m/>
    <m/>
    <n v="316"/>
    <m/>
    <x v="1"/>
    <s v="classique"/>
    <m/>
    <n v="2.0499999999999998"/>
    <m/>
    <m/>
    <m/>
    <n v="0.4"/>
    <n v="0.14849999999999999"/>
    <m/>
    <m/>
    <m/>
    <m/>
    <m/>
    <m/>
    <n v="2.5984999999999996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KILIVALO"/>
    <s v="AMBATOMANOY"/>
    <m/>
    <m/>
    <n v="253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KILIVALO"/>
    <s v="ANDRANOMASY"/>
    <m/>
    <m/>
    <n v="314"/>
    <m/>
    <x v="1"/>
    <s v="classique"/>
    <m/>
    <n v="1.7"/>
    <m/>
    <m/>
    <m/>
    <n v="0.35"/>
    <n v="0.1215"/>
    <m/>
    <m/>
    <m/>
    <m/>
    <m/>
    <m/>
    <n v="2.171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KILIVALO"/>
    <s v="ANKILIVALO SUD"/>
    <m/>
    <m/>
    <n v="236"/>
    <m/>
    <x v="1"/>
    <s v="classique"/>
    <m/>
    <n v="1.65"/>
    <m/>
    <m/>
    <m/>
    <n v="0.35"/>
    <n v="0.1215"/>
    <m/>
    <m/>
    <m/>
    <m/>
    <m/>
    <m/>
    <n v="2.1215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KILIVALO"/>
    <s v="EROMBAZA"/>
    <m/>
    <m/>
    <n v="256"/>
    <m/>
    <x v="1"/>
    <s v="classique"/>
    <m/>
    <n v="1.45"/>
    <m/>
    <m/>
    <m/>
    <n v="0.3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KILIVALO"/>
    <s v="NAMOTAHA"/>
    <m/>
    <m/>
    <n v="259"/>
    <m/>
    <x v="1"/>
    <s v="classique"/>
    <m/>
    <n v="1.4"/>
    <m/>
    <m/>
    <m/>
    <n v="0.35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TARITARIKA NORD"/>
    <s v="AMBOHITSE"/>
    <m/>
    <m/>
    <n v="268"/>
    <m/>
    <x v="3"/>
    <s v="HGSF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Ambovombe"/>
    <x v="0"/>
    <s v="Taolagnaro"/>
    <s v="Androy"/>
    <s v="Tsihombe"/>
    <m/>
    <s v="ANTARITARIKA NORD"/>
    <s v="ANAKANIA"/>
    <m/>
    <m/>
    <n v="197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TARITARIKA NORD"/>
    <s v="ANDROVAMARE"/>
    <m/>
    <m/>
    <n v="23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TARITARIKA NORD"/>
    <s v="ANJAMPANANIKA"/>
    <m/>
    <m/>
    <n v="319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ANTARITARIKA NORD"/>
    <s v="ANJIRA"/>
    <m/>
    <m/>
    <n v="360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AMBOVO NORD"/>
    <m/>
    <m/>
    <n v="293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BEVARO I"/>
    <m/>
    <m/>
    <n v="197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MAROHATAKE"/>
    <m/>
    <m/>
    <n v="200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SENORO"/>
    <m/>
    <m/>
    <n v="249"/>
    <m/>
    <x v="1"/>
    <s v="classique"/>
    <m/>
    <n v="0.85"/>
    <m/>
    <m/>
    <m/>
    <n v="0.2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TAMONTO OUEST"/>
    <m/>
    <m/>
    <n v="253"/>
    <m/>
    <x v="1"/>
    <s v="classique"/>
    <m/>
    <n v="1.45"/>
    <m/>
    <m/>
    <m/>
    <n v="0.3"/>
    <n v="0.108"/>
    <m/>
    <m/>
    <m/>
    <m/>
    <m/>
    <m/>
    <n v="1.858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BEHAZOMANGA"/>
    <s v="TANAMBAO"/>
    <m/>
    <m/>
    <n v="224"/>
    <m/>
    <x v="3"/>
    <s v="HGSF"/>
    <m/>
    <n v="1.7"/>
    <m/>
    <m/>
    <m/>
    <n v="0.1"/>
    <n v="0.1215"/>
    <m/>
    <m/>
    <m/>
    <m/>
    <m/>
    <m/>
    <m/>
    <n v="4947712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EST"/>
    <s v="AMBORY"/>
    <m/>
    <m/>
    <n v="232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EST"/>
    <s v="ANOVY SUD"/>
    <m/>
    <m/>
    <n v="296"/>
    <m/>
    <x v="1"/>
    <s v="classique"/>
    <m/>
    <n v="1.5"/>
    <m/>
    <m/>
    <m/>
    <n v="0.3"/>
    <n v="0.10349999999999999"/>
    <m/>
    <m/>
    <m/>
    <m/>
    <m/>
    <m/>
    <n v="1.903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EST"/>
    <s v="ANTAVY NORD"/>
    <m/>
    <m/>
    <n v="287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EST"/>
    <s v="MAROBE FAUX CAP"/>
    <m/>
    <m/>
    <n v="175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EST"/>
    <s v="MORAFENO"/>
    <m/>
    <m/>
    <n v="296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AMBOTRY"/>
    <m/>
    <m/>
    <n v="490"/>
    <m/>
    <x v="1"/>
    <s v="classique"/>
    <m/>
    <n v="3.75"/>
    <m/>
    <m/>
    <m/>
    <n v="0.85"/>
    <n v="0.27"/>
    <m/>
    <m/>
    <m/>
    <m/>
    <m/>
    <m/>
    <n v="4.869999999999999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ANJATELO"/>
    <m/>
    <m/>
    <n v="289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BENONOKA"/>
    <m/>
    <m/>
    <n v="264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BEVORY NORD"/>
    <m/>
    <m/>
    <n v="278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FAUX CAP"/>
    <m/>
    <m/>
    <n v="203"/>
    <m/>
    <x v="3"/>
    <s v="HGSF"/>
    <m/>
    <n v="1.1000000000000001"/>
    <m/>
    <m/>
    <m/>
    <n v="0.1"/>
    <n v="8.1000000000000003E-2"/>
    <m/>
    <m/>
    <m/>
    <m/>
    <m/>
    <m/>
    <m/>
    <n v="4483864"/>
    <m/>
  </r>
  <r>
    <x v="0"/>
    <n v="2024"/>
    <x v="3"/>
    <s v="SMP1"/>
    <x v="8"/>
    <s v="School feeding"/>
    <m/>
    <m/>
    <s v="Ambovombe"/>
    <x v="0"/>
    <s v="Taolagnaro"/>
    <s v="Androy"/>
    <s v="Tsihombe"/>
    <m/>
    <s v="FAUX CAP OUEST"/>
    <s v="VOHIBE"/>
    <m/>
    <m/>
    <n v="332"/>
    <m/>
    <x v="1"/>
    <s v="classique"/>
    <m/>
    <n v="2.5499999999999998"/>
    <m/>
    <m/>
    <m/>
    <n v="0.55000000000000004"/>
    <n v="0.1845"/>
    <m/>
    <m/>
    <m/>
    <m/>
    <m/>
    <m/>
    <n v="3.284499999999999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AMBAROANINTSY"/>
    <m/>
    <m/>
    <n v="222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ANDRATINO"/>
    <m/>
    <m/>
    <n v="218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ANKILIMALANGY"/>
    <m/>
    <m/>
    <n v="182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IMONGY"/>
    <m/>
    <m/>
    <n v="478"/>
    <m/>
    <x v="3"/>
    <s v="HGSF"/>
    <m/>
    <n v="3.7"/>
    <m/>
    <m/>
    <m/>
    <n v="0.2"/>
    <n v="0.26100000000000001"/>
    <m/>
    <m/>
    <m/>
    <m/>
    <m/>
    <m/>
    <m/>
    <n v="10558064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ISINGO"/>
    <m/>
    <m/>
    <n v="161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MAKIFAHA"/>
    <m/>
    <m/>
    <n v="192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EST"/>
    <s v="MAROFOHY CENTRE"/>
    <m/>
    <m/>
    <n v="255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ANALAISOKA"/>
    <m/>
    <m/>
    <n v="285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ANKILIBE"/>
    <m/>
    <m/>
    <n v="289"/>
    <m/>
    <x v="1"/>
    <s v="classique"/>
    <m/>
    <n v="1.5"/>
    <m/>
    <m/>
    <m/>
    <n v="0.3"/>
    <n v="0.108"/>
    <m/>
    <m/>
    <m/>
    <m/>
    <m/>
    <m/>
    <n v="1.908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ANKORITSIKE"/>
    <m/>
    <m/>
    <n v="389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ANTSANDRAHA"/>
    <m/>
    <m/>
    <n v="384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BEMOSESY CENTRE"/>
    <m/>
    <m/>
    <n v="296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SIHANADAVA"/>
    <m/>
    <m/>
    <n v="229"/>
    <m/>
    <x v="1"/>
    <s v="classique"/>
    <m/>
    <n v="1.3"/>
    <m/>
    <m/>
    <m/>
    <n v="0.25"/>
    <n v="9.4500000000000001E-2"/>
    <m/>
    <m/>
    <m/>
    <m/>
    <m/>
    <m/>
    <n v="1.644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TOMILY"/>
    <m/>
    <m/>
    <n v="225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IMONGY OUEST"/>
    <s v="TSIANOHA"/>
    <m/>
    <m/>
    <n v="298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EST"/>
    <s v="ANKILITELOMISAVARA"/>
    <m/>
    <m/>
    <n v="183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EST"/>
    <s v="BEVARO SORAMENA"/>
    <m/>
    <m/>
    <n v="387"/>
    <m/>
    <x v="1"/>
    <s v="classique"/>
    <m/>
    <n v="3"/>
    <m/>
    <m/>
    <m/>
    <n v="0.65"/>
    <n v="0.21149999999999999"/>
    <m/>
    <m/>
    <m/>
    <m/>
    <m/>
    <m/>
    <n v="3.861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EST"/>
    <s v="MAROLAVA"/>
    <m/>
    <m/>
    <n v="484"/>
    <m/>
    <x v="1"/>
    <s v="classique"/>
    <m/>
    <n v="3.75"/>
    <m/>
    <m/>
    <m/>
    <n v="0.8"/>
    <n v="0.26550000000000001"/>
    <m/>
    <m/>
    <m/>
    <m/>
    <m/>
    <m/>
    <n v="4.815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EST"/>
    <s v="MAROVATO"/>
    <m/>
    <m/>
    <n v="433"/>
    <m/>
    <x v="3"/>
    <s v="HGSF"/>
    <m/>
    <n v="1.45"/>
    <m/>
    <m/>
    <m/>
    <n v="0.05"/>
    <n v="0.10349999999999999"/>
    <m/>
    <m/>
    <m/>
    <m/>
    <m/>
    <m/>
    <m/>
    <n v="9564104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OUEST"/>
    <s v="AMBANIKILY VOLANKIRA"/>
    <m/>
    <m/>
    <n v="190"/>
    <m/>
    <x v="1"/>
    <s v="classique"/>
    <m/>
    <n v="0.75"/>
    <m/>
    <m/>
    <m/>
    <n v="0.15"/>
    <n v="5.8500000000000003E-2"/>
    <m/>
    <m/>
    <m/>
    <m/>
    <m/>
    <m/>
    <n v="0.9585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OUEST"/>
    <s v="ANDRANAGNOMBE"/>
    <m/>
    <m/>
    <n v="279"/>
    <m/>
    <x v="1"/>
    <s v="classique"/>
    <m/>
    <n v="1.75"/>
    <m/>
    <m/>
    <m/>
    <n v="0.35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OUEST"/>
    <s v="ANJABIHY"/>
    <m/>
    <m/>
    <n v="278"/>
    <m/>
    <x v="1"/>
    <s v="classique"/>
    <m/>
    <n v="2"/>
    <m/>
    <m/>
    <m/>
    <n v="0.4"/>
    <n v="0.14399999999999999"/>
    <m/>
    <m/>
    <m/>
    <m/>
    <m/>
    <m/>
    <n v="2.544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OUEST"/>
    <s v="BAVARO BESENA"/>
    <m/>
    <m/>
    <n v="362"/>
    <m/>
    <x v="1"/>
    <s v="classique"/>
    <m/>
    <n v="2.2999999999999998"/>
    <m/>
    <m/>
    <m/>
    <n v="0.5"/>
    <n v="0.16650000000000001"/>
    <m/>
    <m/>
    <m/>
    <m/>
    <m/>
    <m/>
    <n v="2.966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SUD"/>
    <s v="ANDRARAKE"/>
    <m/>
    <m/>
    <n v="244"/>
    <m/>
    <x v="1"/>
    <s v="classique"/>
    <m/>
    <n v="1.45"/>
    <m/>
    <m/>
    <m/>
    <n v="0.3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SUD"/>
    <s v="BETAIMBORAKA"/>
    <m/>
    <m/>
    <n v="518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SUD"/>
    <s v="BEVALA"/>
    <m/>
    <m/>
    <n v="297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SUD"/>
    <s v="KATRAVITRA"/>
    <m/>
    <m/>
    <n v="318"/>
    <m/>
    <x v="1"/>
    <s v="classique"/>
    <m/>
    <n v="2.4"/>
    <m/>
    <m/>
    <m/>
    <n v="0.5"/>
    <n v="0.17549999999999999"/>
    <m/>
    <m/>
    <m/>
    <m/>
    <m/>
    <m/>
    <n v="3.075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MAROVATO SUD"/>
    <s v="TANAMBAO"/>
    <m/>
    <m/>
    <n v="18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MBASIA I"/>
    <m/>
    <m/>
    <n v="286"/>
    <m/>
    <x v="3"/>
    <s v="HGSF"/>
    <m/>
    <n v="2.2000000000000002"/>
    <m/>
    <m/>
    <m/>
    <n v="0.1"/>
    <n v="0.1575"/>
    <m/>
    <m/>
    <m/>
    <m/>
    <m/>
    <m/>
    <m/>
    <n v="6317168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MBASY"/>
    <m/>
    <m/>
    <n v="295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NANAKIRIHITSE"/>
    <m/>
    <m/>
    <n v="25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NDAGOA NORD"/>
    <m/>
    <m/>
    <n v="435"/>
    <m/>
    <x v="1"/>
    <s v="classique"/>
    <m/>
    <n v="3.35"/>
    <m/>
    <m/>
    <m/>
    <n v="0.75"/>
    <n v="0.23849999999999999"/>
    <m/>
    <m/>
    <m/>
    <m/>
    <m/>
    <m/>
    <n v="4.3384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NKILITOKA"/>
    <m/>
    <m/>
    <n v="310"/>
    <m/>
    <x v="1"/>
    <s v="classique"/>
    <m/>
    <n v="2.4"/>
    <m/>
    <m/>
    <m/>
    <n v="0.55000000000000004"/>
    <n v="0.17100000000000001"/>
    <m/>
    <m/>
    <m/>
    <m/>
    <m/>
    <m/>
    <n v="3.12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ANTANAMIARY"/>
    <m/>
    <m/>
    <n v="273"/>
    <m/>
    <x v="1"/>
    <s v="classique"/>
    <m/>
    <n v="2.1"/>
    <m/>
    <m/>
    <m/>
    <n v="0.5"/>
    <n v="0.14849999999999999"/>
    <m/>
    <m/>
    <m/>
    <m/>
    <m/>
    <m/>
    <n v="2.7484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EST"/>
    <s v="BERONONO"/>
    <m/>
    <m/>
    <n v="208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OUEST"/>
    <s v="ANKILIMIGAHY"/>
    <m/>
    <m/>
    <n v="360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OUEST"/>
    <s v="ANTANAMALANGY"/>
    <m/>
    <m/>
    <n v="120"/>
    <m/>
    <x v="1"/>
    <s v="classique"/>
    <m/>
    <n v="0.9"/>
    <m/>
    <m/>
    <m/>
    <n v="0.2"/>
    <n v="6.7500000000000004E-2"/>
    <m/>
    <m/>
    <m/>
    <m/>
    <m/>
    <m/>
    <n v="1.1675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OUEST"/>
    <s v="BERENY"/>
    <m/>
    <m/>
    <n v="210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OUEST"/>
    <s v="BESAKOA"/>
    <m/>
    <m/>
    <n v="194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NIKOLY OUEST"/>
    <s v="NAMOIA"/>
    <m/>
    <m/>
    <n v="209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AMBALIANDRO"/>
    <m/>
    <m/>
    <n v="266"/>
    <m/>
    <x v="1"/>
    <s v="classique"/>
    <m/>
    <n v="1.85"/>
    <m/>
    <m/>
    <m/>
    <n v="0.35"/>
    <n v="0.1305"/>
    <m/>
    <m/>
    <m/>
    <m/>
    <m/>
    <m/>
    <n v="2.3305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ANKARAMAROFOTY"/>
    <m/>
    <m/>
    <n v="222"/>
    <m/>
    <x v="1"/>
    <s v="classique"/>
    <m/>
    <n v="1.35"/>
    <m/>
    <m/>
    <m/>
    <n v="0.25"/>
    <n v="9.9000000000000005E-2"/>
    <m/>
    <m/>
    <m/>
    <m/>
    <m/>
    <m/>
    <n v="1.6990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ANKARANDOHA"/>
    <m/>
    <m/>
    <n v="241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ANKORAKOSY"/>
    <m/>
    <m/>
    <n v="393"/>
    <m/>
    <x v="1"/>
    <s v="classique"/>
    <m/>
    <n v="2.1"/>
    <m/>
    <m/>
    <m/>
    <n v="0.45"/>
    <n v="0.153"/>
    <m/>
    <m/>
    <m/>
    <m/>
    <m/>
    <m/>
    <n v="2.703000000000000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ANTANA"/>
    <m/>
    <m/>
    <n v="201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MAROHIRA AMBORY"/>
    <m/>
    <m/>
    <n v="18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MAROHIRA SUD"/>
    <m/>
    <m/>
    <n v="285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MAROTANA"/>
    <m/>
    <m/>
    <n v="230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SAKAMASY"/>
    <m/>
    <m/>
    <n v="744"/>
    <m/>
    <x v="3"/>
    <s v="HGSF"/>
    <m/>
    <n v="2.5499999999999998"/>
    <m/>
    <m/>
    <m/>
    <n v="0.15"/>
    <n v="0.1845"/>
    <m/>
    <m/>
    <m/>
    <m/>
    <m/>
    <m/>
    <m/>
    <n v="16433472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TROKAGNOMBE"/>
    <m/>
    <m/>
    <n v="169"/>
    <m/>
    <x v="3"/>
    <s v="HGSF"/>
    <m/>
    <n v="1.3"/>
    <m/>
    <m/>
    <m/>
    <n v="0.1"/>
    <n v="9.4500000000000001E-2"/>
    <m/>
    <m/>
    <m/>
    <m/>
    <m/>
    <m/>
    <m/>
    <n v="3732872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EST"/>
    <s v="TSIHOMBE CENTRE-I"/>
    <m/>
    <m/>
    <n v="797"/>
    <m/>
    <x v="3"/>
    <s v="HGSF"/>
    <m/>
    <n v="6.15"/>
    <m/>
    <m/>
    <m/>
    <n v="0.3"/>
    <n v="0.4365"/>
    <m/>
    <m/>
    <m/>
    <m/>
    <m/>
    <m/>
    <m/>
    <n v="17604136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FONDRALAMBO EVAZY"/>
    <m/>
    <m/>
    <n v="199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MBOVO l"/>
    <m/>
    <m/>
    <n v="162"/>
    <m/>
    <x v="1"/>
    <s v="classique"/>
    <m/>
    <n v="0.9"/>
    <m/>
    <m/>
    <m/>
    <n v="0.15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NDOVOKE"/>
    <m/>
    <m/>
    <n v="198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NINAKY II"/>
    <m/>
    <m/>
    <n v="145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NKILILIRY"/>
    <m/>
    <m/>
    <n v="174"/>
    <m/>
    <x v="1"/>
    <s v="classique"/>
    <m/>
    <n v="0.8"/>
    <m/>
    <m/>
    <m/>
    <n v="0.15"/>
    <n v="5.8500000000000003E-2"/>
    <m/>
    <m/>
    <m/>
    <m/>
    <m/>
    <m/>
    <n v="1.0085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ANTSOVELA"/>
    <m/>
    <m/>
    <n v="296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BEAVOHA NORD"/>
    <m/>
    <m/>
    <n v="160"/>
    <m/>
    <x v="1"/>
    <s v="classique"/>
    <m/>
    <n v="0.75"/>
    <m/>
    <m/>
    <m/>
    <n v="0.15"/>
    <n v="5.3999999999999999E-2"/>
    <m/>
    <m/>
    <m/>
    <m/>
    <m/>
    <m/>
    <n v="0.95400000000000007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BELEMBOKE"/>
    <m/>
    <m/>
    <n v="277"/>
    <m/>
    <x v="1"/>
    <s v="classique"/>
    <m/>
    <n v="1.1000000000000001"/>
    <m/>
    <m/>
    <m/>
    <n v="0.2"/>
    <n v="8.1000000000000003E-2"/>
    <m/>
    <m/>
    <m/>
    <m/>
    <m/>
    <m/>
    <n v="1.38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BEROPITEKE"/>
    <m/>
    <m/>
    <n v="216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BEVALA TAMBANDITSE"/>
    <m/>
    <m/>
    <n v="242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TSIHOMBE OUEST"/>
    <s v="TSIHOMBE CENTRE II"/>
    <m/>
    <m/>
    <n v="718"/>
    <m/>
    <x v="3"/>
    <s v="HGSF"/>
    <m/>
    <n v="5.55"/>
    <m/>
    <m/>
    <m/>
    <n v="0.25"/>
    <n v="0.39600000000000002"/>
    <m/>
    <m/>
    <m/>
    <m/>
    <m/>
    <m/>
    <m/>
    <n v="15859184"/>
    <m/>
  </r>
  <r>
    <x v="0"/>
    <n v="2024"/>
    <x v="3"/>
    <s v="SMP1"/>
    <x v="8"/>
    <s v="School feeding"/>
    <m/>
    <m/>
    <s v="Ambovombe"/>
    <x v="0"/>
    <s v="Taolagnaro"/>
    <s v="Androy"/>
    <s v="Tsihombe"/>
    <m/>
    <s v="ZAP ANTARITARIKA SUD"/>
    <s v="AMBARO SUD"/>
    <m/>
    <m/>
    <n v="418"/>
    <m/>
    <x v="1"/>
    <s v="classique"/>
    <m/>
    <n v="3.2"/>
    <m/>
    <m/>
    <m/>
    <n v="0.7"/>
    <n v="0.22950000000000001"/>
    <m/>
    <m/>
    <m/>
    <m/>
    <m/>
    <m/>
    <n v="4.1295000000000002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ZAP ANTARITARIKA SUD"/>
    <s v="ANTARITARIKA CENTRE"/>
    <m/>
    <m/>
    <n v="637"/>
    <m/>
    <x v="1"/>
    <s v="classique"/>
    <m/>
    <n v="4.9000000000000004"/>
    <m/>
    <m/>
    <m/>
    <n v="1.1000000000000001"/>
    <n v="0.35099999999999998"/>
    <m/>
    <m/>
    <m/>
    <m/>
    <m/>
    <m/>
    <n v="6.351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ZAP ANTARITARIKA SUD"/>
    <s v="DORISA"/>
    <m/>
    <m/>
    <n v="330"/>
    <m/>
    <x v="1"/>
    <s v="classique"/>
    <m/>
    <n v="2.5499999999999998"/>
    <m/>
    <m/>
    <m/>
    <n v="0.55000000000000004"/>
    <n v="0.18"/>
    <m/>
    <m/>
    <m/>
    <m/>
    <m/>
    <m/>
    <n v="3.28"/>
    <n v="0"/>
    <m/>
  </r>
  <r>
    <x v="0"/>
    <n v="2024"/>
    <x v="3"/>
    <s v="SMP1"/>
    <x v="8"/>
    <s v="School feeding"/>
    <m/>
    <m/>
    <s v="Ambovombe"/>
    <x v="0"/>
    <s v="Taolagnaro"/>
    <s v="Androy"/>
    <s v="Tsihombe"/>
    <m/>
    <s v="ZAP ANTARITARIKA SUD"/>
    <s v="MAROAFO"/>
    <m/>
    <m/>
    <n v="424"/>
    <m/>
    <x v="1"/>
    <s v="classique"/>
    <m/>
    <n v="3.25"/>
    <m/>
    <m/>
    <m/>
    <n v="0.7"/>
    <n v="0.23400000000000001"/>
    <m/>
    <m/>
    <m/>
    <m/>
    <m/>
    <m/>
    <n v="4.184000000000000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HITA"/>
    <s v="AMBATOMAINTY SAKOAMBELOMY"/>
    <m/>
    <m/>
    <n v="167"/>
    <m/>
    <x v="1"/>
    <s v="classique"/>
    <m/>
    <n v="0.9"/>
    <m/>
    <m/>
    <m/>
    <n v="0.15"/>
    <n v="6.3E-2"/>
    <m/>
    <m/>
    <m/>
    <m/>
    <m/>
    <m/>
    <n v="1.113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HITA"/>
    <s v="ANDOHARANO"/>
    <m/>
    <m/>
    <n v="319"/>
    <m/>
    <x v="3"/>
    <s v="HGSF"/>
    <m/>
    <n v="1.55"/>
    <m/>
    <m/>
    <m/>
    <n v="0.15"/>
    <n v="0.108"/>
    <m/>
    <m/>
    <m/>
    <m/>
    <m/>
    <m/>
    <m/>
    <n v="7046072"/>
    <m/>
  </r>
  <r>
    <x v="0"/>
    <n v="2024"/>
    <x v="3"/>
    <s v="SMP1"/>
    <x v="8"/>
    <s v="School feeding"/>
    <m/>
    <m/>
    <s v="Ambovombe"/>
    <x v="0"/>
    <s v="Taolagnaro"/>
    <s v="Androy"/>
    <s v="Bekily"/>
    <m/>
    <s v="AMBAHITA"/>
    <s v="SOAKIBANY"/>
    <m/>
    <m/>
    <n v="182"/>
    <m/>
    <x v="1"/>
    <s v="classique"/>
    <m/>
    <n v="1"/>
    <m/>
    <m/>
    <m/>
    <n v="0.2"/>
    <n v="6.7500000000000004E-2"/>
    <m/>
    <m/>
    <m/>
    <m/>
    <m/>
    <m/>
    <n v="1.2675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SOARAVY"/>
    <m/>
    <m/>
    <n v="170"/>
    <m/>
    <x v="1"/>
    <s v="classique"/>
    <m/>
    <n v="0.85"/>
    <m/>
    <m/>
    <m/>
    <n v="0.15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HITA"/>
    <s v="AMBAHITA"/>
    <m/>
    <m/>
    <n v="536"/>
    <m/>
    <x v="1"/>
    <s v="classique"/>
    <m/>
    <n v="2.5499999999999998"/>
    <m/>
    <m/>
    <m/>
    <n v="0.55000000000000004"/>
    <n v="0.18"/>
    <m/>
    <m/>
    <m/>
    <m/>
    <m/>
    <m/>
    <n v="3.28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IKAIKARIVO AMBATOMAINTY"/>
    <s v="AMPANY"/>
    <m/>
    <m/>
    <n v="205"/>
    <m/>
    <x v="1"/>
    <s v="classique"/>
    <m/>
    <n v="0.8"/>
    <m/>
    <m/>
    <m/>
    <n v="0.15"/>
    <n v="4.9500000000000002E-2"/>
    <m/>
    <m/>
    <m/>
    <m/>
    <m/>
    <m/>
    <n v="0.99950000000000006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BEAMALO"/>
    <m/>
    <m/>
    <n v="377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BEVATO II"/>
    <m/>
    <m/>
    <n v="254"/>
    <m/>
    <x v="1"/>
    <s v="classique"/>
    <m/>
    <n v="0.65"/>
    <m/>
    <m/>
    <m/>
    <n v="0.05"/>
    <n v="0"/>
    <m/>
    <m/>
    <m/>
    <m/>
    <m/>
    <m/>
    <n v="0.7000000000000000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IKAIKARIVO AMBATOMAINTY"/>
    <s v="EPP VOHIPENO"/>
    <m/>
    <m/>
    <n v="306"/>
    <m/>
    <x v="3"/>
    <s v="HGSF"/>
    <m/>
    <n v="1"/>
    <m/>
    <m/>
    <m/>
    <n v="0.05"/>
    <n v="7.1999999999999995E-2"/>
    <m/>
    <m/>
    <m/>
    <m/>
    <m/>
    <m/>
    <m/>
    <n v="6758928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ECOLE COMMUNAUTAIRE BEVATO CENTRE"/>
    <m/>
    <m/>
    <n v="192"/>
    <m/>
    <x v="3"/>
    <s v="HGSF"/>
    <m/>
    <n v="1.5"/>
    <m/>
    <m/>
    <m/>
    <n v="0.1"/>
    <n v="0.10349999999999999"/>
    <m/>
    <m/>
    <m/>
    <m/>
    <m/>
    <m/>
    <m/>
    <n v="4240896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COLE COMMUNAUTAIRE ANKILIVAHO"/>
    <m/>
    <m/>
    <n v="110"/>
    <m/>
    <x v="3"/>
    <s v="HGSF"/>
    <m/>
    <n v="0.85"/>
    <m/>
    <m/>
    <m/>
    <n v="0.05"/>
    <n v="5.8500000000000003E-2"/>
    <m/>
    <m/>
    <m/>
    <m/>
    <m/>
    <m/>
    <m/>
    <n v="242968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ESAKA MAHABO"/>
    <m/>
    <m/>
    <n v="160"/>
    <m/>
    <x v="1"/>
    <s v="classique"/>
    <m/>
    <n v="0.25"/>
    <m/>
    <m/>
    <m/>
    <n v="0.2"/>
    <n v="5.8500000000000003E-2"/>
    <m/>
    <m/>
    <m/>
    <m/>
    <m/>
    <m/>
    <n v="0.50850000000000006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EPP AMBATOSOLA"/>
    <m/>
    <m/>
    <n v="356"/>
    <m/>
    <x v="3"/>
    <s v="HGSF"/>
    <m/>
    <n v="1.9"/>
    <m/>
    <m/>
    <m/>
    <n v="0.1"/>
    <n v="4.4999999999999998E-2"/>
    <m/>
    <m/>
    <m/>
    <m/>
    <m/>
    <m/>
    <m/>
    <n v="7863328"/>
    <m/>
  </r>
  <r>
    <x v="0"/>
    <n v="2024"/>
    <x v="3"/>
    <s v="SMP1"/>
    <x v="8"/>
    <s v="School feeding"/>
    <m/>
    <m/>
    <s v="Ambovombe"/>
    <x v="0"/>
    <s v="Taolagnaro"/>
    <s v="Androy"/>
    <s v="Bekily"/>
    <m/>
    <s v="TANAMBAO TSIRANDRANY"/>
    <s v="ANADABOLAVA"/>
    <m/>
    <m/>
    <n v="444"/>
    <m/>
    <x v="1"/>
    <s v="classique"/>
    <m/>
    <n v="1.4"/>
    <m/>
    <m/>
    <m/>
    <n v="0.35"/>
    <n v="0.14399999999999999"/>
    <m/>
    <m/>
    <m/>
    <m/>
    <m/>
    <m/>
    <n v="1.893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MAHABO SUD"/>
    <m/>
    <m/>
    <n v="181"/>
    <m/>
    <x v="1"/>
    <s v="classique"/>
    <m/>
    <n v="0.4"/>
    <m/>
    <m/>
    <m/>
    <n v="0.2"/>
    <n v="6.7500000000000004E-2"/>
    <m/>
    <m/>
    <m/>
    <m/>
    <m/>
    <m/>
    <n v="0.6675000000000000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mbatosola"/>
    <s v="ECOLE COMMUNAUTAIRE FENOARIVO SUD"/>
    <m/>
    <m/>
    <n v="222"/>
    <m/>
    <x v="3"/>
    <s v="HGSF"/>
    <m/>
    <n v="0.7"/>
    <m/>
    <m/>
    <m/>
    <n v="0"/>
    <n v="0.09"/>
    <m/>
    <m/>
    <m/>
    <m/>
    <m/>
    <m/>
    <m/>
    <n v="4903536"/>
    <m/>
  </r>
  <r>
    <x v="0"/>
    <n v="2024"/>
    <x v="3"/>
    <s v="SMP1"/>
    <x v="8"/>
    <s v="School feeding"/>
    <m/>
    <m/>
    <s v="Ambovombe"/>
    <x v="0"/>
    <s v="Taolagnaro"/>
    <s v="Androy"/>
    <s v="Bekily"/>
    <m/>
    <s v="ANIVORANO MITSINJO"/>
    <s v="ANIVORANO MITSINJO"/>
    <m/>
    <m/>
    <n v="372"/>
    <m/>
    <x v="1"/>
    <s v="classique"/>
    <m/>
    <n v="1.6"/>
    <m/>
    <m/>
    <m/>
    <n v="0.3"/>
    <n v="0.11700000000000001"/>
    <m/>
    <m/>
    <m/>
    <m/>
    <m/>
    <m/>
    <n v="2.0170000000000003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ANALALAVA HAUT"/>
    <m/>
    <m/>
    <n v="191"/>
    <m/>
    <x v="1"/>
    <s v="classique"/>
    <m/>
    <n v="0.95"/>
    <m/>
    <m/>
    <m/>
    <n v="0.2"/>
    <n v="7.1999999999999995E-2"/>
    <m/>
    <m/>
    <m/>
    <m/>
    <m/>
    <m/>
    <n v="1.22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ECOLE COMMUNAUTAIRE BESANDRAHA"/>
    <m/>
    <m/>
    <n v="220"/>
    <m/>
    <x v="3"/>
    <s v="HGSF"/>
    <m/>
    <n v="1.1000000000000001"/>
    <m/>
    <m/>
    <m/>
    <n v="0.1"/>
    <n v="8.1000000000000003E-2"/>
    <m/>
    <m/>
    <m/>
    <m/>
    <m/>
    <m/>
    <m/>
    <n v="4859360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ANJA NORD"/>
    <m/>
    <m/>
    <n v="407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MIKAIKARIVO"/>
    <m/>
    <m/>
    <n v="276"/>
    <m/>
    <x v="3"/>
    <s v="HGSF"/>
    <m/>
    <n v="1.35"/>
    <m/>
    <m/>
    <m/>
    <n v="0.1"/>
    <n v="0.10349999999999999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s v="Bekily"/>
    <m/>
    <s v="ANKARANABO NORD"/>
    <s v="ANARABE I"/>
    <m/>
    <m/>
    <n v="306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KARANABO NORD"/>
    <s v="ANDRANOMANINTSY II"/>
    <m/>
    <m/>
    <n v="174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KARANABO NORD"/>
    <s v="VOHIMARY I"/>
    <m/>
    <m/>
    <n v="205"/>
    <m/>
    <x v="1"/>
    <s v="classique"/>
    <m/>
    <n v="1"/>
    <m/>
    <m/>
    <m/>
    <n v="0.25"/>
    <n v="0.1125"/>
    <m/>
    <m/>
    <m/>
    <m/>
    <m/>
    <m/>
    <n v="1.362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KARANABO NORD"/>
    <s v="EPP ANKARANABO_NORD"/>
    <m/>
    <m/>
    <n v="443"/>
    <m/>
    <x v="3"/>
    <s v="HGSF"/>
    <m/>
    <n v="2.5499999999999998"/>
    <m/>
    <m/>
    <m/>
    <n v="0.15"/>
    <n v="0.13950000000000001"/>
    <m/>
    <m/>
    <m/>
    <m/>
    <m/>
    <m/>
    <m/>
    <n v="9784984"/>
    <m/>
  </r>
  <r>
    <x v="0"/>
    <n v="2024"/>
    <x v="3"/>
    <s v="SMP1"/>
    <x v="8"/>
    <s v="School feeding"/>
    <m/>
    <m/>
    <s v="Ambovombe"/>
    <x v="0"/>
    <s v="Taolagnaro"/>
    <s v="Androy"/>
    <s v="Bekily"/>
    <m/>
    <s v="ANTSAKOAMARO"/>
    <s v="ANTABOARA HAUT"/>
    <m/>
    <m/>
    <n v="200"/>
    <m/>
    <x v="1"/>
    <s v="classique"/>
    <m/>
    <n v="1"/>
    <m/>
    <m/>
    <m/>
    <n v="0.2"/>
    <n v="6.7500000000000004E-2"/>
    <m/>
    <m/>
    <m/>
    <m/>
    <m/>
    <m/>
    <n v="1.2675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TSAKOAMARO"/>
    <s v="ANTANIMARY"/>
    <m/>
    <m/>
    <n v="305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TSAKOAMARO"/>
    <s v="ANTSAKOAMARO"/>
    <m/>
    <m/>
    <n v="351"/>
    <m/>
    <x v="3"/>
    <s v="HGSF"/>
    <m/>
    <n v="1.7"/>
    <m/>
    <m/>
    <m/>
    <n v="0.15"/>
    <n v="0.1215"/>
    <m/>
    <m/>
    <m/>
    <m/>
    <m/>
    <m/>
    <m/>
    <n v="7752888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AMBAROABO"/>
    <m/>
    <m/>
    <n v="204"/>
    <m/>
    <x v="1"/>
    <s v="classique"/>
    <m/>
    <n v="1"/>
    <m/>
    <m/>
    <m/>
    <n v="0.15"/>
    <n v="6.3E-2"/>
    <m/>
    <m/>
    <m/>
    <m/>
    <m/>
    <m/>
    <n v="1.212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MBATOFOTSY"/>
    <m/>
    <m/>
    <n v="102"/>
    <m/>
    <x v="1"/>
    <s v="classique"/>
    <m/>
    <n v="0.6"/>
    <m/>
    <m/>
    <m/>
    <n v="0.1"/>
    <n v="4.9500000000000002E-2"/>
    <m/>
    <m/>
    <m/>
    <m/>
    <m/>
    <m/>
    <n v="0.74949999999999994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NTSAKOAMIARY"/>
    <m/>
    <m/>
    <n v="287"/>
    <m/>
    <x v="1"/>
    <s v="classique"/>
    <m/>
    <n v="1.55"/>
    <m/>
    <m/>
    <m/>
    <n v="0.4"/>
    <n v="5.8500000000000003E-2"/>
    <m/>
    <m/>
    <m/>
    <m/>
    <m/>
    <m/>
    <n v="2.008500000000000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BEVOSITRA"/>
    <m/>
    <m/>
    <n v="202"/>
    <m/>
    <x v="1"/>
    <s v="classique"/>
    <m/>
    <n v="1.35"/>
    <m/>
    <m/>
    <m/>
    <n v="0.25"/>
    <n v="6.3E-2"/>
    <m/>
    <m/>
    <m/>
    <m/>
    <m/>
    <m/>
    <n v="1.663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COLE COMMUNAUTAIRE SOALOKE"/>
    <m/>
    <m/>
    <n v="134"/>
    <m/>
    <x v="3"/>
    <s v="HGSF"/>
    <m/>
    <n v="1.05"/>
    <m/>
    <m/>
    <m/>
    <n v="0.05"/>
    <n v="7.1999999999999995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AMBATOMAINTY ANIVORANO"/>
    <m/>
    <m/>
    <n v="212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MPIRIKY MAROVAHO"/>
    <m/>
    <m/>
    <n v="257"/>
    <m/>
    <x v="1"/>
    <s v="classique"/>
    <m/>
    <n v="1.1000000000000001"/>
    <m/>
    <m/>
    <m/>
    <n v="0.25"/>
    <n v="0"/>
    <m/>
    <m/>
    <m/>
    <m/>
    <m/>
    <m/>
    <n v="1.3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PP ANKERAKERAKY"/>
    <m/>
    <m/>
    <n v="180"/>
    <m/>
    <x v="3"/>
    <s v="HGSF"/>
    <m/>
    <n v="1.4"/>
    <m/>
    <m/>
    <m/>
    <n v="0.1"/>
    <n v="9.9000000000000005E-2"/>
    <m/>
    <m/>
    <m/>
    <m/>
    <m/>
    <m/>
    <m/>
    <n v="397584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BEANGILY"/>
    <m/>
    <m/>
    <n v="423"/>
    <m/>
    <x v="1"/>
    <s v="classique"/>
    <m/>
    <n v="1.25"/>
    <m/>
    <m/>
    <m/>
    <n v="0.3"/>
    <n v="8.1000000000000003E-2"/>
    <m/>
    <m/>
    <m/>
    <m/>
    <m/>
    <m/>
    <n v="1.63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BEFANGITSY"/>
    <m/>
    <m/>
    <n v="738"/>
    <m/>
    <x v="1"/>
    <s v="classique"/>
    <m/>
    <n v="5.2"/>
    <m/>
    <m/>
    <m/>
    <n v="1.25"/>
    <n v="0.36899999999999999"/>
    <m/>
    <m/>
    <m/>
    <m/>
    <m/>
    <m/>
    <n v="6.81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BEKITRO"/>
    <m/>
    <m/>
    <n v="967"/>
    <m/>
    <x v="3"/>
    <s v="HGSF"/>
    <m/>
    <n v="6.95"/>
    <m/>
    <m/>
    <m/>
    <n v="0.2"/>
    <n v="0.495"/>
    <m/>
    <m/>
    <m/>
    <m/>
    <m/>
    <m/>
    <m/>
    <n v="21359096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PP BEMOITA"/>
    <m/>
    <m/>
    <n v="225"/>
    <m/>
    <x v="3"/>
    <s v="HGSF"/>
    <m/>
    <n v="1.45"/>
    <m/>
    <m/>
    <m/>
    <n v="0.1"/>
    <n v="0.10349999999999999"/>
    <m/>
    <m/>
    <m/>
    <m/>
    <m/>
    <m/>
    <m/>
    <n v="496980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MIARY_TOBY"/>
    <m/>
    <m/>
    <n v="230"/>
    <m/>
    <x v="1"/>
    <s v="classique"/>
    <m/>
    <n v="1.3"/>
    <m/>
    <m/>
    <m/>
    <n v="0.25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COLE COMMUNAUTAIRE VOHITSOSY"/>
    <m/>
    <m/>
    <n v="126"/>
    <m/>
    <x v="3"/>
    <s v="HGSF"/>
    <m/>
    <n v="0.6"/>
    <m/>
    <m/>
    <m/>
    <n v="0.05"/>
    <n v="6.3E-2"/>
    <m/>
    <m/>
    <m/>
    <m/>
    <m/>
    <m/>
    <m/>
    <n v="2783088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IABORANO"/>
    <m/>
    <m/>
    <n v="158"/>
    <m/>
    <x v="1"/>
    <s v="classique"/>
    <m/>
    <n v="0.2"/>
    <m/>
    <m/>
    <m/>
    <n v="0.2"/>
    <n v="5.3999999999999999E-2"/>
    <m/>
    <m/>
    <m/>
    <m/>
    <m/>
    <m/>
    <n v="0.4540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AMBATO"/>
    <m/>
    <m/>
    <n v="175"/>
    <m/>
    <x v="1"/>
    <s v="classique"/>
    <m/>
    <n v="0.9"/>
    <m/>
    <m/>
    <m/>
    <n v="0.15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COLE COMMUNAUTAIRE ANTSAHA"/>
    <m/>
    <m/>
    <n v="138"/>
    <m/>
    <x v="3"/>
    <s v="HGSF"/>
    <m/>
    <n v="0.7"/>
    <m/>
    <m/>
    <m/>
    <n v="0.05"/>
    <n v="4.9500000000000002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s v="Bekily"/>
    <m/>
    <s v="BEKITRO"/>
    <s v="ECOLE COMMUNAUTAIRE AMBOASARY"/>
    <m/>
    <m/>
    <n v="138"/>
    <m/>
    <x v="3"/>
    <s v="HGSF"/>
    <m/>
    <n v="0.7"/>
    <m/>
    <m/>
    <m/>
    <n v="0.05"/>
    <n v="4.9500000000000002E-2"/>
    <m/>
    <m/>
    <m/>
    <m/>
    <m/>
    <m/>
    <m/>
    <n v="3048144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NANAKARAKY"/>
    <m/>
    <m/>
    <n v="178"/>
    <m/>
    <x v="1"/>
    <s v="classique"/>
    <m/>
    <n v="0.95"/>
    <m/>
    <m/>
    <m/>
    <n v="0.2"/>
    <n v="6.7500000000000004E-2"/>
    <m/>
    <m/>
    <m/>
    <m/>
    <m/>
    <m/>
    <n v="1.2174999999999998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COLE COMMUNAUTAIRE ANDRANOFOTY"/>
    <m/>
    <m/>
    <n v="148"/>
    <m/>
    <x v="3"/>
    <s v="HGSF"/>
    <m/>
    <n v="1.1499999999999999"/>
    <m/>
    <m/>
    <m/>
    <n v="0.05"/>
    <n v="8.1000000000000003E-2"/>
    <m/>
    <m/>
    <m/>
    <m/>
    <m/>
    <m/>
    <m/>
    <n v="3269024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NDRANOMIHERY"/>
    <m/>
    <m/>
    <n v="203"/>
    <m/>
    <x v="1"/>
    <s v="classique"/>
    <m/>
    <n v="0.55000000000000004"/>
    <m/>
    <m/>
    <m/>
    <n v="0.25"/>
    <n v="6.3E-2"/>
    <m/>
    <m/>
    <m/>
    <m/>
    <m/>
    <m/>
    <n v="0.8629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NKILY"/>
    <m/>
    <m/>
    <n v="137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NKININY"/>
    <m/>
    <m/>
    <n v="191"/>
    <m/>
    <x v="1"/>
    <s v="classique"/>
    <m/>
    <n v="0.95"/>
    <m/>
    <m/>
    <m/>
    <n v="0.2"/>
    <n v="6.3E-2"/>
    <m/>
    <m/>
    <m/>
    <m/>
    <m/>
    <m/>
    <n v="1.212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COLE COMMUNAUTAIRE SOASERAGNA"/>
    <m/>
    <m/>
    <n v="116"/>
    <m/>
    <x v="3"/>
    <s v="HGSF"/>
    <m/>
    <n v="0.9"/>
    <m/>
    <m/>
    <m/>
    <n v="0.05"/>
    <n v="6.3E-2"/>
    <m/>
    <m/>
    <m/>
    <m/>
    <m/>
    <m/>
    <m/>
    <n v="2562208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FONDRIAMBITA"/>
    <m/>
    <m/>
    <n v="107"/>
    <m/>
    <x v="1"/>
    <s v="classique"/>
    <m/>
    <n v="0.7"/>
    <m/>
    <m/>
    <m/>
    <n v="0.1"/>
    <n v="4.4999999999999998E-2"/>
    <m/>
    <m/>
    <m/>
    <m/>
    <m/>
    <m/>
    <n v="0.8449999999999999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MPANAMPERANDROTSY"/>
    <m/>
    <m/>
    <n v="203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PP ANDRANOMAVO I"/>
    <m/>
    <m/>
    <n v="150"/>
    <m/>
    <x v="3"/>
    <s v="HGSF"/>
    <m/>
    <n v="0.55000000000000004"/>
    <m/>
    <m/>
    <m/>
    <n v="0.05"/>
    <n v="6.3E-2"/>
    <m/>
    <m/>
    <m/>
    <m/>
    <m/>
    <m/>
    <m/>
    <n v="331320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PP ANDRANOMAVO II"/>
    <m/>
    <m/>
    <n v="134"/>
    <m/>
    <x v="3"/>
    <s v="HGSF"/>
    <m/>
    <n v="0.65"/>
    <m/>
    <m/>
    <m/>
    <n v="0.05"/>
    <n v="4.4999999999999998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PP BELINDO MAHASOA"/>
    <m/>
    <m/>
    <n v="496"/>
    <m/>
    <x v="3"/>
    <s v="HGSF"/>
    <m/>
    <n v="2.5499999999999998"/>
    <m/>
    <m/>
    <m/>
    <n v="0.2"/>
    <n v="0.18"/>
    <m/>
    <m/>
    <m/>
    <m/>
    <m/>
    <m/>
    <m/>
    <n v="10955648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COLE COMMUNAUTAIRE AMBONAIVO"/>
    <m/>
    <m/>
    <n v="170"/>
    <m/>
    <x v="3"/>
    <s v="HGSF"/>
    <m/>
    <n v="0.85"/>
    <m/>
    <m/>
    <m/>
    <n v="0.1"/>
    <n v="5.8500000000000003E-2"/>
    <m/>
    <m/>
    <m/>
    <m/>
    <m/>
    <m/>
    <m/>
    <n v="375496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ECOLE COMMUNAUTAIRE ANARABE"/>
    <m/>
    <m/>
    <n v="134"/>
    <m/>
    <x v="3"/>
    <s v="HGSF"/>
    <m/>
    <n v="0.65"/>
    <m/>
    <m/>
    <m/>
    <n v="0.05"/>
    <n v="4.4999999999999998E-2"/>
    <m/>
    <m/>
    <m/>
    <m/>
    <m/>
    <m/>
    <m/>
    <n v="2959792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ANTSELIBE"/>
    <m/>
    <m/>
    <n v="478"/>
    <m/>
    <x v="1"/>
    <s v="classique"/>
    <m/>
    <n v="1.6"/>
    <m/>
    <m/>
    <m/>
    <n v="0.3"/>
    <n v="0.1125"/>
    <m/>
    <m/>
    <m/>
    <m/>
    <m/>
    <m/>
    <n v="2.012500000000000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ECOLE COMMUNAUTAIRE ANTSELY TOBY"/>
    <m/>
    <m/>
    <n v="250"/>
    <m/>
    <x v="3"/>
    <s v="HGSF"/>
    <m/>
    <n v="0.85"/>
    <m/>
    <m/>
    <m/>
    <n v="0.05"/>
    <n v="5.8500000000000003E-2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s v="Bekily"/>
    <m/>
    <s v="BERAKETA"/>
    <s v="BERAKETA"/>
    <m/>
    <m/>
    <n v="1205"/>
    <m/>
    <x v="3"/>
    <s v="HGSF"/>
    <m/>
    <n v="5.8"/>
    <m/>
    <m/>
    <m/>
    <n v="0.35"/>
    <n v="0.34200000000000003"/>
    <m/>
    <m/>
    <m/>
    <m/>
    <m/>
    <m/>
    <m/>
    <n v="26616040"/>
    <m/>
  </r>
  <r>
    <x v="0"/>
    <n v="2024"/>
    <x v="3"/>
    <s v="SMP1"/>
    <x v="8"/>
    <s v="School feeding"/>
    <m/>
    <m/>
    <s v="Ambovombe"/>
    <x v="0"/>
    <s v="Taolagnaro"/>
    <s v="Androy"/>
    <s v="Bekily"/>
    <m/>
    <s v="BELINDO MAHASOA"/>
    <s v="ANKANANAVY"/>
    <m/>
    <m/>
    <n v="478"/>
    <m/>
    <x v="1"/>
    <s v="classique"/>
    <m/>
    <n v="2.0499999999999998"/>
    <m/>
    <m/>
    <m/>
    <n v="0.4"/>
    <n v="0.14399999999999999"/>
    <m/>
    <m/>
    <m/>
    <m/>
    <m/>
    <m/>
    <n v="2.593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ECOLE COMMUNAUTAIRE ANTSOSA"/>
    <m/>
    <m/>
    <n v="133"/>
    <m/>
    <x v="3"/>
    <s v="HGSF"/>
    <m/>
    <n v="1"/>
    <m/>
    <m/>
    <m/>
    <n v="0.05"/>
    <n v="7.1999999999999995E-2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s v="Bekily"/>
    <m/>
    <s v="BETEZA"/>
    <s v="ANKILIVALO HAUT"/>
    <m/>
    <m/>
    <n v="288"/>
    <m/>
    <x v="1"/>
    <s v="classique"/>
    <m/>
    <n v="0.35"/>
    <m/>
    <m/>
    <m/>
    <n v="0.4"/>
    <n v="0.1125"/>
    <m/>
    <m/>
    <m/>
    <m/>
    <m/>
    <m/>
    <n v="0.86250000000000004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TEZA"/>
    <s v="ANDAMOTIGNABO"/>
    <m/>
    <m/>
    <n v="284"/>
    <m/>
    <x v="3"/>
    <s v="HGSF"/>
    <m/>
    <n v="0.35"/>
    <m/>
    <m/>
    <m/>
    <n v="0"/>
    <n v="0.108"/>
    <m/>
    <m/>
    <m/>
    <m/>
    <m/>
    <m/>
    <m/>
    <n v="6272992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NIVORANO"/>
    <m/>
    <m/>
    <n v="334"/>
    <m/>
    <x v="1"/>
    <s v="classique"/>
    <m/>
    <n v="0.75"/>
    <m/>
    <m/>
    <m/>
    <n v="0.5"/>
    <n v="0.13500000000000001"/>
    <m/>
    <m/>
    <m/>
    <m/>
    <m/>
    <m/>
    <n v="1.38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NIVORANO BEANGILY"/>
    <m/>
    <m/>
    <n v="235"/>
    <m/>
    <x v="1"/>
    <s v="classique"/>
    <m/>
    <n v="0.8"/>
    <m/>
    <m/>
    <m/>
    <n v="0.3"/>
    <n v="8.1000000000000003E-2"/>
    <m/>
    <m/>
    <m/>
    <m/>
    <m/>
    <m/>
    <n v="1.18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ECOLE COMMUNAUTAIRE ANTSATRA"/>
    <m/>
    <m/>
    <n v="250"/>
    <m/>
    <x v="3"/>
    <s v="HGSF"/>
    <m/>
    <n v="1"/>
    <m/>
    <m/>
    <m/>
    <n v="0"/>
    <n v="0.09"/>
    <m/>
    <m/>
    <m/>
    <m/>
    <m/>
    <m/>
    <m/>
    <n v="552200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BEVITIKY"/>
    <m/>
    <m/>
    <n v="407"/>
    <m/>
    <x v="3"/>
    <s v="HGSF"/>
    <m/>
    <n v="1.3"/>
    <m/>
    <m/>
    <m/>
    <n v="0.05"/>
    <n v="0.126"/>
    <m/>
    <m/>
    <m/>
    <m/>
    <m/>
    <m/>
    <m/>
    <n v="8989816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ECOLE COMMUNAUTAIRE BETSINTSY"/>
    <m/>
    <m/>
    <n v="151"/>
    <m/>
    <x v="3"/>
    <s v="HGSF"/>
    <m/>
    <n v="0"/>
    <m/>
    <m/>
    <m/>
    <n v="0"/>
    <n v="0"/>
    <m/>
    <m/>
    <m/>
    <m/>
    <m/>
    <m/>
    <m/>
    <n v="3335288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BEFAMONTY"/>
    <m/>
    <m/>
    <n v="190"/>
    <m/>
    <x v="1"/>
    <s v="classique"/>
    <m/>
    <n v="0.95"/>
    <m/>
    <m/>
    <m/>
    <n v="0.35"/>
    <n v="6.7500000000000004E-2"/>
    <m/>
    <m/>
    <m/>
    <m/>
    <m/>
    <m/>
    <n v="1.367499999999999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VITIKY"/>
    <s v="ANDARO"/>
    <m/>
    <m/>
    <n v="202"/>
    <m/>
    <x v="1"/>
    <s v="classique"/>
    <m/>
    <n v="1.1000000000000001"/>
    <m/>
    <m/>
    <m/>
    <n v="0.35"/>
    <n v="8.1000000000000003E-2"/>
    <m/>
    <m/>
    <m/>
    <m/>
    <m/>
    <m/>
    <n v="1.531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COLE COMMUNAUTAIRE AMPATIOLOTSE"/>
    <m/>
    <m/>
    <n v="136"/>
    <m/>
    <x v="3"/>
    <s v="HGSF"/>
    <m/>
    <n v="1.05"/>
    <m/>
    <m/>
    <m/>
    <n v="0.05"/>
    <n v="7.6499999999999999E-2"/>
    <m/>
    <m/>
    <m/>
    <m/>
    <m/>
    <m/>
    <m/>
    <n v="3003968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AMPILOFILO"/>
    <m/>
    <m/>
    <n v="196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ANALAMAHAVELO"/>
    <m/>
    <m/>
    <n v="132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COLE COMMUNAUTAIRE ANKILISOA SOMANGY"/>
    <m/>
    <m/>
    <n v="150"/>
    <m/>
    <x v="3"/>
    <s v="HGSF"/>
    <m/>
    <n v="0.2"/>
    <m/>
    <m/>
    <m/>
    <n v="0.05"/>
    <n v="0"/>
    <m/>
    <m/>
    <m/>
    <m/>
    <m/>
    <m/>
    <m/>
    <n v="331320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ANTANAMARY"/>
    <m/>
    <m/>
    <n v="208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COLE COMMUNAUTAIRE MAIKANDRO"/>
    <m/>
    <m/>
    <n v="176"/>
    <m/>
    <x v="3"/>
    <s v="HGSF"/>
    <m/>
    <n v="0.85"/>
    <m/>
    <m/>
    <m/>
    <n v="0"/>
    <n v="5.8500000000000003E-2"/>
    <m/>
    <m/>
    <m/>
    <m/>
    <m/>
    <m/>
    <m/>
    <n v="3887488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PP MIRIA"/>
    <m/>
    <m/>
    <n v="210"/>
    <m/>
    <x v="3"/>
    <s v="HGSF"/>
    <m/>
    <n v="0.65"/>
    <m/>
    <m/>
    <m/>
    <n v="0.1"/>
    <n v="0"/>
    <m/>
    <m/>
    <m/>
    <m/>
    <m/>
    <m/>
    <m/>
    <n v="463848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PP TAMBAHY"/>
    <m/>
    <m/>
    <n v="104"/>
    <m/>
    <x v="3"/>
    <s v="HGSF"/>
    <m/>
    <n v="0.3"/>
    <m/>
    <m/>
    <m/>
    <n v="0"/>
    <n v="0"/>
    <m/>
    <m/>
    <m/>
    <m/>
    <m/>
    <m/>
    <m/>
    <n v="2297152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AMBORINABO"/>
    <m/>
    <m/>
    <n v="183"/>
    <m/>
    <x v="1"/>
    <s v="classique"/>
    <m/>
    <n v="0.45"/>
    <m/>
    <m/>
    <m/>
    <n v="0.25"/>
    <n v="0"/>
    <m/>
    <m/>
    <m/>
    <m/>
    <m/>
    <m/>
    <n v="0.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PP ANATO"/>
    <m/>
    <m/>
    <n v="186"/>
    <m/>
    <x v="3"/>
    <s v="HGSF"/>
    <m/>
    <n v="0.5"/>
    <m/>
    <m/>
    <m/>
    <n v="0"/>
    <n v="0"/>
    <m/>
    <m/>
    <m/>
    <m/>
    <m/>
    <m/>
    <m/>
    <n v="4108368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MANAKOMPY"/>
    <m/>
    <m/>
    <n v="285"/>
    <m/>
    <x v="3"/>
    <s v="HGSF"/>
    <m/>
    <n v="0.7"/>
    <m/>
    <m/>
    <m/>
    <n v="0.05"/>
    <n v="0"/>
    <m/>
    <m/>
    <m/>
    <m/>
    <m/>
    <m/>
    <m/>
    <n v="629508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TSIANDRORA"/>
    <m/>
    <m/>
    <n v="165"/>
    <m/>
    <x v="1"/>
    <s v="classique"/>
    <m/>
    <n v="0.3"/>
    <m/>
    <m/>
    <m/>
    <n v="0.25"/>
    <n v="0"/>
    <m/>
    <m/>
    <m/>
    <m/>
    <m/>
    <m/>
    <n v="0.55000000000000004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ANTSAKOAMASY"/>
    <m/>
    <m/>
    <n v="165"/>
    <m/>
    <x v="1"/>
    <s v="classique"/>
    <m/>
    <n v="0.3"/>
    <m/>
    <m/>
    <m/>
    <n v="0.25"/>
    <n v="0"/>
    <m/>
    <m/>
    <m/>
    <m/>
    <m/>
    <m/>
    <n v="0.55000000000000004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COLE COMMUNAUTAIRE AMBOHITSY BEMAHATAZA"/>
    <m/>
    <m/>
    <n v="84"/>
    <m/>
    <x v="3"/>
    <s v="HGSF"/>
    <m/>
    <n v="0.65"/>
    <m/>
    <m/>
    <m/>
    <n v="0.05"/>
    <n v="4.4999999999999998E-2"/>
    <m/>
    <m/>
    <m/>
    <m/>
    <m/>
    <m/>
    <m/>
    <n v="1855392"/>
    <m/>
  </r>
  <r>
    <x v="0"/>
    <n v="2024"/>
    <x v="3"/>
    <s v="SMP1"/>
    <x v="8"/>
    <s v="School feeding"/>
    <m/>
    <m/>
    <s v="Ambovombe"/>
    <x v="0"/>
    <s v="Taolagnaro"/>
    <s v="Androy"/>
    <s v="Bekily"/>
    <m/>
    <s v="Manakompy"/>
    <s v="ECOLE COMMUNAUTAIRE ANKILIMANINTSY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s v="Bekily"/>
    <m/>
    <s v="MAROVIRO"/>
    <s v="MAROVIRO"/>
    <m/>
    <m/>
    <n v="210"/>
    <m/>
    <x v="1"/>
    <s v="classique"/>
    <m/>
    <n v="0.65"/>
    <m/>
    <m/>
    <m/>
    <n v="0.3"/>
    <n v="0.11700000000000001"/>
    <m/>
    <m/>
    <m/>
    <m/>
    <m/>
    <m/>
    <n v="1.066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ECOLE COMMUNAUTAIRE AMBARARATA OUEST"/>
    <m/>
    <m/>
    <n v="370"/>
    <m/>
    <x v="3"/>
    <s v="HGSF"/>
    <m/>
    <n v="1.6"/>
    <m/>
    <m/>
    <m/>
    <n v="0.15"/>
    <n v="0.1215"/>
    <m/>
    <m/>
    <m/>
    <m/>
    <m/>
    <m/>
    <m/>
    <n v="8172560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AMBONDRO"/>
    <m/>
    <m/>
    <n v="227"/>
    <m/>
    <x v="3"/>
    <s v="HGSF"/>
    <m/>
    <n v="1.25"/>
    <m/>
    <m/>
    <m/>
    <n v="0.1"/>
    <n v="8.5500000000000007E-2"/>
    <m/>
    <m/>
    <m/>
    <m/>
    <m/>
    <m/>
    <m/>
    <n v="5013976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ECOLE COMMUNAUTAIRE BEFANGITSY"/>
    <m/>
    <m/>
    <n v="176"/>
    <m/>
    <x v="3"/>
    <s v="HGSF"/>
    <m/>
    <n v="0.9"/>
    <m/>
    <m/>
    <m/>
    <n v="0.1"/>
    <n v="6.7500000000000004E-2"/>
    <m/>
    <m/>
    <m/>
    <m/>
    <m/>
    <m/>
    <m/>
    <n v="3887488"/>
    <m/>
  </r>
  <r>
    <x v="0"/>
    <n v="2024"/>
    <x v="3"/>
    <s v="SMP1"/>
    <x v="8"/>
    <s v="School feeding"/>
    <m/>
    <m/>
    <s v="Ambovombe"/>
    <x v="0"/>
    <s v="Taolagnaro"/>
    <s v="Androy"/>
    <s v="Bekily"/>
    <m/>
    <s v="ANJA NORD"/>
    <s v="ECOLE COMMUNAUTAIRE MAROFANY"/>
    <m/>
    <m/>
    <n v="300"/>
    <m/>
    <x v="3"/>
    <s v="HGSF"/>
    <m/>
    <n v="1.35"/>
    <m/>
    <m/>
    <m/>
    <n v="0.1"/>
    <n v="9.9000000000000005E-2"/>
    <m/>
    <m/>
    <m/>
    <m/>
    <m/>
    <m/>
    <m/>
    <n v="6626400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BEKILY I"/>
    <m/>
    <m/>
    <n v="1411"/>
    <m/>
    <x v="1"/>
    <s v="classique"/>
    <m/>
    <n v="6.4"/>
    <m/>
    <m/>
    <m/>
    <n v="1.35"/>
    <n v="0.45450000000000002"/>
    <m/>
    <m/>
    <m/>
    <m/>
    <m/>
    <m/>
    <n v="8.204499999999999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BEKILY II"/>
    <m/>
    <m/>
    <n v="1064"/>
    <m/>
    <x v="1"/>
    <s v="classique"/>
    <m/>
    <n v="5.35"/>
    <m/>
    <m/>
    <m/>
    <n v="1.1499999999999999"/>
    <n v="0.38250000000000001"/>
    <m/>
    <m/>
    <m/>
    <m/>
    <m/>
    <m/>
    <n v="6.8825000000000003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MITSINJO"/>
    <m/>
    <m/>
    <n v="458"/>
    <m/>
    <x v="3"/>
    <s v="HGSF"/>
    <m/>
    <n v="2.35"/>
    <m/>
    <m/>
    <m/>
    <n v="0.2"/>
    <n v="0.16650000000000001"/>
    <m/>
    <m/>
    <m/>
    <m/>
    <m/>
    <m/>
    <m/>
    <n v="10116304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TANAMBAO"/>
    <m/>
    <m/>
    <n v="591"/>
    <m/>
    <x v="1"/>
    <s v="classique"/>
    <m/>
    <n v="3.05"/>
    <m/>
    <m/>
    <m/>
    <n v="0.65"/>
    <n v="0.216"/>
    <m/>
    <m/>
    <m/>
    <m/>
    <m/>
    <m/>
    <n v="3.915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KILY CENTRALE"/>
    <s v="AMBALANOSY"/>
    <m/>
    <m/>
    <n v="220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AMBOHITSE MORAFENO"/>
    <m/>
    <m/>
    <n v="136"/>
    <m/>
    <x v="1"/>
    <s v="classique"/>
    <m/>
    <n v="0.55000000000000004"/>
    <m/>
    <m/>
    <m/>
    <n v="0.1"/>
    <n v="4.9500000000000002E-2"/>
    <m/>
    <m/>
    <m/>
    <m/>
    <m/>
    <m/>
    <n v="0.6995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EPP IABOMARY II"/>
    <m/>
    <m/>
    <n v="193"/>
    <m/>
    <x v="3"/>
    <s v="HGSF"/>
    <m/>
    <n v="1"/>
    <m/>
    <m/>
    <m/>
    <n v="0"/>
    <n v="6.7500000000000004E-2"/>
    <m/>
    <m/>
    <m/>
    <m/>
    <m/>
    <m/>
    <m/>
    <n v="4262984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MAHASOA"/>
    <m/>
    <m/>
    <n v="220"/>
    <m/>
    <x v="1"/>
    <s v="classique"/>
    <m/>
    <n v="1.2"/>
    <m/>
    <m/>
    <m/>
    <n v="0.25"/>
    <n v="8.1000000000000003E-2"/>
    <m/>
    <m/>
    <m/>
    <m/>
    <m/>
    <m/>
    <n v="1.530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MORAFENO HAUT"/>
    <m/>
    <m/>
    <n v="208"/>
    <m/>
    <x v="1"/>
    <s v="classique"/>
    <m/>
    <n v="1.1000000000000001"/>
    <m/>
    <m/>
    <m/>
    <n v="0.2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BEDONA"/>
    <m/>
    <m/>
    <n v="264"/>
    <m/>
    <x v="3"/>
    <s v="HGSF"/>
    <m/>
    <n v="1.55"/>
    <m/>
    <m/>
    <m/>
    <n v="0"/>
    <n v="0.10349999999999999"/>
    <m/>
    <m/>
    <m/>
    <m/>
    <m/>
    <m/>
    <m/>
    <n v="5831232"/>
    <m/>
  </r>
  <r>
    <x v="0"/>
    <n v="2024"/>
    <x v="3"/>
    <s v="SMP1"/>
    <x v="8"/>
    <s v="School feeding"/>
    <m/>
    <m/>
    <s v="Ambovombe"/>
    <x v="0"/>
    <s v="Taolagnaro"/>
    <s v="Androy"/>
    <s v="Bekily"/>
    <m/>
    <s v="TANANDAVA"/>
    <s v="SARISAMBO"/>
    <m/>
    <m/>
    <n v="343"/>
    <m/>
    <x v="1"/>
    <s v="classique"/>
    <m/>
    <n v="2.15"/>
    <m/>
    <m/>
    <m/>
    <n v="0.45"/>
    <n v="0.14399999999999999"/>
    <m/>
    <m/>
    <m/>
    <m/>
    <m/>
    <m/>
    <n v="2.744000000000000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ECOLE COMMUNAUTAIRE ANKILIMILOPAKY"/>
    <m/>
    <m/>
    <n v="174"/>
    <m/>
    <x v="3"/>
    <s v="HGSF"/>
    <m/>
    <n v="0.85"/>
    <m/>
    <m/>
    <m/>
    <n v="0"/>
    <n v="5.3999999999999999E-2"/>
    <m/>
    <m/>
    <m/>
    <m/>
    <m/>
    <m/>
    <m/>
    <n v="3843312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ECOLE COMMUNAUTAIRE BELIO_HAUT"/>
    <m/>
    <m/>
    <n v="128"/>
    <m/>
    <x v="3"/>
    <s v="HGSF"/>
    <m/>
    <n v="1"/>
    <m/>
    <m/>
    <m/>
    <n v="0.05"/>
    <n v="7.1999999999999995E-2"/>
    <m/>
    <m/>
    <m/>
    <m/>
    <m/>
    <m/>
    <m/>
    <n v="2827264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ANJANTSOA"/>
    <m/>
    <m/>
    <n v="240"/>
    <m/>
    <x v="3"/>
    <s v="HGSF"/>
    <m/>
    <n v="1.35"/>
    <m/>
    <m/>
    <m/>
    <n v="0"/>
    <n v="8.5500000000000007E-2"/>
    <m/>
    <m/>
    <m/>
    <m/>
    <m/>
    <m/>
    <m/>
    <n v="5301120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EPP ANTSAKOAMALANGY"/>
    <m/>
    <m/>
    <n v="231"/>
    <m/>
    <x v="3"/>
    <s v="HGSF"/>
    <m/>
    <n v="1.25"/>
    <m/>
    <m/>
    <m/>
    <n v="0"/>
    <n v="8.1000000000000003E-2"/>
    <m/>
    <m/>
    <m/>
    <m/>
    <m/>
    <m/>
    <m/>
    <n v="5102328"/>
    <m/>
  </r>
  <r>
    <x v="0"/>
    <n v="2024"/>
    <x v="3"/>
    <s v="SMP1"/>
    <x v="8"/>
    <s v="School feeding"/>
    <m/>
    <m/>
    <s v="Ambovombe"/>
    <x v="0"/>
    <s v="Taolagnaro"/>
    <s v="Androy"/>
    <s v="Bekily"/>
    <m/>
    <s v="TSIKOLAKY"/>
    <s v="EPP TSIKOLAKY"/>
    <m/>
    <m/>
    <n v="236"/>
    <m/>
    <x v="3"/>
    <s v="HGSF"/>
    <m/>
    <n v="1.3"/>
    <m/>
    <m/>
    <m/>
    <n v="0"/>
    <n v="8.1000000000000003E-2"/>
    <m/>
    <m/>
    <m/>
    <m/>
    <m/>
    <m/>
    <m/>
    <n v="5212768"/>
    <m/>
  </r>
  <r>
    <x v="0"/>
    <n v="2024"/>
    <x v="3"/>
    <s v="SMP1"/>
    <x v="8"/>
    <s v="School feeding"/>
    <m/>
    <m/>
    <s v="Ambovombe"/>
    <x v="0"/>
    <s v="Taolagnaro"/>
    <s v="Androy"/>
    <s v="Bekily"/>
    <m/>
    <s v="TANAMBAO TSIRANDRANY"/>
    <s v="MATSINJO"/>
    <m/>
    <m/>
    <n v="165"/>
    <m/>
    <x v="1"/>
    <s v="classique"/>
    <m/>
    <n v="0.75"/>
    <m/>
    <m/>
    <m/>
    <n v="0.15"/>
    <n v="8.5500000000000007E-2"/>
    <m/>
    <m/>
    <m/>
    <m/>
    <m/>
    <m/>
    <n v="0.98550000000000004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Tanambao Tsirandrany"/>
    <s v="ECOLE COMMUNAUTAIRE TEMAGNALO"/>
    <m/>
    <m/>
    <n v="71"/>
    <m/>
    <x v="3"/>
    <s v="HGSF"/>
    <m/>
    <n v="0.55000000000000004"/>
    <m/>
    <m/>
    <m/>
    <n v="0.05"/>
    <n v="4.0500000000000001E-2"/>
    <m/>
    <m/>
    <m/>
    <m/>
    <m/>
    <m/>
    <m/>
    <n v="1568248"/>
    <m/>
  </r>
  <r>
    <x v="0"/>
    <n v="2024"/>
    <x v="3"/>
    <s v="SMP1"/>
    <x v="8"/>
    <s v="School feeding"/>
    <m/>
    <m/>
    <s v="Ambovombe"/>
    <x v="0"/>
    <s v="Taolagnaro"/>
    <s v="Androy"/>
    <s v="Bekily"/>
    <m/>
    <s v="TANAMBAO TSIRANDRANY"/>
    <s v="EPP MITSINJO I"/>
    <m/>
    <m/>
    <n v="93"/>
    <m/>
    <x v="3"/>
    <s v="HGSF"/>
    <m/>
    <n v="0.7"/>
    <m/>
    <m/>
    <m/>
    <n v="0.05"/>
    <n v="4.9500000000000002E-2"/>
    <m/>
    <m/>
    <m/>
    <m/>
    <m/>
    <m/>
    <m/>
    <n v="2054184"/>
    <m/>
  </r>
  <r>
    <x v="0"/>
    <n v="2024"/>
    <x v="3"/>
    <s v="SMP1"/>
    <x v="8"/>
    <s v="School feeding"/>
    <m/>
    <m/>
    <s v="Ambovombe"/>
    <x v="0"/>
    <s v="Taolagnaro"/>
    <s v="Androy"/>
    <s v="Bekily"/>
    <m/>
    <s v="TANAMBAO TSIRANDRANY"/>
    <s v="EPP TANAMBAO TSIRANDRANY"/>
    <m/>
    <m/>
    <n v="635"/>
    <m/>
    <x v="3"/>
    <s v="HGSF"/>
    <m/>
    <n v="4.4000000000000004"/>
    <m/>
    <m/>
    <m/>
    <n v="0.05"/>
    <n v="0.29699999999999999"/>
    <m/>
    <m/>
    <m/>
    <m/>
    <m/>
    <m/>
    <m/>
    <n v="14025880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MANAKOLIVA"/>
    <m/>
    <m/>
    <n v="426"/>
    <m/>
    <x v="3"/>
    <s v="HGSF"/>
    <m/>
    <n v="1.4"/>
    <m/>
    <m/>
    <m/>
    <n v="0.05"/>
    <n v="9.9000000000000005E-2"/>
    <m/>
    <m/>
    <m/>
    <m/>
    <m/>
    <m/>
    <m/>
    <n v="9409488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ECOLE COMMUNAUTAIRE SAKOAMPOLO"/>
    <m/>
    <m/>
    <n v="186"/>
    <m/>
    <x v="3"/>
    <s v="HGSF"/>
    <m/>
    <n v="0.65"/>
    <m/>
    <m/>
    <m/>
    <n v="0.05"/>
    <n v="4.4999999999999998E-2"/>
    <m/>
    <m/>
    <m/>
    <m/>
    <m/>
    <m/>
    <m/>
    <n v="4108368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ECOLE COMMUNAUTAIRE BEKIJOLY"/>
    <m/>
    <m/>
    <n v="206"/>
    <m/>
    <x v="3"/>
    <s v="HGSF"/>
    <m/>
    <n v="0.7"/>
    <m/>
    <m/>
    <m/>
    <n v="0.05"/>
    <n v="4.9500000000000002E-2"/>
    <m/>
    <m/>
    <m/>
    <m/>
    <m/>
    <m/>
    <m/>
    <n v="4550128"/>
    <m/>
  </r>
  <r>
    <x v="0"/>
    <n v="2024"/>
    <x v="3"/>
    <s v="SMP1"/>
    <x v="8"/>
    <s v="School feeding"/>
    <m/>
    <m/>
    <s v="Ambovombe"/>
    <x v="0"/>
    <s v="Taolagnaro"/>
    <s v="Androy"/>
    <s v="Bekily"/>
    <m/>
    <s v="Vohimanga"/>
    <s v="ECOLE COMMUNAUTAIRE ANDARO"/>
    <m/>
    <m/>
    <n v="123"/>
    <m/>
    <x v="3"/>
    <s v="HGSF"/>
    <m/>
    <n v="0.95"/>
    <m/>
    <m/>
    <m/>
    <n v="0.05"/>
    <n v="6.7500000000000004E-2"/>
    <m/>
    <m/>
    <m/>
    <m/>
    <m/>
    <m/>
    <m/>
    <n v="2716824"/>
    <m/>
  </r>
  <r>
    <x v="0"/>
    <n v="2024"/>
    <x v="3"/>
    <s v="SMP1"/>
    <x v="8"/>
    <s v="School feeding"/>
    <m/>
    <m/>
    <s v="Ambovombe"/>
    <x v="0"/>
    <s v="Taolagnaro"/>
    <s v="Androy"/>
    <s v="Bekily"/>
    <m/>
    <s v="MIKAIKARIVOAMBATOMAINTY"/>
    <s v="ANDRANOMASY VOHITANY"/>
    <m/>
    <m/>
    <n v="312"/>
    <m/>
    <x v="1"/>
    <s v="classique"/>
    <m/>
    <n v="1.05"/>
    <m/>
    <m/>
    <m/>
    <n v="0.25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BESOHIHY"/>
    <m/>
    <m/>
    <n v="173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FENOARIVO"/>
    <m/>
    <m/>
    <n v="148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ANDRANOMATAVY"/>
    <m/>
    <m/>
    <n v="206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BESAKOA"/>
    <m/>
    <m/>
    <n v="382"/>
    <m/>
    <x v="3"/>
    <s v="HGSF"/>
    <m/>
    <n v="2.1"/>
    <m/>
    <m/>
    <m/>
    <n v="0.05"/>
    <n v="0.09"/>
    <m/>
    <m/>
    <m/>
    <m/>
    <m/>
    <m/>
    <m/>
    <n v="8437616"/>
    <m/>
  </r>
  <r>
    <x v="0"/>
    <n v="2024"/>
    <x v="3"/>
    <s v="SMP1"/>
    <x v="8"/>
    <s v="School feeding"/>
    <m/>
    <m/>
    <s v="Ambovombe"/>
    <x v="0"/>
    <s v="Taolagnaro"/>
    <s v="Androy"/>
    <s v="Bekily"/>
    <m/>
    <s v="MIKAIKARIVOAMBATOMAINTY"/>
    <s v="AMPANY ANIVORANO"/>
    <m/>
    <m/>
    <n v="255"/>
    <m/>
    <x v="1"/>
    <s v="classique"/>
    <m/>
    <n v="0.85"/>
    <m/>
    <m/>
    <m/>
    <n v="0.2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bovombe"/>
    <x v="0"/>
    <s v="Taolagnaro"/>
    <s v="Androy"/>
    <s v="Bekily"/>
    <m/>
    <s v="BESAKOA"/>
    <s v="ECOLE COMMUNAUTAIRE FENOARIVO II"/>
    <m/>
    <m/>
    <n v="120"/>
    <m/>
    <x v="3"/>
    <s v="HGSF"/>
    <m/>
    <n v="0.9"/>
    <m/>
    <m/>
    <m/>
    <n v="0.05"/>
    <n v="6.7500000000000004E-2"/>
    <m/>
    <m/>
    <m/>
    <m/>
    <m/>
    <m/>
    <m/>
    <n v="2650560"/>
    <m/>
  </r>
  <r>
    <x v="0"/>
    <n v="2024"/>
    <x v="3"/>
    <s v="SMP1"/>
    <x v="8"/>
    <s v="School feeding"/>
    <m/>
    <m/>
    <s v="Ambovombe"/>
    <x v="0"/>
    <s v="Taolagnaro"/>
    <s v="Androy"/>
    <s v="Beloha"/>
    <m/>
    <s v="AMBATOTSIVALA"/>
    <s v="ANDINGOLINGO"/>
    <m/>
    <m/>
    <n v="191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AMBATOTSIVALA"/>
    <s v="EPP AGNALAMIHOATSE"/>
    <m/>
    <m/>
    <n v="107"/>
    <m/>
    <x v="3"/>
    <s v="HGSF"/>
    <m/>
    <n v="0.8"/>
    <m/>
    <m/>
    <m/>
    <n v="0.05"/>
    <n v="5.8500000000000003E-2"/>
    <m/>
    <m/>
    <m/>
    <m/>
    <m/>
    <m/>
    <m/>
    <n v="2363416"/>
    <m/>
  </r>
  <r>
    <x v="0"/>
    <n v="2024"/>
    <x v="3"/>
    <s v="SMP1"/>
    <x v="8"/>
    <s v="School feeding"/>
    <m/>
    <m/>
    <s v="Ambovombe"/>
    <x v="0"/>
    <s v="Taolagnaro"/>
    <s v="Androy"/>
    <s v="Beloha"/>
    <m/>
    <s v="AMBATOTSIVALA"/>
    <s v="EPP AMBATOTSIVALA"/>
    <m/>
    <m/>
    <n v="204"/>
    <m/>
    <x v="3"/>
    <s v="HGSF"/>
    <m/>
    <n v="1.55"/>
    <m/>
    <m/>
    <m/>
    <n v="0.1"/>
    <n v="0.1125"/>
    <m/>
    <m/>
    <m/>
    <m/>
    <m/>
    <m/>
    <m/>
    <n v="4505952"/>
    <m/>
  </r>
  <r>
    <x v="0"/>
    <n v="2024"/>
    <x v="3"/>
    <s v="SMP1"/>
    <x v="8"/>
    <s v="School feeding"/>
    <m/>
    <m/>
    <s v="Ambovombe"/>
    <x v="0"/>
    <s v="Taolagnaro"/>
    <s v="Androy"/>
    <s v="Beloha"/>
    <m/>
    <s v="AMBATOTSIVALA"/>
    <s v="EPP ANKILIVAHARY"/>
    <m/>
    <m/>
    <n v="179"/>
    <m/>
    <x v="3"/>
    <s v="HGSF"/>
    <m/>
    <n v="1.4"/>
    <m/>
    <m/>
    <m/>
    <n v="0.1"/>
    <n v="9.9000000000000005E-2"/>
    <m/>
    <m/>
    <m/>
    <m/>
    <m/>
    <m/>
    <m/>
    <n v="3953752"/>
    <m/>
  </r>
  <r>
    <x v="0"/>
    <n v="2024"/>
    <x v="3"/>
    <s v="SMP1"/>
    <x v="8"/>
    <s v="School feeding"/>
    <m/>
    <m/>
    <s v="Ambovombe"/>
    <x v="0"/>
    <s v="Taolagnaro"/>
    <s v="Androy"/>
    <s v="Beloha"/>
    <m/>
    <s v="AMBATOTSIVALA"/>
    <s v="KORONGA"/>
    <m/>
    <m/>
    <n v="251"/>
    <m/>
    <x v="3"/>
    <s v="HGSF"/>
    <m/>
    <n v="1.95"/>
    <m/>
    <m/>
    <m/>
    <n v="0.1"/>
    <n v="0.13950000000000001"/>
    <m/>
    <m/>
    <m/>
    <m/>
    <m/>
    <m/>
    <m/>
    <n v="5544088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ANALALAVA-NORD"/>
    <m/>
    <m/>
    <n v="181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ANALOALO"/>
    <m/>
    <m/>
    <n v="136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ANDRANOLAVA-NORD"/>
    <m/>
    <m/>
    <n v="22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ANTANIMENA-NORD"/>
    <m/>
    <m/>
    <n v="130"/>
    <m/>
    <x v="1"/>
    <s v="classique"/>
    <m/>
    <n v="1"/>
    <m/>
    <m/>
    <m/>
    <n v="0.25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BEMENA"/>
    <m/>
    <m/>
    <n v="284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EPP ANTSAKOANTSOA"/>
    <m/>
    <m/>
    <n v="101"/>
    <m/>
    <x v="3"/>
    <s v="HGSF"/>
    <m/>
    <n v="0.8"/>
    <m/>
    <m/>
    <m/>
    <n v="0.05"/>
    <n v="5.3999999999999999E-2"/>
    <m/>
    <m/>
    <m/>
    <m/>
    <m/>
    <m/>
    <m/>
    <n v="2230888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EPP BEHABOBO"/>
    <m/>
    <m/>
    <n v="541"/>
    <m/>
    <x v="3"/>
    <s v="HGSF"/>
    <m/>
    <n v="4.1500000000000004"/>
    <m/>
    <m/>
    <m/>
    <n v="0.2"/>
    <n v="0.29699999999999999"/>
    <m/>
    <m/>
    <m/>
    <m/>
    <m/>
    <m/>
    <m/>
    <n v="11949608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MAROBASIA-NORD"/>
    <m/>
    <m/>
    <n v="150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MAROBASIA-SUD"/>
    <m/>
    <m/>
    <n v="155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MAROHERY"/>
    <m/>
    <m/>
    <n v="195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SIHANADROTSY"/>
    <m/>
    <m/>
    <n v="157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HABOBO"/>
    <s v="TSIMILOFO"/>
    <m/>
    <m/>
    <n v="188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AMBOHIVOLA"/>
    <m/>
    <m/>
    <n v="441"/>
    <m/>
    <x v="3"/>
    <s v="HGSF"/>
    <m/>
    <n v="3.4"/>
    <m/>
    <m/>
    <m/>
    <n v="0.15"/>
    <n v="0.24299999999999999"/>
    <m/>
    <m/>
    <m/>
    <m/>
    <m/>
    <m/>
    <m/>
    <n v="9740808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AMBOROGNEOKE"/>
    <m/>
    <m/>
    <n v="138"/>
    <m/>
    <x v="1"/>
    <s v="classique"/>
    <m/>
    <n v="0.55000000000000004"/>
    <m/>
    <m/>
    <m/>
    <n v="0.1"/>
    <n v="4.4999999999999998E-2"/>
    <m/>
    <m/>
    <m/>
    <m/>
    <m/>
    <m/>
    <n v="0.69500000000000006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ANDOVOKE"/>
    <m/>
    <m/>
    <n v="288"/>
    <m/>
    <x v="1"/>
    <s v="classique"/>
    <m/>
    <n v="1.25"/>
    <m/>
    <m/>
    <m/>
    <n v="0.25"/>
    <n v="0.09"/>
    <m/>
    <m/>
    <m/>
    <m/>
    <m/>
    <m/>
    <n v="1.5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ANKAZOMAGNITSE"/>
    <m/>
    <m/>
    <n v="524"/>
    <m/>
    <x v="3"/>
    <s v="HGSF"/>
    <m/>
    <n v="4.05"/>
    <m/>
    <m/>
    <m/>
    <n v="0.2"/>
    <n v="0.28799999999999998"/>
    <m/>
    <m/>
    <m/>
    <m/>
    <m/>
    <m/>
    <m/>
    <n v="1157411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ANTREAKE"/>
    <m/>
    <m/>
    <n v="378"/>
    <m/>
    <x v="3"/>
    <s v="HGSF"/>
    <m/>
    <n v="2.9"/>
    <m/>
    <m/>
    <m/>
    <n v="0.15"/>
    <n v="0.20699999999999999"/>
    <m/>
    <m/>
    <m/>
    <m/>
    <m/>
    <m/>
    <m/>
    <n v="8349264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BELOHA CENTRE"/>
    <m/>
    <m/>
    <n v="1531"/>
    <m/>
    <x v="3"/>
    <s v="HGSF"/>
    <m/>
    <n v="11.8"/>
    <m/>
    <m/>
    <m/>
    <n v="0.55000000000000004"/>
    <n v="0.84150000000000003"/>
    <m/>
    <m/>
    <m/>
    <m/>
    <m/>
    <m/>
    <m/>
    <n v="33816728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ANALALAVA OUEST"/>
    <m/>
    <m/>
    <n v="269"/>
    <m/>
    <x v="3"/>
    <s v="HGSF"/>
    <m/>
    <n v="2.0499999999999998"/>
    <m/>
    <m/>
    <m/>
    <n v="0.1"/>
    <n v="0.14849999999999999"/>
    <m/>
    <m/>
    <m/>
    <m/>
    <m/>
    <m/>
    <m/>
    <n v="594167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ANDOMBIRY"/>
    <m/>
    <m/>
    <n v="164"/>
    <m/>
    <x v="3"/>
    <s v="HGSF"/>
    <m/>
    <n v="1.25"/>
    <m/>
    <m/>
    <m/>
    <n v="0.1"/>
    <n v="0.09"/>
    <m/>
    <m/>
    <m/>
    <m/>
    <m/>
    <m/>
    <m/>
    <n v="362243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ANDRANOHAZONAILY"/>
    <m/>
    <m/>
    <n v="144"/>
    <m/>
    <x v="3"/>
    <s v="HGSF"/>
    <m/>
    <n v="1.1000000000000001"/>
    <m/>
    <m/>
    <m/>
    <n v="0.05"/>
    <n v="8.1000000000000003E-2"/>
    <m/>
    <m/>
    <m/>
    <m/>
    <m/>
    <m/>
    <m/>
    <n v="318067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ANKILIBEHARA"/>
    <m/>
    <m/>
    <n v="154"/>
    <m/>
    <x v="3"/>
    <s v="HGSF"/>
    <m/>
    <n v="1.2"/>
    <m/>
    <m/>
    <m/>
    <n v="0.1"/>
    <n v="8.5500000000000007E-2"/>
    <m/>
    <m/>
    <m/>
    <m/>
    <m/>
    <m/>
    <m/>
    <n v="340155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ANKILIMIARY"/>
    <m/>
    <m/>
    <n v="199"/>
    <m/>
    <x v="3"/>
    <s v="HGSF"/>
    <m/>
    <n v="1.55"/>
    <m/>
    <m/>
    <m/>
    <n v="0.1"/>
    <n v="0.108"/>
    <m/>
    <m/>
    <m/>
    <m/>
    <m/>
    <m/>
    <m/>
    <n v="4395512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EPP BEBORODOKE"/>
    <m/>
    <m/>
    <n v="153"/>
    <m/>
    <x v="3"/>
    <s v="HGSF"/>
    <m/>
    <n v="1.2"/>
    <m/>
    <m/>
    <m/>
    <n v="0.1"/>
    <n v="8.5500000000000007E-2"/>
    <m/>
    <m/>
    <m/>
    <m/>
    <m/>
    <m/>
    <m/>
    <n v="3379464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KIRIMOSA"/>
    <m/>
    <m/>
    <n v="354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MONTO"/>
    <m/>
    <m/>
    <n v="199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NAMANDRIHA"/>
    <m/>
    <m/>
    <n v="110"/>
    <m/>
    <x v="1"/>
    <s v="classique"/>
    <m/>
    <n v="0.2"/>
    <m/>
    <m/>
    <m/>
    <n v="0.05"/>
    <n v="8.9999999999999993E-3"/>
    <m/>
    <m/>
    <m/>
    <m/>
    <m/>
    <m/>
    <n v="0.2590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NIFANITSE"/>
    <m/>
    <m/>
    <n v="196"/>
    <m/>
    <x v="1"/>
    <s v="classique"/>
    <m/>
    <n v="1.05"/>
    <m/>
    <m/>
    <m/>
    <n v="0.2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BELOHA"/>
    <s v="ZAMBE"/>
    <m/>
    <m/>
    <n v="364"/>
    <m/>
    <x v="1"/>
    <s v="classique"/>
    <m/>
    <n v="1.3"/>
    <m/>
    <m/>
    <m/>
    <n v="0.3"/>
    <n v="0.09"/>
    <m/>
    <m/>
    <m/>
    <m/>
    <m/>
    <m/>
    <n v="1.6900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KILETOKA"/>
    <m/>
    <m/>
    <n v="210"/>
    <m/>
    <x v="1"/>
    <s v="classique"/>
    <m/>
    <n v="1.6"/>
    <m/>
    <m/>
    <m/>
    <n v="0.35"/>
    <n v="0.11700000000000001"/>
    <m/>
    <m/>
    <m/>
    <m/>
    <m/>
    <m/>
    <n v="2.0670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MBOLITSIFA"/>
    <m/>
    <m/>
    <n v="216"/>
    <m/>
    <x v="1"/>
    <s v="classique"/>
    <m/>
    <n v="1.65"/>
    <m/>
    <m/>
    <m/>
    <n v="0.4"/>
    <n v="0.11700000000000001"/>
    <m/>
    <m/>
    <m/>
    <m/>
    <m/>
    <m/>
    <n v="2.1669999999999998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MPILOFILO"/>
    <m/>
    <m/>
    <n v="213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ANAKOFANDRA SUD"/>
    <m/>
    <m/>
    <n v="297"/>
    <m/>
    <x v="1"/>
    <s v="classique"/>
    <m/>
    <n v="1.1000000000000001"/>
    <m/>
    <m/>
    <m/>
    <n v="0.2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DAHIVOZAKE"/>
    <m/>
    <m/>
    <n v="293"/>
    <m/>
    <x v="1"/>
    <s v="classique"/>
    <m/>
    <n v="1"/>
    <m/>
    <m/>
    <m/>
    <n v="0.2"/>
    <n v="0.16200000000000001"/>
    <m/>
    <m/>
    <m/>
    <m/>
    <m/>
    <m/>
    <n v="1.361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DRANOHAZOKILY"/>
    <m/>
    <m/>
    <n v="212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JANDAVO"/>
    <m/>
    <m/>
    <n v="248"/>
    <m/>
    <x v="1"/>
    <s v="classique"/>
    <m/>
    <n v="0.55000000000000004"/>
    <m/>
    <m/>
    <m/>
    <n v="0.15"/>
    <n v="4.0500000000000001E-2"/>
    <m/>
    <m/>
    <m/>
    <m/>
    <m/>
    <m/>
    <n v="0.7405000000000000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JAPOTY"/>
    <m/>
    <m/>
    <n v="183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JATOVO"/>
    <m/>
    <m/>
    <n v="200"/>
    <m/>
    <x v="1"/>
    <s v="classique"/>
    <m/>
    <n v="0.85"/>
    <m/>
    <m/>
    <m/>
    <n v="0.15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ANKILIVOANGY"/>
    <m/>
    <m/>
    <n v="539"/>
    <m/>
    <x v="1"/>
    <s v="classique"/>
    <m/>
    <n v="4.1500000000000004"/>
    <m/>
    <m/>
    <m/>
    <n v="0.9"/>
    <n v="0.29699999999999999"/>
    <m/>
    <m/>
    <m/>
    <m/>
    <m/>
    <m/>
    <n v="5.3470000000000004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EPP AFONDRAVOATSY NORD"/>
    <m/>
    <m/>
    <n v="181"/>
    <m/>
    <x v="3"/>
    <s v="HGSF"/>
    <m/>
    <n v="1.4"/>
    <m/>
    <m/>
    <m/>
    <n v="0.1"/>
    <n v="9.9000000000000005E-2"/>
    <m/>
    <m/>
    <m/>
    <m/>
    <m/>
    <m/>
    <m/>
    <n v="3997928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EPP AGNANAKIRIHITSE"/>
    <m/>
    <m/>
    <n v="194"/>
    <m/>
    <x v="3"/>
    <s v="HGSF"/>
    <m/>
    <n v="1.5"/>
    <m/>
    <m/>
    <m/>
    <n v="0.1"/>
    <n v="0.108"/>
    <m/>
    <m/>
    <m/>
    <m/>
    <m/>
    <m/>
    <m/>
    <n v="4285072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EPP AMBOHIMAGNARE"/>
    <m/>
    <m/>
    <n v="258"/>
    <m/>
    <x v="3"/>
    <s v="HGSF"/>
    <m/>
    <n v="2"/>
    <m/>
    <m/>
    <m/>
    <n v="0.1"/>
    <n v="0.14399999999999999"/>
    <m/>
    <m/>
    <m/>
    <m/>
    <m/>
    <m/>
    <m/>
    <n v="5698704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EPP ANTSETA"/>
    <m/>
    <m/>
    <n v="634"/>
    <m/>
    <x v="3"/>
    <s v="HGSF"/>
    <m/>
    <n v="4.9000000000000004"/>
    <m/>
    <m/>
    <m/>
    <n v="0.25"/>
    <n v="0.34649999999999997"/>
    <m/>
    <m/>
    <m/>
    <m/>
    <m/>
    <m/>
    <m/>
    <n v="14003792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EPP BETSAKO"/>
    <m/>
    <m/>
    <n v="163"/>
    <m/>
    <x v="3"/>
    <s v="HGSF"/>
    <m/>
    <n v="1.25"/>
    <m/>
    <m/>
    <m/>
    <n v="0.1"/>
    <n v="0.09"/>
    <m/>
    <m/>
    <m/>
    <m/>
    <m/>
    <m/>
    <m/>
    <n v="3600344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KOPOKY"/>
    <m/>
    <m/>
    <n v="532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SATRAGNARIVO"/>
    <m/>
    <m/>
    <n v="208"/>
    <m/>
    <x v="1"/>
    <s v="classique"/>
    <m/>
    <n v="0.7"/>
    <m/>
    <m/>
    <m/>
    <n v="0.1"/>
    <n v="4.4999999999999998E-2"/>
    <m/>
    <m/>
    <m/>
    <m/>
    <m/>
    <m/>
    <n v="0.84499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SIHANAKAMPAHA"/>
    <m/>
    <m/>
    <n v="211"/>
    <m/>
    <x v="1"/>
    <s v="classique"/>
    <m/>
    <n v="0.8"/>
    <m/>
    <m/>
    <m/>
    <n v="0.15"/>
    <n v="5.8500000000000003E-2"/>
    <m/>
    <m/>
    <m/>
    <m/>
    <m/>
    <m/>
    <n v="1.0085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TANANDAVA SUD"/>
    <m/>
    <m/>
    <n v="25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TRATRAVAKY"/>
    <m/>
    <m/>
    <n v="233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TSIMAITO"/>
    <m/>
    <m/>
    <n v="32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TSIMAITO-AMBANY"/>
    <m/>
    <m/>
    <n v="208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KOPOKY"/>
    <s v="VAREMARO"/>
    <m/>
    <m/>
    <n v="208"/>
    <m/>
    <x v="1"/>
    <s v="classique"/>
    <m/>
    <n v="0.75"/>
    <m/>
    <m/>
    <m/>
    <n v="0.15"/>
    <n v="4.9500000000000002E-2"/>
    <m/>
    <m/>
    <m/>
    <m/>
    <m/>
    <m/>
    <n v="0.9495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ANDRAMBALY"/>
    <m/>
    <m/>
    <n v="303"/>
    <m/>
    <x v="1"/>
    <s v="classique"/>
    <m/>
    <n v="2.35"/>
    <m/>
    <m/>
    <m/>
    <n v="0.5"/>
    <n v="0.16650000000000001"/>
    <m/>
    <m/>
    <m/>
    <m/>
    <m/>
    <m/>
    <n v="3.0165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BEHOROFA"/>
    <m/>
    <m/>
    <n v="174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ECOLE COMMUNAUTAIRE ANTSAGNIRA"/>
    <m/>
    <m/>
    <n v="140"/>
    <m/>
    <x v="3"/>
    <s v="HGSF"/>
    <m/>
    <n v="1.1000000000000001"/>
    <m/>
    <m/>
    <m/>
    <n v="0.05"/>
    <n v="7.6499999999999999E-2"/>
    <m/>
    <m/>
    <m/>
    <m/>
    <m/>
    <m/>
    <m/>
    <n v="3092320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EPP MAHENIMBE"/>
    <m/>
    <m/>
    <n v="174"/>
    <m/>
    <x v="3"/>
    <s v="HGSF"/>
    <m/>
    <n v="1.35"/>
    <m/>
    <m/>
    <m/>
    <n v="0.1"/>
    <n v="9.4500000000000001E-2"/>
    <m/>
    <m/>
    <m/>
    <m/>
    <m/>
    <m/>
    <m/>
    <n v="3843312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EPP MAHENY"/>
    <m/>
    <m/>
    <n v="237"/>
    <m/>
    <x v="3"/>
    <s v="HGSF"/>
    <m/>
    <n v="1.8"/>
    <m/>
    <m/>
    <m/>
    <n v="0.1"/>
    <n v="0.1305"/>
    <m/>
    <m/>
    <m/>
    <m/>
    <m/>
    <m/>
    <m/>
    <n v="5234856"/>
    <m/>
  </r>
  <r>
    <x v="0"/>
    <n v="2024"/>
    <x v="3"/>
    <s v="SMP1"/>
    <x v="8"/>
    <s v="School feeding"/>
    <m/>
    <m/>
    <s v="Ambovombe"/>
    <x v="0"/>
    <s v="Taolagnaro"/>
    <s v="Androy"/>
    <s v="Beloha"/>
    <m/>
    <s v="MAHENY"/>
    <s v="VONDROTE"/>
    <m/>
    <m/>
    <n v="234"/>
    <m/>
    <x v="1"/>
    <s v="classique"/>
    <m/>
    <n v="0.9"/>
    <m/>
    <m/>
    <m/>
    <n v="0.2"/>
    <n v="6.7500000000000004E-2"/>
    <m/>
    <m/>
    <m/>
    <m/>
    <m/>
    <m/>
    <n v="1.167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ANJAMIKORY"/>
    <m/>
    <m/>
    <n v="124"/>
    <m/>
    <x v="1"/>
    <s v="classique"/>
    <m/>
    <n v="0.85"/>
    <m/>
    <m/>
    <m/>
    <n v="0.15"/>
    <n v="6.3E-2"/>
    <m/>
    <m/>
    <m/>
    <m/>
    <m/>
    <m/>
    <n v="1.062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ANKILIMALANGY"/>
    <m/>
    <m/>
    <n v="505"/>
    <m/>
    <x v="1"/>
    <s v="classique"/>
    <m/>
    <n v="3.9"/>
    <m/>
    <m/>
    <m/>
    <n v="0.85"/>
    <n v="0.27900000000000003"/>
    <m/>
    <m/>
    <m/>
    <m/>
    <m/>
    <m/>
    <n v="5.028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COLE COMMUNAUTAIRE AMBOROTSE"/>
    <m/>
    <m/>
    <n v="353"/>
    <m/>
    <x v="3"/>
    <s v="HGSF"/>
    <m/>
    <n v="2.7"/>
    <m/>
    <m/>
    <m/>
    <n v="0.15"/>
    <n v="0.19350000000000001"/>
    <m/>
    <m/>
    <m/>
    <m/>
    <m/>
    <m/>
    <m/>
    <n v="7797064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COLE COMMUNAUTAIRE ANKILISOA"/>
    <m/>
    <m/>
    <n v="139"/>
    <m/>
    <x v="3"/>
    <s v="HGSF"/>
    <m/>
    <n v="0.3"/>
    <m/>
    <m/>
    <m/>
    <n v="0"/>
    <n v="2.2499999999999999E-2"/>
    <m/>
    <m/>
    <m/>
    <m/>
    <m/>
    <m/>
    <m/>
    <n v="3070232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COLE COMMUNAUTAIRE ANKILIVALO MANDROSO"/>
    <m/>
    <m/>
    <n v="88"/>
    <m/>
    <x v="3"/>
    <s v="HGSF"/>
    <m/>
    <n v="0.7"/>
    <m/>
    <m/>
    <m/>
    <n v="0"/>
    <n v="4.9500000000000002E-2"/>
    <m/>
    <m/>
    <m/>
    <m/>
    <m/>
    <m/>
    <m/>
    <n v="1943744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COLE COMMUNAUTAIRE ANTANIMENA"/>
    <m/>
    <m/>
    <n v="133"/>
    <m/>
    <x v="3"/>
    <s v="HGSF"/>
    <m/>
    <n v="0"/>
    <m/>
    <m/>
    <m/>
    <n v="0"/>
    <n v="0"/>
    <m/>
    <m/>
    <m/>
    <m/>
    <m/>
    <m/>
    <m/>
    <n v="2937704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PP AMPOTAKE"/>
    <m/>
    <m/>
    <n v="521"/>
    <m/>
    <x v="3"/>
    <s v="HGSF"/>
    <m/>
    <n v="4"/>
    <m/>
    <m/>
    <m/>
    <n v="0.2"/>
    <n v="0.28799999999999998"/>
    <m/>
    <m/>
    <m/>
    <m/>
    <m/>
    <m/>
    <m/>
    <n v="11507848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PP ANKILIMILALY"/>
    <m/>
    <m/>
    <n v="153"/>
    <m/>
    <x v="3"/>
    <s v="HGSF"/>
    <m/>
    <n v="1"/>
    <m/>
    <m/>
    <m/>
    <n v="0.1"/>
    <n v="7.1999999999999995E-2"/>
    <m/>
    <m/>
    <m/>
    <m/>
    <m/>
    <m/>
    <m/>
    <n v="3379464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PP MANOMBO"/>
    <m/>
    <m/>
    <n v="221"/>
    <m/>
    <x v="3"/>
    <s v="HGSF"/>
    <m/>
    <n v="1.7"/>
    <m/>
    <m/>
    <m/>
    <n v="0.1"/>
    <n v="0.1215"/>
    <m/>
    <m/>
    <m/>
    <m/>
    <m/>
    <m/>
    <m/>
    <n v="4881448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PP MAROLINTA"/>
    <m/>
    <m/>
    <n v="124"/>
    <m/>
    <x v="3"/>
    <s v="HGSF"/>
    <m/>
    <n v="0"/>
    <m/>
    <m/>
    <m/>
    <n v="0.05"/>
    <n v="0"/>
    <m/>
    <m/>
    <m/>
    <m/>
    <m/>
    <m/>
    <m/>
    <n v="2738912"/>
    <m/>
  </r>
  <r>
    <x v="0"/>
    <n v="2024"/>
    <x v="3"/>
    <s v="SMP1"/>
    <x v="8"/>
    <s v="School feeding"/>
    <m/>
    <m/>
    <s v="Ambovombe"/>
    <x v="0"/>
    <s v="Taolagnaro"/>
    <s v="Androy"/>
    <s v="Beloha"/>
    <m/>
    <s v="MAROLINTA"/>
    <s v="EPP TANANDAVA"/>
    <m/>
    <m/>
    <n v="276"/>
    <m/>
    <x v="3"/>
    <s v="HGSF"/>
    <m/>
    <n v="2.15"/>
    <m/>
    <m/>
    <m/>
    <n v="0.1"/>
    <n v="0.153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ANKIBAINIMAY"/>
    <m/>
    <m/>
    <n v="185"/>
    <m/>
    <x v="1"/>
    <s v="classique"/>
    <m/>
    <n v="1.4"/>
    <m/>
    <m/>
    <m/>
    <n v="0.35"/>
    <n v="0.10349999999999999"/>
    <m/>
    <m/>
    <m/>
    <m/>
    <m/>
    <m/>
    <n v="1.8534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ANKILIANAGNO"/>
    <m/>
    <m/>
    <n v="191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ANKILIMIHAMY"/>
    <m/>
    <m/>
    <n v="294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ANTSAKOAMIAVOTSE"/>
    <m/>
    <m/>
    <n v="118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ANTSOLO"/>
    <m/>
    <m/>
    <n v="16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BOBOKE"/>
    <m/>
    <m/>
    <n v="231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AMPOTOBATO"/>
    <m/>
    <m/>
    <n v="303"/>
    <m/>
    <x v="3"/>
    <s v="HGSF"/>
    <m/>
    <n v="2.35"/>
    <m/>
    <m/>
    <m/>
    <n v="0.1"/>
    <n v="0.16650000000000001"/>
    <m/>
    <m/>
    <m/>
    <m/>
    <m/>
    <m/>
    <m/>
    <n v="669266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ANDAMILAMY"/>
    <m/>
    <m/>
    <n v="260"/>
    <m/>
    <x v="3"/>
    <s v="HGSF"/>
    <m/>
    <n v="2"/>
    <m/>
    <m/>
    <m/>
    <n v="0.1"/>
    <n v="0.14399999999999999"/>
    <m/>
    <m/>
    <m/>
    <m/>
    <m/>
    <m/>
    <m/>
    <n v="574288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ANDRANOHERIKE"/>
    <m/>
    <m/>
    <n v="276"/>
    <m/>
    <x v="3"/>
    <s v="HGSF"/>
    <m/>
    <n v="2.15"/>
    <m/>
    <m/>
    <m/>
    <n v="0.1"/>
    <n v="0.153"/>
    <m/>
    <m/>
    <m/>
    <m/>
    <m/>
    <m/>
    <m/>
    <n v="6096288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ANTSAKOAMITONDRITSE NORD"/>
    <m/>
    <m/>
    <n v="97"/>
    <m/>
    <x v="3"/>
    <s v="HGSF"/>
    <m/>
    <n v="0.75"/>
    <m/>
    <m/>
    <m/>
    <n v="0.05"/>
    <n v="5.3999999999999999E-2"/>
    <m/>
    <m/>
    <m/>
    <m/>
    <m/>
    <m/>
    <m/>
    <n v="2142536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ANTSIFITSE"/>
    <m/>
    <m/>
    <n v="169"/>
    <m/>
    <x v="3"/>
    <s v="HGSF"/>
    <m/>
    <n v="1.3"/>
    <m/>
    <m/>
    <m/>
    <n v="0.1"/>
    <n v="9.4500000000000001E-2"/>
    <m/>
    <m/>
    <m/>
    <m/>
    <m/>
    <m/>
    <m/>
    <n v="3732872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JONTANY"/>
    <m/>
    <m/>
    <n v="132"/>
    <m/>
    <x v="3"/>
    <s v="HGSF"/>
    <m/>
    <n v="1"/>
    <m/>
    <m/>
    <m/>
    <n v="0.05"/>
    <n v="7.1999999999999995E-2"/>
    <m/>
    <m/>
    <m/>
    <m/>
    <m/>
    <m/>
    <m/>
    <n v="2915616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KOBOARY"/>
    <m/>
    <m/>
    <n v="168"/>
    <m/>
    <x v="3"/>
    <s v="HGSF"/>
    <m/>
    <n v="1.3"/>
    <m/>
    <m/>
    <m/>
    <n v="0.1"/>
    <n v="9.4500000000000001E-2"/>
    <m/>
    <m/>
    <m/>
    <m/>
    <m/>
    <m/>
    <m/>
    <n v="371078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TSOTSO"/>
    <m/>
    <m/>
    <n v="245"/>
    <m/>
    <x v="3"/>
    <s v="HGSF"/>
    <m/>
    <n v="1.9"/>
    <m/>
    <m/>
    <m/>
    <n v="0.1"/>
    <n v="0.13500000000000001"/>
    <m/>
    <m/>
    <m/>
    <m/>
    <m/>
    <m/>
    <m/>
    <n v="541156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EPP VOHIBOLA"/>
    <m/>
    <m/>
    <n v="208"/>
    <m/>
    <x v="3"/>
    <s v="HGSF"/>
    <m/>
    <n v="1.6"/>
    <m/>
    <m/>
    <m/>
    <n v="0.1"/>
    <n v="0.1125"/>
    <m/>
    <m/>
    <m/>
    <m/>
    <m/>
    <m/>
    <m/>
    <n v="459430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KEREMBOLA"/>
    <m/>
    <m/>
    <n v="220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MAROMASO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RERANGO"/>
    <m/>
    <m/>
    <n v="132"/>
    <m/>
    <x v="1"/>
    <s v="classique"/>
    <m/>
    <n v="0.5"/>
    <m/>
    <m/>
    <m/>
    <n v="0.1"/>
    <n v="3.5999999999999997E-2"/>
    <m/>
    <m/>
    <m/>
    <m/>
    <m/>
    <m/>
    <n v="0.63600000000000001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roa"/>
    <s v="TRANOROA"/>
    <m/>
    <m/>
    <n v="759"/>
    <m/>
    <x v="3"/>
    <s v="HGSF"/>
    <m/>
    <n v="5.85"/>
    <m/>
    <m/>
    <m/>
    <n v="0.3"/>
    <n v="0.41849999999999998"/>
    <m/>
    <m/>
    <m/>
    <m/>
    <m/>
    <m/>
    <m/>
    <n v="16764792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MBALANOSY"/>
    <m/>
    <m/>
    <n v="191"/>
    <m/>
    <x v="1"/>
    <s v="classique"/>
    <m/>
    <n v="0.45"/>
    <m/>
    <m/>
    <m/>
    <n v="0.1"/>
    <n v="3.5999999999999997E-2"/>
    <m/>
    <m/>
    <m/>
    <m/>
    <m/>
    <m/>
    <n v="0.58600000000000008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MBORIMAHASOA"/>
    <m/>
    <m/>
    <n v="186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MPIHAMY"/>
    <m/>
    <m/>
    <n v="198"/>
    <m/>
    <x v="1"/>
    <s v="classique"/>
    <m/>
    <n v="1.05"/>
    <m/>
    <m/>
    <m/>
    <n v="0.2"/>
    <n v="7.6499999999999999E-2"/>
    <m/>
    <m/>
    <m/>
    <m/>
    <m/>
    <m/>
    <n v="1.326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NDRASEKE SUD"/>
    <m/>
    <m/>
    <n v="170"/>
    <m/>
    <x v="1"/>
    <s v="classique"/>
    <m/>
    <n v="0.4"/>
    <m/>
    <m/>
    <m/>
    <n v="0.1"/>
    <n v="0"/>
    <m/>
    <m/>
    <m/>
    <m/>
    <m/>
    <m/>
    <n v="0.5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NTANIMENA SUD"/>
    <m/>
    <m/>
    <n v="123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ANTSAKOAMALANGY"/>
    <m/>
    <m/>
    <n v="140"/>
    <m/>
    <x v="1"/>
    <s v="classique"/>
    <m/>
    <n v="0.65"/>
    <m/>
    <m/>
    <m/>
    <n v="0.1"/>
    <n v="4.4999999999999998E-2"/>
    <m/>
    <m/>
    <m/>
    <m/>
    <m/>
    <m/>
    <n v="0.79500000000000004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COLE COMMUNAUTAIRE AMBAZOAMILOLOKE"/>
    <m/>
    <m/>
    <n v="125"/>
    <m/>
    <x v="3"/>
    <s v="HGSF"/>
    <m/>
    <n v="0.95"/>
    <m/>
    <m/>
    <m/>
    <n v="0.05"/>
    <n v="6.7500000000000004E-2"/>
    <m/>
    <m/>
    <m/>
    <m/>
    <m/>
    <m/>
    <m/>
    <n v="276100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COLE COMMUNAUTAIRE ANKILISINAO"/>
    <m/>
    <m/>
    <n v="274"/>
    <m/>
    <x v="3"/>
    <s v="HGSF"/>
    <m/>
    <n v="2.1"/>
    <m/>
    <m/>
    <m/>
    <n v="0.1"/>
    <n v="0.14849999999999999"/>
    <m/>
    <m/>
    <m/>
    <m/>
    <m/>
    <m/>
    <m/>
    <n v="6052112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AMBATOMASY"/>
    <m/>
    <m/>
    <n v="173"/>
    <m/>
    <x v="3"/>
    <s v="HGSF"/>
    <m/>
    <n v="1.35"/>
    <m/>
    <m/>
    <m/>
    <n v="0.1"/>
    <n v="9.4500000000000001E-2"/>
    <m/>
    <m/>
    <m/>
    <m/>
    <m/>
    <m/>
    <m/>
    <n v="382122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AMBOVO"/>
    <m/>
    <m/>
    <n v="185"/>
    <m/>
    <x v="3"/>
    <s v="HGSF"/>
    <m/>
    <n v="1.4"/>
    <m/>
    <m/>
    <m/>
    <n v="0.1"/>
    <n v="0.10349999999999999"/>
    <m/>
    <m/>
    <m/>
    <m/>
    <m/>
    <m/>
    <m/>
    <n v="408628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ANALALAVA"/>
    <m/>
    <m/>
    <n v="279"/>
    <m/>
    <x v="3"/>
    <s v="HGSF"/>
    <m/>
    <n v="2.15"/>
    <m/>
    <m/>
    <m/>
    <n v="0.1"/>
    <n v="0.153"/>
    <m/>
    <m/>
    <m/>
    <m/>
    <m/>
    <m/>
    <m/>
    <n v="6162552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ANKAMBOA"/>
    <m/>
    <m/>
    <n v="129"/>
    <m/>
    <x v="3"/>
    <s v="HGSF"/>
    <m/>
    <n v="1"/>
    <m/>
    <m/>
    <m/>
    <n v="0.05"/>
    <n v="7.1999999999999995E-2"/>
    <m/>
    <m/>
    <m/>
    <m/>
    <m/>
    <m/>
    <m/>
    <n v="2849352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BARABAY"/>
    <m/>
    <m/>
    <n v="482"/>
    <m/>
    <x v="3"/>
    <s v="HGSF"/>
    <m/>
    <n v="3.7"/>
    <m/>
    <m/>
    <m/>
    <n v="0.2"/>
    <n v="0.26550000000000001"/>
    <m/>
    <m/>
    <m/>
    <m/>
    <m/>
    <m/>
    <m/>
    <n v="10646416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BETINDRIA"/>
    <m/>
    <m/>
    <n v="131"/>
    <m/>
    <x v="3"/>
    <s v="HGSF"/>
    <m/>
    <n v="1"/>
    <m/>
    <m/>
    <m/>
    <n v="0.05"/>
    <n v="7.1999999999999995E-2"/>
    <m/>
    <m/>
    <m/>
    <m/>
    <m/>
    <m/>
    <m/>
    <n v="2893528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LAVANONO"/>
    <m/>
    <m/>
    <n v="448"/>
    <m/>
    <x v="3"/>
    <s v="HGSF"/>
    <m/>
    <n v="1.2"/>
    <m/>
    <m/>
    <m/>
    <n v="0.05"/>
    <n v="8.5500000000000007E-2"/>
    <m/>
    <m/>
    <m/>
    <m/>
    <m/>
    <m/>
    <m/>
    <n v="989542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MAHILIVAZA"/>
    <m/>
    <m/>
    <n v="233"/>
    <m/>
    <x v="3"/>
    <s v="HGSF"/>
    <m/>
    <n v="1.8"/>
    <m/>
    <m/>
    <m/>
    <n v="0.1"/>
    <n v="0.126"/>
    <m/>
    <m/>
    <m/>
    <m/>
    <m/>
    <m/>
    <m/>
    <n v="514650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SARERIAKE"/>
    <m/>
    <m/>
    <n v="178"/>
    <m/>
    <x v="3"/>
    <s v="HGSF"/>
    <m/>
    <n v="1.35"/>
    <m/>
    <m/>
    <m/>
    <n v="0.1"/>
    <n v="9.9000000000000005E-2"/>
    <m/>
    <m/>
    <m/>
    <m/>
    <m/>
    <m/>
    <m/>
    <n v="393166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SOAMANITRA"/>
    <m/>
    <m/>
    <n v="738"/>
    <m/>
    <x v="3"/>
    <s v="HGSF"/>
    <m/>
    <n v="5.7"/>
    <m/>
    <m/>
    <m/>
    <n v="0.25"/>
    <n v="0.40500000000000003"/>
    <m/>
    <m/>
    <m/>
    <m/>
    <m/>
    <m/>
    <m/>
    <n v="1630094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TRANOVAHO"/>
    <m/>
    <m/>
    <n v="240"/>
    <m/>
    <x v="3"/>
    <s v="HGSF"/>
    <m/>
    <n v="1.85"/>
    <m/>
    <m/>
    <m/>
    <n v="0.1"/>
    <n v="0.1305"/>
    <m/>
    <m/>
    <m/>
    <m/>
    <m/>
    <m/>
    <m/>
    <n v="530112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EPP VAVAOMBY"/>
    <m/>
    <m/>
    <n v="268"/>
    <m/>
    <x v="3"/>
    <s v="HGSF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MAROVORO I"/>
    <m/>
    <m/>
    <n v="0"/>
    <m/>
    <x v="1"/>
    <s v="classique"/>
    <m/>
    <n v="0"/>
    <m/>
    <m/>
    <m/>
    <n v="0"/>
    <n v="0"/>
    <m/>
    <m/>
    <m/>
    <m/>
    <m/>
    <m/>
    <n v="0"/>
    <n v="0"/>
    <m/>
  </r>
  <r>
    <x v="0"/>
    <n v="2024"/>
    <x v="3"/>
    <s v="SMP1"/>
    <x v="8"/>
    <s v="School feeding"/>
    <m/>
    <m/>
    <s v="Ambovombe"/>
    <x v="0"/>
    <s v="Taolagnaro"/>
    <s v="Androy"/>
    <s v="Beloha"/>
    <m/>
    <s v="TRANOVAHO"/>
    <s v="TRAMBA"/>
    <m/>
    <m/>
    <n v="156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SIMALEMY"/>
    <s v="Amboazokibo"/>
    <m/>
    <m/>
    <n v="185"/>
    <m/>
    <x v="3"/>
    <s v="hybride"/>
    <m/>
    <n v="1"/>
    <m/>
    <m/>
    <m/>
    <n v="0.05"/>
    <n v="7.1999999999999995E-2"/>
    <m/>
    <m/>
    <m/>
    <m/>
    <m/>
    <m/>
    <m/>
    <n v="408628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SIMALEMY"/>
    <s v="EPP AMPASINDAVA"/>
    <m/>
    <m/>
    <n v="491"/>
    <m/>
    <x v="3"/>
    <s v="HGSF"/>
    <m/>
    <n v="1.65"/>
    <m/>
    <m/>
    <m/>
    <n v="0.1"/>
    <n v="0.11700000000000001"/>
    <m/>
    <m/>
    <m/>
    <m/>
    <m/>
    <m/>
    <m/>
    <n v="1084520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SIMALEMY"/>
    <s v="EPP AMBALAHORAKY"/>
    <m/>
    <m/>
    <n v="495"/>
    <m/>
    <x v="3"/>
    <s v="HGSF"/>
    <m/>
    <n v="1.6"/>
    <m/>
    <m/>
    <m/>
    <n v="0.1"/>
    <n v="0.1125"/>
    <m/>
    <m/>
    <m/>
    <m/>
    <m/>
    <m/>
    <m/>
    <n v="1093356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SIMALEMY"/>
    <s v="EPP VAPAKY"/>
    <m/>
    <m/>
    <n v="309"/>
    <m/>
    <x v="3"/>
    <s v="HGSF"/>
    <m/>
    <n v="1.05"/>
    <m/>
    <m/>
    <m/>
    <n v="0.05"/>
    <n v="7.6499999999999999E-2"/>
    <m/>
    <m/>
    <m/>
    <m/>
    <m/>
    <m/>
    <m/>
    <n v="6825192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TAKA"/>
    <s v="EPP AMPATAKA"/>
    <m/>
    <m/>
    <n v="573"/>
    <m/>
    <x v="3"/>
    <s v="HGSF"/>
    <m/>
    <n v="1.85"/>
    <m/>
    <m/>
    <m/>
    <n v="0.05"/>
    <n v="0.13500000000000001"/>
    <m/>
    <m/>
    <m/>
    <m/>
    <m/>
    <m/>
    <m/>
    <n v="1265642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TAKA"/>
    <s v="Mahela II"/>
    <m/>
    <m/>
    <n v="721"/>
    <m/>
    <x v="3"/>
    <s v="hybride"/>
    <m/>
    <n v="3.95"/>
    <m/>
    <m/>
    <m/>
    <n v="0.2"/>
    <n v="0.28349999999999997"/>
    <m/>
    <m/>
    <m/>
    <m/>
    <m/>
    <m/>
    <m/>
    <n v="1592544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AMPATAKA"/>
    <s v="Sosobahy"/>
    <m/>
    <m/>
    <n v="185"/>
    <m/>
    <x v="3"/>
    <s v="hybride"/>
    <m/>
    <n v="1"/>
    <m/>
    <m/>
    <m/>
    <n v="0.05"/>
    <n v="7.1999999999999995E-2"/>
    <m/>
    <m/>
    <m/>
    <m/>
    <m/>
    <m/>
    <m/>
    <n v="403994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BEKARAOKY"/>
    <s v="Bekaraoky"/>
    <m/>
    <m/>
    <n v="596"/>
    <m/>
    <x v="3"/>
    <s v="hybride"/>
    <m/>
    <n v="3.25"/>
    <m/>
    <m/>
    <m/>
    <n v="0.15"/>
    <n v="0.23400000000000001"/>
    <m/>
    <m/>
    <m/>
    <m/>
    <m/>
    <m/>
    <m/>
    <n v="1316444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ISAHARA"/>
    <s v="EPP AMBALASAVOA"/>
    <m/>
    <m/>
    <n v="265"/>
    <m/>
    <x v="3"/>
    <s v="HGSF"/>
    <m/>
    <n v="0.9"/>
    <m/>
    <m/>
    <m/>
    <n v="0.05"/>
    <n v="6.3E-2"/>
    <m/>
    <m/>
    <m/>
    <m/>
    <m/>
    <m/>
    <m/>
    <n v="585332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ISAHARA"/>
    <s v="EPP ANDRAREZO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ISAHARA"/>
    <s v="EPP SOATSIRANA"/>
    <m/>
    <m/>
    <n v="101"/>
    <m/>
    <x v="3"/>
    <s v="HGSF"/>
    <m/>
    <n v="0.35"/>
    <m/>
    <m/>
    <m/>
    <n v="0"/>
    <n v="2.2499999999999999E-2"/>
    <m/>
    <m/>
    <m/>
    <m/>
    <m/>
    <m/>
    <m/>
    <n v="223088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LOPARY"/>
    <s v="EPP ANAMBILAZO"/>
    <m/>
    <m/>
    <n v="285"/>
    <m/>
    <x v="3"/>
    <s v="HGSF"/>
    <m/>
    <n v="0.95"/>
    <m/>
    <m/>
    <m/>
    <n v="0"/>
    <n v="6.7500000000000004E-2"/>
    <m/>
    <m/>
    <m/>
    <m/>
    <m/>
    <m/>
    <m/>
    <n v="629508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LOPARY"/>
    <s v="EPP BESAKAY"/>
    <m/>
    <m/>
    <n v="326"/>
    <m/>
    <x v="3"/>
    <s v="HGSF"/>
    <m/>
    <n v="1.05"/>
    <m/>
    <m/>
    <m/>
    <n v="0.05"/>
    <n v="7.6499999999999999E-2"/>
    <m/>
    <m/>
    <m/>
    <m/>
    <m/>
    <m/>
    <m/>
    <n v="719961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LOPARY"/>
    <s v="EPP MAHAFASA"/>
    <m/>
    <m/>
    <n v="248"/>
    <m/>
    <x v="3"/>
    <s v="HGSF"/>
    <m/>
    <n v="0.8"/>
    <m/>
    <m/>
    <m/>
    <n v="0.05"/>
    <n v="5.8500000000000003E-2"/>
    <m/>
    <m/>
    <m/>
    <m/>
    <m/>
    <m/>
    <m/>
    <n v="547782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LOPARY"/>
    <s v="EPP MATSINJO"/>
    <m/>
    <m/>
    <n v="213"/>
    <m/>
    <x v="3"/>
    <s v="HGSF"/>
    <m/>
    <n v="0.7"/>
    <m/>
    <m/>
    <m/>
    <n v="0.05"/>
    <n v="4.9500000000000002E-2"/>
    <m/>
    <m/>
    <m/>
    <m/>
    <m/>
    <m/>
    <m/>
    <n v="470474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MAHATSINJO"/>
    <s v="EPP BESAVOA"/>
    <m/>
    <m/>
    <n v="172"/>
    <m/>
    <x v="3"/>
    <s v="HGSF"/>
    <m/>
    <n v="0.55000000000000004"/>
    <m/>
    <m/>
    <m/>
    <n v="0.05"/>
    <n v="4.0500000000000001E-2"/>
    <m/>
    <m/>
    <m/>
    <m/>
    <m/>
    <m/>
    <m/>
    <n v="3799136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RANOMENA"/>
    <s v="EPP RANOMENA"/>
    <m/>
    <m/>
    <n v="594"/>
    <m/>
    <x v="3"/>
    <s v="HGSF"/>
    <m/>
    <n v="1.9"/>
    <m/>
    <m/>
    <m/>
    <n v="0.05"/>
    <n v="0.13950000000000001"/>
    <m/>
    <m/>
    <m/>
    <m/>
    <m/>
    <m/>
    <m/>
    <n v="13120272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SOAMANOVA"/>
    <s v="Iabovonany"/>
    <m/>
    <m/>
    <n v="485"/>
    <m/>
    <x v="3"/>
    <s v="hybride"/>
    <m/>
    <n v="2.65"/>
    <m/>
    <m/>
    <m/>
    <n v="0.15"/>
    <n v="0.189"/>
    <m/>
    <m/>
    <m/>
    <m/>
    <m/>
    <m/>
    <m/>
    <n v="1071268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SOAMANOVA"/>
    <s v="EPP MAROROKY ISERINY"/>
    <m/>
    <m/>
    <n v="934"/>
    <m/>
    <x v="3"/>
    <s v="HGSF"/>
    <m/>
    <n v="3.05"/>
    <m/>
    <m/>
    <m/>
    <n v="0.15"/>
    <n v="0.216"/>
    <m/>
    <m/>
    <m/>
    <m/>
    <m/>
    <m/>
    <m/>
    <n v="20630192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TSIATELY"/>
    <s v="Anapatra"/>
    <m/>
    <m/>
    <n v="630"/>
    <m/>
    <x v="3"/>
    <s v="hybride"/>
    <m/>
    <n v="3.45"/>
    <m/>
    <m/>
    <m/>
    <n v="0.15"/>
    <n v="0.2475"/>
    <m/>
    <m/>
    <m/>
    <m/>
    <m/>
    <m/>
    <m/>
    <n v="1391544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TSIATELY"/>
    <s v="Tsararano"/>
    <m/>
    <m/>
    <n v="913"/>
    <m/>
    <x v="3"/>
    <s v="hybride"/>
    <m/>
    <n v="5"/>
    <m/>
    <m/>
    <m/>
    <n v="0.25"/>
    <n v="0.36"/>
    <m/>
    <m/>
    <m/>
    <m/>
    <m/>
    <m/>
    <m/>
    <n v="2016634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TSIATELY"/>
    <s v="Tsitove"/>
    <m/>
    <m/>
    <n v="394"/>
    <m/>
    <x v="3"/>
    <s v="hybride"/>
    <m/>
    <n v="2.15"/>
    <m/>
    <m/>
    <m/>
    <n v="0.1"/>
    <n v="0.153"/>
    <m/>
    <m/>
    <m/>
    <m/>
    <m/>
    <m/>
    <m/>
    <n v="8702672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VANGAINDRANO"/>
    <s v="Tanimena"/>
    <m/>
    <m/>
    <n v="440"/>
    <m/>
    <x v="3"/>
    <s v="hybride"/>
    <m/>
    <n v="2.4"/>
    <m/>
    <m/>
    <m/>
    <n v="0.1"/>
    <n v="0.17100000000000001"/>
    <m/>
    <m/>
    <m/>
    <m/>
    <m/>
    <m/>
    <m/>
    <n v="971872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VANGAINDRANO"/>
    <s v="ECOLE COMMUNAUTAIRE ANDRANOTSARA"/>
    <m/>
    <m/>
    <n v="218"/>
    <m/>
    <x v="3"/>
    <s v="hybride"/>
    <m/>
    <n v="1.2"/>
    <m/>
    <m/>
    <m/>
    <n v="0.05"/>
    <n v="8.5500000000000007E-2"/>
    <m/>
    <m/>
    <m/>
    <m/>
    <m/>
    <m/>
    <m/>
    <n v="481518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VOHITRAMBO"/>
    <s v="EPP MAHAVELO"/>
    <m/>
    <m/>
    <n v="328"/>
    <m/>
    <x v="3"/>
    <s v="HGSF"/>
    <m/>
    <n v="1.1000000000000001"/>
    <m/>
    <m/>
    <m/>
    <n v="0.05"/>
    <n v="7.6499999999999999E-2"/>
    <m/>
    <m/>
    <m/>
    <m/>
    <m/>
    <m/>
    <m/>
    <n v="7244864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FONILAZA"/>
    <s v="EPP MENAGNARAVONY"/>
    <m/>
    <m/>
    <n v="265"/>
    <m/>
    <x v="3"/>
    <s v="HGSF"/>
    <m/>
    <n v="0.9"/>
    <m/>
    <m/>
    <m/>
    <n v="0.05"/>
    <n v="6.3E-2"/>
    <m/>
    <m/>
    <m/>
    <m/>
    <m/>
    <m/>
    <m/>
    <n v="5853320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FONILAZA"/>
    <s v="Sahavoangy"/>
    <m/>
    <m/>
    <n v="706"/>
    <m/>
    <x v="3"/>
    <s v="hybride"/>
    <m/>
    <n v="3.85"/>
    <m/>
    <m/>
    <m/>
    <n v="0.2"/>
    <n v="0.27450000000000002"/>
    <m/>
    <m/>
    <m/>
    <m/>
    <m/>
    <m/>
    <m/>
    <n v="15594128"/>
    <m/>
  </r>
  <r>
    <x v="0"/>
    <n v="2024"/>
    <x v="3"/>
    <s v="SMP1"/>
    <x v="8"/>
    <s v="School feeding"/>
    <m/>
    <m/>
    <s v="Manakara"/>
    <x v="1"/>
    <s v="Tamatave"/>
    <s v="Atsimo Atsinanana"/>
    <s v="Vangaindrano"/>
    <m/>
    <s v="FONILAZA"/>
    <s v="EPP VILIMENA"/>
    <m/>
    <m/>
    <n v="271"/>
    <m/>
    <x v="3"/>
    <s v="HGSF"/>
    <m/>
    <n v="0.9"/>
    <m/>
    <m/>
    <m/>
    <n v="0.05"/>
    <n v="6.3E-2"/>
    <m/>
    <m/>
    <m/>
    <m/>
    <m/>
    <m/>
    <m/>
    <n v="598584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ALATANY"/>
    <s v="EPP MATAVIRANO"/>
    <m/>
    <m/>
    <n v="236"/>
    <m/>
    <x v="3"/>
    <s v="HGSF"/>
    <m/>
    <n v="0.75"/>
    <m/>
    <m/>
    <m/>
    <n v="0.05"/>
    <n v="5.8500000000000003E-2"/>
    <m/>
    <m/>
    <m/>
    <m/>
    <m/>
    <m/>
    <m/>
    <n v="521276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ALATANY"/>
    <s v="EPP TSARARANO"/>
    <m/>
    <m/>
    <n v="160"/>
    <m/>
    <x v="3"/>
    <s v="HGSF"/>
    <m/>
    <n v="0.55000000000000004"/>
    <m/>
    <m/>
    <m/>
    <n v="0.05"/>
    <n v="3.5999999999999997E-2"/>
    <m/>
    <m/>
    <m/>
    <m/>
    <m/>
    <m/>
    <m/>
    <n v="353408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ALATRAKA"/>
    <s v="EPP ANANARA"/>
    <m/>
    <m/>
    <n v="134"/>
    <m/>
    <x v="3"/>
    <s v="HGSF"/>
    <m/>
    <n v="0.45"/>
    <m/>
    <m/>
    <m/>
    <n v="0"/>
    <n v="3.15E-2"/>
    <m/>
    <m/>
    <m/>
    <m/>
    <m/>
    <m/>
    <m/>
    <n v="295979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OHIGOGO"/>
    <s v="EPP NAMOHORA"/>
    <m/>
    <m/>
    <n v="102"/>
    <m/>
    <x v="3"/>
    <s v="HGSF"/>
    <m/>
    <n v="0.35"/>
    <m/>
    <m/>
    <m/>
    <n v="0"/>
    <n v="2.2499999999999999E-2"/>
    <m/>
    <m/>
    <m/>
    <m/>
    <m/>
    <m/>
    <m/>
    <n v="225297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POROFORO"/>
    <s v="EPP MAIAKOHO"/>
    <m/>
    <m/>
    <n v="375"/>
    <m/>
    <x v="3"/>
    <s v="HGSF"/>
    <m/>
    <n v="1.25"/>
    <m/>
    <m/>
    <m/>
    <n v="0.05"/>
    <n v="0.09"/>
    <m/>
    <m/>
    <m/>
    <m/>
    <m/>
    <m/>
    <m/>
    <n v="828300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POROFORO"/>
    <s v="Amibasy"/>
    <m/>
    <m/>
    <n v="282"/>
    <m/>
    <x v="3"/>
    <s v="hybride"/>
    <m/>
    <n v="1.55"/>
    <m/>
    <m/>
    <m/>
    <n v="0.05"/>
    <n v="0.108"/>
    <m/>
    <m/>
    <m/>
    <m/>
    <m/>
    <m/>
    <m/>
    <n v="622881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POROFORO"/>
    <s v="Amporoforo"/>
    <m/>
    <m/>
    <n v="331"/>
    <m/>
    <x v="3"/>
    <s v="hybride"/>
    <m/>
    <n v="1.8"/>
    <m/>
    <m/>
    <m/>
    <n v="0.1"/>
    <n v="0.1305"/>
    <m/>
    <m/>
    <m/>
    <m/>
    <m/>
    <m/>
    <m/>
    <n v="731112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POROFORO"/>
    <s v="Anakona"/>
    <m/>
    <m/>
    <n v="437"/>
    <m/>
    <x v="3"/>
    <s v="hybride"/>
    <m/>
    <n v="2.4"/>
    <m/>
    <m/>
    <m/>
    <n v="0.1"/>
    <n v="0.17100000000000001"/>
    <m/>
    <m/>
    <m/>
    <m/>
    <m/>
    <m/>
    <m/>
    <n v="965245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POROFORO"/>
    <s v="EPP TSIROBOY"/>
    <m/>
    <m/>
    <n v="285"/>
    <m/>
    <x v="3"/>
    <s v="HGSF"/>
    <m/>
    <n v="0.95"/>
    <m/>
    <m/>
    <m/>
    <n v="0"/>
    <n v="6.7500000000000004E-2"/>
    <m/>
    <m/>
    <m/>
    <m/>
    <m/>
    <m/>
    <m/>
    <n v="629508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NOSIVELO"/>
    <s v="EPP AMBALAVOTAKA"/>
    <m/>
    <m/>
    <n v="670"/>
    <m/>
    <x v="3"/>
    <s v="HGSF"/>
    <m/>
    <n v="2.15"/>
    <m/>
    <m/>
    <m/>
    <n v="0.1"/>
    <n v="0.1575"/>
    <m/>
    <m/>
    <m/>
    <m/>
    <m/>
    <m/>
    <m/>
    <n v="1182467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NOSIVELO"/>
    <s v="Egnelazana"/>
    <m/>
    <m/>
    <n v="340"/>
    <m/>
    <x v="3"/>
    <s v="hybride"/>
    <m/>
    <n v="1.85"/>
    <m/>
    <m/>
    <m/>
    <n v="0.1"/>
    <n v="0.13500000000000001"/>
    <m/>
    <m/>
    <m/>
    <m/>
    <m/>
    <m/>
    <m/>
    <n v="750992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NOSY TSARARAFA"/>
    <s v="EPP AMPANARENA"/>
    <m/>
    <m/>
    <n v="350"/>
    <m/>
    <x v="3"/>
    <s v="HGSF"/>
    <m/>
    <n v="1.1499999999999999"/>
    <m/>
    <m/>
    <m/>
    <n v="0.05"/>
    <n v="8.5500000000000007E-2"/>
    <m/>
    <m/>
    <m/>
    <m/>
    <m/>
    <m/>
    <m/>
    <n v="773080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ATOLAMPY"/>
    <s v="Ankazomasy Vazako"/>
    <m/>
    <m/>
    <n v="392"/>
    <m/>
    <x v="3"/>
    <s v="hybride"/>
    <m/>
    <n v="2.15"/>
    <m/>
    <m/>
    <m/>
    <n v="0.1"/>
    <n v="0.153"/>
    <m/>
    <m/>
    <m/>
    <m/>
    <m/>
    <m/>
    <m/>
    <n v="865849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NOSY TSARARAFA"/>
    <s v="Marozaza"/>
    <m/>
    <m/>
    <n v="451"/>
    <m/>
    <x v="3"/>
    <s v="hybride"/>
    <m/>
    <n v="2.4500000000000002"/>
    <m/>
    <m/>
    <m/>
    <n v="0.1"/>
    <n v="0.17549999999999999"/>
    <m/>
    <m/>
    <m/>
    <m/>
    <m/>
    <m/>
    <m/>
    <n v="996168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NOSY TSARARAFA"/>
    <s v="Sahafoza"/>
    <m/>
    <m/>
    <n v="334"/>
    <m/>
    <x v="3"/>
    <s v="hybride"/>
    <m/>
    <n v="1.85"/>
    <m/>
    <m/>
    <m/>
    <n v="0.1"/>
    <n v="0.1305"/>
    <m/>
    <m/>
    <m/>
    <m/>
    <m/>
    <m/>
    <m/>
    <n v="737739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BEVOAY BERETRA"/>
    <s v="EPP NAMOHORA"/>
    <m/>
    <m/>
    <n v="167"/>
    <m/>
    <x v="3"/>
    <s v="HGSF"/>
    <m/>
    <n v="0.6"/>
    <m/>
    <m/>
    <m/>
    <n v="0.05"/>
    <n v="4.0500000000000001E-2"/>
    <m/>
    <m/>
    <m/>
    <m/>
    <m/>
    <m/>
    <m/>
    <n v="368869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BEVOAY BERETRA"/>
    <s v="EPP TAMBOHOBE"/>
    <m/>
    <m/>
    <n v="177"/>
    <m/>
    <x v="3"/>
    <s v="HGSF"/>
    <m/>
    <n v="0.6"/>
    <m/>
    <m/>
    <m/>
    <n v="0.05"/>
    <n v="4.4999999999999998E-2"/>
    <m/>
    <m/>
    <m/>
    <m/>
    <m/>
    <m/>
    <m/>
    <n v="390957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ETROTROKA"/>
    <s v="EPP SARINOSY"/>
    <m/>
    <m/>
    <n v="277"/>
    <m/>
    <x v="3"/>
    <s v="HGSF"/>
    <m/>
    <n v="0.95"/>
    <m/>
    <m/>
    <m/>
    <n v="0.05"/>
    <n v="6.7500000000000004E-2"/>
    <m/>
    <m/>
    <m/>
    <m/>
    <m/>
    <m/>
    <m/>
    <n v="611837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HABO MANANIVO"/>
    <s v="EPP KARIMBELO"/>
    <m/>
    <m/>
    <n v="298"/>
    <m/>
    <x v="3"/>
    <s v="HGSF"/>
    <m/>
    <n v="1"/>
    <m/>
    <m/>
    <m/>
    <n v="0"/>
    <n v="6.7500000000000004E-2"/>
    <m/>
    <m/>
    <m/>
    <m/>
    <m/>
    <m/>
    <m/>
    <n v="6582224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HABO MANANINO"/>
    <s v="Lohagisy"/>
    <m/>
    <m/>
    <n v="190"/>
    <m/>
    <x v="3"/>
    <s v="hybride"/>
    <m/>
    <n v="1.05"/>
    <m/>
    <m/>
    <m/>
    <n v="0.05"/>
    <n v="7.6499999999999999E-2"/>
    <m/>
    <m/>
    <m/>
    <m/>
    <m/>
    <m/>
    <m/>
    <n v="419672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HABO MANANIVO"/>
    <s v="EPP LOVASOA IABOMARY"/>
    <m/>
    <m/>
    <n v="369"/>
    <m/>
    <x v="3"/>
    <s v="HGSF"/>
    <m/>
    <n v="1.2"/>
    <m/>
    <m/>
    <m/>
    <n v="0.05"/>
    <n v="8.5500000000000007E-2"/>
    <m/>
    <m/>
    <m/>
    <m/>
    <m/>
    <m/>
    <m/>
    <n v="815047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HABO MANANINO"/>
    <s v="Mahabo Mananino"/>
    <m/>
    <m/>
    <n v="470"/>
    <m/>
    <x v="3"/>
    <s v="hybride"/>
    <m/>
    <n v="2.5499999999999998"/>
    <m/>
    <m/>
    <m/>
    <n v="0.15"/>
    <n v="0.1845"/>
    <m/>
    <m/>
    <m/>
    <m/>
    <m/>
    <m/>
    <m/>
    <n v="1038136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NAMBOATRA SUD"/>
    <s v="Andranoboaka"/>
    <m/>
    <m/>
    <n v="123"/>
    <m/>
    <x v="3"/>
    <s v="hybride"/>
    <m/>
    <n v="0.65"/>
    <m/>
    <m/>
    <m/>
    <n v="0.05"/>
    <n v="4.9500000000000002E-2"/>
    <m/>
    <m/>
    <m/>
    <m/>
    <m/>
    <m/>
    <m/>
    <n v="2716824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NAMBOATRA SUD"/>
    <s v="Bekaraoka"/>
    <m/>
    <m/>
    <n v="214"/>
    <m/>
    <x v="3"/>
    <s v="hybride"/>
    <m/>
    <n v="1.1499999999999999"/>
    <m/>
    <m/>
    <m/>
    <n v="0.05"/>
    <n v="8.5500000000000007E-2"/>
    <m/>
    <m/>
    <m/>
    <m/>
    <m/>
    <m/>
    <m/>
    <n v="472683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MANAMBOTRA SUD"/>
    <s v="EPP MAROPANAHY"/>
    <m/>
    <m/>
    <n v="406"/>
    <m/>
    <x v="3"/>
    <s v="HGSF"/>
    <m/>
    <n v="1.35"/>
    <m/>
    <m/>
    <m/>
    <n v="0.05"/>
    <n v="9.9000000000000005E-2"/>
    <m/>
    <m/>
    <m/>
    <m/>
    <m/>
    <m/>
    <m/>
    <n v="896772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AMBATOLAMPY"/>
    <s v="Namohona"/>
    <m/>
    <m/>
    <n v="273"/>
    <m/>
    <x v="3"/>
    <s v="hybride"/>
    <m/>
    <n v="1.5"/>
    <m/>
    <m/>
    <m/>
    <n v="0.1"/>
    <n v="0.108"/>
    <m/>
    <m/>
    <m/>
    <m/>
    <m/>
    <m/>
    <m/>
    <n v="6030024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LENGO"/>
    <s v="EPP AMBOLOLOMENA"/>
    <m/>
    <m/>
    <n v="214"/>
    <m/>
    <x v="3"/>
    <s v="HGSF"/>
    <m/>
    <n v="0.7"/>
    <m/>
    <m/>
    <m/>
    <n v="0.05"/>
    <n v="4.9500000000000002E-2"/>
    <m/>
    <m/>
    <m/>
    <m/>
    <m/>
    <m/>
    <m/>
    <n v="472683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MASY"/>
    <s v="Tsararano"/>
    <m/>
    <m/>
    <n v="399"/>
    <m/>
    <x v="3"/>
    <s v="hybride"/>
    <m/>
    <n v="2.2000000000000002"/>
    <m/>
    <m/>
    <m/>
    <n v="0.1"/>
    <n v="0.1575"/>
    <m/>
    <m/>
    <m/>
    <m/>
    <m/>
    <m/>
    <m/>
    <n v="8813112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MASY"/>
    <s v="Vohimasy"/>
    <m/>
    <m/>
    <n v="282"/>
    <m/>
    <x v="3"/>
    <s v="hybride"/>
    <m/>
    <n v="1.55"/>
    <m/>
    <m/>
    <m/>
    <n v="0.05"/>
    <n v="0.108"/>
    <m/>
    <m/>
    <m/>
    <m/>
    <m/>
    <m/>
    <m/>
    <n v="6228816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MASY"/>
    <s v="Anosimahasoa"/>
    <m/>
    <m/>
    <n v="171"/>
    <m/>
    <x v="3"/>
    <s v="hybride"/>
    <m/>
    <n v="0.95"/>
    <m/>
    <m/>
    <m/>
    <n v="0.05"/>
    <n v="6.7500000000000004E-2"/>
    <m/>
    <m/>
    <m/>
    <m/>
    <m/>
    <m/>
    <m/>
    <n v="3777048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TROMBY"/>
    <s v="Iaborano"/>
    <m/>
    <m/>
    <n v="405"/>
    <m/>
    <x v="3"/>
    <s v="hybride"/>
    <m/>
    <n v="2.2000000000000002"/>
    <m/>
    <m/>
    <m/>
    <n v="0.1"/>
    <n v="0.16200000000000001"/>
    <m/>
    <m/>
    <m/>
    <m/>
    <m/>
    <m/>
    <m/>
    <n v="894564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TROMBY"/>
    <s v="EPP MAHABO AMBANY"/>
    <m/>
    <m/>
    <n v="248"/>
    <m/>
    <x v="3"/>
    <s v="HGSF"/>
    <m/>
    <n v="0.8"/>
    <m/>
    <m/>
    <m/>
    <n v="0.05"/>
    <n v="5.8500000000000003E-2"/>
    <m/>
    <m/>
    <m/>
    <m/>
    <m/>
    <m/>
    <m/>
    <n v="5477824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VOHITROMBY"/>
    <s v="Vohilava"/>
    <m/>
    <m/>
    <n v="283"/>
    <m/>
    <x v="3"/>
    <s v="hybride"/>
    <m/>
    <n v="1.55"/>
    <m/>
    <m/>
    <m/>
    <n v="0.05"/>
    <n v="0.1125"/>
    <m/>
    <m/>
    <m/>
    <m/>
    <m/>
    <m/>
    <m/>
    <n v="6250904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NAMOHORA IABORANO"/>
    <s v="EPP AMBATOLAMPY"/>
    <m/>
    <m/>
    <n v="255"/>
    <m/>
    <x v="3"/>
    <s v="HGSF"/>
    <m/>
    <n v="0.85"/>
    <m/>
    <m/>
    <m/>
    <n v="0.05"/>
    <n v="5.8500000000000003E-2"/>
    <m/>
    <m/>
    <m/>
    <m/>
    <m/>
    <m/>
    <m/>
    <n v="5632440"/>
    <m/>
  </r>
  <r>
    <x v="0"/>
    <n v="2024"/>
    <x v="3"/>
    <s v="SMP1"/>
    <x v="8"/>
    <s v="School feeding"/>
    <m/>
    <m/>
    <s v="Manakara"/>
    <x v="1"/>
    <s v="Tamatave"/>
    <s v="Atsimo Atsinanana"/>
    <s v="Farafangana"/>
    <m/>
    <s v="NAMOHORA IABORANO"/>
    <s v="EPP ANIVOTSARA"/>
    <m/>
    <m/>
    <n v="192"/>
    <m/>
    <x v="3"/>
    <s v="HGSF"/>
    <m/>
    <n v="0.65"/>
    <m/>
    <m/>
    <m/>
    <n v="0.05"/>
    <n v="4.4999999999999998E-2"/>
    <m/>
    <m/>
    <m/>
    <m/>
    <m/>
    <m/>
    <m/>
    <n v="424089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ILA"/>
    <s v="Andriana"/>
    <m/>
    <m/>
    <n v="167"/>
    <m/>
    <x v="3"/>
    <s v="hybride"/>
    <m/>
    <n v="0.95"/>
    <m/>
    <m/>
    <m/>
    <n v="0.05"/>
    <n v="6.7500000000000004E-2"/>
    <m/>
    <m/>
    <m/>
    <m/>
    <m/>
    <m/>
    <m/>
    <n v="368869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ILA"/>
    <s v="EPP EZAKA AMBILA NORD"/>
    <m/>
    <m/>
    <n v="132"/>
    <m/>
    <x v="3"/>
    <s v="hybride"/>
    <m/>
    <n v="0.75"/>
    <m/>
    <m/>
    <m/>
    <n v="0.05"/>
    <n v="5.3999999999999999E-2"/>
    <m/>
    <m/>
    <m/>
    <m/>
    <m/>
    <m/>
    <m/>
    <n v="291561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OANJO"/>
    <s v="EPP ANKATAFANA"/>
    <m/>
    <m/>
    <n v="273"/>
    <m/>
    <x v="3"/>
    <s v="HGSF"/>
    <m/>
    <n v="0.9"/>
    <m/>
    <m/>
    <m/>
    <n v="0.05"/>
    <n v="6.3E-2"/>
    <m/>
    <m/>
    <m/>
    <m/>
    <m/>
    <m/>
    <m/>
    <n v="6030024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OANJO"/>
    <s v="EPP MAHAVELO"/>
    <m/>
    <m/>
    <n v="283"/>
    <m/>
    <x v="3"/>
    <s v="HGSF"/>
    <m/>
    <n v="0.95"/>
    <m/>
    <m/>
    <m/>
    <n v="0"/>
    <n v="6.7500000000000004E-2"/>
    <m/>
    <m/>
    <m/>
    <m/>
    <m/>
    <m/>
    <m/>
    <n v="6250904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OANJO"/>
    <s v="ECOLE COMMUNAUTAIRE AMBALABE"/>
    <m/>
    <m/>
    <n v="93"/>
    <m/>
    <x v="3"/>
    <s v="HGSF"/>
    <m/>
    <n v="0.3"/>
    <m/>
    <m/>
    <m/>
    <n v="0"/>
    <n v="2.2499999999999999E-2"/>
    <m/>
    <m/>
    <m/>
    <m/>
    <m/>
    <m/>
    <m/>
    <n v="2054184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MBORONDRA"/>
    <s v="EPP AMBORONDRA"/>
    <m/>
    <m/>
    <n v="387"/>
    <m/>
    <x v="3"/>
    <s v="HGSF"/>
    <m/>
    <n v="1.3"/>
    <m/>
    <m/>
    <m/>
    <n v="0.05"/>
    <n v="0.09"/>
    <m/>
    <m/>
    <m/>
    <m/>
    <m/>
    <m/>
    <m/>
    <n v="854805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NALAVORY"/>
    <s v="Analavory"/>
    <m/>
    <m/>
    <n v="228"/>
    <m/>
    <x v="3"/>
    <s v="hybride"/>
    <m/>
    <n v="1.25"/>
    <m/>
    <m/>
    <m/>
    <n v="0.1"/>
    <n v="0.09"/>
    <m/>
    <m/>
    <m/>
    <m/>
    <m/>
    <m/>
    <m/>
    <n v="5036064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ANOROMBATO"/>
    <s v="EPP MAHASOA"/>
    <m/>
    <m/>
    <n v="145"/>
    <m/>
    <x v="3"/>
    <s v="HGSF"/>
    <m/>
    <n v="0.5"/>
    <m/>
    <m/>
    <m/>
    <n v="0"/>
    <n v="3.5999999999999997E-2"/>
    <m/>
    <m/>
    <m/>
    <m/>
    <m/>
    <m/>
    <m/>
    <n v="3202760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FENOMBY"/>
    <s v="EPP AMBOHIMIARINA"/>
    <m/>
    <m/>
    <n v="63"/>
    <m/>
    <x v="3"/>
    <s v="HGSF"/>
    <m/>
    <n v="0.25"/>
    <m/>
    <m/>
    <m/>
    <n v="0"/>
    <n v="1.7999999999999999E-2"/>
    <m/>
    <m/>
    <m/>
    <m/>
    <m/>
    <m/>
    <m/>
    <n v="1391544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MITANTY"/>
    <s v="EPP BETAMPONA II"/>
    <m/>
    <m/>
    <n v="144"/>
    <m/>
    <x v="3"/>
    <s v="HGSF"/>
    <m/>
    <n v="0.5"/>
    <m/>
    <m/>
    <m/>
    <n v="0"/>
    <n v="3.5999999999999997E-2"/>
    <m/>
    <m/>
    <m/>
    <m/>
    <m/>
    <m/>
    <m/>
    <n v="3180672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MITANTY"/>
    <s v="EPP MIDEBOKA II"/>
    <m/>
    <m/>
    <n v="102"/>
    <m/>
    <x v="3"/>
    <s v="HGSF"/>
    <m/>
    <n v="0.35"/>
    <m/>
    <m/>
    <m/>
    <n v="0"/>
    <n v="2.2499999999999999E-2"/>
    <m/>
    <m/>
    <m/>
    <m/>
    <m/>
    <m/>
    <m/>
    <n v="225297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MIZILO GARA"/>
    <s v="Ampasipotsy"/>
    <m/>
    <m/>
    <n v="207"/>
    <m/>
    <x v="3"/>
    <s v="hybride"/>
    <m/>
    <n v="1.1499999999999999"/>
    <m/>
    <m/>
    <m/>
    <n v="0.05"/>
    <n v="8.1000000000000003E-2"/>
    <m/>
    <m/>
    <m/>
    <m/>
    <m/>
    <m/>
    <m/>
    <n v="4572216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MIZILO GARE"/>
    <s v="EPP ANALAMIDITRA"/>
    <m/>
    <m/>
    <n v="280"/>
    <m/>
    <x v="3"/>
    <s v="HGSF"/>
    <m/>
    <n v="0.9"/>
    <m/>
    <m/>
    <m/>
    <n v="0"/>
    <n v="6.7500000000000004E-2"/>
    <m/>
    <m/>
    <m/>
    <m/>
    <m/>
    <m/>
    <m/>
    <n v="6184640"/>
    <m/>
  </r>
  <r>
    <x v="0"/>
    <n v="2024"/>
    <x v="3"/>
    <s v="SMP1"/>
    <x v="8"/>
    <s v="School feeding"/>
    <m/>
    <m/>
    <s v="Manakara"/>
    <x v="1"/>
    <s v="Tamatave"/>
    <s v="Atsimo Atsinanana"/>
    <s v="Manakara"/>
    <m/>
    <s v="MIZILO GARE"/>
    <s v="EPP FENOARIVO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MBODINONOKA II"/>
    <s v="EPP ANALAMARINA"/>
    <m/>
    <m/>
    <n v="154"/>
    <m/>
    <x v="3"/>
    <s v="HGSF"/>
    <m/>
    <n v="0.55000000000000004"/>
    <m/>
    <m/>
    <m/>
    <n v="0.05"/>
    <n v="4.0500000000000001E-2"/>
    <m/>
    <m/>
    <m/>
    <m/>
    <m/>
    <m/>
    <m/>
    <n v="340155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MBODINONOKA II"/>
    <s v="EPP FIADANANA"/>
    <m/>
    <m/>
    <n v="202"/>
    <m/>
    <x v="3"/>
    <s v="HGSF"/>
    <m/>
    <n v="0.65"/>
    <m/>
    <m/>
    <m/>
    <n v="0.05"/>
    <n v="4.9500000000000002E-2"/>
    <m/>
    <m/>
    <m/>
    <m/>
    <m/>
    <m/>
    <m/>
    <n v="446177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OSIMPARIHY"/>
    <s v="EPP AMBATOHARANANA"/>
    <m/>
    <m/>
    <n v="200"/>
    <m/>
    <x v="3"/>
    <s v="HGSF"/>
    <m/>
    <n v="0.7"/>
    <m/>
    <m/>
    <m/>
    <n v="0.05"/>
    <n v="4.4999999999999998E-2"/>
    <m/>
    <m/>
    <m/>
    <m/>
    <m/>
    <m/>
    <m/>
    <n v="441760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OSIPARIHY"/>
    <s v="Anosimparihy"/>
    <m/>
    <m/>
    <n v="183"/>
    <m/>
    <x v="3"/>
    <s v="hybride"/>
    <m/>
    <n v="1"/>
    <m/>
    <m/>
    <m/>
    <n v="0.05"/>
    <n v="7.1999999999999995E-2"/>
    <m/>
    <m/>
    <m/>
    <m/>
    <m/>
    <m/>
    <m/>
    <n v="404210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OSIMPARIHY"/>
    <s v="EPP IABORANO"/>
    <m/>
    <m/>
    <n v="116"/>
    <m/>
    <x v="3"/>
    <s v="HGSF"/>
    <m/>
    <n v="0.4"/>
    <m/>
    <m/>
    <m/>
    <n v="0"/>
    <n v="2.7E-2"/>
    <m/>
    <m/>
    <m/>
    <m/>
    <m/>
    <m/>
    <m/>
    <n v="2562208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OSIMPARIHY"/>
    <s v="EPP VOHIBIAVY"/>
    <m/>
    <m/>
    <n v="97"/>
    <m/>
    <x v="3"/>
    <s v="HGSF"/>
    <m/>
    <n v="0.35"/>
    <m/>
    <m/>
    <m/>
    <n v="0"/>
    <n v="2.7E-2"/>
    <m/>
    <m/>
    <m/>
    <m/>
    <m/>
    <m/>
    <m/>
    <n v="214253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SENAVOLO"/>
    <s v="EPP AMBODIAKATRA"/>
    <m/>
    <m/>
    <n v="228"/>
    <m/>
    <x v="3"/>
    <s v="HGSF"/>
    <m/>
    <n v="0.75"/>
    <m/>
    <m/>
    <m/>
    <n v="0.05"/>
    <n v="5.3999999999999999E-2"/>
    <m/>
    <m/>
    <m/>
    <m/>
    <m/>
    <m/>
    <m/>
    <n v="503606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SENAVOLO"/>
    <s v="Ambodivoangy"/>
    <m/>
    <m/>
    <n v="182"/>
    <m/>
    <x v="3"/>
    <s v="hybride"/>
    <m/>
    <n v="1"/>
    <m/>
    <m/>
    <m/>
    <n v="0.05"/>
    <n v="7.1999999999999995E-2"/>
    <m/>
    <m/>
    <m/>
    <m/>
    <m/>
    <m/>
    <m/>
    <n v="402001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SENAVOLO"/>
    <s v="Ankazotokana"/>
    <m/>
    <m/>
    <n v="158"/>
    <m/>
    <x v="3"/>
    <s v="hybride"/>
    <m/>
    <n v="0.85"/>
    <m/>
    <m/>
    <m/>
    <n v="0.05"/>
    <n v="6.3E-2"/>
    <m/>
    <m/>
    <m/>
    <m/>
    <m/>
    <m/>
    <m/>
    <n v="348990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SENAVOLO"/>
    <s v="EPP ANTSENAVOLO"/>
    <m/>
    <m/>
    <n v="718"/>
    <m/>
    <x v="3"/>
    <s v="HGSF"/>
    <m/>
    <n v="2.35"/>
    <m/>
    <m/>
    <m/>
    <n v="0.1"/>
    <n v="0.16650000000000001"/>
    <m/>
    <m/>
    <m/>
    <m/>
    <m/>
    <m/>
    <m/>
    <n v="1585918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SENAVOLO"/>
    <s v="EPP FENOARIVO"/>
    <m/>
    <m/>
    <n v="75"/>
    <m/>
    <x v="3"/>
    <s v="HGSF"/>
    <m/>
    <n v="0.3"/>
    <m/>
    <m/>
    <m/>
    <n v="0"/>
    <n v="1.7999999999999999E-2"/>
    <m/>
    <m/>
    <m/>
    <m/>
    <m/>
    <m/>
    <m/>
    <n v="165660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MBOHIMIARINA"/>
    <s v="Irondro"/>
    <m/>
    <m/>
    <n v="428"/>
    <m/>
    <x v="3"/>
    <s v="hybride"/>
    <m/>
    <n v="2.35"/>
    <m/>
    <m/>
    <m/>
    <n v="0.1"/>
    <n v="0.16650000000000001"/>
    <m/>
    <m/>
    <m/>
    <m/>
    <m/>
    <m/>
    <m/>
    <n v="945366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KIANJAVATO"/>
    <s v="Ambalahosy sud"/>
    <m/>
    <m/>
    <n v="251"/>
    <m/>
    <x v="3"/>
    <s v="hybride"/>
    <m/>
    <n v="1.4"/>
    <m/>
    <m/>
    <m/>
    <n v="0.1"/>
    <n v="9.9000000000000005E-2"/>
    <m/>
    <m/>
    <m/>
    <m/>
    <m/>
    <m/>
    <m/>
    <n v="5544088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KIANJAVATO"/>
    <s v="Ambodibonary"/>
    <m/>
    <m/>
    <n v="161"/>
    <m/>
    <x v="3"/>
    <s v="hybride"/>
    <m/>
    <n v="0.9"/>
    <m/>
    <m/>
    <m/>
    <n v="0.05"/>
    <n v="6.3E-2"/>
    <m/>
    <m/>
    <m/>
    <m/>
    <m/>
    <m/>
    <m/>
    <n v="3556168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KIANJAVATO"/>
    <s v="Fotobohitra"/>
    <m/>
    <m/>
    <n v="197"/>
    <m/>
    <x v="3"/>
    <s v="hybride"/>
    <m/>
    <n v="1.1000000000000001"/>
    <m/>
    <m/>
    <m/>
    <n v="0.05"/>
    <n v="7.6499999999999999E-2"/>
    <m/>
    <m/>
    <m/>
    <m/>
    <m/>
    <m/>
    <m/>
    <n v="435133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KIANJAVATO"/>
    <s v="Kianjavato"/>
    <m/>
    <m/>
    <n v="512"/>
    <m/>
    <x v="3"/>
    <s v="hybride"/>
    <m/>
    <n v="2.8"/>
    <m/>
    <m/>
    <m/>
    <n v="0.15"/>
    <n v="0.20250000000000001"/>
    <m/>
    <m/>
    <m/>
    <m/>
    <m/>
    <m/>
    <m/>
    <n v="1130905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HATSARA SUD"/>
    <s v="Mahatsarasud"/>
    <m/>
    <m/>
    <n v="445"/>
    <m/>
    <x v="3"/>
    <s v="hybride"/>
    <m/>
    <n v="2.4500000000000002"/>
    <m/>
    <m/>
    <m/>
    <n v="0.1"/>
    <n v="0.17549999999999999"/>
    <m/>
    <m/>
    <m/>
    <m/>
    <m/>
    <m/>
    <m/>
    <n v="982916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NANJARY"/>
    <s v="EPP ANDOVOSIRA"/>
    <m/>
    <m/>
    <n v="538"/>
    <m/>
    <x v="3"/>
    <s v="HGSF"/>
    <m/>
    <n v="1.75"/>
    <m/>
    <m/>
    <m/>
    <n v="0.1"/>
    <n v="0.126"/>
    <m/>
    <m/>
    <m/>
    <m/>
    <m/>
    <m/>
    <m/>
    <n v="1188334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NANJARY"/>
    <s v="EPP FANGATO"/>
    <m/>
    <m/>
    <n v="415"/>
    <m/>
    <x v="3"/>
    <s v="HGSF"/>
    <m/>
    <n v="1.35"/>
    <m/>
    <m/>
    <m/>
    <n v="0.05"/>
    <n v="9.9000000000000005E-2"/>
    <m/>
    <m/>
    <m/>
    <m/>
    <m/>
    <m/>
    <m/>
    <n v="916652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NANJARY"/>
    <s v="EPP JOSEPH ROBERT"/>
    <m/>
    <m/>
    <n v="993"/>
    <m/>
    <x v="3"/>
    <s v="HGSF"/>
    <m/>
    <n v="3.25"/>
    <m/>
    <m/>
    <m/>
    <n v="0.15"/>
    <n v="0.22950000000000001"/>
    <m/>
    <m/>
    <m/>
    <m/>
    <m/>
    <m/>
    <m/>
    <n v="2193338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I"/>
    <s v="Ambaladara"/>
    <m/>
    <m/>
    <n v="359"/>
    <m/>
    <x v="3"/>
    <s v="hybride"/>
    <m/>
    <n v="1.95"/>
    <m/>
    <m/>
    <m/>
    <n v="0.1"/>
    <n v="0.13950000000000001"/>
    <m/>
    <m/>
    <m/>
    <m/>
    <m/>
    <m/>
    <m/>
    <n v="792959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ROKARIMA"/>
    <s v="EPP AMBOANGIMASINA"/>
    <m/>
    <m/>
    <n v="85"/>
    <m/>
    <x v="3"/>
    <s v="HGSF"/>
    <m/>
    <n v="0.3"/>
    <m/>
    <m/>
    <m/>
    <n v="0"/>
    <n v="1.7999999999999999E-2"/>
    <m/>
    <m/>
    <m/>
    <m/>
    <m/>
    <m/>
    <m/>
    <n v="187748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ROKARIMA"/>
    <s v="EPP MAROKARIMA"/>
    <m/>
    <m/>
    <n v="368"/>
    <m/>
    <x v="3"/>
    <s v="HGSF"/>
    <m/>
    <n v="1.25"/>
    <m/>
    <m/>
    <m/>
    <n v="0.05"/>
    <n v="8.5500000000000007E-2"/>
    <m/>
    <m/>
    <m/>
    <m/>
    <m/>
    <m/>
    <m/>
    <n v="812838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I"/>
    <s v="EPP SANDRANGELY"/>
    <m/>
    <m/>
    <n v="170"/>
    <m/>
    <x v="3"/>
    <s v="HGSF"/>
    <m/>
    <n v="0.55000000000000004"/>
    <m/>
    <m/>
    <m/>
    <n v="0.05"/>
    <n v="4.0500000000000001E-2"/>
    <m/>
    <m/>
    <m/>
    <m/>
    <m/>
    <m/>
    <m/>
    <n v="375496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ROSANGY"/>
    <s v="EPP AMBALAKONDRO"/>
    <m/>
    <m/>
    <n v="155"/>
    <m/>
    <x v="3"/>
    <s v="HGSF"/>
    <m/>
    <n v="0.55000000000000004"/>
    <m/>
    <m/>
    <m/>
    <n v="0.05"/>
    <n v="3.5999999999999997E-2"/>
    <m/>
    <m/>
    <m/>
    <m/>
    <m/>
    <m/>
    <m/>
    <n v="342364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MAROSANGY"/>
    <s v="EPP IANKANA"/>
    <m/>
    <m/>
    <n v="161"/>
    <m/>
    <x v="3"/>
    <s v="HGSF"/>
    <m/>
    <n v="0.55000000000000004"/>
    <m/>
    <m/>
    <m/>
    <n v="0.05"/>
    <n v="4.0500000000000001E-2"/>
    <m/>
    <m/>
    <m/>
    <m/>
    <m/>
    <m/>
    <m/>
    <n v="3556168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Ampasimbola"/>
    <m/>
    <m/>
    <n v="204"/>
    <m/>
    <x v="3"/>
    <s v="hybride"/>
    <m/>
    <n v="1.1000000000000001"/>
    <m/>
    <m/>
    <m/>
    <n v="0.05"/>
    <n v="8.1000000000000003E-2"/>
    <m/>
    <m/>
    <m/>
    <m/>
    <m/>
    <m/>
    <m/>
    <n v="450595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EPP MAROFODY"/>
    <m/>
    <m/>
    <n v="244"/>
    <m/>
    <x v="3"/>
    <s v="HGSF"/>
    <m/>
    <n v="0.85"/>
    <m/>
    <m/>
    <m/>
    <n v="0.05"/>
    <n v="5.8500000000000003E-2"/>
    <m/>
    <m/>
    <m/>
    <m/>
    <m/>
    <m/>
    <m/>
    <n v="538947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EPP MAROPAIKA"/>
    <m/>
    <m/>
    <n v="77"/>
    <m/>
    <x v="3"/>
    <s v="HGSF"/>
    <m/>
    <n v="0.3"/>
    <m/>
    <m/>
    <m/>
    <n v="0"/>
    <n v="1.7999999999999999E-2"/>
    <m/>
    <m/>
    <m/>
    <m/>
    <m/>
    <m/>
    <m/>
    <n v="170077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EPP TANAMBAO MAROFODY"/>
    <m/>
    <m/>
    <n v="50"/>
    <m/>
    <x v="3"/>
    <s v="HGSF"/>
    <m/>
    <n v="0.2"/>
    <m/>
    <m/>
    <m/>
    <n v="0"/>
    <n v="1.35E-2"/>
    <m/>
    <m/>
    <m/>
    <m/>
    <m/>
    <m/>
    <m/>
    <n v="110440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Tsaravary"/>
    <m/>
    <m/>
    <n v="257"/>
    <m/>
    <x v="3"/>
    <s v="hybride"/>
    <m/>
    <n v="1.4"/>
    <m/>
    <m/>
    <m/>
    <n v="0.1"/>
    <n v="9.9000000000000005E-2"/>
    <m/>
    <m/>
    <m/>
    <m/>
    <m/>
    <m/>
    <m/>
    <n v="567661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I"/>
    <s v="Sahamara"/>
    <m/>
    <m/>
    <n v="72"/>
    <m/>
    <x v="3"/>
    <s v="hybride"/>
    <m/>
    <n v="0.4"/>
    <m/>
    <m/>
    <m/>
    <n v="0"/>
    <n v="2.7E-2"/>
    <m/>
    <m/>
    <m/>
    <m/>
    <m/>
    <m/>
    <m/>
    <n v="159033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Ambalaromba"/>
    <m/>
    <m/>
    <n v="259"/>
    <m/>
    <x v="3"/>
    <s v="hybride"/>
    <m/>
    <n v="1.4"/>
    <m/>
    <m/>
    <m/>
    <n v="0.1"/>
    <n v="0.10349999999999999"/>
    <m/>
    <m/>
    <m/>
    <m/>
    <m/>
    <m/>
    <m/>
    <n v="5720792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I"/>
    <s v="EPP AMBATOLAHILETSIVITSY"/>
    <m/>
    <m/>
    <n v="132"/>
    <m/>
    <x v="3"/>
    <s v="hybride"/>
    <m/>
    <n v="0.75"/>
    <m/>
    <m/>
    <m/>
    <n v="0.05"/>
    <n v="5.3999999999999999E-2"/>
    <m/>
    <m/>
    <m/>
    <m/>
    <m/>
    <m/>
    <m/>
    <n v="291561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Ambatotsara"/>
    <m/>
    <m/>
    <n v="175"/>
    <m/>
    <x v="3"/>
    <s v="hybride"/>
    <m/>
    <n v="0.95"/>
    <m/>
    <m/>
    <m/>
    <n v="0.05"/>
    <n v="6.7500000000000004E-2"/>
    <m/>
    <m/>
    <m/>
    <m/>
    <m/>
    <m/>
    <m/>
    <n v="386540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I"/>
    <s v="EPP AMBOHIMIARINA I"/>
    <m/>
    <m/>
    <n v="345"/>
    <m/>
    <x v="3"/>
    <s v="hybride"/>
    <m/>
    <n v="1.9"/>
    <m/>
    <m/>
    <m/>
    <n v="0.1"/>
    <n v="0.13500000000000001"/>
    <m/>
    <m/>
    <m/>
    <m/>
    <m/>
    <m/>
    <m/>
    <n v="762036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Andranomavo II"/>
    <m/>
    <m/>
    <n v="387"/>
    <m/>
    <x v="3"/>
    <s v="hybride"/>
    <m/>
    <n v="2.15"/>
    <m/>
    <m/>
    <m/>
    <n v="0.1"/>
    <n v="0.153"/>
    <m/>
    <m/>
    <m/>
    <m/>
    <m/>
    <m/>
    <m/>
    <n v="8548056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EPP ANDRANOMITEKA"/>
    <m/>
    <m/>
    <n v="220"/>
    <m/>
    <x v="3"/>
    <s v="HGSF"/>
    <m/>
    <n v="0.75"/>
    <m/>
    <m/>
    <m/>
    <n v="0.05"/>
    <n v="5.3999999999999999E-2"/>
    <m/>
    <m/>
    <m/>
    <m/>
    <m/>
    <m/>
    <m/>
    <n v="485936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Betampona"/>
    <m/>
    <m/>
    <n v="383"/>
    <m/>
    <x v="3"/>
    <s v="hybride"/>
    <m/>
    <n v="2.1"/>
    <m/>
    <m/>
    <m/>
    <n v="0.1"/>
    <n v="0.14849999999999999"/>
    <m/>
    <m/>
    <m/>
    <m/>
    <m/>
    <m/>
    <m/>
    <n v="845970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ManakanaI"/>
    <m/>
    <m/>
    <n v="168"/>
    <m/>
    <x v="3"/>
    <s v="hybride"/>
    <m/>
    <n v="0.9"/>
    <m/>
    <m/>
    <m/>
    <n v="0.05"/>
    <n v="6.7500000000000004E-2"/>
    <m/>
    <m/>
    <m/>
    <m/>
    <m/>
    <m/>
    <m/>
    <n v="371078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Tsarahafatra"/>
    <m/>
    <m/>
    <n v="308"/>
    <m/>
    <x v="3"/>
    <s v="hybride"/>
    <m/>
    <n v="1.7"/>
    <m/>
    <m/>
    <m/>
    <n v="0.1"/>
    <n v="0.1215"/>
    <m/>
    <m/>
    <m/>
    <m/>
    <m/>
    <m/>
    <m/>
    <n v="6803104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IATOSIKA I"/>
    <s v="EPP TSIATOSIKA"/>
    <m/>
    <m/>
    <n v="300"/>
    <m/>
    <x v="3"/>
    <s v="HGSF"/>
    <m/>
    <n v="1"/>
    <m/>
    <m/>
    <m/>
    <n v="0"/>
    <n v="7.1999999999999995E-2"/>
    <m/>
    <m/>
    <m/>
    <m/>
    <m/>
    <m/>
    <m/>
    <n v="662640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VATOHANDRINA"/>
    <s v="EPP VATOHANDRNA"/>
    <m/>
    <m/>
    <n v="165"/>
    <m/>
    <x v="3"/>
    <s v="HGSF"/>
    <m/>
    <n v="0.55000000000000004"/>
    <m/>
    <m/>
    <m/>
    <n v="0.05"/>
    <n v="4.0500000000000001E-2"/>
    <m/>
    <m/>
    <m/>
    <m/>
    <m/>
    <m/>
    <m/>
    <n v="364452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VOHILAVA II"/>
    <s v="EPP AMBAKOANA"/>
    <m/>
    <m/>
    <n v="270"/>
    <m/>
    <x v="3"/>
    <s v="HGSF"/>
    <m/>
    <n v="0.9"/>
    <m/>
    <m/>
    <m/>
    <n v="0.05"/>
    <n v="6.3E-2"/>
    <m/>
    <m/>
    <m/>
    <m/>
    <m/>
    <m/>
    <m/>
    <n v="5963760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TSARAVARY"/>
    <s v="EPP MAROHITA"/>
    <m/>
    <m/>
    <n v="226"/>
    <m/>
    <x v="3"/>
    <s v="HGSF"/>
    <m/>
    <n v="0.75"/>
    <m/>
    <m/>
    <m/>
    <n v="0.05"/>
    <n v="5.3999999999999999E-2"/>
    <m/>
    <m/>
    <m/>
    <m/>
    <m/>
    <m/>
    <m/>
    <n v="4991888"/>
    <m/>
  </r>
  <r>
    <x v="0"/>
    <n v="2024"/>
    <x v="3"/>
    <s v="SMP1"/>
    <x v="8"/>
    <s v="School feeding"/>
    <m/>
    <m/>
    <s v="Manakara"/>
    <x v="1"/>
    <s v="Tamatave"/>
    <s v="Atsimo Atsinanana"/>
    <s v="Mananjary"/>
    <m/>
    <s v="ANTARETRA"/>
    <s v="ECOLE COMMUNAUTAIRE LAVAKIANJA"/>
    <m/>
    <m/>
    <n v="167"/>
    <m/>
    <x v="3"/>
    <s v="HGSF"/>
    <m/>
    <n v="0.6"/>
    <m/>
    <m/>
    <m/>
    <n v="0.05"/>
    <n v="4.0500000000000001E-2"/>
    <m/>
    <m/>
    <m/>
    <m/>
    <m/>
    <m/>
    <m/>
    <n v="3688696"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AMBINANY"/>
    <s v="BEVILANY"/>
    <m/>
    <m/>
    <n v="439"/>
    <m/>
    <x v="1"/>
    <s v="classique"/>
    <m/>
    <n v="3.4"/>
    <m/>
    <m/>
    <m/>
    <n v="0.75"/>
    <n v="0.22950000000000001"/>
    <m/>
    <m/>
    <m/>
    <m/>
    <m/>
    <m/>
    <n v="4.3795000000000002"/>
    <m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SAKARAHA"/>
    <s v="ANDRANOMAINTSO"/>
    <m/>
    <m/>
    <n v="492"/>
    <m/>
    <x v="1"/>
    <s v="classique"/>
    <m/>
    <n v="3.8"/>
    <m/>
    <m/>
    <m/>
    <n v="0.85"/>
    <n v="0.252"/>
    <m/>
    <m/>
    <m/>
    <m/>
    <m/>
    <m/>
    <n v="4.9019999999999992"/>
    <m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VINETA ANDAMASINY"/>
    <s v="AMBARARATA GOUDRON"/>
    <m/>
    <m/>
    <n v="585"/>
    <m/>
    <x v="1"/>
    <s v="classique"/>
    <m/>
    <n v="4.5"/>
    <m/>
    <m/>
    <m/>
    <n v="1"/>
    <n v="0.32400000000000001"/>
    <m/>
    <m/>
    <m/>
    <m/>
    <m/>
    <m/>
    <n v="5.8239999999999998"/>
    <m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VINETA ANDAMASINY"/>
    <s v="ANDRAVINDAHY II"/>
    <m/>
    <m/>
    <n v="0"/>
    <m/>
    <x v="1"/>
    <s v="classique"/>
    <m/>
    <n v="0"/>
    <m/>
    <m/>
    <m/>
    <n v="0"/>
    <n v="0"/>
    <m/>
    <m/>
    <m/>
    <m/>
    <m/>
    <m/>
    <n v="0"/>
    <m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VINETA ANDAMASINY"/>
    <s v="VINETA MAHASOA"/>
    <m/>
    <m/>
    <n v="403"/>
    <m/>
    <x v="1"/>
    <s v="classique"/>
    <m/>
    <n v="3.1"/>
    <m/>
    <m/>
    <m/>
    <n v="0.7"/>
    <n v="0.2205"/>
    <m/>
    <m/>
    <m/>
    <m/>
    <m/>
    <m/>
    <n v="4.0205000000000002"/>
    <m/>
    <m/>
  </r>
  <r>
    <x v="0"/>
    <n v="2024"/>
    <x v="3"/>
    <s v="SMP1"/>
    <x v="8"/>
    <s v="School feeding"/>
    <m/>
    <m/>
    <s v="Tuléar"/>
    <x v="3"/>
    <s v="Tuléar"/>
    <s v="Atsimo Andrefana"/>
    <s v="SAKARAHA"/>
    <m/>
    <s v="VINETA ANDAMASINY"/>
    <s v="ANTRANOKAKY"/>
    <m/>
    <m/>
    <n v="384"/>
    <m/>
    <x v="1"/>
    <s v="classique"/>
    <m/>
    <n v="2.95"/>
    <m/>
    <m/>
    <m/>
    <n v="0.65"/>
    <n v="0.17549999999999999"/>
    <m/>
    <m/>
    <m/>
    <m/>
    <m/>
    <m/>
    <n v="3.7755000000000001"/>
    <m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ECOLE COMMUNAUTAIRE ANDAVABIBY"/>
    <m/>
    <m/>
    <n v="213"/>
    <m/>
    <x v="3"/>
    <s v="HGSF"/>
    <m/>
    <n v="1.45"/>
    <m/>
    <m/>
    <m/>
    <n v="0.1"/>
    <n v="0.10349999999999999"/>
    <m/>
    <m/>
    <m/>
    <m/>
    <m/>
    <m/>
    <m/>
    <n v="470474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EPP AMBOROMPOTSY"/>
    <m/>
    <m/>
    <n v="721"/>
    <m/>
    <x v="3"/>
    <s v="HGSF"/>
    <m/>
    <n v="5.15"/>
    <m/>
    <m/>
    <m/>
    <n v="0.25"/>
    <n v="0.36899999999999999"/>
    <m/>
    <m/>
    <m/>
    <m/>
    <m/>
    <m/>
    <m/>
    <n v="1592544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BELALITSE"/>
    <m/>
    <m/>
    <n v="196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ETSIFOHAVE"/>
    <m/>
    <m/>
    <n v="238"/>
    <m/>
    <x v="1"/>
    <s v="classique"/>
    <m/>
    <n v="1.65"/>
    <m/>
    <m/>
    <m/>
    <n v="0.35"/>
    <n v="0.11700000000000001"/>
    <m/>
    <m/>
    <m/>
    <m/>
    <m/>
    <m/>
    <n v="2.11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MASINDRANO"/>
    <m/>
    <m/>
    <n v="324"/>
    <m/>
    <x v="1"/>
    <s v="classique"/>
    <m/>
    <n v="2.2000000000000002"/>
    <m/>
    <m/>
    <m/>
    <n v="0.5"/>
    <n v="0.1575"/>
    <m/>
    <m/>
    <m/>
    <m/>
    <m/>
    <m/>
    <n v="2.8575000000000004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EPP ANTANIMAVO"/>
    <m/>
    <m/>
    <n v="231"/>
    <m/>
    <x v="3"/>
    <s v="HGSF"/>
    <m/>
    <n v="1.5"/>
    <m/>
    <m/>
    <m/>
    <n v="0.1"/>
    <n v="0.10349999999999999"/>
    <m/>
    <m/>
    <m/>
    <m/>
    <m/>
    <m/>
    <m/>
    <n v="510232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MOTOMBE"/>
    <m/>
    <m/>
    <n v="348"/>
    <m/>
    <x v="1"/>
    <s v="classique"/>
    <m/>
    <n v="2.4"/>
    <m/>
    <m/>
    <m/>
    <n v="0.5"/>
    <n v="0.17100000000000001"/>
    <m/>
    <m/>
    <m/>
    <m/>
    <m/>
    <m/>
    <n v="3.070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borompotsy"/>
    <s v="AGNARAMAIKY"/>
    <m/>
    <m/>
    <n v="222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AMBALIANDRO"/>
    <m/>
    <m/>
    <n v="222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ANTANIMAINTY"/>
    <m/>
    <m/>
    <n v="195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ANTSAGNIRA"/>
    <m/>
    <m/>
    <n v="279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 CENTRE"/>
    <s v="EPP BELAZA"/>
    <m/>
    <m/>
    <n v="287"/>
    <m/>
    <x v="3"/>
    <s v="HGSF"/>
    <m/>
    <n v="1.9"/>
    <m/>
    <m/>
    <m/>
    <n v="0.1"/>
    <n v="0.13500000000000001"/>
    <m/>
    <m/>
    <m/>
    <m/>
    <m/>
    <m/>
    <m/>
    <n v="633925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LAFIBATO"/>
    <m/>
    <m/>
    <n v="176"/>
    <m/>
    <x v="1"/>
    <s v="classique"/>
    <m/>
    <n v="1.1000000000000001"/>
    <m/>
    <m/>
    <m/>
    <n v="0.25"/>
    <n v="7.6499999999999999E-2"/>
    <m/>
    <m/>
    <m/>
    <m/>
    <m/>
    <m/>
    <n v="1.426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LAVAPOSA"/>
    <m/>
    <m/>
    <n v="161"/>
    <m/>
    <x v="1"/>
    <s v="classique"/>
    <m/>
    <n v="1"/>
    <m/>
    <m/>
    <m/>
    <n v="0.25"/>
    <n v="7.1999999999999995E-2"/>
    <m/>
    <m/>
    <m/>
    <m/>
    <m/>
    <m/>
    <n v="1.322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 CENTRE"/>
    <s v="EPP AMBALATSIEFA"/>
    <m/>
    <m/>
    <n v="742"/>
    <m/>
    <x v="3"/>
    <s v="HGSF"/>
    <m/>
    <n v="5.5"/>
    <m/>
    <m/>
    <m/>
    <n v="0.25"/>
    <n v="0.39150000000000001"/>
    <m/>
    <m/>
    <m/>
    <m/>
    <m/>
    <m/>
    <m/>
    <n v="16388971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 CENTRE"/>
    <s v="EPP AMPANIHY CENTRE"/>
    <m/>
    <m/>
    <n v="781"/>
    <m/>
    <x v="3"/>
    <s v="HGSF"/>
    <m/>
    <n v="5.8"/>
    <m/>
    <m/>
    <m/>
    <n v="0.3"/>
    <n v="0.41399999999999998"/>
    <m/>
    <m/>
    <m/>
    <m/>
    <m/>
    <m/>
    <m/>
    <n v="17241363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 CENTRE"/>
    <s v="EPP ANDRANOMAMY"/>
    <m/>
    <m/>
    <n v="268"/>
    <m/>
    <x v="3"/>
    <s v="HGSF"/>
    <m/>
    <n v="1.9"/>
    <m/>
    <m/>
    <m/>
    <n v="0.1"/>
    <n v="0.13500000000000001"/>
    <m/>
    <m/>
    <m/>
    <m/>
    <m/>
    <m/>
    <m/>
    <n v="589218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ETANJO"/>
    <m/>
    <m/>
    <n v="251"/>
    <m/>
    <x v="1"/>
    <s v="classique"/>
    <m/>
    <n v="1.75"/>
    <m/>
    <m/>
    <m/>
    <n v="0.4"/>
    <n v="0.1215"/>
    <m/>
    <m/>
    <m/>
    <m/>
    <m/>
    <m/>
    <n v="2.271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ETROBEKE"/>
    <m/>
    <m/>
    <n v="861"/>
    <m/>
    <x v="1"/>
    <s v="classique"/>
    <m/>
    <n v="6.15"/>
    <m/>
    <m/>
    <m/>
    <n v="1.35"/>
    <n v="0.4365"/>
    <m/>
    <m/>
    <m/>
    <m/>
    <m/>
    <m/>
    <n v="7.936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EPP GOROGODA"/>
    <m/>
    <m/>
    <n v="211"/>
    <m/>
    <x v="1"/>
    <s v="classique"/>
    <m/>
    <n v="1.4"/>
    <m/>
    <m/>
    <m/>
    <n v="0.3"/>
    <n v="0.10349999999999999"/>
    <m/>
    <m/>
    <m/>
    <m/>
    <m/>
    <m/>
    <n v="1.803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SIHANAMITOHY"/>
    <m/>
    <m/>
    <n v="304"/>
    <m/>
    <x v="1"/>
    <s v="classique"/>
    <m/>
    <n v="2.1"/>
    <m/>
    <m/>
    <m/>
    <n v="0.5"/>
    <n v="0.14849999999999999"/>
    <m/>
    <m/>
    <m/>
    <m/>
    <m/>
    <m/>
    <n v="2.748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ANKILETOKA I"/>
    <m/>
    <m/>
    <n v="300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AMBALAVATO CENTRE"/>
    <m/>
    <m/>
    <n v="194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mpanihy"/>
    <s v="SIHANAMITOHY CENTRE"/>
    <m/>
    <m/>
    <n v="114"/>
    <m/>
    <x v="1"/>
    <s v="classique"/>
    <m/>
    <n v="0.7"/>
    <m/>
    <m/>
    <m/>
    <n v="0.15"/>
    <n v="4.9500000000000002E-2"/>
    <m/>
    <m/>
    <m/>
    <m/>
    <m/>
    <m/>
    <n v="0.8994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AMBOLISARIKE"/>
    <m/>
    <m/>
    <n v="157"/>
    <m/>
    <x v="1"/>
    <s v="classique"/>
    <m/>
    <n v="0.7"/>
    <m/>
    <m/>
    <m/>
    <n v="0.2"/>
    <n v="4.9500000000000002E-2"/>
    <m/>
    <m/>
    <m/>
    <m/>
    <m/>
    <m/>
    <n v="0.949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COLE COMMUNAUTAIRE ANDRAPIDRAPIKE"/>
    <m/>
    <m/>
    <n v="159"/>
    <m/>
    <x v="3"/>
    <s v="HGSF"/>
    <m/>
    <n v="0.9"/>
    <m/>
    <m/>
    <m/>
    <n v="0.1"/>
    <n v="6.7500000000000004E-2"/>
    <m/>
    <m/>
    <m/>
    <m/>
    <m/>
    <m/>
    <m/>
    <n v="351199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ANKEHEO"/>
    <m/>
    <m/>
    <n v="216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PP BELAMBO"/>
    <m/>
    <m/>
    <n v="359"/>
    <m/>
    <x v="3"/>
    <s v="HGSF"/>
    <m/>
    <n v="2.25"/>
    <m/>
    <m/>
    <m/>
    <n v="0.15"/>
    <n v="0.16200000000000001"/>
    <m/>
    <m/>
    <m/>
    <m/>
    <m/>
    <m/>
    <m/>
    <n v="792959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MINA"/>
    <m/>
    <m/>
    <n v="322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VANGA"/>
    <m/>
    <m/>
    <n v="307"/>
    <m/>
    <x v="1"/>
    <s v="classique"/>
    <m/>
    <n v="2.0499999999999998"/>
    <m/>
    <m/>
    <m/>
    <n v="0.45"/>
    <n v="0.14849999999999999"/>
    <m/>
    <m/>
    <m/>
    <m/>
    <m/>
    <m/>
    <n v="2.648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COLE COMMUNAUTAIRE FANAMBOSA"/>
    <m/>
    <m/>
    <n v="266"/>
    <m/>
    <x v="3"/>
    <s v="HGSF"/>
    <m/>
    <n v="1.55"/>
    <m/>
    <m/>
    <m/>
    <n v="0.1"/>
    <n v="0.108"/>
    <m/>
    <m/>
    <m/>
    <m/>
    <m/>
    <m/>
    <m/>
    <n v="587540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COLE COMMUNAUTAIRE HORINJA"/>
    <m/>
    <m/>
    <n v="194"/>
    <m/>
    <x v="3"/>
    <s v="HGSF"/>
    <m/>
    <n v="1.2"/>
    <m/>
    <m/>
    <m/>
    <n v="0.1"/>
    <n v="8.5500000000000007E-2"/>
    <m/>
    <m/>
    <m/>
    <m/>
    <m/>
    <m/>
    <m/>
    <n v="428507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KALANGASA"/>
    <m/>
    <m/>
    <n v="283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KILEMIRIMBO CENTRE"/>
    <m/>
    <m/>
    <n v="224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KILIRO"/>
    <m/>
    <m/>
    <n v="293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KILILIGNISA"/>
    <m/>
    <m/>
    <n v="171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ECOLE COMMUNAUTAIRE LAHITSITELY"/>
    <m/>
    <m/>
    <n v="191"/>
    <m/>
    <x v="3"/>
    <s v="HGSF"/>
    <m/>
    <n v="0.95"/>
    <m/>
    <m/>
    <m/>
    <n v="0.1"/>
    <n v="6.7500000000000004E-2"/>
    <m/>
    <m/>
    <m/>
    <m/>
    <m/>
    <m/>
    <m/>
    <n v="421880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BEAVOHA SUD"/>
    <m/>
    <m/>
    <n v="284"/>
    <m/>
    <x v="1"/>
    <s v="classique"/>
    <m/>
    <n v="1.9"/>
    <m/>
    <m/>
    <m/>
    <n v="0.4"/>
    <n v="0.13500000000000001"/>
    <m/>
    <m/>
    <m/>
    <m/>
    <m/>
    <m/>
    <n v="2.4349999999999996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BEHARAHAKE"/>
    <m/>
    <m/>
    <n v="587"/>
    <m/>
    <x v="1"/>
    <s v="classique"/>
    <m/>
    <n v="3.9"/>
    <m/>
    <m/>
    <m/>
    <n v="0.85"/>
    <n v="0.27900000000000003"/>
    <m/>
    <m/>
    <m/>
    <m/>
    <m/>
    <m/>
    <n v="5.028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BEVOALAVO"/>
    <m/>
    <m/>
    <n v="204"/>
    <m/>
    <x v="1"/>
    <s v="classique"/>
    <m/>
    <n v="1.05"/>
    <m/>
    <m/>
    <m/>
    <n v="0.25"/>
    <n v="7.6499999999999999E-2"/>
    <m/>
    <m/>
    <m/>
    <m/>
    <m/>
    <m/>
    <n v="1.376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KILIBORY"/>
    <m/>
    <m/>
    <n v="316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MAHATSANDRY"/>
    <m/>
    <m/>
    <n v="21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SAODONA"/>
    <m/>
    <m/>
    <n v="259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ZAMASY"/>
    <m/>
    <m/>
    <n v="396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MAROHOLA"/>
    <m/>
    <m/>
    <n v="332"/>
    <m/>
    <x v="1"/>
    <s v="classique"/>
    <m/>
    <n v="2.2999999999999998"/>
    <m/>
    <m/>
    <m/>
    <n v="0.5"/>
    <n v="0.16650000000000001"/>
    <m/>
    <m/>
    <m/>
    <m/>
    <m/>
    <m/>
    <n v="2.966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MASIADILY"/>
    <m/>
    <m/>
    <n v="184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AMBOAIDO"/>
    <m/>
    <m/>
    <n v="216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ANJAMAROTEA"/>
    <m/>
    <m/>
    <n v="177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EPP ANKILIMIVORY"/>
    <m/>
    <m/>
    <n v="439"/>
    <m/>
    <x v="3"/>
    <s v="HGSF"/>
    <m/>
    <n v="3"/>
    <m/>
    <m/>
    <m/>
    <n v="0.15"/>
    <n v="0.21149999999999999"/>
    <m/>
    <m/>
    <m/>
    <m/>
    <m/>
    <m/>
    <m/>
    <n v="969663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mivory"/>
    <s v="REKOSO"/>
    <m/>
    <m/>
    <n v="223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AMPAMORITA"/>
    <m/>
    <m/>
    <n v="188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ANALAMATEZA-BAS"/>
    <m/>
    <m/>
    <n v="161"/>
    <m/>
    <x v="1"/>
    <s v="classique"/>
    <m/>
    <n v="1.05"/>
    <m/>
    <m/>
    <m/>
    <n v="0.25"/>
    <n v="7.1999999999999995E-2"/>
    <m/>
    <m/>
    <m/>
    <m/>
    <m/>
    <m/>
    <n v="1.372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MAROVAHO"/>
    <m/>
    <m/>
    <n v="148"/>
    <m/>
    <x v="1"/>
    <s v="classique"/>
    <m/>
    <n v="0.95"/>
    <m/>
    <m/>
    <m/>
    <n v="0.2"/>
    <n v="6.7500000000000004E-2"/>
    <m/>
    <m/>
    <m/>
    <m/>
    <m/>
    <m/>
    <n v="1.217499999999999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BEKAKO-NORD"/>
    <m/>
    <m/>
    <n v="235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SAKAMASAY"/>
    <m/>
    <m/>
    <n v="170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ANDRANOLAVA"/>
    <m/>
    <m/>
    <n v="188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EMALO"/>
    <m/>
    <m/>
    <n v="174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zato"/>
    <s v="ANALAMATEZA-HAUT"/>
    <m/>
    <m/>
    <n v="194"/>
    <m/>
    <x v="1"/>
    <s v="classique"/>
    <m/>
    <n v="1.3"/>
    <m/>
    <m/>
    <m/>
    <n v="0.3"/>
    <n v="0.09"/>
    <m/>
    <m/>
    <m/>
    <m/>
    <m/>
    <m/>
    <n v="1.690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NTANAMAEVA"/>
    <m/>
    <m/>
    <n v="262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BEAVAKE I"/>
    <m/>
    <m/>
    <n v="279"/>
    <m/>
    <x v="1"/>
    <s v="classique"/>
    <m/>
    <n v="1.9"/>
    <m/>
    <m/>
    <m/>
    <n v="0.45"/>
    <n v="0.13500000000000001"/>
    <m/>
    <m/>
    <m/>
    <m/>
    <m/>
    <m/>
    <n v="2.485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BEDEBOKE"/>
    <m/>
    <m/>
    <n v="414"/>
    <m/>
    <x v="1"/>
    <s v="classique"/>
    <m/>
    <n v="2.8"/>
    <m/>
    <m/>
    <m/>
    <n v="0.65"/>
    <n v="0.19800000000000001"/>
    <m/>
    <m/>
    <m/>
    <m/>
    <m/>
    <m/>
    <n v="3.647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PINJO II"/>
    <m/>
    <m/>
    <n v="346"/>
    <m/>
    <x v="1"/>
    <s v="classique"/>
    <m/>
    <n v="2.4"/>
    <m/>
    <m/>
    <m/>
    <n v="0.55000000000000004"/>
    <n v="0.17100000000000001"/>
    <m/>
    <m/>
    <m/>
    <m/>
    <m/>
    <m/>
    <n v="3.12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VOHIBE"/>
    <m/>
    <m/>
    <n v="288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MBATOMAINTY"/>
    <m/>
    <m/>
    <n v="370"/>
    <m/>
    <x v="1"/>
    <s v="classique"/>
    <m/>
    <n v="2.4500000000000002"/>
    <m/>
    <m/>
    <m/>
    <n v="0.55000000000000004"/>
    <n v="0.17549999999999999"/>
    <m/>
    <m/>
    <m/>
    <m/>
    <m/>
    <m/>
    <n v="3.175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NTALY"/>
    <m/>
    <m/>
    <n v="298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ra"/>
    <s v="BEARA"/>
    <m/>
    <m/>
    <n v="232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ra"/>
    <s v="BEAVAKE I"/>
    <m/>
    <m/>
    <n v="230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BELAMOTY"/>
    <m/>
    <m/>
    <n v="367"/>
    <m/>
    <x v="1"/>
    <s v="classique"/>
    <m/>
    <n v="2.4500000000000002"/>
    <m/>
    <m/>
    <m/>
    <n v="0.55000000000000004"/>
    <n v="0.17100000000000001"/>
    <m/>
    <m/>
    <m/>
    <m/>
    <m/>
    <m/>
    <n v="3.170999999999999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EPP BESALY BAS"/>
    <m/>
    <m/>
    <n v="369"/>
    <m/>
    <x v="3"/>
    <s v="HGSF"/>
    <m/>
    <n v="2.4500000000000002"/>
    <m/>
    <m/>
    <m/>
    <n v="0.15"/>
    <n v="0.17549999999999999"/>
    <m/>
    <m/>
    <m/>
    <m/>
    <m/>
    <m/>
    <m/>
    <n v="815047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PINJO I"/>
    <m/>
    <m/>
    <n v="308"/>
    <m/>
    <x v="1"/>
    <s v="classique"/>
    <m/>
    <n v="2.1"/>
    <m/>
    <m/>
    <m/>
    <n v="0.5"/>
    <n v="0.153"/>
    <m/>
    <m/>
    <m/>
    <m/>
    <m/>
    <m/>
    <n v="2.753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SATRAPOTSY HAUT"/>
    <m/>
    <m/>
    <n v="194"/>
    <m/>
    <x v="3"/>
    <s v="HGSF"/>
    <m/>
    <n v="1.2"/>
    <m/>
    <m/>
    <m/>
    <n v="0.1"/>
    <n v="8.5500000000000007E-2"/>
    <m/>
    <m/>
    <m/>
    <m/>
    <m/>
    <m/>
    <m/>
    <n v="4200497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MBATOMAINTY ANAVIAVY"/>
    <m/>
    <m/>
    <n v="213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NTANIMENA"/>
    <m/>
    <m/>
    <n v="232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taly"/>
    <s v="AMPIHA"/>
    <m/>
    <m/>
    <n v="223"/>
    <m/>
    <x v="1"/>
    <s v="classique"/>
    <m/>
    <n v="1.5"/>
    <m/>
    <m/>
    <m/>
    <n v="0.35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AMBATOVAKY-HAUT"/>
    <m/>
    <m/>
    <n v="187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BELOLO-BAS"/>
    <m/>
    <m/>
    <n v="290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MIKAIKARIVO"/>
    <m/>
    <m/>
    <n v="276"/>
    <m/>
    <x v="1"/>
    <s v="classique"/>
    <m/>
    <n v="1.75"/>
    <m/>
    <m/>
    <m/>
    <n v="0.4"/>
    <n v="0.1215"/>
    <m/>
    <m/>
    <m/>
    <m/>
    <m/>
    <m/>
    <n v="2.271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TRATRIOTSE-KANDE"/>
    <m/>
    <m/>
    <n v="214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AMPAMATA"/>
    <m/>
    <m/>
    <n v="351"/>
    <m/>
    <x v="1"/>
    <s v="classique"/>
    <m/>
    <n v="2.5"/>
    <m/>
    <m/>
    <m/>
    <n v="0.55000000000000004"/>
    <n v="0.18"/>
    <m/>
    <m/>
    <m/>
    <m/>
    <m/>
    <m/>
    <n v="3.2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BELAFIKE HAUT"/>
    <m/>
    <m/>
    <n v="310"/>
    <m/>
    <x v="1"/>
    <s v="classique"/>
    <m/>
    <n v="2"/>
    <m/>
    <m/>
    <m/>
    <n v="0.45"/>
    <n v="0.13950000000000001"/>
    <m/>
    <m/>
    <m/>
    <m/>
    <m/>
    <m/>
    <n v="2.589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BEADALA BAS"/>
    <m/>
    <m/>
    <n v="231"/>
    <m/>
    <x v="1"/>
    <s v="classique"/>
    <m/>
    <n v="1.5"/>
    <m/>
    <m/>
    <m/>
    <n v="0.35"/>
    <n v="0.10349999999999999"/>
    <m/>
    <m/>
    <m/>
    <m/>
    <m/>
    <m/>
    <n v="1.953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BELAFIKE BAS"/>
    <m/>
    <m/>
    <n v="229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lafike Haut"/>
    <s v="TRATRIOTSE-BAS"/>
    <m/>
    <m/>
    <n v="237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AMBONIARIVO"/>
    <m/>
    <m/>
    <n v="267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EPP AMPANDRAMBE ANIVORANO"/>
    <m/>
    <m/>
    <n v="236"/>
    <m/>
    <x v="3"/>
    <s v="HGSF"/>
    <m/>
    <n v="1.5"/>
    <m/>
    <m/>
    <m/>
    <n v="0.1"/>
    <n v="0.108"/>
    <m/>
    <m/>
    <m/>
    <m/>
    <m/>
    <m/>
    <m/>
    <n v="521276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BELOBAKA NORD"/>
    <m/>
    <m/>
    <n v="313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BEROY SUD"/>
    <m/>
    <m/>
    <n v="380"/>
    <m/>
    <x v="1"/>
    <s v="classique"/>
    <m/>
    <n v="2.5499999999999998"/>
    <m/>
    <m/>
    <m/>
    <n v="0.6"/>
    <n v="0.18"/>
    <m/>
    <m/>
    <m/>
    <m/>
    <m/>
    <m/>
    <n v="3.3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BEROY NORD TANANDAVA"/>
    <m/>
    <m/>
    <n v="343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roy Sud"/>
    <s v="AMBATOMITIKITSE"/>
    <m/>
    <m/>
    <n v="131"/>
    <m/>
    <x v="1"/>
    <s v="classique"/>
    <m/>
    <n v="0.85"/>
    <m/>
    <m/>
    <m/>
    <n v="0.2"/>
    <n v="6.3E-2"/>
    <m/>
    <m/>
    <m/>
    <m/>
    <m/>
    <m/>
    <n v="1.11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AMBATOKAPEKE EJEDA"/>
    <m/>
    <m/>
    <n v="215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ECOLE COMMUNAUTAIRE ANKILIMIDEGA"/>
    <m/>
    <m/>
    <n v="276"/>
    <m/>
    <x v="3"/>
    <s v="HGSF"/>
    <m/>
    <n v="1.95"/>
    <m/>
    <m/>
    <m/>
    <n v="0.1"/>
    <n v="0.13500000000000001"/>
    <m/>
    <m/>
    <m/>
    <m/>
    <m/>
    <m/>
    <m/>
    <n v="609628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ECOLE COMMUNAUTAIRE ANTANANONDATY"/>
    <m/>
    <m/>
    <n v="276"/>
    <m/>
    <x v="3"/>
    <s v="HGSF"/>
    <m/>
    <n v="2.0499999999999998"/>
    <m/>
    <m/>
    <m/>
    <n v="0.1"/>
    <n v="0.14399999999999999"/>
    <m/>
    <m/>
    <m/>
    <m/>
    <m/>
    <m/>
    <m/>
    <n v="609628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ANTSEVASEVA ANKILIMALANGE"/>
    <m/>
    <m/>
    <n v="202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BEHAZONDREGNETSE"/>
    <m/>
    <m/>
    <n v="221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ECOLE COMMUNAUTAIRE BEKILY"/>
    <m/>
    <m/>
    <n v="253"/>
    <m/>
    <x v="3"/>
    <s v="HGSF"/>
    <m/>
    <n v="1.8"/>
    <m/>
    <m/>
    <m/>
    <n v="0.1"/>
    <n v="0.126"/>
    <m/>
    <m/>
    <m/>
    <m/>
    <m/>
    <m/>
    <m/>
    <n v="558826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ESIFAKE"/>
    <m/>
    <m/>
    <n v="327"/>
    <m/>
    <x v="1"/>
    <s v="classique"/>
    <m/>
    <n v="2.35"/>
    <m/>
    <m/>
    <m/>
    <n v="0.55000000000000004"/>
    <n v="0.17100000000000001"/>
    <m/>
    <m/>
    <m/>
    <m/>
    <m/>
    <m/>
    <n v="3.0710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FARAFATSE"/>
    <m/>
    <m/>
    <n v="322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MATAVE NORD"/>
    <m/>
    <m/>
    <n v="336"/>
    <m/>
    <x v="1"/>
    <s v="classique"/>
    <m/>
    <n v="2.6"/>
    <m/>
    <m/>
    <m/>
    <n v="0.6"/>
    <n v="0.1845"/>
    <m/>
    <m/>
    <m/>
    <m/>
    <m/>
    <m/>
    <n v="3.38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TRANOMBORO"/>
    <m/>
    <m/>
    <n v="276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AMBATOVAKY CENTRE"/>
    <m/>
    <m/>
    <n v="487"/>
    <m/>
    <x v="3"/>
    <s v="HGSF"/>
    <m/>
    <n v="3.55"/>
    <m/>
    <m/>
    <m/>
    <n v="0.2"/>
    <n v="0.252"/>
    <m/>
    <m/>
    <m/>
    <m/>
    <m/>
    <m/>
    <m/>
    <n v="1075685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ANKAZOTA"/>
    <m/>
    <m/>
    <n v="436"/>
    <m/>
    <x v="1"/>
    <s v="classique"/>
    <m/>
    <n v="3"/>
    <m/>
    <m/>
    <m/>
    <n v="0.65"/>
    <n v="0.216"/>
    <m/>
    <m/>
    <m/>
    <m/>
    <m/>
    <m/>
    <n v="3.866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ANKOZOHOZO"/>
    <m/>
    <m/>
    <n v="447"/>
    <m/>
    <x v="1"/>
    <s v="classique"/>
    <m/>
    <n v="3.25"/>
    <m/>
    <m/>
    <m/>
    <n v="0.7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EPP BEKINAGNA"/>
    <m/>
    <m/>
    <n v="322"/>
    <m/>
    <x v="3"/>
    <s v="HGSF"/>
    <m/>
    <n v="2.25"/>
    <m/>
    <m/>
    <m/>
    <n v="0.15"/>
    <n v="0.1575"/>
    <m/>
    <m/>
    <m/>
    <m/>
    <m/>
    <m/>
    <m/>
    <n v="711233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EPP EJEDA"/>
    <m/>
    <m/>
    <n v="1194"/>
    <m/>
    <x v="3"/>
    <s v="HGSF"/>
    <m/>
    <n v="8.3000000000000007"/>
    <m/>
    <m/>
    <m/>
    <n v="0.4"/>
    <n v="0.58950000000000002"/>
    <m/>
    <m/>
    <m/>
    <m/>
    <m/>
    <m/>
    <m/>
    <n v="2637307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MANAKARAVAVY"/>
    <m/>
    <m/>
    <n v="413"/>
    <m/>
    <x v="3"/>
    <s v="HGSF"/>
    <m/>
    <n v="3.2"/>
    <m/>
    <m/>
    <m/>
    <n v="0.15"/>
    <n v="0.22500000000000001"/>
    <m/>
    <m/>
    <m/>
    <m/>
    <m/>
    <m/>
    <m/>
    <n v="912079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MAROVAHATSE"/>
    <m/>
    <m/>
    <n v="258"/>
    <m/>
    <x v="3"/>
    <s v="HGSF"/>
    <m/>
    <n v="1.9"/>
    <m/>
    <m/>
    <m/>
    <n v="0.1"/>
    <n v="0.13500000000000001"/>
    <m/>
    <m/>
    <m/>
    <m/>
    <m/>
    <m/>
    <m/>
    <n v="569830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ANIVORANO"/>
    <m/>
    <m/>
    <n v="286"/>
    <m/>
    <x v="3"/>
    <s v="HGSF"/>
    <m/>
    <n v="2.0499999999999998"/>
    <m/>
    <m/>
    <m/>
    <n v="0.1"/>
    <n v="0.14849999999999999"/>
    <m/>
    <m/>
    <m/>
    <m/>
    <m/>
    <m/>
    <m/>
    <n v="631716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MITSORIAKE SUD"/>
    <m/>
    <m/>
    <n v="412"/>
    <m/>
    <x v="3"/>
    <s v="HGSF"/>
    <m/>
    <n v="2.9"/>
    <m/>
    <m/>
    <m/>
    <n v="0.15"/>
    <n v="0.20699999999999999"/>
    <m/>
    <m/>
    <m/>
    <m/>
    <m/>
    <m/>
    <m/>
    <n v="9072461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TANANDAVA"/>
    <m/>
    <m/>
    <n v="260"/>
    <m/>
    <x v="3"/>
    <s v="HGSF"/>
    <m/>
    <n v="2"/>
    <m/>
    <m/>
    <m/>
    <n v="0.1"/>
    <n v="0.14399999999999999"/>
    <m/>
    <m/>
    <m/>
    <m/>
    <m/>
    <m/>
    <m/>
    <n v="569495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BEVIRO"/>
    <m/>
    <m/>
    <n v="318"/>
    <m/>
    <x v="1"/>
    <s v="classique"/>
    <m/>
    <n v="2.15"/>
    <m/>
    <m/>
    <m/>
    <n v="0.45"/>
    <n v="0.153"/>
    <m/>
    <m/>
    <m/>
    <m/>
    <m/>
    <m/>
    <n v="2.753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I"/>
    <s v="ANJAMIVARO"/>
    <m/>
    <m/>
    <n v="266"/>
    <m/>
    <x v="1"/>
    <s v="classique"/>
    <m/>
    <n v="1.85"/>
    <m/>
    <m/>
    <m/>
    <n v="0.4"/>
    <n v="0.1305"/>
    <m/>
    <m/>
    <m/>
    <m/>
    <m/>
    <m/>
    <n v="2.380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MANAKARALAHY"/>
    <m/>
    <m/>
    <n v="434"/>
    <m/>
    <x v="3"/>
    <s v="HGSF"/>
    <m/>
    <n v="3.2"/>
    <m/>
    <m/>
    <m/>
    <n v="0.15"/>
    <n v="0.22950000000000001"/>
    <m/>
    <m/>
    <m/>
    <m/>
    <m/>
    <m/>
    <m/>
    <n v="958606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ANTALY"/>
    <m/>
    <m/>
    <n v="385"/>
    <m/>
    <x v="1"/>
    <s v="classique"/>
    <m/>
    <n v="2.95"/>
    <m/>
    <m/>
    <m/>
    <n v="0.65"/>
    <n v="0.21149999999999999"/>
    <m/>
    <m/>
    <m/>
    <m/>
    <m/>
    <m/>
    <n v="3.811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MBILANY HAUT"/>
    <m/>
    <m/>
    <n v="145"/>
    <m/>
    <x v="3"/>
    <s v="HGSF"/>
    <m/>
    <n v="0.95"/>
    <m/>
    <m/>
    <m/>
    <n v="0.05"/>
    <n v="6.7500000000000004E-2"/>
    <m/>
    <m/>
    <m/>
    <m/>
    <m/>
    <m/>
    <m/>
    <n v="320046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ANKILIMALANGY"/>
    <m/>
    <m/>
    <n v="136"/>
    <m/>
    <x v="3"/>
    <s v="HGSF"/>
    <m/>
    <n v="0.85"/>
    <m/>
    <m/>
    <m/>
    <n v="0.05"/>
    <n v="5.8500000000000003E-2"/>
    <m/>
    <m/>
    <m/>
    <m/>
    <m/>
    <m/>
    <m/>
    <n v="300351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BEAMPEMBA"/>
    <m/>
    <m/>
    <n v="211"/>
    <m/>
    <x v="3"/>
    <s v="HGSF"/>
    <m/>
    <n v="1.25"/>
    <m/>
    <m/>
    <m/>
    <n v="0.1"/>
    <n v="0.09"/>
    <m/>
    <m/>
    <m/>
    <m/>
    <m/>
    <m/>
    <m/>
    <n v="465086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BESAKOA"/>
    <m/>
    <m/>
    <n v="257"/>
    <m/>
    <x v="3"/>
    <s v="HGSF"/>
    <m/>
    <n v="1.65"/>
    <m/>
    <m/>
    <m/>
    <n v="0.1"/>
    <n v="0.11700000000000001"/>
    <m/>
    <m/>
    <m/>
    <m/>
    <m/>
    <m/>
    <m/>
    <n v="567661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BETSINEFO ANDRANOMIBOA"/>
    <m/>
    <m/>
    <n v="211"/>
    <m/>
    <x v="3"/>
    <s v="HGSF"/>
    <m/>
    <n v="1.25"/>
    <m/>
    <m/>
    <m/>
    <n v="0.1"/>
    <n v="0.09"/>
    <m/>
    <m/>
    <m/>
    <m/>
    <m/>
    <m/>
    <m/>
    <n v="461676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COLE COMMUNAUTAIRE SONJORANO"/>
    <m/>
    <m/>
    <n v="154"/>
    <m/>
    <x v="3"/>
    <s v="HGSF"/>
    <m/>
    <n v="0.85"/>
    <m/>
    <m/>
    <m/>
    <n v="0.1"/>
    <n v="5.8500000000000003E-2"/>
    <m/>
    <m/>
    <m/>
    <m/>
    <m/>
    <m/>
    <m/>
    <n v="340155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avoha"/>
    <s v="TANANDAVA"/>
    <m/>
    <m/>
    <n v="25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AMBATOBE"/>
    <m/>
    <m/>
    <n v="160"/>
    <m/>
    <x v="3"/>
    <s v="HGSF"/>
    <m/>
    <n v="1"/>
    <m/>
    <m/>
    <m/>
    <n v="0.1"/>
    <n v="7.1999999999999995E-2"/>
    <m/>
    <m/>
    <m/>
    <m/>
    <m/>
    <m/>
    <m/>
    <n v="353408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ANALABE"/>
    <m/>
    <m/>
    <n v="307"/>
    <m/>
    <x v="3"/>
    <s v="HGSF"/>
    <m/>
    <n v="1.95"/>
    <m/>
    <m/>
    <m/>
    <n v="0.15"/>
    <n v="0.13950000000000001"/>
    <m/>
    <m/>
    <m/>
    <m/>
    <m/>
    <m/>
    <m/>
    <n v="675701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NALAPANGITSY"/>
    <m/>
    <m/>
    <n v="145"/>
    <m/>
    <x v="3"/>
    <s v="HGSF"/>
    <m/>
    <n v="0.95"/>
    <m/>
    <m/>
    <m/>
    <n v="0.05"/>
    <n v="6.7500000000000004E-2"/>
    <m/>
    <m/>
    <m/>
    <m/>
    <m/>
    <m/>
    <m/>
    <n v="3201815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avoha"/>
    <s v="ANAVOHA"/>
    <m/>
    <m/>
    <n v="271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NDRANOMASY HAUT"/>
    <m/>
    <m/>
    <n v="148"/>
    <m/>
    <x v="3"/>
    <s v="HGSF"/>
    <m/>
    <n v="1"/>
    <m/>
    <m/>
    <m/>
    <n v="0.05"/>
    <n v="7.1999999999999995E-2"/>
    <m/>
    <m/>
    <m/>
    <m/>
    <m/>
    <m/>
    <m/>
    <n v="323368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NDRANOTSIRIRY"/>
    <m/>
    <m/>
    <n v="241"/>
    <m/>
    <x v="3"/>
    <s v="HGSF"/>
    <m/>
    <n v="1.55"/>
    <m/>
    <m/>
    <m/>
    <n v="0.1"/>
    <n v="0.1125"/>
    <m/>
    <m/>
    <m/>
    <m/>
    <m/>
    <m/>
    <m/>
    <n v="532320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NIVORANO-I"/>
    <m/>
    <m/>
    <n v="252"/>
    <m/>
    <x v="3"/>
    <s v="HGSF"/>
    <m/>
    <n v="1.65"/>
    <m/>
    <m/>
    <m/>
    <n v="0.1"/>
    <n v="0.11700000000000001"/>
    <m/>
    <m/>
    <m/>
    <m/>
    <m/>
    <m/>
    <m/>
    <n v="556617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MORAFENO BEAMALO"/>
    <m/>
    <m/>
    <n v="102"/>
    <m/>
    <x v="1"/>
    <s v="classique"/>
    <m/>
    <n v="0.55000000000000004"/>
    <m/>
    <m/>
    <m/>
    <n v="0"/>
    <n v="3.5999999999999997E-2"/>
    <m/>
    <m/>
    <m/>
    <m/>
    <m/>
    <m/>
    <n v="0.5860000000000000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BELINJO I"/>
    <m/>
    <m/>
    <n v="228"/>
    <m/>
    <x v="3"/>
    <s v="HGSF"/>
    <m/>
    <n v="1.45"/>
    <m/>
    <m/>
    <m/>
    <n v="0.1"/>
    <n v="0.10349999999999999"/>
    <m/>
    <m/>
    <m/>
    <m/>
    <m/>
    <m/>
    <m/>
    <n v="503606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BETEZA BAS"/>
    <m/>
    <m/>
    <n v="171"/>
    <m/>
    <x v="3"/>
    <s v="HGSF"/>
    <m/>
    <n v="1.05"/>
    <m/>
    <m/>
    <m/>
    <n v="0.1"/>
    <n v="7.6499999999999999E-2"/>
    <m/>
    <m/>
    <m/>
    <m/>
    <m/>
    <m/>
    <m/>
    <n v="377704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BEVARO FOTADREVO"/>
    <m/>
    <m/>
    <n v="153"/>
    <m/>
    <x v="3"/>
    <s v="HGSF"/>
    <m/>
    <n v="0.9"/>
    <m/>
    <m/>
    <m/>
    <n v="0.1"/>
    <n v="6.3E-2"/>
    <m/>
    <m/>
    <m/>
    <m/>
    <m/>
    <m/>
    <m/>
    <n v="332656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FOTADREVO"/>
    <m/>
    <m/>
    <n v="896"/>
    <m/>
    <x v="3"/>
    <s v="HGSF"/>
    <m/>
    <n v="5.5"/>
    <m/>
    <m/>
    <m/>
    <n v="0.3"/>
    <n v="0.39150000000000001"/>
    <m/>
    <m/>
    <m/>
    <m/>
    <m/>
    <m/>
    <m/>
    <n v="1979084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PP SETA I"/>
    <m/>
    <m/>
    <n v="174"/>
    <m/>
    <x v="3"/>
    <s v="HGSF"/>
    <m/>
    <n v="1.1000000000000001"/>
    <m/>
    <m/>
    <m/>
    <n v="0.1"/>
    <n v="7.6499999999999999E-2"/>
    <m/>
    <m/>
    <m/>
    <m/>
    <m/>
    <m/>
    <m/>
    <n v="383141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SETA-II"/>
    <m/>
    <m/>
    <n v="251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TSIKOAKAHITSE"/>
    <m/>
    <m/>
    <n v="203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COLE COMMUNAUTAIRE ANKILIABO"/>
    <m/>
    <m/>
    <n v="166"/>
    <m/>
    <x v="3"/>
    <s v="HGSF"/>
    <m/>
    <n v="1.05"/>
    <m/>
    <m/>
    <m/>
    <n v="0.1"/>
    <n v="7.1999999999999995E-2"/>
    <m/>
    <m/>
    <m/>
    <m/>
    <m/>
    <m/>
    <m/>
    <n v="366660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SAKOANABO BAS"/>
    <m/>
    <m/>
    <n v="299"/>
    <m/>
    <x v="3"/>
    <s v="HGSF"/>
    <m/>
    <n v="2"/>
    <m/>
    <m/>
    <m/>
    <n v="0.1"/>
    <n v="0.14399999999999999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ECOLE COMMUNAUTAIRE ANDRANOMOLITSE HAUT"/>
    <m/>
    <m/>
    <n v="267"/>
    <m/>
    <x v="3"/>
    <s v="HGSF"/>
    <m/>
    <n v="1.75"/>
    <m/>
    <m/>
    <m/>
    <n v="0.1"/>
    <n v="0.126"/>
    <m/>
    <m/>
    <m/>
    <m/>
    <m/>
    <m/>
    <m/>
    <n v="589359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Fotadrevo"/>
    <s v="ANKILIFOLO"/>
    <m/>
    <m/>
    <n v="202"/>
    <m/>
    <x v="3"/>
    <s v="HGSF"/>
    <m/>
    <n v="1.3"/>
    <m/>
    <m/>
    <m/>
    <n v="0.1"/>
    <n v="9.4500000000000001E-2"/>
    <m/>
    <m/>
    <m/>
    <m/>
    <m/>
    <m/>
    <m/>
    <n v="445374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ECOLE COMMUNAUTAIRE TAOLAMBOSITRA"/>
    <m/>
    <m/>
    <n v="187"/>
    <m/>
    <x v="3"/>
    <s v="HGSF"/>
    <m/>
    <n v="1.25"/>
    <m/>
    <m/>
    <m/>
    <n v="0.1"/>
    <n v="0.09"/>
    <m/>
    <m/>
    <m/>
    <m/>
    <m/>
    <m/>
    <m/>
    <n v="413045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AMBONDROKILY"/>
    <m/>
    <m/>
    <n v="192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AMBORINABO"/>
    <m/>
    <m/>
    <n v="198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ANAMONTA"/>
    <m/>
    <m/>
    <n v="272"/>
    <m/>
    <x v="1"/>
    <s v="classique"/>
    <m/>
    <n v="1.75"/>
    <m/>
    <m/>
    <m/>
    <n v="0.4"/>
    <n v="0.126"/>
    <m/>
    <m/>
    <m/>
    <m/>
    <m/>
    <m/>
    <n v="2.275999999999999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ANKILIMASY"/>
    <m/>
    <m/>
    <n v="210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ANKILINDREHOZOKE"/>
    <m/>
    <m/>
    <n v="177"/>
    <m/>
    <x v="1"/>
    <s v="classique"/>
    <m/>
    <n v="1.1000000000000001"/>
    <m/>
    <m/>
    <m/>
    <n v="0.25"/>
    <n v="8.1000000000000003E-2"/>
    <m/>
    <m/>
    <m/>
    <m/>
    <m/>
    <m/>
    <n v="1.43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GOGOGOGO"/>
    <m/>
    <m/>
    <n v="351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BETONAKE"/>
    <m/>
    <m/>
    <n v="186"/>
    <m/>
    <x v="1"/>
    <s v="classique"/>
    <m/>
    <n v="1.25"/>
    <m/>
    <m/>
    <m/>
    <n v="0.3"/>
    <n v="8.5500000000000007E-2"/>
    <m/>
    <m/>
    <m/>
    <m/>
    <m/>
    <m/>
    <n v="1.635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GOGOGOGO"/>
    <s v="EPP SATRAPOTSY MILANJA"/>
    <m/>
    <m/>
    <n v="141"/>
    <m/>
    <x v="3"/>
    <s v="HGSF"/>
    <m/>
    <n v="0.9"/>
    <m/>
    <m/>
    <m/>
    <n v="0.05"/>
    <n v="6.3E-2"/>
    <m/>
    <m/>
    <m/>
    <m/>
    <m/>
    <m/>
    <m/>
    <n v="311440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NDRANOVAO"/>
    <m/>
    <m/>
    <n v="473"/>
    <m/>
    <x v="1"/>
    <s v="classique"/>
    <m/>
    <n v="2.9"/>
    <m/>
    <m/>
    <m/>
    <n v="0.65"/>
    <n v="0.20699999999999999"/>
    <m/>
    <m/>
    <m/>
    <m/>
    <m/>
    <m/>
    <n v="3.756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BESAVAVY NORD"/>
    <m/>
    <m/>
    <n v="250"/>
    <m/>
    <x v="1"/>
    <s v="classique"/>
    <m/>
    <n v="1.55"/>
    <m/>
    <m/>
    <m/>
    <n v="0.35"/>
    <n v="0.108"/>
    <m/>
    <m/>
    <m/>
    <m/>
    <m/>
    <m/>
    <n v="2.00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EKORITSIKE M"/>
    <m/>
    <m/>
    <n v="369"/>
    <m/>
    <x v="1"/>
    <s v="classique"/>
    <m/>
    <n v="2.25"/>
    <m/>
    <m/>
    <m/>
    <n v="0.5"/>
    <n v="0.1575"/>
    <m/>
    <m/>
    <m/>
    <m/>
    <m/>
    <m/>
    <n v="2.9075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TSIANDRIONA-SUD"/>
    <m/>
    <m/>
    <n v="601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MBALABE BEAVOHA"/>
    <m/>
    <m/>
    <n v="345"/>
    <m/>
    <x v="3"/>
    <s v="hybride"/>
    <m/>
    <n v="2.0499999999999998"/>
    <m/>
    <m/>
    <m/>
    <n v="0.15"/>
    <n v="0.14399999999999999"/>
    <m/>
    <m/>
    <m/>
    <m/>
    <m/>
    <m/>
    <m/>
    <n v="762036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AMBALATSIMIVIKE"/>
    <m/>
    <m/>
    <n v="568"/>
    <m/>
    <x v="1"/>
    <s v="classique"/>
    <m/>
    <n v="3.6"/>
    <m/>
    <m/>
    <m/>
    <n v="0.8"/>
    <n v="0.25650000000000001"/>
    <m/>
    <m/>
    <m/>
    <m/>
    <m/>
    <m/>
    <n v="4.656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Ejeda I"/>
    <s v="AMPITANAKE"/>
    <m/>
    <m/>
    <n v="297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ANDROIMPANO"/>
    <m/>
    <m/>
    <n v="432"/>
    <m/>
    <x v="1"/>
    <s v="classique"/>
    <m/>
    <n v="3.05"/>
    <m/>
    <m/>
    <m/>
    <n v="0.65"/>
    <n v="0.216"/>
    <m/>
    <m/>
    <m/>
    <m/>
    <m/>
    <m/>
    <n v="3.915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BEFOLOTSE"/>
    <m/>
    <m/>
    <n v="441"/>
    <m/>
    <x v="1"/>
    <s v="classique"/>
    <m/>
    <n v="2.8"/>
    <m/>
    <m/>
    <m/>
    <n v="0.65"/>
    <n v="0.19800000000000001"/>
    <m/>
    <m/>
    <m/>
    <m/>
    <m/>
    <m/>
    <n v="3.647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BEMANATEZA-HAUT"/>
    <m/>
    <m/>
    <n v="283"/>
    <m/>
    <x v="1"/>
    <s v="classique"/>
    <m/>
    <n v="1.8"/>
    <m/>
    <m/>
    <m/>
    <n v="0.4"/>
    <n v="0.126"/>
    <m/>
    <m/>
    <m/>
    <m/>
    <m/>
    <m/>
    <n v="2.326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BESASAVY SUD"/>
    <m/>
    <m/>
    <n v="243"/>
    <m/>
    <x v="3"/>
    <s v="hybride"/>
    <m/>
    <n v="1.45"/>
    <m/>
    <m/>
    <m/>
    <n v="0.1"/>
    <n v="0.10349999999999999"/>
    <m/>
    <m/>
    <m/>
    <m/>
    <m/>
    <m/>
    <m/>
    <n v="446738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BETRATRATRA"/>
    <m/>
    <m/>
    <n v="435"/>
    <m/>
    <x v="1"/>
    <s v="classique"/>
    <m/>
    <n v="2.85"/>
    <m/>
    <m/>
    <m/>
    <n v="0.65"/>
    <n v="0.20250000000000001"/>
    <m/>
    <m/>
    <m/>
    <m/>
    <m/>
    <m/>
    <n v="3.702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ZOENARIVO BEVALA"/>
    <m/>
    <m/>
    <n v="305"/>
    <m/>
    <x v="3"/>
    <s v="hybride"/>
    <m/>
    <n v="1.75"/>
    <m/>
    <m/>
    <m/>
    <n v="0.15"/>
    <n v="0.126"/>
    <m/>
    <m/>
    <m/>
    <m/>
    <m/>
    <m/>
    <m/>
    <n v="668684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impano"/>
    <s v="BESELY-NORD"/>
    <m/>
    <m/>
    <n v="620"/>
    <m/>
    <x v="1"/>
    <s v="classique"/>
    <m/>
    <n v="4"/>
    <m/>
    <m/>
    <m/>
    <n v="0.9"/>
    <n v="0.28799999999999998"/>
    <m/>
    <m/>
    <m/>
    <m/>
    <m/>
    <m/>
    <n v="5.1880000000000006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EPP ITAMPOLO"/>
    <m/>
    <m/>
    <n v="544"/>
    <m/>
    <x v="3"/>
    <s v="HGSF"/>
    <m/>
    <n v="3.3"/>
    <m/>
    <m/>
    <m/>
    <n v="0.2"/>
    <n v="0.23400000000000001"/>
    <m/>
    <m/>
    <m/>
    <m/>
    <m/>
    <m/>
    <m/>
    <n v="11938183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TONGAENORO"/>
    <m/>
    <m/>
    <n v="353"/>
    <m/>
    <x v="3"/>
    <s v="hybride"/>
    <m/>
    <n v="2.1"/>
    <m/>
    <m/>
    <m/>
    <n v="0.15"/>
    <n v="0.14849999999999999"/>
    <m/>
    <m/>
    <m/>
    <m/>
    <m/>
    <m/>
    <m/>
    <n v="755366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VOMBE"/>
    <m/>
    <m/>
    <n v="303"/>
    <m/>
    <x v="3"/>
    <s v="hybride"/>
    <m/>
    <n v="1.75"/>
    <m/>
    <m/>
    <m/>
    <n v="0.1"/>
    <n v="0.1215"/>
    <m/>
    <m/>
    <m/>
    <m/>
    <m/>
    <m/>
    <m/>
    <n v="669266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NKAZOABO"/>
    <m/>
    <m/>
    <n v="290"/>
    <m/>
    <x v="1"/>
    <s v="classique"/>
    <m/>
    <n v="1.85"/>
    <m/>
    <m/>
    <m/>
    <n v="0.45"/>
    <n v="0.1305"/>
    <m/>
    <m/>
    <m/>
    <m/>
    <m/>
    <m/>
    <n v="2.430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BC DOMINO Ankilibory"/>
    <m/>
    <m/>
    <n v="533"/>
    <m/>
    <x v="1"/>
    <s v="classique"/>
    <m/>
    <n v="3.2"/>
    <m/>
    <m/>
    <m/>
    <n v="0.75"/>
    <n v="0.22950000000000001"/>
    <m/>
    <m/>
    <m/>
    <m/>
    <m/>
    <m/>
    <n v="4.179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BC DOMINO Belitsaka"/>
    <m/>
    <m/>
    <n v="381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AMBAHOTERA"/>
    <m/>
    <m/>
    <n v="213"/>
    <m/>
    <x v="3"/>
    <s v="HGSF"/>
    <m/>
    <n v="1.6"/>
    <m/>
    <m/>
    <m/>
    <n v="0.1"/>
    <n v="0.1125"/>
    <m/>
    <m/>
    <m/>
    <m/>
    <m/>
    <m/>
    <m/>
    <n v="470473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BEKILY-CENTRE"/>
    <m/>
    <m/>
    <n v="213"/>
    <m/>
    <x v="3"/>
    <s v="HGSF"/>
    <m/>
    <n v="1.6"/>
    <m/>
    <m/>
    <m/>
    <n v="0.1"/>
    <n v="0.1125"/>
    <m/>
    <m/>
    <m/>
    <m/>
    <m/>
    <m/>
    <m/>
    <n v="4704639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ECOLE COMMUNAUTAIRE EFOTY"/>
    <m/>
    <m/>
    <n v="190"/>
    <m/>
    <x v="3"/>
    <s v="HGSF"/>
    <m/>
    <n v="1.4"/>
    <m/>
    <m/>
    <m/>
    <n v="0.1"/>
    <n v="9.9000000000000005E-2"/>
    <m/>
    <m/>
    <m/>
    <m/>
    <m/>
    <m/>
    <m/>
    <n v="419672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ECOLE COMMUNAUTAIRE REMENGOKE"/>
    <m/>
    <m/>
    <n v="339"/>
    <m/>
    <x v="3"/>
    <s v="HGSF"/>
    <m/>
    <n v="2.5"/>
    <m/>
    <m/>
    <m/>
    <n v="0.15"/>
    <n v="0.18"/>
    <m/>
    <m/>
    <m/>
    <m/>
    <m/>
    <m/>
    <m/>
    <n v="744750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AMBINANITELO"/>
    <m/>
    <m/>
    <n v="195"/>
    <m/>
    <x v="3"/>
    <s v="HGSF"/>
    <m/>
    <n v="1.45"/>
    <m/>
    <m/>
    <m/>
    <n v="0.1"/>
    <n v="0.10349999999999999"/>
    <m/>
    <m/>
    <m/>
    <m/>
    <m/>
    <m/>
    <m/>
    <n v="430716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EPP BEGORAGO"/>
    <m/>
    <m/>
    <n v="234"/>
    <m/>
    <x v="3"/>
    <s v="HGSF"/>
    <m/>
    <n v="1.75"/>
    <m/>
    <m/>
    <m/>
    <n v="0.1"/>
    <n v="0.126"/>
    <m/>
    <m/>
    <m/>
    <m/>
    <m/>
    <m/>
    <m/>
    <n v="516859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BOKONAKE"/>
    <m/>
    <m/>
    <n v="207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Maniry"/>
    <s v="MANIRY"/>
    <m/>
    <m/>
    <n v="329"/>
    <m/>
    <x v="3"/>
    <s v="HGSF"/>
    <m/>
    <n v="2.4500000000000002"/>
    <m/>
    <m/>
    <m/>
    <n v="0.15"/>
    <n v="0.17549999999999999"/>
    <m/>
    <m/>
    <m/>
    <m/>
    <m/>
    <m/>
    <m/>
    <n v="726275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AMBATOFOTSY-II"/>
    <m/>
    <m/>
    <n v="192"/>
    <m/>
    <x v="1"/>
    <s v="classique"/>
    <m/>
    <n v="1.2"/>
    <m/>
    <m/>
    <m/>
    <n v="0.25"/>
    <n v="8.5500000000000007E-2"/>
    <m/>
    <m/>
    <m/>
    <m/>
    <m/>
    <m/>
    <n v="1.535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ANKILIMAMONDRO"/>
    <m/>
    <m/>
    <n v="256"/>
    <m/>
    <x v="1"/>
    <s v="classique"/>
    <m/>
    <n v="1.55"/>
    <m/>
    <m/>
    <m/>
    <n v="0.35"/>
    <n v="0.1125"/>
    <m/>
    <m/>
    <m/>
    <m/>
    <m/>
    <m/>
    <n v="2.012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ECOLE COMMUNAUTAIRE ANKILIMASY"/>
    <m/>
    <m/>
    <n v="176"/>
    <m/>
    <x v="3"/>
    <s v="HGSF"/>
    <m/>
    <n v="1.05"/>
    <m/>
    <m/>
    <m/>
    <n v="0.1"/>
    <n v="7.6499999999999999E-2"/>
    <m/>
    <m/>
    <m/>
    <m/>
    <m/>
    <m/>
    <m/>
    <n v="388748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BEVAHY HAUT"/>
    <m/>
    <m/>
    <n v="200"/>
    <m/>
    <x v="1"/>
    <s v="classique"/>
    <m/>
    <n v="1.35"/>
    <m/>
    <m/>
    <m/>
    <n v="0.3"/>
    <n v="9.4500000000000001E-2"/>
    <m/>
    <m/>
    <m/>
    <m/>
    <m/>
    <m/>
    <n v="1.7445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AMBATOKAPEKE VOHITANY"/>
    <m/>
    <m/>
    <n v="202"/>
    <m/>
    <x v="1"/>
    <s v="classique"/>
    <m/>
    <n v="1.4"/>
    <m/>
    <m/>
    <m/>
    <n v="0.35"/>
    <n v="9.9000000000000005E-2"/>
    <m/>
    <m/>
    <m/>
    <m/>
    <m/>
    <m/>
    <n v="1.84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Vohitany"/>
    <s v="BEBALAHAZO"/>
    <m/>
    <m/>
    <n v="141"/>
    <m/>
    <x v="1"/>
    <s v="classique"/>
    <m/>
    <n v="0.85"/>
    <m/>
    <m/>
    <m/>
    <n v="0.2"/>
    <n v="5.8500000000000003E-2"/>
    <m/>
    <m/>
    <m/>
    <m/>
    <m/>
    <m/>
    <n v="1.108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AMBOVONDREDADA"/>
    <m/>
    <m/>
    <n v="182"/>
    <m/>
    <x v="1"/>
    <s v="classique"/>
    <m/>
    <n v="1.2"/>
    <m/>
    <m/>
    <m/>
    <n v="0.3"/>
    <n v="8.5500000000000007E-2"/>
    <m/>
    <m/>
    <m/>
    <m/>
    <m/>
    <m/>
    <n v="1.585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BEFAMATA-BAS"/>
    <m/>
    <m/>
    <n v="129"/>
    <m/>
    <x v="1"/>
    <s v="classique"/>
    <m/>
    <n v="0.8"/>
    <m/>
    <m/>
    <m/>
    <n v="0.2"/>
    <n v="5.8500000000000003E-2"/>
    <m/>
    <m/>
    <m/>
    <m/>
    <m/>
    <m/>
    <n v="1.058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BETAIMBALA"/>
    <m/>
    <m/>
    <n v="318"/>
    <m/>
    <x v="1"/>
    <s v="classique"/>
    <m/>
    <n v="2.25"/>
    <m/>
    <m/>
    <m/>
    <n v="0.5"/>
    <n v="0.16200000000000001"/>
    <m/>
    <m/>
    <m/>
    <m/>
    <m/>
    <m/>
    <n v="2.911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ECOLE COMMUNAUTAIRE REAMPOTOTSE"/>
    <m/>
    <m/>
    <n v="272"/>
    <m/>
    <x v="3"/>
    <s v="HGSF"/>
    <m/>
    <n v="1.85"/>
    <m/>
    <m/>
    <m/>
    <n v="0.1"/>
    <n v="0.1305"/>
    <m/>
    <m/>
    <m/>
    <m/>
    <m/>
    <m/>
    <m/>
    <n v="6007936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ANJAMISARO"/>
    <m/>
    <m/>
    <n v="136"/>
    <m/>
    <x v="1"/>
    <s v="classique"/>
    <m/>
    <n v="0.9"/>
    <m/>
    <m/>
    <m/>
    <n v="0.2"/>
    <n v="6.3E-2"/>
    <m/>
    <m/>
    <m/>
    <m/>
    <m/>
    <m/>
    <n v="1.16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EPP ANKILIABO"/>
    <m/>
    <m/>
    <n v="209"/>
    <m/>
    <x v="3"/>
    <s v="HGSF"/>
    <m/>
    <n v="1.4"/>
    <m/>
    <m/>
    <m/>
    <n v="0.1"/>
    <n v="9.9000000000000005E-2"/>
    <m/>
    <m/>
    <m/>
    <m/>
    <m/>
    <m/>
    <m/>
    <n v="461639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ANOSA"/>
    <m/>
    <m/>
    <n v="299"/>
    <m/>
    <x v="3"/>
    <s v="HGSF"/>
    <m/>
    <n v="2.2999999999999998"/>
    <m/>
    <m/>
    <m/>
    <n v="0.1"/>
    <n v="0.16650000000000001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REAMBONDRO"/>
    <m/>
    <m/>
    <n v="209"/>
    <m/>
    <x v="1"/>
    <s v="classique"/>
    <m/>
    <n v="1.4"/>
    <m/>
    <m/>
    <m/>
    <n v="0.3"/>
    <n v="9.9000000000000005E-2"/>
    <m/>
    <m/>
    <m/>
    <m/>
    <m/>
    <m/>
    <n v="1.798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BETIOKY"/>
    <m/>
    <m/>
    <n v="189"/>
    <m/>
    <x v="1"/>
    <s v="classique"/>
    <m/>
    <n v="1.25"/>
    <m/>
    <m/>
    <m/>
    <n v="0.3"/>
    <n v="0.09"/>
    <m/>
    <m/>
    <m/>
    <m/>
    <m/>
    <m/>
    <n v="1.640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ANKARANTIHY"/>
    <m/>
    <m/>
    <n v="293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COLE COMMUNAUTAIRE ANKILIMANITSY CENTRE"/>
    <m/>
    <m/>
    <n v="268"/>
    <m/>
    <x v="3"/>
    <s v="HGSF"/>
    <m/>
    <n v="1.85"/>
    <m/>
    <m/>
    <m/>
    <n v="0.1"/>
    <n v="0.13500000000000001"/>
    <m/>
    <m/>
    <m/>
    <m/>
    <m/>
    <m/>
    <m/>
    <n v="591958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BELAMOTY SUD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KOTOVOGNE"/>
    <m/>
    <m/>
    <n v="287"/>
    <m/>
    <x v="1"/>
    <s v="classique"/>
    <m/>
    <n v="1.95"/>
    <m/>
    <m/>
    <m/>
    <n v="0.45"/>
    <n v="0.13950000000000001"/>
    <m/>
    <m/>
    <m/>
    <m/>
    <m/>
    <m/>
    <n v="2.5394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HABOKE"/>
    <m/>
    <m/>
    <n v="290"/>
    <m/>
    <x v="1"/>
    <s v="classique"/>
    <m/>
    <n v="2.0499999999999998"/>
    <m/>
    <m/>
    <m/>
    <n v="0.45"/>
    <n v="0.14399999999999999"/>
    <m/>
    <m/>
    <m/>
    <m/>
    <m/>
    <m/>
    <n v="2.644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MAROFOTOTSE"/>
    <m/>
    <m/>
    <n v="197"/>
    <m/>
    <x v="1"/>
    <s v="classique"/>
    <m/>
    <n v="1.3"/>
    <m/>
    <m/>
    <m/>
    <n v="0.3"/>
    <n v="9.4500000000000001E-2"/>
    <m/>
    <m/>
    <m/>
    <m/>
    <m/>
    <m/>
    <n v="1.6945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COLE COMMUNAUTAIRE SAKOANDAHY"/>
    <m/>
    <m/>
    <n v="201"/>
    <m/>
    <x v="3"/>
    <s v="HGSF"/>
    <m/>
    <n v="1.35"/>
    <m/>
    <m/>
    <m/>
    <n v="0.1"/>
    <n v="9.4500000000000001E-2"/>
    <m/>
    <m/>
    <m/>
    <m/>
    <m/>
    <m/>
    <m/>
    <n v="443968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TALIMBOLA"/>
    <m/>
    <m/>
    <n v="235"/>
    <m/>
    <x v="1"/>
    <s v="classique"/>
    <m/>
    <n v="1.6"/>
    <m/>
    <m/>
    <m/>
    <n v="0.35"/>
    <n v="0.1125"/>
    <m/>
    <m/>
    <m/>
    <m/>
    <m/>
    <m/>
    <n v="2.0625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ANKILEMALANGE"/>
    <m/>
    <m/>
    <n v="396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PP BEVALA"/>
    <m/>
    <m/>
    <n v="258"/>
    <m/>
    <x v="3"/>
    <s v="HGSF"/>
    <m/>
    <n v="1.75"/>
    <m/>
    <m/>
    <m/>
    <n v="0.1"/>
    <n v="0.1215"/>
    <m/>
    <m/>
    <m/>
    <m/>
    <m/>
    <m/>
    <m/>
    <n v="5698704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PP EVOVO-NORD"/>
    <m/>
    <m/>
    <n v="299"/>
    <m/>
    <x v="3"/>
    <s v="HGSF"/>
    <m/>
    <n v="2.0499999999999998"/>
    <m/>
    <m/>
    <m/>
    <n v="0.1"/>
    <n v="0.14849999999999999"/>
    <m/>
    <m/>
    <m/>
    <m/>
    <m/>
    <m/>
    <m/>
    <n v="660431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AGNENA SUD"/>
    <m/>
    <m/>
    <n v="328"/>
    <m/>
    <x v="1"/>
    <s v="classique"/>
    <m/>
    <n v="2.2999999999999998"/>
    <m/>
    <m/>
    <m/>
    <n v="0.5"/>
    <n v="0.16200000000000001"/>
    <m/>
    <m/>
    <m/>
    <m/>
    <m/>
    <m/>
    <n v="2.9619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AGNENA CENTRE"/>
    <m/>
    <m/>
    <n v="255"/>
    <m/>
    <x v="1"/>
    <s v="classique"/>
    <m/>
    <n v="1.7"/>
    <m/>
    <m/>
    <m/>
    <n v="0.4"/>
    <n v="0.1215"/>
    <m/>
    <m/>
    <m/>
    <m/>
    <m/>
    <m/>
    <n v="2.2215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BELAMOTY NORD"/>
    <m/>
    <m/>
    <n v="295"/>
    <m/>
    <x v="1"/>
    <s v="classique"/>
    <m/>
    <n v="2"/>
    <m/>
    <m/>
    <m/>
    <n v="0.45"/>
    <n v="0.14399999999999999"/>
    <m/>
    <m/>
    <m/>
    <m/>
    <m/>
    <m/>
    <n v="2.5940000000000003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COLE COMMUNAUTAIRE BESELY"/>
    <m/>
    <m/>
    <n v="271"/>
    <m/>
    <x v="3"/>
    <s v="HGSF"/>
    <m/>
    <n v="1.85"/>
    <m/>
    <m/>
    <m/>
    <n v="0.1"/>
    <n v="0.1305"/>
    <m/>
    <m/>
    <m/>
    <m/>
    <m/>
    <m/>
    <m/>
    <n v="5985848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ECOLE COMMUNAUTAIRE SAKIVE"/>
    <m/>
    <m/>
    <n v="189"/>
    <m/>
    <x v="3"/>
    <s v="HGSF"/>
    <m/>
    <n v="1.2"/>
    <m/>
    <m/>
    <m/>
    <n v="0.1"/>
    <n v="8.5500000000000007E-2"/>
    <m/>
    <m/>
    <m/>
    <m/>
    <m/>
    <m/>
    <m/>
    <n v="4174632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Beahitse"/>
    <s v="BEHOMBY"/>
    <m/>
    <m/>
    <n v="203"/>
    <m/>
    <x v="1"/>
    <s v="classique"/>
    <m/>
    <n v="1.35"/>
    <m/>
    <m/>
    <m/>
    <n v="0.3"/>
    <n v="9.9000000000000005E-2"/>
    <m/>
    <m/>
    <m/>
    <m/>
    <m/>
    <m/>
    <n v="1.7490000000000001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droka"/>
    <s v="ANTSAKOA"/>
    <m/>
    <m/>
    <n v="237"/>
    <m/>
    <x v="1"/>
    <s v="classique"/>
    <m/>
    <n v="1.45"/>
    <m/>
    <m/>
    <m/>
    <n v="0.35"/>
    <n v="0.10349999999999999"/>
    <m/>
    <m/>
    <m/>
    <m/>
    <m/>
    <m/>
    <n v="1.9034999999999997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Itampolo"/>
    <s v="ANTSARO"/>
    <m/>
    <m/>
    <n v="487"/>
    <m/>
    <x v="1"/>
    <s v="classique"/>
    <m/>
    <n v="3"/>
    <m/>
    <m/>
    <m/>
    <n v="0.7"/>
    <n v="0.21149999999999999"/>
    <m/>
    <m/>
    <m/>
    <m/>
    <m/>
    <m/>
    <n v="3.9115000000000002"/>
    <n v="0"/>
    <m/>
  </r>
  <r>
    <x v="0"/>
    <n v="2024"/>
    <x v="3"/>
    <s v="SMP1"/>
    <x v="8"/>
    <s v="School feeding"/>
    <m/>
    <m/>
    <s v="Ampanihy"/>
    <x v="2"/>
    <s v="Tuléar"/>
    <s v="Atsimo Andrefana"/>
    <s v="Ampanihy Ouest"/>
    <m/>
    <s v="ANKILIABO"/>
    <s v="BEHAVANDRA III"/>
    <m/>
    <m/>
    <n v="282"/>
    <m/>
    <x v="1"/>
    <s v="classique"/>
    <m/>
    <n v="2.15"/>
    <m/>
    <m/>
    <m/>
    <n v="0.5"/>
    <n v="0.153"/>
    <m/>
    <m/>
    <m/>
    <m/>
    <m/>
    <m/>
    <n v="2.8029999999999999"/>
    <n v="0"/>
    <m/>
  </r>
  <r>
    <x v="0"/>
    <n v="2024"/>
    <x v="3"/>
    <s v="SMP1"/>
    <x v="8"/>
    <s v="School feeding"/>
    <m/>
    <m/>
    <s v="Ampanihy"/>
    <x v="2"/>
    <s v="Tuléar"/>
    <s v="Atsimo Andrefana"/>
    <s v="AMPANIHY"/>
    <m/>
    <s v="BEAHITSE"/>
    <s v="EPP BEAHITSE"/>
    <m/>
    <m/>
    <n v="650"/>
    <m/>
    <x v="3"/>
    <s v="HGSF"/>
    <m/>
    <n v="4.5"/>
    <m/>
    <m/>
    <m/>
    <n v="0.15"/>
    <n v="0.31950000000000001"/>
    <m/>
    <m/>
    <m/>
    <m/>
    <m/>
    <m/>
    <m/>
    <n v="1435720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MBOHIMAHAVELONA"/>
    <s v="EPP AMBIKY"/>
    <m/>
    <m/>
    <n v="321"/>
    <m/>
    <x v="3"/>
    <s v="HGSF"/>
    <m/>
    <n v="0.9"/>
    <m/>
    <m/>
    <m/>
    <n v="0.15"/>
    <n v="0.1215"/>
    <m/>
    <m/>
    <m/>
    <m/>
    <m/>
    <m/>
    <m/>
    <n v="707024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MBOHIMAHAVELONA"/>
    <s v="AMBOHIMAHAVELONA"/>
    <m/>
    <m/>
    <n v="578"/>
    <m/>
    <x v="3"/>
    <s v="hybride"/>
    <m/>
    <n v="3.9"/>
    <m/>
    <m/>
    <m/>
    <n v="0.2"/>
    <n v="0.27900000000000003"/>
    <m/>
    <m/>
    <m/>
    <m/>
    <m/>
    <m/>
    <m/>
    <n v="1274690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MBOHIMAHAVELONA"/>
    <s v="EPP MAROAMALONA (LOVASOA)"/>
    <m/>
    <m/>
    <n v="394"/>
    <m/>
    <x v="3"/>
    <s v="HGSF"/>
    <m/>
    <n v="2.2000000000000002"/>
    <m/>
    <m/>
    <m/>
    <n v="0.15"/>
    <n v="0.153"/>
    <m/>
    <m/>
    <m/>
    <m/>
    <m/>
    <m/>
    <m/>
    <n v="870267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MBOHIMAHAVELONA"/>
    <s v="EPP TANANDAVA MAHABO"/>
    <m/>
    <m/>
    <n v="387"/>
    <m/>
    <x v="3"/>
    <s v="HGSF"/>
    <m/>
    <n v="2.25"/>
    <m/>
    <m/>
    <m/>
    <n v="0.15"/>
    <n v="0.1575"/>
    <m/>
    <m/>
    <m/>
    <m/>
    <m/>
    <m/>
    <m/>
    <n v="684805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ALAMISAMPY"/>
    <s v="EPP AMPASIKIBO (MILAVONJY)"/>
    <m/>
    <m/>
    <n v="603"/>
    <m/>
    <x v="3"/>
    <s v="HGSF"/>
    <m/>
    <n v="4.55"/>
    <m/>
    <m/>
    <m/>
    <n v="0.2"/>
    <n v="0.32400000000000001"/>
    <m/>
    <m/>
    <m/>
    <m/>
    <m/>
    <m/>
    <m/>
    <n v="12691979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OAHAZO"/>
    <s v="EPP BETSIOKY MANDATSA (NY HOAVY)"/>
    <m/>
    <m/>
    <n v="257"/>
    <m/>
    <x v="3"/>
    <s v="HGSF"/>
    <m/>
    <n v="1.4"/>
    <m/>
    <m/>
    <m/>
    <n v="0.1"/>
    <n v="0.1305"/>
    <m/>
    <m/>
    <m/>
    <m/>
    <m/>
    <m/>
    <m/>
    <n v="567661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OAHAZO"/>
    <s v="EPP BETSIOKY SOMOTSE (MAHASOA)"/>
    <m/>
    <m/>
    <n v="1027"/>
    <m/>
    <x v="3"/>
    <s v="HGSF"/>
    <m/>
    <n v="7.9"/>
    <m/>
    <m/>
    <m/>
    <n v="0.35"/>
    <n v="0.56699999999999995"/>
    <m/>
    <m/>
    <m/>
    <m/>
    <m/>
    <m/>
    <m/>
    <n v="2268437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KILILOAKA"/>
    <s v="EPP AMBOBOKA (TOLONA)"/>
    <m/>
    <m/>
    <n v="725"/>
    <m/>
    <x v="3"/>
    <s v="HGSF"/>
    <m/>
    <n v="4.95"/>
    <m/>
    <m/>
    <m/>
    <n v="0.25"/>
    <n v="0.35099999999999998"/>
    <m/>
    <m/>
    <m/>
    <m/>
    <m/>
    <m/>
    <m/>
    <n v="1601380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KILILOAKA"/>
    <s v="EPP AMBONDRO"/>
    <m/>
    <m/>
    <n v="630"/>
    <m/>
    <x v="3"/>
    <s v="HGSF"/>
    <m/>
    <n v="3.55"/>
    <m/>
    <m/>
    <m/>
    <n v="0.25"/>
    <n v="0.22500000000000001"/>
    <m/>
    <m/>
    <m/>
    <m/>
    <m/>
    <m/>
    <m/>
    <n v="1391544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KILILOAKA"/>
    <s v="ANTANILEBE"/>
    <m/>
    <m/>
    <n v="908"/>
    <m/>
    <x v="3"/>
    <s v="hybride"/>
    <m/>
    <n v="5.05"/>
    <m/>
    <m/>
    <m/>
    <n v="0.3"/>
    <n v="0.2475"/>
    <m/>
    <m/>
    <m/>
    <m/>
    <m/>
    <m/>
    <m/>
    <n v="2005590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KILILOAKA"/>
    <s v="ANTSEVA"/>
    <m/>
    <m/>
    <n v="591"/>
    <m/>
    <x v="3"/>
    <s v="hybride"/>
    <m/>
    <n v="4.55"/>
    <m/>
    <m/>
    <m/>
    <n v="0.2"/>
    <n v="0.32400000000000001"/>
    <m/>
    <m/>
    <m/>
    <m/>
    <m/>
    <m/>
    <m/>
    <n v="1305400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EPP AMBATOLILY"/>
    <m/>
    <m/>
    <n v="822"/>
    <m/>
    <x v="3"/>
    <s v="HGSF"/>
    <m/>
    <n v="5.9"/>
    <m/>
    <m/>
    <m/>
    <n v="0.3"/>
    <n v="0.30599999999999999"/>
    <m/>
    <m/>
    <m/>
    <m/>
    <m/>
    <m/>
    <m/>
    <n v="1815633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EPP ANDAMBOLO"/>
    <m/>
    <m/>
    <n v="609"/>
    <m/>
    <x v="3"/>
    <s v="HGSF"/>
    <m/>
    <n v="3.45"/>
    <m/>
    <m/>
    <m/>
    <n v="0.25"/>
    <n v="0.17549999999999999"/>
    <m/>
    <m/>
    <m/>
    <m/>
    <m/>
    <m/>
    <m/>
    <n v="1345159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Ankaraobato"/>
    <m/>
    <m/>
    <n v="876"/>
    <m/>
    <x v="3"/>
    <s v="hybride"/>
    <m/>
    <n v="6.75"/>
    <m/>
    <m/>
    <m/>
    <n v="0.3"/>
    <n v="0.48149999999999998"/>
    <m/>
    <m/>
    <m/>
    <m/>
    <m/>
    <m/>
    <m/>
    <n v="1934899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EPP ANTANIMENA RENDAITSE"/>
    <m/>
    <m/>
    <n v="262"/>
    <m/>
    <x v="3"/>
    <s v="HGSF"/>
    <m/>
    <n v="1"/>
    <m/>
    <m/>
    <m/>
    <n v="0.1"/>
    <n v="4.4999999999999998E-2"/>
    <m/>
    <m/>
    <m/>
    <m/>
    <m/>
    <m/>
    <m/>
    <n v="578705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EPP ANTRANOLAHATRA"/>
    <m/>
    <m/>
    <n v="380"/>
    <m/>
    <x v="3"/>
    <s v="HGSF"/>
    <m/>
    <n v="2.75"/>
    <m/>
    <m/>
    <m/>
    <n v="0.15"/>
    <n v="0.14399999999999999"/>
    <m/>
    <m/>
    <m/>
    <m/>
    <m/>
    <m/>
    <m/>
    <n v="839344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EPP BELAVENOKA"/>
    <m/>
    <m/>
    <n v="504"/>
    <m/>
    <x v="3"/>
    <s v="HGSF"/>
    <m/>
    <n v="2.8"/>
    <m/>
    <m/>
    <m/>
    <n v="0.2"/>
    <n v="0.13500000000000001"/>
    <m/>
    <m/>
    <m/>
    <m/>
    <m/>
    <m/>
    <m/>
    <n v="1113235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LENAKA"/>
    <s v="Milenake"/>
    <m/>
    <m/>
    <n v="618"/>
    <m/>
    <x v="3"/>
    <s v="hybride"/>
    <m/>
    <n v="4.75"/>
    <m/>
    <m/>
    <m/>
    <n v="0.25"/>
    <n v="0.34200000000000003"/>
    <m/>
    <m/>
    <m/>
    <m/>
    <m/>
    <m/>
    <m/>
    <n v="1299069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ELOKE"/>
    <s v="EPP ITOMBOINA (LOVASOA)"/>
    <m/>
    <m/>
    <n v="300"/>
    <m/>
    <x v="3"/>
    <s v="HGSF"/>
    <m/>
    <n v="1.75"/>
    <m/>
    <m/>
    <m/>
    <n v="0.1"/>
    <n v="0.126"/>
    <m/>
    <m/>
    <m/>
    <m/>
    <m/>
    <m/>
    <m/>
    <n v="662640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ELOKE"/>
    <s v="VATOLALAKE"/>
    <m/>
    <m/>
    <n v="304"/>
    <m/>
    <x v="1"/>
    <s v="classique"/>
    <m/>
    <n v="2.35"/>
    <m/>
    <m/>
    <m/>
    <n v="0.55000000000000004"/>
    <n v="0.16650000000000001"/>
    <m/>
    <m/>
    <m/>
    <m/>
    <m/>
    <m/>
    <n v="3.0665000000000004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EFOETSE"/>
    <s v="ABC DOMINO AMBOLA"/>
    <m/>
    <m/>
    <n v="542"/>
    <m/>
    <x v="1"/>
    <s v="classique"/>
    <m/>
    <n v="4.1500000000000004"/>
    <m/>
    <m/>
    <m/>
    <n v="0.9"/>
    <n v="0.29699999999999999"/>
    <m/>
    <m/>
    <m/>
    <m/>
    <m/>
    <m/>
    <n v="5.3470000000000004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ELOKE"/>
    <s v="ABC DOMINO ANKILIMIVONY"/>
    <m/>
    <m/>
    <n v="395"/>
    <m/>
    <x v="1"/>
    <s v="classique"/>
    <m/>
    <n v="3.05"/>
    <m/>
    <m/>
    <m/>
    <n v="0.7"/>
    <n v="0.216"/>
    <m/>
    <m/>
    <m/>
    <m/>
    <m/>
    <m/>
    <n v="3.9660000000000002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ELOKE"/>
    <s v="ABC DOMINO BEHELOKA"/>
    <m/>
    <m/>
    <n v="562"/>
    <m/>
    <x v="1"/>
    <s v="classique"/>
    <m/>
    <n v="4.3499999999999996"/>
    <m/>
    <m/>
    <m/>
    <n v="0.95"/>
    <n v="0.3105"/>
    <m/>
    <m/>
    <m/>
    <m/>
    <m/>
    <m/>
    <n v="5.6105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LALANDA"/>
    <s v="EPP AMBOTSIBOTSIKE"/>
    <m/>
    <m/>
    <n v="340"/>
    <m/>
    <x v="3"/>
    <s v="hybride"/>
    <m/>
    <n v="2.5"/>
    <m/>
    <m/>
    <m/>
    <n v="0.15"/>
    <n v="0.1845"/>
    <m/>
    <m/>
    <m/>
    <m/>
    <m/>
    <m/>
    <m/>
    <n v="750992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LALANDA"/>
    <s v="EPP BEKOAKE"/>
    <m/>
    <m/>
    <n v="340"/>
    <m/>
    <x v="3"/>
    <s v="hybride"/>
    <m/>
    <n v="2.6"/>
    <m/>
    <m/>
    <m/>
    <n v="0.15"/>
    <n v="0.189"/>
    <m/>
    <m/>
    <m/>
    <m/>
    <m/>
    <m/>
    <m/>
    <n v="750992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LALANDA"/>
    <s v="BELALANDA"/>
    <m/>
    <m/>
    <n v="488"/>
    <m/>
    <x v="3"/>
    <s v="hybride"/>
    <m/>
    <n v="3.15"/>
    <m/>
    <m/>
    <m/>
    <n v="0.2"/>
    <n v="0.22500000000000001"/>
    <m/>
    <m/>
    <m/>
    <m/>
    <m/>
    <m/>
    <m/>
    <n v="1053703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LALANDA"/>
    <s v="TSINJORIAKE"/>
    <m/>
    <m/>
    <n v="592"/>
    <m/>
    <x v="3"/>
    <s v="hybride"/>
    <m/>
    <n v="4.3"/>
    <m/>
    <m/>
    <m/>
    <n v="0.2"/>
    <n v="0.3105"/>
    <m/>
    <m/>
    <m/>
    <m/>
    <m/>
    <m/>
    <m/>
    <n v="1306259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ANKEREREAKE"/>
    <m/>
    <m/>
    <n v="616"/>
    <m/>
    <x v="3"/>
    <s v="hybride"/>
    <m/>
    <n v="4.75"/>
    <m/>
    <m/>
    <m/>
    <n v="0.25"/>
    <n v="0.33750000000000002"/>
    <m/>
    <m/>
    <m/>
    <m/>
    <m/>
    <m/>
    <m/>
    <n v="1360620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EPP ANKILIBE"/>
    <m/>
    <m/>
    <n v="439"/>
    <m/>
    <x v="3"/>
    <s v="HGSF"/>
    <m/>
    <n v="3.4"/>
    <m/>
    <m/>
    <m/>
    <n v="0.15"/>
    <n v="0.24299999999999999"/>
    <m/>
    <m/>
    <m/>
    <m/>
    <m/>
    <m/>
    <m/>
    <n v="969663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EPP LAVENOMBATO (TSARAFANIRY)"/>
    <m/>
    <m/>
    <n v="355"/>
    <m/>
    <x v="3"/>
    <s v="HGSF"/>
    <m/>
    <n v="2.25"/>
    <m/>
    <m/>
    <m/>
    <n v="0.15"/>
    <n v="0.11700000000000001"/>
    <m/>
    <m/>
    <m/>
    <m/>
    <m/>
    <m/>
    <m/>
    <n v="784124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MANOROKA"/>
    <m/>
    <m/>
    <n v="598"/>
    <m/>
    <x v="3"/>
    <s v="hybride"/>
    <m/>
    <n v="4.3"/>
    <m/>
    <m/>
    <m/>
    <n v="0.2"/>
    <n v="0.3105"/>
    <m/>
    <m/>
    <m/>
    <m/>
    <m/>
    <m/>
    <m/>
    <n v="1320862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EPP LOVASOA SAINT AUGUSTIN"/>
    <m/>
    <m/>
    <n v="850"/>
    <m/>
    <x v="3"/>
    <s v="HGSF"/>
    <m/>
    <n v="6.05"/>
    <m/>
    <m/>
    <m/>
    <n v="0.3"/>
    <n v="0.2475"/>
    <m/>
    <m/>
    <m/>
    <m/>
    <m/>
    <m/>
    <m/>
    <n v="1877480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AINT AUGUSTIN"/>
    <s v="SARODRANO"/>
    <m/>
    <m/>
    <n v="524"/>
    <m/>
    <x v="3"/>
    <s v="hybride"/>
    <m/>
    <n v="4.05"/>
    <m/>
    <m/>
    <m/>
    <n v="0.2"/>
    <n v="0.28799999999999998"/>
    <m/>
    <m/>
    <m/>
    <m/>
    <m/>
    <m/>
    <m/>
    <n v="1156011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NOMBO SUD"/>
    <s v="EPP MANOMBO I (LOVASOA)"/>
    <m/>
    <m/>
    <n v="440"/>
    <m/>
    <x v="3"/>
    <s v="HGSF"/>
    <m/>
    <n v="2.4"/>
    <m/>
    <m/>
    <m/>
    <n v="0.15"/>
    <n v="0.1215"/>
    <m/>
    <m/>
    <m/>
    <m/>
    <m/>
    <m/>
    <m/>
    <n v="971872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NOMBO SUD"/>
    <s v="EPP MANOMBO II (MAHASOA)"/>
    <m/>
    <m/>
    <n v="634"/>
    <m/>
    <x v="3"/>
    <s v="HGSF"/>
    <m/>
    <n v="3.85"/>
    <m/>
    <m/>
    <m/>
    <n v="0.25"/>
    <n v="0.19800000000000001"/>
    <m/>
    <m/>
    <m/>
    <m/>
    <m/>
    <m/>
    <m/>
    <n v="14003792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NOMBO SUD"/>
    <s v="EPP FITSITIKA (TARATRA)"/>
    <m/>
    <m/>
    <n v="398"/>
    <m/>
    <x v="3"/>
    <s v="HGSF"/>
    <m/>
    <n v="2.2000000000000002"/>
    <m/>
    <m/>
    <m/>
    <n v="0.15"/>
    <n v="0.1125"/>
    <m/>
    <m/>
    <m/>
    <m/>
    <m/>
    <m/>
    <m/>
    <n v="879102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NOROFIFY"/>
    <s v="EPP AVOTRA AMBATOLAMPY"/>
    <m/>
    <m/>
    <n v="353"/>
    <m/>
    <x v="3"/>
    <s v="HGSF"/>
    <m/>
    <n v="2.65"/>
    <m/>
    <m/>
    <m/>
    <n v="0.15"/>
    <n v="0.13500000000000001"/>
    <m/>
    <m/>
    <m/>
    <m/>
    <m/>
    <m/>
    <m/>
    <n v="779706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ROMIANDRA"/>
    <s v="EPP MAROMIANDRA (EZAKA LOVA SOA)"/>
    <m/>
    <m/>
    <n v="662"/>
    <m/>
    <x v="3"/>
    <s v="HGSF"/>
    <m/>
    <n v="5.0999999999999996"/>
    <m/>
    <m/>
    <m/>
    <n v="0.25"/>
    <n v="0.36449999999999999"/>
    <m/>
    <m/>
    <m/>
    <m/>
    <m/>
    <m/>
    <m/>
    <n v="1461100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AROMIANDRA"/>
    <s v="EPP MITSINJO MAHAZOARIVO (TSITAMBATO)"/>
    <m/>
    <m/>
    <n v="546"/>
    <m/>
    <x v="3"/>
    <s v="HGSF"/>
    <m/>
    <n v="4.2"/>
    <m/>
    <m/>
    <m/>
    <n v="0.2"/>
    <n v="0.25650000000000001"/>
    <m/>
    <m/>
    <m/>
    <m/>
    <m/>
    <m/>
    <m/>
    <n v="1206004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OALARA SUD"/>
    <s v="SOALARA SUD"/>
    <m/>
    <m/>
    <n v="635"/>
    <m/>
    <x v="1"/>
    <s v="classique"/>
    <m/>
    <n v="4.9000000000000004"/>
    <m/>
    <m/>
    <m/>
    <n v="1.05"/>
    <n v="0.35099999999999998"/>
    <m/>
    <m/>
    <m/>
    <m/>
    <m/>
    <m/>
    <n v="6.3010000000000002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OALARA SUD"/>
    <s v="EPP ANKARANILA (SOATEZA)"/>
    <m/>
    <m/>
    <n v="98"/>
    <m/>
    <x v="3"/>
    <s v="HGSF"/>
    <m/>
    <n v="0.55000000000000004"/>
    <m/>
    <m/>
    <m/>
    <n v="0.05"/>
    <n v="3.5999999999999997E-2"/>
    <m/>
    <m/>
    <m/>
    <m/>
    <m/>
    <m/>
    <m/>
    <n v="216462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SOALARA SUD"/>
    <s v="ABC DOMINO ANDRANOTOHOKY"/>
    <m/>
    <m/>
    <n v="151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DRANOHINALY"/>
    <s v="ANDRANOHINALY"/>
    <m/>
    <m/>
    <n v="446"/>
    <m/>
    <x v="1"/>
    <s v="classique"/>
    <m/>
    <n v="2.7"/>
    <m/>
    <m/>
    <m/>
    <n v="0.55000000000000004"/>
    <n v="0.189"/>
    <m/>
    <m/>
    <m/>
    <m/>
    <m/>
    <m/>
    <n v="3.4390000000000001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DRANOHINALY"/>
    <s v="EPP MASIAKAMPY (LOVASOA)"/>
    <m/>
    <m/>
    <n v="381"/>
    <m/>
    <x v="3"/>
    <s v="HGSF"/>
    <m/>
    <n v="2.85"/>
    <m/>
    <m/>
    <m/>
    <n v="0.15"/>
    <n v="0.20250000000000001"/>
    <m/>
    <m/>
    <m/>
    <m/>
    <m/>
    <m/>
    <m/>
    <n v="8415528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TSINJO BETANIMENA"/>
    <s v="EPP MITSINJO BETANIMENA (AKANISOA)"/>
    <m/>
    <m/>
    <n v="858"/>
    <m/>
    <x v="3"/>
    <s v="HGSF"/>
    <m/>
    <n v="6.5"/>
    <m/>
    <m/>
    <m/>
    <n v="0.3"/>
    <n v="0.34649999999999997"/>
    <m/>
    <m/>
    <m/>
    <m/>
    <m/>
    <m/>
    <m/>
    <n v="18951504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MITSINJO BETANIMENA"/>
    <s v="TANANDAVA MIKAMBANA"/>
    <m/>
    <m/>
    <n v="960"/>
    <m/>
    <x v="3"/>
    <s v="hybride"/>
    <m/>
    <n v="6.3"/>
    <m/>
    <m/>
    <m/>
    <n v="0.35"/>
    <n v="0.32400000000000001"/>
    <m/>
    <m/>
    <m/>
    <m/>
    <m/>
    <m/>
    <m/>
    <n v="2120448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TSINJAKA"/>
    <s v="EPP ANDRANOMENA (NY FANDROSOANA)"/>
    <m/>
    <m/>
    <n v="327"/>
    <m/>
    <x v="3"/>
    <s v="HGSF"/>
    <m/>
    <n v="2.0499999999999998"/>
    <m/>
    <m/>
    <m/>
    <n v="0.15"/>
    <n v="0.108"/>
    <m/>
    <m/>
    <m/>
    <m/>
    <m/>
    <m/>
    <m/>
    <n v="7222776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TSINJAKA"/>
    <s v="MOTOMBE"/>
    <m/>
    <m/>
    <n v="320"/>
    <m/>
    <x v="1"/>
    <s v="classique"/>
    <m/>
    <n v="2.4500000000000002"/>
    <m/>
    <m/>
    <m/>
    <n v="0.5"/>
    <n v="0.17549999999999999"/>
    <m/>
    <m/>
    <m/>
    <m/>
    <m/>
    <m/>
    <n v="3.1255000000000002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AKAO"/>
    <s v="BEFASY"/>
    <m/>
    <m/>
    <n v="280"/>
    <m/>
    <x v="1"/>
    <s v="classique"/>
    <m/>
    <n v="1.85"/>
    <m/>
    <m/>
    <m/>
    <n v="0.5"/>
    <n v="0.1215"/>
    <m/>
    <m/>
    <m/>
    <m/>
    <m/>
    <m/>
    <n v="2.4715000000000003"/>
    <n v="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ANAKAO"/>
    <s v="EPP MAROMENA (MIVOATSE)"/>
    <m/>
    <m/>
    <n v="235"/>
    <m/>
    <x v="3"/>
    <s v="HGSF"/>
    <m/>
    <n v="1.3"/>
    <m/>
    <m/>
    <m/>
    <n v="0.1"/>
    <n v="6.3E-2"/>
    <m/>
    <m/>
    <m/>
    <m/>
    <m/>
    <m/>
    <m/>
    <n v="519068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OMPY"/>
    <s v="EPP AMBOLOKIRA"/>
    <m/>
    <m/>
    <n v="435"/>
    <m/>
    <x v="3"/>
    <s v="hybride"/>
    <m/>
    <n v="3.3"/>
    <m/>
    <m/>
    <m/>
    <n v="0.15"/>
    <n v="0.23849999999999999"/>
    <m/>
    <m/>
    <m/>
    <m/>
    <m/>
    <m/>
    <m/>
    <n v="9608280"/>
    <m/>
  </r>
  <r>
    <x v="0"/>
    <n v="2024"/>
    <x v="3"/>
    <s v="SMP1"/>
    <x v="8"/>
    <s v="School feeding"/>
    <m/>
    <m/>
    <s v="Tuléar"/>
    <x v="3"/>
    <s v="Tuléar"/>
    <s v="Atsimo Andrefana"/>
    <s v="TOLIARA II"/>
    <m/>
    <s v="BEHOMPY"/>
    <s v="EPP BEHOMPY MAHASOA"/>
    <m/>
    <m/>
    <n v="440"/>
    <m/>
    <x v="3"/>
    <s v="HGSF"/>
    <m/>
    <n v="3.4"/>
    <m/>
    <m/>
    <m/>
    <n v="0.15"/>
    <n v="0.24299999999999999"/>
    <m/>
    <m/>
    <m/>
    <m/>
    <m/>
    <m/>
    <m/>
    <n v="9718720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Sanfily"/>
    <s v="Fanantenana"/>
    <m/>
    <m/>
    <n v="69"/>
    <m/>
    <x v="3"/>
    <s v="hybride"/>
    <m/>
    <n v="0.55000000000000004"/>
    <m/>
    <m/>
    <m/>
    <n v="0.05"/>
    <n v="3.5999999999999997E-2"/>
    <m/>
    <m/>
    <m/>
    <m/>
    <m/>
    <m/>
    <m/>
    <n v="1524072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ANKETA"/>
    <s v="ANKETA"/>
    <m/>
    <m/>
    <n v="1077"/>
    <m/>
    <x v="3"/>
    <s v="hybride"/>
    <m/>
    <n v="7.15"/>
    <m/>
    <m/>
    <m/>
    <n v="0.4"/>
    <n v="0.38700000000000001"/>
    <m/>
    <m/>
    <m/>
    <m/>
    <m/>
    <m/>
    <m/>
    <n v="23788776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MAHAVATSE"/>
    <s v="MAHAVATSE II"/>
    <m/>
    <m/>
    <n v="1352"/>
    <m/>
    <x v="1"/>
    <s v="classique"/>
    <m/>
    <n v="9.9"/>
    <m/>
    <m/>
    <m/>
    <n v="2.1"/>
    <n v="0.70650000000000002"/>
    <m/>
    <m/>
    <m/>
    <m/>
    <m/>
    <m/>
    <n v="12.7065"/>
    <n v="0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ANKETA"/>
    <s v="EPP SAKABERA"/>
    <m/>
    <m/>
    <n v="529"/>
    <m/>
    <x v="3"/>
    <s v="HGSF"/>
    <m/>
    <n v="4.05"/>
    <m/>
    <m/>
    <m/>
    <n v="0.2"/>
    <n v="0.29249999999999998"/>
    <m/>
    <m/>
    <m/>
    <m/>
    <m/>
    <m/>
    <m/>
    <n v="11684552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BESAKOA"/>
    <s v="EPP TOLIARA CENTRE I"/>
    <m/>
    <m/>
    <n v="822"/>
    <m/>
    <x v="3"/>
    <s v="hybride"/>
    <m/>
    <n v="5"/>
    <m/>
    <m/>
    <m/>
    <n v="0.3"/>
    <n v="0.35549999999999998"/>
    <m/>
    <m/>
    <m/>
    <m/>
    <m/>
    <m/>
    <m/>
    <n v="18155136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BESAKOA"/>
    <s v="EPP TOLIARA CENTRE II"/>
    <m/>
    <m/>
    <n v="287"/>
    <m/>
    <x v="3"/>
    <s v="hybride"/>
    <m/>
    <n v="1.6"/>
    <m/>
    <m/>
    <m/>
    <n v="0.1"/>
    <n v="0.1125"/>
    <m/>
    <m/>
    <m/>
    <m/>
    <m/>
    <m/>
    <m/>
    <n v="6302841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ANKETA"/>
    <s v="TSONGOBORY"/>
    <m/>
    <m/>
    <n v="586"/>
    <m/>
    <x v="3"/>
    <s v="hybride"/>
    <m/>
    <n v="4.3"/>
    <m/>
    <m/>
    <m/>
    <n v="0.2"/>
    <n v="0.30599999999999999"/>
    <m/>
    <m/>
    <m/>
    <m/>
    <m/>
    <m/>
    <m/>
    <n v="12932168"/>
    <m/>
  </r>
  <r>
    <x v="0"/>
    <n v="2024"/>
    <x v="3"/>
    <s v="SMP1"/>
    <x v="8"/>
    <s v="School feeding"/>
    <m/>
    <m/>
    <s v="Tuléar"/>
    <x v="3"/>
    <s v="Tuléar"/>
    <s v="Atsimo Andrefana"/>
    <s v="TOLIARA I"/>
    <m/>
    <s v="ANKETA"/>
    <s v="EPP BETAINDAMBO"/>
    <m/>
    <m/>
    <n v="312"/>
    <m/>
    <x v="3"/>
    <s v="HGSF"/>
    <m/>
    <n v="1.75"/>
    <m/>
    <m/>
    <m/>
    <n v="0.15"/>
    <n v="0.17100000000000001"/>
    <m/>
    <m/>
    <m/>
    <m/>
    <m/>
    <m/>
    <m/>
    <n v="6864456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TONGAY"/>
    <m/>
    <m/>
    <n v="477"/>
    <m/>
    <x v="1"/>
    <s v="classique"/>
    <m/>
    <n v="3.65"/>
    <m/>
    <m/>
    <m/>
    <n v="0.8"/>
    <n v="0.26100000000000001"/>
    <m/>
    <m/>
    <m/>
    <m/>
    <m/>
    <m/>
    <n v="4.7110000000000003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EPP TSAKABALALA"/>
    <m/>
    <m/>
    <n v="408"/>
    <m/>
    <x v="3"/>
    <s v="HGSF"/>
    <m/>
    <n v="2.25"/>
    <m/>
    <m/>
    <m/>
    <n v="0.15"/>
    <n v="0.1575"/>
    <m/>
    <m/>
    <m/>
    <m/>
    <m/>
    <m/>
    <m/>
    <n v="901190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EPP TSIMATAHOMIKA"/>
    <m/>
    <m/>
    <n v="355"/>
    <m/>
    <x v="3"/>
    <s v="HGSF"/>
    <m/>
    <n v="2"/>
    <m/>
    <m/>
    <m/>
    <n v="0.15"/>
    <n v="0.13950000000000001"/>
    <m/>
    <m/>
    <m/>
    <m/>
    <m/>
    <m/>
    <m/>
    <n v="784124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EPP BEHELO"/>
    <m/>
    <m/>
    <n v="276"/>
    <m/>
    <x v="3"/>
    <s v="HGSF"/>
    <m/>
    <n v="1.55"/>
    <m/>
    <m/>
    <m/>
    <n v="0.1"/>
    <n v="0.108"/>
    <m/>
    <m/>
    <m/>
    <m/>
    <m/>
    <m/>
    <m/>
    <n v="609628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EPP ANDRANOLAVA"/>
    <m/>
    <m/>
    <n v="313"/>
    <m/>
    <x v="3"/>
    <s v="HGSF"/>
    <m/>
    <n v="1.7"/>
    <m/>
    <m/>
    <m/>
    <n v="0.15"/>
    <n v="0.126"/>
    <m/>
    <m/>
    <m/>
    <m/>
    <m/>
    <m/>
    <m/>
    <n v="691354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TOHABATO"/>
    <s v="EPP ANDRANOMANINTSY"/>
    <m/>
    <m/>
    <n v="299"/>
    <m/>
    <x v="3"/>
    <s v="HGSF"/>
    <m/>
    <n v="1.65"/>
    <m/>
    <m/>
    <m/>
    <n v="0.1"/>
    <n v="0.11700000000000001"/>
    <m/>
    <m/>
    <m/>
    <m/>
    <m/>
    <m/>
    <m/>
    <n v="660431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NTAKE"/>
    <s v="ANJAMBALO"/>
    <m/>
    <m/>
    <n v="609"/>
    <m/>
    <x v="1"/>
    <s v="classique"/>
    <m/>
    <n v="4.25"/>
    <m/>
    <m/>
    <m/>
    <n v="0.95"/>
    <n v="0.33300000000000002"/>
    <m/>
    <m/>
    <m/>
    <m/>
    <m/>
    <m/>
    <n v="5.5330000000000004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NTAKE"/>
    <s v="ANONTSY"/>
    <m/>
    <m/>
    <n v="601"/>
    <m/>
    <x v="1"/>
    <s v="classique"/>
    <m/>
    <n v="3.55"/>
    <m/>
    <m/>
    <m/>
    <n v="0.75"/>
    <n v="0.32850000000000001"/>
    <m/>
    <m/>
    <m/>
    <m/>
    <m/>
    <m/>
    <n v="4.6284999999999998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NTAKE"/>
    <s v="EPP BEFAHA"/>
    <m/>
    <m/>
    <n v="424"/>
    <m/>
    <x v="3"/>
    <s v="HGSF"/>
    <m/>
    <n v="3.25"/>
    <m/>
    <m/>
    <m/>
    <n v="0.15"/>
    <n v="0.23400000000000001"/>
    <m/>
    <m/>
    <m/>
    <m/>
    <m/>
    <m/>
    <m/>
    <n v="936531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ntake"/>
    <s v="Epp Besatra"/>
    <m/>
    <m/>
    <n v="380"/>
    <m/>
    <x v="3"/>
    <s v="HGSF"/>
    <m/>
    <n v="2.95"/>
    <m/>
    <m/>
    <m/>
    <n v="0.15"/>
    <n v="0.20699999999999999"/>
    <m/>
    <m/>
    <m/>
    <m/>
    <m/>
    <m/>
    <m/>
    <n v="836894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LAMOTY"/>
    <s v="EPP MIHAIKY"/>
    <m/>
    <m/>
    <n v="379"/>
    <m/>
    <x v="3"/>
    <s v="HGSF"/>
    <m/>
    <n v="2.1"/>
    <m/>
    <m/>
    <m/>
    <n v="0.15"/>
    <n v="0.153"/>
    <m/>
    <m/>
    <m/>
    <m/>
    <m/>
    <m/>
    <m/>
    <n v="837135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TIOKY CENTRE"/>
    <s v="AMPAKABO"/>
    <m/>
    <m/>
    <n v="586"/>
    <m/>
    <x v="1"/>
    <s v="classique"/>
    <m/>
    <n v="4.5"/>
    <m/>
    <m/>
    <m/>
    <n v="0.6"/>
    <n v="0.32400000000000001"/>
    <m/>
    <m/>
    <m/>
    <m/>
    <m/>
    <m/>
    <n v="5.4239999999999995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TIOKY II"/>
    <s v="Antsakoandahy"/>
    <m/>
    <m/>
    <n v="479"/>
    <m/>
    <x v="3"/>
    <s v="HGSF"/>
    <m/>
    <n v="3.7"/>
    <m/>
    <m/>
    <m/>
    <n v="0.2"/>
    <n v="0.26550000000000001"/>
    <m/>
    <m/>
    <m/>
    <m/>
    <m/>
    <m/>
    <m/>
    <n v="1054515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TIOKY II"/>
    <s v="EPP RANOFOTY"/>
    <m/>
    <m/>
    <n v="365"/>
    <m/>
    <x v="3"/>
    <s v="HGSF"/>
    <m/>
    <n v="2.1"/>
    <m/>
    <m/>
    <m/>
    <n v="0.15"/>
    <n v="0.1845"/>
    <m/>
    <m/>
    <m/>
    <m/>
    <m/>
    <m/>
    <m/>
    <n v="806212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EPP AMPASIMAIKY"/>
    <m/>
    <m/>
    <n v="262"/>
    <m/>
    <x v="3"/>
    <s v="HGSF"/>
    <m/>
    <n v="1.5"/>
    <m/>
    <m/>
    <m/>
    <n v="0.1"/>
    <n v="0.108"/>
    <m/>
    <m/>
    <m/>
    <m/>
    <m/>
    <m/>
    <m/>
    <n v="5787056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"/>
    <s v="EPP AMPASINDAVA"/>
    <m/>
    <m/>
    <n v="133"/>
    <m/>
    <x v="3"/>
    <s v="HGSF"/>
    <m/>
    <n v="0.8"/>
    <m/>
    <m/>
    <m/>
    <n v="0.05"/>
    <n v="5.8500000000000003E-2"/>
    <m/>
    <m/>
    <m/>
    <m/>
    <m/>
    <m/>
    <m/>
    <n v="293770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"/>
    <s v="EPP AVARADROVA"/>
    <m/>
    <m/>
    <n v="150"/>
    <m/>
    <x v="3"/>
    <s v="HGSF"/>
    <m/>
    <n v="0.9"/>
    <m/>
    <m/>
    <m/>
    <n v="0.05"/>
    <n v="6.3E-2"/>
    <m/>
    <m/>
    <m/>
    <m/>
    <m/>
    <m/>
    <m/>
    <n v="331320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Epp Besakoa"/>
    <m/>
    <m/>
    <n v="431"/>
    <m/>
    <x v="3"/>
    <s v="HGSF"/>
    <m/>
    <n v="3.3"/>
    <m/>
    <m/>
    <m/>
    <n v="0.15"/>
    <n v="0.23849999999999999"/>
    <m/>
    <m/>
    <m/>
    <m/>
    <m/>
    <m/>
    <m/>
    <n v="951992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Fenoala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Epp Mandiso"/>
    <m/>
    <m/>
    <n v="501"/>
    <m/>
    <x v="3"/>
    <s v="HGSF"/>
    <m/>
    <n v="3.05"/>
    <m/>
    <m/>
    <m/>
    <n v="0.2"/>
    <n v="0.2205"/>
    <m/>
    <m/>
    <m/>
    <m/>
    <m/>
    <m/>
    <m/>
    <n v="1106608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Sakamalio"/>
    <m/>
    <m/>
    <n v="281"/>
    <m/>
    <x v="3"/>
    <s v="HGSF"/>
    <m/>
    <n v="1.95"/>
    <m/>
    <m/>
    <m/>
    <n v="0.1"/>
    <n v="0.13950000000000001"/>
    <m/>
    <m/>
    <m/>
    <m/>
    <m/>
    <m/>
    <m/>
    <n v="620672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ZAHA II"/>
    <s v="EPP TANANDAVA TOBY"/>
    <m/>
    <m/>
    <n v="343"/>
    <m/>
    <x v="3"/>
    <s v="HGSF"/>
    <m/>
    <n v="2.4500000000000002"/>
    <m/>
    <m/>
    <m/>
    <n v="0.15"/>
    <n v="0.16200000000000001"/>
    <m/>
    <m/>
    <m/>
    <m/>
    <m/>
    <m/>
    <m/>
    <n v="757618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FENOANDALA"/>
    <s v="ANKILIMIRAFY"/>
    <m/>
    <m/>
    <n v="295"/>
    <m/>
    <x v="3"/>
    <s v="HGSF"/>
    <m/>
    <n v="1.8"/>
    <m/>
    <m/>
    <m/>
    <n v="0.1"/>
    <n v="6.7500000000000004E-2"/>
    <m/>
    <m/>
    <m/>
    <m/>
    <m/>
    <m/>
    <m/>
    <n v="651596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FENOANDALA"/>
    <s v="EPP BESAHATSY"/>
    <m/>
    <m/>
    <n v="265"/>
    <m/>
    <x v="3"/>
    <s v="HGSF"/>
    <m/>
    <n v="1.5"/>
    <m/>
    <m/>
    <m/>
    <n v="0.1"/>
    <n v="0.108"/>
    <m/>
    <m/>
    <m/>
    <m/>
    <m/>
    <m/>
    <m/>
    <n v="585332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FENOANDALA"/>
    <s v="EPP FENOANDALA"/>
    <m/>
    <m/>
    <n v="570"/>
    <m/>
    <x v="3"/>
    <s v="HGSF"/>
    <m/>
    <n v="4.4000000000000004"/>
    <m/>
    <m/>
    <m/>
    <n v="0.2"/>
    <n v="0.315"/>
    <m/>
    <m/>
    <m/>
    <m/>
    <m/>
    <m/>
    <m/>
    <n v="1259016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FENOANDALA"/>
    <s v="EPP MAHAZO"/>
    <m/>
    <m/>
    <n v="304"/>
    <m/>
    <x v="3"/>
    <s v="HGSF"/>
    <m/>
    <n v="1.7"/>
    <m/>
    <m/>
    <m/>
    <n v="0.15"/>
    <n v="0.126"/>
    <m/>
    <m/>
    <m/>
    <m/>
    <m/>
    <m/>
    <m/>
    <n v="671475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FENOANDALA"/>
    <s v="EPP SOAMANONGA/BEVAHO"/>
    <m/>
    <m/>
    <n v="195"/>
    <m/>
    <x v="3"/>
    <s v="HGSF"/>
    <m/>
    <n v="1.1000000000000001"/>
    <m/>
    <m/>
    <m/>
    <n v="0.1"/>
    <n v="8.1000000000000003E-2"/>
    <m/>
    <m/>
    <m/>
    <m/>
    <m/>
    <m/>
    <m/>
    <n v="430716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LAZARIVO"/>
    <s v="LAZARIVO"/>
    <m/>
    <m/>
    <n v="256"/>
    <m/>
    <x v="1"/>
    <s v="classique"/>
    <m/>
    <n v="1.1499999999999999"/>
    <m/>
    <m/>
    <m/>
    <n v="0.2"/>
    <n v="8.1000000000000003E-2"/>
    <m/>
    <m/>
    <m/>
    <m/>
    <m/>
    <m/>
    <n v="1.4309999999999998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MASIABOAY"/>
    <s v="TANANTSOA"/>
    <m/>
    <m/>
    <n v="614"/>
    <m/>
    <x v="1"/>
    <s v="classique"/>
    <m/>
    <n v="3.45"/>
    <m/>
    <m/>
    <m/>
    <n v="0.75"/>
    <n v="0.2475"/>
    <m/>
    <m/>
    <m/>
    <m/>
    <m/>
    <m/>
    <n v="4.4474999999999998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ALOBE"/>
    <s v="Magnasoa Fanjairo"/>
    <m/>
    <m/>
    <n v="516"/>
    <m/>
    <x v="3"/>
    <s v="HGSF"/>
    <m/>
    <n v="3.55"/>
    <m/>
    <m/>
    <m/>
    <n v="0.2"/>
    <n v="0.26100000000000001"/>
    <m/>
    <m/>
    <m/>
    <m/>
    <m/>
    <m/>
    <m/>
    <n v="1139740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ALOBE"/>
    <s v="Salobe"/>
    <m/>
    <m/>
    <n v="578"/>
    <m/>
    <x v="3"/>
    <s v="HGSF"/>
    <m/>
    <n v="4.05"/>
    <m/>
    <m/>
    <m/>
    <n v="0.2"/>
    <n v="0.28799999999999998"/>
    <m/>
    <m/>
    <m/>
    <m/>
    <m/>
    <m/>
    <m/>
    <n v="1276686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OAMANONGA"/>
    <s v="MAROFOTOTSY"/>
    <m/>
    <m/>
    <n v="258"/>
    <m/>
    <x v="1"/>
    <s v="classique"/>
    <m/>
    <n v="1.55"/>
    <m/>
    <m/>
    <m/>
    <n v="0.3"/>
    <n v="0.108"/>
    <m/>
    <m/>
    <m/>
    <m/>
    <m/>
    <m/>
    <n v="1.9580000000000002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OAMANONGA"/>
    <s v="EPP SOAMANONGA"/>
    <m/>
    <m/>
    <n v="471"/>
    <m/>
    <x v="3"/>
    <s v="HGSF"/>
    <m/>
    <n v="2.65"/>
    <m/>
    <m/>
    <m/>
    <n v="0.2"/>
    <n v="0.189"/>
    <m/>
    <m/>
    <m/>
    <m/>
    <m/>
    <m/>
    <m/>
    <n v="1040344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OAMANONGA"/>
    <s v="VOHIPOTSY SUD"/>
    <m/>
    <m/>
    <n v="532"/>
    <m/>
    <x v="1"/>
    <s v="classique"/>
    <m/>
    <n v="2.85"/>
    <m/>
    <m/>
    <m/>
    <n v="0.6"/>
    <n v="0.20250000000000001"/>
    <m/>
    <m/>
    <m/>
    <m/>
    <m/>
    <m/>
    <n v="3.6525000000000003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OASERANA"/>
    <s v="SOASERANA"/>
    <m/>
    <m/>
    <n v="242"/>
    <m/>
    <x v="1"/>
    <s v="classique"/>
    <m/>
    <n v="1.1499999999999999"/>
    <m/>
    <m/>
    <m/>
    <n v="0.25"/>
    <n v="8.1000000000000003E-2"/>
    <m/>
    <m/>
    <m/>
    <m/>
    <m/>
    <m/>
    <n v="1.4809999999999999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ANDOHASATRA"/>
    <m/>
    <m/>
    <n v="371"/>
    <m/>
    <x v="3"/>
    <s v="HGSF"/>
    <m/>
    <n v="2.2000000000000002"/>
    <m/>
    <m/>
    <m/>
    <n v="0.15"/>
    <n v="0.16200000000000001"/>
    <m/>
    <m/>
    <m/>
    <m/>
    <m/>
    <m/>
    <m/>
    <n v="819464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BEMOKY"/>
    <m/>
    <m/>
    <n v="525"/>
    <m/>
    <x v="3"/>
    <s v="HGSF"/>
    <m/>
    <n v="4.05"/>
    <m/>
    <m/>
    <m/>
    <n v="0.2"/>
    <n v="0.28799999999999998"/>
    <m/>
    <m/>
    <m/>
    <m/>
    <m/>
    <m/>
    <m/>
    <n v="1157620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BORO"/>
    <m/>
    <m/>
    <n v="592"/>
    <m/>
    <x v="1"/>
    <s v="classique"/>
    <m/>
    <n v="3.85"/>
    <m/>
    <m/>
    <m/>
    <n v="0.8"/>
    <n v="0.27900000000000003"/>
    <m/>
    <m/>
    <m/>
    <m/>
    <m/>
    <m/>
    <n v="4.9290000000000003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LEOBONDRO"/>
    <m/>
    <m/>
    <n v="258"/>
    <m/>
    <x v="3"/>
    <s v="HGSF"/>
    <m/>
    <n v="2"/>
    <m/>
    <m/>
    <m/>
    <n v="0.1"/>
    <n v="0.14399999999999999"/>
    <m/>
    <m/>
    <m/>
    <m/>
    <m/>
    <m/>
    <m/>
    <n v="569620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Ranomay"/>
    <m/>
    <m/>
    <n v="318"/>
    <m/>
    <x v="3"/>
    <s v="HGSF"/>
    <m/>
    <n v="2.4500000000000002"/>
    <m/>
    <m/>
    <m/>
    <n v="0.15"/>
    <n v="0.17549999999999999"/>
    <m/>
    <m/>
    <m/>
    <m/>
    <m/>
    <m/>
    <m/>
    <n v="702398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TAMEANTSOA"/>
    <m/>
    <m/>
    <n v="663"/>
    <m/>
    <x v="1"/>
    <s v="classique"/>
    <m/>
    <n v="4.9000000000000004"/>
    <m/>
    <m/>
    <m/>
    <n v="1.05"/>
    <n v="0.34649999999999997"/>
    <m/>
    <m/>
    <m/>
    <m/>
    <m/>
    <m/>
    <n v="6.2965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Lazarivo"/>
    <m/>
    <m/>
    <n v="229"/>
    <m/>
    <x v="3"/>
    <s v="HGSF"/>
    <m/>
    <n v="1.45"/>
    <m/>
    <m/>
    <m/>
    <n v="0.1"/>
    <n v="8.5500000000000007E-2"/>
    <m/>
    <m/>
    <m/>
    <m/>
    <m/>
    <m/>
    <m/>
    <n v="505715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BEKOTIKA"/>
    <m/>
    <m/>
    <n v="484"/>
    <m/>
    <x v="3"/>
    <s v="HGSF"/>
    <m/>
    <n v="3.05"/>
    <m/>
    <m/>
    <m/>
    <n v="0.2"/>
    <n v="0.21149999999999999"/>
    <m/>
    <m/>
    <m/>
    <m/>
    <m/>
    <m/>
    <m/>
    <n v="1068356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AMEANTSOA"/>
    <s v="Epp Androvakely"/>
    <m/>
    <m/>
    <n v="291"/>
    <m/>
    <x v="3"/>
    <s v="HGSF"/>
    <m/>
    <n v="2.25"/>
    <m/>
    <m/>
    <m/>
    <n v="0.1"/>
    <n v="0.16200000000000001"/>
    <m/>
    <m/>
    <m/>
    <m/>
    <m/>
    <m/>
    <m/>
    <n v="642760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ONGOBORY"/>
    <s v="AMPOEZY"/>
    <m/>
    <m/>
    <n v="383"/>
    <m/>
    <x v="3"/>
    <s v="HGSF"/>
    <m/>
    <n v="2.4500000000000002"/>
    <m/>
    <m/>
    <m/>
    <n v="0.15"/>
    <n v="0.16200000000000001"/>
    <m/>
    <m/>
    <m/>
    <m/>
    <m/>
    <m/>
    <m/>
    <n v="845970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ONGOBORY"/>
    <s v="EPP FENOANIVO"/>
    <m/>
    <m/>
    <n v="272"/>
    <m/>
    <x v="3"/>
    <s v="HGSF"/>
    <m/>
    <n v="1.5"/>
    <m/>
    <m/>
    <m/>
    <n v="0.1"/>
    <n v="0.10349999999999999"/>
    <m/>
    <m/>
    <m/>
    <m/>
    <m/>
    <m/>
    <m/>
    <n v="6007936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ONGOBORY"/>
    <s v="Epp Tongobory"/>
    <m/>
    <m/>
    <n v="655"/>
    <m/>
    <x v="3"/>
    <s v="HGSF"/>
    <m/>
    <n v="5.05"/>
    <m/>
    <m/>
    <m/>
    <n v="0.25"/>
    <n v="0.36"/>
    <m/>
    <m/>
    <m/>
    <m/>
    <m/>
    <m/>
    <m/>
    <n v="1446718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TONGOBORY"/>
    <s v="EPP BELAZA"/>
    <m/>
    <m/>
    <n v="266"/>
    <m/>
    <x v="3"/>
    <s v="HGSF"/>
    <m/>
    <n v="2.0499999999999998"/>
    <m/>
    <m/>
    <m/>
    <n v="0.1"/>
    <n v="0.14849999999999999"/>
    <m/>
    <m/>
    <m/>
    <m/>
    <m/>
    <m/>
    <m/>
    <n v="5875408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voha"/>
    <s v="EPP Besely Est"/>
    <m/>
    <m/>
    <n v="625"/>
    <m/>
    <x v="3"/>
    <s v="hybride"/>
    <m/>
    <n v="4.1500000000000004"/>
    <m/>
    <m/>
    <m/>
    <n v="0.25"/>
    <n v="0.29699999999999999"/>
    <m/>
    <m/>
    <m/>
    <m/>
    <m/>
    <m/>
    <m/>
    <n v="1366464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voha"/>
    <s v="Epp Miary"/>
    <m/>
    <m/>
    <n v="228"/>
    <m/>
    <x v="3"/>
    <s v="hybride"/>
    <m/>
    <n v="1.75"/>
    <m/>
    <m/>
    <m/>
    <n v="0.1"/>
    <n v="0.126"/>
    <m/>
    <m/>
    <m/>
    <m/>
    <m/>
    <m/>
    <m/>
    <n v="495166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voha"/>
    <s v="Epp Beavoha"/>
    <m/>
    <m/>
    <n v="367"/>
    <m/>
    <x v="3"/>
    <s v="hybride"/>
    <m/>
    <n v="2.65"/>
    <m/>
    <m/>
    <m/>
    <n v="0.15"/>
    <n v="0.189"/>
    <m/>
    <m/>
    <m/>
    <m/>
    <m/>
    <m/>
    <m/>
    <n v="6306296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AVOHA"/>
    <s v="EPP AGNALAMENA"/>
    <m/>
    <m/>
    <n v="300"/>
    <m/>
    <x v="3"/>
    <s v="HGSF"/>
    <m/>
    <n v="1.7"/>
    <m/>
    <m/>
    <m/>
    <n v="0.1"/>
    <n v="0.11700000000000001"/>
    <m/>
    <m/>
    <m/>
    <m/>
    <m/>
    <m/>
    <m/>
    <n v="662640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KAZOMANGA OUEST"/>
    <s v="EPP ANKANDY"/>
    <m/>
    <m/>
    <n v="385"/>
    <m/>
    <x v="3"/>
    <s v="HGSF"/>
    <m/>
    <n v="2.7"/>
    <m/>
    <m/>
    <m/>
    <n v="0.15"/>
    <n v="0.21149999999999999"/>
    <m/>
    <m/>
    <m/>
    <m/>
    <m/>
    <m/>
    <m/>
    <n v="850388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KAZOMANGA OUEST"/>
    <s v="ANKAZOMANGA OUEST"/>
    <m/>
    <m/>
    <n v="523"/>
    <m/>
    <x v="1"/>
    <s v="classique"/>
    <m/>
    <n v="4.05"/>
    <m/>
    <m/>
    <m/>
    <n v="0.9"/>
    <n v="0.28799999999999998"/>
    <m/>
    <m/>
    <m/>
    <m/>
    <m/>
    <m/>
    <n v="5.2380000000000004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KAZOMANGA OUEST"/>
    <s v="EPP BEVALA"/>
    <m/>
    <m/>
    <n v="455"/>
    <m/>
    <x v="3"/>
    <s v="HGSF"/>
    <m/>
    <n v="3"/>
    <m/>
    <m/>
    <m/>
    <n v="0.2"/>
    <n v="0.216"/>
    <m/>
    <m/>
    <m/>
    <m/>
    <m/>
    <m/>
    <m/>
    <n v="1005004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NKAZOMANGA OUEST"/>
    <s v="VOVOMENA"/>
    <m/>
    <m/>
    <n v="482"/>
    <m/>
    <x v="1"/>
    <s v="classique"/>
    <m/>
    <n v="2.75"/>
    <m/>
    <m/>
    <m/>
    <n v="0.6"/>
    <n v="0.19800000000000001"/>
    <m/>
    <m/>
    <m/>
    <m/>
    <m/>
    <m/>
    <n v="3.548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MAROARIVO"/>
    <s v="MAROARIVO"/>
    <m/>
    <m/>
    <n v="416"/>
    <m/>
    <x v="1"/>
    <s v="classique"/>
    <m/>
    <n v="2.7"/>
    <m/>
    <m/>
    <m/>
    <n v="0.6"/>
    <n v="0.19350000000000001"/>
    <m/>
    <m/>
    <m/>
    <m/>
    <m/>
    <m/>
    <n v="3.4935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Maroarivo"/>
    <s v="Epp Analalentika"/>
    <m/>
    <m/>
    <n v="338"/>
    <m/>
    <x v="3"/>
    <s v="HGSF"/>
    <m/>
    <n v="1.95"/>
    <m/>
    <m/>
    <m/>
    <n v="0.15"/>
    <n v="0.14399999999999999"/>
    <m/>
    <m/>
    <m/>
    <m/>
    <m/>
    <m/>
    <m/>
    <n v="7465744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MAROARIVO"/>
    <s v="ANDREMBA CENTRE"/>
    <m/>
    <m/>
    <n v="457"/>
    <m/>
    <x v="1"/>
    <s v="classique"/>
    <m/>
    <n v="3.4"/>
    <m/>
    <m/>
    <m/>
    <n v="0.75"/>
    <n v="0.24299999999999999"/>
    <m/>
    <m/>
    <m/>
    <m/>
    <m/>
    <m/>
    <n v="4.3930000000000007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AMBATRY"/>
    <s v="ANDRANOKOTOTO"/>
    <m/>
    <m/>
    <n v="485"/>
    <m/>
    <x v="1"/>
    <s v="classique"/>
    <m/>
    <n v="3.75"/>
    <m/>
    <m/>
    <m/>
    <n v="0.85"/>
    <n v="0.26550000000000001"/>
    <m/>
    <m/>
    <m/>
    <m/>
    <m/>
    <m/>
    <n v="4.8654999999999999"/>
    <n v="0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SELY"/>
    <s v="EPP BESELY"/>
    <m/>
    <m/>
    <n v="309"/>
    <m/>
    <x v="3"/>
    <s v="HGSF"/>
    <m/>
    <n v="1.7"/>
    <m/>
    <m/>
    <m/>
    <n v="0.15"/>
    <n v="0.126"/>
    <m/>
    <m/>
    <m/>
    <m/>
    <m/>
    <m/>
    <m/>
    <n v="6825192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BESELY"/>
    <s v="EPP SAKOAMARO"/>
    <m/>
    <m/>
    <n v="207"/>
    <m/>
    <x v="3"/>
    <s v="HGSF"/>
    <m/>
    <n v="0"/>
    <m/>
    <m/>
    <m/>
    <n v="0"/>
    <n v="0"/>
    <m/>
    <m/>
    <m/>
    <m/>
    <m/>
    <m/>
    <m/>
    <n v="4572216"/>
    <m/>
  </r>
  <r>
    <x v="0"/>
    <n v="2024"/>
    <x v="3"/>
    <s v="SMP1"/>
    <x v="8"/>
    <s v="School feeding"/>
    <m/>
    <m/>
    <s v="Tuléar"/>
    <x v="3"/>
    <s v="Tuléar"/>
    <s v="Atsimo Andrefana"/>
    <s v="BETIOKY SUD"/>
    <m/>
    <s v="SOASERANA"/>
    <s v="MAROSAVOA BAS"/>
    <m/>
    <m/>
    <n v="192"/>
    <m/>
    <x v="1"/>
    <s v="classique"/>
    <m/>
    <n v="1.05"/>
    <m/>
    <m/>
    <m/>
    <n v="0.35"/>
    <n v="7.6499999999999999E-2"/>
    <m/>
    <m/>
    <m/>
    <m/>
    <m/>
    <m/>
    <n v="1.4764999999999999"/>
    <n v="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mbahikily"/>
    <s v="Epp  Andranomanitsy"/>
    <m/>
    <m/>
    <n v="654"/>
    <m/>
    <x v="3"/>
    <s v="hybride"/>
    <m/>
    <n v="4.1500000000000004"/>
    <m/>
    <m/>
    <m/>
    <n v="0.25"/>
    <n v="0.36"/>
    <m/>
    <m/>
    <m/>
    <m/>
    <m/>
    <m/>
    <m/>
    <n v="14445552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Tanandava Village"/>
    <m/>
    <m/>
    <n v="268"/>
    <m/>
    <x v="3"/>
    <s v="hybride"/>
    <m/>
    <n v="2.0499999999999998"/>
    <m/>
    <m/>
    <m/>
    <n v="0.1"/>
    <n v="0.14849999999999999"/>
    <m/>
    <m/>
    <m/>
    <m/>
    <m/>
    <m/>
    <m/>
    <n v="5919584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ANKILIMAHAVELO"/>
    <m/>
    <m/>
    <n v="247"/>
    <m/>
    <x v="3"/>
    <s v="HGSF"/>
    <m/>
    <n v="1.55"/>
    <m/>
    <m/>
    <m/>
    <n v="0.1"/>
    <n v="0.13500000000000001"/>
    <m/>
    <m/>
    <m/>
    <m/>
    <m/>
    <m/>
    <m/>
    <n v="5455736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mbahikily"/>
    <s v="EPP Mahazoarivo "/>
    <m/>
    <m/>
    <n v="410"/>
    <m/>
    <x v="3"/>
    <s v="hybride"/>
    <m/>
    <n v="2.75"/>
    <m/>
    <m/>
    <m/>
    <n v="0.15"/>
    <n v="0.22500000000000001"/>
    <m/>
    <m/>
    <m/>
    <m/>
    <m/>
    <m/>
    <m/>
    <n v="905608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Tanadava Sation"/>
    <m/>
    <m/>
    <n v="1770"/>
    <m/>
    <x v="3"/>
    <s v="hybride"/>
    <m/>
    <n v="11.75"/>
    <m/>
    <m/>
    <m/>
    <n v="0.6"/>
    <n v="0.97199999999999998"/>
    <m/>
    <m/>
    <m/>
    <m/>
    <m/>
    <m/>
    <m/>
    <n v="3906911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TANANDAVA VILLAGE"/>
    <m/>
    <m/>
    <n v="390"/>
    <m/>
    <x v="3"/>
    <s v="HGSF"/>
    <m/>
    <n v="2.6"/>
    <m/>
    <m/>
    <m/>
    <n v="0.15"/>
    <n v="0.216"/>
    <m/>
    <m/>
    <m/>
    <m/>
    <m/>
    <m/>
    <m/>
    <n v="861432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MBAHIKILY"/>
    <s v="EPP BEHIBAKE"/>
    <m/>
    <m/>
    <n v="208"/>
    <m/>
    <x v="3"/>
    <s v="HGSF"/>
    <m/>
    <n v="1.2"/>
    <m/>
    <m/>
    <m/>
    <n v="0.1"/>
    <n v="0.1125"/>
    <m/>
    <m/>
    <m/>
    <m/>
    <m/>
    <m/>
    <m/>
    <n v="4594304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NTANIMIEVA"/>
    <s v="EPP ANTANIMIEVA"/>
    <m/>
    <m/>
    <n v="892"/>
    <m/>
    <x v="3"/>
    <s v="HGSF"/>
    <m/>
    <n v="5"/>
    <m/>
    <m/>
    <m/>
    <n v="0.3"/>
    <n v="0.49049999999999999"/>
    <m/>
    <m/>
    <m/>
    <m/>
    <m/>
    <m/>
    <m/>
    <n v="19702496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NTANIMIEVA"/>
    <s v="EPP MANOMBIKA"/>
    <m/>
    <m/>
    <n v="225"/>
    <m/>
    <x v="3"/>
    <s v="HGSF"/>
    <m/>
    <n v="1.2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NTANIMIEVA"/>
    <s v="EPP MILOMBOKA"/>
    <m/>
    <m/>
    <n v="330"/>
    <m/>
    <x v="3"/>
    <s v="HGSF"/>
    <m/>
    <n v="1.9"/>
    <m/>
    <m/>
    <m/>
    <n v="0.15"/>
    <n v="0.18"/>
    <m/>
    <m/>
    <m/>
    <m/>
    <m/>
    <m/>
    <m/>
    <n v="728904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asibasy"/>
    <s v="Epp Basibasy"/>
    <m/>
    <m/>
    <n v="330"/>
    <m/>
    <x v="3"/>
    <s v="hybride"/>
    <m/>
    <n v="2"/>
    <m/>
    <m/>
    <m/>
    <n v="0.15"/>
    <n v="0.18"/>
    <m/>
    <m/>
    <m/>
    <m/>
    <m/>
    <m/>
    <m/>
    <n v="728904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ASIBASY"/>
    <s v="EPP BEMOKA"/>
    <m/>
    <m/>
    <n v="204"/>
    <m/>
    <x v="3"/>
    <s v="HGSF"/>
    <m/>
    <n v="1.55"/>
    <m/>
    <m/>
    <m/>
    <n v="0.1"/>
    <n v="0"/>
    <m/>
    <m/>
    <m/>
    <m/>
    <m/>
    <m/>
    <m/>
    <n v="4505952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ASIBASY"/>
    <s v="EPP MANDEVIBE"/>
    <m/>
    <m/>
    <n v="129"/>
    <m/>
    <x v="3"/>
    <s v="HGSF"/>
    <m/>
    <n v="0.8"/>
    <m/>
    <m/>
    <m/>
    <n v="0.05"/>
    <n v="7.1999999999999995E-2"/>
    <m/>
    <m/>
    <m/>
    <m/>
    <m/>
    <m/>
    <m/>
    <n v="2849352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EFANDRIANA SUD"/>
    <s v="EPP SIHANAKA"/>
    <m/>
    <m/>
    <n v="225"/>
    <m/>
    <x v="3"/>
    <s v="HGSF"/>
    <m/>
    <n v="1.25"/>
    <m/>
    <m/>
    <m/>
    <n v="0.1"/>
    <n v="0.126"/>
    <m/>
    <m/>
    <m/>
    <m/>
    <m/>
    <m/>
    <m/>
    <n v="496980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MOROMBE"/>
    <s v="EPP BELITSAKE"/>
    <m/>
    <m/>
    <n v="273"/>
    <m/>
    <x v="3"/>
    <s v="HGSF"/>
    <m/>
    <n v="2.1"/>
    <m/>
    <m/>
    <m/>
    <n v="0.1"/>
    <n v="0"/>
    <m/>
    <m/>
    <m/>
    <m/>
    <m/>
    <m/>
    <m/>
    <n v="6030024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MOROMBE"/>
    <s v="EPP MAMONO"/>
    <m/>
    <m/>
    <n v="537"/>
    <m/>
    <x v="3"/>
    <s v="HGSF"/>
    <m/>
    <n v="4.1500000000000004"/>
    <m/>
    <m/>
    <m/>
    <n v="0.2"/>
    <n v="0"/>
    <m/>
    <m/>
    <m/>
    <m/>
    <m/>
    <m/>
    <m/>
    <n v="11861256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Morombe"/>
    <s v="Epp Mangolovolo"/>
    <m/>
    <m/>
    <n v="424"/>
    <m/>
    <x v="3"/>
    <s v="hybride"/>
    <m/>
    <n v="2.65"/>
    <m/>
    <m/>
    <m/>
    <n v="0.15"/>
    <n v="0.23400000000000001"/>
    <m/>
    <m/>
    <m/>
    <m/>
    <m/>
    <m/>
    <m/>
    <n v="9365312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NKATSAKANTSA SUD"/>
    <s v="EPP ANADABO"/>
    <m/>
    <m/>
    <n v="165"/>
    <m/>
    <x v="3"/>
    <s v="HGSF"/>
    <m/>
    <n v="0.95"/>
    <m/>
    <m/>
    <m/>
    <n v="0.1"/>
    <n v="0.09"/>
    <m/>
    <m/>
    <m/>
    <m/>
    <m/>
    <m/>
    <m/>
    <n v="3644520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ANKATSAKANTSA SUD"/>
    <s v="EPP ANDRANOBOKA"/>
    <m/>
    <m/>
    <n v="306"/>
    <m/>
    <x v="3"/>
    <s v="HGSF"/>
    <m/>
    <n v="1.9"/>
    <m/>
    <m/>
    <m/>
    <n v="0.15"/>
    <n v="0.16650000000000001"/>
    <m/>
    <m/>
    <m/>
    <m/>
    <m/>
    <m/>
    <m/>
    <n v="6758928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EFANDEFA"/>
    <s v="EPP BEFANDEFA"/>
    <m/>
    <m/>
    <n v="366"/>
    <m/>
    <x v="3"/>
    <s v="HGSF"/>
    <m/>
    <n v="2.4500000000000002"/>
    <m/>
    <m/>
    <m/>
    <n v="0.15"/>
    <n v="0.20250000000000001"/>
    <m/>
    <m/>
    <m/>
    <m/>
    <m/>
    <m/>
    <m/>
    <n v="8084208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efandefa "/>
    <s v="Epp Ambalorao"/>
    <m/>
    <m/>
    <n v="102"/>
    <m/>
    <x v="3"/>
    <s v="hybride"/>
    <m/>
    <n v="0.75"/>
    <m/>
    <m/>
    <m/>
    <n v="0.05"/>
    <n v="4.9500000000000002E-2"/>
    <m/>
    <m/>
    <m/>
    <m/>
    <m/>
    <m/>
    <m/>
    <n v="2252976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EFANDEFA"/>
    <s v="EPP ANKINDRANOKE"/>
    <m/>
    <m/>
    <n v="438"/>
    <m/>
    <x v="3"/>
    <s v="HGSF"/>
    <m/>
    <n v="2.85"/>
    <m/>
    <m/>
    <m/>
    <n v="0.15"/>
    <n v="0.24299999999999999"/>
    <m/>
    <m/>
    <m/>
    <m/>
    <m/>
    <m/>
    <m/>
    <n v="9674544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Befandefa "/>
    <s v=" Epp Ankilimalinike"/>
    <m/>
    <m/>
    <n v="53"/>
    <m/>
    <x v="3"/>
    <s v="hybride"/>
    <m/>
    <n v="0.3"/>
    <m/>
    <m/>
    <m/>
    <n v="0.05"/>
    <n v="2.7E-2"/>
    <m/>
    <m/>
    <m/>
    <m/>
    <m/>
    <m/>
    <m/>
    <n v="1170664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ANKILILOAKE"/>
    <m/>
    <m/>
    <n v="211"/>
    <m/>
    <x v="3"/>
    <s v="HGSF"/>
    <m/>
    <n v="1.6"/>
    <m/>
    <m/>
    <m/>
    <n v="0.1"/>
    <n v="1.35E-2"/>
    <m/>
    <m/>
    <m/>
    <m/>
    <m/>
    <m/>
    <m/>
    <n v="4660568"/>
    <m/>
  </r>
  <r>
    <x v="0"/>
    <n v="2024"/>
    <x v="3"/>
    <s v="SMP1"/>
    <x v="8"/>
    <s v="School feeding"/>
    <m/>
    <m/>
    <s v="Tuléar"/>
    <x v="3"/>
    <s v="Tuléar"/>
    <s v="Atsimo Andrefana"/>
    <s v="MOROMBE"/>
    <m/>
    <s v="TANANDAVA STATION"/>
    <s v="Epp Mampagnarivo"/>
    <m/>
    <m/>
    <n v="261"/>
    <m/>
    <x v="3"/>
    <s v="hybride"/>
    <m/>
    <n v="1.85"/>
    <m/>
    <m/>
    <m/>
    <n v="0.1"/>
    <n v="0.14399999999999999"/>
    <m/>
    <m/>
    <m/>
    <m/>
    <m/>
    <m/>
    <m/>
    <n v="5764968"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Ambahatrazo "/>
    <m/>
    <m/>
    <m/>
    <n v="5698"/>
    <n v="1140"/>
    <x v="1"/>
    <m/>
    <n v="15"/>
    <n v="34.200000000000003"/>
    <m/>
    <m/>
    <m/>
    <n v="5.13"/>
    <n v="2.9925000000000002"/>
    <m/>
    <m/>
    <m/>
    <m/>
    <m/>
    <m/>
    <n v="42.322500000000005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Ampasimanjeva "/>
    <m/>
    <m/>
    <m/>
    <n v="11170"/>
    <n v="2234"/>
    <x v="1"/>
    <m/>
    <n v="15"/>
    <n v="67.02"/>
    <m/>
    <m/>
    <m/>
    <n v="10.053000000000001"/>
    <n v="5.8642500000000002"/>
    <m/>
    <m/>
    <m/>
    <m/>
    <m/>
    <m/>
    <n v="82.937249999999992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Anosiala "/>
    <m/>
    <m/>
    <m/>
    <n v="9795"/>
    <n v="1959"/>
    <x v="1"/>
    <m/>
    <n v="15"/>
    <n v="58.77"/>
    <m/>
    <m/>
    <m/>
    <n v="8.8155000000000001"/>
    <n v="5.1423750000000004"/>
    <m/>
    <m/>
    <m/>
    <m/>
    <m/>
    <m/>
    <n v="72.727874999999997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Mangatsiotra "/>
    <m/>
    <m/>
    <m/>
    <n v="3388"/>
    <n v="677"/>
    <x v="1"/>
    <m/>
    <n v="15"/>
    <n v="20.309999999999999"/>
    <m/>
    <m/>
    <m/>
    <n v="3.0465"/>
    <n v="1.7771250000000001"/>
    <m/>
    <m/>
    <m/>
    <m/>
    <m/>
    <m/>
    <n v="25.133624999999999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Manjarivo "/>
    <m/>
    <m/>
    <m/>
    <n v="7523"/>
    <n v="1505"/>
    <x v="1"/>
    <m/>
    <n v="15"/>
    <n v="45.15"/>
    <m/>
    <m/>
    <m/>
    <n v="6.7725"/>
    <n v="3.9506249999999996"/>
    <m/>
    <m/>
    <m/>
    <m/>
    <m/>
    <m/>
    <n v="55.873125000000002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Mitanty "/>
    <m/>
    <m/>
    <m/>
    <n v="6950"/>
    <n v="1390"/>
    <x v="1"/>
    <m/>
    <n v="15"/>
    <n v="41.7"/>
    <m/>
    <m/>
    <m/>
    <n v="6.2549999999999999"/>
    <n v="3.6487499999999997"/>
    <m/>
    <m/>
    <m/>
    <m/>
    <m/>
    <m/>
    <n v="51.603750000000005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Sakoana "/>
    <m/>
    <m/>
    <m/>
    <n v="6908"/>
    <n v="1382"/>
    <x v="1"/>
    <m/>
    <n v="15"/>
    <n v="41.46"/>
    <m/>
    <m/>
    <m/>
    <n v="6.2190000000000003"/>
    <n v="3.6277499999999994"/>
    <m/>
    <m/>
    <m/>
    <m/>
    <m/>
    <m/>
    <n v="51.306750000000001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Sorombo "/>
    <m/>
    <m/>
    <m/>
    <n v="10214"/>
    <n v="2043"/>
    <x v="1"/>
    <m/>
    <n v="15"/>
    <n v="61.29"/>
    <m/>
    <m/>
    <m/>
    <n v="9.1935000000000002"/>
    <n v="5.3628749999999998"/>
    <m/>
    <m/>
    <m/>
    <m/>
    <m/>
    <m/>
    <n v="75.846374999999995"/>
    <m/>
    <m/>
  </r>
  <r>
    <x v="2"/>
    <n v="2024"/>
    <x v="2"/>
    <s v="GD"/>
    <x v="9"/>
    <s v="URT_GD: General Distribution"/>
    <n v="1"/>
    <m/>
    <s v="Manakara"/>
    <x v="1"/>
    <s v="Tamatave"/>
    <s v="Fitovinany"/>
    <s v="Manakara Atsimo"/>
    <s v="ASSOS"/>
    <s v=" Vohimasina Nord "/>
    <m/>
    <m/>
    <m/>
    <n v="6367"/>
    <n v="1273"/>
    <x v="1"/>
    <m/>
    <n v="15"/>
    <n v="38.19"/>
    <m/>
    <m/>
    <m/>
    <n v="5.7285000000000004"/>
    <n v="3.3416250000000001"/>
    <m/>
    <m/>
    <m/>
    <m/>
    <m/>
    <m/>
    <n v="47.260124999999995"/>
    <m/>
    <m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Tsarahafatra "/>
    <m/>
    <m/>
    <m/>
    <n v="5470"/>
    <n v="1094"/>
    <x v="1"/>
    <m/>
    <n v="15"/>
    <n v="32.82"/>
    <m/>
    <m/>
    <m/>
    <n v="4.923"/>
    <n v="2.87175"/>
    <m/>
    <m/>
    <m/>
    <m/>
    <m/>
    <m/>
    <n v="40.614750000000001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Ampataka "/>
    <m/>
    <m/>
    <m/>
    <n v="10850"/>
    <n v="2170"/>
    <x v="1"/>
    <m/>
    <n v="15"/>
    <n v="65.099999999999994"/>
    <m/>
    <m/>
    <m/>
    <n v="9.7650000000000006"/>
    <n v="5.69625"/>
    <m/>
    <m/>
    <m/>
    <m/>
    <m/>
    <m/>
    <n v="80.561250000000001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Fonilaza "/>
    <m/>
    <m/>
    <m/>
    <n v="12000"/>
    <n v="2400"/>
    <x v="1"/>
    <m/>
    <n v="15"/>
    <n v="72"/>
    <m/>
    <m/>
    <m/>
    <n v="10.8"/>
    <n v="6.3"/>
    <m/>
    <m/>
    <m/>
    <m/>
    <m/>
    <m/>
    <n v="89.1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Isahara "/>
    <m/>
    <m/>
    <m/>
    <n v="6900"/>
    <n v="1380"/>
    <x v="1"/>
    <m/>
    <n v="15"/>
    <n v="41.4"/>
    <m/>
    <m/>
    <m/>
    <n v="6.21"/>
    <n v="3.6224999999999996"/>
    <m/>
    <m/>
    <m/>
    <m/>
    <m/>
    <m/>
    <n v="51.232500000000002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Tsianofana "/>
    <m/>
    <m/>
    <m/>
    <n v="9000"/>
    <n v="1800"/>
    <x v="1"/>
    <m/>
    <n v="15"/>
    <n v="54"/>
    <m/>
    <m/>
    <m/>
    <n v="8.1"/>
    <n v="4.7249999999999996"/>
    <m/>
    <m/>
    <m/>
    <m/>
    <m/>
    <m/>
    <n v="66.825000000000003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Vohitrambo "/>
    <m/>
    <m/>
    <m/>
    <n v="17000"/>
    <n v="3400"/>
    <x v="1"/>
    <m/>
    <n v="15"/>
    <n v="102"/>
    <m/>
    <m/>
    <m/>
    <n v="15.3"/>
    <n v="8.9250000000000007"/>
    <m/>
    <m/>
    <m/>
    <m/>
    <m/>
    <m/>
    <n v="126.22499999999999"/>
    <m/>
    <m/>
  </r>
  <r>
    <x v="2"/>
    <n v="2024"/>
    <x v="2"/>
    <s v="GD"/>
    <x v="9"/>
    <s v="URT_GD: General Distribution"/>
    <n v="1"/>
    <m/>
    <s v="Manakara"/>
    <x v="1"/>
    <s v="Tamatave"/>
    <s v="Atsimo Atsinanana"/>
    <s v="Vondrozo"/>
    <s v="WHH"/>
    <s v=" Antokonala "/>
    <m/>
    <m/>
    <m/>
    <n v="6495"/>
    <n v="1299"/>
    <x v="1"/>
    <m/>
    <n v="15"/>
    <n v="38.97"/>
    <m/>
    <m/>
    <m/>
    <n v="5.8455000000000004"/>
    <n v="3.409875"/>
    <m/>
    <m/>
    <m/>
    <m/>
    <m/>
    <m/>
    <n v="48.225375"/>
    <m/>
    <m/>
  </r>
  <r>
    <x v="2"/>
    <n v="2024"/>
    <x v="2"/>
    <s v="GD"/>
    <x v="9"/>
    <s v="URT_GD: General Distribution"/>
    <n v="1"/>
    <m/>
    <s v="Manakara"/>
    <x v="1"/>
    <s v="Tamatave"/>
    <s v="Fitovinany"/>
    <s v="Vohipeno"/>
    <s v="ASSOS"/>
    <s v=" Amborobe "/>
    <m/>
    <m/>
    <m/>
    <n v="3046"/>
    <n v="609"/>
    <x v="1"/>
    <m/>
    <n v="15"/>
    <n v="18.27"/>
    <m/>
    <m/>
    <m/>
    <n v="2.7404999999999999"/>
    <n v="1.598625"/>
    <m/>
    <m/>
    <m/>
    <m/>
    <m/>
    <m/>
    <n v="22.609124999999999"/>
    <m/>
    <m/>
  </r>
  <r>
    <x v="2"/>
    <n v="2024"/>
    <x v="2"/>
    <s v="GD"/>
    <x v="9"/>
    <s v="URT_GD: General Distribution"/>
    <n v="1"/>
    <m/>
    <s v="Manakara"/>
    <x v="1"/>
    <s v="Tamatave"/>
    <s v="Fitovinany"/>
    <s v="Vohipeno"/>
    <s v="ASSOS"/>
    <s v=" Anoloka "/>
    <m/>
    <m/>
    <m/>
    <n v="2915"/>
    <n v="583"/>
    <x v="1"/>
    <m/>
    <n v="15"/>
    <n v="17.489999999999998"/>
    <m/>
    <m/>
    <m/>
    <n v="2.6234999999999999"/>
    <n v="1.530375"/>
    <m/>
    <m/>
    <m/>
    <m/>
    <m/>
    <m/>
    <n v="21.643874999999998"/>
    <m/>
    <m/>
  </r>
  <r>
    <x v="2"/>
    <n v="2024"/>
    <x v="2"/>
    <s v="GD"/>
    <x v="9"/>
    <s v="URT_GD: General Distribution"/>
    <n v="1"/>
    <m/>
    <s v="Manakara"/>
    <x v="1"/>
    <s v="Tamatave"/>
    <s v="Fitovinany"/>
    <s v="Vohipeno"/>
    <s v="ASSOS"/>
    <s v=" Lanivo "/>
    <m/>
    <m/>
    <m/>
    <n v="6514"/>
    <n v="1303"/>
    <x v="1"/>
    <m/>
    <n v="15"/>
    <n v="39.090000000000003"/>
    <m/>
    <m/>
    <m/>
    <n v="5.8635000000000002"/>
    <n v="3.4203749999999999"/>
    <m/>
    <m/>
    <m/>
    <m/>
    <m/>
    <m/>
    <n v="48.373875000000005"/>
    <m/>
    <m/>
  </r>
  <r>
    <x v="2"/>
    <n v="2024"/>
    <x v="2"/>
    <s v="GD"/>
    <x v="9"/>
    <s v="URT_GD: General Distribution"/>
    <n v="1"/>
    <m/>
    <s v="Manakara"/>
    <x v="1"/>
    <s v="Tamatave"/>
    <s v="Fitovinany"/>
    <s v="Vohipeno"/>
    <s v="ASSOS"/>
    <s v=" Savana "/>
    <m/>
    <m/>
    <m/>
    <n v="3012"/>
    <n v="602"/>
    <x v="1"/>
    <m/>
    <n v="15"/>
    <n v="18.059999999999999"/>
    <m/>
    <m/>
    <m/>
    <n v="2.7090000000000001"/>
    <n v="1.5802499999999999"/>
    <m/>
    <m/>
    <m/>
    <m/>
    <m/>
    <m/>
    <n v="22.349249999999998"/>
    <m/>
    <m/>
  </r>
  <r>
    <x v="2"/>
    <n v="2024"/>
    <x v="2"/>
    <s v="GD"/>
    <x v="9"/>
    <s v="URT_GD: General Distribution"/>
    <n v="1"/>
    <m/>
    <s v="Manakara"/>
    <x v="1"/>
    <s v="Tamatave"/>
    <s v="Fitovinany"/>
    <s v="Ikongo"/>
    <s v=" NY TANINTSIKA "/>
    <s v=" Belemoke "/>
    <m/>
    <m/>
    <m/>
    <n v="7317"/>
    <n v="3965"/>
    <x v="0"/>
    <m/>
    <n v="20"/>
    <m/>
    <m/>
    <m/>
    <m/>
    <m/>
    <m/>
    <m/>
    <m/>
    <m/>
    <m/>
    <m/>
    <m/>
    <m/>
    <n v="475800000"/>
    <n v="104361.78753010435"/>
  </r>
  <r>
    <x v="2"/>
    <n v="2024"/>
    <x v="2"/>
    <s v="GD"/>
    <x v="9"/>
    <s v="URT_GD: General Distribution"/>
    <n v="1"/>
    <m/>
    <s v="Manakara"/>
    <x v="1"/>
    <s v="Tamatave"/>
    <s v="Fitovinany"/>
    <s v="Ikongo"/>
    <s v=" NY TANINTSIKA "/>
    <s v=" Kalafotsy "/>
    <m/>
    <m/>
    <m/>
    <n v="15170"/>
    <n v="3504"/>
    <x v="0"/>
    <m/>
    <n v="20"/>
    <m/>
    <m/>
    <m/>
    <m/>
    <m/>
    <m/>
    <m/>
    <m/>
    <m/>
    <m/>
    <m/>
    <m/>
    <m/>
    <n v="420480000"/>
    <n v="92227.920177928288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Ambohitsara Est "/>
    <m/>
    <m/>
    <m/>
    <n v="5725"/>
    <n v="1145"/>
    <x v="0"/>
    <m/>
    <n v="20"/>
    <m/>
    <m/>
    <m/>
    <m/>
    <m/>
    <m/>
    <m/>
    <m/>
    <m/>
    <m/>
    <m/>
    <m/>
    <m/>
    <n v="137400000"/>
    <n v="30137.262729374397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Ankatafana "/>
    <m/>
    <m/>
    <m/>
    <n v="8529"/>
    <n v="1706"/>
    <x v="0"/>
    <m/>
    <n v="20"/>
    <m/>
    <m/>
    <m/>
    <m/>
    <m/>
    <m/>
    <m/>
    <m/>
    <m/>
    <m/>
    <m/>
    <m/>
    <m/>
    <n v="204720000"/>
    <n v="44903.20542909408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Mahatsara Iefaka "/>
    <m/>
    <m/>
    <m/>
    <n v="3600"/>
    <n v="720"/>
    <x v="0"/>
    <m/>
    <n v="20"/>
    <m/>
    <m/>
    <m/>
    <m/>
    <m/>
    <m/>
    <m/>
    <m/>
    <m/>
    <m/>
    <m/>
    <m/>
    <m/>
    <n v="86400000"/>
    <n v="18950.942502314032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Mahatsara Sud "/>
    <m/>
    <m/>
    <m/>
    <n v="6151"/>
    <n v="1230"/>
    <x v="0"/>
    <m/>
    <n v="20"/>
    <m/>
    <m/>
    <m/>
    <m/>
    <m/>
    <m/>
    <m/>
    <m/>
    <m/>
    <m/>
    <m/>
    <m/>
    <m/>
    <n v="147600000"/>
    <n v="32374.526774786471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Mahavoky Nord "/>
    <m/>
    <m/>
    <m/>
    <n v="5984"/>
    <n v="1197"/>
    <x v="0"/>
    <m/>
    <n v="20"/>
    <m/>
    <m/>
    <m/>
    <m/>
    <m/>
    <m/>
    <m/>
    <m/>
    <m/>
    <m/>
    <m/>
    <m/>
    <m/>
    <n v="143640000"/>
    <n v="31505.941910097077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Mahela "/>
    <m/>
    <m/>
    <m/>
    <n v="9182"/>
    <n v="1836"/>
    <x v="0"/>
    <m/>
    <n v="20"/>
    <m/>
    <m/>
    <m/>
    <m/>
    <m/>
    <m/>
    <m/>
    <m/>
    <m/>
    <m/>
    <m/>
    <m/>
    <m/>
    <n v="220320000"/>
    <n v="48324.903380900781"/>
  </r>
  <r>
    <x v="2"/>
    <n v="2024"/>
    <x v="2"/>
    <s v="GD"/>
    <x v="9"/>
    <s v="URT_GD: General Distribution"/>
    <n v="1"/>
    <m/>
    <s v="Manakara"/>
    <x v="1"/>
    <s v="Tamatave"/>
    <s v="Vatovavy"/>
    <s v="Mananjary"/>
    <s v="YPA"/>
    <s v=" Marosangy "/>
    <m/>
    <m/>
    <m/>
    <n v="6618"/>
    <n v="1324"/>
    <x v="0"/>
    <m/>
    <n v="20"/>
    <m/>
    <m/>
    <m/>
    <m/>
    <m/>
    <m/>
    <m/>
    <m/>
    <m/>
    <m/>
    <m/>
    <m/>
    <m/>
    <n v="158880000"/>
    <n v="34848.677601477466"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Ambatolava "/>
    <m/>
    <m/>
    <m/>
    <n v="6666"/>
    <n v="1333"/>
    <x v="0"/>
    <m/>
    <n v="20"/>
    <m/>
    <m/>
    <m/>
    <m/>
    <m/>
    <m/>
    <m/>
    <m/>
    <m/>
    <m/>
    <m/>
    <m/>
    <m/>
    <n v="159960000"/>
    <n v="35085.564382756398"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Bekaraoky "/>
    <m/>
    <m/>
    <m/>
    <n v="5589"/>
    <n v="1118"/>
    <x v="0"/>
    <m/>
    <n v="20"/>
    <m/>
    <m/>
    <m/>
    <m/>
    <m/>
    <m/>
    <m/>
    <m/>
    <m/>
    <m/>
    <m/>
    <m/>
    <m/>
    <n v="134160000"/>
    <n v="29426.602385537622"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Vatanato "/>
    <m/>
    <m/>
    <m/>
    <n v="5449"/>
    <n v="1090"/>
    <x v="0"/>
    <m/>
    <n v="20"/>
    <m/>
    <m/>
    <m/>
    <m/>
    <m/>
    <m/>
    <m/>
    <m/>
    <m/>
    <m/>
    <m/>
    <m/>
    <m/>
    <n v="130800000"/>
    <n v="28689.621288225408"/>
  </r>
  <r>
    <x v="2"/>
    <n v="2024"/>
    <x v="2"/>
    <s v="GD"/>
    <x v="9"/>
    <s v="URT_GD: General Distribution"/>
    <n v="1"/>
    <m/>
    <s v="Manakara"/>
    <x v="1"/>
    <s v="Tamatave"/>
    <s v="Atsimo Atsinanana"/>
    <s v="Vangaindrano"/>
    <s v="WHH"/>
    <s v=" Vohipaho "/>
    <m/>
    <m/>
    <m/>
    <n v="12200"/>
    <n v="2440"/>
    <x v="0"/>
    <m/>
    <n v="20"/>
    <m/>
    <m/>
    <m/>
    <m/>
    <m/>
    <m/>
    <m/>
    <m/>
    <m/>
    <m/>
    <m/>
    <m/>
    <m/>
    <n v="292800000"/>
    <n v="64222.638480064219"/>
  </r>
  <r>
    <x v="2"/>
    <n v="2025"/>
    <x v="2"/>
    <s v="Nutrition"/>
    <x v="10"/>
    <s v="URT_PREV:Prevention of acute malnutrition"/>
    <n v="2"/>
    <s v=" "/>
    <s v="Manakara"/>
    <x v="1"/>
    <s v=" "/>
    <s v="Fitovinany"/>
    <s v="Ikongo"/>
    <s v=" NY TANINTSIKA "/>
    <s v=" Belemoka "/>
    <s v=" TBD "/>
    <s v=" "/>
    <s v=" "/>
    <n v="439"/>
    <n v="43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5849999999999997"/>
    <m/>
    <s v=" "/>
    <s v=" 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s v="Ikongo"/>
    <s v=" NY TANINTSIKA "/>
    <s v=" Kalafotsy "/>
    <s v=" TBD "/>
    <s v=" "/>
    <s v=" "/>
    <n v="910"/>
    <n v="91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1.365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Ambahatrazo "/>
    <s v=" TBD "/>
    <s v=" "/>
    <s v=" "/>
    <n v="342"/>
    <n v="34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13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Ampasimanjeva "/>
    <s v=" TBD "/>
    <s v=" "/>
    <s v=" "/>
    <n v="670"/>
    <n v="67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1.00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Anosiala "/>
    <s v=" TBD "/>
    <s v=" "/>
    <s v=" "/>
    <n v="588"/>
    <n v="588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882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Mangatsiotra "/>
    <s v=" TBD "/>
    <s v=" "/>
    <s v=" "/>
    <n v="203"/>
    <n v="20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30449999999999999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s v="Manakara Atsimo"/>
    <s v=" TBD "/>
    <s v="Manjarivo"/>
    <s v=" TBD "/>
    <s v=" "/>
    <s v=" "/>
    <n v="451"/>
    <n v="45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76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Mitanty "/>
    <s v=" TBD "/>
    <s v=" "/>
    <s v=" "/>
    <n v="417"/>
    <n v="417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2549999999999994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Sakoana "/>
    <s v=" TBD "/>
    <s v=" "/>
    <s v=" "/>
    <n v="414"/>
    <n v="414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621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Fitovinany"/>
    <s v="Manakara Atsimo"/>
    <s v=" TBD "/>
    <s v=" Sorombo "/>
    <s v=" TBD "/>
    <s v=" "/>
    <s v=" "/>
    <n v="613"/>
    <n v="61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9194999999999999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Manakara Atsimo"/>
    <s v=" TBD "/>
    <s v=" Vohimasina Nord "/>
    <s v=" TBD "/>
    <s v=" "/>
    <s v=" "/>
    <n v="382"/>
    <n v="38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7299999999999995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Vatovavy"/>
    <s v="Mananjary"/>
    <s v=" YPA "/>
    <s v=" Ambohitara Est "/>
    <s v=" TBD "/>
    <s v=" "/>
    <s v=" "/>
    <n v="344"/>
    <n v="344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16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Ankatafana "/>
    <s v=" TBD "/>
    <s v=" "/>
    <s v=" "/>
    <n v="512"/>
    <n v="512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76800000000000002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Mahatsara Lefaka "/>
    <s v=" TBD "/>
    <s v=" "/>
    <s v=" "/>
    <n v="216"/>
    <n v="216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3240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Mahatsara Sud "/>
    <s v=" TBD "/>
    <s v=" "/>
    <s v=" "/>
    <n v="369"/>
    <n v="36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5349999999999999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Mahavoky Nord "/>
    <s v=" TBD "/>
    <s v=" "/>
    <s v=" "/>
    <n v="359"/>
    <n v="359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384999999999999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Mahela "/>
    <s v=" TBD "/>
    <s v=" "/>
    <s v=" "/>
    <n v="551"/>
    <n v="55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82650000000000001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Vatovavy"/>
    <s v="Mananjary"/>
    <s v=" YPA "/>
    <s v=" Marosangy "/>
    <s v=" TBD "/>
    <s v=" "/>
    <s v=" "/>
    <n v="397"/>
    <n v="397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9550000000000003"/>
    <m/>
    <s v=" "/>
    <s v="                         -  "/>
    <m/>
  </r>
  <r>
    <x v="2"/>
    <n v="2025"/>
    <x v="2"/>
    <s v="Nutrition"/>
    <x v="10"/>
    <s v="URT_PREV:Prevention of acute malnutrition"/>
    <n v="2"/>
    <s v=" "/>
    <s v="Manakara"/>
    <x v="1"/>
    <s v=" "/>
    <s v="Vatovavy"/>
    <s v="Mananjary"/>
    <s v=" YPA "/>
    <s v=" Tsarahafatra "/>
    <s v=" TBD "/>
    <s v=" "/>
    <s v=" "/>
    <n v="320"/>
    <n v="320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48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Vohipeno"/>
    <s v=" ASSOS "/>
    <s v=" Amborobe "/>
    <s v=" TBD "/>
    <s v=" "/>
    <s v=" "/>
    <n v="183"/>
    <n v="183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7450000000000002"/>
    <m/>
    <s v=" "/>
    <s v=" 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Vohipeno"/>
    <s v=" ASSOS "/>
    <s v=" Anoloka "/>
    <s v=" TBD "/>
    <s v=" "/>
    <s v=" "/>
    <n v="175"/>
    <n v="175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6250000000000001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Vohipeno"/>
    <s v=" ASSOS "/>
    <s v=" Lanivo "/>
    <s v=" TBD "/>
    <s v=" "/>
    <s v=" "/>
    <n v="391"/>
    <n v="39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58650000000000002"/>
    <m/>
    <s v=" "/>
    <s v="                         -  "/>
    <m/>
  </r>
  <r>
    <x v="2"/>
    <n v="2025"/>
    <x v="2"/>
    <s v="Nutrition"/>
    <x v="10"/>
    <s v="URT_PREV:Prevention of acute malnutrition"/>
    <n v="1"/>
    <s v=" "/>
    <s v="Manakara"/>
    <x v="1"/>
    <s v=" "/>
    <s v="Fitovinany"/>
    <s v="Vohipeno"/>
    <s v=" ASSOS "/>
    <s v=" Savana "/>
    <s v=" TBD "/>
    <s v=" "/>
    <s v=" "/>
    <n v="181"/>
    <n v="181"/>
    <x v="1"/>
    <m/>
    <n v="30"/>
    <s v="      -  "/>
    <s v="      -  "/>
    <s v="      -  "/>
    <s v="         -  "/>
    <s v="         -  "/>
    <s v="      -  "/>
    <s v="          -  "/>
    <s v="              -  "/>
    <s v="      -  "/>
    <m/>
    <n v="0.27150000000000002"/>
    <m/>
    <s v=" "/>
    <s v="                         -  "/>
    <m/>
  </r>
  <r>
    <x v="2"/>
    <n v="2025"/>
    <x v="2"/>
    <s v="Nutrition"/>
    <x v="11"/>
    <s v="URT_PREV:Prevention of acute malnutrition"/>
    <m/>
    <m/>
    <s v="Manakara"/>
    <x v="1"/>
    <s v=" "/>
    <s v="Fitovinany"/>
    <s v="Ikongo"/>
    <s v=" NY TANINTSIKA "/>
    <s v=" Belemoka "/>
    <s v=" TBD "/>
    <m/>
    <m/>
    <n v="366"/>
    <n v="366"/>
    <x v="1"/>
    <m/>
    <n v="30"/>
    <m/>
    <n v="0"/>
    <n v="0"/>
    <n v="0"/>
    <n v="0"/>
    <n v="0.21959999999999999"/>
    <n v="0"/>
    <n v="0"/>
    <n v="2.1960000000000002"/>
    <n v="0"/>
    <m/>
    <n v="0"/>
    <n v="2.4156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Ikongo"/>
    <s v=" NY TANINTSIKA "/>
    <s v=" Kalafotsy "/>
    <s v=" TBD "/>
    <m/>
    <m/>
    <n v="759"/>
    <n v="759"/>
    <x v="1"/>
    <m/>
    <n v="30"/>
    <m/>
    <n v="0"/>
    <n v="0"/>
    <n v="0"/>
    <n v="0"/>
    <n v="0.45540000000000003"/>
    <n v="0"/>
    <n v="0"/>
    <n v="4.5540000000000003"/>
    <n v="0"/>
    <m/>
    <n v="0"/>
    <n v="5.0094000000000003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Ambahatrazo "/>
    <s v=" TBD "/>
    <m/>
    <m/>
    <n v="285"/>
    <n v="285"/>
    <x v="1"/>
    <m/>
    <n v="30"/>
    <m/>
    <n v="0"/>
    <n v="0"/>
    <n v="0"/>
    <n v="0"/>
    <n v="0.17100000000000001"/>
    <n v="0"/>
    <n v="0"/>
    <n v="1.71"/>
    <n v="0"/>
    <m/>
    <n v="0"/>
    <n v="1.881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Ampasimanjeva "/>
    <s v=" TBD "/>
    <m/>
    <m/>
    <n v="559"/>
    <n v="559"/>
    <x v="1"/>
    <m/>
    <n v="30"/>
    <m/>
    <n v="0"/>
    <n v="0"/>
    <n v="0"/>
    <n v="0"/>
    <n v="0.33539999999999998"/>
    <n v="0"/>
    <n v="0"/>
    <n v="3.3540000000000001"/>
    <n v="0"/>
    <m/>
    <n v="0"/>
    <n v="3.6894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Anosiala "/>
    <s v=" TBD "/>
    <m/>
    <m/>
    <n v="490"/>
    <n v="490"/>
    <x v="1"/>
    <m/>
    <n v="30"/>
    <m/>
    <n v="0"/>
    <n v="0"/>
    <n v="0"/>
    <n v="0"/>
    <n v="0.29399999999999998"/>
    <n v="0"/>
    <n v="0"/>
    <n v="2.94"/>
    <n v="0"/>
    <m/>
    <n v="0"/>
    <n v="3.234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Mangatsiotra "/>
    <s v=" TBD "/>
    <m/>
    <m/>
    <n v="169"/>
    <n v="169"/>
    <x v="1"/>
    <m/>
    <n v="30"/>
    <m/>
    <n v="0"/>
    <n v="0"/>
    <n v="0"/>
    <n v="0"/>
    <n v="0.1014"/>
    <n v="0"/>
    <n v="0"/>
    <n v="1.014"/>
    <n v="0"/>
    <m/>
    <n v="0"/>
    <n v="1.1153999999999999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Manjarivo"/>
    <s v=" TBD "/>
    <m/>
    <m/>
    <n v="376"/>
    <n v="376"/>
    <x v="1"/>
    <m/>
    <n v="30"/>
    <m/>
    <n v="0"/>
    <n v="0"/>
    <n v="0"/>
    <n v="0"/>
    <n v="0.22559999999999999"/>
    <n v="0"/>
    <n v="0"/>
    <n v="2.2559999999999998"/>
    <n v="0"/>
    <m/>
    <n v="0"/>
    <n v="2.4815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Mitanty "/>
    <s v=" TBD "/>
    <m/>
    <m/>
    <n v="348"/>
    <n v="348"/>
    <x v="1"/>
    <m/>
    <n v="30"/>
    <m/>
    <n v="0"/>
    <n v="0"/>
    <n v="0"/>
    <n v="0"/>
    <n v="0.20880000000000001"/>
    <n v="0"/>
    <n v="0"/>
    <n v="2.0880000000000001"/>
    <n v="0"/>
    <m/>
    <n v="0"/>
    <n v="2.2968000000000002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Sakoana "/>
    <s v=" TBD "/>
    <m/>
    <m/>
    <n v="345"/>
    <n v="345"/>
    <x v="1"/>
    <m/>
    <n v="30"/>
    <m/>
    <n v="0"/>
    <n v="0"/>
    <n v="0"/>
    <n v="0"/>
    <n v="0.20699999999999999"/>
    <n v="0"/>
    <n v="0"/>
    <n v="2.0699999999999998"/>
    <n v="0"/>
    <m/>
    <n v="0"/>
    <n v="2.2769999999999997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Sorombo "/>
    <s v=" TBD "/>
    <m/>
    <m/>
    <n v="511"/>
    <n v="511"/>
    <x v="1"/>
    <m/>
    <n v="30"/>
    <m/>
    <n v="0"/>
    <n v="0"/>
    <n v="0"/>
    <n v="0"/>
    <n v="0.30659999999999998"/>
    <n v="0"/>
    <n v="0"/>
    <n v="3.0659999999999998"/>
    <n v="0"/>
    <m/>
    <n v="0"/>
    <n v="3.3725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Manakara Atsimo"/>
    <s v=" TBD "/>
    <s v=" Vohimasina Nord "/>
    <s v=" TBD "/>
    <m/>
    <m/>
    <n v="318"/>
    <n v="318"/>
    <x v="1"/>
    <m/>
    <n v="30"/>
    <m/>
    <n v="0"/>
    <n v="0"/>
    <n v="0"/>
    <n v="0"/>
    <n v="0.1908"/>
    <n v="0"/>
    <n v="0"/>
    <n v="1.9079999999999999"/>
    <n v="0"/>
    <m/>
    <n v="0"/>
    <n v="2.0987999999999998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Ambohitara Est "/>
    <s v=" TBD "/>
    <m/>
    <m/>
    <n v="286"/>
    <n v="286"/>
    <x v="1"/>
    <m/>
    <n v="30"/>
    <m/>
    <n v="0"/>
    <n v="0"/>
    <n v="0"/>
    <n v="0"/>
    <n v="0.1716"/>
    <n v="0"/>
    <n v="0"/>
    <n v="1.716"/>
    <n v="0"/>
    <m/>
    <n v="0"/>
    <n v="1.8875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Ankatafana "/>
    <s v=" TBD "/>
    <m/>
    <m/>
    <n v="426"/>
    <n v="426"/>
    <x v="1"/>
    <m/>
    <n v="30"/>
    <m/>
    <n v="0"/>
    <n v="0"/>
    <n v="0"/>
    <n v="0"/>
    <n v="0.25559999999999999"/>
    <n v="0"/>
    <n v="0"/>
    <n v="2.556"/>
    <n v="0"/>
    <m/>
    <n v="0"/>
    <n v="2.8115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Mahatsara Lefaka "/>
    <s v=" TBD "/>
    <m/>
    <m/>
    <n v="180"/>
    <n v="180"/>
    <x v="1"/>
    <m/>
    <n v="30"/>
    <m/>
    <n v="0"/>
    <n v="0"/>
    <n v="0"/>
    <n v="0"/>
    <n v="0.108"/>
    <n v="0"/>
    <n v="0"/>
    <n v="1.08"/>
    <n v="0"/>
    <m/>
    <n v="0"/>
    <n v="1.1880000000000002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Mahatsara Sud "/>
    <s v=" TBD "/>
    <m/>
    <m/>
    <n v="308"/>
    <n v="308"/>
    <x v="1"/>
    <m/>
    <n v="30"/>
    <m/>
    <n v="0"/>
    <n v="0"/>
    <n v="0"/>
    <n v="0"/>
    <n v="0.18479999999999999"/>
    <n v="0"/>
    <n v="0"/>
    <n v="1.8480000000000001"/>
    <n v="0"/>
    <m/>
    <n v="0"/>
    <n v="2.0327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Mahavoky Nord "/>
    <s v=" TBD "/>
    <m/>
    <m/>
    <n v="299"/>
    <n v="299"/>
    <x v="1"/>
    <m/>
    <n v="30"/>
    <m/>
    <n v="0"/>
    <n v="0"/>
    <n v="0"/>
    <n v="0"/>
    <n v="0.1794"/>
    <n v="0"/>
    <n v="0"/>
    <n v="1.794"/>
    <n v="0"/>
    <m/>
    <n v="0"/>
    <n v="1.9734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Mahela "/>
    <s v=" TBD "/>
    <m/>
    <m/>
    <n v="459"/>
    <n v="459"/>
    <x v="1"/>
    <m/>
    <n v="30"/>
    <m/>
    <n v="0"/>
    <n v="0"/>
    <n v="0"/>
    <n v="0"/>
    <n v="0.27539999999999998"/>
    <n v="0"/>
    <n v="0"/>
    <n v="2.754"/>
    <n v="0"/>
    <m/>
    <n v="0"/>
    <n v="3.0293999999999999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Marosangy "/>
    <s v=" TBD "/>
    <m/>
    <m/>
    <n v="331"/>
    <n v="331"/>
    <x v="1"/>
    <m/>
    <n v="30"/>
    <m/>
    <n v="0"/>
    <n v="0"/>
    <n v="0"/>
    <n v="0"/>
    <n v="0.1986"/>
    <n v="0"/>
    <n v="0"/>
    <n v="1.986"/>
    <n v="0"/>
    <m/>
    <n v="0"/>
    <n v="2.1846000000000001"/>
    <m/>
    <m/>
  </r>
  <r>
    <x v="2"/>
    <n v="2025"/>
    <x v="2"/>
    <s v="Nutrition"/>
    <x v="11"/>
    <s v="URT_PREV:Prevention of acute malnutrition"/>
    <m/>
    <m/>
    <s v="Manakara"/>
    <x v="1"/>
    <s v=" "/>
    <s v="Vatovavy"/>
    <s v="Mananjary"/>
    <s v=" YPA "/>
    <s v=" Tsarahafatra "/>
    <s v=" TBD "/>
    <m/>
    <m/>
    <n v="274"/>
    <n v="274"/>
    <x v="1"/>
    <m/>
    <n v="30"/>
    <m/>
    <n v="0"/>
    <n v="0"/>
    <n v="0"/>
    <n v="0"/>
    <n v="0.16439999999999999"/>
    <n v="0"/>
    <n v="0"/>
    <n v="1.6439999999999999"/>
    <n v="0"/>
    <m/>
    <n v="0"/>
    <n v="1.8083999999999998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Vohipeno"/>
    <s v=" ASSOS "/>
    <s v=" Amborobe "/>
    <s v=" TBD "/>
    <m/>
    <m/>
    <n v="152"/>
    <n v="152"/>
    <x v="1"/>
    <m/>
    <n v="30"/>
    <m/>
    <n v="0"/>
    <n v="0"/>
    <n v="0"/>
    <n v="0"/>
    <n v="9.1200000000000003E-2"/>
    <n v="0"/>
    <n v="0"/>
    <n v="0.91200000000000003"/>
    <n v="0"/>
    <m/>
    <n v="0"/>
    <n v="1.0032000000000001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Vohipeno"/>
    <s v=" ASSOS "/>
    <s v=" Anoloka "/>
    <s v=" TBD "/>
    <m/>
    <m/>
    <n v="146"/>
    <n v="146"/>
    <x v="1"/>
    <m/>
    <n v="30"/>
    <m/>
    <n v="0"/>
    <n v="0"/>
    <n v="0"/>
    <n v="0"/>
    <n v="8.7599999999999997E-2"/>
    <n v="0"/>
    <n v="0"/>
    <n v="0.876"/>
    <n v="0"/>
    <m/>
    <n v="0"/>
    <n v="0.96360000000000001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Vohipeno"/>
    <s v=" ASSOS "/>
    <s v=" Lanivo "/>
    <s v=" TBD "/>
    <m/>
    <m/>
    <n v="326"/>
    <n v="326"/>
    <x v="1"/>
    <m/>
    <n v="30"/>
    <m/>
    <n v="0"/>
    <n v="0"/>
    <n v="0"/>
    <n v="0"/>
    <n v="0.1956"/>
    <n v="0"/>
    <n v="0"/>
    <n v="1.956"/>
    <n v="0"/>
    <m/>
    <n v="0"/>
    <n v="2.1516000000000002"/>
    <m/>
    <m/>
  </r>
  <r>
    <x v="2"/>
    <n v="2025"/>
    <x v="2"/>
    <s v="Nutrition"/>
    <x v="11"/>
    <s v="URT_PREV:Prevention of acute malnutrition"/>
    <m/>
    <m/>
    <s v="Manakara"/>
    <x v="1"/>
    <s v=" "/>
    <s v="Fitovinany"/>
    <s v="Vohipeno"/>
    <s v=" ASSOS "/>
    <s v=" Savana "/>
    <s v=" TBD "/>
    <m/>
    <m/>
    <n v="151"/>
    <n v="151"/>
    <x v="1"/>
    <m/>
    <n v="30"/>
    <m/>
    <n v="0"/>
    <n v="0"/>
    <n v="0"/>
    <n v="0"/>
    <n v="9.06E-2"/>
    <n v="0"/>
    <n v="0"/>
    <n v="0.90600000000000003"/>
    <n v="0"/>
    <m/>
    <n v="0"/>
    <n v="0.99660000000000004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Ambatolava "/>
    <s v=" TBD "/>
    <m/>
    <m/>
    <n v="333"/>
    <n v="333"/>
    <x v="1"/>
    <m/>
    <n v="30"/>
    <m/>
    <n v="0"/>
    <n v="0"/>
    <n v="0"/>
    <n v="0"/>
    <n v="0.19980000000000001"/>
    <n v="0"/>
    <n v="0"/>
    <n v="1.998"/>
    <n v="0"/>
    <m/>
    <n v="0"/>
    <n v="2.1978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Ampataka "/>
    <s v=" TBD "/>
    <m/>
    <m/>
    <n v="543"/>
    <n v="543"/>
    <x v="1"/>
    <m/>
    <n v="30"/>
    <m/>
    <n v="0"/>
    <n v="0"/>
    <n v="0"/>
    <n v="0"/>
    <n v="0.32579999999999998"/>
    <n v="0"/>
    <n v="0"/>
    <n v="3.258"/>
    <n v="0"/>
    <m/>
    <n v="0"/>
    <n v="3.5838000000000001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Bekaraoky "/>
    <s v=" TBD "/>
    <m/>
    <m/>
    <n v="279"/>
    <n v="279"/>
    <x v="1"/>
    <m/>
    <n v="30"/>
    <m/>
    <n v="0"/>
    <n v="0"/>
    <n v="0"/>
    <n v="0"/>
    <n v="0.16739999999999999"/>
    <n v="0"/>
    <n v="0"/>
    <n v="1.6739999999999999"/>
    <n v="0"/>
    <m/>
    <n v="0"/>
    <n v="1.8413999999999999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Fonilaza "/>
    <s v=" TBD "/>
    <m/>
    <m/>
    <n v="600"/>
    <n v="600"/>
    <x v="1"/>
    <m/>
    <n v="30"/>
    <m/>
    <n v="0"/>
    <n v="0"/>
    <n v="0"/>
    <n v="0"/>
    <n v="0.36"/>
    <n v="0"/>
    <n v="0"/>
    <n v="3.6"/>
    <n v="0"/>
    <m/>
    <n v="0"/>
    <n v="3.96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Isahara "/>
    <s v=" TBD "/>
    <m/>
    <m/>
    <n v="345"/>
    <n v="345"/>
    <x v="1"/>
    <m/>
    <n v="30"/>
    <m/>
    <n v="0"/>
    <n v="0"/>
    <n v="0"/>
    <n v="0"/>
    <n v="0.20699999999999999"/>
    <n v="0"/>
    <n v="0"/>
    <n v="2.0699999999999998"/>
    <n v="0"/>
    <m/>
    <n v="0"/>
    <n v="2.2769999999999997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Tsianofana "/>
    <s v=" TBD "/>
    <m/>
    <m/>
    <n v="450"/>
    <n v="450"/>
    <x v="1"/>
    <m/>
    <n v="30"/>
    <m/>
    <n v="0"/>
    <n v="0"/>
    <n v="0"/>
    <n v="0"/>
    <n v="0.27"/>
    <n v="0"/>
    <n v="0"/>
    <n v="2.7"/>
    <n v="0"/>
    <m/>
    <n v="0"/>
    <n v="2.97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Vatanato "/>
    <s v=" TBD "/>
    <m/>
    <m/>
    <n v="272"/>
    <n v="272"/>
    <x v="1"/>
    <m/>
    <n v="30"/>
    <m/>
    <n v="0"/>
    <n v="0"/>
    <n v="0"/>
    <n v="0"/>
    <n v="0.16320000000000001"/>
    <n v="0"/>
    <n v="0"/>
    <n v="1.6319999999999999"/>
    <n v="0"/>
    <m/>
    <n v="0"/>
    <n v="1.7951999999999999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Vohipaho "/>
    <s v=" TBD "/>
    <m/>
    <m/>
    <n v="610"/>
    <n v="610"/>
    <x v="1"/>
    <m/>
    <n v="30"/>
    <m/>
    <n v="0"/>
    <n v="0"/>
    <n v="0"/>
    <n v="0"/>
    <n v="0.36599999999999999"/>
    <n v="0"/>
    <n v="0"/>
    <n v="3.66"/>
    <n v="0"/>
    <m/>
    <n v="0"/>
    <n v="4.0259999999999998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angaindrano "/>
    <s v="WHH"/>
    <s v=" Vohitrambo "/>
    <s v=" TBD "/>
    <m/>
    <m/>
    <n v="850"/>
    <n v="850"/>
    <x v="1"/>
    <m/>
    <n v="30"/>
    <m/>
    <n v="0"/>
    <n v="0"/>
    <n v="0"/>
    <n v="0"/>
    <n v="0.51"/>
    <n v="0"/>
    <n v="0"/>
    <n v="5.0999999999999996"/>
    <n v="0"/>
    <m/>
    <n v="0"/>
    <n v="5.6099999999999994"/>
    <m/>
    <m/>
  </r>
  <r>
    <x v="2"/>
    <n v="2025"/>
    <x v="2"/>
    <s v="Nutrition"/>
    <x v="11"/>
    <s v="URT_PREV:Prevention of acute malnutrition"/>
    <m/>
    <m/>
    <s v="Manakara"/>
    <x v="1"/>
    <s v=" "/>
    <s v="Atsimo Antsinana"/>
    <s v=" Vondrozo "/>
    <s v="WHH"/>
    <s v=" Antokonala "/>
    <s v=" TBD "/>
    <m/>
    <m/>
    <n v="325"/>
    <n v="325"/>
    <x v="1"/>
    <m/>
    <n v="30"/>
    <m/>
    <n v="0"/>
    <n v="0"/>
    <n v="0"/>
    <n v="0"/>
    <n v="0.19500000000000001"/>
    <n v="0"/>
    <n v="0"/>
    <n v="1.95"/>
    <n v="0"/>
    <m/>
    <n v="0"/>
    <n v="2.145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Ambatolava "/>
    <s v=" TBD "/>
    <m/>
    <m/>
    <n v="400"/>
    <n v="400"/>
    <x v="1"/>
    <m/>
    <n v="30"/>
    <m/>
    <n v="0"/>
    <n v="0"/>
    <n v="0"/>
    <n v="0"/>
    <m/>
    <m/>
    <m/>
    <m/>
    <n v="0"/>
    <n v="0.6"/>
    <n v="0"/>
    <n v="0.6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Ampataka "/>
    <s v=" TBD "/>
    <m/>
    <m/>
    <n v="651"/>
    <n v="651"/>
    <x v="1"/>
    <m/>
    <n v="30"/>
    <m/>
    <n v="0"/>
    <n v="0"/>
    <n v="0"/>
    <n v="0"/>
    <m/>
    <m/>
    <m/>
    <m/>
    <n v="0"/>
    <n v="0.97650000000000003"/>
    <n v="0"/>
    <n v="0.97650000000000003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Bekaraoky "/>
    <s v=" TBD "/>
    <m/>
    <m/>
    <n v="335"/>
    <n v="335"/>
    <x v="1"/>
    <m/>
    <n v="30"/>
    <m/>
    <n v="0"/>
    <n v="0"/>
    <n v="0"/>
    <n v="0"/>
    <m/>
    <m/>
    <m/>
    <m/>
    <n v="0"/>
    <n v="0.50249999999999995"/>
    <n v="0"/>
    <n v="0.50249999999999995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Fonilaza "/>
    <s v=" TBD "/>
    <m/>
    <m/>
    <n v="720"/>
    <n v="720"/>
    <x v="1"/>
    <m/>
    <n v="30"/>
    <m/>
    <n v="0"/>
    <n v="0"/>
    <n v="0"/>
    <n v="0"/>
    <m/>
    <m/>
    <m/>
    <m/>
    <n v="0"/>
    <n v="1.08"/>
    <n v="0"/>
    <n v="1.08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Isahara "/>
    <s v=" TBD "/>
    <m/>
    <m/>
    <n v="414"/>
    <n v="414"/>
    <x v="1"/>
    <m/>
    <n v="30"/>
    <m/>
    <n v="0"/>
    <n v="0"/>
    <n v="0"/>
    <n v="0"/>
    <m/>
    <m/>
    <m/>
    <m/>
    <n v="0"/>
    <n v="0.621"/>
    <n v="0"/>
    <n v="0.62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Tsianofana "/>
    <s v=" TBD "/>
    <m/>
    <m/>
    <n v="540"/>
    <n v="540"/>
    <x v="1"/>
    <m/>
    <n v="30"/>
    <m/>
    <n v="0"/>
    <n v="0"/>
    <n v="0"/>
    <n v="0"/>
    <m/>
    <m/>
    <m/>
    <m/>
    <n v="0"/>
    <n v="0.81"/>
    <n v="0"/>
    <n v="0.8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Vatanato "/>
    <s v=" TBD "/>
    <m/>
    <m/>
    <n v="327"/>
    <n v="327"/>
    <x v="1"/>
    <m/>
    <n v="30"/>
    <m/>
    <n v="0"/>
    <n v="0"/>
    <n v="0"/>
    <n v="0"/>
    <m/>
    <m/>
    <m/>
    <m/>
    <n v="0"/>
    <n v="0.49049999999999999"/>
    <n v="0"/>
    <n v="0.49049999999999999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Vohipaho "/>
    <s v=" TBD "/>
    <m/>
    <m/>
    <n v="732"/>
    <n v="732"/>
    <x v="1"/>
    <m/>
    <n v="30"/>
    <m/>
    <n v="0"/>
    <n v="0"/>
    <n v="0"/>
    <n v="0"/>
    <m/>
    <m/>
    <m/>
    <m/>
    <n v="0"/>
    <n v="1.0980000000000001"/>
    <n v="0"/>
    <n v="1.0980000000000001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angaindrano "/>
    <s v="WHH"/>
    <s v=" Vohitrambo "/>
    <s v=" TBD "/>
    <m/>
    <m/>
    <n v="1020"/>
    <n v="1020"/>
    <x v="1"/>
    <m/>
    <n v="30"/>
    <m/>
    <n v="0"/>
    <n v="0"/>
    <n v="0"/>
    <n v="0"/>
    <m/>
    <m/>
    <m/>
    <m/>
    <n v="0"/>
    <n v="1.53"/>
    <n v="0"/>
    <n v="1.53"/>
    <m/>
    <m/>
  </r>
  <r>
    <x v="2"/>
    <n v="2025"/>
    <x v="2"/>
    <s v="Nutrition"/>
    <x v="10"/>
    <s v="URT_PREV:Prevention of acute malnutrition"/>
    <m/>
    <m/>
    <s v="Manakara"/>
    <x v="1"/>
    <s v=" "/>
    <s v="Atsimo Antsinana"/>
    <s v=" Vondrozo "/>
    <s v="WHH"/>
    <s v=" Antokonala "/>
    <s v=" TBD "/>
    <m/>
    <m/>
    <n v="390"/>
    <n v="390"/>
    <x v="1"/>
    <m/>
    <n v="30"/>
    <m/>
    <n v="0"/>
    <n v="0"/>
    <n v="0"/>
    <n v="0"/>
    <m/>
    <m/>
    <m/>
    <m/>
    <n v="0"/>
    <n v="0.58499999999999996"/>
    <n v="0"/>
    <n v="0.58499999999999996"/>
    <m/>
    <m/>
  </r>
  <r>
    <x v="0"/>
    <n v="2024"/>
    <x v="2"/>
    <s v="GD"/>
    <x v="12"/>
    <s v="URT_GD: General Distribution"/>
    <m/>
    <m/>
    <s v="Antananarivo"/>
    <x v="4"/>
    <m/>
    <s v="SAVA"/>
    <s v="Vohemar"/>
    <s v="CARE"/>
    <s v="Bobakindro "/>
    <m/>
    <m/>
    <m/>
    <n v="4020"/>
    <n v="804"/>
    <x v="1"/>
    <m/>
    <n v="15"/>
    <m/>
    <m/>
    <m/>
    <m/>
    <m/>
    <m/>
    <m/>
    <m/>
    <m/>
    <m/>
    <m/>
    <m/>
    <n v="0"/>
    <m/>
    <n v="0"/>
  </r>
  <r>
    <x v="0"/>
    <n v="2024"/>
    <x v="2"/>
    <s v="GD"/>
    <x v="12"/>
    <s v="URT_GD: General Distribution"/>
    <m/>
    <m/>
    <s v="Antananarivo"/>
    <x v="4"/>
    <m/>
    <s v="SAVA"/>
    <s v="Sambava"/>
    <s v="CARE"/>
    <s v="Analamaho"/>
    <m/>
    <m/>
    <m/>
    <n v="2490"/>
    <n v="498"/>
    <x v="0"/>
    <m/>
    <n v="15"/>
    <m/>
    <m/>
    <m/>
    <m/>
    <m/>
    <m/>
    <m/>
    <m/>
    <m/>
    <m/>
    <m/>
    <m/>
    <n v="0"/>
    <n v="59760000"/>
    <n v="13107.735230767204"/>
  </r>
  <r>
    <x v="0"/>
    <n v="2024"/>
    <x v="2"/>
    <s v="GD"/>
    <x v="12"/>
    <s v="URT_GD: General Distribution"/>
    <m/>
    <m/>
    <s v="Antananarivo"/>
    <x v="4"/>
    <m/>
    <s v="SAVA"/>
    <s v="Sambava"/>
    <s v="CARE"/>
    <s v="Bemanevika"/>
    <m/>
    <m/>
    <m/>
    <n v="4290"/>
    <n v="858"/>
    <x v="0"/>
    <m/>
    <n v="15"/>
    <m/>
    <m/>
    <m/>
    <m/>
    <m/>
    <m/>
    <m/>
    <m/>
    <m/>
    <m/>
    <m/>
    <m/>
    <n v="0"/>
    <n v="102960000"/>
    <n v="22583.206481924222"/>
  </r>
  <r>
    <x v="0"/>
    <n v="2024"/>
    <x v="2"/>
    <s v="GD"/>
    <x v="12"/>
    <s v="URT_GD: General Distribution"/>
    <m/>
    <m/>
    <s v="Antananarivo"/>
    <x v="4"/>
    <m/>
    <s v="SAVA"/>
    <s v="Sambava"/>
    <s v="CARE"/>
    <s v="Tanambao Daoud "/>
    <m/>
    <m/>
    <m/>
    <n v="3745"/>
    <n v="749"/>
    <x v="0"/>
    <m/>
    <n v="15"/>
    <m/>
    <m/>
    <m/>
    <m/>
    <m/>
    <m/>
    <m/>
    <m/>
    <m/>
    <m/>
    <m/>
    <m/>
    <n v="0"/>
    <n v="89880000"/>
    <n v="19714.24435310168"/>
  </r>
  <r>
    <x v="0"/>
    <n v="2024"/>
    <x v="2"/>
    <s v="GD"/>
    <x v="12"/>
    <s v="URT_GD: General Distribution"/>
    <m/>
    <m/>
    <s v="Antananarivo"/>
    <x v="4"/>
    <m/>
    <s v="SAVA"/>
    <s v="Sambava"/>
    <s v="CARE"/>
    <s v="Nosiarina "/>
    <m/>
    <m/>
    <m/>
    <n v="1785"/>
    <n v="357"/>
    <x v="0"/>
    <m/>
    <n v="15"/>
    <m/>
    <m/>
    <m/>
    <m/>
    <m/>
    <m/>
    <m/>
    <m/>
    <m/>
    <m/>
    <m/>
    <m/>
    <n v="0"/>
    <n v="42840000"/>
    <n v="9396.5089907307065"/>
  </r>
  <r>
    <x v="0"/>
    <n v="2024"/>
    <x v="2"/>
    <s v="GD"/>
    <x v="12"/>
    <s v="URT_GD: General Distribution"/>
    <m/>
    <m/>
    <s v="Antananarivo"/>
    <x v="4"/>
    <m/>
    <s v="SAVA"/>
    <s v="Vohemar"/>
    <s v="CARE"/>
    <s v="Ampondra "/>
    <m/>
    <m/>
    <m/>
    <n v="7070"/>
    <n v="1414"/>
    <x v="0"/>
    <m/>
    <n v="15"/>
    <m/>
    <m/>
    <m/>
    <m/>
    <m/>
    <m/>
    <m/>
    <m/>
    <m/>
    <m/>
    <m/>
    <m/>
    <n v="0"/>
    <n v="169680000"/>
    <n v="37217.545414266722"/>
  </r>
  <r>
    <x v="0"/>
    <n v="2024"/>
    <x v="2"/>
    <s v="GD"/>
    <x v="12"/>
    <s v="URT_GD: General Distribution"/>
    <m/>
    <m/>
    <s v="Antananarivo"/>
    <x v="4"/>
    <m/>
    <s v="SAVA"/>
    <s v="Vohemar"/>
    <s v="CARE"/>
    <s v="Andravory "/>
    <m/>
    <m/>
    <m/>
    <n v="1415"/>
    <n v="283"/>
    <x v="0"/>
    <m/>
    <n v="15"/>
    <m/>
    <m/>
    <m/>
    <m/>
    <m/>
    <m/>
    <m/>
    <m/>
    <m/>
    <m/>
    <m/>
    <m/>
    <n v="0"/>
    <n v="33960000"/>
    <n v="7448.7732335484316"/>
  </r>
  <r>
    <x v="0"/>
    <n v="2024"/>
    <x v="2"/>
    <s v="GD"/>
    <x v="12"/>
    <s v="URT_GD: General Distribution"/>
    <m/>
    <m/>
    <s v="Antananarivo"/>
    <x v="4"/>
    <m/>
    <s v="SAVA"/>
    <s v="Vohemar"/>
    <s v="CARE"/>
    <s v="Tsarabaria "/>
    <m/>
    <m/>
    <m/>
    <n v="8710"/>
    <n v="1742"/>
    <x v="0"/>
    <m/>
    <n v="15"/>
    <m/>
    <m/>
    <m/>
    <m/>
    <m/>
    <m/>
    <m/>
    <m/>
    <m/>
    <m/>
    <m/>
    <m/>
    <n v="0"/>
    <n v="209040000"/>
    <n v="45850.752554209779"/>
  </r>
  <r>
    <x v="0"/>
    <n v="2024"/>
    <x v="2"/>
    <s v="GD"/>
    <x v="12"/>
    <s v="URT_GD: General Distribution"/>
    <m/>
    <m/>
    <s v="Antananarivo"/>
    <x v="4"/>
    <m/>
    <s v="SAVA"/>
    <s v="Vohemar"/>
    <s v="CARE"/>
    <s v="Ambodisambalahy"/>
    <m/>
    <m/>
    <m/>
    <n v="3750"/>
    <n v="750"/>
    <x v="0"/>
    <m/>
    <n v="15"/>
    <m/>
    <m/>
    <m/>
    <m/>
    <m/>
    <m/>
    <m/>
    <m/>
    <m/>
    <m/>
    <m/>
    <m/>
    <n v="0"/>
    <n v="90000000"/>
    <n v="19740.565106577116"/>
  </r>
  <r>
    <x v="0"/>
    <n v="2024"/>
    <x v="2"/>
    <s v="GD"/>
    <x v="12"/>
    <s v="URT_GD: General Distribution"/>
    <m/>
    <m/>
    <s v="Antananarivo"/>
    <x v="4"/>
    <m/>
    <s v="SAVA"/>
    <s v="Vohemar"/>
    <s v="CARE"/>
    <s v="Ampisikinana"/>
    <m/>
    <m/>
    <m/>
    <n v="2830"/>
    <n v="566"/>
    <x v="0"/>
    <m/>
    <n v="15"/>
    <m/>
    <m/>
    <m/>
    <m/>
    <m/>
    <m/>
    <m/>
    <m/>
    <m/>
    <m/>
    <m/>
    <m/>
    <n v="0"/>
    <n v="67920000"/>
    <n v="14897.546467096863"/>
  </r>
  <r>
    <x v="0"/>
    <n v="2024"/>
    <x v="2"/>
    <s v="GD"/>
    <x v="12"/>
    <s v="URT_GD: General Distribution"/>
    <m/>
    <m/>
    <s v="Antananarivo"/>
    <x v="4"/>
    <m/>
    <s v="SAVA"/>
    <s v="Vohemar"/>
    <s v="CARE"/>
    <s v="Nosibe"/>
    <m/>
    <m/>
    <m/>
    <n v="3760"/>
    <n v="752"/>
    <x v="0"/>
    <m/>
    <n v="15"/>
    <m/>
    <m/>
    <m/>
    <m/>
    <m/>
    <m/>
    <m/>
    <m/>
    <m/>
    <m/>
    <m/>
    <m/>
    <n v="0"/>
    <n v="90240000"/>
    <n v="19793.206613527989"/>
  </r>
  <r>
    <x v="0"/>
    <n v="2024"/>
    <x v="2"/>
    <s v="GD"/>
    <x v="12"/>
    <s v="URT_GD: General Distribution"/>
    <m/>
    <m/>
    <s v="Antananarivo"/>
    <x v="4"/>
    <m/>
    <s v="SAVA"/>
    <s v="Vohemar"/>
    <s v="CARE"/>
    <s v="Milanoa"/>
    <m/>
    <m/>
    <m/>
    <n v="4940"/>
    <n v="988"/>
    <x v="0"/>
    <m/>
    <n v="15"/>
    <m/>
    <m/>
    <m/>
    <m/>
    <m/>
    <m/>
    <m/>
    <m/>
    <m/>
    <m/>
    <m/>
    <m/>
    <n v="0"/>
    <n v="118560000"/>
    <n v="26004.904433730921"/>
  </r>
  <r>
    <x v="0"/>
    <n v="2024"/>
    <x v="2"/>
    <s v="GD"/>
    <x v="12"/>
    <s v="URT_GD: General Distribution"/>
    <m/>
    <m/>
    <s v="Antananarivo"/>
    <x v="4"/>
    <m/>
    <s v="SAVA"/>
    <s v="Vohemar"/>
    <s v="CARE"/>
    <s v="Ambinanin'Andravory"/>
    <m/>
    <m/>
    <m/>
    <n v="3965"/>
    <n v="793"/>
    <x v="0"/>
    <m/>
    <n v="15"/>
    <m/>
    <m/>
    <m/>
    <m/>
    <m/>
    <m/>
    <m/>
    <m/>
    <m/>
    <m/>
    <m/>
    <m/>
    <n v="0"/>
    <n v="95160000"/>
    <n v="20872.357506020871"/>
  </r>
  <r>
    <x v="0"/>
    <n v="2024"/>
    <x v="2"/>
    <s v="GD"/>
    <x v="12"/>
    <s v="URT_GD: General Distribution"/>
    <m/>
    <m/>
    <s v="Antananarivo"/>
    <x v="4"/>
    <m/>
    <s v="SAVA"/>
    <s v="Vohemar"/>
    <s v="CARE"/>
    <s v="Andrafainkona"/>
    <m/>
    <m/>
    <m/>
    <n v="2235"/>
    <n v="447"/>
    <x v="0"/>
    <m/>
    <n v="15"/>
    <m/>
    <m/>
    <m/>
    <m/>
    <m/>
    <m/>
    <m/>
    <m/>
    <m/>
    <m/>
    <m/>
    <m/>
    <n v="0"/>
    <n v="53640000"/>
    <n v="11765.376803519961"/>
  </r>
  <r>
    <x v="0"/>
    <n v="2024"/>
    <x v="2"/>
    <s v="GD"/>
    <x v="12"/>
    <s v="URT_GD: General Distribution"/>
    <m/>
    <m/>
    <s v="Antananarivo"/>
    <x v="4"/>
    <m/>
    <s v="SAVA"/>
    <s v="Vohemar"/>
    <s v="CARE"/>
    <s v="Belambo"/>
    <m/>
    <m/>
    <m/>
    <n v="3135"/>
    <n v="627"/>
    <x v="0"/>
    <m/>
    <n v="15"/>
    <m/>
    <m/>
    <m/>
    <m/>
    <m/>
    <m/>
    <m/>
    <m/>
    <m/>
    <m/>
    <m/>
    <m/>
    <n v="0"/>
    <n v="75240000"/>
    <n v="16503.11242909847"/>
  </r>
  <r>
    <x v="0"/>
    <n v="2024"/>
    <x v="2"/>
    <s v="GD"/>
    <x v="12"/>
    <s v="URT_GD: General Distribution"/>
    <m/>
    <m/>
    <s v="Antananarivo"/>
    <x v="4"/>
    <m/>
    <s v="SAVA"/>
    <s v="Vohemar"/>
    <s v="CARE"/>
    <s v="Antsirabe Nord"/>
    <m/>
    <m/>
    <m/>
    <n v="9790"/>
    <n v="1958"/>
    <x v="0"/>
    <m/>
    <n v="15"/>
    <m/>
    <m/>
    <m/>
    <m/>
    <m/>
    <m/>
    <m/>
    <m/>
    <m/>
    <m/>
    <m/>
    <m/>
    <n v="0"/>
    <n v="234960000"/>
    <n v="51536.035304903991"/>
  </r>
  <r>
    <x v="0"/>
    <n v="2024"/>
    <x v="2"/>
    <s v="GD"/>
    <x v="12"/>
    <s v="URT_GD: General Distribution"/>
    <m/>
    <m/>
    <s v="Antananarivo"/>
    <x v="4"/>
    <m/>
    <s v="SAVA"/>
    <s v="Vohemar"/>
    <s v="CARE"/>
    <s v="Ambalasatrana"/>
    <m/>
    <m/>
    <m/>
    <n v="2000"/>
    <n v="400"/>
    <x v="0"/>
    <m/>
    <n v="15"/>
    <m/>
    <m/>
    <m/>
    <m/>
    <m/>
    <m/>
    <m/>
    <m/>
    <m/>
    <m/>
    <m/>
    <m/>
    <n v="0"/>
    <n v="48000000"/>
    <n v="10528.301390174462"/>
  </r>
  <r>
    <x v="0"/>
    <n v="2024"/>
    <x v="2"/>
    <s v="GD"/>
    <x v="12"/>
    <s v="URT_GD: General Distribution"/>
    <m/>
    <m/>
    <s v="Antananarivo"/>
    <x v="4"/>
    <m/>
    <s v="SAVA"/>
    <s v="Vohemar"/>
    <s v="CARE"/>
    <s v="Amboriala"/>
    <m/>
    <m/>
    <m/>
    <n v="2130"/>
    <n v="426"/>
    <x v="0"/>
    <m/>
    <n v="15"/>
    <m/>
    <m/>
    <m/>
    <m/>
    <m/>
    <m/>
    <m/>
    <m/>
    <m/>
    <m/>
    <m/>
    <m/>
    <n v="0"/>
    <n v="51120000"/>
    <n v="11212.640980535802"/>
  </r>
  <r>
    <x v="1"/>
    <n v="2024"/>
    <x v="2"/>
    <s v="GD"/>
    <x v="12"/>
    <s v="URT_GD: General Distribution"/>
    <m/>
    <m/>
    <s v="Antananarivo"/>
    <x v="4"/>
    <m/>
    <s v="SAVA"/>
    <s v="Vohemar"/>
    <s v="CARE"/>
    <s v="Bobakindro "/>
    <m/>
    <m/>
    <m/>
    <n v="4020"/>
    <n v="804"/>
    <x v="1"/>
    <m/>
    <n v="15"/>
    <n v="24.12"/>
    <m/>
    <m/>
    <m/>
    <n v="3.6179999999999999"/>
    <n v="2.1105"/>
    <m/>
    <m/>
    <m/>
    <m/>
    <m/>
    <m/>
    <n v="29.848500000000001"/>
    <m/>
    <m/>
  </r>
  <r>
    <x v="1"/>
    <n v="2024"/>
    <x v="2"/>
    <s v="GD"/>
    <x v="12"/>
    <s v="URT_GD: General Distribution"/>
    <m/>
    <m/>
    <s v="Antananarivo"/>
    <x v="4"/>
    <m/>
    <s v="SAVA"/>
    <s v="Sambava"/>
    <s v="CARE"/>
    <s v="Analamaho"/>
    <m/>
    <m/>
    <m/>
    <n v="2490"/>
    <n v="498"/>
    <x v="1"/>
    <m/>
    <n v="15"/>
    <n v="14.94"/>
    <m/>
    <m/>
    <m/>
    <n v="2.2410000000000001"/>
    <n v="1.30725"/>
    <m/>
    <m/>
    <m/>
    <m/>
    <m/>
    <m/>
    <n v="18.488250000000001"/>
    <m/>
    <n v="0"/>
  </r>
  <r>
    <x v="1"/>
    <n v="2024"/>
    <x v="2"/>
    <s v="GD"/>
    <x v="12"/>
    <s v="URT_GD: General Distribution"/>
    <m/>
    <m/>
    <s v="Antananarivo"/>
    <x v="4"/>
    <m/>
    <s v="SAVA"/>
    <s v="Sambava"/>
    <s v="CARE"/>
    <s v="Bemanevika"/>
    <m/>
    <m/>
    <m/>
    <n v="4290"/>
    <n v="858"/>
    <x v="1"/>
    <m/>
    <n v="15"/>
    <n v="25.74"/>
    <m/>
    <m/>
    <m/>
    <n v="3.8610000000000002"/>
    <n v="2.2522500000000001"/>
    <m/>
    <m/>
    <m/>
    <m/>
    <m/>
    <m/>
    <n v="31.853249999999999"/>
    <m/>
    <n v="0"/>
  </r>
  <r>
    <x v="1"/>
    <n v="2024"/>
    <x v="2"/>
    <s v="GD"/>
    <x v="12"/>
    <s v="URT_GD: General Distribution"/>
    <m/>
    <m/>
    <s v="Antananarivo"/>
    <x v="4"/>
    <m/>
    <s v="SAVA"/>
    <s v="Sambava"/>
    <s v="CARE"/>
    <s v="Tanambao Daoud "/>
    <m/>
    <m/>
    <m/>
    <n v="3745"/>
    <n v="749"/>
    <x v="1"/>
    <m/>
    <n v="15"/>
    <n v="22.47"/>
    <m/>
    <m/>
    <m/>
    <n v="3.3704999999999998"/>
    <n v="1.9661249999999999"/>
    <m/>
    <m/>
    <m/>
    <m/>
    <m/>
    <m/>
    <n v="27.806624999999997"/>
    <m/>
    <n v="0"/>
  </r>
  <r>
    <x v="1"/>
    <n v="2024"/>
    <x v="2"/>
    <s v="GD"/>
    <x v="12"/>
    <s v="URT_GD: General Distribution"/>
    <m/>
    <m/>
    <s v="Antananarivo"/>
    <x v="4"/>
    <m/>
    <s v="SAVA"/>
    <s v="Sambava"/>
    <s v="CARE"/>
    <s v="Nosiarina "/>
    <m/>
    <m/>
    <m/>
    <n v="1785"/>
    <n v="357"/>
    <x v="1"/>
    <m/>
    <n v="15"/>
    <n v="10.71"/>
    <m/>
    <m/>
    <m/>
    <n v="1.6065"/>
    <n v="0.93712499999999999"/>
    <m/>
    <m/>
    <m/>
    <m/>
    <m/>
    <m/>
    <n v="13.253625000000001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pondra "/>
    <m/>
    <m/>
    <m/>
    <n v="7070"/>
    <n v="1414"/>
    <x v="1"/>
    <m/>
    <n v="15"/>
    <n v="42.42"/>
    <m/>
    <m/>
    <m/>
    <n v="6.3630000000000004"/>
    <n v="3.7117499999999999"/>
    <m/>
    <m/>
    <m/>
    <m/>
    <m/>
    <m/>
    <n v="52.494750000000003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ndravory "/>
    <m/>
    <m/>
    <m/>
    <n v="1415"/>
    <n v="283"/>
    <x v="0"/>
    <m/>
    <n v="15"/>
    <m/>
    <m/>
    <m/>
    <m/>
    <m/>
    <m/>
    <m/>
    <m/>
    <m/>
    <m/>
    <m/>
    <m/>
    <n v="0"/>
    <n v="33960000"/>
    <n v="7448.7732335484316"/>
  </r>
  <r>
    <x v="1"/>
    <n v="2024"/>
    <x v="2"/>
    <s v="GD"/>
    <x v="12"/>
    <s v="URT_GD: General Distribution"/>
    <m/>
    <m/>
    <s v="Antananarivo"/>
    <x v="4"/>
    <m/>
    <s v="SAVA"/>
    <s v="Vohemar"/>
    <s v="CARE"/>
    <s v="Tsarabaria "/>
    <m/>
    <m/>
    <m/>
    <n v="8710"/>
    <n v="1742"/>
    <x v="1"/>
    <m/>
    <n v="15"/>
    <n v="52.26"/>
    <m/>
    <m/>
    <m/>
    <n v="7.8390000000000004"/>
    <n v="4.5727500000000001"/>
    <m/>
    <m/>
    <m/>
    <m/>
    <m/>
    <m/>
    <n v="64.671750000000003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bodisambalahy"/>
    <m/>
    <m/>
    <m/>
    <n v="3750"/>
    <n v="750"/>
    <x v="1"/>
    <m/>
    <n v="15"/>
    <n v="22.5"/>
    <m/>
    <m/>
    <m/>
    <n v="3.375"/>
    <n v="1.96875"/>
    <m/>
    <m/>
    <m/>
    <m/>
    <m/>
    <m/>
    <n v="27.84375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pisikinana"/>
    <m/>
    <m/>
    <m/>
    <n v="2830"/>
    <n v="566"/>
    <x v="1"/>
    <m/>
    <n v="15"/>
    <n v="16.98"/>
    <m/>
    <m/>
    <m/>
    <n v="2.5470000000000002"/>
    <n v="1.4857499999999999"/>
    <m/>
    <m/>
    <m/>
    <m/>
    <m/>
    <m/>
    <n v="21.01275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Nosibe"/>
    <m/>
    <m/>
    <m/>
    <n v="3760"/>
    <n v="752"/>
    <x v="1"/>
    <m/>
    <n v="15"/>
    <n v="22.56"/>
    <m/>
    <m/>
    <m/>
    <n v="3.3839999999999999"/>
    <n v="1.974"/>
    <m/>
    <m/>
    <m/>
    <m/>
    <m/>
    <m/>
    <n v="27.917999999999999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Milanoa"/>
    <m/>
    <m/>
    <m/>
    <n v="4940"/>
    <n v="988"/>
    <x v="1"/>
    <m/>
    <n v="15"/>
    <n v="29.64"/>
    <m/>
    <m/>
    <m/>
    <n v="4.4459999999999997"/>
    <n v="2.5935000000000001"/>
    <m/>
    <m/>
    <m/>
    <m/>
    <m/>
    <m/>
    <n v="36.679499999999997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binanin'Andravory"/>
    <m/>
    <m/>
    <m/>
    <n v="3965"/>
    <n v="793"/>
    <x v="1"/>
    <m/>
    <n v="15"/>
    <n v="23.79"/>
    <m/>
    <m/>
    <m/>
    <n v="3.5684999999999998"/>
    <n v="2.0816249999999998"/>
    <m/>
    <m/>
    <m/>
    <m/>
    <m/>
    <m/>
    <n v="29.440124999999998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ndrafainkona"/>
    <m/>
    <m/>
    <m/>
    <n v="2235"/>
    <n v="447"/>
    <x v="1"/>
    <m/>
    <n v="15"/>
    <n v="13.41"/>
    <m/>
    <m/>
    <m/>
    <n v="2.0114999999999998"/>
    <n v="1.1733750000000001"/>
    <m/>
    <m/>
    <m/>
    <m/>
    <m/>
    <m/>
    <n v="16.594875000000002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Belambo"/>
    <m/>
    <m/>
    <m/>
    <n v="3135"/>
    <n v="627"/>
    <x v="1"/>
    <m/>
    <n v="15"/>
    <n v="18.809999999999999"/>
    <m/>
    <m/>
    <m/>
    <n v="2.8214999999999999"/>
    <n v="1.645875"/>
    <m/>
    <m/>
    <m/>
    <m/>
    <m/>
    <m/>
    <n v="23.277374999999999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ntsirabe Nord"/>
    <m/>
    <m/>
    <m/>
    <n v="9790"/>
    <n v="1958"/>
    <x v="1"/>
    <m/>
    <n v="15"/>
    <n v="58.74"/>
    <m/>
    <m/>
    <m/>
    <n v="8.8109999999999999"/>
    <n v="5.1397500000000003"/>
    <m/>
    <m/>
    <m/>
    <m/>
    <m/>
    <m/>
    <n v="72.690750000000008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balasatrana"/>
    <m/>
    <m/>
    <m/>
    <n v="2000"/>
    <n v="400"/>
    <x v="1"/>
    <m/>
    <n v="15"/>
    <n v="12"/>
    <m/>
    <m/>
    <m/>
    <n v="1.8"/>
    <n v="1.05"/>
    <m/>
    <m/>
    <m/>
    <m/>
    <m/>
    <m/>
    <n v="14.850000000000001"/>
    <m/>
    <n v="0"/>
  </r>
  <r>
    <x v="1"/>
    <n v="2024"/>
    <x v="2"/>
    <s v="GD"/>
    <x v="12"/>
    <s v="URT_GD: General Distribution"/>
    <m/>
    <m/>
    <s v="Antananarivo"/>
    <x v="4"/>
    <m/>
    <s v="SAVA"/>
    <s v="Vohemar"/>
    <s v="CARE"/>
    <s v="Amboriala"/>
    <m/>
    <m/>
    <m/>
    <n v="2130"/>
    <n v="426"/>
    <x v="1"/>
    <m/>
    <n v="15"/>
    <n v="12.78"/>
    <m/>
    <m/>
    <m/>
    <n v="1.917"/>
    <n v="1.11825"/>
    <m/>
    <m/>
    <m/>
    <m/>
    <m/>
    <m/>
    <n v="15.815249999999999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Bobakindro "/>
    <m/>
    <m/>
    <n v="241.2"/>
    <n v="241.2"/>
    <m/>
    <x v="1"/>
    <m/>
    <n v="120"/>
    <m/>
    <m/>
    <m/>
    <m/>
    <m/>
    <m/>
    <m/>
    <m/>
    <m/>
    <m/>
    <n v="1.4472"/>
    <m/>
    <n v="1.4472"/>
    <m/>
    <m/>
  </r>
  <r>
    <x v="0"/>
    <n v="2024"/>
    <x v="2"/>
    <s v="Nutrition"/>
    <x v="13"/>
    <s v="URT_GD: General Distribution"/>
    <m/>
    <m/>
    <s v="Antananarivo"/>
    <x v="4"/>
    <m/>
    <s v="SAVA"/>
    <s v="Sambava"/>
    <s v="CARE"/>
    <s v="Analamaho"/>
    <m/>
    <m/>
    <n v="149.4"/>
    <n v="149.4"/>
    <m/>
    <x v="1"/>
    <m/>
    <n v="120"/>
    <m/>
    <m/>
    <m/>
    <m/>
    <m/>
    <m/>
    <m/>
    <m/>
    <m/>
    <m/>
    <n v="0.89639999999999997"/>
    <m/>
    <n v="0.89639999999999997"/>
    <m/>
    <n v="0"/>
  </r>
  <r>
    <x v="0"/>
    <n v="2024"/>
    <x v="2"/>
    <s v="Nutrition"/>
    <x v="13"/>
    <s v="URT_GD: General Distribution"/>
    <m/>
    <m/>
    <s v="Antananarivo"/>
    <x v="4"/>
    <m/>
    <s v="SAVA"/>
    <s v="Sambava"/>
    <s v="CARE"/>
    <s v="Bemanevika"/>
    <m/>
    <m/>
    <n v="257.39999999999998"/>
    <n v="257.39999999999998"/>
    <m/>
    <x v="1"/>
    <m/>
    <n v="120"/>
    <m/>
    <m/>
    <m/>
    <m/>
    <m/>
    <m/>
    <m/>
    <m/>
    <m/>
    <m/>
    <n v="1.5443999999999998"/>
    <m/>
    <n v="1.5443999999999998"/>
    <m/>
    <n v="0"/>
  </r>
  <r>
    <x v="0"/>
    <n v="2024"/>
    <x v="2"/>
    <s v="Nutrition"/>
    <x v="13"/>
    <s v="URT_GD: General Distribution"/>
    <m/>
    <m/>
    <s v="Antananarivo"/>
    <x v="4"/>
    <m/>
    <s v="SAVA"/>
    <s v="Sambava"/>
    <s v="CARE"/>
    <s v="Tanambao Daoud "/>
    <m/>
    <m/>
    <n v="224.7"/>
    <n v="224.7"/>
    <m/>
    <x v="1"/>
    <m/>
    <n v="120"/>
    <m/>
    <m/>
    <m/>
    <m/>
    <m/>
    <m/>
    <m/>
    <m/>
    <m/>
    <m/>
    <n v="1.3482000000000001"/>
    <m/>
    <n v="1.3482000000000001"/>
    <m/>
    <n v="0"/>
  </r>
  <r>
    <x v="0"/>
    <n v="2024"/>
    <x v="2"/>
    <s v="Nutrition"/>
    <x v="13"/>
    <s v="URT_GD: General Distribution"/>
    <m/>
    <m/>
    <s v="Antananarivo"/>
    <x v="4"/>
    <m/>
    <s v="SAVA"/>
    <s v="Sambava"/>
    <s v="CARE"/>
    <s v="Nosiarina "/>
    <m/>
    <m/>
    <n v="107.1"/>
    <n v="107.1"/>
    <m/>
    <x v="1"/>
    <m/>
    <n v="120"/>
    <m/>
    <m/>
    <m/>
    <m/>
    <m/>
    <m/>
    <m/>
    <m/>
    <m/>
    <m/>
    <n v="0.64259999999999995"/>
    <m/>
    <n v="0.64259999999999995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pondra "/>
    <m/>
    <m/>
    <n v="424.2"/>
    <n v="424.2"/>
    <m/>
    <x v="1"/>
    <m/>
    <n v="120"/>
    <m/>
    <m/>
    <m/>
    <m/>
    <m/>
    <m/>
    <m/>
    <m/>
    <m/>
    <m/>
    <n v="2.5451999999999999"/>
    <m/>
    <n v="2.5451999999999999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ndravory "/>
    <m/>
    <m/>
    <n v="84.899999999999991"/>
    <n v="84.899999999999991"/>
    <m/>
    <x v="1"/>
    <m/>
    <n v="120"/>
    <m/>
    <m/>
    <m/>
    <m/>
    <m/>
    <m/>
    <m/>
    <m/>
    <m/>
    <m/>
    <n v="0.50939999999999985"/>
    <m/>
    <n v="0.50939999999999985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Tsarabaria "/>
    <m/>
    <m/>
    <n v="522.6"/>
    <n v="522.6"/>
    <m/>
    <x v="1"/>
    <m/>
    <n v="120"/>
    <m/>
    <m/>
    <m/>
    <m/>
    <m/>
    <m/>
    <m/>
    <m/>
    <m/>
    <m/>
    <n v="3.1356000000000002"/>
    <m/>
    <n v="3.1356000000000002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bodisambalahy"/>
    <m/>
    <m/>
    <n v="225"/>
    <n v="225"/>
    <m/>
    <x v="1"/>
    <m/>
    <n v="120"/>
    <m/>
    <m/>
    <m/>
    <m/>
    <m/>
    <m/>
    <m/>
    <m/>
    <m/>
    <m/>
    <n v="1.35"/>
    <m/>
    <n v="1.35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pisikinana"/>
    <m/>
    <m/>
    <n v="169.79999999999998"/>
    <n v="169.79999999999998"/>
    <m/>
    <x v="1"/>
    <m/>
    <n v="120"/>
    <m/>
    <m/>
    <m/>
    <m/>
    <m/>
    <m/>
    <m/>
    <m/>
    <m/>
    <m/>
    <n v="1.0187999999999997"/>
    <m/>
    <n v="1.0187999999999997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Nosibe"/>
    <m/>
    <m/>
    <n v="225.6"/>
    <n v="225.6"/>
    <m/>
    <x v="1"/>
    <m/>
    <n v="120"/>
    <m/>
    <m/>
    <m/>
    <m/>
    <m/>
    <m/>
    <m/>
    <m/>
    <m/>
    <m/>
    <n v="1.3535999999999999"/>
    <m/>
    <n v="1.3535999999999999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Milanoa"/>
    <m/>
    <m/>
    <n v="296.39999999999998"/>
    <n v="296.39999999999998"/>
    <m/>
    <x v="1"/>
    <m/>
    <n v="120"/>
    <m/>
    <m/>
    <m/>
    <m/>
    <m/>
    <m/>
    <m/>
    <m/>
    <m/>
    <m/>
    <n v="1.7784"/>
    <m/>
    <n v="1.7784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binanin'Andravory"/>
    <m/>
    <m/>
    <n v="237.89999999999998"/>
    <n v="237.89999999999998"/>
    <m/>
    <x v="1"/>
    <m/>
    <n v="120"/>
    <m/>
    <m/>
    <m/>
    <m/>
    <m/>
    <m/>
    <m/>
    <m/>
    <m/>
    <m/>
    <n v="1.4273999999999998"/>
    <m/>
    <n v="1.4273999999999998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ndrafainkona"/>
    <m/>
    <m/>
    <n v="134.1"/>
    <n v="134.1"/>
    <m/>
    <x v="1"/>
    <m/>
    <n v="120"/>
    <m/>
    <m/>
    <m/>
    <m/>
    <m/>
    <m/>
    <m/>
    <m/>
    <m/>
    <m/>
    <n v="0.80459999999999998"/>
    <m/>
    <n v="0.80459999999999998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Belambo"/>
    <m/>
    <m/>
    <n v="188.1"/>
    <n v="188.1"/>
    <m/>
    <x v="1"/>
    <m/>
    <n v="120"/>
    <m/>
    <m/>
    <m/>
    <m/>
    <m/>
    <m/>
    <m/>
    <m/>
    <m/>
    <m/>
    <n v="1.1286"/>
    <m/>
    <n v="1.1286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ntsirabe Nord"/>
    <m/>
    <m/>
    <n v="587.4"/>
    <n v="587.4"/>
    <m/>
    <x v="1"/>
    <m/>
    <n v="120"/>
    <m/>
    <m/>
    <m/>
    <m/>
    <m/>
    <m/>
    <m/>
    <m/>
    <m/>
    <m/>
    <n v="3.5244"/>
    <m/>
    <n v="3.5244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balasatrana"/>
    <m/>
    <m/>
    <n v="120"/>
    <n v="120"/>
    <m/>
    <x v="1"/>
    <m/>
    <n v="120"/>
    <m/>
    <m/>
    <m/>
    <m/>
    <m/>
    <m/>
    <m/>
    <m/>
    <m/>
    <m/>
    <n v="0.72"/>
    <m/>
    <n v="0.72"/>
    <m/>
    <n v="0"/>
  </r>
  <r>
    <x v="0"/>
    <n v="2024"/>
    <x v="2"/>
    <s v="Nutrition"/>
    <x v="13"/>
    <s v="URT_GD: General Distribution"/>
    <m/>
    <m/>
    <s v="Antananarivo"/>
    <x v="4"/>
    <m/>
    <s v="SAVA"/>
    <s v="Vohemar"/>
    <s v="CARE"/>
    <s v="Amboriala"/>
    <m/>
    <m/>
    <n v="127.8"/>
    <n v="127.8"/>
    <m/>
    <x v="1"/>
    <m/>
    <n v="120"/>
    <m/>
    <m/>
    <m/>
    <m/>
    <m/>
    <m/>
    <m/>
    <m/>
    <m/>
    <m/>
    <n v="0.76680000000000004"/>
    <m/>
    <n v="0.76680000000000004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Bobakindro "/>
    <m/>
    <m/>
    <n v="201"/>
    <n v="201"/>
    <m/>
    <x v="1"/>
    <m/>
    <n v="120"/>
    <m/>
    <m/>
    <m/>
    <m/>
    <m/>
    <n v="0.4824"/>
    <m/>
    <m/>
    <n v="4.8239999999999998"/>
    <m/>
    <m/>
    <m/>
    <n v="5.3064"/>
    <m/>
    <m/>
  </r>
  <r>
    <x v="0"/>
    <n v="2024"/>
    <x v="2"/>
    <s v="Nutrition"/>
    <x v="14"/>
    <s v="URT_PREV:Prevention of acute malnutrition"/>
    <m/>
    <m/>
    <s v="Antananarivo"/>
    <x v="4"/>
    <m/>
    <s v="SAVA"/>
    <s v="Sambava"/>
    <s v="CARE"/>
    <s v="Analamaho"/>
    <m/>
    <m/>
    <n v="124.5"/>
    <n v="124.5"/>
    <m/>
    <x v="1"/>
    <m/>
    <n v="120"/>
    <m/>
    <m/>
    <m/>
    <m/>
    <m/>
    <n v="0.29880000000000001"/>
    <m/>
    <m/>
    <n v="2.988"/>
    <m/>
    <m/>
    <m/>
    <n v="3.2867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s v="Sambava"/>
    <s v="CARE"/>
    <s v="Bemanevika"/>
    <m/>
    <m/>
    <n v="214.5"/>
    <n v="214.5"/>
    <m/>
    <x v="1"/>
    <m/>
    <n v="120"/>
    <m/>
    <m/>
    <m/>
    <m/>
    <m/>
    <n v="0.51480000000000004"/>
    <m/>
    <m/>
    <n v="5.1479999999999997"/>
    <m/>
    <m/>
    <m/>
    <n v="5.6627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s v="Sambava"/>
    <s v="CARE"/>
    <s v="Tanambao Daoud "/>
    <m/>
    <m/>
    <n v="187.25"/>
    <n v="187.25"/>
    <m/>
    <x v="1"/>
    <m/>
    <n v="120"/>
    <m/>
    <m/>
    <m/>
    <m/>
    <m/>
    <n v="0.44940000000000002"/>
    <m/>
    <m/>
    <n v="4.4939999999999998"/>
    <m/>
    <m/>
    <m/>
    <n v="4.9433999999999996"/>
    <m/>
    <n v="0"/>
  </r>
  <r>
    <x v="0"/>
    <n v="2024"/>
    <x v="2"/>
    <s v="Nutrition"/>
    <x v="14"/>
    <s v="URT_PREV:Prevention of acute malnutrition"/>
    <m/>
    <m/>
    <s v="Antananarivo"/>
    <x v="4"/>
    <m/>
    <s v="SAVA"/>
    <s v="Sambava"/>
    <s v="CARE"/>
    <s v="Nosiarina "/>
    <m/>
    <m/>
    <n v="89.25"/>
    <n v="89.25"/>
    <m/>
    <x v="1"/>
    <m/>
    <n v="120"/>
    <m/>
    <m/>
    <m/>
    <m/>
    <m/>
    <n v="0.2142"/>
    <m/>
    <m/>
    <n v="2.1419999999999999"/>
    <m/>
    <m/>
    <m/>
    <n v="2.3561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pondra "/>
    <m/>
    <m/>
    <n v="353.5"/>
    <n v="353.5"/>
    <m/>
    <x v="1"/>
    <m/>
    <n v="120"/>
    <m/>
    <m/>
    <m/>
    <m/>
    <m/>
    <n v="0.84840000000000004"/>
    <m/>
    <m/>
    <n v="8.484"/>
    <m/>
    <m/>
    <m/>
    <n v="9.3323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ndravory "/>
    <m/>
    <m/>
    <n v="70.75"/>
    <n v="70.75"/>
    <m/>
    <x v="1"/>
    <m/>
    <n v="120"/>
    <m/>
    <m/>
    <m/>
    <m/>
    <m/>
    <n v="0.16980000000000001"/>
    <m/>
    <m/>
    <n v="1.698"/>
    <m/>
    <m/>
    <m/>
    <n v="1.86779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Tsarabaria "/>
    <m/>
    <m/>
    <n v="435.5"/>
    <n v="435.5"/>
    <m/>
    <x v="1"/>
    <m/>
    <n v="120"/>
    <m/>
    <m/>
    <m/>
    <m/>
    <m/>
    <n v="1.0451999999999999"/>
    <m/>
    <m/>
    <n v="10.452"/>
    <m/>
    <m/>
    <m/>
    <n v="11.4971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bodisambalahy"/>
    <m/>
    <m/>
    <n v="187.5"/>
    <n v="187.5"/>
    <m/>
    <x v="1"/>
    <m/>
    <n v="120"/>
    <m/>
    <m/>
    <m/>
    <m/>
    <m/>
    <n v="0.45"/>
    <m/>
    <m/>
    <n v="4.5"/>
    <m/>
    <m/>
    <m/>
    <n v="4.95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pisikinana"/>
    <m/>
    <m/>
    <n v="141.5"/>
    <n v="141.5"/>
    <m/>
    <x v="1"/>
    <m/>
    <n v="120"/>
    <m/>
    <m/>
    <m/>
    <m/>
    <m/>
    <n v="0.33960000000000001"/>
    <m/>
    <m/>
    <n v="3.3959999999999999"/>
    <m/>
    <m/>
    <m/>
    <n v="3.7355999999999998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Nosibe"/>
    <m/>
    <m/>
    <n v="188"/>
    <n v="188"/>
    <m/>
    <x v="1"/>
    <m/>
    <n v="120"/>
    <m/>
    <m/>
    <m/>
    <m/>
    <m/>
    <n v="0.45119999999999999"/>
    <m/>
    <m/>
    <n v="4.5119999999999996"/>
    <m/>
    <m/>
    <m/>
    <n v="4.9631999999999996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Milanoa"/>
    <m/>
    <m/>
    <n v="247"/>
    <n v="247"/>
    <m/>
    <x v="1"/>
    <m/>
    <n v="120"/>
    <m/>
    <m/>
    <m/>
    <m/>
    <m/>
    <n v="0.59279999999999999"/>
    <m/>
    <m/>
    <n v="5.9279999999999999"/>
    <m/>
    <m/>
    <m/>
    <n v="6.5207999999999995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binanin'Andravory"/>
    <m/>
    <m/>
    <n v="198.25"/>
    <n v="198.25"/>
    <m/>
    <x v="1"/>
    <m/>
    <n v="120"/>
    <m/>
    <m/>
    <m/>
    <m/>
    <m/>
    <n v="0.4758"/>
    <m/>
    <m/>
    <n v="4.758"/>
    <m/>
    <m/>
    <m/>
    <n v="5.2338000000000005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ndrafainkona"/>
    <m/>
    <m/>
    <n v="111.75"/>
    <n v="111.75"/>
    <m/>
    <x v="1"/>
    <m/>
    <n v="120"/>
    <m/>
    <m/>
    <m/>
    <m/>
    <m/>
    <n v="0.26819999999999999"/>
    <m/>
    <m/>
    <n v="2.6819999999999999"/>
    <m/>
    <m/>
    <m/>
    <n v="2.9501999999999997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Belambo"/>
    <m/>
    <m/>
    <n v="156.75"/>
    <n v="156.75"/>
    <m/>
    <x v="1"/>
    <m/>
    <n v="120"/>
    <m/>
    <m/>
    <m/>
    <m/>
    <m/>
    <n v="0.37619999999999998"/>
    <m/>
    <m/>
    <n v="3.762"/>
    <m/>
    <m/>
    <m/>
    <n v="4.1382000000000003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ntsirabe Nord"/>
    <m/>
    <m/>
    <n v="489.5"/>
    <n v="489.5"/>
    <m/>
    <x v="1"/>
    <m/>
    <n v="120"/>
    <m/>
    <m/>
    <m/>
    <m/>
    <m/>
    <n v="1.1748000000000001"/>
    <m/>
    <m/>
    <n v="11.747999999999999"/>
    <m/>
    <m/>
    <m/>
    <n v="12.922799999999999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balasatrana"/>
    <m/>
    <m/>
    <n v="100"/>
    <n v="100"/>
    <m/>
    <x v="1"/>
    <m/>
    <n v="120"/>
    <m/>
    <m/>
    <m/>
    <m/>
    <m/>
    <n v="0.24"/>
    <m/>
    <m/>
    <n v="2.4"/>
    <m/>
    <m/>
    <m/>
    <n v="2.6399999999999997"/>
    <m/>
    <n v="0"/>
  </r>
  <r>
    <x v="0"/>
    <n v="2024"/>
    <x v="2"/>
    <s v="Nutrition"/>
    <x v="14"/>
    <s v="URT_PREV:Prevention of acute malnutrition"/>
    <m/>
    <m/>
    <s v="Antananarivo"/>
    <x v="4"/>
    <m/>
    <s v="SAVA"/>
    <s v="Vohemar"/>
    <s v="CARE"/>
    <s v="Amboriala"/>
    <m/>
    <m/>
    <n v="106.5"/>
    <n v="106.5"/>
    <m/>
    <x v="1"/>
    <m/>
    <n v="120"/>
    <m/>
    <m/>
    <m/>
    <m/>
    <m/>
    <n v="0.25559999999999999"/>
    <m/>
    <m/>
    <n v="2.556"/>
    <m/>
    <m/>
    <m/>
    <n v="2.8115999999999999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860F9-1C91-4597-B0D0-709750B89A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82" firstHeaderRow="1" firstDataRow="2" firstDataCol="4"/>
  <pivotFields count="37">
    <pivotField axis="axisRow" compact="0" outline="0" showAll="0" sortType="descending">
      <items count="7">
        <item h="1" x="4"/>
        <item x="0"/>
        <item x="1"/>
        <item x="3"/>
        <item x="2"/>
        <item m="1" x="5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 defaultSubtotal="0">
      <items count="6">
        <item x="0"/>
        <item x="1"/>
        <item x="2"/>
        <item x="5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0"/>
        <item x="1"/>
        <item m="1" x="7"/>
        <item m="1" x="9"/>
        <item m="1" x="8"/>
        <item m="1" x="10"/>
        <item x="3"/>
        <item m="1" x="6"/>
        <item x="2"/>
        <item m="1" x="11"/>
        <item x="5"/>
        <item x="4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2"/>
    <field x="0"/>
    <field x="4"/>
    <field x="9"/>
  </rowFields>
  <rowItems count="78">
    <i>
      <x/>
      <x v="1"/>
      <x v="2"/>
      <x/>
    </i>
    <i r="3">
      <x v="1"/>
    </i>
    <i r="3">
      <x v="6"/>
    </i>
    <i r="3">
      <x v="8"/>
    </i>
    <i r="2">
      <x v="4"/>
      <x/>
    </i>
    <i r="3">
      <x v="1"/>
    </i>
    <i r="3">
      <x v="6"/>
    </i>
    <i r="3">
      <x v="8"/>
    </i>
    <i t="default" r="1">
      <x v="1"/>
    </i>
    <i r="1">
      <x v="2"/>
      <x v="2"/>
      <x/>
    </i>
    <i r="3">
      <x v="1"/>
    </i>
    <i r="3">
      <x v="6"/>
    </i>
    <i r="3">
      <x v="8"/>
    </i>
    <i r="2">
      <x v="4"/>
      <x/>
    </i>
    <i r="3">
      <x v="1"/>
    </i>
    <i r="3">
      <x v="6"/>
    </i>
    <i r="3">
      <x v="8"/>
    </i>
    <i t="default" r="1">
      <x v="2"/>
    </i>
    <i r="1">
      <x v="3"/>
      <x v="2"/>
      <x/>
    </i>
    <i r="3">
      <x v="1"/>
    </i>
    <i r="3">
      <x v="6"/>
    </i>
    <i r="3">
      <x v="8"/>
    </i>
    <i r="2">
      <x v="4"/>
      <x/>
    </i>
    <i r="3">
      <x v="1"/>
    </i>
    <i r="3">
      <x v="6"/>
    </i>
    <i r="3">
      <x v="8"/>
    </i>
    <i t="default" r="1">
      <x v="3"/>
    </i>
    <i r="1">
      <x v="4"/>
      <x v="2"/>
      <x/>
    </i>
    <i r="3">
      <x v="1"/>
    </i>
    <i r="3">
      <x v="6"/>
    </i>
    <i r="3">
      <x v="8"/>
    </i>
    <i r="2">
      <x v="4"/>
      <x/>
    </i>
    <i r="3">
      <x v="1"/>
    </i>
    <i r="3">
      <x v="6"/>
    </i>
    <i r="3">
      <x v="8"/>
    </i>
    <i t="default" r="1">
      <x v="4"/>
    </i>
    <i t="default">
      <x/>
    </i>
    <i>
      <x v="1"/>
      <x v="1"/>
      <x/>
      <x/>
    </i>
    <i r="3">
      <x v="1"/>
    </i>
    <i r="3">
      <x v="6"/>
    </i>
    <i r="3">
      <x v="8"/>
    </i>
    <i r="2">
      <x v="1"/>
      <x/>
    </i>
    <i r="3">
      <x v="1"/>
    </i>
    <i r="3">
      <x v="6"/>
    </i>
    <i r="3">
      <x v="8"/>
    </i>
    <i t="default" r="1">
      <x v="1"/>
    </i>
    <i r="1">
      <x v="2"/>
      <x/>
      <x/>
    </i>
    <i r="3">
      <x v="1"/>
    </i>
    <i r="3">
      <x v="6"/>
    </i>
    <i r="3">
      <x v="8"/>
    </i>
    <i r="2">
      <x v="1"/>
      <x/>
    </i>
    <i r="3">
      <x v="1"/>
    </i>
    <i r="3">
      <x v="6"/>
    </i>
    <i r="3">
      <x v="8"/>
    </i>
    <i t="default" r="1">
      <x v="2"/>
    </i>
    <i r="1">
      <x v="3"/>
      <x/>
      <x/>
    </i>
    <i r="3">
      <x v="1"/>
    </i>
    <i r="3">
      <x v="6"/>
    </i>
    <i r="3">
      <x v="8"/>
    </i>
    <i r="2">
      <x v="1"/>
      <x/>
    </i>
    <i r="3">
      <x v="1"/>
    </i>
    <i r="3">
      <x v="6"/>
    </i>
    <i r="3">
      <x v="8"/>
    </i>
    <i t="default" r="1">
      <x v="3"/>
    </i>
    <i r="1">
      <x v="4"/>
      <x/>
      <x/>
    </i>
    <i r="3">
      <x v="1"/>
    </i>
    <i r="3">
      <x v="6"/>
    </i>
    <i r="3">
      <x v="8"/>
    </i>
    <i r="2">
      <x v="1"/>
      <x/>
    </i>
    <i r="3">
      <x v="1"/>
    </i>
    <i r="3">
      <x v="6"/>
    </i>
    <i r="3">
      <x v="8"/>
    </i>
    <i r="2">
      <x v="5"/>
      <x v="6"/>
    </i>
    <i r="3">
      <x v="8"/>
    </i>
    <i r="3">
      <x v="11"/>
    </i>
    <i t="default"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uile " fld="27" baseField="0" baseItem="0" numFmtId="170"/>
    <dataField name="Sum of CSB+" fld="30" baseField="0" baseItem="0"/>
    <dataField name="Sum of P Doz" fld="32" baseField="0" baseItem="0"/>
  </dataFields>
  <formats count="4">
    <format dxfId="20">
      <pivotArea outline="0" fieldPosition="0">
        <references count="1">
          <reference field="4294967294" count="1" selected="0">
            <x v="0"/>
          </reference>
        </references>
      </pivotArea>
    </format>
    <format dxfId="19">
      <pivotArea field="-2" type="button" dataOnly="0" labelOnly="1" outline="0" axis="axisCol" fieldPosition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B1B07-4DAB-4857-AEA8-1B22B492401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N246" firstHeaderRow="1" firstDataRow="2" firstDataCol="6"/>
  <pivotFields count="38"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axis="axisRow" compact="0" outline="0" showAll="0" defaultSubtotal="0">
      <items count="5">
        <item x="0"/>
        <item x="1"/>
        <item x="3"/>
        <item x="2"/>
        <item x="4"/>
      </items>
    </pivotField>
    <pivotField compact="0" outline="0" showAll="0"/>
    <pivotField axis="axisRow" compact="0" outline="0" showAll="0" defaultSubtotal="0">
      <items count="17">
        <item x="3"/>
        <item x="4"/>
        <item x="5"/>
        <item x="6"/>
        <item x="7"/>
        <item x="0"/>
        <item x="8"/>
        <item x="2"/>
        <item x="1"/>
        <item x="15"/>
        <item x="9"/>
        <item x="10"/>
        <item x="11"/>
        <item m="1" x="16"/>
        <item x="13"/>
        <item x="1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m="1" x="7"/>
        <item x="0"/>
        <item x="2"/>
        <item x="4"/>
        <item x="1"/>
        <item m="1" x="6"/>
        <item x="3"/>
        <item x="5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40">
        <item m="1" x="39"/>
        <item x="0"/>
        <item x="25"/>
        <item x="19"/>
        <item x="1"/>
        <item x="27"/>
        <item x="4"/>
        <item x="21"/>
        <item x="23"/>
        <item x="11"/>
        <item x="3"/>
        <item x="12"/>
        <item x="7"/>
        <item x="30"/>
        <item x="15"/>
        <item x="18"/>
        <item x="24"/>
        <item x="17"/>
        <item x="2"/>
        <item x="20"/>
        <item x="13"/>
        <item x="22"/>
        <item x="9"/>
        <item x="31"/>
        <item x="6"/>
        <item x="26"/>
        <item x="5"/>
        <item x="14"/>
        <item x="29"/>
        <item x="28"/>
        <item x="16"/>
        <item x="10"/>
        <item x="8"/>
        <item x="38"/>
        <item x="32"/>
        <item x="33"/>
        <item x="34"/>
        <item x="35"/>
        <item x="36"/>
        <item x="3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efaultSubtotal="0"/>
    <pivotField compact="0" outline="0" showAll="0"/>
    <pivotField axis="axisRow" compact="0" outline="0" showAll="0" defaultSubtotal="0">
      <items count="5">
        <item x="0"/>
        <item x="3"/>
        <item x="1"/>
        <item x="2"/>
        <item m="1" x="4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6">
    <field x="0"/>
    <field x="9"/>
    <field x="2"/>
    <field x="12"/>
    <field x="4"/>
    <field x="20"/>
  </rowFields>
  <rowItems count="242">
    <i>
      <x/>
      <x v="1"/>
      <x/>
      <x v="1"/>
      <x v="5"/>
      <x/>
    </i>
    <i r="3">
      <x v="4"/>
      <x v="5"/>
      <x/>
    </i>
    <i r="2">
      <x v="1"/>
      <x v="1"/>
      <x v="7"/>
      <x/>
    </i>
    <i r="5">
      <x v="2"/>
    </i>
    <i r="4">
      <x v="8"/>
      <x/>
    </i>
    <i r="5">
      <x v="2"/>
    </i>
    <i r="3">
      <x v="4"/>
      <x v="7"/>
      <x v="2"/>
    </i>
    <i r="4">
      <x v="8"/>
      <x v="2"/>
    </i>
    <i r="3">
      <x v="10"/>
      <x v="7"/>
      <x v="2"/>
    </i>
    <i r="4">
      <x v="8"/>
      <x v="2"/>
    </i>
    <i r="2">
      <x v="3"/>
      <x v="1"/>
      <x v="1"/>
      <x v="2"/>
    </i>
    <i r="4">
      <x v="2"/>
      <x v="2"/>
    </i>
    <i r="4">
      <x v="4"/>
      <x v="2"/>
    </i>
    <i r="3">
      <x v="4"/>
      <x v="1"/>
      <x v="2"/>
    </i>
    <i r="4">
      <x v="2"/>
      <x v="2"/>
    </i>
    <i r="3">
      <x v="10"/>
      <x v="1"/>
      <x v="2"/>
    </i>
    <i r="4">
      <x v="2"/>
      <x v="2"/>
    </i>
    <i r="3">
      <x v="11"/>
      <x v="1"/>
      <x v="2"/>
    </i>
    <i r="4">
      <x v="2"/>
      <x v="2"/>
    </i>
    <i r="3">
      <x v="14"/>
      <x v="4"/>
      <x v="2"/>
    </i>
    <i r="3">
      <x v="26"/>
      <x v="1"/>
      <x v="2"/>
    </i>
    <i r="4">
      <x v="2"/>
      <x v="2"/>
    </i>
    <i t="default" r="1">
      <x v="1"/>
    </i>
    <i r="1">
      <x v="2"/>
      <x v="1"/>
      <x v="6"/>
      <x v="7"/>
      <x v="2"/>
    </i>
    <i r="4">
      <x v="8"/>
      <x v="2"/>
    </i>
    <i r="2">
      <x v="3"/>
      <x v="6"/>
      <x v="1"/>
      <x v="2"/>
    </i>
    <i r="4">
      <x v="2"/>
      <x v="2"/>
    </i>
    <i r="5">
      <x v="3"/>
    </i>
    <i t="default" r="1">
      <x v="2"/>
    </i>
    <i r="1">
      <x v="3"/>
      <x v="3"/>
      <x v="38"/>
      <x v="16"/>
      <x/>
    </i>
    <i r="5">
      <x v="2"/>
    </i>
    <i r="3">
      <x v="39"/>
      <x v="16"/>
      <x v="2"/>
    </i>
    <i t="default" r="1">
      <x v="3"/>
    </i>
    <i r="1">
      <x v="4"/>
      <x/>
      <x v="4"/>
      <x v="5"/>
      <x/>
    </i>
    <i r="3">
      <x v="18"/>
      <x v="5"/>
      <x/>
    </i>
    <i r="2">
      <x v="1"/>
      <x v="18"/>
      <x v="7"/>
      <x v="2"/>
    </i>
    <i r="4">
      <x v="8"/>
      <x v="2"/>
    </i>
    <i r="3">
      <x v="20"/>
      <x v="7"/>
      <x v="2"/>
    </i>
    <i r="4">
      <x v="8"/>
      <x v="2"/>
    </i>
    <i r="2">
      <x v="3"/>
      <x v="9"/>
      <x v="1"/>
      <x v="2"/>
    </i>
    <i r="4">
      <x v="2"/>
      <x v="2"/>
    </i>
    <i r="3">
      <x v="18"/>
      <x v="4"/>
      <x v="2"/>
    </i>
    <i r="3">
      <x v="22"/>
      <x v="1"/>
      <x v="2"/>
    </i>
    <i r="4">
      <x v="2"/>
      <x v="2"/>
    </i>
    <i r="3">
      <x v="24"/>
      <x v="1"/>
      <x v="2"/>
    </i>
    <i r="4">
      <x v="2"/>
      <x v="2"/>
    </i>
    <i r="3">
      <x v="31"/>
      <x v="1"/>
      <x v="2"/>
    </i>
    <i r="4">
      <x v="2"/>
      <x v="2"/>
    </i>
    <i r="3">
      <x v="32"/>
      <x v="1"/>
      <x v="2"/>
    </i>
    <i r="4">
      <x v="2"/>
      <x v="2"/>
    </i>
    <i t="default" r="1">
      <x v="4"/>
    </i>
    <i r="1">
      <x v="6"/>
      <x v="1"/>
      <x v="12"/>
      <x v="7"/>
      <x v="2"/>
    </i>
    <i r="4">
      <x v="8"/>
      <x v="2"/>
    </i>
    <i r="2">
      <x v="3"/>
      <x v="12"/>
      <x v="1"/>
      <x v="2"/>
    </i>
    <i r="4">
      <x v="2"/>
      <x v="2"/>
    </i>
    <i t="default" r="1">
      <x v="6"/>
    </i>
    <i t="default">
      <x/>
    </i>
    <i>
      <x v="1"/>
      <x v="1"/>
      <x/>
      <x v="1"/>
      <x v="5"/>
      <x/>
    </i>
    <i r="3">
      <x v="4"/>
      <x v="5"/>
      <x/>
    </i>
    <i r="2">
      <x v="1"/>
      <x v="1"/>
      <x v="7"/>
      <x/>
    </i>
    <i r="5">
      <x v="2"/>
    </i>
    <i r="4">
      <x v="8"/>
      <x/>
    </i>
    <i r="5">
      <x v="2"/>
    </i>
    <i r="3">
      <x v="4"/>
      <x v="7"/>
      <x v="2"/>
    </i>
    <i r="4">
      <x v="8"/>
      <x v="2"/>
    </i>
    <i r="3">
      <x v="10"/>
      <x v="7"/>
      <x v="2"/>
    </i>
    <i r="4">
      <x v="8"/>
      <x v="2"/>
    </i>
    <i r="2">
      <x v="3"/>
      <x v="1"/>
      <x/>
      <x v="2"/>
    </i>
    <i r="4">
      <x v="4"/>
      <x v="2"/>
    </i>
    <i r="3">
      <x v="4"/>
      <x/>
      <x/>
    </i>
    <i r="5">
      <x v="2"/>
    </i>
    <i r="3">
      <x v="10"/>
      <x/>
      <x v="2"/>
    </i>
    <i r="3">
      <x v="11"/>
      <x/>
      <x v="2"/>
    </i>
    <i r="3">
      <x v="14"/>
      <x v="4"/>
      <x v="2"/>
    </i>
    <i r="3">
      <x v="26"/>
      <x/>
      <x v="2"/>
    </i>
    <i t="default" r="1">
      <x v="1"/>
    </i>
    <i r="1">
      <x v="2"/>
      <x v="1"/>
      <x v="6"/>
      <x v="7"/>
      <x v="2"/>
    </i>
    <i r="4">
      <x v="8"/>
      <x v="2"/>
    </i>
    <i r="2">
      <x v="3"/>
      <x v="6"/>
      <x/>
      <x v="2"/>
    </i>
    <i t="default" r="1">
      <x v="2"/>
    </i>
    <i r="1">
      <x v="4"/>
      <x/>
      <x v="4"/>
      <x v="5"/>
      <x/>
    </i>
    <i r="3">
      <x v="18"/>
      <x v="5"/>
      <x/>
    </i>
    <i r="2">
      <x v="1"/>
      <x v="18"/>
      <x v="7"/>
      <x v="2"/>
    </i>
    <i r="4">
      <x v="8"/>
      <x v="2"/>
    </i>
    <i r="3">
      <x v="20"/>
      <x v="7"/>
      <x v="2"/>
    </i>
    <i r="4">
      <x v="8"/>
      <x v="2"/>
    </i>
    <i r="2">
      <x v="3"/>
      <x v="9"/>
      <x/>
      <x/>
    </i>
    <i r="5">
      <x v="2"/>
    </i>
    <i r="3">
      <x v="17"/>
      <x v="10"/>
      <x/>
    </i>
    <i r="4">
      <x v="11"/>
      <x v="2"/>
    </i>
    <i r="4">
      <x v="12"/>
      <x v="2"/>
    </i>
    <i r="3">
      <x v="18"/>
      <x v="4"/>
      <x v="2"/>
    </i>
    <i r="3">
      <x v="20"/>
      <x v="10"/>
      <x/>
    </i>
    <i r="5">
      <x v="2"/>
    </i>
    <i r="4">
      <x v="11"/>
      <x v="2"/>
    </i>
    <i r="4">
      <x v="12"/>
      <x v="2"/>
    </i>
    <i r="3">
      <x v="22"/>
      <x/>
      <x/>
    </i>
    <i r="3">
      <x v="24"/>
      <x/>
      <x/>
    </i>
    <i r="3">
      <x v="31"/>
      <x/>
      <x v="2"/>
    </i>
    <i r="4">
      <x v="10"/>
      <x/>
    </i>
    <i r="5">
      <x v="2"/>
    </i>
    <i r="3">
      <x v="32"/>
      <x/>
      <x v="2"/>
    </i>
    <i r="4">
      <x v="10"/>
      <x v="2"/>
    </i>
    <i r="3">
      <x v="34"/>
      <x v="10"/>
      <x v="2"/>
    </i>
    <i r="4">
      <x v="11"/>
      <x v="2"/>
    </i>
    <i r="4">
      <x v="12"/>
      <x v="2"/>
    </i>
    <i r="3">
      <x v="35"/>
      <x v="10"/>
      <x v="2"/>
    </i>
    <i r="4">
      <x v="11"/>
      <x v="2"/>
    </i>
    <i r="4">
      <x v="12"/>
      <x v="2"/>
    </i>
    <i r="3">
      <x v="36"/>
      <x v="11"/>
      <x v="2"/>
    </i>
    <i r="4">
      <x v="12"/>
      <x v="2"/>
    </i>
    <i r="3">
      <x v="37"/>
      <x v="11"/>
      <x v="2"/>
    </i>
    <i r="4">
      <x v="12"/>
      <x v="2"/>
    </i>
    <i t="default" r="1">
      <x v="4"/>
    </i>
    <i r="1">
      <x v="6"/>
      <x v="1"/>
      <x v="12"/>
      <x v="7"/>
      <x v="2"/>
    </i>
    <i r="4">
      <x v="8"/>
      <x v="2"/>
    </i>
    <i r="2">
      <x v="3"/>
      <x v="12"/>
      <x/>
      <x/>
    </i>
    <i r="5">
      <x v="2"/>
    </i>
    <i t="default" r="1">
      <x v="6"/>
    </i>
    <i t="default">
      <x v="1"/>
    </i>
    <i>
      <x v="2"/>
      <x v="1"/>
      <x/>
      <x v="1"/>
      <x v="5"/>
      <x/>
    </i>
    <i r="3">
      <x v="4"/>
      <x v="5"/>
      <x/>
    </i>
    <i r="2">
      <x v="1"/>
      <x v="1"/>
      <x v="7"/>
      <x/>
    </i>
    <i r="5">
      <x v="2"/>
    </i>
    <i r="4">
      <x v="8"/>
      <x/>
    </i>
    <i r="5">
      <x v="2"/>
    </i>
    <i r="3">
      <x v="4"/>
      <x v="7"/>
      <x v="2"/>
    </i>
    <i r="4">
      <x v="8"/>
      <x v="2"/>
    </i>
    <i r="3">
      <x v="10"/>
      <x v="7"/>
      <x v="2"/>
    </i>
    <i r="4">
      <x v="8"/>
      <x v="2"/>
    </i>
    <i r="2">
      <x v="2"/>
      <x v="2"/>
      <x v="6"/>
      <x v="1"/>
    </i>
    <i r="3">
      <x v="4"/>
      <x v="6"/>
      <x v="1"/>
    </i>
    <i r="5">
      <x v="2"/>
    </i>
    <i r="3">
      <x v="10"/>
      <x v="6"/>
      <x v="1"/>
    </i>
    <i r="5">
      <x v="2"/>
    </i>
    <i r="3">
      <x v="11"/>
      <x v="6"/>
      <x v="1"/>
    </i>
    <i r="5">
      <x v="2"/>
    </i>
    <i r="3">
      <x v="14"/>
      <x v="6"/>
      <x v="1"/>
    </i>
    <i r="3">
      <x v="16"/>
      <x v="6"/>
      <x v="1"/>
    </i>
    <i r="3">
      <x v="30"/>
      <x v="6"/>
      <x v="1"/>
    </i>
    <i r="5">
      <x v="2"/>
    </i>
    <i r="2">
      <x v="3"/>
      <x v="1"/>
      <x/>
      <x v="2"/>
    </i>
    <i r="4">
      <x v="1"/>
      <x v="2"/>
    </i>
    <i r="4">
      <x v="2"/>
      <x v="2"/>
    </i>
    <i r="4">
      <x v="3"/>
      <x v="2"/>
    </i>
    <i r="3">
      <x v="4"/>
      <x/>
      <x/>
    </i>
    <i r="5">
      <x v="2"/>
    </i>
    <i r="4">
      <x v="1"/>
      <x v="2"/>
    </i>
    <i r="4">
      <x v="2"/>
      <x v="2"/>
    </i>
    <i r="4">
      <x v="3"/>
      <x v="2"/>
    </i>
    <i r="3">
      <x v="10"/>
      <x/>
      <x v="2"/>
    </i>
    <i r="4">
      <x v="1"/>
      <x v="2"/>
    </i>
    <i r="4">
      <x v="2"/>
      <x v="2"/>
    </i>
    <i r="4">
      <x v="3"/>
      <x v="2"/>
    </i>
    <i r="3">
      <x v="11"/>
      <x/>
      <x v="2"/>
    </i>
    <i r="4">
      <x v="1"/>
      <x v="2"/>
    </i>
    <i r="4">
      <x v="2"/>
      <x v="2"/>
    </i>
    <i r="4">
      <x v="3"/>
      <x v="2"/>
    </i>
    <i r="3">
      <x v="14"/>
      <x v="3"/>
      <x v="2"/>
    </i>
    <i r="3">
      <x v="26"/>
      <x/>
      <x v="2"/>
    </i>
    <i r="4">
      <x v="1"/>
      <x v="2"/>
    </i>
    <i r="4">
      <x v="2"/>
      <x v="2"/>
    </i>
    <i r="3">
      <x v="30"/>
      <x v="3"/>
      <x v="2"/>
    </i>
    <i t="default" r="1">
      <x v="1"/>
    </i>
    <i r="1">
      <x v="2"/>
      <x v="1"/>
      <x v="6"/>
      <x v="7"/>
      <x v="2"/>
    </i>
    <i r="4">
      <x v="8"/>
      <x v="2"/>
    </i>
    <i r="2">
      <x v="2"/>
      <x v="5"/>
      <x v="6"/>
      <x v="1"/>
    </i>
    <i r="3">
      <x v="6"/>
      <x v="6"/>
      <x v="1"/>
    </i>
    <i r="5">
      <x v="2"/>
    </i>
    <i r="2">
      <x v="3"/>
      <x v="6"/>
      <x/>
      <x/>
    </i>
    <i r="5">
      <x v="2"/>
    </i>
    <i r="4">
      <x v="1"/>
      <x v="2"/>
    </i>
    <i r="4">
      <x v="2"/>
      <x v="2"/>
    </i>
    <i r="5">
      <x v="3"/>
    </i>
    <i r="4">
      <x v="3"/>
      <x v="2"/>
    </i>
    <i t="default" r="1">
      <x v="2"/>
    </i>
    <i r="1">
      <x v="3"/>
      <x v="2"/>
      <x v="3"/>
      <x v="6"/>
      <x v="1"/>
    </i>
    <i r="3">
      <x v="7"/>
      <x v="6"/>
      <x v="1"/>
    </i>
    <i r="3">
      <x v="8"/>
      <x v="6"/>
      <x v="1"/>
    </i>
    <i r="3">
      <x v="19"/>
      <x v="6"/>
      <x v="1"/>
    </i>
    <i r="3">
      <x v="21"/>
      <x v="6"/>
      <x v="1"/>
    </i>
    <i r="2">
      <x v="3"/>
      <x v="38"/>
      <x v="14"/>
      <x v="2"/>
    </i>
    <i r="4">
      <x v="15"/>
      <x v="2"/>
    </i>
    <i r="4">
      <x v="16"/>
      <x/>
    </i>
    <i r="5">
      <x v="2"/>
    </i>
    <i r="3">
      <x v="39"/>
      <x v="14"/>
      <x v="2"/>
    </i>
    <i r="4">
      <x v="15"/>
      <x v="2"/>
    </i>
    <i r="4">
      <x v="16"/>
      <x/>
    </i>
    <i t="default" r="1">
      <x v="3"/>
    </i>
    <i r="1">
      <x v="4"/>
      <x/>
      <x v="4"/>
      <x v="5"/>
      <x/>
    </i>
    <i r="3">
      <x v="18"/>
      <x v="5"/>
      <x/>
    </i>
    <i r="2">
      <x v="1"/>
      <x v="18"/>
      <x v="7"/>
      <x v="2"/>
    </i>
    <i r="4">
      <x v="8"/>
      <x v="2"/>
    </i>
    <i r="3">
      <x v="20"/>
      <x v="7"/>
      <x v="2"/>
    </i>
    <i r="4">
      <x v="8"/>
      <x v="2"/>
    </i>
    <i r="2">
      <x v="2"/>
      <x v="15"/>
      <x v="6"/>
      <x v="1"/>
    </i>
    <i r="3">
      <x v="18"/>
      <x v="6"/>
      <x v="1"/>
    </i>
    <i r="3">
      <x v="20"/>
      <x v="6"/>
      <x v="1"/>
    </i>
    <i r="3">
      <x v="31"/>
      <x v="6"/>
      <x v="1"/>
    </i>
    <i r="2">
      <x v="3"/>
      <x v="9"/>
      <x/>
      <x/>
    </i>
    <i r="5">
      <x v="2"/>
    </i>
    <i r="4">
      <x v="1"/>
      <x v="2"/>
    </i>
    <i r="4">
      <x v="2"/>
      <x v="2"/>
    </i>
    <i r="4">
      <x v="3"/>
      <x v="2"/>
    </i>
    <i r="3">
      <x v="15"/>
      <x v="3"/>
      <x v="2"/>
    </i>
    <i r="3">
      <x v="17"/>
      <x v="3"/>
      <x v="2"/>
    </i>
    <i r="3">
      <x v="22"/>
      <x/>
      <x/>
    </i>
    <i r="4">
      <x v="1"/>
      <x v="2"/>
    </i>
    <i r="4">
      <x v="2"/>
      <x v="2"/>
    </i>
    <i r="4">
      <x v="3"/>
      <x v="2"/>
    </i>
    <i r="3">
      <x v="24"/>
      <x/>
      <x/>
    </i>
    <i r="4">
      <x v="1"/>
      <x v="2"/>
    </i>
    <i r="4">
      <x v="2"/>
      <x v="2"/>
    </i>
    <i r="3">
      <x v="31"/>
      <x/>
      <x/>
    </i>
    <i r="5">
      <x v="2"/>
    </i>
    <i r="4">
      <x v="1"/>
      <x v="2"/>
    </i>
    <i r="4">
      <x v="2"/>
      <x v="2"/>
    </i>
    <i r="4">
      <x v="3"/>
      <x v="2"/>
    </i>
    <i r="3">
      <x v="32"/>
      <x/>
      <x v="2"/>
    </i>
    <i r="4">
      <x v="1"/>
      <x v="2"/>
    </i>
    <i r="4">
      <x v="2"/>
      <x v="2"/>
    </i>
    <i r="4">
      <x v="3"/>
      <x v="2"/>
    </i>
    <i t="default" r="1">
      <x v="4"/>
    </i>
    <i r="1">
      <x v="6"/>
      <x v="1"/>
      <x v="12"/>
      <x v="7"/>
      <x v="2"/>
    </i>
    <i r="4">
      <x v="8"/>
      <x v="2"/>
    </i>
    <i r="2">
      <x v="2"/>
      <x v="13"/>
      <x v="6"/>
      <x v="1"/>
    </i>
    <i r="5">
      <x v="2"/>
    </i>
    <i r="3">
      <x v="23"/>
      <x v="6"/>
      <x v="1"/>
    </i>
    <i r="3">
      <x v="25"/>
      <x v="6"/>
      <x v="2"/>
    </i>
    <i r="3">
      <x v="28"/>
      <x v="6"/>
      <x v="1"/>
    </i>
    <i r="5">
      <x v="2"/>
    </i>
    <i r="3">
      <x v="29"/>
      <x v="6"/>
      <x v="1"/>
    </i>
    <i r="5">
      <x v="2"/>
    </i>
    <i r="2">
      <x v="3"/>
      <x v="12"/>
      <x/>
      <x/>
    </i>
    <i r="5">
      <x v="2"/>
    </i>
    <i r="4">
      <x v="1"/>
      <x v="2"/>
    </i>
    <i r="4">
      <x v="2"/>
      <x v="2"/>
    </i>
    <i r="4">
      <x v="3"/>
      <x v="2"/>
    </i>
    <i r="3">
      <x v="27"/>
      <x v="3"/>
      <x v="2"/>
    </i>
    <i t="default" r="1">
      <x v="6"/>
    </i>
    <i t="default"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otal bénéficiaires" fld="18" baseField="4" baseItem="7"/>
    <dataField name="Sum of Riz" fld="23" baseField="4" baseItem="6"/>
    <dataField name="Sum of LS" fld="27" baseField="0" baseItem="0"/>
    <dataField name="Sum of Huile " fld="28" baseField="0" baseItem="0"/>
    <dataField name="Sum of CSB+" fld="31" baseField="9" baseItem="6"/>
    <dataField name="Sum of P Doz" fld="33" baseField="0" baseItem="0"/>
    <dataField name="Sum of P Sup" fld="30" baseField="0" baseItem="0"/>
    <dataField name="Sum of Cash-MGA" fld="36" baseField="0" baseItem="0" numFmtId="166"/>
  </dataFields>
  <formats count="3">
    <format dxfId="16">
      <pivotArea outline="0" fieldPosition="0">
        <references count="2">
          <reference field="4294967294" count="1" selected="0">
            <x v="0"/>
          </reference>
          <reference field="0" count="0" selected="0" defaultSubtotal="1"/>
        </references>
      </pivotArea>
    </format>
    <format dxfId="15">
      <pivotArea outline="0" fieldPosition="0">
        <references count="3">
          <reference field="4294967294" count="5" selected="0">
            <x v="1"/>
            <x v="2"/>
            <x v="3"/>
            <x v="4"/>
            <x v="5"/>
          </reference>
          <reference field="0" count="0" selected="0"/>
          <reference field="9" count="5" selected="0" defaultSubtotal="1">
            <x v="1"/>
            <x v="2"/>
            <x v="4"/>
            <x v="5"/>
            <x v="6"/>
          </reference>
        </references>
      </pivotArea>
    </format>
    <format dxfId="14">
      <pivotArea outline="0" fieldPosition="0">
        <references count="1">
          <reference field="4294967294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63FA6-12B2-4AD0-B878-688AA2A7151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N26" firstHeaderRow="1" firstDataRow="2" firstDataCol="5"/>
  <pivotFields count="38">
    <pivotField axis="axisRow" compact="0" outline="0" showAll="0" sortType="descending">
      <items count="4">
        <item x="0"/>
        <item x="2"/>
        <item x="1"/>
        <item t="default"/>
      </items>
    </pivotField>
    <pivotField compact="0" outline="0" showAll="0"/>
    <pivotField axis="axisRow" compact="0" outline="0" showAll="0" defaultSubtotal="0">
      <items count="4">
        <item x="0"/>
        <item x="1"/>
        <item h="1" x="3"/>
        <item x="2"/>
      </items>
    </pivotField>
    <pivotField compact="0" outline="0" showAll="0"/>
    <pivotField axis="axisRow" compact="0" outline="0" showAll="0" defaultSubtotal="0">
      <items count="16">
        <item x="9"/>
        <item x="3"/>
        <item x="4"/>
        <item x="10"/>
        <item x="5"/>
        <item x="11"/>
        <item m="1" x="15"/>
        <item x="6"/>
        <item x="7"/>
        <item x="0"/>
        <item x="8"/>
        <item x="2"/>
        <item x="1"/>
        <item x="13"/>
        <item x="14"/>
        <item x="12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0"/>
        <item h="1" x="2"/>
        <item h="1" x="4"/>
        <item h="1" x="1"/>
        <item x="3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5">
        <item m="1" x="4"/>
        <item x="0"/>
        <item x="3"/>
        <item x="1"/>
        <item x="2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5">
    <field x="0"/>
    <field x="9"/>
    <field x="2"/>
    <field x="20"/>
    <field x="4"/>
  </rowFields>
  <rowItems count="22">
    <i>
      <x/>
      <x v="4"/>
      <x v="1"/>
      <x v="3"/>
      <x v="11"/>
    </i>
    <i r="4">
      <x v="12"/>
    </i>
    <i r="2">
      <x v="3"/>
      <x v="1"/>
      <x v="1"/>
    </i>
    <i r="3">
      <x v="3"/>
      <x v="1"/>
    </i>
    <i r="4">
      <x v="2"/>
    </i>
    <i r="4">
      <x v="4"/>
    </i>
    <i r="4">
      <x v="7"/>
    </i>
    <i t="default" r="1">
      <x v="4"/>
    </i>
    <i t="default">
      <x/>
    </i>
    <i>
      <x v="1"/>
      <x v="4"/>
      <x v="1"/>
      <x v="3"/>
      <x v="11"/>
    </i>
    <i r="4">
      <x v="12"/>
    </i>
    <i r="2">
      <x v="3"/>
      <x v="1"/>
      <x v="1"/>
    </i>
    <i r="3">
      <x v="3"/>
      <x v="1"/>
    </i>
    <i t="default" r="1">
      <x v="4"/>
    </i>
    <i t="default">
      <x v="1"/>
    </i>
    <i>
      <x v="2"/>
      <x v="4"/>
      <x v="1"/>
      <x v="3"/>
      <x v="11"/>
    </i>
    <i r="4">
      <x v="12"/>
    </i>
    <i r="2">
      <x v="3"/>
      <x v="3"/>
      <x v="2"/>
    </i>
    <i r="4">
      <x v="4"/>
    </i>
    <i t="default" r="1">
      <x v="4"/>
    </i>
    <i t="default"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Total bénéficiaires" fld="18" baseField="0" baseItem="0"/>
    <dataField name="Sum of Riz" fld="23" baseField="20" baseItem="3" numFmtId="167"/>
    <dataField name="Sum of LS" fld="27" baseField="20" baseItem="3" numFmtId="167"/>
    <dataField name="Sum of Huile " fld="28" baseField="20" baseItem="3" numFmtId="167"/>
    <dataField name="Sum of CSB+" fld="31" baseField="20" baseItem="3" numFmtId="167"/>
    <dataField name="Sum of P Doz" fld="33" baseField="20" baseItem="3" numFmtId="167"/>
    <dataField name="Sum of P Sup" fld="30" baseField="20" baseItem="3" numFmtId="167"/>
    <dataField name="Sum of Cash-MGA" fld="36" baseField="20" baseItem="3"/>
    <dataField name="Sum of Cash-USD" fld="37" baseField="20" baseItem="3"/>
  </dataFields>
  <formats count="2">
    <format dxfId="13">
      <pivotArea outline="0" collapsedLevelsAreSubtotals="1" fieldPosition="0"/>
    </format>
    <format dxfId="12">
      <pivotArea outline="0" fieldPosition="0">
        <references count="1">
          <reference field="4294967294" count="6" selected="0"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A5B39-AEC6-43CE-8DF7-33A128881B9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P103" firstHeaderRow="1" firstDataRow="2" firstDataCol="5"/>
  <pivotFields count="38">
    <pivotField axis="axisRow" compact="0" outline="0" showAll="0" sortType="descending">
      <items count="4">
        <item x="0"/>
        <item x="2"/>
        <item x="1"/>
        <item t="default"/>
      </items>
    </pivotField>
    <pivotField compact="0" outline="0" showAll="0"/>
    <pivotField axis="axisRow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 defaultSubtotal="0">
      <items count="16">
        <item x="9"/>
        <item x="3"/>
        <item x="4"/>
        <item x="10"/>
        <item x="5"/>
        <item x="11"/>
        <item m="1" x="15"/>
        <item x="6"/>
        <item x="7"/>
        <item x="0"/>
        <item x="8"/>
        <item x="2"/>
        <item x="1"/>
        <item x="13"/>
        <item x="1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5">
        <item m="1" x="4"/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5">
    <field x="0"/>
    <field x="9"/>
    <field x="2"/>
    <field x="20"/>
    <field x="4"/>
  </rowFields>
  <rowItems count="99">
    <i>
      <x/>
      <x/>
      <x/>
      <x v="1"/>
      <x v="9"/>
    </i>
    <i r="2">
      <x v="1"/>
      <x v="1"/>
      <x v="11"/>
    </i>
    <i r="4">
      <x v="12"/>
    </i>
    <i r="3">
      <x v="3"/>
      <x v="11"/>
    </i>
    <i r="4">
      <x v="12"/>
    </i>
    <i r="2">
      <x v="2"/>
      <x v="2"/>
      <x v="10"/>
    </i>
    <i r="3">
      <x v="3"/>
      <x v="10"/>
    </i>
    <i r="2">
      <x v="3"/>
      <x v="1"/>
      <x v="1"/>
    </i>
    <i r="3">
      <x v="3"/>
      <x v="1"/>
    </i>
    <i r="4">
      <x v="2"/>
    </i>
    <i r="4">
      <x v="4"/>
    </i>
    <i r="4">
      <x v="7"/>
    </i>
    <i r="1">
      <x v="1"/>
      <x v="1"/>
      <x v="3"/>
      <x v="11"/>
    </i>
    <i r="4">
      <x v="12"/>
    </i>
    <i r="2">
      <x v="2"/>
      <x v="2"/>
      <x v="10"/>
    </i>
    <i r="3">
      <x v="3"/>
      <x v="10"/>
    </i>
    <i r="2">
      <x v="3"/>
      <x v="1"/>
      <x v="1"/>
    </i>
    <i r="3">
      <x v="3"/>
      <x v="1"/>
    </i>
    <i r="4">
      <x v="2"/>
    </i>
    <i r="4">
      <x v="4"/>
    </i>
    <i r="4">
      <x v="7"/>
    </i>
    <i r="3">
      <x v="4"/>
      <x v="4"/>
    </i>
    <i r="1">
      <x v="2"/>
      <x v="2"/>
      <x v="2"/>
      <x v="10"/>
    </i>
    <i r="2">
      <x v="3"/>
      <x v="1"/>
      <x v="15"/>
    </i>
    <i r="3">
      <x v="3"/>
      <x v="13"/>
    </i>
    <i r="4">
      <x v="14"/>
    </i>
    <i r="4">
      <x v="15"/>
    </i>
    <i r="1">
      <x v="3"/>
      <x/>
      <x v="1"/>
      <x v="9"/>
    </i>
    <i r="2">
      <x v="1"/>
      <x v="3"/>
      <x v="11"/>
    </i>
    <i r="4">
      <x v="12"/>
    </i>
    <i r="2">
      <x v="2"/>
      <x v="2"/>
      <x v="10"/>
    </i>
    <i r="2">
      <x v="3"/>
      <x v="1"/>
      <x v="1"/>
    </i>
    <i r="3">
      <x v="3"/>
      <x v="1"/>
    </i>
    <i r="4">
      <x v="2"/>
    </i>
    <i r="4">
      <x v="4"/>
    </i>
    <i r="4">
      <x v="7"/>
    </i>
    <i r="1">
      <x v="4"/>
      <x v="1"/>
      <x v="3"/>
      <x v="11"/>
    </i>
    <i r="4">
      <x v="12"/>
    </i>
    <i r="2">
      <x v="2"/>
      <x v="2"/>
      <x v="10"/>
    </i>
    <i r="3">
      <x v="3"/>
      <x v="10"/>
    </i>
    <i r="2">
      <x v="3"/>
      <x v="1"/>
      <x v="1"/>
    </i>
    <i r="3">
      <x v="3"/>
      <x v="1"/>
    </i>
    <i r="4">
      <x v="2"/>
    </i>
    <i r="4">
      <x v="4"/>
    </i>
    <i r="4">
      <x v="7"/>
    </i>
    <i t="default">
      <x/>
    </i>
    <i>
      <x v="1"/>
      <x/>
      <x/>
      <x v="1"/>
      <x v="9"/>
    </i>
    <i r="2">
      <x v="1"/>
      <x v="1"/>
      <x v="11"/>
    </i>
    <i r="4">
      <x v="12"/>
    </i>
    <i r="3">
      <x v="3"/>
      <x v="11"/>
    </i>
    <i r="4">
      <x v="12"/>
    </i>
    <i r="2">
      <x v="3"/>
      <x v="1"/>
      <x v="1"/>
    </i>
    <i r="3">
      <x v="3"/>
      <x v="1"/>
    </i>
    <i r="4">
      <x v="8"/>
    </i>
    <i r="1">
      <x v="1"/>
      <x v="1"/>
      <x v="3"/>
      <x v="11"/>
    </i>
    <i r="4">
      <x v="12"/>
    </i>
    <i r="2">
      <x v="3"/>
      <x v="3"/>
      <x v="1"/>
    </i>
    <i r="1">
      <x v="3"/>
      <x/>
      <x v="1"/>
      <x v="9"/>
    </i>
    <i r="2">
      <x v="1"/>
      <x v="3"/>
      <x v="11"/>
    </i>
    <i r="4">
      <x v="12"/>
    </i>
    <i r="2">
      <x v="3"/>
      <x v="1"/>
      <x/>
    </i>
    <i r="4">
      <x v="1"/>
    </i>
    <i r="3">
      <x v="3"/>
      <x/>
    </i>
    <i r="4">
      <x v="1"/>
    </i>
    <i r="4">
      <x v="3"/>
    </i>
    <i r="4">
      <x v="5"/>
    </i>
    <i r="4">
      <x v="8"/>
    </i>
    <i r="1">
      <x v="4"/>
      <x v="1"/>
      <x v="3"/>
      <x v="11"/>
    </i>
    <i r="4">
      <x v="12"/>
    </i>
    <i r="2">
      <x v="3"/>
      <x v="1"/>
      <x v="1"/>
    </i>
    <i r="3">
      <x v="3"/>
      <x v="1"/>
    </i>
    <i t="default">
      <x v="1"/>
    </i>
    <i>
      <x v="2"/>
      <x/>
      <x/>
      <x v="1"/>
      <x v="9"/>
    </i>
    <i r="2">
      <x v="1"/>
      <x v="1"/>
      <x v="11"/>
    </i>
    <i r="4">
      <x v="12"/>
    </i>
    <i r="3">
      <x v="3"/>
      <x v="11"/>
    </i>
    <i r="4">
      <x v="12"/>
    </i>
    <i r="2">
      <x v="3"/>
      <x v="3"/>
      <x v="2"/>
    </i>
    <i r="4">
      <x v="4"/>
    </i>
    <i r="4">
      <x v="8"/>
    </i>
    <i r="1">
      <x v="1"/>
      <x v="1"/>
      <x v="3"/>
      <x v="11"/>
    </i>
    <i r="4">
      <x v="12"/>
    </i>
    <i r="2">
      <x v="3"/>
      <x v="3"/>
      <x v="2"/>
    </i>
    <i r="4">
      <x v="4"/>
    </i>
    <i r="3">
      <x v="4"/>
      <x v="4"/>
    </i>
    <i r="1">
      <x v="2"/>
      <x v="3"/>
      <x v="1"/>
      <x v="15"/>
    </i>
    <i r="3">
      <x v="3"/>
      <x v="15"/>
    </i>
    <i r="1">
      <x v="3"/>
      <x/>
      <x v="1"/>
      <x v="9"/>
    </i>
    <i r="2">
      <x v="1"/>
      <x v="3"/>
      <x v="11"/>
    </i>
    <i r="4">
      <x v="12"/>
    </i>
    <i r="2">
      <x v="3"/>
      <x v="3"/>
      <x v="2"/>
    </i>
    <i r="4">
      <x v="4"/>
    </i>
    <i r="4">
      <x v="8"/>
    </i>
    <i r="1">
      <x v="4"/>
      <x v="1"/>
      <x v="3"/>
      <x v="11"/>
    </i>
    <i r="4">
      <x v="12"/>
    </i>
    <i r="2">
      <x v="3"/>
      <x v="3"/>
      <x v="2"/>
    </i>
    <i r="4">
      <x v="4"/>
    </i>
    <i t="default"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Menages " fld="19" baseField="4" baseItem="1" numFmtId="166"/>
    <dataField name="Sum of Total bénéficiaires" fld="18" baseField="0" baseItem="0" numFmtId="166"/>
    <dataField name="Sum of Riz" fld="23" baseField="0" baseItem="0"/>
    <dataField name="Sum of LS" fld="27" baseField="0" baseItem="0"/>
    <dataField name="Sum of Huile " fld="28" baseField="0" baseItem="0"/>
    <dataField name="Sum of CSB+" fld="31" baseField="0" baseItem="0"/>
    <dataField name="Sum of P Doz" fld="33" baseField="0" baseItem="0"/>
    <dataField name="Sum of P Sup" fld="30" baseField="0" baseItem="0"/>
    <dataField name="Sum of Total - Food" fld="35" baseField="4" baseItem="2"/>
    <dataField name="Sum of Cash-MGA" fld="36" baseField="12" baseItem="11" numFmtId="166"/>
    <dataField name="Sum of Cash-USD" fld="37" baseField="0" baseItem="0" numFmtId="166"/>
  </dataFields>
  <formats count="8">
    <format dxfId="11">
      <pivotArea outline="0" fieldPosition="0">
        <references count="1">
          <reference field="4294967294" count="2" selected="0">
            <x v="9"/>
            <x v="10"/>
          </reference>
        </references>
      </pivotArea>
    </format>
    <format dxfId="10">
      <pivotArea outline="0" fieldPosition="0">
        <references count="1">
          <reference field="4294967294" count="1" selected="0">
            <x v="1"/>
          </reference>
        </references>
      </pivotArea>
    </format>
    <format dxfId="9">
      <pivotArea outline="0" fieldPosition="0">
        <references count="2">
          <reference field="4294967294" count="6" selected="0">
            <x v="2"/>
            <x v="3"/>
            <x v="4"/>
            <x v="5"/>
            <x v="6"/>
            <x v="7"/>
          </reference>
          <reference field="0" count="2" selected="0" defaultSubtotal="1">
            <x v="0"/>
            <x v="1"/>
          </reference>
        </references>
      </pivotArea>
    </format>
    <format dxfId="8">
      <pivotArea outline="0" fieldPosition="0">
        <references count="6">
          <reference field="4294967294" count="6" selected="0">
            <x v="2"/>
            <x v="3"/>
            <x v="4"/>
            <x v="5"/>
            <x v="6"/>
            <x v="7"/>
          </reference>
          <reference field="0" count="1" selected="0">
            <x v="2"/>
          </reference>
          <reference field="2" count="0" selected="0"/>
          <reference field="4" count="5" selected="0">
            <x v="1"/>
            <x v="2"/>
            <x v="4"/>
            <x v="8"/>
            <x v="15"/>
          </reference>
          <reference field="9" count="0" selected="0"/>
          <reference field="20" count="3" selected="0">
            <x v="1"/>
            <x v="3"/>
            <x v="4"/>
          </reference>
        </references>
      </pivotArea>
    </format>
    <format dxfId="7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field="-2" type="button" dataOnly="0" labelOnly="1" outline="0" axis="axisCol" fieldPosition="0"/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2">
          <reference field="4294967294" count="1" selected="0">
            <x v="8"/>
          </reference>
          <reference field="0" count="0" selected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FCF5-A287-465E-86B5-4EF4A7B323DB}">
  <dimension ref="A3:G100"/>
  <sheetViews>
    <sheetView workbookViewId="0">
      <selection activeCell="E12" sqref="E12"/>
    </sheetView>
  </sheetViews>
  <sheetFormatPr defaultRowHeight="14.5"/>
  <cols>
    <col min="1" max="1" width="16.7265625" customWidth="1"/>
    <col min="2" max="2" width="12.1796875" bestFit="1" customWidth="1"/>
    <col min="3" max="3" width="25.7265625" bestFit="1" customWidth="1"/>
    <col min="4" max="4" width="13.54296875" bestFit="1" customWidth="1"/>
    <col min="5" max="5" width="12.1796875" bestFit="1" customWidth="1"/>
    <col min="6" max="6" width="11.26953125" style="43" bestFit="1" customWidth="1"/>
    <col min="7" max="8" width="11.81640625" bestFit="1" customWidth="1"/>
  </cols>
  <sheetData>
    <row r="3" spans="1:7">
      <c r="E3" s="44" t="s">
        <v>0</v>
      </c>
      <c r="F3"/>
    </row>
    <row r="4" spans="1:7">
      <c r="A4" s="42" t="s">
        <v>1</v>
      </c>
      <c r="B4" s="42" t="s">
        <v>2</v>
      </c>
      <c r="C4" s="42" t="s">
        <v>3</v>
      </c>
      <c r="D4" s="42" t="s">
        <v>4</v>
      </c>
      <c r="E4" s="43" t="s">
        <v>5</v>
      </c>
      <c r="F4" t="s">
        <v>6</v>
      </c>
      <c r="G4" t="s">
        <v>7</v>
      </c>
    </row>
    <row r="5" spans="1:7">
      <c r="A5" t="s">
        <v>8</v>
      </c>
      <c r="B5" t="s">
        <v>9</v>
      </c>
      <c r="C5" t="s">
        <v>10</v>
      </c>
      <c r="D5" t="s">
        <v>11</v>
      </c>
      <c r="E5" s="46">
        <v>7.0374000000000008</v>
      </c>
      <c r="F5" s="46">
        <v>70.374000000000009</v>
      </c>
      <c r="G5" s="46"/>
    </row>
    <row r="6" spans="1:7">
      <c r="D6" t="s">
        <v>12</v>
      </c>
      <c r="E6" s="46">
        <v>9.213000000000001</v>
      </c>
      <c r="F6" s="46">
        <v>92.13000000000001</v>
      </c>
      <c r="G6" s="46"/>
    </row>
    <row r="7" spans="1:7">
      <c r="D7" t="s">
        <v>13</v>
      </c>
      <c r="E7" s="46">
        <v>2.8361999999999998</v>
      </c>
      <c r="F7" s="46">
        <v>28.362000000000002</v>
      </c>
      <c r="G7" s="46"/>
    </row>
    <row r="8" spans="1:7">
      <c r="D8" t="s">
        <v>14</v>
      </c>
      <c r="E8" s="46">
        <v>1.5990000000000002</v>
      </c>
      <c r="F8" s="46">
        <v>15.990000000000002</v>
      </c>
      <c r="G8" s="46"/>
    </row>
    <row r="9" spans="1:7">
      <c r="C9" t="s">
        <v>15</v>
      </c>
      <c r="D9" t="s">
        <v>11</v>
      </c>
      <c r="E9" s="46"/>
      <c r="F9" s="46"/>
      <c r="G9" s="46">
        <v>25.771500000000007</v>
      </c>
    </row>
    <row r="10" spans="1:7">
      <c r="D10" t="s">
        <v>12</v>
      </c>
      <c r="E10" s="46"/>
      <c r="F10" s="46"/>
      <c r="G10" s="46">
        <v>8.089500000000001</v>
      </c>
    </row>
    <row r="11" spans="1:7">
      <c r="D11" t="s">
        <v>13</v>
      </c>
      <c r="E11" s="46"/>
      <c r="F11" s="46"/>
      <c r="G11" s="46">
        <v>6.1395</v>
      </c>
    </row>
    <row r="12" spans="1:7">
      <c r="D12" t="s">
        <v>14</v>
      </c>
      <c r="E12" s="46"/>
      <c r="F12" s="46"/>
      <c r="G12" s="46">
        <v>7.3125000000000018</v>
      </c>
    </row>
    <row r="13" spans="1:7">
      <c r="B13" t="s">
        <v>16</v>
      </c>
      <c r="E13" s="46">
        <v>20.685600000000004</v>
      </c>
      <c r="F13" s="46">
        <v>206.85600000000002</v>
      </c>
      <c r="G13" s="46">
        <v>47.313000000000002</v>
      </c>
    </row>
    <row r="14" spans="1:7">
      <c r="B14" t="s">
        <v>17</v>
      </c>
      <c r="C14" t="s">
        <v>10</v>
      </c>
      <c r="D14" t="s">
        <v>11</v>
      </c>
      <c r="E14" s="46">
        <v>7.0374000000000008</v>
      </c>
      <c r="F14" s="46">
        <v>70.374000000000009</v>
      </c>
      <c r="G14" s="46"/>
    </row>
    <row r="15" spans="1:7">
      <c r="D15" t="s">
        <v>12</v>
      </c>
      <c r="E15" s="46">
        <v>9.213000000000001</v>
      </c>
      <c r="F15" s="46">
        <v>92.13000000000001</v>
      </c>
      <c r="G15" s="46"/>
    </row>
    <row r="16" spans="1:7">
      <c r="D16" t="s">
        <v>13</v>
      </c>
      <c r="E16" s="46">
        <v>2.8361999999999998</v>
      </c>
      <c r="F16" s="46">
        <v>28.362000000000002</v>
      </c>
      <c r="G16" s="46"/>
    </row>
    <row r="17" spans="2:7">
      <c r="D17" t="s">
        <v>14</v>
      </c>
      <c r="E17" s="46">
        <v>1.5990000000000002</v>
      </c>
      <c r="F17" s="46">
        <v>15.990000000000002</v>
      </c>
      <c r="G17" s="46"/>
    </row>
    <row r="18" spans="2:7">
      <c r="C18" t="s">
        <v>15</v>
      </c>
      <c r="D18" t="s">
        <v>11</v>
      </c>
      <c r="E18" s="46"/>
      <c r="F18" s="46"/>
      <c r="G18" s="46">
        <v>25.771500000000007</v>
      </c>
    </row>
    <row r="19" spans="2:7">
      <c r="D19" t="s">
        <v>12</v>
      </c>
      <c r="E19" s="46"/>
      <c r="F19" s="46"/>
      <c r="G19" s="46">
        <v>8.089500000000001</v>
      </c>
    </row>
    <row r="20" spans="2:7">
      <c r="D20" t="s">
        <v>13</v>
      </c>
      <c r="E20" s="46"/>
      <c r="F20" s="46"/>
      <c r="G20" s="46">
        <v>6.1395</v>
      </c>
    </row>
    <row r="21" spans="2:7">
      <c r="D21" t="s">
        <v>14</v>
      </c>
      <c r="E21" s="46"/>
      <c r="F21" s="46"/>
      <c r="G21" s="46">
        <v>7.3125000000000018</v>
      </c>
    </row>
    <row r="22" spans="2:7">
      <c r="B22" t="s">
        <v>18</v>
      </c>
      <c r="E22" s="46">
        <v>20.685600000000004</v>
      </c>
      <c r="F22" s="46">
        <v>206.85600000000002</v>
      </c>
      <c r="G22" s="46">
        <v>47.313000000000002</v>
      </c>
    </row>
    <row r="23" spans="2:7">
      <c r="B23" t="s">
        <v>19</v>
      </c>
      <c r="C23" t="s">
        <v>10</v>
      </c>
      <c r="D23" t="s">
        <v>11</v>
      </c>
      <c r="E23" s="46">
        <v>7.0374000000000008</v>
      </c>
      <c r="F23" s="46">
        <v>70.374000000000009</v>
      </c>
      <c r="G23" s="46"/>
    </row>
    <row r="24" spans="2:7">
      <c r="D24" t="s">
        <v>12</v>
      </c>
      <c r="E24" s="46">
        <v>9.213000000000001</v>
      </c>
      <c r="F24" s="46">
        <v>92.13000000000001</v>
      </c>
      <c r="G24" s="46"/>
    </row>
    <row r="25" spans="2:7">
      <c r="D25" t="s">
        <v>13</v>
      </c>
      <c r="E25" s="46">
        <v>2.8361999999999998</v>
      </c>
      <c r="F25" s="46">
        <v>28.362000000000002</v>
      </c>
      <c r="G25" s="46"/>
    </row>
    <row r="26" spans="2:7">
      <c r="D26" t="s">
        <v>14</v>
      </c>
      <c r="E26" s="46">
        <v>1.5990000000000002</v>
      </c>
      <c r="F26" s="46">
        <v>15.990000000000002</v>
      </c>
      <c r="G26" s="46"/>
    </row>
    <row r="27" spans="2:7">
      <c r="C27" t="s">
        <v>15</v>
      </c>
      <c r="D27" t="s">
        <v>11</v>
      </c>
      <c r="E27" s="46"/>
      <c r="F27" s="46"/>
      <c r="G27" s="46">
        <v>25.771500000000007</v>
      </c>
    </row>
    <row r="28" spans="2:7">
      <c r="D28" t="s">
        <v>12</v>
      </c>
      <c r="E28" s="46"/>
      <c r="F28" s="46"/>
      <c r="G28" s="46">
        <v>8.089500000000001</v>
      </c>
    </row>
    <row r="29" spans="2:7">
      <c r="D29" t="s">
        <v>13</v>
      </c>
      <c r="E29" s="46"/>
      <c r="F29" s="46"/>
      <c r="G29" s="46">
        <v>6.1395</v>
      </c>
    </row>
    <row r="30" spans="2:7">
      <c r="D30" t="s">
        <v>14</v>
      </c>
      <c r="E30" s="46"/>
      <c r="F30" s="46"/>
      <c r="G30" s="46">
        <v>7.3125000000000018</v>
      </c>
    </row>
    <row r="31" spans="2:7">
      <c r="B31" t="s">
        <v>20</v>
      </c>
      <c r="E31" s="46">
        <v>20.685600000000004</v>
      </c>
      <c r="F31" s="46">
        <v>206.85600000000002</v>
      </c>
      <c r="G31" s="46">
        <v>47.313000000000002</v>
      </c>
    </row>
    <row r="32" spans="2:7">
      <c r="B32" t="s">
        <v>21</v>
      </c>
      <c r="C32" t="s">
        <v>10</v>
      </c>
      <c r="D32" t="s">
        <v>11</v>
      </c>
      <c r="E32" s="46">
        <v>7.0374000000000008</v>
      </c>
      <c r="F32" s="46">
        <v>70.374000000000009</v>
      </c>
      <c r="G32" s="46"/>
    </row>
    <row r="33" spans="1:7">
      <c r="D33" t="s">
        <v>12</v>
      </c>
      <c r="E33" s="46">
        <v>9.213000000000001</v>
      </c>
      <c r="F33" s="46">
        <v>92.13000000000001</v>
      </c>
      <c r="G33" s="46"/>
    </row>
    <row r="34" spans="1:7">
      <c r="D34" t="s">
        <v>13</v>
      </c>
      <c r="E34" s="46">
        <v>2.8361999999999998</v>
      </c>
      <c r="F34" s="46">
        <v>28.362000000000002</v>
      </c>
      <c r="G34" s="46"/>
    </row>
    <row r="35" spans="1:7">
      <c r="D35" t="s">
        <v>14</v>
      </c>
      <c r="E35" s="46">
        <v>1.5990000000000002</v>
      </c>
      <c r="F35" s="46">
        <v>15.990000000000002</v>
      </c>
      <c r="G35" s="46"/>
    </row>
    <row r="36" spans="1:7">
      <c r="C36" t="s">
        <v>15</v>
      </c>
      <c r="D36" t="s">
        <v>11</v>
      </c>
      <c r="E36" s="46"/>
      <c r="F36" s="46"/>
      <c r="G36" s="46">
        <v>25.771500000000007</v>
      </c>
    </row>
    <row r="37" spans="1:7">
      <c r="D37" t="s">
        <v>12</v>
      </c>
      <c r="E37" s="46"/>
      <c r="F37" s="46"/>
      <c r="G37" s="46">
        <v>8.089500000000001</v>
      </c>
    </row>
    <row r="38" spans="1:7">
      <c r="D38" t="s">
        <v>13</v>
      </c>
      <c r="E38" s="46"/>
      <c r="F38" s="46"/>
      <c r="G38" s="46">
        <v>6.1395</v>
      </c>
    </row>
    <row r="39" spans="1:7">
      <c r="D39" t="s">
        <v>14</v>
      </c>
      <c r="E39" s="46"/>
      <c r="F39" s="46"/>
      <c r="G39" s="46">
        <v>7.3125000000000018</v>
      </c>
    </row>
    <row r="40" spans="1:7">
      <c r="B40" t="s">
        <v>22</v>
      </c>
      <c r="E40" s="46">
        <v>20.685600000000004</v>
      </c>
      <c r="F40" s="46">
        <v>206.85600000000002</v>
      </c>
      <c r="G40" s="46">
        <v>47.313000000000002</v>
      </c>
    </row>
    <row r="41" spans="1:7">
      <c r="A41" t="s">
        <v>23</v>
      </c>
      <c r="E41" s="46">
        <v>82.742400000000004</v>
      </c>
      <c r="F41" s="46">
        <v>827.42400000000009</v>
      </c>
      <c r="G41" s="46">
        <v>189.25200000000001</v>
      </c>
    </row>
    <row r="42" spans="1:7">
      <c r="A42" t="s">
        <v>24</v>
      </c>
      <c r="B42" t="s">
        <v>9</v>
      </c>
      <c r="C42" t="s">
        <v>25</v>
      </c>
      <c r="D42" t="s">
        <v>11</v>
      </c>
      <c r="E42" s="46">
        <v>138.58267499999997</v>
      </c>
      <c r="F42" s="46">
        <v>0</v>
      </c>
      <c r="G42" s="46"/>
    </row>
    <row r="43" spans="1:7">
      <c r="D43" t="s">
        <v>12</v>
      </c>
      <c r="E43" s="46">
        <v>62.674499999999995</v>
      </c>
      <c r="F43" s="46">
        <v>0</v>
      </c>
      <c r="G43" s="46"/>
    </row>
    <row r="44" spans="1:7">
      <c r="D44" t="s">
        <v>13</v>
      </c>
      <c r="E44" s="46">
        <v>40.882275000000007</v>
      </c>
      <c r="F44" s="46">
        <v>0</v>
      </c>
      <c r="G44" s="46"/>
    </row>
    <row r="45" spans="1:7">
      <c r="D45" t="s">
        <v>14</v>
      </c>
      <c r="E45" s="46">
        <v>19.100549999999998</v>
      </c>
      <c r="F45" s="46">
        <v>0</v>
      </c>
      <c r="G45" s="46"/>
    </row>
    <row r="46" spans="1:7">
      <c r="C46" t="s">
        <v>26</v>
      </c>
      <c r="D46" t="s">
        <v>11</v>
      </c>
      <c r="E46" s="46">
        <v>8.7108000000000008</v>
      </c>
      <c r="F46" s="46">
        <v>87.10799999999999</v>
      </c>
      <c r="G46" s="46">
        <v>0</v>
      </c>
    </row>
    <row r="47" spans="1:7">
      <c r="D47" t="s">
        <v>12</v>
      </c>
      <c r="E47" s="46">
        <v>3.5820000000000003</v>
      </c>
      <c r="F47" s="46">
        <v>35.819999999999993</v>
      </c>
      <c r="G47" s="46"/>
    </row>
    <row r="48" spans="1:7">
      <c r="D48" t="s">
        <v>13</v>
      </c>
      <c r="E48" s="46">
        <v>4.4382000000000001</v>
      </c>
      <c r="F48" s="46">
        <v>44.381999999999991</v>
      </c>
      <c r="G48" s="46">
        <v>0</v>
      </c>
    </row>
    <row r="49" spans="2:7">
      <c r="D49" t="s">
        <v>14</v>
      </c>
      <c r="E49" s="46">
        <v>1.6998000000000002</v>
      </c>
      <c r="F49" s="46">
        <v>16.998000000000001</v>
      </c>
      <c r="G49" s="46">
        <v>0</v>
      </c>
    </row>
    <row r="50" spans="2:7">
      <c r="B50" t="s">
        <v>16</v>
      </c>
      <c r="E50" s="46">
        <v>279.67079999999993</v>
      </c>
      <c r="F50" s="46">
        <v>184.30799999999996</v>
      </c>
      <c r="G50" s="46">
        <v>0</v>
      </c>
    </row>
    <row r="51" spans="2:7">
      <c r="B51" t="s">
        <v>17</v>
      </c>
      <c r="C51" t="s">
        <v>25</v>
      </c>
      <c r="D51" t="s">
        <v>11</v>
      </c>
      <c r="E51" s="46">
        <v>138.58267499999997</v>
      </c>
      <c r="F51" s="46">
        <v>0</v>
      </c>
      <c r="G51" s="46"/>
    </row>
    <row r="52" spans="2:7">
      <c r="D52" t="s">
        <v>12</v>
      </c>
      <c r="E52" s="46">
        <v>62.674499999999995</v>
      </c>
      <c r="F52" s="46">
        <v>0</v>
      </c>
      <c r="G52" s="46"/>
    </row>
    <row r="53" spans="2:7">
      <c r="D53" t="s">
        <v>13</v>
      </c>
      <c r="E53" s="46">
        <v>40.882275000000007</v>
      </c>
      <c r="F53" s="46">
        <v>0</v>
      </c>
      <c r="G53" s="46"/>
    </row>
    <row r="54" spans="2:7">
      <c r="D54" t="s">
        <v>14</v>
      </c>
      <c r="E54" s="46">
        <v>19.100549999999998</v>
      </c>
      <c r="F54" s="46">
        <v>0</v>
      </c>
      <c r="G54" s="46"/>
    </row>
    <row r="55" spans="2:7">
      <c r="C55" t="s">
        <v>26</v>
      </c>
      <c r="D55" t="s">
        <v>11</v>
      </c>
      <c r="E55" s="46">
        <v>8.7108000000000008</v>
      </c>
      <c r="F55" s="46">
        <v>87.10799999999999</v>
      </c>
      <c r="G55" s="46">
        <v>0</v>
      </c>
    </row>
    <row r="56" spans="2:7">
      <c r="D56" t="s">
        <v>12</v>
      </c>
      <c r="E56" s="46">
        <v>3.5820000000000003</v>
      </c>
      <c r="F56" s="46">
        <v>35.819999999999993</v>
      </c>
      <c r="G56" s="46"/>
    </row>
    <row r="57" spans="2:7">
      <c r="D57" t="s">
        <v>13</v>
      </c>
      <c r="E57" s="46">
        <v>4.4382000000000001</v>
      </c>
      <c r="F57" s="46">
        <v>44.381999999999991</v>
      </c>
      <c r="G57" s="46">
        <v>0</v>
      </c>
    </row>
    <row r="58" spans="2:7">
      <c r="D58" t="s">
        <v>14</v>
      </c>
      <c r="E58" s="46">
        <v>1.6998000000000002</v>
      </c>
      <c r="F58" s="46">
        <v>16.998000000000001</v>
      </c>
      <c r="G58" s="46">
        <v>0</v>
      </c>
    </row>
    <row r="59" spans="2:7">
      <c r="B59" t="s">
        <v>18</v>
      </c>
      <c r="E59" s="46">
        <v>279.67079999999993</v>
      </c>
      <c r="F59" s="46">
        <v>184.30799999999996</v>
      </c>
      <c r="G59" s="46">
        <v>0</v>
      </c>
    </row>
    <row r="60" spans="2:7">
      <c r="B60" t="s">
        <v>19</v>
      </c>
      <c r="C60" t="s">
        <v>25</v>
      </c>
      <c r="D60" t="s">
        <v>11</v>
      </c>
      <c r="E60" s="46">
        <v>138.58267499999997</v>
      </c>
      <c r="F60" s="46">
        <v>0</v>
      </c>
      <c r="G60" s="46"/>
    </row>
    <row r="61" spans="2:7">
      <c r="D61" t="s">
        <v>12</v>
      </c>
      <c r="E61" s="46">
        <v>62.674499999999995</v>
      </c>
      <c r="F61" s="46">
        <v>0</v>
      </c>
      <c r="G61" s="46"/>
    </row>
    <row r="62" spans="2:7">
      <c r="D62" t="s">
        <v>13</v>
      </c>
      <c r="E62" s="46">
        <v>40.882275000000007</v>
      </c>
      <c r="F62" s="46">
        <v>0</v>
      </c>
      <c r="G62" s="46"/>
    </row>
    <row r="63" spans="2:7">
      <c r="D63" t="s">
        <v>14</v>
      </c>
      <c r="E63" s="46">
        <v>19.100549999999998</v>
      </c>
      <c r="F63" s="46">
        <v>0</v>
      </c>
      <c r="G63" s="46"/>
    </row>
    <row r="64" spans="2:7">
      <c r="C64" t="s">
        <v>26</v>
      </c>
      <c r="D64" t="s">
        <v>11</v>
      </c>
      <c r="E64" s="46">
        <v>8.7108000000000008</v>
      </c>
      <c r="F64" s="46">
        <v>87.10799999999999</v>
      </c>
      <c r="G64" s="46">
        <v>0</v>
      </c>
    </row>
    <row r="65" spans="2:7">
      <c r="D65" t="s">
        <v>12</v>
      </c>
      <c r="E65" s="46">
        <v>3.5820000000000003</v>
      </c>
      <c r="F65" s="46">
        <v>35.819999999999993</v>
      </c>
      <c r="G65" s="46"/>
    </row>
    <row r="66" spans="2:7">
      <c r="D66" t="s">
        <v>13</v>
      </c>
      <c r="E66" s="46">
        <v>4.4382000000000001</v>
      </c>
      <c r="F66" s="46">
        <v>44.381999999999991</v>
      </c>
      <c r="G66" s="46">
        <v>0</v>
      </c>
    </row>
    <row r="67" spans="2:7">
      <c r="D67" t="s">
        <v>14</v>
      </c>
      <c r="E67" s="46">
        <v>1.6998000000000002</v>
      </c>
      <c r="F67" s="46">
        <v>16.998000000000001</v>
      </c>
      <c r="G67" s="46">
        <v>0</v>
      </c>
    </row>
    <row r="68" spans="2:7">
      <c r="B68" t="s">
        <v>20</v>
      </c>
      <c r="E68" s="46">
        <v>279.67079999999993</v>
      </c>
      <c r="F68" s="46">
        <v>184.30799999999996</v>
      </c>
      <c r="G68" s="46">
        <v>0</v>
      </c>
    </row>
    <row r="69" spans="2:7">
      <c r="B69" t="s">
        <v>21</v>
      </c>
      <c r="C69" t="s">
        <v>25</v>
      </c>
      <c r="D69" t="s">
        <v>11</v>
      </c>
      <c r="E69" s="46">
        <v>138.58267499999997</v>
      </c>
      <c r="F69" s="46">
        <v>0</v>
      </c>
      <c r="G69" s="46"/>
    </row>
    <row r="70" spans="2:7">
      <c r="D70" t="s">
        <v>12</v>
      </c>
      <c r="E70" s="46">
        <v>62.674499999999995</v>
      </c>
      <c r="F70" s="46">
        <v>0</v>
      </c>
      <c r="G70" s="46"/>
    </row>
    <row r="71" spans="2:7">
      <c r="D71" t="s">
        <v>13</v>
      </c>
      <c r="E71" s="46">
        <v>40.882275000000007</v>
      </c>
      <c r="F71" s="46">
        <v>0</v>
      </c>
      <c r="G71" s="46"/>
    </row>
    <row r="72" spans="2:7">
      <c r="D72" t="s">
        <v>14</v>
      </c>
      <c r="E72" s="46">
        <v>19.100549999999998</v>
      </c>
      <c r="F72" s="46">
        <v>0</v>
      </c>
      <c r="G72" s="46"/>
    </row>
    <row r="73" spans="2:7">
      <c r="C73" t="s">
        <v>26</v>
      </c>
      <c r="D73" t="s">
        <v>11</v>
      </c>
      <c r="E73" s="46">
        <v>8.7108000000000008</v>
      </c>
      <c r="F73" s="46">
        <v>87.10799999999999</v>
      </c>
      <c r="G73" s="46">
        <v>0</v>
      </c>
    </row>
    <row r="74" spans="2:7">
      <c r="D74" t="s">
        <v>12</v>
      </c>
      <c r="E74" s="46">
        <v>3.5820000000000003</v>
      </c>
      <c r="F74" s="46">
        <v>35.819999999999993</v>
      </c>
      <c r="G74" s="46"/>
    </row>
    <row r="75" spans="2:7">
      <c r="D75" t="s">
        <v>13</v>
      </c>
      <c r="E75" s="46">
        <v>4.4382000000000001</v>
      </c>
      <c r="F75" s="46">
        <v>44.381999999999991</v>
      </c>
      <c r="G75" s="46">
        <v>0</v>
      </c>
    </row>
    <row r="76" spans="2:7">
      <c r="D76" t="s">
        <v>14</v>
      </c>
      <c r="E76" s="46">
        <v>1.6998000000000002</v>
      </c>
      <c r="F76" s="46">
        <v>16.998000000000001</v>
      </c>
      <c r="G76" s="46">
        <v>0</v>
      </c>
    </row>
    <row r="77" spans="2:7">
      <c r="C77" t="s">
        <v>27</v>
      </c>
      <c r="D77" t="s">
        <v>13</v>
      </c>
      <c r="E77" s="46">
        <v>0.97770920625000013</v>
      </c>
      <c r="F77" s="46">
        <v>9.7770920625000013</v>
      </c>
      <c r="G77" s="46"/>
    </row>
    <row r="78" spans="2:7">
      <c r="D78" t="s">
        <v>14</v>
      </c>
      <c r="E78" s="46">
        <v>0.93931672500000019</v>
      </c>
      <c r="F78" s="46">
        <v>9.3931672500000012</v>
      </c>
      <c r="G78" s="46"/>
    </row>
    <row r="79" spans="2:7">
      <c r="D79" t="s">
        <v>28</v>
      </c>
      <c r="E79" s="46">
        <v>3.4830000000000001</v>
      </c>
      <c r="F79" s="46">
        <v>34.83</v>
      </c>
      <c r="G79" s="46"/>
    </row>
    <row r="80" spans="2:7">
      <c r="B80" t="s">
        <v>22</v>
      </c>
      <c r="E80" s="46">
        <v>285.07082593124994</v>
      </c>
      <c r="F80" s="46">
        <v>238.30825931249996</v>
      </c>
      <c r="G80" s="46">
        <v>0</v>
      </c>
    </row>
    <row r="81" spans="1:7">
      <c r="A81" t="s">
        <v>29</v>
      </c>
      <c r="E81" s="46">
        <v>1124.0832259312501</v>
      </c>
      <c r="F81" s="46">
        <v>791.23225931249988</v>
      </c>
      <c r="G81" s="46">
        <v>0</v>
      </c>
    </row>
    <row r="82" spans="1:7">
      <c r="A82" t="s">
        <v>30</v>
      </c>
      <c r="E82" s="46">
        <v>1206.8256259312502</v>
      </c>
      <c r="F82" s="46">
        <v>1618.6562593125002</v>
      </c>
      <c r="G82" s="46">
        <v>189.25200000000001</v>
      </c>
    </row>
    <row r="83" spans="1:7">
      <c r="F83"/>
    </row>
    <row r="84" spans="1:7">
      <c r="F84"/>
    </row>
    <row r="85" spans="1:7">
      <c r="F85"/>
    </row>
    <row r="86" spans="1:7">
      <c r="F86"/>
    </row>
    <row r="87" spans="1:7">
      <c r="F87"/>
    </row>
    <row r="88" spans="1:7">
      <c r="F88"/>
    </row>
    <row r="89" spans="1:7">
      <c r="F89"/>
    </row>
    <row r="90" spans="1:7">
      <c r="F90"/>
    </row>
    <row r="91" spans="1:7">
      <c r="F91"/>
    </row>
    <row r="92" spans="1:7">
      <c r="F92"/>
    </row>
    <row r="93" spans="1:7">
      <c r="F93"/>
    </row>
    <row r="94" spans="1:7">
      <c r="F94"/>
    </row>
    <row r="95" spans="1:7">
      <c r="F95"/>
    </row>
    <row r="96" spans="1:7">
      <c r="F96"/>
    </row>
    <row r="97" spans="6:6">
      <c r="F97"/>
    </row>
    <row r="98" spans="6:6">
      <c r="F98"/>
    </row>
    <row r="99" spans="6:6">
      <c r="F99"/>
    </row>
    <row r="100" spans="6:6">
      <c r="F1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9CBB-513C-4DA3-8668-A13602950711}">
  <dimension ref="A1:N26"/>
  <sheetViews>
    <sheetView topLeftCell="A2" workbookViewId="0">
      <selection activeCell="J10" sqref="J10"/>
    </sheetView>
  </sheetViews>
  <sheetFormatPr defaultRowHeight="14.5"/>
  <cols>
    <col min="2" max="2" width="12" style="49" customWidth="1"/>
    <col min="3" max="3" width="12" bestFit="1" customWidth="1"/>
    <col min="4" max="4" width="15.453125" bestFit="1" customWidth="1"/>
    <col min="5" max="5" width="13" customWidth="1"/>
    <col min="7" max="7" width="9.54296875" bestFit="1" customWidth="1"/>
    <col min="10" max="10" width="14" customWidth="1"/>
    <col min="11" max="11" width="7.81640625" customWidth="1"/>
    <col min="12" max="12" width="14" customWidth="1"/>
    <col min="13" max="13" width="28.7265625" customWidth="1"/>
    <col min="14" max="14" width="44.1796875" style="51" customWidth="1"/>
  </cols>
  <sheetData>
    <row r="1" spans="1:14" ht="15" thickBot="1">
      <c r="F1" s="213" t="s">
        <v>31</v>
      </c>
      <c r="G1" s="214"/>
      <c r="H1" s="214"/>
      <c r="I1" s="214"/>
      <c r="J1" s="214"/>
      <c r="K1" s="214"/>
      <c r="L1" s="215"/>
      <c r="M1" s="50"/>
    </row>
    <row r="2" spans="1:14" ht="44" thickBot="1">
      <c r="A2" s="52" t="s">
        <v>32</v>
      </c>
      <c r="B2" s="53" t="s">
        <v>1</v>
      </c>
      <c r="C2" s="54" t="s">
        <v>33</v>
      </c>
      <c r="D2" s="54" t="s">
        <v>34</v>
      </c>
      <c r="E2" s="55" t="s">
        <v>35</v>
      </c>
      <c r="F2" s="56" t="s">
        <v>9</v>
      </c>
      <c r="G2" s="57" t="s">
        <v>17</v>
      </c>
      <c r="H2" s="57" t="s">
        <v>36</v>
      </c>
      <c r="I2" s="57" t="s">
        <v>19</v>
      </c>
      <c r="J2" s="58" t="s">
        <v>37</v>
      </c>
      <c r="K2" s="58" t="s">
        <v>38</v>
      </c>
      <c r="L2" s="59" t="s">
        <v>39</v>
      </c>
      <c r="M2" s="60" t="s">
        <v>40</v>
      </c>
      <c r="N2" s="61" t="s">
        <v>41</v>
      </c>
    </row>
    <row r="3" spans="1:14">
      <c r="A3" s="216" t="s">
        <v>42</v>
      </c>
      <c r="B3" s="219" t="s">
        <v>43</v>
      </c>
      <c r="C3" s="62" t="s">
        <v>44</v>
      </c>
      <c r="D3" s="62" t="s">
        <v>45</v>
      </c>
      <c r="E3" s="63">
        <v>670.52</v>
      </c>
      <c r="F3" s="64">
        <v>184.31</v>
      </c>
      <c r="G3" s="65">
        <v>184.31</v>
      </c>
      <c r="H3" s="65">
        <v>184.31</v>
      </c>
      <c r="I3" s="65">
        <f>+E3-SUM(F3:H3)</f>
        <v>117.58999999999992</v>
      </c>
      <c r="J3" s="65"/>
      <c r="K3" s="65"/>
      <c r="L3" s="66">
        <f>SUM(F3:K3)</f>
        <v>670.52</v>
      </c>
      <c r="M3" s="67">
        <f>+E3-L3</f>
        <v>0</v>
      </c>
      <c r="N3" s="68"/>
    </row>
    <row r="4" spans="1:14">
      <c r="A4" s="216"/>
      <c r="B4" s="220"/>
      <c r="C4" s="69" t="s">
        <v>46</v>
      </c>
      <c r="D4" s="69" t="s">
        <v>45</v>
      </c>
      <c r="E4" s="70">
        <v>61.88</v>
      </c>
      <c r="F4" s="71"/>
      <c r="G4" s="72"/>
      <c r="H4" s="73">
        <v>54</v>
      </c>
      <c r="I4" s="72">
        <v>7.88</v>
      </c>
      <c r="J4" s="72"/>
      <c r="K4" s="72"/>
      <c r="L4" s="66">
        <f>SUM(F4:K4)</f>
        <v>61.88</v>
      </c>
      <c r="M4" s="74">
        <f>E4-L4</f>
        <v>0</v>
      </c>
      <c r="N4" s="75" t="s">
        <v>47</v>
      </c>
    </row>
    <row r="5" spans="1:14">
      <c r="A5" s="216"/>
      <c r="B5" s="221"/>
      <c r="C5" s="76" t="s">
        <v>48</v>
      </c>
      <c r="D5" s="69" t="s">
        <v>45</v>
      </c>
      <c r="E5" s="77">
        <f>397/2</f>
        <v>198.5</v>
      </c>
      <c r="F5" s="71"/>
      <c r="G5" s="72"/>
      <c r="H5" s="72"/>
      <c r="I5" s="72">
        <f>184.31-117.59-7.88</f>
        <v>58.839999999999996</v>
      </c>
      <c r="J5" s="72">
        <f>+E5-I5</f>
        <v>139.66</v>
      </c>
      <c r="K5" s="72"/>
      <c r="L5" s="66">
        <f>SUM(F5:K5)</f>
        <v>198.5</v>
      </c>
      <c r="M5" s="74">
        <f t="shared" ref="M5:M6" si="0">E5-L5</f>
        <v>0</v>
      </c>
      <c r="N5" s="78"/>
    </row>
    <row r="6" spans="1:14" ht="15" thickBot="1">
      <c r="A6" s="216"/>
      <c r="B6" s="222"/>
      <c r="C6" s="222"/>
      <c r="D6" s="222"/>
      <c r="E6" s="79">
        <f>SUM(E3:E5)</f>
        <v>930.9</v>
      </c>
      <c r="F6" s="80"/>
      <c r="G6" s="81"/>
      <c r="H6" s="81"/>
      <c r="I6" s="81"/>
      <c r="J6" s="81"/>
      <c r="K6" s="81"/>
      <c r="L6" s="82">
        <f>SUM(L3:L5)</f>
        <v>930.9</v>
      </c>
      <c r="M6" s="74">
        <f t="shared" si="0"/>
        <v>0</v>
      </c>
      <c r="N6" s="83"/>
    </row>
    <row r="7" spans="1:14">
      <c r="A7" s="217"/>
      <c r="B7" s="223" t="s">
        <v>49</v>
      </c>
      <c r="C7" s="84" t="s">
        <v>44</v>
      </c>
      <c r="D7" s="85" t="s">
        <v>45</v>
      </c>
      <c r="E7" s="86">
        <v>143.97</v>
      </c>
      <c r="F7" s="87">
        <v>143.97</v>
      </c>
      <c r="G7" s="88"/>
      <c r="H7" s="88"/>
      <c r="I7" s="88"/>
      <c r="J7" s="88"/>
      <c r="K7" s="88"/>
      <c r="L7" s="89">
        <f>SUM(F7:K7)</f>
        <v>143.97</v>
      </c>
      <c r="M7" s="90">
        <f>E7-L7</f>
        <v>0</v>
      </c>
      <c r="N7" s="91"/>
    </row>
    <row r="8" spans="1:14">
      <c r="A8" s="217"/>
      <c r="B8" s="224"/>
      <c r="C8" s="92" t="s">
        <v>50</v>
      </c>
      <c r="D8" s="69" t="s">
        <v>45</v>
      </c>
      <c r="E8" s="70">
        <v>121.5</v>
      </c>
      <c r="F8" s="71">
        <f>206.86-F7</f>
        <v>62.890000000000015</v>
      </c>
      <c r="G8" s="72">
        <f>E8-F8</f>
        <v>58.609999999999985</v>
      </c>
      <c r="H8" s="72"/>
      <c r="I8" s="72"/>
      <c r="J8" s="72"/>
      <c r="K8" s="72"/>
      <c r="L8" s="66">
        <f t="shared" ref="L8:L10" si="1">SUM(F8:K8)</f>
        <v>121.5</v>
      </c>
      <c r="M8" s="74">
        <f>E8-L8</f>
        <v>0</v>
      </c>
      <c r="N8" s="93"/>
    </row>
    <row r="9" spans="1:14">
      <c r="A9" s="217"/>
      <c r="B9" s="224"/>
      <c r="C9" s="94" t="s">
        <v>44</v>
      </c>
      <c r="D9" s="76" t="s">
        <v>51</v>
      </c>
      <c r="E9" s="70">
        <v>227.19</v>
      </c>
      <c r="F9" s="71"/>
      <c r="G9" s="72">
        <f>206.86-G8</f>
        <v>148.25000000000003</v>
      </c>
      <c r="H9" s="72"/>
      <c r="I9" s="72">
        <f>E9-G9</f>
        <v>78.939999999999969</v>
      </c>
      <c r="J9" s="72"/>
      <c r="K9" s="72"/>
      <c r="L9" s="66">
        <f t="shared" si="1"/>
        <v>227.19</v>
      </c>
      <c r="M9" s="74">
        <f t="shared" ref="M9:M11" si="2">E9-L9</f>
        <v>0</v>
      </c>
      <c r="N9" s="93"/>
    </row>
    <row r="10" spans="1:14">
      <c r="A10" s="217"/>
      <c r="B10" s="225"/>
      <c r="C10" s="95" t="s">
        <v>48</v>
      </c>
      <c r="D10" s="96" t="s">
        <v>51</v>
      </c>
      <c r="E10" s="77">
        <f>397/2</f>
        <v>198.5</v>
      </c>
      <c r="F10" s="71"/>
      <c r="G10" s="72"/>
      <c r="H10" s="72">
        <v>198.5</v>
      </c>
      <c r="I10" s="72"/>
      <c r="J10" s="72"/>
      <c r="K10" s="72"/>
      <c r="L10" s="66">
        <f t="shared" si="1"/>
        <v>198.5</v>
      </c>
      <c r="M10" s="74">
        <f t="shared" si="2"/>
        <v>0</v>
      </c>
      <c r="N10" s="93"/>
    </row>
    <row r="11" spans="1:14" ht="15" thickBot="1">
      <c r="A11" s="218"/>
      <c r="B11" s="226" t="s">
        <v>52</v>
      </c>
      <c r="C11" s="226"/>
      <c r="D11" s="226"/>
      <c r="E11" s="97">
        <f>SUM(E7:E10)</f>
        <v>691.16000000000008</v>
      </c>
      <c r="F11" s="98"/>
      <c r="G11" s="99"/>
      <c r="H11" s="99"/>
      <c r="I11" s="99"/>
      <c r="J11" s="99"/>
      <c r="K11" s="99"/>
      <c r="L11" s="100">
        <f>SUM(L7:L10)</f>
        <v>691.16000000000008</v>
      </c>
      <c r="M11" s="101">
        <f t="shared" si="2"/>
        <v>0</v>
      </c>
      <c r="N11" s="102"/>
    </row>
    <row r="12" spans="1:14" ht="30" customHeight="1">
      <c r="A12" s="216" t="s">
        <v>53</v>
      </c>
      <c r="B12" s="228" t="s">
        <v>49</v>
      </c>
      <c r="C12" s="62"/>
      <c r="D12" s="103" t="s">
        <v>54</v>
      </c>
      <c r="E12" s="104">
        <v>10.58</v>
      </c>
      <c r="F12" s="64">
        <v>10.58</v>
      </c>
      <c r="G12" s="65"/>
      <c r="H12" s="65"/>
      <c r="I12" s="65"/>
      <c r="J12" s="65"/>
      <c r="K12" s="65"/>
      <c r="L12" s="66">
        <f>SUM(F12:K12)</f>
        <v>10.58</v>
      </c>
      <c r="M12" s="105">
        <f>+E12-L12</f>
        <v>0</v>
      </c>
      <c r="N12" s="106"/>
    </row>
    <row r="13" spans="1:14">
      <c r="A13" s="216"/>
      <c r="B13" s="229"/>
      <c r="C13" s="107"/>
      <c r="D13" s="108" t="s">
        <v>55</v>
      </c>
      <c r="E13" s="109">
        <v>248.69400000000002</v>
      </c>
      <c r="F13" s="71"/>
      <c r="G13" s="72"/>
      <c r="H13" s="72"/>
      <c r="I13" s="72"/>
      <c r="J13" s="72"/>
      <c r="K13" s="72"/>
      <c r="L13" s="110">
        <f t="shared" ref="L13:L18" si="3">SUM(F13:K13)</f>
        <v>0</v>
      </c>
      <c r="M13" s="111">
        <f t="shared" ref="M13:M17" si="4">+E13-L13</f>
        <v>248.69400000000002</v>
      </c>
      <c r="N13" s="93"/>
    </row>
    <row r="14" spans="1:14">
      <c r="A14" s="216"/>
      <c r="B14" s="229"/>
      <c r="C14" s="107"/>
      <c r="D14" s="108" t="s">
        <v>56</v>
      </c>
      <c r="E14" s="109">
        <v>72.433000000000007</v>
      </c>
      <c r="F14" s="71"/>
      <c r="G14" s="72"/>
      <c r="H14" s="72"/>
      <c r="I14" s="72"/>
      <c r="J14" s="72"/>
      <c r="K14" s="72"/>
      <c r="L14" s="110">
        <f t="shared" si="3"/>
        <v>0</v>
      </c>
      <c r="M14" s="111">
        <f t="shared" si="4"/>
        <v>72.433000000000007</v>
      </c>
      <c r="N14" s="93"/>
    </row>
    <row r="15" spans="1:14">
      <c r="A15" s="216"/>
      <c r="B15" s="229"/>
      <c r="C15" s="107"/>
      <c r="D15" s="108" t="s">
        <v>57</v>
      </c>
      <c r="E15" s="109">
        <v>285.12299999999999</v>
      </c>
      <c r="F15" s="71"/>
      <c r="G15" s="72"/>
      <c r="H15" s="72"/>
      <c r="I15" s="112">
        <f>47.313-(I17+I16)</f>
        <v>22.233000000000001</v>
      </c>
      <c r="J15" s="72">
        <v>47.313000000000002</v>
      </c>
      <c r="K15" s="72">
        <v>47.313000000000002</v>
      </c>
      <c r="L15" s="110">
        <f t="shared" si="3"/>
        <v>116.85900000000001</v>
      </c>
      <c r="M15" s="111">
        <f t="shared" si="4"/>
        <v>168.26399999999998</v>
      </c>
      <c r="N15" s="93"/>
    </row>
    <row r="16" spans="1:14">
      <c r="A16" s="216"/>
      <c r="B16" s="229"/>
      <c r="C16" s="107"/>
      <c r="D16" s="108" t="s">
        <v>58</v>
      </c>
      <c r="E16" s="109">
        <v>23.413999999999998</v>
      </c>
      <c r="F16" s="71"/>
      <c r="G16" s="72"/>
      <c r="H16" s="72"/>
      <c r="I16" s="72">
        <v>23.41</v>
      </c>
      <c r="J16" s="72"/>
      <c r="K16" s="72"/>
      <c r="L16" s="110">
        <f t="shared" si="3"/>
        <v>23.41</v>
      </c>
      <c r="M16" s="111">
        <f t="shared" si="4"/>
        <v>3.9999999999977831E-3</v>
      </c>
      <c r="N16" s="93"/>
    </row>
    <row r="17" spans="1:14">
      <c r="A17" s="216"/>
      <c r="B17" s="229"/>
      <c r="C17" s="107"/>
      <c r="D17" s="108" t="s">
        <v>59</v>
      </c>
      <c r="E17" s="109">
        <v>96.296000000000006</v>
      </c>
      <c r="F17" s="71"/>
      <c r="G17" s="72">
        <v>47.313000000000002</v>
      </c>
      <c r="H17" s="113">
        <v>47.313000000000002</v>
      </c>
      <c r="I17" s="113">
        <f>E17-G17-H17</f>
        <v>1.6700000000000017</v>
      </c>
      <c r="J17" s="72"/>
      <c r="K17" s="72"/>
      <c r="L17" s="110">
        <f t="shared" si="3"/>
        <v>96.296000000000006</v>
      </c>
      <c r="M17" s="111">
        <f t="shared" si="4"/>
        <v>0</v>
      </c>
      <c r="N17" s="93"/>
    </row>
    <row r="18" spans="1:14">
      <c r="A18" s="216"/>
      <c r="B18" s="230"/>
      <c r="C18" s="107"/>
      <c r="D18" s="108" t="s">
        <v>60</v>
      </c>
      <c r="E18" s="109">
        <v>37.739999999999995</v>
      </c>
      <c r="F18" s="71"/>
      <c r="G18" s="72"/>
      <c r="H18" s="72"/>
      <c r="I18" s="72"/>
      <c r="J18" s="72"/>
      <c r="K18" s="72"/>
      <c r="L18" s="110">
        <f t="shared" si="3"/>
        <v>0</v>
      </c>
      <c r="M18" s="74"/>
      <c r="N18" s="93"/>
    </row>
    <row r="19" spans="1:14" ht="15" thickBot="1">
      <c r="A19" s="227"/>
      <c r="B19" s="231"/>
      <c r="C19" s="231"/>
      <c r="D19" s="231"/>
      <c r="E19" s="114">
        <f>SUM(E12:E18)</f>
        <v>774.28</v>
      </c>
      <c r="F19" s="115"/>
      <c r="G19" s="116"/>
      <c r="H19" s="99"/>
      <c r="I19" s="99"/>
      <c r="J19" s="99"/>
      <c r="K19" s="99"/>
      <c r="L19" s="100">
        <f>SUM(L12:L18)</f>
        <v>247.14500000000004</v>
      </c>
      <c r="M19" s="117">
        <f>SUM(M12:M18)</f>
        <v>489.39499999999998</v>
      </c>
      <c r="N19" s="102"/>
    </row>
    <row r="20" spans="1:14" ht="26">
      <c r="A20" s="232" t="s">
        <v>61</v>
      </c>
      <c r="B20" s="118" t="s">
        <v>43</v>
      </c>
      <c r="C20" s="62" t="s">
        <v>44</v>
      </c>
      <c r="D20" s="119" t="s">
        <v>54</v>
      </c>
      <c r="E20" s="120">
        <f>12.17</f>
        <v>12.17</v>
      </c>
      <c r="F20" s="121">
        <v>12.17</v>
      </c>
      <c r="G20" s="122"/>
      <c r="H20" s="122"/>
      <c r="I20" s="122"/>
      <c r="J20" s="122"/>
      <c r="K20" s="122"/>
      <c r="L20" s="123">
        <f>SUM(F20:K20)</f>
        <v>12.17</v>
      </c>
      <c r="M20" s="124">
        <f>E20-L20</f>
        <v>0</v>
      </c>
      <c r="N20" s="125"/>
    </row>
    <row r="21" spans="1:14" ht="26">
      <c r="A21" s="216"/>
      <c r="B21" s="118" t="s">
        <v>43</v>
      </c>
      <c r="C21" s="69" t="s">
        <v>50</v>
      </c>
      <c r="D21" s="119" t="s">
        <v>54</v>
      </c>
      <c r="E21" s="120">
        <v>40.130000000000003</v>
      </c>
      <c r="F21" s="71">
        <v>40.130000000000003</v>
      </c>
      <c r="G21" s="122"/>
      <c r="H21" s="122"/>
      <c r="I21" s="122"/>
      <c r="J21" s="122"/>
      <c r="K21" s="122"/>
      <c r="L21" s="123">
        <f>SUM(F21:K21)</f>
        <v>40.130000000000003</v>
      </c>
      <c r="M21" s="124">
        <f t="shared" ref="M21:M24" si="5">E21-L21</f>
        <v>0</v>
      </c>
      <c r="N21" s="125"/>
    </row>
    <row r="22" spans="1:14" ht="39">
      <c r="A22" s="216"/>
      <c r="B22" s="126" t="s">
        <v>62</v>
      </c>
      <c r="C22" s="69" t="s">
        <v>50</v>
      </c>
      <c r="D22" s="119" t="s">
        <v>54</v>
      </c>
      <c r="E22" s="127">
        <f>238.5-150.87</f>
        <v>87.63</v>
      </c>
      <c r="F22" s="121">
        <v>87.63</v>
      </c>
      <c r="G22" s="122"/>
      <c r="H22" s="122"/>
      <c r="I22" s="122"/>
      <c r="J22" s="72"/>
      <c r="K22" s="72"/>
      <c r="L22" s="123">
        <f>SUM(F22:K22)</f>
        <v>87.63</v>
      </c>
      <c r="M22" s="124">
        <f t="shared" si="5"/>
        <v>0</v>
      </c>
      <c r="N22" s="125"/>
    </row>
    <row r="23" spans="1:14" ht="26">
      <c r="A23" s="216"/>
      <c r="B23" s="126" t="s">
        <v>63</v>
      </c>
      <c r="C23" s="62" t="s">
        <v>44</v>
      </c>
      <c r="D23" s="69" t="s">
        <v>54</v>
      </c>
      <c r="E23" s="127">
        <v>150.87</v>
      </c>
      <c r="F23" s="128"/>
      <c r="G23" s="122">
        <v>23.61</v>
      </c>
      <c r="H23" s="122">
        <v>49.3</v>
      </c>
      <c r="I23" s="122">
        <v>77.959999999999994</v>
      </c>
      <c r="J23" s="72"/>
      <c r="K23" s="72"/>
      <c r="L23" s="123">
        <f>SUM(F23:K23)</f>
        <v>150.87</v>
      </c>
      <c r="M23" s="124">
        <f t="shared" si="5"/>
        <v>0</v>
      </c>
      <c r="N23" s="93"/>
    </row>
    <row r="24" spans="1:14" ht="26">
      <c r="A24" s="216"/>
      <c r="B24" s="129" t="s">
        <v>49</v>
      </c>
      <c r="C24" s="130"/>
      <c r="D24" s="131" t="s">
        <v>60</v>
      </c>
      <c r="E24" s="132">
        <v>32.25</v>
      </c>
      <c r="F24" s="80">
        <v>20.685600000000004</v>
      </c>
      <c r="G24" s="81">
        <f>+E24-F24</f>
        <v>11.564399999999996</v>
      </c>
      <c r="H24" s="72"/>
      <c r="I24" s="72"/>
      <c r="J24" s="72"/>
      <c r="K24" s="72"/>
      <c r="L24" s="123">
        <f>SUM(F24:K24)</f>
        <v>32.25</v>
      </c>
      <c r="M24" s="124">
        <f t="shared" si="5"/>
        <v>0</v>
      </c>
      <c r="N24" s="93"/>
    </row>
    <row r="25" spans="1:14" ht="15" thickBot="1">
      <c r="A25" s="216"/>
      <c r="B25" s="226"/>
      <c r="C25" s="226"/>
      <c r="D25" s="226"/>
      <c r="E25" s="133">
        <f>SUM(E20:E24)</f>
        <v>323.05</v>
      </c>
      <c r="F25" s="80"/>
      <c r="G25" s="81"/>
      <c r="H25" s="81"/>
      <c r="I25" s="81"/>
      <c r="J25" s="81"/>
      <c r="K25" s="81"/>
      <c r="L25" s="134">
        <f>SUM(L20:L24)</f>
        <v>323.05</v>
      </c>
      <c r="M25" s="135">
        <f>E25-L25</f>
        <v>0</v>
      </c>
      <c r="N25" s="102" t="s">
        <v>64</v>
      </c>
    </row>
    <row r="26" spans="1:14" ht="26.5" thickBot="1">
      <c r="A26" s="136" t="s">
        <v>65</v>
      </c>
      <c r="B26" s="137" t="s">
        <v>43</v>
      </c>
      <c r="C26" s="138"/>
      <c r="D26" s="139" t="s">
        <v>66</v>
      </c>
      <c r="E26" s="140">
        <v>6.44</v>
      </c>
      <c r="F26" s="141"/>
      <c r="G26" s="142">
        <v>6.48</v>
      </c>
      <c r="H26" s="142"/>
      <c r="I26" s="142"/>
      <c r="J26" s="142"/>
      <c r="K26" s="142"/>
      <c r="L26" s="143">
        <f>SUM(F26:K26)</f>
        <v>6.48</v>
      </c>
      <c r="M26" s="144">
        <f>+E26-G26</f>
        <v>-4.0000000000000036E-2</v>
      </c>
      <c r="N26" s="145"/>
    </row>
  </sheetData>
  <mergeCells count="11">
    <mergeCell ref="A12:A19"/>
    <mergeCell ref="B12:B18"/>
    <mergeCell ref="B19:D19"/>
    <mergeCell ref="A20:A25"/>
    <mergeCell ref="B25:D25"/>
    <mergeCell ref="F1:L1"/>
    <mergeCell ref="A3:A11"/>
    <mergeCell ref="B3:B5"/>
    <mergeCell ref="B6:D6"/>
    <mergeCell ref="B7:B10"/>
    <mergeCell ref="B11:D1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7D7D-2EF9-4E59-A847-3281E3D82AFD}">
  <dimension ref="A3:N246"/>
  <sheetViews>
    <sheetView workbookViewId="0">
      <selection activeCell="E6" sqref="E6"/>
    </sheetView>
  </sheetViews>
  <sheetFormatPr defaultRowHeight="14.5"/>
  <cols>
    <col min="1" max="1" width="14.7265625" customWidth="1"/>
    <col min="2" max="2" width="17.1796875" bestFit="1" customWidth="1"/>
    <col min="3" max="3" width="17.453125" bestFit="1" customWidth="1"/>
    <col min="4" max="4" width="17.7265625" bestFit="1" customWidth="1"/>
    <col min="5" max="5" width="25.1796875" bestFit="1" customWidth="1"/>
    <col min="6" max="6" width="12.26953125" bestFit="1" customWidth="1"/>
    <col min="7" max="7" width="23.26953125" bestFit="1" customWidth="1"/>
    <col min="8" max="8" width="10.1796875" bestFit="1" customWidth="1"/>
    <col min="9" max="9" width="9.81640625" bestFit="1" customWidth="1"/>
    <col min="10" max="10" width="12.1796875" bestFit="1" customWidth="1"/>
    <col min="11" max="13" width="11.81640625" bestFit="1" customWidth="1"/>
    <col min="14" max="14" width="16.453125" bestFit="1" customWidth="1"/>
  </cols>
  <sheetData>
    <row r="3" spans="1:14">
      <c r="G3" s="42" t="s">
        <v>0</v>
      </c>
    </row>
    <row r="4" spans="1:14">
      <c r="A4" s="42" t="s">
        <v>2</v>
      </c>
      <c r="B4" s="42" t="s">
        <v>4</v>
      </c>
      <c r="C4" s="42" t="s">
        <v>1</v>
      </c>
      <c r="D4" s="42" t="s">
        <v>67</v>
      </c>
      <c r="E4" s="42" t="s">
        <v>3</v>
      </c>
      <c r="F4" s="42" t="s">
        <v>68</v>
      </c>
      <c r="G4" t="s">
        <v>69</v>
      </c>
      <c r="H4" t="s">
        <v>70</v>
      </c>
      <c r="I4" t="s">
        <v>71</v>
      </c>
      <c r="J4" t="s">
        <v>5</v>
      </c>
      <c r="K4" t="s">
        <v>6</v>
      </c>
      <c r="L4" t="s">
        <v>7</v>
      </c>
      <c r="M4" t="s">
        <v>72</v>
      </c>
      <c r="N4" t="s">
        <v>73</v>
      </c>
    </row>
    <row r="5" spans="1:14">
      <c r="A5" t="s">
        <v>21</v>
      </c>
      <c r="B5" t="s">
        <v>11</v>
      </c>
      <c r="C5" t="s">
        <v>74</v>
      </c>
      <c r="D5" t="s">
        <v>28</v>
      </c>
      <c r="E5" t="s">
        <v>75</v>
      </c>
      <c r="F5" t="s">
        <v>76</v>
      </c>
      <c r="G5">
        <v>11430</v>
      </c>
      <c r="N5" s="48">
        <v>274320000</v>
      </c>
    </row>
    <row r="6" spans="1:14">
      <c r="D6" t="s">
        <v>11</v>
      </c>
      <c r="E6" t="s">
        <v>75</v>
      </c>
      <c r="F6" t="s">
        <v>76</v>
      </c>
      <c r="G6">
        <v>18140</v>
      </c>
      <c r="N6" s="48">
        <v>435360000</v>
      </c>
    </row>
    <row r="7" spans="1:14">
      <c r="C7" t="s">
        <v>8</v>
      </c>
      <c r="D7" t="s">
        <v>28</v>
      </c>
      <c r="E7" t="s">
        <v>10</v>
      </c>
      <c r="F7" t="s">
        <v>76</v>
      </c>
      <c r="G7">
        <v>670</v>
      </c>
      <c r="N7" s="48">
        <v>39030000</v>
      </c>
    </row>
    <row r="8" spans="1:14">
      <c r="E8" t="s">
        <v>10</v>
      </c>
      <c r="F8" t="s">
        <v>77</v>
      </c>
      <c r="G8">
        <v>6963</v>
      </c>
      <c r="J8">
        <v>4.1777999999999995</v>
      </c>
      <c r="K8">
        <v>41.777999999999992</v>
      </c>
      <c r="N8" s="48"/>
    </row>
    <row r="9" spans="1:14">
      <c r="E9" t="s">
        <v>15</v>
      </c>
      <c r="F9" t="s">
        <v>76</v>
      </c>
      <c r="G9">
        <v>972</v>
      </c>
      <c r="N9" s="48">
        <v>20412000</v>
      </c>
    </row>
    <row r="10" spans="1:14">
      <c r="E10" t="s">
        <v>15</v>
      </c>
      <c r="F10" t="s">
        <v>77</v>
      </c>
      <c r="G10">
        <v>10097</v>
      </c>
      <c r="L10">
        <v>15.1455</v>
      </c>
      <c r="N10" s="48"/>
    </row>
    <row r="11" spans="1:14">
      <c r="D11" t="s">
        <v>11</v>
      </c>
      <c r="E11" t="s">
        <v>10</v>
      </c>
      <c r="F11" t="s">
        <v>77</v>
      </c>
      <c r="G11">
        <v>1524</v>
      </c>
      <c r="J11">
        <v>0.9144000000000001</v>
      </c>
      <c r="K11">
        <v>9.1440000000000001</v>
      </c>
      <c r="N11" s="48"/>
    </row>
    <row r="12" spans="1:14">
      <c r="E12" t="s">
        <v>15</v>
      </c>
      <c r="F12" t="s">
        <v>77</v>
      </c>
      <c r="G12">
        <v>2497</v>
      </c>
      <c r="L12">
        <v>3.7455000000000003</v>
      </c>
      <c r="N12" s="48"/>
    </row>
    <row r="13" spans="1:14">
      <c r="D13" t="s">
        <v>78</v>
      </c>
      <c r="E13" t="s">
        <v>10</v>
      </c>
      <c r="F13" t="s">
        <v>77</v>
      </c>
      <c r="G13">
        <v>2868</v>
      </c>
      <c r="J13">
        <v>1.7207999999999999</v>
      </c>
      <c r="K13">
        <v>17.207999999999998</v>
      </c>
      <c r="N13" s="48"/>
    </row>
    <row r="14" spans="1:14">
      <c r="E14" t="s">
        <v>15</v>
      </c>
      <c r="F14" t="s">
        <v>77</v>
      </c>
      <c r="G14">
        <v>4519</v>
      </c>
      <c r="L14">
        <v>6.7784999999999993</v>
      </c>
      <c r="N14" s="48"/>
    </row>
    <row r="15" spans="1:14">
      <c r="C15" t="s">
        <v>24</v>
      </c>
      <c r="D15" t="s">
        <v>28</v>
      </c>
      <c r="E15" t="s">
        <v>79</v>
      </c>
      <c r="F15" t="s">
        <v>77</v>
      </c>
      <c r="G15">
        <v>4489</v>
      </c>
      <c r="H15">
        <v>0</v>
      </c>
      <c r="I15">
        <v>0</v>
      </c>
      <c r="J15">
        <v>0</v>
      </c>
      <c r="K15">
        <v>0</v>
      </c>
      <c r="L15">
        <v>6.7335000000000012</v>
      </c>
      <c r="M15">
        <v>0</v>
      </c>
      <c r="N15" s="48"/>
    </row>
    <row r="16" spans="1:14">
      <c r="E16" t="s">
        <v>26</v>
      </c>
      <c r="F16" t="s">
        <v>77</v>
      </c>
      <c r="G16">
        <v>3739</v>
      </c>
      <c r="I16">
        <v>0</v>
      </c>
      <c r="J16">
        <v>2.2434000000000003</v>
      </c>
      <c r="K16">
        <v>22.434000000000001</v>
      </c>
      <c r="M16">
        <v>0</v>
      </c>
      <c r="N16" s="48"/>
    </row>
    <row r="17" spans="2:14">
      <c r="E17" t="s">
        <v>27</v>
      </c>
      <c r="F17" t="s">
        <v>77</v>
      </c>
      <c r="G17">
        <v>2049</v>
      </c>
      <c r="J17">
        <v>1.5367500000000001</v>
      </c>
      <c r="K17">
        <v>15.3675</v>
      </c>
      <c r="N17" s="48"/>
    </row>
    <row r="18" spans="2:14">
      <c r="D18" t="s">
        <v>11</v>
      </c>
      <c r="E18" t="s">
        <v>79</v>
      </c>
      <c r="F18" t="s">
        <v>77</v>
      </c>
      <c r="G18">
        <v>6957</v>
      </c>
      <c r="H18">
        <v>0</v>
      </c>
      <c r="I18">
        <v>0</v>
      </c>
      <c r="J18">
        <v>0</v>
      </c>
      <c r="K18">
        <v>0</v>
      </c>
      <c r="L18">
        <v>10.435499999999999</v>
      </c>
      <c r="M18">
        <v>0</v>
      </c>
      <c r="N18" s="48"/>
    </row>
    <row r="19" spans="2:14">
      <c r="E19" t="s">
        <v>26</v>
      </c>
      <c r="F19" t="s">
        <v>77</v>
      </c>
      <c r="G19">
        <v>5797</v>
      </c>
      <c r="H19">
        <v>0</v>
      </c>
      <c r="I19">
        <v>0</v>
      </c>
      <c r="J19">
        <v>3.4782000000000002</v>
      </c>
      <c r="K19">
        <v>34.781999999999996</v>
      </c>
      <c r="L19">
        <v>0</v>
      </c>
      <c r="M19">
        <v>0</v>
      </c>
      <c r="N19" s="48"/>
    </row>
    <row r="20" spans="2:14">
      <c r="D20" t="s">
        <v>78</v>
      </c>
      <c r="E20" t="s">
        <v>79</v>
      </c>
      <c r="F20" t="s">
        <v>77</v>
      </c>
      <c r="G20">
        <v>4784</v>
      </c>
      <c r="H20">
        <v>0</v>
      </c>
      <c r="I20">
        <v>0</v>
      </c>
      <c r="J20">
        <v>0</v>
      </c>
      <c r="K20">
        <v>0</v>
      </c>
      <c r="L20">
        <v>7.1760000000000002</v>
      </c>
      <c r="M20">
        <v>0</v>
      </c>
      <c r="N20" s="48"/>
    </row>
    <row r="21" spans="2:14">
      <c r="E21" t="s">
        <v>26</v>
      </c>
      <c r="F21" t="s">
        <v>77</v>
      </c>
      <c r="G21">
        <v>3987</v>
      </c>
      <c r="I21">
        <v>0</v>
      </c>
      <c r="J21">
        <v>2.3921999999999999</v>
      </c>
      <c r="K21">
        <v>23.921999999999997</v>
      </c>
      <c r="M21">
        <v>0</v>
      </c>
      <c r="N21" s="48"/>
    </row>
    <row r="22" spans="2:14">
      <c r="D22" t="s">
        <v>80</v>
      </c>
      <c r="E22" t="s">
        <v>79</v>
      </c>
      <c r="F22" t="s">
        <v>77</v>
      </c>
      <c r="G22">
        <v>758</v>
      </c>
      <c r="H22">
        <v>0</v>
      </c>
      <c r="I22">
        <v>0</v>
      </c>
      <c r="J22">
        <v>0</v>
      </c>
      <c r="K22">
        <v>0</v>
      </c>
      <c r="L22">
        <v>1.137</v>
      </c>
      <c r="M22">
        <v>0</v>
      </c>
      <c r="N22" s="48"/>
    </row>
    <row r="23" spans="2:14">
      <c r="E23" t="s">
        <v>26</v>
      </c>
      <c r="F23" t="s">
        <v>77</v>
      </c>
      <c r="G23">
        <v>631</v>
      </c>
      <c r="I23">
        <v>0</v>
      </c>
      <c r="J23">
        <v>0.37859999999999999</v>
      </c>
      <c r="K23">
        <v>3.786</v>
      </c>
      <c r="M23">
        <v>0</v>
      </c>
      <c r="N23" s="48"/>
    </row>
    <row r="24" spans="2:14">
      <c r="D24" t="s">
        <v>81</v>
      </c>
      <c r="E24" t="s">
        <v>27</v>
      </c>
      <c r="F24" t="s">
        <v>77</v>
      </c>
      <c r="G24">
        <v>2595</v>
      </c>
      <c r="J24">
        <v>1.94625</v>
      </c>
      <c r="K24">
        <v>19.462499999999999</v>
      </c>
      <c r="N24" s="48"/>
    </row>
    <row r="25" spans="2:14">
      <c r="D25" t="s">
        <v>82</v>
      </c>
      <c r="E25" t="s">
        <v>79</v>
      </c>
      <c r="F25" t="s">
        <v>77</v>
      </c>
      <c r="G25">
        <v>437</v>
      </c>
      <c r="H25">
        <v>0</v>
      </c>
      <c r="I25">
        <v>0</v>
      </c>
      <c r="J25">
        <v>0</v>
      </c>
      <c r="K25">
        <v>0</v>
      </c>
      <c r="L25">
        <v>0.65549999999999997</v>
      </c>
      <c r="M25">
        <v>0</v>
      </c>
      <c r="N25" s="48"/>
    </row>
    <row r="26" spans="2:14">
      <c r="E26" t="s">
        <v>26</v>
      </c>
      <c r="F26" t="s">
        <v>77</v>
      </c>
      <c r="G26">
        <v>364</v>
      </c>
      <c r="I26">
        <v>0</v>
      </c>
      <c r="J26">
        <v>0.21840000000000001</v>
      </c>
      <c r="K26">
        <v>2.1840000000000002</v>
      </c>
      <c r="M26">
        <v>0</v>
      </c>
      <c r="N26" s="48"/>
    </row>
    <row r="27" spans="2:14">
      <c r="B27" t="s">
        <v>83</v>
      </c>
      <c r="G27">
        <v>96267</v>
      </c>
      <c r="H27" s="46">
        <v>0</v>
      </c>
      <c r="I27" s="46">
        <v>0</v>
      </c>
      <c r="J27" s="46">
        <v>19.006799999999995</v>
      </c>
      <c r="K27" s="46">
        <v>190.06800000000001</v>
      </c>
      <c r="L27" s="46">
        <v>51.807000000000002</v>
      </c>
      <c r="M27">
        <v>0</v>
      </c>
      <c r="N27" s="48">
        <v>769122000</v>
      </c>
    </row>
    <row r="28" spans="2:14">
      <c r="B28" t="s">
        <v>12</v>
      </c>
      <c r="C28" t="s">
        <v>8</v>
      </c>
      <c r="D28" t="s">
        <v>84</v>
      </c>
      <c r="E28" t="s">
        <v>10</v>
      </c>
      <c r="F28" t="s">
        <v>77</v>
      </c>
      <c r="J28">
        <v>0</v>
      </c>
      <c r="K28">
        <v>0</v>
      </c>
      <c r="N28" s="48"/>
    </row>
    <row r="29" spans="2:14">
      <c r="E29" t="s">
        <v>15</v>
      </c>
      <c r="F29" t="s">
        <v>77</v>
      </c>
      <c r="G29">
        <v>0</v>
      </c>
      <c r="L29">
        <v>0</v>
      </c>
      <c r="N29" s="48"/>
    </row>
    <row r="30" spans="2:14">
      <c r="C30" t="s">
        <v>24</v>
      </c>
      <c r="D30" t="s">
        <v>84</v>
      </c>
      <c r="E30" t="s">
        <v>79</v>
      </c>
      <c r="F30" t="s">
        <v>77</v>
      </c>
      <c r="G30">
        <v>6469</v>
      </c>
      <c r="H30">
        <v>0</v>
      </c>
      <c r="I30">
        <v>0</v>
      </c>
      <c r="J30">
        <v>0</v>
      </c>
      <c r="K30">
        <v>0</v>
      </c>
      <c r="L30">
        <v>9.7035</v>
      </c>
      <c r="M30">
        <v>0</v>
      </c>
      <c r="N30" s="48"/>
    </row>
    <row r="31" spans="2:14">
      <c r="E31" t="s">
        <v>26</v>
      </c>
      <c r="F31" t="s">
        <v>77</v>
      </c>
      <c r="G31">
        <v>5392</v>
      </c>
      <c r="I31">
        <v>0</v>
      </c>
      <c r="J31">
        <v>3.2352000000000003</v>
      </c>
      <c r="K31">
        <v>32.351999999999997</v>
      </c>
      <c r="M31">
        <v>0</v>
      </c>
      <c r="N31" s="48"/>
    </row>
    <row r="32" spans="2:14">
      <c r="E32" t="s">
        <v>26</v>
      </c>
      <c r="F32" t="s">
        <v>85</v>
      </c>
      <c r="I32">
        <v>0</v>
      </c>
      <c r="J32">
        <v>0</v>
      </c>
      <c r="K32">
        <v>0</v>
      </c>
      <c r="M32">
        <v>0</v>
      </c>
      <c r="N32" s="48"/>
    </row>
    <row r="33" spans="2:14">
      <c r="B33" t="s">
        <v>86</v>
      </c>
      <c r="G33">
        <v>11861</v>
      </c>
      <c r="H33" s="46">
        <v>0</v>
      </c>
      <c r="I33" s="46">
        <v>0</v>
      </c>
      <c r="J33" s="46">
        <v>3.2352000000000003</v>
      </c>
      <c r="K33" s="46">
        <v>32.351999999999997</v>
      </c>
      <c r="L33" s="46">
        <v>9.7035</v>
      </c>
      <c r="M33">
        <v>0</v>
      </c>
      <c r="N33" s="48"/>
    </row>
    <row r="34" spans="2:14">
      <c r="B34" t="s">
        <v>87</v>
      </c>
      <c r="C34" t="s">
        <v>24</v>
      </c>
      <c r="D34" t="s">
        <v>88</v>
      </c>
      <c r="E34" t="s">
        <v>89</v>
      </c>
      <c r="F34" t="s">
        <v>76</v>
      </c>
      <c r="G34">
        <v>1415</v>
      </c>
      <c r="N34" s="48">
        <v>33960000</v>
      </c>
    </row>
    <row r="35" spans="2:14">
      <c r="E35" t="s">
        <v>89</v>
      </c>
      <c r="F35" t="s">
        <v>77</v>
      </c>
      <c r="G35">
        <v>58335</v>
      </c>
      <c r="H35">
        <v>350.01</v>
      </c>
      <c r="I35">
        <v>52.5015</v>
      </c>
      <c r="J35">
        <v>30.625874999999997</v>
      </c>
      <c r="N35" s="48"/>
    </row>
    <row r="36" spans="2:14">
      <c r="D36" t="s">
        <v>90</v>
      </c>
      <c r="E36" t="s">
        <v>89</v>
      </c>
      <c r="F36" t="s">
        <v>77</v>
      </c>
      <c r="G36">
        <v>12310</v>
      </c>
      <c r="H36">
        <v>73.86</v>
      </c>
      <c r="I36">
        <v>11.079000000000001</v>
      </c>
      <c r="J36">
        <v>6.4627499999999998</v>
      </c>
      <c r="N36" s="48"/>
    </row>
    <row r="37" spans="2:14">
      <c r="B37" t="s">
        <v>91</v>
      </c>
      <c r="G37">
        <v>72060</v>
      </c>
      <c r="H37">
        <v>423.87</v>
      </c>
      <c r="I37">
        <v>63.580500000000001</v>
      </c>
      <c r="J37">
        <v>37.088624999999993</v>
      </c>
      <c r="N37" s="48">
        <v>33960000</v>
      </c>
    </row>
    <row r="38" spans="2:14">
      <c r="B38" t="s">
        <v>13</v>
      </c>
      <c r="C38" t="s">
        <v>74</v>
      </c>
      <c r="D38" t="s">
        <v>11</v>
      </c>
      <c r="E38" t="s">
        <v>75</v>
      </c>
      <c r="F38" t="s">
        <v>76</v>
      </c>
      <c r="G38">
        <v>1600</v>
      </c>
      <c r="N38" s="48">
        <v>38400000</v>
      </c>
    </row>
    <row r="39" spans="2:14">
      <c r="D39" t="s">
        <v>13</v>
      </c>
      <c r="E39" t="s">
        <v>75</v>
      </c>
      <c r="F39" t="s">
        <v>76</v>
      </c>
      <c r="G39">
        <v>9700</v>
      </c>
      <c r="N39" s="48">
        <v>232800000</v>
      </c>
    </row>
    <row r="40" spans="2:14">
      <c r="C40" t="s">
        <v>8</v>
      </c>
      <c r="D40" t="s">
        <v>13</v>
      </c>
      <c r="E40" t="s">
        <v>10</v>
      </c>
      <c r="F40" t="s">
        <v>77</v>
      </c>
      <c r="G40">
        <v>1920</v>
      </c>
      <c r="J40">
        <v>1.1519999999999997</v>
      </c>
      <c r="K40">
        <v>11.520000000000001</v>
      </c>
      <c r="N40" s="48"/>
    </row>
    <row r="41" spans="2:14">
      <c r="E41" t="s">
        <v>15</v>
      </c>
      <c r="F41" t="s">
        <v>77</v>
      </c>
      <c r="G41">
        <v>1624</v>
      </c>
      <c r="L41">
        <v>2.4359999999999999</v>
      </c>
      <c r="N41" s="48"/>
    </row>
    <row r="42" spans="2:14">
      <c r="D42" t="s">
        <v>92</v>
      </c>
      <c r="E42" t="s">
        <v>10</v>
      </c>
      <c r="F42" t="s">
        <v>77</v>
      </c>
      <c r="G42">
        <v>3834.09</v>
      </c>
      <c r="J42">
        <v>2.3004539999999998</v>
      </c>
      <c r="K42">
        <v>23.004539999999999</v>
      </c>
      <c r="N42" s="48"/>
    </row>
    <row r="43" spans="2:14">
      <c r="E43" t="s">
        <v>15</v>
      </c>
      <c r="F43" t="s">
        <v>77</v>
      </c>
      <c r="G43">
        <v>2699</v>
      </c>
      <c r="L43">
        <v>4.0484999999999998</v>
      </c>
      <c r="N43" s="48"/>
    </row>
    <row r="44" spans="2:14">
      <c r="C44" t="s">
        <v>24</v>
      </c>
      <c r="D44" t="s">
        <v>93</v>
      </c>
      <c r="E44" t="s">
        <v>79</v>
      </c>
      <c r="F44" t="s">
        <v>77</v>
      </c>
      <c r="G44">
        <v>925</v>
      </c>
      <c r="H44">
        <v>0</v>
      </c>
      <c r="I44">
        <v>0</v>
      </c>
      <c r="J44">
        <v>0</v>
      </c>
      <c r="K44">
        <v>0</v>
      </c>
      <c r="L44">
        <v>1.3875</v>
      </c>
      <c r="M44">
        <v>0</v>
      </c>
      <c r="N44" s="48"/>
    </row>
    <row r="45" spans="2:14">
      <c r="E45" t="s">
        <v>26</v>
      </c>
      <c r="F45" t="s">
        <v>77</v>
      </c>
      <c r="G45">
        <v>772</v>
      </c>
      <c r="H45">
        <v>0</v>
      </c>
      <c r="I45">
        <v>0</v>
      </c>
      <c r="J45">
        <v>0.46320000000000006</v>
      </c>
      <c r="K45">
        <v>4.6319999999999997</v>
      </c>
      <c r="L45">
        <v>0</v>
      </c>
      <c r="M45">
        <v>0</v>
      </c>
      <c r="N45" s="48"/>
    </row>
    <row r="46" spans="2:14">
      <c r="D46" t="s">
        <v>13</v>
      </c>
      <c r="E46" t="s">
        <v>27</v>
      </c>
      <c r="F46" t="s">
        <v>77</v>
      </c>
      <c r="G46">
        <v>2556.0345750000006</v>
      </c>
      <c r="J46">
        <v>1.9170259312500004</v>
      </c>
      <c r="K46">
        <v>19.170259312500001</v>
      </c>
      <c r="N46" s="48"/>
    </row>
    <row r="47" spans="2:14">
      <c r="D47" t="s">
        <v>94</v>
      </c>
      <c r="E47" t="s">
        <v>79</v>
      </c>
      <c r="F47" t="s">
        <v>77</v>
      </c>
      <c r="G47">
        <v>889</v>
      </c>
      <c r="H47">
        <v>0</v>
      </c>
      <c r="I47">
        <v>0</v>
      </c>
      <c r="J47">
        <v>0</v>
      </c>
      <c r="K47">
        <v>0</v>
      </c>
      <c r="L47">
        <v>1.3334999999999999</v>
      </c>
      <c r="M47">
        <v>0</v>
      </c>
      <c r="N47" s="48"/>
    </row>
    <row r="48" spans="2:14">
      <c r="E48" t="s">
        <v>26</v>
      </c>
      <c r="F48" t="s">
        <v>77</v>
      </c>
      <c r="G48">
        <v>741</v>
      </c>
      <c r="H48">
        <v>0</v>
      </c>
      <c r="I48">
        <v>0</v>
      </c>
      <c r="J48">
        <v>0.4446</v>
      </c>
      <c r="K48">
        <v>4.4459999999999997</v>
      </c>
      <c r="L48">
        <v>0</v>
      </c>
      <c r="M48">
        <v>0</v>
      </c>
      <c r="N48" s="48"/>
    </row>
    <row r="49" spans="1:14">
      <c r="D49" t="s">
        <v>95</v>
      </c>
      <c r="E49" t="s">
        <v>79</v>
      </c>
      <c r="F49" t="s">
        <v>77</v>
      </c>
      <c r="G49">
        <v>2701</v>
      </c>
      <c r="H49">
        <v>0</v>
      </c>
      <c r="I49">
        <v>0</v>
      </c>
      <c r="J49">
        <v>0</v>
      </c>
      <c r="K49">
        <v>0</v>
      </c>
      <c r="L49">
        <v>4.0514999999999999</v>
      </c>
      <c r="M49">
        <v>0</v>
      </c>
      <c r="N49" s="48"/>
    </row>
    <row r="50" spans="1:14">
      <c r="E50" t="s">
        <v>26</v>
      </c>
      <c r="F50" t="s">
        <v>77</v>
      </c>
      <c r="G50">
        <v>2250</v>
      </c>
      <c r="H50">
        <v>0</v>
      </c>
      <c r="I50">
        <v>0</v>
      </c>
      <c r="J50">
        <v>1.35</v>
      </c>
      <c r="K50">
        <v>13.5</v>
      </c>
      <c r="L50">
        <v>0</v>
      </c>
      <c r="M50">
        <v>0</v>
      </c>
      <c r="N50" s="48"/>
    </row>
    <row r="51" spans="1:14">
      <c r="D51" t="s">
        <v>96</v>
      </c>
      <c r="E51" t="s">
        <v>79</v>
      </c>
      <c r="F51" t="s">
        <v>77</v>
      </c>
      <c r="G51">
        <v>3612</v>
      </c>
      <c r="L51">
        <v>5.4180000000000001</v>
      </c>
      <c r="N51" s="48"/>
    </row>
    <row r="52" spans="1:14">
      <c r="E52" t="s">
        <v>26</v>
      </c>
      <c r="F52" t="s">
        <v>77</v>
      </c>
      <c r="G52">
        <v>3010</v>
      </c>
      <c r="I52">
        <v>0</v>
      </c>
      <c r="J52">
        <v>1.806</v>
      </c>
      <c r="K52">
        <v>18.060000000000002</v>
      </c>
      <c r="M52">
        <v>0</v>
      </c>
      <c r="N52" s="48"/>
    </row>
    <row r="53" spans="1:14">
      <c r="D53" t="s">
        <v>97</v>
      </c>
      <c r="E53" t="s">
        <v>79</v>
      </c>
      <c r="F53" t="s">
        <v>77</v>
      </c>
      <c r="G53">
        <v>749</v>
      </c>
      <c r="H53">
        <v>0</v>
      </c>
      <c r="I53">
        <v>0</v>
      </c>
      <c r="J53">
        <v>0</v>
      </c>
      <c r="K53">
        <v>0</v>
      </c>
      <c r="L53">
        <v>1.1234999999999999</v>
      </c>
      <c r="M53">
        <v>0</v>
      </c>
      <c r="N53" s="48"/>
    </row>
    <row r="54" spans="1:14">
      <c r="E54" t="s">
        <v>26</v>
      </c>
      <c r="F54" t="s">
        <v>77</v>
      </c>
      <c r="G54">
        <v>624</v>
      </c>
      <c r="I54">
        <v>0</v>
      </c>
      <c r="J54">
        <v>0.37439999999999996</v>
      </c>
      <c r="K54">
        <v>3.7439999999999998</v>
      </c>
      <c r="M54">
        <v>0</v>
      </c>
      <c r="N54" s="48"/>
    </row>
    <row r="55" spans="1:14">
      <c r="B55" t="s">
        <v>98</v>
      </c>
      <c r="G55">
        <v>40206.124575000002</v>
      </c>
      <c r="H55" s="46">
        <v>0</v>
      </c>
      <c r="I55" s="46">
        <v>0</v>
      </c>
      <c r="J55" s="46">
        <v>9.8076799312500018</v>
      </c>
      <c r="K55" s="46">
        <v>98.0767993125</v>
      </c>
      <c r="L55" s="46">
        <v>19.798500000000001</v>
      </c>
      <c r="M55">
        <v>0</v>
      </c>
      <c r="N55" s="48">
        <v>271200000</v>
      </c>
    </row>
    <row r="56" spans="1:14">
      <c r="B56" t="s">
        <v>14</v>
      </c>
      <c r="C56" t="s">
        <v>8</v>
      </c>
      <c r="D56" t="s">
        <v>99</v>
      </c>
      <c r="E56" t="s">
        <v>10</v>
      </c>
      <c r="F56" t="s">
        <v>77</v>
      </c>
      <c r="G56">
        <v>2880</v>
      </c>
      <c r="J56">
        <v>1.7280000000000002</v>
      </c>
      <c r="K56">
        <v>17.279999999999998</v>
      </c>
      <c r="N56" s="48"/>
    </row>
    <row r="57" spans="1:14">
      <c r="E57" t="s">
        <v>15</v>
      </c>
      <c r="F57" t="s">
        <v>77</v>
      </c>
      <c r="G57">
        <v>6080</v>
      </c>
      <c r="L57">
        <v>9.120000000000001</v>
      </c>
      <c r="N57" s="48"/>
    </row>
    <row r="58" spans="1:14">
      <c r="C58" t="s">
        <v>24</v>
      </c>
      <c r="D58" t="s">
        <v>99</v>
      </c>
      <c r="E58" t="s">
        <v>79</v>
      </c>
      <c r="F58" t="s">
        <v>77</v>
      </c>
      <c r="G58">
        <v>3401</v>
      </c>
      <c r="H58">
        <v>0</v>
      </c>
      <c r="I58">
        <v>0</v>
      </c>
      <c r="J58">
        <v>0</v>
      </c>
      <c r="K58">
        <v>0</v>
      </c>
      <c r="L58">
        <v>5.1015000000000006</v>
      </c>
      <c r="M58">
        <v>0</v>
      </c>
      <c r="N58" s="48"/>
    </row>
    <row r="59" spans="1:14">
      <c r="E59" t="s">
        <v>26</v>
      </c>
      <c r="F59" t="s">
        <v>77</v>
      </c>
      <c r="G59">
        <v>2833</v>
      </c>
      <c r="H59">
        <v>0</v>
      </c>
      <c r="I59">
        <v>0</v>
      </c>
      <c r="J59">
        <v>1.6998000000000002</v>
      </c>
      <c r="K59">
        <v>16.998000000000001</v>
      </c>
      <c r="L59">
        <v>0</v>
      </c>
      <c r="M59">
        <v>0</v>
      </c>
      <c r="N59" s="48"/>
    </row>
    <row r="60" spans="1:14">
      <c r="B60" t="s">
        <v>100</v>
      </c>
      <c r="G60">
        <v>15194</v>
      </c>
      <c r="H60" s="46">
        <v>0</v>
      </c>
      <c r="I60" s="46">
        <v>0</v>
      </c>
      <c r="J60" s="46">
        <v>3.4278000000000004</v>
      </c>
      <c r="K60" s="46">
        <v>34.277999999999999</v>
      </c>
      <c r="L60" s="46">
        <v>14.221500000000002</v>
      </c>
      <c r="M60">
        <v>0</v>
      </c>
      <c r="N60" s="48"/>
    </row>
    <row r="61" spans="1:14">
      <c r="A61" t="s">
        <v>22</v>
      </c>
      <c r="G61" s="48">
        <v>235588.12457499999</v>
      </c>
      <c r="H61">
        <v>423.87</v>
      </c>
      <c r="I61">
        <v>63.580500000000001</v>
      </c>
      <c r="J61">
        <v>72.566104931249967</v>
      </c>
      <c r="K61">
        <v>354.77479931249997</v>
      </c>
      <c r="L61">
        <v>95.530500000000032</v>
      </c>
      <c r="M61">
        <v>0</v>
      </c>
      <c r="N61" s="48">
        <v>1074282000</v>
      </c>
    </row>
    <row r="62" spans="1:14">
      <c r="A62" t="s">
        <v>19</v>
      </c>
      <c r="B62" t="s">
        <v>11</v>
      </c>
      <c r="C62" t="s">
        <v>74</v>
      </c>
      <c r="D62" t="s">
        <v>28</v>
      </c>
      <c r="E62" t="s">
        <v>75</v>
      </c>
      <c r="F62" t="s">
        <v>76</v>
      </c>
      <c r="G62">
        <v>11430</v>
      </c>
      <c r="N62" s="48">
        <v>274320000</v>
      </c>
    </row>
    <row r="63" spans="1:14">
      <c r="D63" t="s">
        <v>11</v>
      </c>
      <c r="E63" t="s">
        <v>75</v>
      </c>
      <c r="F63" t="s">
        <v>76</v>
      </c>
      <c r="G63">
        <v>18140</v>
      </c>
      <c r="N63" s="48">
        <v>435360000</v>
      </c>
    </row>
    <row r="64" spans="1:14">
      <c r="C64" t="s">
        <v>8</v>
      </c>
      <c r="D64" t="s">
        <v>28</v>
      </c>
      <c r="E64" t="s">
        <v>10</v>
      </c>
      <c r="F64" t="s">
        <v>76</v>
      </c>
      <c r="G64">
        <v>1005</v>
      </c>
      <c r="N64" s="48">
        <v>58545000</v>
      </c>
    </row>
    <row r="65" spans="2:14">
      <c r="E65" t="s">
        <v>10</v>
      </c>
      <c r="F65" t="s">
        <v>77</v>
      </c>
      <c r="G65">
        <v>6963</v>
      </c>
      <c r="J65">
        <v>4.1777999999999995</v>
      </c>
      <c r="K65">
        <v>41.777999999999992</v>
      </c>
      <c r="N65" s="48"/>
    </row>
    <row r="66" spans="2:14">
      <c r="E66" t="s">
        <v>15</v>
      </c>
      <c r="F66" t="s">
        <v>76</v>
      </c>
      <c r="G66">
        <v>1458</v>
      </c>
      <c r="N66" s="48">
        <v>30618000</v>
      </c>
    </row>
    <row r="67" spans="2:14">
      <c r="E67" t="s">
        <v>15</v>
      </c>
      <c r="F67" t="s">
        <v>77</v>
      </c>
      <c r="G67">
        <v>10097</v>
      </c>
      <c r="L67">
        <v>15.1455</v>
      </c>
      <c r="N67" s="48"/>
    </row>
    <row r="68" spans="2:14">
      <c r="D68" t="s">
        <v>11</v>
      </c>
      <c r="E68" t="s">
        <v>10</v>
      </c>
      <c r="F68" t="s">
        <v>77</v>
      </c>
      <c r="G68">
        <v>1524</v>
      </c>
      <c r="J68">
        <v>0.9144000000000001</v>
      </c>
      <c r="K68">
        <v>9.1440000000000001</v>
      </c>
      <c r="N68" s="48"/>
    </row>
    <row r="69" spans="2:14">
      <c r="E69" t="s">
        <v>15</v>
      </c>
      <c r="F69" t="s">
        <v>77</v>
      </c>
      <c r="G69">
        <v>2497</v>
      </c>
      <c r="L69">
        <v>3.7455000000000003</v>
      </c>
      <c r="N69" s="48"/>
    </row>
    <row r="70" spans="2:14">
      <c r="D70" t="s">
        <v>78</v>
      </c>
      <c r="E70" t="s">
        <v>10</v>
      </c>
      <c r="F70" t="s">
        <v>77</v>
      </c>
      <c r="G70">
        <v>2868</v>
      </c>
      <c r="J70">
        <v>1.7207999999999999</v>
      </c>
      <c r="K70">
        <v>17.207999999999998</v>
      </c>
      <c r="N70" s="48"/>
    </row>
    <row r="71" spans="2:14">
      <c r="E71" t="s">
        <v>15</v>
      </c>
      <c r="F71" t="s">
        <v>77</v>
      </c>
      <c r="G71">
        <v>4519</v>
      </c>
      <c r="L71">
        <v>6.7784999999999993</v>
      </c>
      <c r="N71" s="48"/>
    </row>
    <row r="72" spans="2:14">
      <c r="C72" t="s">
        <v>24</v>
      </c>
      <c r="D72" t="s">
        <v>28</v>
      </c>
      <c r="E72" t="s">
        <v>25</v>
      </c>
      <c r="F72" t="s">
        <v>77</v>
      </c>
      <c r="G72">
        <v>74783</v>
      </c>
      <c r="H72">
        <v>448.69799999999998</v>
      </c>
      <c r="I72">
        <v>67.304699999999997</v>
      </c>
      <c r="J72">
        <v>39.261074999999998</v>
      </c>
      <c r="K72">
        <v>0</v>
      </c>
      <c r="M72">
        <v>0</v>
      </c>
      <c r="N72" s="48"/>
    </row>
    <row r="73" spans="2:14">
      <c r="E73" t="s">
        <v>27</v>
      </c>
      <c r="F73" t="s">
        <v>77</v>
      </c>
      <c r="G73">
        <v>2049</v>
      </c>
      <c r="J73">
        <v>1.5367500000000001</v>
      </c>
      <c r="K73">
        <v>15.3675</v>
      </c>
      <c r="N73" s="48"/>
    </row>
    <row r="74" spans="2:14">
      <c r="D74" t="s">
        <v>11</v>
      </c>
      <c r="E74" t="s">
        <v>25</v>
      </c>
      <c r="F74" t="s">
        <v>76</v>
      </c>
      <c r="G74">
        <v>26403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48">
        <v>633672000</v>
      </c>
    </row>
    <row r="75" spans="2:14">
      <c r="E75" t="s">
        <v>25</v>
      </c>
      <c r="F75" t="s">
        <v>77</v>
      </c>
      <c r="G75">
        <v>89535</v>
      </c>
      <c r="H75">
        <v>537.21</v>
      </c>
      <c r="I75">
        <v>80.581499999999991</v>
      </c>
      <c r="J75">
        <v>47.005875000000003</v>
      </c>
      <c r="K75">
        <v>0</v>
      </c>
      <c r="M75">
        <v>0</v>
      </c>
      <c r="N75" s="48"/>
    </row>
    <row r="76" spans="2:14">
      <c r="D76" t="s">
        <v>78</v>
      </c>
      <c r="E76" t="s">
        <v>25</v>
      </c>
      <c r="F76" t="s">
        <v>77</v>
      </c>
      <c r="G76">
        <v>79745</v>
      </c>
      <c r="H76">
        <v>478.46999999999997</v>
      </c>
      <c r="I76">
        <v>71.770499999999998</v>
      </c>
      <c r="J76">
        <v>41.866124999999997</v>
      </c>
      <c r="K76">
        <v>0</v>
      </c>
      <c r="M76">
        <v>0</v>
      </c>
      <c r="N76" s="48"/>
    </row>
    <row r="77" spans="2:14">
      <c r="D77" t="s">
        <v>80</v>
      </c>
      <c r="E77" t="s">
        <v>25</v>
      </c>
      <c r="F77" t="s">
        <v>77</v>
      </c>
      <c r="G77">
        <v>12629</v>
      </c>
      <c r="H77">
        <v>75.774000000000001</v>
      </c>
      <c r="I77">
        <v>11.366099999999999</v>
      </c>
      <c r="J77">
        <v>6.6302250000000003</v>
      </c>
      <c r="K77">
        <v>0</v>
      </c>
      <c r="M77">
        <v>0</v>
      </c>
      <c r="N77" s="48"/>
    </row>
    <row r="78" spans="2:14">
      <c r="D78" t="s">
        <v>81</v>
      </c>
      <c r="E78" t="s">
        <v>27</v>
      </c>
      <c r="F78" t="s">
        <v>77</v>
      </c>
      <c r="G78">
        <v>2595</v>
      </c>
      <c r="J78">
        <v>1.94625</v>
      </c>
      <c r="K78">
        <v>19.462499999999999</v>
      </c>
      <c r="N78" s="48"/>
    </row>
    <row r="79" spans="2:14">
      <c r="D79" t="s">
        <v>82</v>
      </c>
      <c r="E79" t="s">
        <v>25</v>
      </c>
      <c r="F79" t="s">
        <v>77</v>
      </c>
      <c r="G79">
        <v>7275</v>
      </c>
      <c r="H79">
        <v>43.65</v>
      </c>
      <c r="I79">
        <v>6.5475000000000003</v>
      </c>
      <c r="J79">
        <v>3.819375</v>
      </c>
      <c r="K79">
        <v>0</v>
      </c>
      <c r="M79">
        <v>0</v>
      </c>
      <c r="N79" s="48"/>
    </row>
    <row r="80" spans="2:14">
      <c r="B80" t="s">
        <v>83</v>
      </c>
      <c r="G80">
        <v>355515</v>
      </c>
      <c r="H80" s="46">
        <v>1583.8020000000001</v>
      </c>
      <c r="I80" s="46">
        <v>237.57029999999997</v>
      </c>
      <c r="J80" s="46">
        <v>148.87867499999999</v>
      </c>
      <c r="K80" s="46">
        <v>102.96000000000001</v>
      </c>
      <c r="L80" s="46">
        <v>25.669499999999999</v>
      </c>
      <c r="M80">
        <v>0</v>
      </c>
      <c r="N80" s="48">
        <v>1432515000</v>
      </c>
    </row>
    <row r="81" spans="2:14">
      <c r="B81" t="s">
        <v>12</v>
      </c>
      <c r="C81" t="s">
        <v>8</v>
      </c>
      <c r="D81" t="s">
        <v>84</v>
      </c>
      <c r="E81" t="s">
        <v>10</v>
      </c>
      <c r="F81" t="s">
        <v>77</v>
      </c>
      <c r="J81">
        <v>0</v>
      </c>
      <c r="K81">
        <v>0</v>
      </c>
      <c r="N81" s="48"/>
    </row>
    <row r="82" spans="2:14">
      <c r="E82" t="s">
        <v>15</v>
      </c>
      <c r="F82" t="s">
        <v>77</v>
      </c>
      <c r="G82">
        <v>0</v>
      </c>
      <c r="L82">
        <v>0</v>
      </c>
      <c r="N82" s="48"/>
    </row>
    <row r="83" spans="2:14">
      <c r="C83" t="s">
        <v>24</v>
      </c>
      <c r="D83" t="s">
        <v>84</v>
      </c>
      <c r="E83" t="s">
        <v>25</v>
      </c>
      <c r="F83" t="s">
        <v>77</v>
      </c>
      <c r="G83">
        <v>119380</v>
      </c>
      <c r="H83">
        <v>716.28</v>
      </c>
      <c r="I83">
        <v>107.44200000000001</v>
      </c>
      <c r="J83">
        <v>62.674499999999995</v>
      </c>
      <c r="K83">
        <v>0</v>
      </c>
      <c r="M83">
        <v>0</v>
      </c>
      <c r="N83" s="48"/>
    </row>
    <row r="84" spans="2:14">
      <c r="B84" t="s">
        <v>86</v>
      </c>
      <c r="G84">
        <v>119380</v>
      </c>
      <c r="H84" s="46">
        <v>716.28</v>
      </c>
      <c r="I84" s="46">
        <v>107.44200000000001</v>
      </c>
      <c r="J84" s="46">
        <v>62.674499999999995</v>
      </c>
      <c r="K84" s="46">
        <v>0</v>
      </c>
      <c r="L84" s="46">
        <v>0</v>
      </c>
      <c r="M84">
        <v>0</v>
      </c>
      <c r="N84" s="48"/>
    </row>
    <row r="85" spans="2:14">
      <c r="B85" t="s">
        <v>13</v>
      </c>
      <c r="C85" t="s">
        <v>74</v>
      </c>
      <c r="D85" t="s">
        <v>11</v>
      </c>
      <c r="E85" t="s">
        <v>75</v>
      </c>
      <c r="F85" t="s">
        <v>76</v>
      </c>
      <c r="G85">
        <v>1600</v>
      </c>
      <c r="N85" s="48">
        <v>38400000</v>
      </c>
    </row>
    <row r="86" spans="2:14">
      <c r="D86" t="s">
        <v>13</v>
      </c>
      <c r="E86" t="s">
        <v>75</v>
      </c>
      <c r="F86" t="s">
        <v>76</v>
      </c>
      <c r="G86">
        <v>9700</v>
      </c>
      <c r="N86" s="48">
        <v>232800000</v>
      </c>
    </row>
    <row r="87" spans="2:14">
      <c r="C87" t="s">
        <v>8</v>
      </c>
      <c r="D87" t="s">
        <v>13</v>
      </c>
      <c r="E87" t="s">
        <v>10</v>
      </c>
      <c r="F87" t="s">
        <v>77</v>
      </c>
      <c r="G87">
        <v>1920</v>
      </c>
      <c r="J87">
        <v>1.1519999999999997</v>
      </c>
      <c r="K87">
        <v>11.520000000000001</v>
      </c>
      <c r="N87" s="48"/>
    </row>
    <row r="88" spans="2:14">
      <c r="E88" t="s">
        <v>15</v>
      </c>
      <c r="F88" t="s">
        <v>77</v>
      </c>
      <c r="G88">
        <v>1624</v>
      </c>
      <c r="L88">
        <v>2.4359999999999999</v>
      </c>
      <c r="N88" s="48"/>
    </row>
    <row r="89" spans="2:14">
      <c r="D89" t="s">
        <v>92</v>
      </c>
      <c r="E89" t="s">
        <v>10</v>
      </c>
      <c r="F89" t="s">
        <v>77</v>
      </c>
      <c r="G89">
        <v>3834.09</v>
      </c>
      <c r="J89">
        <v>2.3004539999999998</v>
      </c>
      <c r="K89">
        <v>23.004539999999999</v>
      </c>
      <c r="N89" s="48"/>
    </row>
    <row r="90" spans="2:14">
      <c r="E90" t="s">
        <v>15</v>
      </c>
      <c r="F90" t="s">
        <v>77</v>
      </c>
      <c r="G90">
        <v>2699</v>
      </c>
      <c r="L90">
        <v>4.0484999999999998</v>
      </c>
      <c r="N90" s="48"/>
    </row>
    <row r="91" spans="2:14">
      <c r="C91" t="s">
        <v>24</v>
      </c>
      <c r="D91" t="s">
        <v>93</v>
      </c>
      <c r="E91" t="s">
        <v>25</v>
      </c>
      <c r="F91" t="s">
        <v>76</v>
      </c>
      <c r="G91">
        <v>10257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48">
        <v>246168000</v>
      </c>
    </row>
    <row r="92" spans="2:14">
      <c r="E92" t="s">
        <v>25</v>
      </c>
      <c r="F92" t="s">
        <v>77</v>
      </c>
      <c r="G92">
        <v>5174</v>
      </c>
      <c r="H92">
        <v>31.044</v>
      </c>
      <c r="I92">
        <v>4.6566000000000001</v>
      </c>
      <c r="J92">
        <v>2.7163499999999998</v>
      </c>
      <c r="K92">
        <v>0</v>
      </c>
      <c r="M92">
        <v>0</v>
      </c>
      <c r="N92" s="48"/>
    </row>
    <row r="93" spans="2:14">
      <c r="D93" t="s">
        <v>101</v>
      </c>
      <c r="E93" t="s">
        <v>102</v>
      </c>
      <c r="F93" t="s">
        <v>76</v>
      </c>
      <c r="G93">
        <v>22487</v>
      </c>
      <c r="N93" s="48">
        <v>896280000</v>
      </c>
    </row>
    <row r="94" spans="2:14">
      <c r="E94" t="s">
        <v>103</v>
      </c>
      <c r="F94" t="s">
        <v>77</v>
      </c>
      <c r="G94">
        <v>1349</v>
      </c>
      <c r="H94">
        <v>0</v>
      </c>
      <c r="I94">
        <v>0</v>
      </c>
      <c r="J94">
        <v>0</v>
      </c>
      <c r="K94">
        <v>0</v>
      </c>
      <c r="L94">
        <v>2.0234999999999999</v>
      </c>
      <c r="M94">
        <v>0</v>
      </c>
      <c r="N94" s="48">
        <v>0</v>
      </c>
    </row>
    <row r="95" spans="2:14">
      <c r="E95" t="s">
        <v>104</v>
      </c>
      <c r="F95" t="s">
        <v>77</v>
      </c>
      <c r="G95">
        <v>1125</v>
      </c>
      <c r="I95">
        <v>0</v>
      </c>
      <c r="J95">
        <v>0.67500000000000004</v>
      </c>
      <c r="K95">
        <v>6.75</v>
      </c>
      <c r="M95">
        <v>0</v>
      </c>
      <c r="N95" s="48"/>
    </row>
    <row r="96" spans="2:14">
      <c r="D96" t="s">
        <v>13</v>
      </c>
      <c r="E96" t="s">
        <v>27</v>
      </c>
      <c r="F96" t="s">
        <v>77</v>
      </c>
      <c r="G96">
        <v>2556.0345750000006</v>
      </c>
      <c r="J96">
        <v>1.9170259312500004</v>
      </c>
      <c r="K96">
        <v>19.170259312500001</v>
      </c>
      <c r="N96" s="48"/>
    </row>
    <row r="97" spans="4:14">
      <c r="D97" t="s">
        <v>92</v>
      </c>
      <c r="E97" t="s">
        <v>102</v>
      </c>
      <c r="F97" t="s">
        <v>76</v>
      </c>
      <c r="G97">
        <v>45789</v>
      </c>
      <c r="N97" s="48">
        <v>1098960000</v>
      </c>
    </row>
    <row r="98" spans="4:14">
      <c r="E98" t="s">
        <v>102</v>
      </c>
      <c r="F98" t="s">
        <v>77</v>
      </c>
      <c r="G98">
        <v>5470</v>
      </c>
      <c r="H98">
        <v>32.82</v>
      </c>
      <c r="I98">
        <v>4.923</v>
      </c>
      <c r="J98">
        <v>2.87175</v>
      </c>
      <c r="N98" s="48"/>
    </row>
    <row r="99" spans="4:14">
      <c r="E99" t="s">
        <v>103</v>
      </c>
      <c r="F99" t="s">
        <v>77</v>
      </c>
      <c r="G99">
        <v>3068</v>
      </c>
      <c r="H99">
        <v>0</v>
      </c>
      <c r="I99">
        <v>0</v>
      </c>
      <c r="J99">
        <v>0</v>
      </c>
      <c r="K99">
        <v>0</v>
      </c>
      <c r="L99">
        <v>4.6020000000000003</v>
      </c>
      <c r="M99">
        <v>0</v>
      </c>
      <c r="N99" s="48">
        <v>0</v>
      </c>
    </row>
    <row r="100" spans="4:14">
      <c r="E100" t="s">
        <v>104</v>
      </c>
      <c r="F100" t="s">
        <v>77</v>
      </c>
      <c r="G100">
        <v>2563</v>
      </c>
      <c r="I100">
        <v>0</v>
      </c>
      <c r="J100">
        <v>1.5377999999999998</v>
      </c>
      <c r="K100">
        <v>15.378</v>
      </c>
      <c r="M100">
        <v>0</v>
      </c>
      <c r="N100" s="48"/>
    </row>
    <row r="101" spans="4:14">
      <c r="D101" t="s">
        <v>94</v>
      </c>
      <c r="E101" t="s">
        <v>25</v>
      </c>
      <c r="F101" t="s">
        <v>76</v>
      </c>
      <c r="G101">
        <v>14809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48">
        <v>355416000</v>
      </c>
    </row>
    <row r="102" spans="4:14">
      <c r="D102" t="s">
        <v>95</v>
      </c>
      <c r="E102" t="s">
        <v>25</v>
      </c>
      <c r="F102" t="s">
        <v>76</v>
      </c>
      <c r="G102">
        <v>45012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48">
        <v>1080288000</v>
      </c>
    </row>
    <row r="103" spans="4:14">
      <c r="D103" t="s">
        <v>96</v>
      </c>
      <c r="E103" t="s">
        <v>25</v>
      </c>
      <c r="F103" t="s">
        <v>77</v>
      </c>
      <c r="G103">
        <v>60214</v>
      </c>
      <c r="H103">
        <v>361.28399999999999</v>
      </c>
      <c r="I103">
        <v>54.192599999999999</v>
      </c>
      <c r="J103">
        <v>31.612350000000003</v>
      </c>
      <c r="K103">
        <v>0</v>
      </c>
      <c r="M103">
        <v>0</v>
      </c>
      <c r="N103" s="48"/>
    </row>
    <row r="104" spans="4:14">
      <c r="E104" t="s">
        <v>102</v>
      </c>
      <c r="F104" t="s">
        <v>76</v>
      </c>
      <c r="G104">
        <v>29904</v>
      </c>
      <c r="N104" s="48">
        <v>717720000</v>
      </c>
    </row>
    <row r="105" spans="4:14">
      <c r="E105" t="s">
        <v>102</v>
      </c>
      <c r="F105" t="s">
        <v>77</v>
      </c>
      <c r="G105">
        <v>55750</v>
      </c>
      <c r="H105">
        <v>334.5</v>
      </c>
      <c r="I105">
        <v>50.174999999999997</v>
      </c>
      <c r="J105">
        <v>29.268750000000001</v>
      </c>
      <c r="N105" s="48"/>
    </row>
    <row r="106" spans="4:14">
      <c r="D106" t="s">
        <v>97</v>
      </c>
      <c r="E106" t="s">
        <v>25</v>
      </c>
      <c r="F106" t="s">
        <v>77</v>
      </c>
      <c r="G106">
        <v>12483</v>
      </c>
      <c r="H106">
        <v>74.897999999999996</v>
      </c>
      <c r="I106">
        <v>11.2347</v>
      </c>
      <c r="J106">
        <v>6.5535750000000004</v>
      </c>
      <c r="K106">
        <v>0</v>
      </c>
      <c r="M106">
        <v>0</v>
      </c>
      <c r="N106" s="48"/>
    </row>
    <row r="107" spans="4:14">
      <c r="E107" t="s">
        <v>102</v>
      </c>
      <c r="F107" t="s">
        <v>77</v>
      </c>
      <c r="G107">
        <v>6495</v>
      </c>
      <c r="H107">
        <v>38.97</v>
      </c>
      <c r="I107">
        <v>5.8455000000000004</v>
      </c>
      <c r="J107">
        <v>3.409875</v>
      </c>
      <c r="N107" s="48"/>
    </row>
    <row r="108" spans="4:14">
      <c r="D108" t="s">
        <v>105</v>
      </c>
      <c r="E108" t="s">
        <v>102</v>
      </c>
      <c r="F108" t="s">
        <v>77</v>
      </c>
      <c r="G108">
        <v>68013</v>
      </c>
      <c r="H108">
        <v>408.09000000000003</v>
      </c>
      <c r="I108">
        <v>61.21350000000001</v>
      </c>
      <c r="J108">
        <v>35.707875000000001</v>
      </c>
      <c r="N108" s="48"/>
    </row>
    <row r="109" spans="4:14">
      <c r="E109" t="s">
        <v>103</v>
      </c>
      <c r="F109" t="s">
        <v>77</v>
      </c>
      <c r="G109">
        <v>4080</v>
      </c>
      <c r="H109">
        <v>0</v>
      </c>
      <c r="I109">
        <v>0</v>
      </c>
      <c r="J109">
        <v>0</v>
      </c>
      <c r="K109">
        <v>0</v>
      </c>
      <c r="L109">
        <v>6.1199999999999992</v>
      </c>
      <c r="M109">
        <v>0</v>
      </c>
      <c r="N109" s="48">
        <v>0</v>
      </c>
    </row>
    <row r="110" spans="4:14">
      <c r="E110" t="s">
        <v>104</v>
      </c>
      <c r="F110" t="s">
        <v>77</v>
      </c>
      <c r="G110">
        <v>3401</v>
      </c>
      <c r="I110">
        <v>0</v>
      </c>
      <c r="J110">
        <v>2.0406</v>
      </c>
      <c r="K110">
        <v>20.405999999999999</v>
      </c>
      <c r="M110">
        <v>0</v>
      </c>
      <c r="N110" s="48"/>
    </row>
    <row r="111" spans="4:14">
      <c r="D111" t="s">
        <v>106</v>
      </c>
      <c r="E111" t="s">
        <v>102</v>
      </c>
      <c r="F111" t="s">
        <v>77</v>
      </c>
      <c r="G111">
        <v>15487</v>
      </c>
      <c r="H111">
        <v>92.91</v>
      </c>
      <c r="I111">
        <v>13.936499999999999</v>
      </c>
      <c r="J111">
        <v>8.129624999999999</v>
      </c>
      <c r="N111" s="48"/>
    </row>
    <row r="112" spans="4:14">
      <c r="E112" t="s">
        <v>103</v>
      </c>
      <c r="F112" t="s">
        <v>77</v>
      </c>
      <c r="G112">
        <v>930</v>
      </c>
      <c r="H112">
        <v>0</v>
      </c>
      <c r="I112">
        <v>0</v>
      </c>
      <c r="J112">
        <v>0</v>
      </c>
      <c r="K112">
        <v>0</v>
      </c>
      <c r="L112">
        <v>1.395</v>
      </c>
      <c r="M112">
        <v>0</v>
      </c>
      <c r="N112" s="48">
        <v>0</v>
      </c>
    </row>
    <row r="113" spans="1:14">
      <c r="E113" t="s">
        <v>104</v>
      </c>
      <c r="F113" t="s">
        <v>77</v>
      </c>
      <c r="G113">
        <v>775</v>
      </c>
      <c r="I113">
        <v>0</v>
      </c>
      <c r="J113">
        <v>0.46500000000000002</v>
      </c>
      <c r="K113">
        <v>4.6499999999999995</v>
      </c>
      <c r="M113">
        <v>0</v>
      </c>
      <c r="N113" s="48"/>
    </row>
    <row r="114" spans="1:14">
      <c r="D114" t="s">
        <v>107</v>
      </c>
      <c r="E114" t="s">
        <v>103</v>
      </c>
      <c r="F114" t="s">
        <v>77</v>
      </c>
      <c r="G114">
        <v>5139</v>
      </c>
      <c r="I114">
        <v>0</v>
      </c>
      <c r="L114">
        <v>7.7084999999999999</v>
      </c>
      <c r="N114" s="48"/>
    </row>
    <row r="115" spans="1:14">
      <c r="E115" t="s">
        <v>104</v>
      </c>
      <c r="F115" t="s">
        <v>77</v>
      </c>
      <c r="G115">
        <v>4282</v>
      </c>
      <c r="I115">
        <v>0</v>
      </c>
      <c r="J115">
        <v>2.5692000000000004</v>
      </c>
      <c r="K115">
        <v>25.692</v>
      </c>
      <c r="M115">
        <v>0</v>
      </c>
      <c r="N115" s="48"/>
    </row>
    <row r="116" spans="1:14">
      <c r="D116" t="s">
        <v>108</v>
      </c>
      <c r="E116" t="s">
        <v>103</v>
      </c>
      <c r="F116" t="s">
        <v>77</v>
      </c>
      <c r="G116">
        <v>390</v>
      </c>
      <c r="I116">
        <v>0</v>
      </c>
      <c r="L116">
        <v>0.58499999999999996</v>
      </c>
      <c r="N116" s="48"/>
    </row>
    <row r="117" spans="1:14">
      <c r="E117" t="s">
        <v>104</v>
      </c>
      <c r="F117" t="s">
        <v>77</v>
      </c>
      <c r="G117">
        <v>325</v>
      </c>
      <c r="I117">
        <v>0</v>
      </c>
      <c r="J117">
        <v>0.19500000000000001</v>
      </c>
      <c r="K117">
        <v>1.95</v>
      </c>
      <c r="M117">
        <v>0</v>
      </c>
      <c r="N117" s="48"/>
    </row>
    <row r="118" spans="1:14">
      <c r="B118" t="s">
        <v>98</v>
      </c>
      <c r="G118">
        <v>448704.12457500002</v>
      </c>
      <c r="H118" s="46">
        <v>1374.5160000000003</v>
      </c>
      <c r="I118" s="46">
        <v>206.17740000000001</v>
      </c>
      <c r="J118" s="46">
        <v>133.12222993124999</v>
      </c>
      <c r="K118" s="46">
        <v>128.5207993125</v>
      </c>
      <c r="L118" s="46">
        <v>28.918499999999998</v>
      </c>
      <c r="M118">
        <v>0</v>
      </c>
      <c r="N118" s="48">
        <v>4666032000</v>
      </c>
    </row>
    <row r="119" spans="1:14">
      <c r="B119" t="s">
        <v>14</v>
      </c>
      <c r="C119" t="s">
        <v>8</v>
      </c>
      <c r="D119" t="s">
        <v>99</v>
      </c>
      <c r="E119" t="s">
        <v>10</v>
      </c>
      <c r="F119" t="s">
        <v>77</v>
      </c>
      <c r="G119">
        <v>2880</v>
      </c>
      <c r="J119">
        <v>1.7280000000000002</v>
      </c>
      <c r="K119">
        <v>17.279999999999998</v>
      </c>
      <c r="N119" s="48"/>
    </row>
    <row r="120" spans="1:14">
      <c r="E120" t="s">
        <v>15</v>
      </c>
      <c r="F120" t="s">
        <v>77</v>
      </c>
      <c r="G120">
        <v>6080</v>
      </c>
      <c r="L120">
        <v>9.120000000000001</v>
      </c>
      <c r="N120" s="48"/>
    </row>
    <row r="121" spans="1:14">
      <c r="C121" t="s">
        <v>24</v>
      </c>
      <c r="D121" t="s">
        <v>99</v>
      </c>
      <c r="E121" t="s">
        <v>25</v>
      </c>
      <c r="F121" t="s">
        <v>76</v>
      </c>
      <c r="G121">
        <v>20293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48">
        <v>487032000</v>
      </c>
    </row>
    <row r="122" spans="1:14">
      <c r="E122" t="s">
        <v>25</v>
      </c>
      <c r="F122" t="s">
        <v>77</v>
      </c>
      <c r="G122">
        <v>36382</v>
      </c>
      <c r="H122">
        <v>218.292</v>
      </c>
      <c r="I122">
        <v>32.7438</v>
      </c>
      <c r="J122">
        <v>19.100549999999998</v>
      </c>
      <c r="K122">
        <v>0</v>
      </c>
      <c r="M122">
        <v>0</v>
      </c>
      <c r="N122" s="48"/>
    </row>
    <row r="123" spans="1:14">
      <c r="B123" t="s">
        <v>100</v>
      </c>
      <c r="G123">
        <v>65635</v>
      </c>
      <c r="H123" s="46">
        <v>218.292</v>
      </c>
      <c r="I123" s="46">
        <v>32.7438</v>
      </c>
      <c r="J123" s="46">
        <v>20.82855</v>
      </c>
      <c r="K123" s="46">
        <v>17.279999999999998</v>
      </c>
      <c r="L123" s="46">
        <v>9.120000000000001</v>
      </c>
      <c r="M123">
        <v>0</v>
      </c>
      <c r="N123" s="48">
        <v>487032000</v>
      </c>
    </row>
    <row r="124" spans="1:14">
      <c r="A124" t="s">
        <v>20</v>
      </c>
      <c r="G124" s="48">
        <v>989234.12457500014</v>
      </c>
      <c r="H124">
        <v>3892.8900000000003</v>
      </c>
      <c r="I124">
        <v>583.93349999999998</v>
      </c>
      <c r="J124">
        <v>365.50395493125001</v>
      </c>
      <c r="K124">
        <v>248.76079931250001</v>
      </c>
      <c r="L124">
        <v>63.707999999999998</v>
      </c>
      <c r="M124">
        <v>0</v>
      </c>
      <c r="N124" s="48">
        <v>6585579000</v>
      </c>
    </row>
    <row r="125" spans="1:14">
      <c r="A125" t="s">
        <v>17</v>
      </c>
      <c r="B125" t="s">
        <v>11</v>
      </c>
      <c r="C125" t="s">
        <v>74</v>
      </c>
      <c r="D125" t="s">
        <v>28</v>
      </c>
      <c r="E125" t="s">
        <v>75</v>
      </c>
      <c r="F125" t="s">
        <v>76</v>
      </c>
      <c r="G125">
        <v>11430</v>
      </c>
      <c r="N125" s="48">
        <v>274320000</v>
      </c>
    </row>
    <row r="126" spans="1:14">
      <c r="D126" t="s">
        <v>11</v>
      </c>
      <c r="E126" t="s">
        <v>75</v>
      </c>
      <c r="F126" t="s">
        <v>76</v>
      </c>
      <c r="G126">
        <v>18140</v>
      </c>
      <c r="N126" s="48">
        <v>435360000</v>
      </c>
    </row>
    <row r="127" spans="1:14">
      <c r="C127" t="s">
        <v>8</v>
      </c>
      <c r="D127" t="s">
        <v>28</v>
      </c>
      <c r="E127" t="s">
        <v>10</v>
      </c>
      <c r="F127" t="s">
        <v>76</v>
      </c>
      <c r="G127">
        <v>670</v>
      </c>
      <c r="N127" s="48">
        <v>39030000</v>
      </c>
    </row>
    <row r="128" spans="1:14">
      <c r="E128" t="s">
        <v>10</v>
      </c>
      <c r="F128" t="s">
        <v>77</v>
      </c>
      <c r="G128">
        <v>6963</v>
      </c>
      <c r="J128">
        <v>4.1777999999999995</v>
      </c>
      <c r="K128">
        <v>41.777999999999992</v>
      </c>
      <c r="N128" s="48"/>
    </row>
    <row r="129" spans="3:14">
      <c r="E129" t="s">
        <v>15</v>
      </c>
      <c r="F129" t="s">
        <v>76</v>
      </c>
      <c r="G129">
        <v>972</v>
      </c>
      <c r="N129" s="48">
        <v>20412000</v>
      </c>
    </row>
    <row r="130" spans="3:14">
      <c r="E130" t="s">
        <v>15</v>
      </c>
      <c r="F130" t="s">
        <v>77</v>
      </c>
      <c r="G130">
        <v>10097</v>
      </c>
      <c r="L130">
        <v>15.1455</v>
      </c>
      <c r="N130" s="48"/>
    </row>
    <row r="131" spans="3:14">
      <c r="D131" t="s">
        <v>11</v>
      </c>
      <c r="E131" t="s">
        <v>10</v>
      </c>
      <c r="F131" t="s">
        <v>77</v>
      </c>
      <c r="G131">
        <v>1524</v>
      </c>
      <c r="J131">
        <v>0.9144000000000001</v>
      </c>
      <c r="K131">
        <v>9.1440000000000001</v>
      </c>
      <c r="N131" s="48"/>
    </row>
    <row r="132" spans="3:14">
      <c r="E132" t="s">
        <v>15</v>
      </c>
      <c r="F132" t="s">
        <v>77</v>
      </c>
      <c r="G132">
        <v>2497</v>
      </c>
      <c r="L132">
        <v>3.7455000000000003</v>
      </c>
      <c r="N132" s="48"/>
    </row>
    <row r="133" spans="3:14">
      <c r="D133" t="s">
        <v>78</v>
      </c>
      <c r="E133" t="s">
        <v>10</v>
      </c>
      <c r="F133" t="s">
        <v>77</v>
      </c>
      <c r="G133">
        <v>2868</v>
      </c>
      <c r="J133">
        <v>1.7207999999999999</v>
      </c>
      <c r="K133">
        <v>17.207999999999998</v>
      </c>
      <c r="N133" s="48"/>
    </row>
    <row r="134" spans="3:14">
      <c r="E134" t="s">
        <v>15</v>
      </c>
      <c r="F134" t="s">
        <v>77</v>
      </c>
      <c r="G134">
        <v>4519</v>
      </c>
      <c r="L134">
        <v>6.7784999999999993</v>
      </c>
      <c r="N134" s="48"/>
    </row>
    <row r="135" spans="3:14">
      <c r="C135" t="s">
        <v>109</v>
      </c>
      <c r="D135" t="s">
        <v>110</v>
      </c>
      <c r="E135" t="s">
        <v>111</v>
      </c>
      <c r="F135" t="s">
        <v>112</v>
      </c>
      <c r="G135">
        <v>32377</v>
      </c>
      <c r="H135">
        <v>228</v>
      </c>
      <c r="I135">
        <v>12.8</v>
      </c>
      <c r="J135">
        <v>16.326000000000001</v>
      </c>
      <c r="N135" s="48">
        <v>715143176</v>
      </c>
    </row>
    <row r="136" spans="3:14">
      <c r="D136" t="s">
        <v>11</v>
      </c>
      <c r="E136" t="s">
        <v>111</v>
      </c>
      <c r="F136" t="s">
        <v>112</v>
      </c>
      <c r="G136">
        <v>29344</v>
      </c>
      <c r="H136">
        <v>203.09999999999997</v>
      </c>
      <c r="I136">
        <v>11.749999999999998</v>
      </c>
      <c r="J136">
        <v>14.548500000000002</v>
      </c>
      <c r="N136" s="48">
        <v>648150272</v>
      </c>
    </row>
    <row r="137" spans="3:14">
      <c r="E137" t="s">
        <v>111</v>
      </c>
      <c r="F137" t="s">
        <v>77</v>
      </c>
      <c r="G137">
        <v>40235</v>
      </c>
      <c r="H137">
        <v>279.45</v>
      </c>
      <c r="I137">
        <v>58.650000000000013</v>
      </c>
      <c r="J137">
        <v>19.979999999999997</v>
      </c>
      <c r="N137" s="48">
        <v>0</v>
      </c>
    </row>
    <row r="138" spans="3:14">
      <c r="D138" t="s">
        <v>78</v>
      </c>
      <c r="E138" t="s">
        <v>111</v>
      </c>
      <c r="F138" t="s">
        <v>112</v>
      </c>
      <c r="G138">
        <v>15421</v>
      </c>
      <c r="H138">
        <v>78.550000000000011</v>
      </c>
      <c r="I138">
        <v>4.0999999999999979</v>
      </c>
      <c r="J138">
        <v>5.323500000000001</v>
      </c>
      <c r="N138" s="48">
        <v>340619048</v>
      </c>
    </row>
    <row r="139" spans="3:14">
      <c r="E139" t="s">
        <v>111</v>
      </c>
      <c r="F139" t="s">
        <v>77</v>
      </c>
      <c r="G139">
        <v>17759</v>
      </c>
      <c r="H139">
        <v>75.95</v>
      </c>
      <c r="I139">
        <v>18.299999999999997</v>
      </c>
      <c r="J139">
        <v>5.5935000000000015</v>
      </c>
      <c r="N139" s="48">
        <v>0</v>
      </c>
    </row>
    <row r="140" spans="3:14">
      <c r="D140" t="s">
        <v>80</v>
      </c>
      <c r="E140" t="s">
        <v>111</v>
      </c>
      <c r="F140" t="s">
        <v>112</v>
      </c>
      <c r="G140">
        <v>15829</v>
      </c>
      <c r="H140">
        <v>116.8</v>
      </c>
      <c r="I140">
        <v>6.3499999999999952</v>
      </c>
      <c r="J140">
        <v>8.343</v>
      </c>
      <c r="N140" s="48">
        <v>349630952</v>
      </c>
    </row>
    <row r="141" spans="3:14">
      <c r="E141" t="s">
        <v>111</v>
      </c>
      <c r="F141" t="s">
        <v>77</v>
      </c>
      <c r="G141">
        <v>12467</v>
      </c>
      <c r="H141">
        <v>73.950000000000017</v>
      </c>
      <c r="I141">
        <v>16.399999999999999</v>
      </c>
      <c r="J141">
        <v>5.3280000000000012</v>
      </c>
      <c r="N141" s="48">
        <v>0</v>
      </c>
    </row>
    <row r="142" spans="3:14">
      <c r="D142" t="s">
        <v>81</v>
      </c>
      <c r="E142" t="s">
        <v>111</v>
      </c>
      <c r="F142" t="s">
        <v>112</v>
      </c>
      <c r="G142">
        <v>1076</v>
      </c>
      <c r="H142">
        <v>3.7</v>
      </c>
      <c r="I142">
        <v>0.05</v>
      </c>
      <c r="J142">
        <v>0.26100000000000001</v>
      </c>
      <c r="N142" s="48">
        <v>23766688</v>
      </c>
    </row>
    <row r="143" spans="3:14">
      <c r="D143" t="s">
        <v>113</v>
      </c>
      <c r="E143" t="s">
        <v>111</v>
      </c>
      <c r="F143" t="s">
        <v>112</v>
      </c>
      <c r="G143">
        <v>28555</v>
      </c>
      <c r="H143">
        <v>175.25000000000006</v>
      </c>
      <c r="I143">
        <v>11.549999999999992</v>
      </c>
      <c r="J143">
        <v>12.582000000000004</v>
      </c>
      <c r="N143" s="48">
        <v>630722840</v>
      </c>
    </row>
    <row r="144" spans="3:14">
      <c r="D144" t="s">
        <v>114</v>
      </c>
      <c r="E144" t="s">
        <v>111</v>
      </c>
      <c r="F144" t="s">
        <v>112</v>
      </c>
      <c r="G144">
        <v>4320</v>
      </c>
      <c r="H144">
        <v>27.750000000000004</v>
      </c>
      <c r="I144">
        <v>1.45</v>
      </c>
      <c r="J144">
        <v>1.9845000000000002</v>
      </c>
      <c r="N144" s="48">
        <v>95420160</v>
      </c>
    </row>
    <row r="145" spans="3:14">
      <c r="E145" t="s">
        <v>111</v>
      </c>
      <c r="F145" t="s">
        <v>77</v>
      </c>
      <c r="G145">
        <v>25539</v>
      </c>
      <c r="H145">
        <v>163.20000000000002</v>
      </c>
      <c r="I145">
        <v>35.800000000000011</v>
      </c>
      <c r="J145">
        <v>11.682000000000011</v>
      </c>
      <c r="N145" s="48">
        <v>0</v>
      </c>
    </row>
    <row r="146" spans="3:14">
      <c r="C146" t="s">
        <v>24</v>
      </c>
      <c r="D146" t="s">
        <v>28</v>
      </c>
      <c r="E146" t="s">
        <v>25</v>
      </c>
      <c r="F146" t="s">
        <v>77</v>
      </c>
      <c r="G146">
        <v>74783</v>
      </c>
      <c r="H146">
        <v>897.39599999999996</v>
      </c>
      <c r="I146">
        <v>134.60939999999999</v>
      </c>
      <c r="J146">
        <v>78.522149999999996</v>
      </c>
      <c r="K146">
        <v>0</v>
      </c>
      <c r="M146">
        <v>0</v>
      </c>
      <c r="N146" s="48"/>
    </row>
    <row r="147" spans="3:14">
      <c r="E147" t="s">
        <v>79</v>
      </c>
      <c r="F147" t="s">
        <v>77</v>
      </c>
      <c r="G147">
        <v>4489</v>
      </c>
      <c r="H147">
        <v>0</v>
      </c>
      <c r="I147">
        <v>0</v>
      </c>
      <c r="J147">
        <v>0</v>
      </c>
      <c r="K147">
        <v>0</v>
      </c>
      <c r="L147">
        <v>20.200500000000002</v>
      </c>
      <c r="M147">
        <v>0</v>
      </c>
      <c r="N147" s="48"/>
    </row>
    <row r="148" spans="3:14">
      <c r="E148" t="s">
        <v>26</v>
      </c>
      <c r="F148" t="s">
        <v>77</v>
      </c>
      <c r="G148">
        <v>3739</v>
      </c>
      <c r="I148">
        <v>0</v>
      </c>
      <c r="J148">
        <v>6.7302</v>
      </c>
      <c r="K148">
        <v>67.301999999999992</v>
      </c>
      <c r="M148">
        <v>0</v>
      </c>
      <c r="N148" s="48"/>
    </row>
    <row r="149" spans="3:14">
      <c r="E149" t="s">
        <v>115</v>
      </c>
      <c r="F149" t="s">
        <v>77</v>
      </c>
      <c r="G149">
        <v>1436</v>
      </c>
      <c r="M149">
        <v>8.6159999999999997</v>
      </c>
      <c r="N149" s="48"/>
    </row>
    <row r="150" spans="3:14">
      <c r="D150" t="s">
        <v>11</v>
      </c>
      <c r="E150" t="s">
        <v>25</v>
      </c>
      <c r="F150" t="s">
        <v>76</v>
      </c>
      <c r="G150">
        <v>60231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48">
        <v>2891088000</v>
      </c>
    </row>
    <row r="151" spans="3:14">
      <c r="E151" t="s">
        <v>25</v>
      </c>
      <c r="F151" t="s">
        <v>77</v>
      </c>
      <c r="G151">
        <v>55707</v>
      </c>
      <c r="H151">
        <v>668.48400000000004</v>
      </c>
      <c r="I151">
        <v>100.27260000000001</v>
      </c>
      <c r="J151">
        <v>58.492350000000002</v>
      </c>
      <c r="K151">
        <v>0</v>
      </c>
      <c r="M151">
        <v>0</v>
      </c>
      <c r="N151" s="48"/>
    </row>
    <row r="152" spans="3:14">
      <c r="E152" t="s">
        <v>79</v>
      </c>
      <c r="F152" t="s">
        <v>77</v>
      </c>
      <c r="G152">
        <v>6957</v>
      </c>
      <c r="H152">
        <v>0</v>
      </c>
      <c r="I152">
        <v>0</v>
      </c>
      <c r="J152">
        <v>0</v>
      </c>
      <c r="K152">
        <v>0</v>
      </c>
      <c r="L152">
        <v>31.306499999999996</v>
      </c>
      <c r="M152">
        <v>0</v>
      </c>
      <c r="N152" s="48"/>
    </row>
    <row r="153" spans="3:14">
      <c r="E153" t="s">
        <v>26</v>
      </c>
      <c r="F153" t="s">
        <v>77</v>
      </c>
      <c r="G153">
        <v>5797</v>
      </c>
      <c r="H153">
        <v>0</v>
      </c>
      <c r="I153">
        <v>0</v>
      </c>
      <c r="J153">
        <v>10.4346</v>
      </c>
      <c r="K153">
        <v>104.346</v>
      </c>
      <c r="L153">
        <v>0</v>
      </c>
      <c r="M153">
        <v>0</v>
      </c>
      <c r="N153" s="48"/>
    </row>
    <row r="154" spans="3:14">
      <c r="E154" t="s">
        <v>115</v>
      </c>
      <c r="F154" t="s">
        <v>77</v>
      </c>
      <c r="G154">
        <v>8582</v>
      </c>
      <c r="M154">
        <v>25.745999999999988</v>
      </c>
      <c r="N154" s="48"/>
    </row>
    <row r="155" spans="3:14">
      <c r="D155" t="s">
        <v>78</v>
      </c>
      <c r="E155" t="s">
        <v>25</v>
      </c>
      <c r="F155" t="s">
        <v>77</v>
      </c>
      <c r="G155">
        <v>79745</v>
      </c>
      <c r="H155">
        <v>956.93999999999994</v>
      </c>
      <c r="I155">
        <v>143.541</v>
      </c>
      <c r="J155">
        <v>83.732249999999993</v>
      </c>
      <c r="K155">
        <v>0</v>
      </c>
      <c r="M155">
        <v>0</v>
      </c>
      <c r="N155" s="48"/>
    </row>
    <row r="156" spans="3:14">
      <c r="E156" t="s">
        <v>79</v>
      </c>
      <c r="F156" t="s">
        <v>77</v>
      </c>
      <c r="G156">
        <v>4784</v>
      </c>
      <c r="H156">
        <v>0</v>
      </c>
      <c r="I156">
        <v>0</v>
      </c>
      <c r="J156">
        <v>0</v>
      </c>
      <c r="K156">
        <v>0</v>
      </c>
      <c r="L156">
        <v>21.527999999999995</v>
      </c>
      <c r="M156">
        <v>0</v>
      </c>
      <c r="N156" s="48"/>
    </row>
    <row r="157" spans="3:14">
      <c r="E157" t="s">
        <v>26</v>
      </c>
      <c r="F157" t="s">
        <v>77</v>
      </c>
      <c r="G157">
        <v>3987</v>
      </c>
      <c r="I157">
        <v>0</v>
      </c>
      <c r="J157">
        <v>7.1765999999999988</v>
      </c>
      <c r="K157">
        <v>71.765999999999991</v>
      </c>
      <c r="M157">
        <v>0</v>
      </c>
      <c r="N157" s="48"/>
    </row>
    <row r="158" spans="3:14">
      <c r="E158" t="s">
        <v>115</v>
      </c>
      <c r="F158" t="s">
        <v>77</v>
      </c>
      <c r="G158">
        <v>5217</v>
      </c>
      <c r="M158">
        <v>13.827</v>
      </c>
      <c r="N158" s="48"/>
    </row>
    <row r="159" spans="3:14">
      <c r="D159" t="s">
        <v>80</v>
      </c>
      <c r="E159" t="s">
        <v>25</v>
      </c>
      <c r="F159" t="s">
        <v>77</v>
      </c>
      <c r="G159">
        <v>12629</v>
      </c>
      <c r="H159">
        <v>151.548</v>
      </c>
      <c r="I159">
        <v>22.732199999999999</v>
      </c>
      <c r="J159">
        <v>13.260450000000001</v>
      </c>
      <c r="K159">
        <v>0</v>
      </c>
      <c r="M159">
        <v>0</v>
      </c>
      <c r="N159" s="48"/>
    </row>
    <row r="160" spans="3:14">
      <c r="E160" t="s">
        <v>79</v>
      </c>
      <c r="F160" t="s">
        <v>77</v>
      </c>
      <c r="G160">
        <v>758</v>
      </c>
      <c r="H160">
        <v>0</v>
      </c>
      <c r="I160">
        <v>0</v>
      </c>
      <c r="J160">
        <v>0</v>
      </c>
      <c r="K160">
        <v>0</v>
      </c>
      <c r="L160">
        <v>3.411</v>
      </c>
      <c r="M160">
        <v>0</v>
      </c>
      <c r="N160" s="48"/>
    </row>
    <row r="161" spans="2:14">
      <c r="E161" t="s">
        <v>26</v>
      </c>
      <c r="F161" t="s">
        <v>77</v>
      </c>
      <c r="G161">
        <v>631</v>
      </c>
      <c r="I161">
        <v>0</v>
      </c>
      <c r="J161">
        <v>1.1357999999999999</v>
      </c>
      <c r="K161">
        <v>11.358000000000001</v>
      </c>
      <c r="M161">
        <v>0</v>
      </c>
      <c r="N161" s="48"/>
    </row>
    <row r="162" spans="2:14">
      <c r="E162" t="s">
        <v>115</v>
      </c>
      <c r="F162" t="s">
        <v>77</v>
      </c>
      <c r="N162" s="48"/>
    </row>
    <row r="163" spans="2:14">
      <c r="D163" t="s">
        <v>81</v>
      </c>
      <c r="E163" t="s">
        <v>115</v>
      </c>
      <c r="F163" t="s">
        <v>77</v>
      </c>
      <c r="G163">
        <v>905</v>
      </c>
      <c r="M163">
        <v>8.1449999999999978</v>
      </c>
      <c r="N163" s="48"/>
    </row>
    <row r="164" spans="2:14">
      <c r="D164" t="s">
        <v>82</v>
      </c>
      <c r="E164" t="s">
        <v>25</v>
      </c>
      <c r="F164" t="s">
        <v>77</v>
      </c>
      <c r="G164">
        <v>7275</v>
      </c>
      <c r="H164">
        <v>87.3</v>
      </c>
      <c r="I164">
        <v>13.095000000000001</v>
      </c>
      <c r="J164">
        <v>7.6387499999999999</v>
      </c>
      <c r="K164">
        <v>0</v>
      </c>
      <c r="M164">
        <v>0</v>
      </c>
      <c r="N164" s="48"/>
    </row>
    <row r="165" spans="2:14">
      <c r="E165" t="s">
        <v>79</v>
      </c>
      <c r="F165" t="s">
        <v>77</v>
      </c>
      <c r="G165">
        <v>437</v>
      </c>
      <c r="H165">
        <v>0</v>
      </c>
      <c r="I165">
        <v>0</v>
      </c>
      <c r="J165">
        <v>0</v>
      </c>
      <c r="K165">
        <v>0</v>
      </c>
      <c r="L165">
        <v>1.9664999999999999</v>
      </c>
      <c r="M165">
        <v>0</v>
      </c>
      <c r="N165" s="48"/>
    </row>
    <row r="166" spans="2:14">
      <c r="E166" t="s">
        <v>26</v>
      </c>
      <c r="F166" t="s">
        <v>77</v>
      </c>
      <c r="G166">
        <v>364</v>
      </c>
      <c r="I166">
        <v>0</v>
      </c>
      <c r="J166">
        <v>0.6552</v>
      </c>
      <c r="K166">
        <v>6.5519999999999996</v>
      </c>
      <c r="M166">
        <v>0</v>
      </c>
      <c r="N166" s="48"/>
    </row>
    <row r="167" spans="2:14">
      <c r="D167" t="s">
        <v>114</v>
      </c>
      <c r="E167" t="s">
        <v>115</v>
      </c>
      <c r="F167" t="s">
        <v>77</v>
      </c>
      <c r="N167" s="48"/>
    </row>
    <row r="168" spans="2:14">
      <c r="B168" t="s">
        <v>83</v>
      </c>
      <c r="G168">
        <v>621055</v>
      </c>
      <c r="H168" s="46">
        <v>4187.3680000000004</v>
      </c>
      <c r="I168" s="46">
        <v>591.45020000000011</v>
      </c>
      <c r="J168" s="46">
        <v>376.54335000000003</v>
      </c>
      <c r="K168" s="46">
        <v>329.45400000000001</v>
      </c>
      <c r="L168" s="46">
        <v>104.08199999999999</v>
      </c>
      <c r="M168">
        <v>56.333999999999982</v>
      </c>
      <c r="N168" s="48">
        <v>6463663136</v>
      </c>
    </row>
    <row r="169" spans="2:14">
      <c r="B169" t="s">
        <v>12</v>
      </c>
      <c r="C169" t="s">
        <v>8</v>
      </c>
      <c r="D169" t="s">
        <v>84</v>
      </c>
      <c r="E169" t="s">
        <v>10</v>
      </c>
      <c r="F169" t="s">
        <v>77</v>
      </c>
      <c r="J169">
        <v>0</v>
      </c>
      <c r="K169">
        <v>0</v>
      </c>
      <c r="N169" s="48"/>
    </row>
    <row r="170" spans="2:14">
      <c r="E170" t="s">
        <v>15</v>
      </c>
      <c r="F170" t="s">
        <v>77</v>
      </c>
      <c r="G170">
        <v>0</v>
      </c>
      <c r="L170">
        <v>0</v>
      </c>
      <c r="N170" s="48"/>
    </row>
    <row r="171" spans="2:14">
      <c r="C171" t="s">
        <v>109</v>
      </c>
      <c r="D171" t="s">
        <v>116</v>
      </c>
      <c r="E171" t="s">
        <v>111</v>
      </c>
      <c r="F171" t="s">
        <v>112</v>
      </c>
      <c r="G171">
        <v>650</v>
      </c>
      <c r="H171">
        <v>4.5</v>
      </c>
      <c r="I171">
        <v>0.15</v>
      </c>
      <c r="J171">
        <v>0.31950000000000001</v>
      </c>
      <c r="N171" s="48">
        <v>14357200</v>
      </c>
    </row>
    <row r="172" spans="2:14">
      <c r="D172" t="s">
        <v>84</v>
      </c>
      <c r="E172" t="s">
        <v>111</v>
      </c>
      <c r="F172" t="s">
        <v>112</v>
      </c>
      <c r="G172">
        <v>22020</v>
      </c>
      <c r="H172">
        <v>148.29999999999998</v>
      </c>
      <c r="I172">
        <v>8.9999999999999911</v>
      </c>
      <c r="J172">
        <v>10.552499999999998</v>
      </c>
      <c r="N172" s="48">
        <v>484669279</v>
      </c>
    </row>
    <row r="173" spans="2:14">
      <c r="E173" t="s">
        <v>111</v>
      </c>
      <c r="F173" t="s">
        <v>77</v>
      </c>
      <c r="G173">
        <v>38074</v>
      </c>
      <c r="H173">
        <v>253.40000000000003</v>
      </c>
      <c r="I173">
        <v>57.35</v>
      </c>
      <c r="J173">
        <v>18.049500000000002</v>
      </c>
      <c r="N173" s="48">
        <v>0</v>
      </c>
    </row>
    <row r="174" spans="2:14">
      <c r="C174" t="s">
        <v>24</v>
      </c>
      <c r="D174" t="s">
        <v>84</v>
      </c>
      <c r="E174" t="s">
        <v>25</v>
      </c>
      <c r="F174" t="s">
        <v>76</v>
      </c>
      <c r="K174">
        <v>0</v>
      </c>
      <c r="M174">
        <v>0</v>
      </c>
      <c r="N174" s="48">
        <v>840000000</v>
      </c>
    </row>
    <row r="175" spans="2:14">
      <c r="E175" t="s">
        <v>25</v>
      </c>
      <c r="F175" t="s">
        <v>77</v>
      </c>
      <c r="G175">
        <v>119380</v>
      </c>
      <c r="H175">
        <v>1222.56</v>
      </c>
      <c r="I175">
        <v>183.38400000000001</v>
      </c>
      <c r="J175">
        <v>106.974</v>
      </c>
      <c r="K175">
        <v>0</v>
      </c>
      <c r="M175">
        <v>0</v>
      </c>
      <c r="N175" s="48">
        <v>0</v>
      </c>
    </row>
    <row r="176" spans="2:14">
      <c r="E176" t="s">
        <v>79</v>
      </c>
      <c r="F176" t="s">
        <v>77</v>
      </c>
      <c r="G176">
        <v>6469</v>
      </c>
      <c r="H176">
        <v>0</v>
      </c>
      <c r="I176">
        <v>0</v>
      </c>
      <c r="J176">
        <v>0</v>
      </c>
      <c r="K176">
        <v>0</v>
      </c>
      <c r="L176">
        <v>29.110499999999998</v>
      </c>
      <c r="M176">
        <v>0</v>
      </c>
      <c r="N176" s="48"/>
    </row>
    <row r="177" spans="2:14">
      <c r="E177" t="s">
        <v>26</v>
      </c>
      <c r="F177" t="s">
        <v>77</v>
      </c>
      <c r="G177">
        <v>5392</v>
      </c>
      <c r="I177">
        <v>0</v>
      </c>
      <c r="J177">
        <v>9.7056000000000004</v>
      </c>
      <c r="K177">
        <v>97.055999999999997</v>
      </c>
      <c r="M177">
        <v>0</v>
      </c>
      <c r="N177" s="48"/>
    </row>
    <row r="178" spans="2:14">
      <c r="E178" t="s">
        <v>26</v>
      </c>
      <c r="F178" t="s">
        <v>85</v>
      </c>
      <c r="I178">
        <v>0</v>
      </c>
      <c r="J178">
        <v>0</v>
      </c>
      <c r="K178">
        <v>0</v>
      </c>
      <c r="M178">
        <v>0</v>
      </c>
      <c r="N178" s="48"/>
    </row>
    <row r="179" spans="2:14">
      <c r="E179" t="s">
        <v>115</v>
      </c>
      <c r="F179" t="s">
        <v>77</v>
      </c>
      <c r="G179">
        <v>500</v>
      </c>
      <c r="M179">
        <v>2.9999999999999996</v>
      </c>
      <c r="N179" s="48"/>
    </row>
    <row r="180" spans="2:14">
      <c r="B180" t="s">
        <v>86</v>
      </c>
      <c r="G180">
        <v>192485</v>
      </c>
      <c r="H180" s="46">
        <v>1628.76</v>
      </c>
      <c r="I180" s="46">
        <v>249.88400000000001</v>
      </c>
      <c r="J180" s="46">
        <v>145.6011</v>
      </c>
      <c r="K180" s="46">
        <v>97.055999999999997</v>
      </c>
      <c r="L180" s="46">
        <v>29.110499999999998</v>
      </c>
      <c r="M180">
        <v>2.9999999999999996</v>
      </c>
      <c r="N180" s="48">
        <v>1339026479</v>
      </c>
    </row>
    <row r="181" spans="2:14">
      <c r="B181" t="s">
        <v>87</v>
      </c>
      <c r="C181" t="s">
        <v>109</v>
      </c>
      <c r="D181" t="s">
        <v>117</v>
      </c>
      <c r="E181" t="s">
        <v>111</v>
      </c>
      <c r="F181" t="s">
        <v>112</v>
      </c>
      <c r="G181">
        <v>5521</v>
      </c>
      <c r="H181">
        <v>42.400000000000006</v>
      </c>
      <c r="I181">
        <v>2.3500000000000005</v>
      </c>
      <c r="J181">
        <v>3.0285000000000006</v>
      </c>
      <c r="N181" s="48">
        <v>121947848</v>
      </c>
    </row>
    <row r="182" spans="2:14">
      <c r="D182" t="s">
        <v>118</v>
      </c>
      <c r="E182" t="s">
        <v>111</v>
      </c>
      <c r="F182" t="s">
        <v>112</v>
      </c>
      <c r="G182">
        <v>1391</v>
      </c>
      <c r="H182">
        <v>4.55</v>
      </c>
      <c r="I182">
        <v>0.3</v>
      </c>
      <c r="J182">
        <v>0.33299999999999996</v>
      </c>
      <c r="N182" s="48">
        <v>30724408</v>
      </c>
    </row>
    <row r="183" spans="2:14">
      <c r="D183" t="s">
        <v>119</v>
      </c>
      <c r="E183" t="s">
        <v>111</v>
      </c>
      <c r="F183" t="s">
        <v>112</v>
      </c>
      <c r="G183">
        <v>448</v>
      </c>
      <c r="H183">
        <v>1.45</v>
      </c>
      <c r="I183">
        <v>0.05</v>
      </c>
      <c r="J183">
        <v>0.1125</v>
      </c>
      <c r="N183" s="48">
        <v>9895424</v>
      </c>
    </row>
    <row r="184" spans="2:14">
      <c r="D184" t="s">
        <v>120</v>
      </c>
      <c r="E184" t="s">
        <v>111</v>
      </c>
      <c r="F184" t="s">
        <v>112</v>
      </c>
      <c r="G184">
        <v>519</v>
      </c>
      <c r="H184">
        <v>4</v>
      </c>
      <c r="I184">
        <v>0.2</v>
      </c>
      <c r="J184">
        <v>0.28349999999999997</v>
      </c>
      <c r="N184" s="48">
        <v>11463672</v>
      </c>
    </row>
    <row r="185" spans="2:14">
      <c r="D185" t="s">
        <v>121</v>
      </c>
      <c r="E185" t="s">
        <v>111</v>
      </c>
      <c r="F185" t="s">
        <v>112</v>
      </c>
      <c r="G185">
        <v>859</v>
      </c>
      <c r="H185">
        <v>2.95</v>
      </c>
      <c r="I185">
        <v>0.15000000000000002</v>
      </c>
      <c r="J185">
        <v>0.21600000000000003</v>
      </c>
      <c r="N185" s="48">
        <v>18973592</v>
      </c>
    </row>
    <row r="186" spans="2:14">
      <c r="C186" t="s">
        <v>24</v>
      </c>
      <c r="D186" t="s">
        <v>88</v>
      </c>
      <c r="E186" t="s">
        <v>122</v>
      </c>
      <c r="F186" t="s">
        <v>77</v>
      </c>
      <c r="G186">
        <v>3585</v>
      </c>
      <c r="L186">
        <v>21.509999999999998</v>
      </c>
      <c r="N186" s="48"/>
    </row>
    <row r="187" spans="2:14">
      <c r="E187" t="s">
        <v>123</v>
      </c>
      <c r="F187" t="s">
        <v>77</v>
      </c>
      <c r="G187">
        <v>2987.5</v>
      </c>
      <c r="J187">
        <v>7.1700000000000008</v>
      </c>
      <c r="K187">
        <v>71.7</v>
      </c>
      <c r="N187" s="48"/>
    </row>
    <row r="188" spans="2:14">
      <c r="E188" t="s">
        <v>89</v>
      </c>
      <c r="F188" t="s">
        <v>76</v>
      </c>
      <c r="G188">
        <v>55730</v>
      </c>
      <c r="N188" s="48">
        <v>1337520000</v>
      </c>
    </row>
    <row r="189" spans="2:14">
      <c r="E189" t="s">
        <v>89</v>
      </c>
      <c r="F189" t="s">
        <v>77</v>
      </c>
      <c r="G189">
        <v>4020</v>
      </c>
      <c r="N189" s="48"/>
    </row>
    <row r="190" spans="2:14">
      <c r="D190" t="s">
        <v>90</v>
      </c>
      <c r="E190" t="s">
        <v>122</v>
      </c>
      <c r="F190" t="s">
        <v>77</v>
      </c>
      <c r="G190">
        <v>738.6</v>
      </c>
      <c r="L190">
        <v>4.4315999999999995</v>
      </c>
      <c r="N190" s="48"/>
    </row>
    <row r="191" spans="2:14">
      <c r="E191" t="s">
        <v>123</v>
      </c>
      <c r="F191" t="s">
        <v>77</v>
      </c>
      <c r="G191">
        <v>615.5</v>
      </c>
      <c r="J191">
        <v>1.4772000000000001</v>
      </c>
      <c r="K191">
        <v>14.771999999999998</v>
      </c>
      <c r="N191" s="48"/>
    </row>
    <row r="192" spans="2:14">
      <c r="E192" t="s">
        <v>89</v>
      </c>
      <c r="F192" t="s">
        <v>76</v>
      </c>
      <c r="G192">
        <v>12310</v>
      </c>
      <c r="N192" s="48">
        <v>295440000</v>
      </c>
    </row>
    <row r="193" spans="2:14">
      <c r="B193" t="s">
        <v>91</v>
      </c>
      <c r="G193">
        <v>88724.6</v>
      </c>
      <c r="H193">
        <v>55.350000000000009</v>
      </c>
      <c r="I193">
        <v>3.0500000000000003</v>
      </c>
      <c r="J193">
        <v>12.620700000000001</v>
      </c>
      <c r="K193">
        <v>86.472000000000008</v>
      </c>
      <c r="L193">
        <v>25.941599999999998</v>
      </c>
      <c r="N193" s="48">
        <v>1825964944</v>
      </c>
    </row>
    <row r="194" spans="2:14">
      <c r="B194" t="s">
        <v>13</v>
      </c>
      <c r="C194" t="s">
        <v>74</v>
      </c>
      <c r="D194" t="s">
        <v>11</v>
      </c>
      <c r="E194" t="s">
        <v>75</v>
      </c>
      <c r="F194" t="s">
        <v>76</v>
      </c>
      <c r="G194">
        <v>1600</v>
      </c>
      <c r="N194" s="48">
        <v>38400000</v>
      </c>
    </row>
    <row r="195" spans="2:14">
      <c r="D195" t="s">
        <v>13</v>
      </c>
      <c r="E195" t="s">
        <v>75</v>
      </c>
      <c r="F195" t="s">
        <v>76</v>
      </c>
      <c r="G195">
        <v>9700</v>
      </c>
      <c r="N195" s="48">
        <v>232800000</v>
      </c>
    </row>
    <row r="196" spans="2:14">
      <c r="C196" t="s">
        <v>8</v>
      </c>
      <c r="D196" t="s">
        <v>13</v>
      </c>
      <c r="E196" t="s">
        <v>10</v>
      </c>
      <c r="F196" t="s">
        <v>77</v>
      </c>
      <c r="G196">
        <v>1920</v>
      </c>
      <c r="J196">
        <v>1.1519999999999997</v>
      </c>
      <c r="K196">
        <v>11.520000000000001</v>
      </c>
      <c r="N196" s="48"/>
    </row>
    <row r="197" spans="2:14">
      <c r="E197" t="s">
        <v>15</v>
      </c>
      <c r="F197" t="s">
        <v>77</v>
      </c>
      <c r="G197">
        <v>1624</v>
      </c>
      <c r="L197">
        <v>2.4359999999999999</v>
      </c>
      <c r="N197" s="48"/>
    </row>
    <row r="198" spans="2:14">
      <c r="D198" t="s">
        <v>92</v>
      </c>
      <c r="E198" t="s">
        <v>10</v>
      </c>
      <c r="F198" t="s">
        <v>77</v>
      </c>
      <c r="G198">
        <v>3834.09</v>
      </c>
      <c r="J198">
        <v>2.3004539999999998</v>
      </c>
      <c r="K198">
        <v>23.004539999999999</v>
      </c>
      <c r="N198" s="48"/>
    </row>
    <row r="199" spans="2:14">
      <c r="E199" t="s">
        <v>15</v>
      </c>
      <c r="F199" t="s">
        <v>77</v>
      </c>
      <c r="G199">
        <v>2699</v>
      </c>
      <c r="L199">
        <v>4.0484999999999998</v>
      </c>
      <c r="N199" s="48"/>
    </row>
    <row r="200" spans="2:14">
      <c r="C200" t="s">
        <v>109</v>
      </c>
      <c r="D200" t="s">
        <v>124</v>
      </c>
      <c r="E200" t="s">
        <v>111</v>
      </c>
      <c r="F200" t="s">
        <v>112</v>
      </c>
      <c r="G200">
        <v>10292</v>
      </c>
      <c r="H200">
        <v>45.7</v>
      </c>
      <c r="I200">
        <v>2.15</v>
      </c>
      <c r="J200">
        <v>3.2805</v>
      </c>
      <c r="N200" s="48">
        <v>224355406</v>
      </c>
    </row>
    <row r="201" spans="2:14">
      <c r="D201" t="s">
        <v>13</v>
      </c>
      <c r="E201" t="s">
        <v>111</v>
      </c>
      <c r="F201" t="s">
        <v>112</v>
      </c>
      <c r="G201">
        <v>2748</v>
      </c>
      <c r="H201">
        <v>10.899999999999999</v>
      </c>
      <c r="I201">
        <v>0.4</v>
      </c>
      <c r="J201">
        <v>0.77399999999999991</v>
      </c>
      <c r="N201" s="48">
        <v>60697824</v>
      </c>
    </row>
    <row r="202" spans="2:14">
      <c r="D202" t="s">
        <v>92</v>
      </c>
      <c r="E202" t="s">
        <v>111</v>
      </c>
      <c r="F202" t="s">
        <v>112</v>
      </c>
      <c r="G202">
        <v>11960</v>
      </c>
      <c r="H202">
        <v>52.05</v>
      </c>
      <c r="I202">
        <v>2.6999999999999997</v>
      </c>
      <c r="J202">
        <v>3.7035000000000005</v>
      </c>
      <c r="N202" s="48">
        <v>264172480</v>
      </c>
    </row>
    <row r="203" spans="2:14">
      <c r="D203" t="s">
        <v>96</v>
      </c>
      <c r="E203" t="s">
        <v>111</v>
      </c>
      <c r="F203" t="s">
        <v>112</v>
      </c>
      <c r="G203">
        <v>11587</v>
      </c>
      <c r="H203">
        <v>50.050000000000004</v>
      </c>
      <c r="I203">
        <v>2.3999999999999995</v>
      </c>
      <c r="J203">
        <v>3.5775000000000006</v>
      </c>
      <c r="N203" s="48">
        <v>255886246</v>
      </c>
    </row>
    <row r="204" spans="2:14">
      <c r="C204" t="s">
        <v>24</v>
      </c>
      <c r="D204" t="s">
        <v>93</v>
      </c>
      <c r="E204" t="s">
        <v>25</v>
      </c>
      <c r="F204" t="s">
        <v>76</v>
      </c>
      <c r="G204">
        <v>10257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48">
        <v>492336000</v>
      </c>
    </row>
    <row r="205" spans="2:14">
      <c r="E205" t="s">
        <v>25</v>
      </c>
      <c r="F205" t="s">
        <v>77</v>
      </c>
      <c r="G205">
        <v>5174</v>
      </c>
      <c r="H205">
        <v>62.088000000000001</v>
      </c>
      <c r="I205">
        <v>9.3132000000000001</v>
      </c>
      <c r="J205">
        <v>5.4326999999999996</v>
      </c>
      <c r="K205">
        <v>0</v>
      </c>
      <c r="M205">
        <v>0</v>
      </c>
      <c r="N205" s="48"/>
    </row>
    <row r="206" spans="2:14">
      <c r="E206" t="s">
        <v>79</v>
      </c>
      <c r="F206" t="s">
        <v>77</v>
      </c>
      <c r="G206">
        <v>925</v>
      </c>
      <c r="H206">
        <v>0</v>
      </c>
      <c r="I206">
        <v>0</v>
      </c>
      <c r="J206">
        <v>0</v>
      </c>
      <c r="K206">
        <v>0</v>
      </c>
      <c r="L206">
        <v>4.1624999999999996</v>
      </c>
      <c r="M206">
        <v>0</v>
      </c>
      <c r="N206" s="48"/>
    </row>
    <row r="207" spans="2:14">
      <c r="E207" t="s">
        <v>26</v>
      </c>
      <c r="F207" t="s">
        <v>77</v>
      </c>
      <c r="G207">
        <v>772</v>
      </c>
      <c r="H207">
        <v>0</v>
      </c>
      <c r="I207">
        <v>0</v>
      </c>
      <c r="J207">
        <v>1.3895999999999999</v>
      </c>
      <c r="K207">
        <v>13.896000000000001</v>
      </c>
      <c r="L207">
        <v>0</v>
      </c>
      <c r="M207">
        <v>0</v>
      </c>
      <c r="N207" s="48"/>
    </row>
    <row r="208" spans="2:14">
      <c r="E208" t="s">
        <v>115</v>
      </c>
      <c r="F208" t="s">
        <v>77</v>
      </c>
      <c r="G208">
        <v>274</v>
      </c>
      <c r="M208">
        <v>2.4660000000000002</v>
      </c>
      <c r="N208" s="48"/>
    </row>
    <row r="209" spans="4:14">
      <c r="D209" t="s">
        <v>124</v>
      </c>
      <c r="E209" t="s">
        <v>115</v>
      </c>
      <c r="F209" t="s">
        <v>77</v>
      </c>
      <c r="G209">
        <v>2825</v>
      </c>
      <c r="M209">
        <v>25.425000000000001</v>
      </c>
      <c r="N209" s="48"/>
    </row>
    <row r="210" spans="4:14">
      <c r="D210" t="s">
        <v>101</v>
      </c>
      <c r="E210" t="s">
        <v>115</v>
      </c>
      <c r="F210" t="s">
        <v>77</v>
      </c>
      <c r="G210">
        <v>950</v>
      </c>
      <c r="M210">
        <v>8.5500000000000007</v>
      </c>
      <c r="N210" s="48"/>
    </row>
    <row r="211" spans="4:14">
      <c r="D211" t="s">
        <v>94</v>
      </c>
      <c r="E211" t="s">
        <v>25</v>
      </c>
      <c r="F211" t="s">
        <v>76</v>
      </c>
      <c r="G211">
        <v>14809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s="48">
        <v>710832000</v>
      </c>
    </row>
    <row r="212" spans="4:14">
      <c r="E212" t="s">
        <v>79</v>
      </c>
      <c r="F212" t="s">
        <v>77</v>
      </c>
      <c r="G212">
        <v>889</v>
      </c>
      <c r="H212">
        <v>0</v>
      </c>
      <c r="I212">
        <v>0</v>
      </c>
      <c r="J212">
        <v>0</v>
      </c>
      <c r="K212">
        <v>0</v>
      </c>
      <c r="L212">
        <v>4.0005000000000006</v>
      </c>
      <c r="M212">
        <v>0</v>
      </c>
      <c r="N212" s="48"/>
    </row>
    <row r="213" spans="4:14">
      <c r="E213" t="s">
        <v>26</v>
      </c>
      <c r="F213" t="s">
        <v>77</v>
      </c>
      <c r="G213">
        <v>741</v>
      </c>
      <c r="H213">
        <v>0</v>
      </c>
      <c r="I213">
        <v>0</v>
      </c>
      <c r="J213">
        <v>1.3338000000000001</v>
      </c>
      <c r="K213">
        <v>13.338000000000001</v>
      </c>
      <c r="L213">
        <v>0</v>
      </c>
      <c r="M213">
        <v>0</v>
      </c>
      <c r="N213" s="48"/>
    </row>
    <row r="214" spans="4:14">
      <c r="E214" t="s">
        <v>115</v>
      </c>
      <c r="F214" t="s">
        <v>77</v>
      </c>
      <c r="G214">
        <v>450</v>
      </c>
      <c r="M214">
        <v>4.05</v>
      </c>
      <c r="N214" s="48"/>
    </row>
    <row r="215" spans="4:14">
      <c r="D215" t="s">
        <v>95</v>
      </c>
      <c r="E215" t="s">
        <v>25</v>
      </c>
      <c r="F215" t="s">
        <v>76</v>
      </c>
      <c r="G215">
        <v>45012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s="48">
        <v>2160576000</v>
      </c>
    </row>
    <row r="216" spans="4:14">
      <c r="E216" t="s">
        <v>79</v>
      </c>
      <c r="F216" t="s">
        <v>77</v>
      </c>
      <c r="G216">
        <v>2701</v>
      </c>
      <c r="H216">
        <v>0</v>
      </c>
      <c r="I216">
        <v>0</v>
      </c>
      <c r="J216">
        <v>0</v>
      </c>
      <c r="K216">
        <v>0</v>
      </c>
      <c r="L216">
        <v>12.154499999999999</v>
      </c>
      <c r="M216">
        <v>0</v>
      </c>
      <c r="N216" s="48"/>
    </row>
    <row r="217" spans="4:14">
      <c r="E217" t="s">
        <v>26</v>
      </c>
      <c r="F217" t="s">
        <v>77</v>
      </c>
      <c r="G217">
        <v>2250</v>
      </c>
      <c r="H217">
        <v>0</v>
      </c>
      <c r="I217">
        <v>0</v>
      </c>
      <c r="J217">
        <v>4.05</v>
      </c>
      <c r="K217">
        <v>40.5</v>
      </c>
      <c r="L217">
        <v>0</v>
      </c>
      <c r="M217">
        <v>0</v>
      </c>
      <c r="N217" s="48"/>
    </row>
    <row r="218" spans="4:14">
      <c r="D218" t="s">
        <v>96</v>
      </c>
      <c r="E218" t="s">
        <v>25</v>
      </c>
      <c r="F218" t="s">
        <v>76</v>
      </c>
      <c r="G218">
        <v>22389</v>
      </c>
      <c r="K218">
        <v>0</v>
      </c>
      <c r="M218">
        <v>0</v>
      </c>
      <c r="N218" s="48">
        <v>1074672000</v>
      </c>
    </row>
    <row r="219" spans="4:14">
      <c r="E219" t="s">
        <v>25</v>
      </c>
      <c r="F219" t="s">
        <v>77</v>
      </c>
      <c r="G219">
        <v>37825</v>
      </c>
      <c r="H219">
        <v>453.9</v>
      </c>
      <c r="I219">
        <v>68.085000000000008</v>
      </c>
      <c r="J219">
        <v>39.716250000000002</v>
      </c>
      <c r="K219">
        <v>0</v>
      </c>
      <c r="M219">
        <v>0</v>
      </c>
      <c r="N219" s="48"/>
    </row>
    <row r="220" spans="4:14">
      <c r="E220" t="s">
        <v>79</v>
      </c>
      <c r="F220" t="s">
        <v>77</v>
      </c>
      <c r="G220">
        <v>3612</v>
      </c>
      <c r="L220">
        <v>16.253999999999998</v>
      </c>
      <c r="N220" s="48"/>
    </row>
    <row r="221" spans="4:14">
      <c r="E221" t="s">
        <v>26</v>
      </c>
      <c r="F221" t="s">
        <v>77</v>
      </c>
      <c r="G221">
        <v>3010</v>
      </c>
      <c r="I221">
        <v>0</v>
      </c>
      <c r="J221">
        <v>5.4179999999999993</v>
      </c>
      <c r="K221">
        <v>54.18</v>
      </c>
      <c r="M221">
        <v>0</v>
      </c>
      <c r="N221" s="48"/>
    </row>
    <row r="222" spans="4:14">
      <c r="E222" t="s">
        <v>115</v>
      </c>
      <c r="F222" t="s">
        <v>77</v>
      </c>
      <c r="G222">
        <v>2075</v>
      </c>
      <c r="M222">
        <v>18.675000000000001</v>
      </c>
      <c r="N222" s="48"/>
    </row>
    <row r="223" spans="4:14">
      <c r="D223" t="s">
        <v>97</v>
      </c>
      <c r="E223" t="s">
        <v>25</v>
      </c>
      <c r="F223" t="s">
        <v>77</v>
      </c>
      <c r="G223">
        <v>12483</v>
      </c>
      <c r="H223">
        <v>149.79599999999999</v>
      </c>
      <c r="I223">
        <v>22.4694</v>
      </c>
      <c r="J223">
        <v>13.107150000000001</v>
      </c>
      <c r="K223">
        <v>0</v>
      </c>
      <c r="M223">
        <v>0</v>
      </c>
      <c r="N223" s="48"/>
    </row>
    <row r="224" spans="4:14">
      <c r="E224" t="s">
        <v>79</v>
      </c>
      <c r="F224" t="s">
        <v>77</v>
      </c>
      <c r="G224">
        <v>749</v>
      </c>
      <c r="H224">
        <v>0</v>
      </c>
      <c r="I224">
        <v>0</v>
      </c>
      <c r="J224">
        <v>0</v>
      </c>
      <c r="K224">
        <v>0</v>
      </c>
      <c r="L224">
        <v>3.3704999999999998</v>
      </c>
      <c r="M224">
        <v>0</v>
      </c>
      <c r="N224" s="48"/>
    </row>
    <row r="225" spans="2:14">
      <c r="E225" t="s">
        <v>26</v>
      </c>
      <c r="F225" t="s">
        <v>77</v>
      </c>
      <c r="G225">
        <v>624</v>
      </c>
      <c r="I225">
        <v>0</v>
      </c>
      <c r="J225">
        <v>1.1232</v>
      </c>
      <c r="K225">
        <v>11.231999999999999</v>
      </c>
      <c r="M225">
        <v>0</v>
      </c>
      <c r="N225" s="48"/>
    </row>
    <row r="226" spans="2:14">
      <c r="E226" t="s">
        <v>115</v>
      </c>
      <c r="F226" t="s">
        <v>77</v>
      </c>
      <c r="G226">
        <v>1321</v>
      </c>
      <c r="M226">
        <v>11.888999999999999</v>
      </c>
      <c r="N226" s="48"/>
    </row>
    <row r="227" spans="2:14">
      <c r="B227" t="s">
        <v>98</v>
      </c>
      <c r="G227">
        <v>230081.09</v>
      </c>
      <c r="H227" s="46">
        <v>824.48399999999992</v>
      </c>
      <c r="I227" s="46">
        <v>107.51760000000002</v>
      </c>
      <c r="J227" s="46">
        <v>86.358654000000016</v>
      </c>
      <c r="K227" s="46">
        <v>167.67054000000002</v>
      </c>
      <c r="L227" s="46">
        <v>46.426499999999997</v>
      </c>
      <c r="M227">
        <v>71.054999999999993</v>
      </c>
      <c r="N227" s="48">
        <v>5514727956</v>
      </c>
    </row>
    <row r="228" spans="2:14">
      <c r="B228" t="s">
        <v>14</v>
      </c>
      <c r="C228" t="s">
        <v>8</v>
      </c>
      <c r="D228" t="s">
        <v>99</v>
      </c>
      <c r="E228" t="s">
        <v>10</v>
      </c>
      <c r="F228" t="s">
        <v>77</v>
      </c>
      <c r="G228">
        <v>2880</v>
      </c>
      <c r="J228">
        <v>1.7280000000000002</v>
      </c>
      <c r="K228">
        <v>17.279999999999998</v>
      </c>
      <c r="N228" s="48"/>
    </row>
    <row r="229" spans="2:14">
      <c r="E229" t="s">
        <v>15</v>
      </c>
      <c r="F229" t="s">
        <v>77</v>
      </c>
      <c r="G229">
        <v>6080</v>
      </c>
      <c r="L229">
        <v>9.120000000000001</v>
      </c>
      <c r="N229" s="48"/>
    </row>
    <row r="230" spans="2:14">
      <c r="C230" t="s">
        <v>109</v>
      </c>
      <c r="D230" t="s">
        <v>125</v>
      </c>
      <c r="E230" t="s">
        <v>111</v>
      </c>
      <c r="F230" t="s">
        <v>112</v>
      </c>
      <c r="G230">
        <v>16505</v>
      </c>
      <c r="H230">
        <v>108.10000000000002</v>
      </c>
      <c r="I230">
        <v>6.4500000000000011</v>
      </c>
      <c r="J230">
        <v>7.6950000000000021</v>
      </c>
      <c r="N230" s="48">
        <v>362447190</v>
      </c>
    </row>
    <row r="231" spans="2:14">
      <c r="E231" t="s">
        <v>111</v>
      </c>
      <c r="F231" t="s">
        <v>77</v>
      </c>
      <c r="G231">
        <v>7985</v>
      </c>
      <c r="H231">
        <v>52.55</v>
      </c>
      <c r="I231">
        <v>11.1</v>
      </c>
      <c r="J231">
        <v>3.8564999999999992</v>
      </c>
      <c r="N231" s="48">
        <v>0</v>
      </c>
    </row>
    <row r="232" spans="2:14">
      <c r="D232" t="s">
        <v>126</v>
      </c>
      <c r="E232" t="s">
        <v>111</v>
      </c>
      <c r="F232" t="s">
        <v>112</v>
      </c>
      <c r="G232">
        <v>9418</v>
      </c>
      <c r="H232">
        <v>61.3</v>
      </c>
      <c r="I232">
        <v>3.6999999999999997</v>
      </c>
      <c r="J232">
        <v>4.5135000000000005</v>
      </c>
      <c r="N232" s="48">
        <v>207998134</v>
      </c>
    </row>
    <row r="233" spans="2:14">
      <c r="D233" t="s">
        <v>127</v>
      </c>
      <c r="E233" t="s">
        <v>111</v>
      </c>
      <c r="F233" t="s">
        <v>77</v>
      </c>
      <c r="G233">
        <v>2303</v>
      </c>
      <c r="H233">
        <v>17.75</v>
      </c>
      <c r="I233">
        <v>3.9499999999999997</v>
      </c>
      <c r="J233">
        <v>1.2015</v>
      </c>
      <c r="N233" s="48"/>
    </row>
    <row r="234" spans="2:14">
      <c r="D234" t="s">
        <v>128</v>
      </c>
      <c r="E234" t="s">
        <v>111</v>
      </c>
      <c r="F234" t="s">
        <v>112</v>
      </c>
      <c r="G234">
        <v>3682</v>
      </c>
      <c r="H234">
        <v>24.400000000000002</v>
      </c>
      <c r="I234">
        <v>1.4</v>
      </c>
      <c r="J234">
        <v>1.6605000000000001</v>
      </c>
      <c r="N234" s="48">
        <v>81252001</v>
      </c>
    </row>
    <row r="235" spans="2:14">
      <c r="E235" t="s">
        <v>111</v>
      </c>
      <c r="F235" t="s">
        <v>77</v>
      </c>
      <c r="G235">
        <v>1352</v>
      </c>
      <c r="H235">
        <v>9.9</v>
      </c>
      <c r="I235">
        <v>2.1</v>
      </c>
      <c r="J235">
        <v>0.70650000000000002</v>
      </c>
      <c r="N235" s="48">
        <v>0</v>
      </c>
    </row>
    <row r="236" spans="2:14">
      <c r="D236" t="s">
        <v>129</v>
      </c>
      <c r="E236" t="s">
        <v>111</v>
      </c>
      <c r="F236" t="s">
        <v>112</v>
      </c>
      <c r="G236">
        <v>22701</v>
      </c>
      <c r="H236">
        <v>154.35000000000005</v>
      </c>
      <c r="I236">
        <v>8.4500000000000028</v>
      </c>
      <c r="J236">
        <v>9.8370000000000033</v>
      </c>
      <c r="N236" s="48">
        <v>498112197</v>
      </c>
    </row>
    <row r="237" spans="2:14">
      <c r="E237" t="s">
        <v>111</v>
      </c>
      <c r="F237" t="s">
        <v>77</v>
      </c>
      <c r="G237">
        <v>3635</v>
      </c>
      <c r="H237">
        <v>26.95</v>
      </c>
      <c r="I237">
        <v>5.95</v>
      </c>
      <c r="J237">
        <v>1.9079999999999999</v>
      </c>
      <c r="N237" s="48">
        <v>0</v>
      </c>
    </row>
    <row r="238" spans="2:14">
      <c r="C238" t="s">
        <v>24</v>
      </c>
      <c r="D238" t="s">
        <v>99</v>
      </c>
      <c r="E238" t="s">
        <v>25</v>
      </c>
      <c r="F238" t="s">
        <v>76</v>
      </c>
      <c r="G238">
        <v>25838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48">
        <v>1240224000</v>
      </c>
    </row>
    <row r="239" spans="2:14">
      <c r="E239" t="s">
        <v>25</v>
      </c>
      <c r="F239" t="s">
        <v>77</v>
      </c>
      <c r="G239">
        <v>30837</v>
      </c>
      <c r="H239">
        <v>370.04399999999998</v>
      </c>
      <c r="I239">
        <v>55.506600000000006</v>
      </c>
      <c r="J239">
        <v>32.37885</v>
      </c>
      <c r="K239">
        <v>0</v>
      </c>
      <c r="L239">
        <v>0</v>
      </c>
      <c r="M239">
        <v>0</v>
      </c>
      <c r="N239" s="48"/>
    </row>
    <row r="240" spans="2:14">
      <c r="E240" t="s">
        <v>79</v>
      </c>
      <c r="F240" t="s">
        <v>77</v>
      </c>
      <c r="G240">
        <v>3401</v>
      </c>
      <c r="H240">
        <v>0</v>
      </c>
      <c r="I240">
        <v>0</v>
      </c>
      <c r="J240">
        <v>0</v>
      </c>
      <c r="K240">
        <v>0</v>
      </c>
      <c r="L240">
        <v>15.304499999999999</v>
      </c>
      <c r="M240">
        <v>0</v>
      </c>
      <c r="N240" s="48"/>
    </row>
    <row r="241" spans="1:14">
      <c r="E241" t="s">
        <v>26</v>
      </c>
      <c r="F241" t="s">
        <v>77</v>
      </c>
      <c r="G241">
        <v>2833</v>
      </c>
      <c r="H241">
        <v>0</v>
      </c>
      <c r="I241">
        <v>0</v>
      </c>
      <c r="J241">
        <v>5.099400000000001</v>
      </c>
      <c r="K241">
        <v>50.994</v>
      </c>
      <c r="L241">
        <v>0</v>
      </c>
      <c r="M241">
        <v>0</v>
      </c>
      <c r="N241" s="48"/>
    </row>
    <row r="242" spans="1:14">
      <c r="E242" t="s">
        <v>115</v>
      </c>
      <c r="F242" t="s">
        <v>77</v>
      </c>
      <c r="G242">
        <v>3901</v>
      </c>
      <c r="M242">
        <v>22.889999999999986</v>
      </c>
      <c r="N242" s="48"/>
    </row>
    <row r="243" spans="1:14">
      <c r="D243" t="s">
        <v>130</v>
      </c>
      <c r="E243" t="s">
        <v>115</v>
      </c>
      <c r="F243" t="s">
        <v>77</v>
      </c>
      <c r="G243">
        <v>800</v>
      </c>
      <c r="M243">
        <v>4.8</v>
      </c>
      <c r="N243" s="48"/>
    </row>
    <row r="244" spans="1:14">
      <c r="B244" t="s">
        <v>100</v>
      </c>
      <c r="G244">
        <v>144151</v>
      </c>
      <c r="H244" s="46">
        <v>825.34400000000005</v>
      </c>
      <c r="I244" s="46">
        <v>98.606600000000014</v>
      </c>
      <c r="J244" s="46">
        <v>70.58475</v>
      </c>
      <c r="K244" s="46">
        <v>68.274000000000001</v>
      </c>
      <c r="L244" s="46">
        <v>24.424500000000002</v>
      </c>
      <c r="M244">
        <v>27.689999999999987</v>
      </c>
      <c r="N244" s="48">
        <v>2390033522</v>
      </c>
    </row>
    <row r="245" spans="1:14">
      <c r="A245" t="s">
        <v>18</v>
      </c>
      <c r="G245" s="48">
        <v>1276496.69</v>
      </c>
      <c r="H245">
        <v>7521.3059999999996</v>
      </c>
      <c r="I245">
        <v>1050.5084000000004</v>
      </c>
      <c r="J245">
        <v>691.70855399999994</v>
      </c>
      <c r="K245">
        <v>748.92653999999982</v>
      </c>
      <c r="L245">
        <v>229.98509999999993</v>
      </c>
      <c r="M245">
        <v>158.07899999999998</v>
      </c>
      <c r="N245" s="48">
        <v>17533416037</v>
      </c>
    </row>
    <row r="246" spans="1:14">
      <c r="A246" t="s">
        <v>30</v>
      </c>
      <c r="G246">
        <v>2501318.93915</v>
      </c>
      <c r="H246">
        <v>11838.065999999997</v>
      </c>
      <c r="I246">
        <v>1698.0224000000003</v>
      </c>
      <c r="J246">
        <v>1129.7786138624997</v>
      </c>
      <c r="K246">
        <v>1352.4621386249996</v>
      </c>
      <c r="L246">
        <v>389.22360000000003</v>
      </c>
      <c r="M246">
        <v>158.07899999999998</v>
      </c>
      <c r="N246" s="48">
        <v>25193277037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823-83F3-4A90-94FF-39EB970B959D}">
  <dimension ref="A3:N26"/>
  <sheetViews>
    <sheetView workbookViewId="0">
      <selection activeCell="I55" sqref="I55"/>
    </sheetView>
  </sheetViews>
  <sheetFormatPr defaultRowHeight="14.5"/>
  <cols>
    <col min="1" max="1" width="14.54296875" customWidth="1"/>
    <col min="2" max="2" width="15.7265625" customWidth="1"/>
    <col min="3" max="3" width="15.81640625" customWidth="1"/>
    <col min="4" max="4" width="20.453125" customWidth="1"/>
    <col min="5" max="5" width="24.1796875" bestFit="1" customWidth="1"/>
    <col min="6" max="6" width="23.26953125" bestFit="1" customWidth="1"/>
    <col min="7" max="7" width="9.54296875" bestFit="1" customWidth="1"/>
    <col min="8" max="8" width="9" bestFit="1" customWidth="1"/>
    <col min="9" max="9" width="12.1796875" bestFit="1" customWidth="1"/>
    <col min="10" max="10" width="11.26953125" bestFit="1" customWidth="1"/>
    <col min="11" max="12" width="11.81640625" bestFit="1" customWidth="1"/>
    <col min="13" max="13" width="16.453125" bestFit="1" customWidth="1"/>
    <col min="14" max="14" width="15.54296875" bestFit="1" customWidth="1"/>
    <col min="15" max="15" width="15.26953125" bestFit="1" customWidth="1"/>
    <col min="16" max="72" width="2.81640625" bestFit="1" customWidth="1"/>
    <col min="73" max="73" width="5.81640625" bestFit="1" customWidth="1"/>
    <col min="74" max="86" width="2.81640625" bestFit="1" customWidth="1"/>
    <col min="87" max="87" width="4.81640625" bestFit="1" customWidth="1"/>
    <col min="88" max="91" width="2.81640625" bestFit="1" customWidth="1"/>
    <col min="92" max="92" width="5.81640625" bestFit="1" customWidth="1"/>
    <col min="93" max="100" width="2.81640625" bestFit="1" customWidth="1"/>
    <col min="101" max="106" width="3.81640625" bestFit="1" customWidth="1"/>
    <col min="107" max="107" width="5.81640625" bestFit="1" customWidth="1"/>
    <col min="108" max="108" width="3.81640625" bestFit="1" customWidth="1"/>
    <col min="109" max="109" width="5.81640625" bestFit="1" customWidth="1"/>
    <col min="110" max="111" width="3.81640625" bestFit="1" customWidth="1"/>
    <col min="112" max="112" width="6.81640625" bestFit="1" customWidth="1"/>
    <col min="113" max="122" width="3.81640625" bestFit="1" customWidth="1"/>
    <col min="123" max="123" width="5.81640625" bestFit="1" customWidth="1"/>
    <col min="124" max="125" width="3.81640625" bestFit="1" customWidth="1"/>
    <col min="126" max="126" width="5.81640625" bestFit="1" customWidth="1"/>
    <col min="127" max="133" width="3.81640625" bestFit="1" customWidth="1"/>
    <col min="134" max="134" width="5.81640625" bestFit="1" customWidth="1"/>
    <col min="135" max="141" width="3.81640625" bestFit="1" customWidth="1"/>
    <col min="142" max="142" width="5.81640625" bestFit="1" customWidth="1"/>
    <col min="143" max="149" width="3.81640625" bestFit="1" customWidth="1"/>
    <col min="150" max="150" width="5.81640625" bestFit="1" customWidth="1"/>
    <col min="151" max="157" width="3.81640625" bestFit="1" customWidth="1"/>
    <col min="158" max="158" width="6.81640625" bestFit="1" customWidth="1"/>
    <col min="159" max="171" width="3.81640625" bestFit="1" customWidth="1"/>
    <col min="172" max="172" width="5.81640625" bestFit="1" customWidth="1"/>
    <col min="173" max="190" width="3.81640625" bestFit="1" customWidth="1"/>
    <col min="191" max="191" width="6.81640625" bestFit="1" customWidth="1"/>
    <col min="192" max="192" width="5.81640625" bestFit="1" customWidth="1"/>
    <col min="193" max="193" width="3.81640625" bestFit="1" customWidth="1"/>
    <col min="194" max="194" width="5.81640625" bestFit="1" customWidth="1"/>
    <col min="195" max="204" width="3.81640625" bestFit="1" customWidth="1"/>
    <col min="205" max="205" width="6.81640625" bestFit="1" customWidth="1"/>
    <col min="206" max="221" width="3.81640625" bestFit="1" customWidth="1"/>
    <col min="222" max="222" width="5.81640625" bestFit="1" customWidth="1"/>
    <col min="223" max="232" width="3.81640625" bestFit="1" customWidth="1"/>
    <col min="233" max="233" width="5.81640625" bestFit="1" customWidth="1"/>
    <col min="234" max="234" width="3.81640625" bestFit="1" customWidth="1"/>
    <col min="235" max="235" width="5.81640625" bestFit="1" customWidth="1"/>
    <col min="236" max="247" width="3.81640625" bestFit="1" customWidth="1"/>
    <col min="248" max="248" width="5.81640625" bestFit="1" customWidth="1"/>
    <col min="249" max="252" width="3.81640625" bestFit="1" customWidth="1"/>
    <col min="253" max="253" width="5.81640625" bestFit="1" customWidth="1"/>
    <col min="254" max="269" width="3.81640625" bestFit="1" customWidth="1"/>
    <col min="270" max="270" width="5.81640625" bestFit="1" customWidth="1"/>
    <col min="271" max="308" width="3.81640625" bestFit="1" customWidth="1"/>
    <col min="309" max="309" width="5.81640625" bestFit="1" customWidth="1"/>
    <col min="310" max="357" width="3.81640625" bestFit="1" customWidth="1"/>
    <col min="358" max="358" width="7.81640625" bestFit="1" customWidth="1"/>
    <col min="359" max="363" width="3.81640625" bestFit="1" customWidth="1"/>
    <col min="364" max="364" width="5.81640625" bestFit="1" customWidth="1"/>
    <col min="365" max="428" width="3.81640625" bestFit="1" customWidth="1"/>
    <col min="429" max="429" width="5.81640625" bestFit="1" customWidth="1"/>
    <col min="430" max="437" width="3.81640625" bestFit="1" customWidth="1"/>
    <col min="438" max="438" width="7.81640625" bestFit="1" customWidth="1"/>
    <col min="439" max="440" width="3.81640625" bestFit="1" customWidth="1"/>
    <col min="441" max="441" width="5.81640625" bestFit="1" customWidth="1"/>
    <col min="442" max="483" width="3.81640625" bestFit="1" customWidth="1"/>
    <col min="484" max="484" width="5.81640625" bestFit="1" customWidth="1"/>
    <col min="485" max="492" width="3.81640625" bestFit="1" customWidth="1"/>
    <col min="493" max="493" width="7.81640625" bestFit="1" customWidth="1"/>
    <col min="494" max="509" width="3.81640625" bestFit="1" customWidth="1"/>
    <col min="510" max="510" width="5.81640625" bestFit="1" customWidth="1"/>
    <col min="511" max="550" width="3.81640625" bestFit="1" customWidth="1"/>
    <col min="551" max="551" width="5.81640625" bestFit="1" customWidth="1"/>
    <col min="552" max="557" width="3.81640625" bestFit="1" customWidth="1"/>
    <col min="558" max="558" width="7.81640625" bestFit="1" customWidth="1"/>
    <col min="559" max="667" width="3.81640625" bestFit="1" customWidth="1"/>
    <col min="668" max="690" width="4.81640625" bestFit="1" customWidth="1"/>
    <col min="691" max="691" width="9.81640625" bestFit="1" customWidth="1"/>
    <col min="692" max="692" width="11.81640625" bestFit="1" customWidth="1"/>
    <col min="693" max="787" width="4.81640625" bestFit="1" customWidth="1"/>
    <col min="788" max="822" width="5.81640625" bestFit="1" customWidth="1"/>
    <col min="823" max="823" width="3.26953125" bestFit="1" customWidth="1"/>
    <col min="824" max="824" width="6.81640625" bestFit="1" customWidth="1"/>
    <col min="825" max="825" width="10.7265625" bestFit="1" customWidth="1"/>
  </cols>
  <sheetData>
    <row r="3" spans="1:14">
      <c r="F3" s="42" t="s">
        <v>0</v>
      </c>
    </row>
    <row r="4" spans="1:14">
      <c r="A4" s="42" t="s">
        <v>2</v>
      </c>
      <c r="B4" s="42" t="s">
        <v>4</v>
      </c>
      <c r="C4" s="42" t="s">
        <v>1</v>
      </c>
      <c r="D4" s="42" t="s">
        <v>68</v>
      </c>
      <c r="E4" s="42" t="s">
        <v>3</v>
      </c>
      <c r="F4" t="s">
        <v>69</v>
      </c>
      <c r="G4" t="s">
        <v>70</v>
      </c>
      <c r="H4" t="s">
        <v>71</v>
      </c>
      <c r="I4" t="s">
        <v>5</v>
      </c>
      <c r="J4" t="s">
        <v>6</v>
      </c>
      <c r="K4" t="s">
        <v>7</v>
      </c>
      <c r="L4" t="s">
        <v>72</v>
      </c>
      <c r="M4" t="s">
        <v>73</v>
      </c>
      <c r="N4" t="s">
        <v>131</v>
      </c>
    </row>
    <row r="5" spans="1:14">
      <c r="A5" t="s">
        <v>17</v>
      </c>
      <c r="B5" t="s">
        <v>14</v>
      </c>
      <c r="C5" t="s">
        <v>8</v>
      </c>
      <c r="D5" t="s">
        <v>77</v>
      </c>
      <c r="E5" t="s">
        <v>10</v>
      </c>
      <c r="F5" s="48">
        <v>2880</v>
      </c>
      <c r="G5" s="46"/>
      <c r="H5" s="46"/>
      <c r="I5" s="46">
        <v>1.7279999999999998</v>
      </c>
      <c r="J5" s="46">
        <v>17.28</v>
      </c>
      <c r="K5" s="46"/>
      <c r="L5" s="46"/>
      <c r="M5" s="48"/>
      <c r="N5" s="48"/>
    </row>
    <row r="6" spans="1:14">
      <c r="E6" t="s">
        <v>15</v>
      </c>
      <c r="F6" s="48">
        <v>6080</v>
      </c>
      <c r="G6" s="46"/>
      <c r="H6" s="46"/>
      <c r="I6" s="46"/>
      <c r="J6" s="46"/>
      <c r="K6" s="46">
        <v>9.1199999999999992</v>
      </c>
      <c r="L6" s="46"/>
      <c r="M6" s="48"/>
      <c r="N6" s="48"/>
    </row>
    <row r="7" spans="1:14">
      <c r="C7" t="s">
        <v>24</v>
      </c>
      <c r="D7" t="s">
        <v>76</v>
      </c>
      <c r="E7" t="s">
        <v>25</v>
      </c>
      <c r="F7" s="48">
        <v>25838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8">
        <v>1240224000</v>
      </c>
      <c r="N7" s="48">
        <v>272030.25131932774</v>
      </c>
    </row>
    <row r="8" spans="1:14">
      <c r="D8" t="s">
        <v>77</v>
      </c>
      <c r="E8" t="s">
        <v>25</v>
      </c>
      <c r="F8" s="48">
        <v>30837</v>
      </c>
      <c r="G8" s="46">
        <v>370.04399999999998</v>
      </c>
      <c r="H8" s="46">
        <v>55.506600000000006</v>
      </c>
      <c r="I8" s="46">
        <v>32.37885</v>
      </c>
      <c r="J8" s="46">
        <v>0</v>
      </c>
      <c r="K8" s="46">
        <v>0</v>
      </c>
      <c r="L8" s="46">
        <v>0</v>
      </c>
      <c r="M8" s="48"/>
      <c r="N8" s="48">
        <v>0</v>
      </c>
    </row>
    <row r="9" spans="1:14">
      <c r="E9" t="s">
        <v>79</v>
      </c>
      <c r="F9" s="48">
        <v>3401</v>
      </c>
      <c r="G9" s="46">
        <v>0</v>
      </c>
      <c r="H9" s="46">
        <v>0</v>
      </c>
      <c r="I9" s="46">
        <v>0</v>
      </c>
      <c r="J9" s="46">
        <v>0</v>
      </c>
      <c r="K9" s="46">
        <v>15.304499999999999</v>
      </c>
      <c r="L9" s="46">
        <v>0</v>
      </c>
      <c r="M9" s="48"/>
      <c r="N9" s="48">
        <v>0</v>
      </c>
    </row>
    <row r="10" spans="1:14">
      <c r="E10" t="s">
        <v>26</v>
      </c>
      <c r="F10" s="48">
        <v>2833</v>
      </c>
      <c r="G10" s="46">
        <v>0</v>
      </c>
      <c r="H10" s="46">
        <v>0</v>
      </c>
      <c r="I10" s="46">
        <v>5.0994000000000002</v>
      </c>
      <c r="J10" s="46">
        <v>50.994</v>
      </c>
      <c r="K10" s="46">
        <v>0</v>
      </c>
      <c r="L10" s="46">
        <v>0</v>
      </c>
      <c r="M10" s="48"/>
      <c r="N10" s="48"/>
    </row>
    <row r="11" spans="1:14">
      <c r="E11" t="s">
        <v>115</v>
      </c>
      <c r="F11" s="48">
        <v>4701</v>
      </c>
      <c r="G11" s="46"/>
      <c r="H11" s="46"/>
      <c r="I11" s="46"/>
      <c r="J11" s="46"/>
      <c r="K11" s="46"/>
      <c r="L11" s="46">
        <v>27.689999999999984</v>
      </c>
      <c r="M11" s="48"/>
      <c r="N11" s="48"/>
    </row>
    <row r="12" spans="1:14">
      <c r="B12" t="s">
        <v>100</v>
      </c>
      <c r="F12" s="48">
        <v>76570</v>
      </c>
      <c r="G12" s="46">
        <v>370.04399999999998</v>
      </c>
      <c r="H12" s="46">
        <v>55.506600000000006</v>
      </c>
      <c r="I12" s="46">
        <v>39.206250000000004</v>
      </c>
      <c r="J12" s="46">
        <v>68.274000000000001</v>
      </c>
      <c r="K12" s="46">
        <v>24.424499999999998</v>
      </c>
      <c r="L12" s="46">
        <v>27.689999999999984</v>
      </c>
      <c r="M12" s="48">
        <v>1240224000</v>
      </c>
      <c r="N12" s="48">
        <v>272030.25131932774</v>
      </c>
    </row>
    <row r="13" spans="1:14">
      <c r="A13" t="s">
        <v>18</v>
      </c>
      <c r="F13" s="48">
        <v>76570</v>
      </c>
      <c r="G13" s="46">
        <v>370.04399999999998</v>
      </c>
      <c r="H13" s="46">
        <v>55.506600000000006</v>
      </c>
      <c r="I13" s="46">
        <v>39.206250000000004</v>
      </c>
      <c r="J13" s="46">
        <v>68.274000000000001</v>
      </c>
      <c r="K13" s="46">
        <v>24.424499999999998</v>
      </c>
      <c r="L13" s="46">
        <v>27.689999999999984</v>
      </c>
      <c r="M13" s="48">
        <v>1240224000</v>
      </c>
      <c r="N13" s="48">
        <v>272030.25131932774</v>
      </c>
    </row>
    <row r="14" spans="1:14">
      <c r="A14" t="s">
        <v>19</v>
      </c>
      <c r="B14" t="s">
        <v>14</v>
      </c>
      <c r="C14" t="s">
        <v>8</v>
      </c>
      <c r="D14" t="s">
        <v>77</v>
      </c>
      <c r="E14" t="s">
        <v>10</v>
      </c>
      <c r="F14" s="48">
        <v>2880</v>
      </c>
      <c r="G14" s="46"/>
      <c r="H14" s="46"/>
      <c r="I14" s="46">
        <v>1.7279999999999998</v>
      </c>
      <c r="J14" s="46">
        <v>17.28</v>
      </c>
      <c r="K14" s="46"/>
      <c r="L14" s="46"/>
      <c r="M14" s="48"/>
      <c r="N14" s="48"/>
    </row>
    <row r="15" spans="1:14">
      <c r="E15" t="s">
        <v>15</v>
      </c>
      <c r="F15" s="48">
        <v>6080</v>
      </c>
      <c r="G15" s="46"/>
      <c r="H15" s="46"/>
      <c r="I15" s="46"/>
      <c r="J15" s="46"/>
      <c r="K15" s="46">
        <v>9.1199999999999992</v>
      </c>
      <c r="L15" s="46"/>
      <c r="M15" s="48"/>
      <c r="N15" s="48"/>
    </row>
    <row r="16" spans="1:14">
      <c r="C16" t="s">
        <v>24</v>
      </c>
      <c r="D16" t="s">
        <v>76</v>
      </c>
      <c r="E16" t="s">
        <v>25</v>
      </c>
      <c r="F16" s="48">
        <v>20293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8">
        <v>487032000</v>
      </c>
      <c r="N16" s="48">
        <v>106825.41005540517</v>
      </c>
    </row>
    <row r="17" spans="1:14">
      <c r="D17" t="s">
        <v>77</v>
      </c>
      <c r="E17" t="s">
        <v>25</v>
      </c>
      <c r="F17" s="48">
        <v>36382</v>
      </c>
      <c r="G17" s="46">
        <v>218.292</v>
      </c>
      <c r="H17" s="46">
        <v>32.7438</v>
      </c>
      <c r="I17" s="46">
        <v>19.100549999999998</v>
      </c>
      <c r="J17" s="46">
        <v>0</v>
      </c>
      <c r="K17" s="46"/>
      <c r="L17" s="46">
        <v>0</v>
      </c>
      <c r="M17" s="48"/>
      <c r="N17" s="48">
        <v>0</v>
      </c>
    </row>
    <row r="18" spans="1:14">
      <c r="B18" t="s">
        <v>100</v>
      </c>
      <c r="F18" s="48">
        <v>65635</v>
      </c>
      <c r="G18" s="46">
        <v>218.292</v>
      </c>
      <c r="H18" s="46">
        <v>32.7438</v>
      </c>
      <c r="I18" s="46">
        <v>20.82855</v>
      </c>
      <c r="J18" s="46">
        <v>17.28</v>
      </c>
      <c r="K18" s="46">
        <v>9.1199999999999992</v>
      </c>
      <c r="L18" s="46">
        <v>0</v>
      </c>
      <c r="M18" s="48">
        <v>487032000</v>
      </c>
      <c r="N18" s="48">
        <v>106825.41005540517</v>
      </c>
    </row>
    <row r="19" spans="1:14">
      <c r="A19" t="s">
        <v>20</v>
      </c>
      <c r="F19" s="48">
        <v>65635</v>
      </c>
      <c r="G19" s="46">
        <v>218.292</v>
      </c>
      <c r="H19" s="46">
        <v>32.7438</v>
      </c>
      <c r="I19" s="46">
        <v>20.82855</v>
      </c>
      <c r="J19" s="46">
        <v>17.28</v>
      </c>
      <c r="K19" s="46">
        <v>9.1199999999999992</v>
      </c>
      <c r="L19" s="46">
        <v>0</v>
      </c>
      <c r="M19" s="48">
        <v>487032000</v>
      </c>
      <c r="N19" s="48">
        <v>106825.41005540517</v>
      </c>
    </row>
    <row r="20" spans="1:14">
      <c r="A20" t="s">
        <v>21</v>
      </c>
      <c r="B20" t="s">
        <v>14</v>
      </c>
      <c r="C20" t="s">
        <v>8</v>
      </c>
      <c r="D20" t="s">
        <v>77</v>
      </c>
      <c r="E20" t="s">
        <v>10</v>
      </c>
      <c r="F20" s="48">
        <v>2880</v>
      </c>
      <c r="G20" s="46"/>
      <c r="H20" s="46"/>
      <c r="I20" s="46">
        <v>1.7279999999999998</v>
      </c>
      <c r="J20" s="46">
        <v>17.28</v>
      </c>
      <c r="K20" s="46"/>
      <c r="L20" s="46"/>
      <c r="M20" s="48"/>
      <c r="N20" s="48"/>
    </row>
    <row r="21" spans="1:14">
      <c r="E21" t="s">
        <v>15</v>
      </c>
      <c r="F21" s="48">
        <v>6080</v>
      </c>
      <c r="G21" s="46"/>
      <c r="H21" s="46"/>
      <c r="I21" s="46"/>
      <c r="J21" s="46"/>
      <c r="K21" s="46">
        <v>9.1199999999999992</v>
      </c>
      <c r="L21" s="46"/>
      <c r="M21" s="48"/>
      <c r="N21" s="48"/>
    </row>
    <row r="22" spans="1:14">
      <c r="C22" t="s">
        <v>24</v>
      </c>
      <c r="D22" t="s">
        <v>77</v>
      </c>
      <c r="E22" t="s">
        <v>79</v>
      </c>
      <c r="F22" s="48">
        <v>3401</v>
      </c>
      <c r="G22" s="46">
        <v>0</v>
      </c>
      <c r="H22" s="46">
        <v>0</v>
      </c>
      <c r="I22" s="46">
        <v>0</v>
      </c>
      <c r="J22" s="46">
        <v>0</v>
      </c>
      <c r="K22" s="46">
        <v>5.1014999999999997</v>
      </c>
      <c r="L22" s="46">
        <v>0</v>
      </c>
      <c r="M22" s="48"/>
      <c r="N22" s="48">
        <v>0</v>
      </c>
    </row>
    <row r="23" spans="1:14">
      <c r="E23" t="s">
        <v>26</v>
      </c>
      <c r="F23" s="48">
        <v>2833</v>
      </c>
      <c r="G23" s="46">
        <v>0</v>
      </c>
      <c r="H23" s="46">
        <v>0</v>
      </c>
      <c r="I23" s="46">
        <v>1.6998000000000002</v>
      </c>
      <c r="J23" s="46">
        <v>16.998000000000001</v>
      </c>
      <c r="K23" s="46">
        <v>0</v>
      </c>
      <c r="L23" s="46">
        <v>0</v>
      </c>
      <c r="M23" s="48"/>
      <c r="N23" s="48"/>
    </row>
    <row r="24" spans="1:14">
      <c r="B24" t="s">
        <v>100</v>
      </c>
      <c r="F24" s="48">
        <v>15194</v>
      </c>
      <c r="G24" s="46">
        <v>0</v>
      </c>
      <c r="H24" s="46">
        <v>0</v>
      </c>
      <c r="I24" s="46">
        <v>3.4278</v>
      </c>
      <c r="J24" s="46">
        <v>34.278000000000006</v>
      </c>
      <c r="K24" s="46">
        <v>14.221499999999999</v>
      </c>
      <c r="L24" s="46">
        <v>0</v>
      </c>
      <c r="M24" s="48"/>
      <c r="N24" s="48">
        <v>0</v>
      </c>
    </row>
    <row r="25" spans="1:14">
      <c r="A25" t="s">
        <v>22</v>
      </c>
      <c r="F25" s="48">
        <v>15194</v>
      </c>
      <c r="G25" s="46">
        <v>0</v>
      </c>
      <c r="H25" s="46">
        <v>0</v>
      </c>
      <c r="I25" s="46">
        <v>3.4278</v>
      </c>
      <c r="J25" s="46">
        <v>34.278000000000006</v>
      </c>
      <c r="K25" s="46">
        <v>14.221499999999999</v>
      </c>
      <c r="L25" s="46">
        <v>0</v>
      </c>
      <c r="M25" s="48"/>
      <c r="N25" s="48">
        <v>0</v>
      </c>
    </row>
    <row r="26" spans="1:14">
      <c r="A26" t="s">
        <v>30</v>
      </c>
      <c r="F26" s="48">
        <v>157399</v>
      </c>
      <c r="G26" s="46">
        <v>588.33600000000001</v>
      </c>
      <c r="H26" s="46">
        <v>88.250400000000013</v>
      </c>
      <c r="I26" s="46">
        <v>63.462600000000009</v>
      </c>
      <c r="J26" s="46">
        <v>119.83200000000001</v>
      </c>
      <c r="K26" s="46">
        <v>47.765999999999998</v>
      </c>
      <c r="L26" s="46">
        <v>27.689999999999984</v>
      </c>
      <c r="M26" s="48">
        <v>1727256000</v>
      </c>
      <c r="N26" s="48">
        <v>378855.66137473291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5703-268A-42BA-9046-3909E192BDE2}">
  <dimension ref="A3:P325"/>
  <sheetViews>
    <sheetView workbookViewId="0">
      <selection activeCell="E10" sqref="E10"/>
    </sheetView>
  </sheetViews>
  <sheetFormatPr defaultRowHeight="14.5"/>
  <cols>
    <col min="1" max="1" width="12.54296875" customWidth="1"/>
    <col min="2" max="2" width="15.1796875" customWidth="1"/>
    <col min="3" max="3" width="9.81640625" bestFit="1" customWidth="1"/>
    <col min="4" max="4" width="9.81640625" customWidth="1"/>
    <col min="5" max="5" width="40.26953125" bestFit="1" customWidth="1"/>
    <col min="6" max="6" width="17.81640625" style="147" bestFit="1" customWidth="1"/>
    <col min="7" max="7" width="24.453125" bestFit="1" customWidth="1"/>
    <col min="8" max="9" width="10.453125" bestFit="1" customWidth="1"/>
    <col min="10" max="10" width="12.7265625" bestFit="1" customWidth="1"/>
    <col min="11" max="11" width="12" bestFit="1" customWidth="1"/>
    <col min="12" max="12" width="12.453125" bestFit="1" customWidth="1"/>
    <col min="13" max="13" width="12.453125" style="147" bestFit="1" customWidth="1"/>
    <col min="14" max="14" width="18.26953125" style="147" bestFit="1" customWidth="1"/>
    <col min="15" max="15" width="17.26953125" style="178" bestFit="1" customWidth="1"/>
    <col min="16" max="16" width="16.26953125" bestFit="1" customWidth="1"/>
  </cols>
  <sheetData>
    <row r="3" spans="1:16">
      <c r="F3" s="212" t="s">
        <v>0</v>
      </c>
      <c r="M3"/>
      <c r="N3"/>
      <c r="O3"/>
    </row>
    <row r="4" spans="1:16">
      <c r="A4" s="42" t="s">
        <v>2</v>
      </c>
      <c r="B4" s="42" t="s">
        <v>4</v>
      </c>
      <c r="C4" s="42" t="s">
        <v>1</v>
      </c>
      <c r="D4" s="42" t="s">
        <v>68</v>
      </c>
      <c r="E4" s="42" t="s">
        <v>3</v>
      </c>
      <c r="F4" s="48" t="s">
        <v>132</v>
      </c>
      <c r="G4" t="s">
        <v>69</v>
      </c>
      <c r="H4" t="s">
        <v>70</v>
      </c>
      <c r="I4" t="s">
        <v>71</v>
      </c>
      <c r="J4" t="s">
        <v>5</v>
      </c>
      <c r="K4" t="s">
        <v>6</v>
      </c>
      <c r="L4" t="s">
        <v>7</v>
      </c>
      <c r="M4" t="s">
        <v>72</v>
      </c>
      <c r="N4" t="s">
        <v>133</v>
      </c>
      <c r="O4" t="s">
        <v>73</v>
      </c>
      <c r="P4" t="s">
        <v>131</v>
      </c>
    </row>
    <row r="5" spans="1:16">
      <c r="A5" t="s">
        <v>17</v>
      </c>
      <c r="B5" t="s">
        <v>11</v>
      </c>
      <c r="C5" t="s">
        <v>74</v>
      </c>
      <c r="D5" t="s">
        <v>76</v>
      </c>
      <c r="E5" t="s">
        <v>75</v>
      </c>
      <c r="F5" s="48">
        <v>5914</v>
      </c>
      <c r="G5" s="48">
        <v>29570</v>
      </c>
      <c r="M5"/>
      <c r="N5"/>
      <c r="O5" s="48">
        <v>709680000</v>
      </c>
      <c r="P5" s="48">
        <v>155660.93605372944</v>
      </c>
    </row>
    <row r="6" spans="1:16">
      <c r="B6" t="s">
        <v>11</v>
      </c>
      <c r="C6" t="s">
        <v>8</v>
      </c>
      <c r="D6" t="s">
        <v>76</v>
      </c>
      <c r="E6" t="s">
        <v>10</v>
      </c>
      <c r="F6" s="48"/>
      <c r="G6" s="48">
        <v>670</v>
      </c>
      <c r="M6"/>
      <c r="N6"/>
      <c r="O6" s="48">
        <v>39030000</v>
      </c>
      <c r="P6" s="48">
        <v>8560.8250678856075</v>
      </c>
    </row>
    <row r="7" spans="1:16">
      <c r="B7" t="s">
        <v>11</v>
      </c>
      <c r="C7" t="s">
        <v>8</v>
      </c>
      <c r="D7" t="s">
        <v>76</v>
      </c>
      <c r="E7" t="s">
        <v>15</v>
      </c>
      <c r="F7" s="48"/>
      <c r="G7" s="48">
        <v>972</v>
      </c>
      <c r="M7"/>
      <c r="N7"/>
      <c r="O7" s="48">
        <v>20412000</v>
      </c>
      <c r="P7" s="48">
        <v>4477.1601661716895</v>
      </c>
    </row>
    <row r="8" spans="1:16">
      <c r="B8" t="s">
        <v>11</v>
      </c>
      <c r="C8" t="s">
        <v>8</v>
      </c>
      <c r="D8" t="s">
        <v>77</v>
      </c>
      <c r="E8" t="s">
        <v>10</v>
      </c>
      <c r="F8" s="48"/>
      <c r="G8" s="48">
        <v>11355</v>
      </c>
      <c r="J8">
        <v>6.8130000000000006</v>
      </c>
      <c r="K8">
        <v>68.129999999999981</v>
      </c>
      <c r="M8"/>
      <c r="N8">
        <v>74.943000000000012</v>
      </c>
      <c r="O8" s="48"/>
      <c r="P8" s="48"/>
    </row>
    <row r="9" spans="1:16">
      <c r="B9" t="s">
        <v>11</v>
      </c>
      <c r="C9" t="s">
        <v>8</v>
      </c>
      <c r="D9" t="s">
        <v>77</v>
      </c>
      <c r="E9" t="s">
        <v>15</v>
      </c>
      <c r="F9" s="48"/>
      <c r="G9" s="48">
        <v>17113</v>
      </c>
      <c r="L9">
        <v>25.669499999999999</v>
      </c>
      <c r="M9"/>
      <c r="N9">
        <v>25.669499999999999</v>
      </c>
      <c r="O9" s="48"/>
      <c r="P9" s="48"/>
    </row>
    <row r="10" spans="1:16">
      <c r="B10" t="s">
        <v>11</v>
      </c>
      <c r="C10" t="s">
        <v>109</v>
      </c>
      <c r="D10" t="s">
        <v>112</v>
      </c>
      <c r="E10" t="s">
        <v>111</v>
      </c>
      <c r="F10" s="48"/>
      <c r="G10" s="48">
        <v>126922</v>
      </c>
      <c r="H10">
        <v>833.14999999999975</v>
      </c>
      <c r="I10">
        <v>48.049999999999955</v>
      </c>
      <c r="J10">
        <v>59.368499999999976</v>
      </c>
      <c r="M10"/>
      <c r="N10"/>
      <c r="O10" s="48">
        <v>2803453136</v>
      </c>
      <c r="P10" s="48"/>
    </row>
    <row r="11" spans="1:16">
      <c r="B11" t="s">
        <v>11</v>
      </c>
      <c r="C11" t="s">
        <v>109</v>
      </c>
      <c r="D11" t="s">
        <v>77</v>
      </c>
      <c r="E11" t="s">
        <v>111</v>
      </c>
      <c r="F11" s="48"/>
      <c r="G11" s="48">
        <v>96000</v>
      </c>
      <c r="H11">
        <v>592.55000000000007</v>
      </c>
      <c r="I11">
        <v>129.15000000000003</v>
      </c>
      <c r="J11">
        <v>42.583500000000043</v>
      </c>
      <c r="M11"/>
      <c r="N11">
        <v>764.28349999999978</v>
      </c>
      <c r="O11" s="48">
        <v>0</v>
      </c>
      <c r="P11" s="48"/>
    </row>
    <row r="12" spans="1:16">
      <c r="B12" t="s">
        <v>11</v>
      </c>
      <c r="C12" t="s">
        <v>24</v>
      </c>
      <c r="D12" t="s">
        <v>76</v>
      </c>
      <c r="E12" t="s">
        <v>25</v>
      </c>
      <c r="F12" s="48">
        <v>12046.2</v>
      </c>
      <c r="G12" s="48">
        <v>60231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48">
        <v>2891088000</v>
      </c>
      <c r="P12" s="48">
        <v>634130.12103159796</v>
      </c>
    </row>
    <row r="13" spans="1:16">
      <c r="B13" t="s">
        <v>11</v>
      </c>
      <c r="C13" t="s">
        <v>24</v>
      </c>
      <c r="D13" t="s">
        <v>77</v>
      </c>
      <c r="E13" t="s">
        <v>25</v>
      </c>
      <c r="F13" s="48">
        <v>46027.8</v>
      </c>
      <c r="G13" s="48">
        <v>230139</v>
      </c>
      <c r="H13">
        <v>2761.6680000000001</v>
      </c>
      <c r="I13">
        <v>414.25020000000001</v>
      </c>
      <c r="J13">
        <v>241.64595</v>
      </c>
      <c r="K13">
        <v>0</v>
      </c>
      <c r="M13">
        <v>0</v>
      </c>
      <c r="N13">
        <v>3417.5641499999992</v>
      </c>
      <c r="O13" s="48"/>
      <c r="P13" s="48">
        <v>0</v>
      </c>
    </row>
    <row r="14" spans="1:16">
      <c r="B14" t="s">
        <v>11</v>
      </c>
      <c r="C14" t="s">
        <v>24</v>
      </c>
      <c r="D14" t="s">
        <v>77</v>
      </c>
      <c r="E14" t="s">
        <v>79</v>
      </c>
      <c r="F14" s="48">
        <v>17425</v>
      </c>
      <c r="G14" s="48">
        <v>17425</v>
      </c>
      <c r="H14">
        <v>0</v>
      </c>
      <c r="I14">
        <v>0</v>
      </c>
      <c r="J14">
        <v>0</v>
      </c>
      <c r="K14">
        <v>0</v>
      </c>
      <c r="L14">
        <v>78.412499999999994</v>
      </c>
      <c r="M14">
        <v>0</v>
      </c>
      <c r="N14">
        <v>78.412499999999994</v>
      </c>
      <c r="O14" s="48"/>
      <c r="P14" s="48">
        <v>0</v>
      </c>
    </row>
    <row r="15" spans="1:16">
      <c r="B15" t="s">
        <v>11</v>
      </c>
      <c r="C15" t="s">
        <v>24</v>
      </c>
      <c r="D15" t="s">
        <v>77</v>
      </c>
      <c r="E15" t="s">
        <v>26</v>
      </c>
      <c r="F15" s="48">
        <v>14518</v>
      </c>
      <c r="G15" s="48">
        <v>14518</v>
      </c>
      <c r="H15">
        <v>0</v>
      </c>
      <c r="I15">
        <v>0</v>
      </c>
      <c r="J15">
        <v>26.132399999999997</v>
      </c>
      <c r="K15">
        <v>261.32400000000001</v>
      </c>
      <c r="L15">
        <v>0</v>
      </c>
      <c r="M15">
        <v>0</v>
      </c>
      <c r="N15">
        <v>287.45639999999997</v>
      </c>
      <c r="O15" s="48"/>
      <c r="P15" s="48"/>
    </row>
    <row r="16" spans="1:16">
      <c r="B16" t="s">
        <v>11</v>
      </c>
      <c r="C16" t="s">
        <v>24</v>
      </c>
      <c r="D16" t="s">
        <v>77</v>
      </c>
      <c r="E16" t="s">
        <v>115</v>
      </c>
      <c r="F16" s="48"/>
      <c r="G16" s="48">
        <v>16140</v>
      </c>
      <c r="M16">
        <v>56.333999999999982</v>
      </c>
      <c r="N16">
        <v>56.333999999999982</v>
      </c>
      <c r="O16" s="48"/>
      <c r="P16" s="48"/>
    </row>
    <row r="17" spans="2:16">
      <c r="B17" t="s">
        <v>12</v>
      </c>
      <c r="C17" t="s">
        <v>8</v>
      </c>
      <c r="D17" t="s">
        <v>77</v>
      </c>
      <c r="E17" t="s">
        <v>10</v>
      </c>
      <c r="F17" s="48"/>
      <c r="G17" s="48"/>
      <c r="J17">
        <v>0</v>
      </c>
      <c r="K17">
        <v>0</v>
      </c>
      <c r="M17"/>
      <c r="N17">
        <v>0</v>
      </c>
      <c r="O17" s="48"/>
      <c r="P17" s="48"/>
    </row>
    <row r="18" spans="2:16">
      <c r="B18" t="s">
        <v>12</v>
      </c>
      <c r="C18" t="s">
        <v>8</v>
      </c>
      <c r="D18" t="s">
        <v>77</v>
      </c>
      <c r="E18" t="s">
        <v>15</v>
      </c>
      <c r="F18" s="48"/>
      <c r="G18" s="48">
        <v>0</v>
      </c>
      <c r="L18">
        <v>0</v>
      </c>
      <c r="M18"/>
      <c r="N18">
        <v>0</v>
      </c>
      <c r="O18" s="48"/>
      <c r="P18" s="48"/>
    </row>
    <row r="19" spans="2:16">
      <c r="B19" t="s">
        <v>12</v>
      </c>
      <c r="C19" t="s">
        <v>109</v>
      </c>
      <c r="D19" t="s">
        <v>112</v>
      </c>
      <c r="E19" t="s">
        <v>111</v>
      </c>
      <c r="F19" s="48"/>
      <c r="G19" s="48">
        <v>22670</v>
      </c>
      <c r="H19">
        <v>152.79999999999998</v>
      </c>
      <c r="I19">
        <v>9.1499999999999915</v>
      </c>
      <c r="J19">
        <v>10.871999999999998</v>
      </c>
      <c r="M19"/>
      <c r="N19"/>
      <c r="O19" s="48">
        <v>499026479</v>
      </c>
      <c r="P19" s="48"/>
    </row>
    <row r="20" spans="2:16">
      <c r="B20" t="s">
        <v>12</v>
      </c>
      <c r="C20" t="s">
        <v>109</v>
      </c>
      <c r="D20" t="s">
        <v>77</v>
      </c>
      <c r="E20" t="s">
        <v>111</v>
      </c>
      <c r="F20" s="48"/>
      <c r="G20" s="48">
        <v>38074</v>
      </c>
      <c r="H20">
        <v>253.40000000000003</v>
      </c>
      <c r="I20">
        <v>57.35</v>
      </c>
      <c r="J20">
        <v>18.049500000000002</v>
      </c>
      <c r="M20"/>
      <c r="N20">
        <v>328.79949999999991</v>
      </c>
      <c r="O20" s="48">
        <v>0</v>
      </c>
      <c r="P20" s="48"/>
    </row>
    <row r="21" spans="2:16">
      <c r="B21" t="s">
        <v>12</v>
      </c>
      <c r="C21" t="s">
        <v>24</v>
      </c>
      <c r="D21" t="s">
        <v>76</v>
      </c>
      <c r="E21" t="s">
        <v>25</v>
      </c>
      <c r="F21" s="48">
        <v>7000</v>
      </c>
      <c r="G21" s="48"/>
      <c r="K21">
        <v>0</v>
      </c>
      <c r="M21">
        <v>0</v>
      </c>
      <c r="N21">
        <v>0</v>
      </c>
      <c r="O21" s="48">
        <v>840000000</v>
      </c>
      <c r="P21" s="48">
        <v>184245.27432805308</v>
      </c>
    </row>
    <row r="22" spans="2:16">
      <c r="B22" t="s">
        <v>12</v>
      </c>
      <c r="C22" t="s">
        <v>24</v>
      </c>
      <c r="D22" t="s">
        <v>77</v>
      </c>
      <c r="E22" t="s">
        <v>25</v>
      </c>
      <c r="F22" s="48">
        <v>16876</v>
      </c>
      <c r="G22" s="48">
        <v>119380</v>
      </c>
      <c r="H22">
        <v>1222.56</v>
      </c>
      <c r="I22">
        <v>183.38400000000001</v>
      </c>
      <c r="J22">
        <v>106.974</v>
      </c>
      <c r="K22">
        <v>0</v>
      </c>
      <c r="M22">
        <v>0</v>
      </c>
      <c r="N22">
        <v>1512.9180000000001</v>
      </c>
      <c r="O22" s="48">
        <v>0</v>
      </c>
      <c r="P22" s="48">
        <v>0</v>
      </c>
    </row>
    <row r="23" spans="2:16">
      <c r="B23" t="s">
        <v>12</v>
      </c>
      <c r="C23" t="s">
        <v>24</v>
      </c>
      <c r="D23" t="s">
        <v>77</v>
      </c>
      <c r="E23" t="s">
        <v>79</v>
      </c>
      <c r="F23" s="48">
        <v>6469</v>
      </c>
      <c r="G23" s="48">
        <v>6469</v>
      </c>
      <c r="H23">
        <v>0</v>
      </c>
      <c r="I23">
        <v>0</v>
      </c>
      <c r="J23">
        <v>0</v>
      </c>
      <c r="K23">
        <v>0</v>
      </c>
      <c r="L23">
        <v>29.110499999999998</v>
      </c>
      <c r="M23">
        <v>0</v>
      </c>
      <c r="N23">
        <v>29.110499999999998</v>
      </c>
      <c r="O23" s="48"/>
      <c r="P23" s="48">
        <v>0</v>
      </c>
    </row>
    <row r="24" spans="2:16">
      <c r="B24" t="s">
        <v>12</v>
      </c>
      <c r="C24" t="s">
        <v>24</v>
      </c>
      <c r="D24" t="s">
        <v>77</v>
      </c>
      <c r="E24" t="s">
        <v>26</v>
      </c>
      <c r="F24" s="48">
        <v>5392</v>
      </c>
      <c r="G24" s="48">
        <v>5392</v>
      </c>
      <c r="I24">
        <v>0</v>
      </c>
      <c r="J24">
        <v>9.7056000000000004</v>
      </c>
      <c r="K24">
        <v>97.055999999999997</v>
      </c>
      <c r="M24">
        <v>0</v>
      </c>
      <c r="N24">
        <v>106.7616</v>
      </c>
      <c r="O24" s="48"/>
      <c r="P24" s="48"/>
    </row>
    <row r="25" spans="2:16">
      <c r="B25" t="s">
        <v>12</v>
      </c>
      <c r="C25" t="s">
        <v>24</v>
      </c>
      <c r="D25" t="s">
        <v>77</v>
      </c>
      <c r="E25" t="s">
        <v>115</v>
      </c>
      <c r="F25" s="48"/>
      <c r="G25" s="48">
        <v>500</v>
      </c>
      <c r="M25">
        <v>2.9999999999999996</v>
      </c>
      <c r="N25">
        <v>2.9999999999999996</v>
      </c>
      <c r="O25" s="48"/>
      <c r="P25" s="48"/>
    </row>
    <row r="26" spans="2:16">
      <c r="B26" t="s">
        <v>12</v>
      </c>
      <c r="C26" t="s">
        <v>24</v>
      </c>
      <c r="D26" t="s">
        <v>85</v>
      </c>
      <c r="E26" t="s">
        <v>26</v>
      </c>
      <c r="F26" s="48">
        <v>0</v>
      </c>
      <c r="G26" s="48"/>
      <c r="I26">
        <v>0</v>
      </c>
      <c r="J26">
        <v>0</v>
      </c>
      <c r="K26">
        <v>0</v>
      </c>
      <c r="M26">
        <v>0</v>
      </c>
      <c r="N26">
        <v>0</v>
      </c>
      <c r="O26" s="48"/>
      <c r="P26" s="48"/>
    </row>
    <row r="27" spans="2:16">
      <c r="B27" t="s">
        <v>87</v>
      </c>
      <c r="C27" t="s">
        <v>109</v>
      </c>
      <c r="D27" t="s">
        <v>112</v>
      </c>
      <c r="E27" t="s">
        <v>111</v>
      </c>
      <c r="F27" s="48"/>
      <c r="G27" s="48">
        <v>8738</v>
      </c>
      <c r="H27">
        <v>55.349999999999994</v>
      </c>
      <c r="I27">
        <v>3.0499999999999994</v>
      </c>
      <c r="J27">
        <v>3.9735000000000005</v>
      </c>
      <c r="M27"/>
      <c r="N27"/>
      <c r="O27" s="48">
        <v>193004944</v>
      </c>
      <c r="P27" s="48"/>
    </row>
    <row r="28" spans="2:16">
      <c r="B28" t="s">
        <v>87</v>
      </c>
      <c r="C28" t="s">
        <v>24</v>
      </c>
      <c r="D28" t="s">
        <v>76</v>
      </c>
      <c r="E28" t="s">
        <v>89</v>
      </c>
      <c r="F28" s="48">
        <v>13608</v>
      </c>
      <c r="G28" s="48">
        <v>68040</v>
      </c>
      <c r="M28"/>
      <c r="N28">
        <v>0</v>
      </c>
      <c r="O28" s="48">
        <v>1632960000</v>
      </c>
      <c r="P28" s="48">
        <v>358172.81329373526</v>
      </c>
    </row>
    <row r="29" spans="2:16">
      <c r="B29" t="s">
        <v>87</v>
      </c>
      <c r="C29" t="s">
        <v>24</v>
      </c>
      <c r="D29" t="s">
        <v>77</v>
      </c>
      <c r="E29" t="s">
        <v>122</v>
      </c>
      <c r="F29" s="48"/>
      <c r="G29" s="48">
        <v>4323.6000000000004</v>
      </c>
      <c r="L29">
        <v>25.941599999999998</v>
      </c>
      <c r="M29"/>
      <c r="N29">
        <v>25.941599999999998</v>
      </c>
      <c r="O29" s="48"/>
      <c r="P29" s="48">
        <v>0</v>
      </c>
    </row>
    <row r="30" spans="2:16">
      <c r="B30" t="s">
        <v>87</v>
      </c>
      <c r="C30" t="s">
        <v>24</v>
      </c>
      <c r="D30" t="s">
        <v>77</v>
      </c>
      <c r="E30" t="s">
        <v>123</v>
      </c>
      <c r="F30" s="48"/>
      <c r="G30" s="48">
        <v>3603</v>
      </c>
      <c r="J30">
        <v>8.6471999999999998</v>
      </c>
      <c r="K30">
        <v>86.472000000000008</v>
      </c>
      <c r="M30"/>
      <c r="N30">
        <v>95.119199999999992</v>
      </c>
      <c r="O30" s="48"/>
      <c r="P30" s="48">
        <v>0</v>
      </c>
    </row>
    <row r="31" spans="2:16">
      <c r="B31" t="s">
        <v>87</v>
      </c>
      <c r="C31" t="s">
        <v>24</v>
      </c>
      <c r="D31" t="s">
        <v>77</v>
      </c>
      <c r="E31" t="s">
        <v>89</v>
      </c>
      <c r="F31" s="48">
        <v>804</v>
      </c>
      <c r="G31" s="48">
        <v>4020</v>
      </c>
      <c r="M31"/>
      <c r="N31">
        <v>0</v>
      </c>
      <c r="O31" s="48"/>
      <c r="P31" s="48">
        <v>0</v>
      </c>
    </row>
    <row r="32" spans="2:16">
      <c r="B32" t="s">
        <v>13</v>
      </c>
      <c r="C32" t="s">
        <v>74</v>
      </c>
      <c r="D32" t="s">
        <v>76</v>
      </c>
      <c r="E32" t="s">
        <v>75</v>
      </c>
      <c r="F32" s="48">
        <v>2260</v>
      </c>
      <c r="G32" s="48">
        <v>11300</v>
      </c>
      <c r="M32"/>
      <c r="N32"/>
      <c r="O32" s="48">
        <v>271200000</v>
      </c>
      <c r="P32" s="48">
        <v>59484.902854485714</v>
      </c>
    </row>
    <row r="33" spans="2:16">
      <c r="B33" t="s">
        <v>13</v>
      </c>
      <c r="C33" t="s">
        <v>8</v>
      </c>
      <c r="D33" t="s">
        <v>77</v>
      </c>
      <c r="E33" t="s">
        <v>10</v>
      </c>
      <c r="F33" s="48"/>
      <c r="G33" s="48">
        <v>5754.09</v>
      </c>
      <c r="J33">
        <v>3.4524539999999999</v>
      </c>
      <c r="K33">
        <v>34.524540000000002</v>
      </c>
      <c r="M33"/>
      <c r="N33">
        <v>37.976994000000005</v>
      </c>
      <c r="O33" s="48"/>
      <c r="P33" s="48"/>
    </row>
    <row r="34" spans="2:16">
      <c r="B34" t="s">
        <v>13</v>
      </c>
      <c r="C34" t="s">
        <v>8</v>
      </c>
      <c r="D34" t="s">
        <v>77</v>
      </c>
      <c r="E34" t="s">
        <v>15</v>
      </c>
      <c r="F34" s="48"/>
      <c r="G34" s="48">
        <v>4323</v>
      </c>
      <c r="L34">
        <v>6.4844999999999997</v>
      </c>
      <c r="M34"/>
      <c r="N34">
        <v>6.4844999999999997</v>
      </c>
      <c r="O34" s="48"/>
      <c r="P34" s="48"/>
    </row>
    <row r="35" spans="2:16">
      <c r="B35" t="s">
        <v>13</v>
      </c>
      <c r="C35" t="s">
        <v>109</v>
      </c>
      <c r="D35" t="s">
        <v>112</v>
      </c>
      <c r="E35" t="s">
        <v>111</v>
      </c>
      <c r="F35" s="48"/>
      <c r="G35" s="48">
        <v>36587</v>
      </c>
      <c r="H35">
        <v>158.70000000000005</v>
      </c>
      <c r="I35">
        <v>7.649999999999987</v>
      </c>
      <c r="J35">
        <v>11.335499999999998</v>
      </c>
      <c r="M35"/>
      <c r="N35"/>
      <c r="O35" s="48">
        <v>805111956</v>
      </c>
      <c r="P35" s="48"/>
    </row>
    <row r="36" spans="2:16">
      <c r="B36" t="s">
        <v>13</v>
      </c>
      <c r="C36" t="s">
        <v>24</v>
      </c>
      <c r="D36" t="s">
        <v>76</v>
      </c>
      <c r="E36" t="s">
        <v>25</v>
      </c>
      <c r="F36" s="48">
        <v>18493.400000000001</v>
      </c>
      <c r="G36" s="48">
        <v>92467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48">
        <v>4438416000</v>
      </c>
      <c r="P36" s="48">
        <v>973520.44464526209</v>
      </c>
    </row>
    <row r="37" spans="2:16">
      <c r="B37" t="s">
        <v>13</v>
      </c>
      <c r="C37" t="s">
        <v>24</v>
      </c>
      <c r="D37" t="s">
        <v>77</v>
      </c>
      <c r="E37" t="s">
        <v>25</v>
      </c>
      <c r="F37" s="48">
        <v>11096.4</v>
      </c>
      <c r="G37" s="48">
        <v>55482</v>
      </c>
      <c r="H37">
        <v>665.78399999999999</v>
      </c>
      <c r="I37">
        <v>99.86760000000001</v>
      </c>
      <c r="J37">
        <v>58.256100000000004</v>
      </c>
      <c r="K37">
        <v>0</v>
      </c>
      <c r="M37">
        <v>0</v>
      </c>
      <c r="N37">
        <v>823.90769999999998</v>
      </c>
      <c r="O37" s="48"/>
      <c r="P37" s="48">
        <v>0</v>
      </c>
    </row>
    <row r="38" spans="2:16">
      <c r="B38" t="s">
        <v>13</v>
      </c>
      <c r="C38" t="s">
        <v>24</v>
      </c>
      <c r="D38" t="s">
        <v>77</v>
      </c>
      <c r="E38" t="s">
        <v>79</v>
      </c>
      <c r="F38" s="48">
        <v>8876</v>
      </c>
      <c r="G38" s="48">
        <v>8876</v>
      </c>
      <c r="H38">
        <v>0</v>
      </c>
      <c r="I38">
        <v>0</v>
      </c>
      <c r="J38">
        <v>0</v>
      </c>
      <c r="K38">
        <v>0</v>
      </c>
      <c r="L38">
        <v>39.942000000000007</v>
      </c>
      <c r="M38">
        <v>0</v>
      </c>
      <c r="N38">
        <v>39.942000000000007</v>
      </c>
      <c r="O38" s="48"/>
      <c r="P38" s="48">
        <v>0</v>
      </c>
    </row>
    <row r="39" spans="2:16">
      <c r="B39" t="s">
        <v>13</v>
      </c>
      <c r="C39" t="s">
        <v>24</v>
      </c>
      <c r="D39" t="s">
        <v>77</v>
      </c>
      <c r="E39" t="s">
        <v>26</v>
      </c>
      <c r="F39" s="48">
        <v>7397</v>
      </c>
      <c r="G39" s="48">
        <v>7397</v>
      </c>
      <c r="H39">
        <v>0</v>
      </c>
      <c r="I39">
        <v>0</v>
      </c>
      <c r="J39">
        <v>13.314599999999999</v>
      </c>
      <c r="K39">
        <v>133.14599999999999</v>
      </c>
      <c r="L39">
        <v>0</v>
      </c>
      <c r="M39">
        <v>0</v>
      </c>
      <c r="N39">
        <v>146.4606</v>
      </c>
      <c r="O39" s="48"/>
      <c r="P39" s="48"/>
    </row>
    <row r="40" spans="2:16">
      <c r="B40" t="s">
        <v>13</v>
      </c>
      <c r="C40" t="s">
        <v>24</v>
      </c>
      <c r="D40" t="s">
        <v>77</v>
      </c>
      <c r="E40" t="s">
        <v>115</v>
      </c>
      <c r="F40" s="48"/>
      <c r="G40" s="48">
        <v>7895</v>
      </c>
      <c r="M40">
        <v>71.054999999999993</v>
      </c>
      <c r="N40">
        <v>71.054999999999993</v>
      </c>
      <c r="O40" s="48"/>
      <c r="P40" s="48"/>
    </row>
    <row r="41" spans="2:16">
      <c r="B41" t="s">
        <v>14</v>
      </c>
      <c r="C41" t="s">
        <v>8</v>
      </c>
      <c r="D41" t="s">
        <v>77</v>
      </c>
      <c r="E41" t="s">
        <v>10</v>
      </c>
      <c r="F41" s="48"/>
      <c r="G41" s="48">
        <v>2880</v>
      </c>
      <c r="J41">
        <v>1.7280000000000002</v>
      </c>
      <c r="K41">
        <v>17.279999999999998</v>
      </c>
      <c r="M41"/>
      <c r="N41">
        <v>19.008000000000003</v>
      </c>
      <c r="O41" s="48"/>
      <c r="P41" s="48"/>
    </row>
    <row r="42" spans="2:16">
      <c r="B42" t="s">
        <v>14</v>
      </c>
      <c r="C42" t="s">
        <v>8</v>
      </c>
      <c r="D42" t="s">
        <v>77</v>
      </c>
      <c r="E42" t="s">
        <v>15</v>
      </c>
      <c r="F42" s="48"/>
      <c r="G42" s="48">
        <v>6080</v>
      </c>
      <c r="L42">
        <v>9.120000000000001</v>
      </c>
      <c r="M42"/>
      <c r="N42">
        <v>9.120000000000001</v>
      </c>
      <c r="O42" s="48"/>
      <c r="P42" s="48"/>
    </row>
    <row r="43" spans="2:16">
      <c r="B43" t="s">
        <v>14</v>
      </c>
      <c r="C43" t="s">
        <v>109</v>
      </c>
      <c r="D43" t="s">
        <v>112</v>
      </c>
      <c r="E43" t="s">
        <v>111</v>
      </c>
      <c r="F43" s="48"/>
      <c r="G43" s="48">
        <v>52306</v>
      </c>
      <c r="H43">
        <v>348.15000000000003</v>
      </c>
      <c r="I43">
        <v>20.000000000000004</v>
      </c>
      <c r="J43">
        <v>23.70600000000001</v>
      </c>
      <c r="M43"/>
      <c r="N43"/>
      <c r="O43" s="48">
        <v>1149809522</v>
      </c>
      <c r="P43" s="48"/>
    </row>
    <row r="44" spans="2:16">
      <c r="B44" t="s">
        <v>14</v>
      </c>
      <c r="C44" t="s">
        <v>109</v>
      </c>
      <c r="D44" t="s">
        <v>77</v>
      </c>
      <c r="E44" t="s">
        <v>111</v>
      </c>
      <c r="F44" s="48"/>
      <c r="G44" s="48">
        <v>15275</v>
      </c>
      <c r="H44">
        <v>107.15</v>
      </c>
      <c r="I44">
        <v>23.100000000000009</v>
      </c>
      <c r="J44">
        <v>7.6725000000000012</v>
      </c>
      <c r="M44"/>
      <c r="N44">
        <v>137.92249999999999</v>
      </c>
      <c r="O44" s="48">
        <v>0</v>
      </c>
      <c r="P44" s="48"/>
    </row>
    <row r="45" spans="2:16">
      <c r="B45" t="s">
        <v>14</v>
      </c>
      <c r="C45" t="s">
        <v>24</v>
      </c>
      <c r="D45" t="s">
        <v>76</v>
      </c>
      <c r="E45" t="s">
        <v>25</v>
      </c>
      <c r="F45" s="48">
        <v>5167.6000000000004</v>
      </c>
      <c r="G45" s="48">
        <v>25838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48">
        <v>1240224000</v>
      </c>
      <c r="P45" s="48">
        <v>272030.25131932774</v>
      </c>
    </row>
    <row r="46" spans="2:16">
      <c r="B46" t="s">
        <v>14</v>
      </c>
      <c r="C46" t="s">
        <v>24</v>
      </c>
      <c r="D46" t="s">
        <v>77</v>
      </c>
      <c r="E46" t="s">
        <v>25</v>
      </c>
      <c r="F46" s="48">
        <v>6167.4</v>
      </c>
      <c r="G46" s="48">
        <v>30837</v>
      </c>
      <c r="H46">
        <v>370.04399999999998</v>
      </c>
      <c r="I46">
        <v>55.506600000000006</v>
      </c>
      <c r="J46">
        <v>32.37885</v>
      </c>
      <c r="K46">
        <v>0</v>
      </c>
      <c r="L46">
        <v>0</v>
      </c>
      <c r="M46">
        <v>0</v>
      </c>
      <c r="N46">
        <v>457.92945000000003</v>
      </c>
      <c r="O46" s="48"/>
      <c r="P46" s="48">
        <v>0</v>
      </c>
    </row>
    <row r="47" spans="2:16">
      <c r="B47" t="s">
        <v>14</v>
      </c>
      <c r="C47" t="s">
        <v>24</v>
      </c>
      <c r="D47" t="s">
        <v>77</v>
      </c>
      <c r="E47" t="s">
        <v>79</v>
      </c>
      <c r="F47" s="48">
        <v>3401</v>
      </c>
      <c r="G47" s="48">
        <v>3401</v>
      </c>
      <c r="H47">
        <v>0</v>
      </c>
      <c r="I47">
        <v>0</v>
      </c>
      <c r="J47">
        <v>0</v>
      </c>
      <c r="K47">
        <v>0</v>
      </c>
      <c r="L47">
        <v>15.304499999999999</v>
      </c>
      <c r="M47">
        <v>0</v>
      </c>
      <c r="N47">
        <v>15.304499999999999</v>
      </c>
      <c r="O47" s="48"/>
      <c r="P47" s="48">
        <v>0</v>
      </c>
    </row>
    <row r="48" spans="2:16">
      <c r="B48" t="s">
        <v>14</v>
      </c>
      <c r="C48" t="s">
        <v>24</v>
      </c>
      <c r="D48" t="s">
        <v>77</v>
      </c>
      <c r="E48" t="s">
        <v>26</v>
      </c>
      <c r="F48" s="48">
        <v>2833</v>
      </c>
      <c r="G48" s="48">
        <v>2833</v>
      </c>
      <c r="H48">
        <v>0</v>
      </c>
      <c r="I48">
        <v>0</v>
      </c>
      <c r="J48">
        <v>5.099400000000001</v>
      </c>
      <c r="K48">
        <v>50.994</v>
      </c>
      <c r="L48">
        <v>0</v>
      </c>
      <c r="M48">
        <v>0</v>
      </c>
      <c r="N48">
        <v>56.093400000000003</v>
      </c>
      <c r="O48" s="48"/>
      <c r="P48" s="48"/>
    </row>
    <row r="49" spans="1:16">
      <c r="B49" t="s">
        <v>14</v>
      </c>
      <c r="C49" t="s">
        <v>24</v>
      </c>
      <c r="D49" t="s">
        <v>77</v>
      </c>
      <c r="E49" t="s">
        <v>115</v>
      </c>
      <c r="F49" s="48"/>
      <c r="G49" s="48">
        <v>4701</v>
      </c>
      <c r="M49">
        <v>27.689999999999987</v>
      </c>
      <c r="N49">
        <v>27.689999999999987</v>
      </c>
      <c r="O49" s="48"/>
      <c r="P49" s="48"/>
    </row>
    <row r="50" spans="1:16">
      <c r="A50" t="s">
        <v>18</v>
      </c>
      <c r="F50" s="48">
        <v>211771.8</v>
      </c>
      <c r="G50" s="48">
        <v>1276496.69</v>
      </c>
      <c r="H50" s="46">
        <v>7521.3059999999996</v>
      </c>
      <c r="I50" s="46">
        <v>1050.5083999999999</v>
      </c>
      <c r="J50" s="46">
        <v>691.70855400000016</v>
      </c>
      <c r="K50" s="46">
        <v>748.92653999999993</v>
      </c>
      <c r="L50" s="46">
        <v>229.98509999999999</v>
      </c>
      <c r="M50" s="46">
        <v>158.07899999999998</v>
      </c>
      <c r="N50" s="46">
        <v>8655.2080939999996</v>
      </c>
      <c r="O50" s="48">
        <v>17533416037</v>
      </c>
      <c r="P50" s="48">
        <v>2650282.7287602485</v>
      </c>
    </row>
    <row r="51" spans="1:16">
      <c r="A51" t="s">
        <v>19</v>
      </c>
      <c r="B51" t="s">
        <v>11</v>
      </c>
      <c r="C51" t="s">
        <v>74</v>
      </c>
      <c r="D51" t="s">
        <v>76</v>
      </c>
      <c r="E51" t="s">
        <v>75</v>
      </c>
      <c r="F51" s="48">
        <v>5914</v>
      </c>
      <c r="G51" s="48">
        <v>29570</v>
      </c>
      <c r="M51"/>
      <c r="N51"/>
      <c r="O51" s="48">
        <v>709680000</v>
      </c>
      <c r="P51" s="48">
        <v>155660.93605372944</v>
      </c>
    </row>
    <row r="52" spans="1:16">
      <c r="B52" t="s">
        <v>11</v>
      </c>
      <c r="C52" t="s">
        <v>8</v>
      </c>
      <c r="D52" t="s">
        <v>76</v>
      </c>
      <c r="E52" t="s">
        <v>10</v>
      </c>
      <c r="F52" s="48"/>
      <c r="G52" s="48">
        <v>1005</v>
      </c>
      <c r="M52"/>
      <c r="N52"/>
      <c r="O52" s="48">
        <v>58545000</v>
      </c>
      <c r="P52" s="48">
        <v>12841.23760182841</v>
      </c>
    </row>
    <row r="53" spans="1:16">
      <c r="B53" t="s">
        <v>11</v>
      </c>
      <c r="C53" t="s">
        <v>8</v>
      </c>
      <c r="D53" t="s">
        <v>76</v>
      </c>
      <c r="E53" t="s">
        <v>15</v>
      </c>
      <c r="F53" s="48"/>
      <c r="G53" s="48">
        <v>1458</v>
      </c>
      <c r="M53"/>
      <c r="N53"/>
      <c r="O53" s="48">
        <v>30618000</v>
      </c>
      <c r="P53" s="48">
        <v>6715.7402492575329</v>
      </c>
    </row>
    <row r="54" spans="1:16">
      <c r="B54" t="s">
        <v>11</v>
      </c>
      <c r="C54" t="s">
        <v>8</v>
      </c>
      <c r="D54" t="s">
        <v>77</v>
      </c>
      <c r="E54" t="s">
        <v>10</v>
      </c>
      <c r="F54" s="48"/>
      <c r="G54" s="48">
        <v>11355</v>
      </c>
      <c r="J54">
        <v>6.8130000000000006</v>
      </c>
      <c r="K54">
        <v>68.129999999999981</v>
      </c>
      <c r="M54"/>
      <c r="N54">
        <v>74.943000000000012</v>
      </c>
      <c r="O54" s="48"/>
      <c r="P54" s="48"/>
    </row>
    <row r="55" spans="1:16">
      <c r="B55" t="s">
        <v>11</v>
      </c>
      <c r="C55" t="s">
        <v>8</v>
      </c>
      <c r="D55" t="s">
        <v>77</v>
      </c>
      <c r="E55" t="s">
        <v>15</v>
      </c>
      <c r="F55" s="48"/>
      <c r="G55" s="48">
        <v>17113</v>
      </c>
      <c r="L55">
        <v>25.669499999999999</v>
      </c>
      <c r="M55"/>
      <c r="N55">
        <v>25.669499999999999</v>
      </c>
      <c r="O55" s="48"/>
      <c r="P55" s="48"/>
    </row>
    <row r="56" spans="1:16">
      <c r="B56" t="s">
        <v>11</v>
      </c>
      <c r="C56" t="s">
        <v>24</v>
      </c>
      <c r="D56" t="s">
        <v>76</v>
      </c>
      <c r="E56" t="s">
        <v>25</v>
      </c>
      <c r="F56" s="48">
        <v>5280.6</v>
      </c>
      <c r="G56" s="48">
        <v>26403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48">
        <v>633672000</v>
      </c>
      <c r="P56" s="48">
        <v>138989.37080238815</v>
      </c>
    </row>
    <row r="57" spans="1:16">
      <c r="B57" t="s">
        <v>11</v>
      </c>
      <c r="C57" t="s">
        <v>24</v>
      </c>
      <c r="D57" t="s">
        <v>77</v>
      </c>
      <c r="E57" t="s">
        <v>25</v>
      </c>
      <c r="F57" s="48">
        <v>52793.400000000009</v>
      </c>
      <c r="G57" s="48">
        <v>263967</v>
      </c>
      <c r="H57">
        <v>1583.8019999999999</v>
      </c>
      <c r="I57">
        <v>237.5703</v>
      </c>
      <c r="J57">
        <v>138.58267499999997</v>
      </c>
      <c r="K57">
        <v>0</v>
      </c>
      <c r="M57">
        <v>0</v>
      </c>
      <c r="N57">
        <v>1959.9549749999996</v>
      </c>
      <c r="O57" s="48"/>
      <c r="P57" s="48">
        <v>0</v>
      </c>
    </row>
    <row r="58" spans="1:16">
      <c r="B58" t="s">
        <v>11</v>
      </c>
      <c r="C58" t="s">
        <v>24</v>
      </c>
      <c r="D58" t="s">
        <v>77</v>
      </c>
      <c r="E58" t="s">
        <v>27</v>
      </c>
      <c r="F58" s="48"/>
      <c r="G58" s="48">
        <v>4644</v>
      </c>
      <c r="J58">
        <v>3.4830000000000001</v>
      </c>
      <c r="K58">
        <v>34.83</v>
      </c>
      <c r="M58"/>
      <c r="N58">
        <v>38.313000000000002</v>
      </c>
      <c r="O58" s="48"/>
      <c r="P58" s="48"/>
    </row>
    <row r="59" spans="1:16">
      <c r="B59" t="s">
        <v>12</v>
      </c>
      <c r="C59" t="s">
        <v>8</v>
      </c>
      <c r="D59" t="s">
        <v>77</v>
      </c>
      <c r="E59" t="s">
        <v>10</v>
      </c>
      <c r="F59" s="48"/>
      <c r="G59" s="48"/>
      <c r="J59">
        <v>0</v>
      </c>
      <c r="K59">
        <v>0</v>
      </c>
      <c r="M59"/>
      <c r="N59">
        <v>0</v>
      </c>
      <c r="O59" s="48"/>
      <c r="P59" s="48"/>
    </row>
    <row r="60" spans="1:16">
      <c r="B60" t="s">
        <v>12</v>
      </c>
      <c r="C60" t="s">
        <v>8</v>
      </c>
      <c r="D60" t="s">
        <v>77</v>
      </c>
      <c r="E60" t="s">
        <v>15</v>
      </c>
      <c r="F60" s="48"/>
      <c r="G60" s="48">
        <v>0</v>
      </c>
      <c r="L60">
        <v>0</v>
      </c>
      <c r="M60"/>
      <c r="N60">
        <v>0</v>
      </c>
      <c r="O60" s="48"/>
      <c r="P60" s="48"/>
    </row>
    <row r="61" spans="1:16">
      <c r="B61" t="s">
        <v>12</v>
      </c>
      <c r="C61" t="s">
        <v>24</v>
      </c>
      <c r="D61" t="s">
        <v>77</v>
      </c>
      <c r="E61" t="s">
        <v>25</v>
      </c>
      <c r="F61" s="48">
        <v>23876</v>
      </c>
      <c r="G61" s="48">
        <v>119380</v>
      </c>
      <c r="H61">
        <v>716.28</v>
      </c>
      <c r="I61">
        <v>107.44200000000001</v>
      </c>
      <c r="J61">
        <v>62.674499999999995</v>
      </c>
      <c r="K61">
        <v>0</v>
      </c>
      <c r="M61">
        <v>0</v>
      </c>
      <c r="N61">
        <v>886.39650000000006</v>
      </c>
      <c r="O61" s="48"/>
      <c r="P61" s="48">
        <v>0</v>
      </c>
    </row>
    <row r="62" spans="1:16">
      <c r="B62" t="s">
        <v>13</v>
      </c>
      <c r="C62" t="s">
        <v>74</v>
      </c>
      <c r="D62" t="s">
        <v>76</v>
      </c>
      <c r="E62" t="s">
        <v>75</v>
      </c>
      <c r="F62" s="48">
        <v>2260</v>
      </c>
      <c r="G62" s="48">
        <v>11300</v>
      </c>
      <c r="M62"/>
      <c r="N62"/>
      <c r="O62" s="48">
        <v>271200000</v>
      </c>
      <c r="P62" s="48">
        <v>59484.902854485714</v>
      </c>
    </row>
    <row r="63" spans="1:16">
      <c r="B63" t="s">
        <v>13</v>
      </c>
      <c r="C63" t="s">
        <v>8</v>
      </c>
      <c r="D63" t="s">
        <v>77</v>
      </c>
      <c r="E63" t="s">
        <v>10</v>
      </c>
      <c r="F63" s="48"/>
      <c r="G63" s="48">
        <v>5754.09</v>
      </c>
      <c r="J63">
        <v>3.4524539999999999</v>
      </c>
      <c r="K63">
        <v>34.524540000000002</v>
      </c>
      <c r="M63"/>
      <c r="N63">
        <v>37.976994000000005</v>
      </c>
      <c r="O63" s="48"/>
      <c r="P63" s="48"/>
    </row>
    <row r="64" spans="1:16">
      <c r="B64" t="s">
        <v>13</v>
      </c>
      <c r="C64" t="s">
        <v>8</v>
      </c>
      <c r="D64" t="s">
        <v>77</v>
      </c>
      <c r="E64" t="s">
        <v>15</v>
      </c>
      <c r="F64" s="48"/>
      <c r="G64" s="48">
        <v>4323</v>
      </c>
      <c r="L64">
        <v>6.4844999999999997</v>
      </c>
      <c r="M64"/>
      <c r="N64">
        <v>6.4844999999999997</v>
      </c>
      <c r="O64" s="48"/>
      <c r="P64" s="48"/>
    </row>
    <row r="65" spans="1:16">
      <c r="B65" t="s">
        <v>13</v>
      </c>
      <c r="C65" t="s">
        <v>24</v>
      </c>
      <c r="D65" t="s">
        <v>76</v>
      </c>
      <c r="E65" t="s">
        <v>102</v>
      </c>
      <c r="F65" s="48">
        <v>22608</v>
      </c>
      <c r="G65" s="48">
        <v>98180</v>
      </c>
      <c r="M65"/>
      <c r="N65"/>
      <c r="O65" s="48">
        <v>2712960000</v>
      </c>
      <c r="P65" s="48">
        <v>595059.59457266075</v>
      </c>
    </row>
    <row r="66" spans="1:16">
      <c r="B66" t="s">
        <v>13</v>
      </c>
      <c r="C66" t="s">
        <v>24</v>
      </c>
      <c r="D66" t="s">
        <v>76</v>
      </c>
      <c r="E66" t="s">
        <v>25</v>
      </c>
      <c r="F66" s="48">
        <v>14015.6</v>
      </c>
      <c r="G66" s="48">
        <v>70078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48">
        <v>1681872000</v>
      </c>
      <c r="P66" s="48">
        <v>368901.15241032297</v>
      </c>
    </row>
    <row r="67" spans="1:16">
      <c r="B67" t="s">
        <v>13</v>
      </c>
      <c r="C67" t="s">
        <v>24</v>
      </c>
      <c r="D67" t="s">
        <v>77</v>
      </c>
      <c r="E67" t="s">
        <v>102</v>
      </c>
      <c r="F67" s="48">
        <v>30243</v>
      </c>
      <c r="G67" s="48">
        <v>151215</v>
      </c>
      <c r="H67">
        <v>907.29</v>
      </c>
      <c r="I67">
        <v>136.09349999999998</v>
      </c>
      <c r="J67">
        <v>79.387875000000008</v>
      </c>
      <c r="M67"/>
      <c r="N67">
        <v>1122.771375</v>
      </c>
      <c r="O67" s="48"/>
      <c r="P67" s="48"/>
    </row>
    <row r="68" spans="1:16">
      <c r="B68" t="s">
        <v>13</v>
      </c>
      <c r="C68" t="s">
        <v>24</v>
      </c>
      <c r="D68" t="s">
        <v>77</v>
      </c>
      <c r="E68" t="s">
        <v>25</v>
      </c>
      <c r="F68" s="48">
        <v>15574.2</v>
      </c>
      <c r="G68" s="48">
        <v>77871</v>
      </c>
      <c r="H68">
        <v>467.226</v>
      </c>
      <c r="I68">
        <v>70.0839</v>
      </c>
      <c r="J68">
        <v>40.882275000000007</v>
      </c>
      <c r="K68">
        <v>0</v>
      </c>
      <c r="M68">
        <v>0</v>
      </c>
      <c r="N68">
        <v>578.19217500000002</v>
      </c>
      <c r="O68" s="48"/>
      <c r="P68" s="48">
        <v>0</v>
      </c>
    </row>
    <row r="69" spans="1:16">
      <c r="B69" t="s">
        <v>13</v>
      </c>
      <c r="C69" t="s">
        <v>24</v>
      </c>
      <c r="D69" t="s">
        <v>77</v>
      </c>
      <c r="E69" t="s">
        <v>103</v>
      </c>
      <c r="F69" s="48">
        <v>14956</v>
      </c>
      <c r="G69" s="48">
        <v>14956</v>
      </c>
      <c r="H69">
        <v>0</v>
      </c>
      <c r="I69">
        <v>0</v>
      </c>
      <c r="J69">
        <v>0</v>
      </c>
      <c r="K69">
        <v>0</v>
      </c>
      <c r="L69">
        <v>22.433999999999994</v>
      </c>
      <c r="M69">
        <v>0</v>
      </c>
      <c r="N69">
        <v>8.2934999999999999</v>
      </c>
      <c r="O69" s="48">
        <v>0</v>
      </c>
      <c r="P69" s="48"/>
    </row>
    <row r="70" spans="1:16">
      <c r="B70" t="s">
        <v>13</v>
      </c>
      <c r="C70" t="s">
        <v>24</v>
      </c>
      <c r="D70" t="s">
        <v>77</v>
      </c>
      <c r="E70" t="s">
        <v>104</v>
      </c>
      <c r="F70" s="48">
        <v>12471</v>
      </c>
      <c r="G70" s="48">
        <v>12471</v>
      </c>
      <c r="I70">
        <v>0</v>
      </c>
      <c r="J70">
        <v>7.4825999999999997</v>
      </c>
      <c r="K70">
        <v>74.825999999999993</v>
      </c>
      <c r="M70">
        <v>0</v>
      </c>
      <c r="N70">
        <v>82.308599999999998</v>
      </c>
      <c r="O70" s="48"/>
      <c r="P70" s="48"/>
    </row>
    <row r="71" spans="1:16">
      <c r="B71" t="s">
        <v>13</v>
      </c>
      <c r="C71" t="s">
        <v>24</v>
      </c>
      <c r="D71" t="s">
        <v>77</v>
      </c>
      <c r="E71" t="s">
        <v>27</v>
      </c>
      <c r="F71" s="48"/>
      <c r="G71" s="48">
        <v>2556.0345750000006</v>
      </c>
      <c r="J71">
        <v>1.9170259312500004</v>
      </c>
      <c r="K71">
        <v>19.170259312500001</v>
      </c>
      <c r="M71"/>
      <c r="N71">
        <v>21.087285243750003</v>
      </c>
      <c r="O71" s="48"/>
      <c r="P71" s="48"/>
    </row>
    <row r="72" spans="1:16">
      <c r="B72" t="s">
        <v>14</v>
      </c>
      <c r="C72" t="s">
        <v>8</v>
      </c>
      <c r="D72" t="s">
        <v>77</v>
      </c>
      <c r="E72" t="s">
        <v>10</v>
      </c>
      <c r="F72" s="48"/>
      <c r="G72" s="48">
        <v>2880</v>
      </c>
      <c r="J72">
        <v>1.7280000000000002</v>
      </c>
      <c r="K72">
        <v>17.279999999999998</v>
      </c>
      <c r="M72"/>
      <c r="N72">
        <v>19.008000000000003</v>
      </c>
      <c r="O72" s="48"/>
      <c r="P72" s="48"/>
    </row>
    <row r="73" spans="1:16">
      <c r="B73" t="s">
        <v>14</v>
      </c>
      <c r="C73" t="s">
        <v>8</v>
      </c>
      <c r="D73" t="s">
        <v>77</v>
      </c>
      <c r="E73" t="s">
        <v>15</v>
      </c>
      <c r="F73" s="48"/>
      <c r="G73" s="48">
        <v>6080</v>
      </c>
      <c r="L73">
        <v>9.120000000000001</v>
      </c>
      <c r="M73"/>
      <c r="N73">
        <v>9.120000000000001</v>
      </c>
      <c r="O73" s="48"/>
      <c r="P73" s="48"/>
    </row>
    <row r="74" spans="1:16">
      <c r="B74" t="s">
        <v>14</v>
      </c>
      <c r="C74" t="s">
        <v>24</v>
      </c>
      <c r="D74" t="s">
        <v>76</v>
      </c>
      <c r="E74" t="s">
        <v>25</v>
      </c>
      <c r="F74" s="48">
        <v>4058.6000000000004</v>
      </c>
      <c r="G74" s="48">
        <v>20293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48">
        <v>487032000</v>
      </c>
      <c r="P74" s="48">
        <v>106825.41005540517</v>
      </c>
    </row>
    <row r="75" spans="1:16">
      <c r="B75" t="s">
        <v>14</v>
      </c>
      <c r="C75" t="s">
        <v>24</v>
      </c>
      <c r="D75" t="s">
        <v>77</v>
      </c>
      <c r="E75" t="s">
        <v>25</v>
      </c>
      <c r="F75" s="48">
        <v>7276.4</v>
      </c>
      <c r="G75" s="48">
        <v>36382</v>
      </c>
      <c r="H75">
        <v>218.292</v>
      </c>
      <c r="I75">
        <v>32.7438</v>
      </c>
      <c r="J75">
        <v>19.100549999999998</v>
      </c>
      <c r="K75">
        <v>0</v>
      </c>
      <c r="M75">
        <v>0</v>
      </c>
      <c r="N75">
        <v>270.13634999999999</v>
      </c>
      <c r="O75" s="48"/>
      <c r="P75" s="48">
        <v>0</v>
      </c>
    </row>
    <row r="76" spans="1:16">
      <c r="A76" t="s">
        <v>20</v>
      </c>
      <c r="F76" s="48">
        <v>211326.80000000002</v>
      </c>
      <c r="G76" s="48">
        <v>989234.12457500014</v>
      </c>
      <c r="H76" s="46">
        <v>3892.89</v>
      </c>
      <c r="I76" s="46">
        <v>583.93349999999987</v>
      </c>
      <c r="J76" s="46">
        <v>365.50395493124995</v>
      </c>
      <c r="K76" s="46">
        <v>248.76079931249998</v>
      </c>
      <c r="L76" s="46">
        <v>63.707999999999998</v>
      </c>
      <c r="M76" s="46">
        <v>0</v>
      </c>
      <c r="N76" s="46">
        <v>5140.6557542437495</v>
      </c>
      <c r="O76" s="48">
        <v>6585579000</v>
      </c>
      <c r="P76" s="48">
        <v>1444478.3446000782</v>
      </c>
    </row>
    <row r="77" spans="1:16">
      <c r="A77" t="s">
        <v>21</v>
      </c>
      <c r="B77" t="s">
        <v>11</v>
      </c>
      <c r="C77" t="s">
        <v>74</v>
      </c>
      <c r="D77" t="s">
        <v>76</v>
      </c>
      <c r="E77" t="s">
        <v>75</v>
      </c>
      <c r="F77" s="48">
        <v>5914</v>
      </c>
      <c r="G77" s="48">
        <v>29570</v>
      </c>
      <c r="M77"/>
      <c r="N77"/>
      <c r="O77" s="48">
        <v>709680000</v>
      </c>
      <c r="P77" s="48">
        <v>155660.93605372944</v>
      </c>
    </row>
    <row r="78" spans="1:16">
      <c r="B78" t="s">
        <v>11</v>
      </c>
      <c r="C78" t="s">
        <v>8</v>
      </c>
      <c r="D78" t="s">
        <v>76</v>
      </c>
      <c r="E78" t="s">
        <v>10</v>
      </c>
      <c r="F78" s="48"/>
      <c r="G78" s="48">
        <v>670</v>
      </c>
      <c r="M78"/>
      <c r="N78"/>
      <c r="O78" s="48">
        <v>39030000</v>
      </c>
      <c r="P78" s="48">
        <v>8560.8250678856075</v>
      </c>
    </row>
    <row r="79" spans="1:16">
      <c r="B79" t="s">
        <v>11</v>
      </c>
      <c r="C79" t="s">
        <v>8</v>
      </c>
      <c r="D79" t="s">
        <v>76</v>
      </c>
      <c r="E79" t="s">
        <v>15</v>
      </c>
      <c r="F79" s="48"/>
      <c r="G79" s="48">
        <v>972</v>
      </c>
      <c r="M79"/>
      <c r="N79"/>
      <c r="O79" s="48">
        <v>20412000</v>
      </c>
      <c r="P79" s="48">
        <v>4477.1601661716895</v>
      </c>
    </row>
    <row r="80" spans="1:16">
      <c r="B80" t="s">
        <v>11</v>
      </c>
      <c r="C80" t="s">
        <v>8</v>
      </c>
      <c r="D80" t="s">
        <v>77</v>
      </c>
      <c r="E80" t="s">
        <v>10</v>
      </c>
      <c r="F80" s="48"/>
      <c r="G80" s="48">
        <v>11355</v>
      </c>
      <c r="J80">
        <v>6.8130000000000006</v>
      </c>
      <c r="K80">
        <v>68.129999999999981</v>
      </c>
      <c r="M80"/>
      <c r="N80">
        <v>74.943000000000012</v>
      </c>
      <c r="O80" s="48"/>
      <c r="P80" s="48"/>
    </row>
    <row r="81" spans="2:16">
      <c r="B81" t="s">
        <v>11</v>
      </c>
      <c r="C81" t="s">
        <v>8</v>
      </c>
      <c r="D81" t="s">
        <v>77</v>
      </c>
      <c r="E81" t="s">
        <v>15</v>
      </c>
      <c r="F81" s="48"/>
      <c r="G81" s="48">
        <v>17113</v>
      </c>
      <c r="L81">
        <v>25.669499999999999</v>
      </c>
      <c r="M81"/>
      <c r="N81">
        <v>25.669499999999999</v>
      </c>
      <c r="O81" s="48"/>
      <c r="P81" s="48"/>
    </row>
    <row r="82" spans="2:16">
      <c r="B82" t="s">
        <v>11</v>
      </c>
      <c r="C82" t="s">
        <v>24</v>
      </c>
      <c r="D82" t="s">
        <v>77</v>
      </c>
      <c r="E82" t="s">
        <v>79</v>
      </c>
      <c r="F82" s="48">
        <v>17425</v>
      </c>
      <c r="G82" s="48">
        <v>17425</v>
      </c>
      <c r="H82" s="46">
        <v>0</v>
      </c>
      <c r="I82" s="46">
        <v>0</v>
      </c>
      <c r="J82" s="46">
        <v>0</v>
      </c>
      <c r="K82" s="46">
        <v>0</v>
      </c>
      <c r="L82" s="46">
        <v>26.137499999999996</v>
      </c>
      <c r="M82" s="46">
        <v>0</v>
      </c>
      <c r="N82">
        <v>26.137499999999996</v>
      </c>
      <c r="O82" s="48"/>
      <c r="P82" s="48">
        <v>0</v>
      </c>
    </row>
    <row r="83" spans="2:16">
      <c r="B83" t="s">
        <v>11</v>
      </c>
      <c r="C83" t="s">
        <v>24</v>
      </c>
      <c r="D83" t="s">
        <v>77</v>
      </c>
      <c r="E83" t="s">
        <v>26</v>
      </c>
      <c r="F83" s="48">
        <v>14518</v>
      </c>
      <c r="G83" s="48">
        <v>14518</v>
      </c>
      <c r="H83" s="46">
        <v>0</v>
      </c>
      <c r="I83" s="46">
        <v>0</v>
      </c>
      <c r="J83" s="46">
        <v>8.7108000000000008</v>
      </c>
      <c r="K83" s="46">
        <v>87.10799999999999</v>
      </c>
      <c r="L83" s="46">
        <v>0</v>
      </c>
      <c r="M83" s="46">
        <v>0</v>
      </c>
      <c r="N83">
        <v>95.818799999999996</v>
      </c>
      <c r="O83" s="48"/>
      <c r="P83" s="48"/>
    </row>
    <row r="84" spans="2:16">
      <c r="B84" t="s">
        <v>11</v>
      </c>
      <c r="C84" t="s">
        <v>24</v>
      </c>
      <c r="D84" t="s">
        <v>77</v>
      </c>
      <c r="E84" t="s">
        <v>27</v>
      </c>
      <c r="F84" s="48"/>
      <c r="G84" s="48">
        <v>4644</v>
      </c>
      <c r="H84" s="46"/>
      <c r="I84" s="46"/>
      <c r="J84" s="46">
        <v>3.4830000000000001</v>
      </c>
      <c r="K84" s="46">
        <v>34.83</v>
      </c>
      <c r="L84" s="46"/>
      <c r="M84" s="46"/>
      <c r="N84">
        <v>38.313000000000002</v>
      </c>
      <c r="O84" s="48"/>
      <c r="P84" s="48"/>
    </row>
    <row r="85" spans="2:16">
      <c r="B85" t="s">
        <v>12</v>
      </c>
      <c r="C85" t="s">
        <v>8</v>
      </c>
      <c r="D85" t="s">
        <v>77</v>
      </c>
      <c r="E85" t="s">
        <v>10</v>
      </c>
      <c r="F85" s="48"/>
      <c r="G85" s="48"/>
      <c r="J85">
        <v>0</v>
      </c>
      <c r="K85">
        <v>0</v>
      </c>
      <c r="M85"/>
      <c r="N85">
        <v>0</v>
      </c>
      <c r="O85" s="48"/>
      <c r="P85" s="48"/>
    </row>
    <row r="86" spans="2:16">
      <c r="B86" t="s">
        <v>12</v>
      </c>
      <c r="C86" t="s">
        <v>8</v>
      </c>
      <c r="D86" t="s">
        <v>77</v>
      </c>
      <c r="E86" t="s">
        <v>15</v>
      </c>
      <c r="F86" s="48"/>
      <c r="G86" s="48">
        <v>0</v>
      </c>
      <c r="L86">
        <v>0</v>
      </c>
      <c r="M86"/>
      <c r="N86">
        <v>0</v>
      </c>
      <c r="O86" s="48"/>
      <c r="P86" s="48"/>
    </row>
    <row r="87" spans="2:16">
      <c r="B87" t="s">
        <v>12</v>
      </c>
      <c r="C87" t="s">
        <v>24</v>
      </c>
      <c r="D87" t="s">
        <v>77</v>
      </c>
      <c r="E87" t="s">
        <v>79</v>
      </c>
      <c r="F87" s="48">
        <v>6469</v>
      </c>
      <c r="G87" s="48">
        <v>6469</v>
      </c>
      <c r="H87" s="46">
        <v>0</v>
      </c>
      <c r="I87" s="46">
        <v>0</v>
      </c>
      <c r="J87" s="46">
        <v>0</v>
      </c>
      <c r="K87" s="46">
        <v>0</v>
      </c>
      <c r="L87" s="46">
        <v>9.7035</v>
      </c>
      <c r="M87" s="46">
        <v>0</v>
      </c>
      <c r="N87">
        <v>9.7035</v>
      </c>
      <c r="O87" s="48"/>
      <c r="P87" s="48">
        <v>0</v>
      </c>
    </row>
    <row r="88" spans="2:16">
      <c r="B88" t="s">
        <v>12</v>
      </c>
      <c r="C88" t="s">
        <v>24</v>
      </c>
      <c r="D88" t="s">
        <v>77</v>
      </c>
      <c r="E88" t="s">
        <v>26</v>
      </c>
      <c r="F88" s="48">
        <v>5392</v>
      </c>
      <c r="G88" s="48">
        <v>5392</v>
      </c>
      <c r="H88" s="46"/>
      <c r="I88" s="46">
        <v>0</v>
      </c>
      <c r="J88" s="46">
        <v>3.2352000000000003</v>
      </c>
      <c r="K88" s="46">
        <v>32.351999999999997</v>
      </c>
      <c r="L88" s="46"/>
      <c r="M88" s="46">
        <v>0</v>
      </c>
      <c r="N88">
        <v>35.587199999999996</v>
      </c>
      <c r="O88" s="48"/>
      <c r="P88" s="48"/>
    </row>
    <row r="89" spans="2:16">
      <c r="B89" t="s">
        <v>12</v>
      </c>
      <c r="C89" t="s">
        <v>24</v>
      </c>
      <c r="D89" t="s">
        <v>85</v>
      </c>
      <c r="E89" t="s">
        <v>26</v>
      </c>
      <c r="F89" s="48">
        <v>0</v>
      </c>
      <c r="G89" s="48"/>
      <c r="H89" s="46"/>
      <c r="I89" s="46">
        <v>0</v>
      </c>
      <c r="J89" s="46">
        <v>0</v>
      </c>
      <c r="K89" s="46">
        <v>0</v>
      </c>
      <c r="L89" s="46"/>
      <c r="M89" s="46">
        <v>0</v>
      </c>
      <c r="N89">
        <v>0</v>
      </c>
      <c r="O89" s="48"/>
      <c r="P89" s="48"/>
    </row>
    <row r="90" spans="2:16">
      <c r="B90" t="s">
        <v>87</v>
      </c>
      <c r="C90" t="s">
        <v>24</v>
      </c>
      <c r="D90" t="s">
        <v>76</v>
      </c>
      <c r="E90" t="s">
        <v>89</v>
      </c>
      <c r="F90" s="48">
        <v>283</v>
      </c>
      <c r="G90" s="48">
        <v>1415</v>
      </c>
      <c r="H90" s="46"/>
      <c r="I90" s="46"/>
      <c r="J90" s="46"/>
      <c r="K90" s="46"/>
      <c r="L90" s="46"/>
      <c r="M90" s="46"/>
      <c r="N90">
        <v>0</v>
      </c>
      <c r="O90" s="48">
        <v>33960000</v>
      </c>
      <c r="P90" s="48">
        <v>7448.7732335484316</v>
      </c>
    </row>
    <row r="91" spans="2:16">
      <c r="B91" t="s">
        <v>87</v>
      </c>
      <c r="C91" t="s">
        <v>24</v>
      </c>
      <c r="D91" t="s">
        <v>77</v>
      </c>
      <c r="E91" t="s">
        <v>89</v>
      </c>
      <c r="F91" s="48">
        <v>14129</v>
      </c>
      <c r="G91" s="48">
        <v>70645</v>
      </c>
      <c r="H91" s="46">
        <v>423.87</v>
      </c>
      <c r="I91" s="46">
        <v>63.580499999999994</v>
      </c>
      <c r="J91" s="46">
        <v>37.088625</v>
      </c>
      <c r="K91" s="46"/>
      <c r="L91" s="46"/>
      <c r="M91" s="46"/>
      <c r="N91">
        <v>524.53912500000001</v>
      </c>
      <c r="O91" s="48"/>
      <c r="P91" s="48">
        <v>0</v>
      </c>
    </row>
    <row r="92" spans="2:16">
      <c r="B92" t="s">
        <v>13</v>
      </c>
      <c r="C92" t="s">
        <v>74</v>
      </c>
      <c r="D92" t="s">
        <v>76</v>
      </c>
      <c r="E92" t="s">
        <v>75</v>
      </c>
      <c r="F92" s="48">
        <v>2260</v>
      </c>
      <c r="G92" s="48">
        <v>11300</v>
      </c>
      <c r="M92"/>
      <c r="N92"/>
      <c r="O92" s="48">
        <v>271200000</v>
      </c>
      <c r="P92" s="48">
        <v>59484.902854485714</v>
      </c>
    </row>
    <row r="93" spans="2:16">
      <c r="B93" t="s">
        <v>13</v>
      </c>
      <c r="C93" t="s">
        <v>8</v>
      </c>
      <c r="D93" t="s">
        <v>77</v>
      </c>
      <c r="E93" t="s">
        <v>10</v>
      </c>
      <c r="F93" s="48"/>
      <c r="G93" s="48">
        <v>5754.09</v>
      </c>
      <c r="J93">
        <v>3.4524539999999999</v>
      </c>
      <c r="K93">
        <v>34.524540000000002</v>
      </c>
      <c r="M93"/>
      <c r="N93">
        <v>37.976994000000005</v>
      </c>
      <c r="O93" s="48"/>
      <c r="P93" s="48"/>
    </row>
    <row r="94" spans="2:16">
      <c r="B94" t="s">
        <v>13</v>
      </c>
      <c r="C94" t="s">
        <v>8</v>
      </c>
      <c r="D94" t="s">
        <v>77</v>
      </c>
      <c r="E94" t="s">
        <v>15</v>
      </c>
      <c r="F94" s="48"/>
      <c r="G94" s="48">
        <v>4323</v>
      </c>
      <c r="L94">
        <v>6.4844999999999997</v>
      </c>
      <c r="M94"/>
      <c r="N94">
        <v>6.4844999999999997</v>
      </c>
      <c r="O94" s="48"/>
      <c r="P94" s="48"/>
    </row>
    <row r="95" spans="2:16">
      <c r="B95" t="s">
        <v>13</v>
      </c>
      <c r="C95" t="s">
        <v>24</v>
      </c>
      <c r="D95" t="s">
        <v>77</v>
      </c>
      <c r="E95" t="s">
        <v>79</v>
      </c>
      <c r="F95" s="48">
        <v>8876</v>
      </c>
      <c r="G95" s="48">
        <v>8876</v>
      </c>
      <c r="H95" s="46">
        <v>0</v>
      </c>
      <c r="I95" s="46">
        <v>0</v>
      </c>
      <c r="J95" s="46">
        <v>0</v>
      </c>
      <c r="K95" s="46">
        <v>0</v>
      </c>
      <c r="L95" s="46">
        <v>13.314000000000002</v>
      </c>
      <c r="M95" s="46">
        <v>0</v>
      </c>
      <c r="N95">
        <v>13.314000000000002</v>
      </c>
      <c r="O95" s="48"/>
      <c r="P95" s="48">
        <v>0</v>
      </c>
    </row>
    <row r="96" spans="2:16">
      <c r="B96" t="s">
        <v>13</v>
      </c>
      <c r="C96" t="s">
        <v>24</v>
      </c>
      <c r="D96" t="s">
        <v>77</v>
      </c>
      <c r="E96" t="s">
        <v>26</v>
      </c>
      <c r="F96" s="48">
        <v>7397</v>
      </c>
      <c r="G96" s="48">
        <v>7397</v>
      </c>
      <c r="H96" s="46">
        <v>0</v>
      </c>
      <c r="I96" s="46">
        <v>0</v>
      </c>
      <c r="J96" s="46">
        <v>4.4382000000000001</v>
      </c>
      <c r="K96" s="46">
        <v>44.381999999999991</v>
      </c>
      <c r="L96" s="46">
        <v>0</v>
      </c>
      <c r="M96" s="46">
        <v>0</v>
      </c>
      <c r="N96">
        <v>48.820199999999993</v>
      </c>
      <c r="O96" s="48"/>
      <c r="P96" s="48"/>
    </row>
    <row r="97" spans="1:16">
      <c r="B97" t="s">
        <v>13</v>
      </c>
      <c r="C97" t="s">
        <v>24</v>
      </c>
      <c r="D97" t="s">
        <v>77</v>
      </c>
      <c r="E97" t="s">
        <v>27</v>
      </c>
      <c r="F97" s="48"/>
      <c r="G97" s="48">
        <v>2556.0345750000006</v>
      </c>
      <c r="H97" s="46"/>
      <c r="I97" s="46"/>
      <c r="J97" s="46">
        <v>1.9170259312500004</v>
      </c>
      <c r="K97" s="46">
        <v>19.170259312500001</v>
      </c>
      <c r="L97" s="46"/>
      <c r="M97" s="46"/>
      <c r="N97">
        <v>21.087285243750003</v>
      </c>
      <c r="O97" s="48"/>
      <c r="P97" s="48"/>
    </row>
    <row r="98" spans="1:16">
      <c r="B98" t="s">
        <v>14</v>
      </c>
      <c r="C98" t="s">
        <v>8</v>
      </c>
      <c r="D98" t="s">
        <v>77</v>
      </c>
      <c r="E98" t="s">
        <v>10</v>
      </c>
      <c r="F98" s="48"/>
      <c r="G98" s="48">
        <v>2880</v>
      </c>
      <c r="J98">
        <v>1.7280000000000002</v>
      </c>
      <c r="K98">
        <v>17.279999999999998</v>
      </c>
      <c r="M98"/>
      <c r="N98">
        <v>19.008000000000003</v>
      </c>
      <c r="O98" s="48"/>
      <c r="P98" s="48"/>
    </row>
    <row r="99" spans="1:16">
      <c r="B99" t="s">
        <v>14</v>
      </c>
      <c r="C99" t="s">
        <v>8</v>
      </c>
      <c r="D99" t="s">
        <v>77</v>
      </c>
      <c r="E99" t="s">
        <v>15</v>
      </c>
      <c r="F99" s="48"/>
      <c r="G99" s="48">
        <v>6080</v>
      </c>
      <c r="L99">
        <v>9.120000000000001</v>
      </c>
      <c r="M99"/>
      <c r="N99">
        <v>9.120000000000001</v>
      </c>
      <c r="O99" s="48"/>
      <c r="P99" s="48"/>
    </row>
    <row r="100" spans="1:16">
      <c r="B100" t="s">
        <v>14</v>
      </c>
      <c r="C100" t="s">
        <v>24</v>
      </c>
      <c r="D100" t="s">
        <v>77</v>
      </c>
      <c r="E100" t="s">
        <v>79</v>
      </c>
      <c r="F100" s="48">
        <v>3401</v>
      </c>
      <c r="G100" s="48">
        <v>3401</v>
      </c>
      <c r="H100" s="46">
        <v>0</v>
      </c>
      <c r="I100" s="46">
        <v>0</v>
      </c>
      <c r="J100" s="46">
        <v>0</v>
      </c>
      <c r="K100" s="46">
        <v>0</v>
      </c>
      <c r="L100" s="46">
        <v>5.1015000000000006</v>
      </c>
      <c r="M100" s="46">
        <v>0</v>
      </c>
      <c r="N100">
        <v>5.1015000000000006</v>
      </c>
      <c r="O100" s="48"/>
      <c r="P100" s="48">
        <v>0</v>
      </c>
    </row>
    <row r="101" spans="1:16">
      <c r="B101" t="s">
        <v>14</v>
      </c>
      <c r="C101" t="s">
        <v>24</v>
      </c>
      <c r="D101" t="s">
        <v>77</v>
      </c>
      <c r="E101" t="s">
        <v>26</v>
      </c>
      <c r="F101" s="48">
        <v>2833</v>
      </c>
      <c r="G101" s="48">
        <v>2833</v>
      </c>
      <c r="H101" s="46">
        <v>0</v>
      </c>
      <c r="I101" s="46">
        <v>0</v>
      </c>
      <c r="J101" s="46">
        <v>1.6998000000000002</v>
      </c>
      <c r="K101" s="46">
        <v>16.998000000000001</v>
      </c>
      <c r="L101" s="46">
        <v>0</v>
      </c>
      <c r="M101" s="46">
        <v>0</v>
      </c>
      <c r="N101">
        <v>18.697800000000001</v>
      </c>
      <c r="O101" s="48"/>
      <c r="P101" s="48"/>
    </row>
    <row r="102" spans="1:16">
      <c r="A102" t="s">
        <v>22</v>
      </c>
      <c r="F102" s="48">
        <v>88897</v>
      </c>
      <c r="G102" s="48">
        <v>235588.12457499999</v>
      </c>
      <c r="H102">
        <v>423.87</v>
      </c>
      <c r="I102">
        <v>63.580499999999994</v>
      </c>
      <c r="J102">
        <v>72.566104931249981</v>
      </c>
      <c r="K102">
        <v>354.77479931249991</v>
      </c>
      <c r="L102">
        <v>95.530500000000004</v>
      </c>
      <c r="M102">
        <v>0</v>
      </c>
      <c r="N102" s="46">
        <v>1010.3219042437501</v>
      </c>
      <c r="O102" s="48">
        <v>1074282000</v>
      </c>
      <c r="P102" s="48">
        <v>235632.59737582086</v>
      </c>
    </row>
    <row r="103" spans="1:16">
      <c r="A103" t="s">
        <v>30</v>
      </c>
      <c r="F103" s="48">
        <v>511995.6</v>
      </c>
      <c r="G103" s="48">
        <v>2501318.93915</v>
      </c>
      <c r="H103">
        <v>11838.066000000001</v>
      </c>
      <c r="I103">
        <v>1698.0224000000001</v>
      </c>
      <c r="J103">
        <v>1129.7786138625008</v>
      </c>
      <c r="K103">
        <v>1352.4621386249999</v>
      </c>
      <c r="L103">
        <v>389.22359999999998</v>
      </c>
      <c r="M103">
        <v>158.07899999999998</v>
      </c>
      <c r="N103">
        <v>14806.185752487501</v>
      </c>
      <c r="O103" s="48">
        <v>25193277037</v>
      </c>
      <c r="P103" s="48">
        <v>4330393.6707361462</v>
      </c>
    </row>
    <row r="104" spans="1:16">
      <c r="M104"/>
      <c r="N104"/>
      <c r="O104"/>
    </row>
    <row r="105" spans="1:16">
      <c r="M105"/>
      <c r="N105"/>
      <c r="O105"/>
    </row>
    <row r="106" spans="1:16">
      <c r="M106"/>
      <c r="N106"/>
      <c r="O106"/>
    </row>
    <row r="107" spans="1:16">
      <c r="M107"/>
      <c r="N107"/>
      <c r="O107"/>
    </row>
    <row r="108" spans="1:16">
      <c r="M108"/>
      <c r="N108"/>
      <c r="O108"/>
    </row>
    <row r="109" spans="1:16">
      <c r="M109"/>
      <c r="N109"/>
      <c r="O109"/>
    </row>
    <row r="110" spans="1:16">
      <c r="M110"/>
      <c r="N110"/>
      <c r="O110"/>
    </row>
    <row r="111" spans="1:16">
      <c r="M111"/>
      <c r="N111"/>
      <c r="O111"/>
    </row>
    <row r="112" spans="1:16">
      <c r="M112"/>
      <c r="N112"/>
      <c r="O112"/>
    </row>
    <row r="113" spans="13:15">
      <c r="M113"/>
      <c r="N113"/>
      <c r="O113"/>
    </row>
    <row r="114" spans="13:15">
      <c r="M114"/>
      <c r="N114"/>
      <c r="O114"/>
    </row>
    <row r="115" spans="13:15">
      <c r="M115"/>
      <c r="N115"/>
      <c r="O115"/>
    </row>
    <row r="116" spans="13:15">
      <c r="M116"/>
      <c r="N116"/>
      <c r="O116"/>
    </row>
    <row r="117" spans="13:15">
      <c r="M117"/>
      <c r="N117"/>
      <c r="O117"/>
    </row>
    <row r="118" spans="13:15">
      <c r="M118"/>
      <c r="N118"/>
      <c r="O118"/>
    </row>
    <row r="119" spans="13:15">
      <c r="M119"/>
      <c r="N119"/>
      <c r="O119"/>
    </row>
    <row r="120" spans="13:15">
      <c r="M120"/>
      <c r="N120"/>
      <c r="O120"/>
    </row>
    <row r="121" spans="13:15">
      <c r="M121"/>
      <c r="N121"/>
      <c r="O121"/>
    </row>
    <row r="122" spans="13:15">
      <c r="M122"/>
      <c r="N122"/>
      <c r="O122"/>
    </row>
    <row r="123" spans="13:15">
      <c r="M123"/>
      <c r="N123"/>
      <c r="O123"/>
    </row>
    <row r="124" spans="13:15">
      <c r="M124"/>
      <c r="N124"/>
      <c r="O124"/>
    </row>
    <row r="125" spans="13:15">
      <c r="M125"/>
      <c r="N125"/>
      <c r="O125"/>
    </row>
    <row r="126" spans="13:15">
      <c r="M126"/>
      <c r="N126"/>
      <c r="O126"/>
    </row>
    <row r="127" spans="13:15">
      <c r="M127"/>
      <c r="N127"/>
      <c r="O127"/>
    </row>
    <row r="128" spans="13:15">
      <c r="M128"/>
      <c r="N128"/>
      <c r="O128"/>
    </row>
    <row r="129" spans="13:15">
      <c r="M129"/>
      <c r="N129"/>
      <c r="O129"/>
    </row>
    <row r="130" spans="13:15">
      <c r="M130"/>
      <c r="N130"/>
      <c r="O130"/>
    </row>
    <row r="131" spans="13:15">
      <c r="M131"/>
      <c r="N131"/>
      <c r="O131"/>
    </row>
    <row r="132" spans="13:15">
      <c r="M132"/>
      <c r="N132"/>
      <c r="O132"/>
    </row>
    <row r="133" spans="13:15">
      <c r="M133"/>
      <c r="N133"/>
      <c r="O133"/>
    </row>
    <row r="134" spans="13:15">
      <c r="M134"/>
      <c r="N134"/>
      <c r="O134"/>
    </row>
    <row r="135" spans="13:15">
      <c r="M135"/>
      <c r="N135"/>
      <c r="O135"/>
    </row>
    <row r="136" spans="13:15">
      <c r="M136"/>
      <c r="N136"/>
      <c r="O136"/>
    </row>
    <row r="137" spans="13:15">
      <c r="M137"/>
      <c r="N137"/>
      <c r="O137"/>
    </row>
    <row r="138" spans="13:15">
      <c r="M138"/>
      <c r="N138"/>
      <c r="O138"/>
    </row>
    <row r="139" spans="13:15">
      <c r="M139"/>
      <c r="N139"/>
      <c r="O139"/>
    </row>
    <row r="140" spans="13:15">
      <c r="M140"/>
      <c r="N140"/>
      <c r="O140"/>
    </row>
    <row r="141" spans="13:15">
      <c r="M141"/>
      <c r="N141"/>
      <c r="O141"/>
    </row>
    <row r="142" spans="13:15">
      <c r="M142"/>
      <c r="N142"/>
      <c r="O142"/>
    </row>
    <row r="143" spans="13:15">
      <c r="M143"/>
      <c r="N143"/>
      <c r="O143"/>
    </row>
    <row r="144" spans="13:15">
      <c r="M144"/>
      <c r="N144"/>
      <c r="O144"/>
    </row>
    <row r="145" spans="13:15">
      <c r="M145"/>
      <c r="N145"/>
      <c r="O145"/>
    </row>
    <row r="146" spans="13:15">
      <c r="M146"/>
      <c r="N146"/>
      <c r="O146"/>
    </row>
    <row r="147" spans="13:15">
      <c r="M147"/>
      <c r="N147"/>
      <c r="O147"/>
    </row>
    <row r="148" spans="13:15">
      <c r="M148"/>
      <c r="N148"/>
      <c r="O148"/>
    </row>
    <row r="149" spans="13:15">
      <c r="M149"/>
      <c r="N149"/>
      <c r="O149"/>
    </row>
    <row r="150" spans="13:15">
      <c r="M150"/>
      <c r="N150"/>
      <c r="O150"/>
    </row>
    <row r="151" spans="13:15">
      <c r="M151"/>
      <c r="N151"/>
      <c r="O151"/>
    </row>
    <row r="152" spans="13:15">
      <c r="M152"/>
      <c r="N152"/>
      <c r="O152"/>
    </row>
    <row r="153" spans="13:15">
      <c r="M153"/>
      <c r="N153"/>
      <c r="O153"/>
    </row>
    <row r="154" spans="13:15">
      <c r="M154"/>
      <c r="N154"/>
      <c r="O154"/>
    </row>
    <row r="155" spans="13:15">
      <c r="M155"/>
      <c r="N155"/>
      <c r="O155"/>
    </row>
    <row r="156" spans="13:15">
      <c r="M156"/>
      <c r="N156"/>
      <c r="O156"/>
    </row>
    <row r="157" spans="13:15">
      <c r="M157"/>
      <c r="N157"/>
      <c r="O157"/>
    </row>
    <row r="158" spans="13:15">
      <c r="M158"/>
      <c r="N158"/>
      <c r="O158"/>
    </row>
    <row r="159" spans="13:15">
      <c r="M159"/>
      <c r="N159"/>
      <c r="O159"/>
    </row>
    <row r="160" spans="13:15">
      <c r="M160"/>
      <c r="N160"/>
      <c r="O160"/>
    </row>
    <row r="161" spans="13:15">
      <c r="M161"/>
      <c r="N161"/>
      <c r="O161"/>
    </row>
    <row r="162" spans="13:15">
      <c r="M162"/>
      <c r="N162"/>
      <c r="O162"/>
    </row>
    <row r="163" spans="13:15">
      <c r="M163"/>
      <c r="N163"/>
      <c r="O163"/>
    </row>
    <row r="164" spans="13:15">
      <c r="M164"/>
      <c r="N164"/>
      <c r="O164"/>
    </row>
    <row r="165" spans="13:15">
      <c r="M165"/>
      <c r="N165"/>
      <c r="O165"/>
    </row>
    <row r="166" spans="13:15">
      <c r="M166"/>
      <c r="N166"/>
      <c r="O166"/>
    </row>
    <row r="167" spans="13:15">
      <c r="M167"/>
      <c r="N167"/>
      <c r="O167"/>
    </row>
    <row r="168" spans="13:15">
      <c r="M168"/>
      <c r="N168"/>
      <c r="O168"/>
    </row>
    <row r="169" spans="13:15">
      <c r="M169"/>
      <c r="N169"/>
      <c r="O169"/>
    </row>
    <row r="170" spans="13:15">
      <c r="M170"/>
      <c r="N170"/>
      <c r="O170"/>
    </row>
    <row r="171" spans="13:15">
      <c r="M171"/>
      <c r="N171"/>
      <c r="O171"/>
    </row>
    <row r="172" spans="13:15">
      <c r="M172"/>
      <c r="N172"/>
      <c r="O172"/>
    </row>
    <row r="173" spans="13:15">
      <c r="M173"/>
      <c r="N173"/>
      <c r="O173"/>
    </row>
    <row r="174" spans="13:15">
      <c r="M174"/>
      <c r="N174"/>
      <c r="O174"/>
    </row>
    <row r="175" spans="13:15">
      <c r="M175"/>
      <c r="N175"/>
      <c r="O175"/>
    </row>
    <row r="176" spans="13:15">
      <c r="M176"/>
      <c r="N176"/>
      <c r="O176"/>
    </row>
    <row r="177" spans="13:15">
      <c r="M177"/>
      <c r="N177"/>
      <c r="O177"/>
    </row>
    <row r="178" spans="13:15">
      <c r="M178"/>
      <c r="N178"/>
      <c r="O178"/>
    </row>
    <row r="179" spans="13:15">
      <c r="M179"/>
      <c r="N179"/>
      <c r="O179"/>
    </row>
    <row r="180" spans="13:15">
      <c r="M180"/>
      <c r="N180"/>
      <c r="O180"/>
    </row>
    <row r="181" spans="13:15">
      <c r="M181"/>
      <c r="N181"/>
      <c r="O181"/>
    </row>
    <row r="182" spans="13:15">
      <c r="M182"/>
      <c r="N182"/>
      <c r="O182"/>
    </row>
    <row r="183" spans="13:15">
      <c r="M183"/>
      <c r="N183"/>
      <c r="O183"/>
    </row>
    <row r="184" spans="13:15">
      <c r="M184"/>
      <c r="N184"/>
      <c r="O184"/>
    </row>
    <row r="185" spans="13:15">
      <c r="M185"/>
      <c r="N185"/>
      <c r="O185"/>
    </row>
    <row r="186" spans="13:15">
      <c r="M186"/>
      <c r="N186"/>
      <c r="O186"/>
    </row>
    <row r="187" spans="13:15">
      <c r="M187"/>
      <c r="N187"/>
      <c r="O187"/>
    </row>
    <row r="188" spans="13:15">
      <c r="M188"/>
      <c r="N188"/>
      <c r="O188"/>
    </row>
    <row r="189" spans="13:15">
      <c r="M189"/>
      <c r="N189"/>
      <c r="O189"/>
    </row>
    <row r="190" spans="13:15">
      <c r="M190"/>
      <c r="N190"/>
      <c r="O190"/>
    </row>
    <row r="191" spans="13:15">
      <c r="M191"/>
      <c r="N191"/>
      <c r="O191"/>
    </row>
    <row r="192" spans="13:15">
      <c r="M192"/>
      <c r="N192"/>
      <c r="O192"/>
    </row>
    <row r="193" spans="13:15">
      <c r="M193"/>
      <c r="N193"/>
      <c r="O193"/>
    </row>
    <row r="194" spans="13:15">
      <c r="M194"/>
      <c r="N194"/>
      <c r="O194"/>
    </row>
    <row r="195" spans="13:15">
      <c r="M195"/>
      <c r="N195"/>
      <c r="O195"/>
    </row>
    <row r="196" spans="13:15">
      <c r="M196"/>
      <c r="N196"/>
      <c r="O196"/>
    </row>
    <row r="197" spans="13:15">
      <c r="M197"/>
      <c r="N197"/>
      <c r="O197"/>
    </row>
    <row r="198" spans="13:15">
      <c r="M198"/>
      <c r="N198"/>
      <c r="O198"/>
    </row>
    <row r="199" spans="13:15">
      <c r="M199"/>
      <c r="N199"/>
      <c r="O199"/>
    </row>
    <row r="200" spans="13:15">
      <c r="M200"/>
      <c r="N200"/>
      <c r="O200"/>
    </row>
    <row r="201" spans="13:15">
      <c r="M201"/>
      <c r="N201"/>
      <c r="O201"/>
    </row>
    <row r="202" spans="13:15">
      <c r="M202"/>
      <c r="N202"/>
      <c r="O202"/>
    </row>
    <row r="203" spans="13:15">
      <c r="M203"/>
      <c r="N203"/>
      <c r="O203"/>
    </row>
    <row r="204" spans="13:15">
      <c r="M204"/>
      <c r="N204"/>
      <c r="O204"/>
    </row>
    <row r="205" spans="13:15">
      <c r="M205"/>
      <c r="N205"/>
      <c r="O205"/>
    </row>
    <row r="206" spans="13:15">
      <c r="M206"/>
      <c r="N206"/>
      <c r="O206"/>
    </row>
    <row r="207" spans="13:15">
      <c r="M207"/>
      <c r="N207"/>
      <c r="O207"/>
    </row>
    <row r="208" spans="13:15">
      <c r="M208"/>
      <c r="N208"/>
      <c r="O208"/>
    </row>
    <row r="209" spans="13:15">
      <c r="M209"/>
      <c r="N209"/>
      <c r="O209"/>
    </row>
    <row r="210" spans="13:15">
      <c r="M210"/>
      <c r="N210"/>
      <c r="O210"/>
    </row>
    <row r="211" spans="13:15">
      <c r="M211"/>
      <c r="N211"/>
      <c r="O211"/>
    </row>
    <row r="212" spans="13:15">
      <c r="M212"/>
      <c r="N212"/>
      <c r="O212"/>
    </row>
    <row r="213" spans="13:15">
      <c r="M213"/>
      <c r="N213"/>
      <c r="O213"/>
    </row>
    <row r="214" spans="13:15">
      <c r="M214"/>
      <c r="N214"/>
      <c r="O214"/>
    </row>
    <row r="215" spans="13:15">
      <c r="M215"/>
      <c r="N215"/>
      <c r="O215"/>
    </row>
    <row r="216" spans="13:15">
      <c r="M216"/>
      <c r="N216"/>
      <c r="O216"/>
    </row>
    <row r="217" spans="13:15">
      <c r="M217"/>
      <c r="N217"/>
      <c r="O217"/>
    </row>
    <row r="218" spans="13:15">
      <c r="M218"/>
      <c r="N218"/>
      <c r="O218"/>
    </row>
    <row r="219" spans="13:15">
      <c r="M219"/>
      <c r="N219"/>
      <c r="O219"/>
    </row>
    <row r="220" spans="13:15">
      <c r="M220"/>
      <c r="N220"/>
      <c r="O220"/>
    </row>
    <row r="221" spans="13:15">
      <c r="M221"/>
      <c r="N221"/>
      <c r="O221"/>
    </row>
    <row r="222" spans="13:15">
      <c r="M222"/>
      <c r="N222"/>
      <c r="O222"/>
    </row>
    <row r="223" spans="13:15">
      <c r="M223"/>
      <c r="N223"/>
      <c r="O223"/>
    </row>
    <row r="224" spans="13:15">
      <c r="M224"/>
      <c r="N224"/>
      <c r="O224"/>
    </row>
    <row r="225" spans="13:15">
      <c r="M225"/>
      <c r="N225"/>
      <c r="O225"/>
    </row>
    <row r="226" spans="13:15">
      <c r="M226"/>
      <c r="N226"/>
      <c r="O226"/>
    </row>
    <row r="227" spans="13:15">
      <c r="M227"/>
      <c r="N227"/>
      <c r="O227"/>
    </row>
    <row r="228" spans="13:15">
      <c r="M228"/>
      <c r="N228"/>
      <c r="O228"/>
    </row>
    <row r="229" spans="13:15">
      <c r="M229"/>
      <c r="N229"/>
      <c r="O229"/>
    </row>
    <row r="230" spans="13:15">
      <c r="M230"/>
      <c r="N230"/>
      <c r="O230"/>
    </row>
    <row r="231" spans="13:15">
      <c r="M231"/>
      <c r="N231"/>
      <c r="O231"/>
    </row>
    <row r="232" spans="13:15">
      <c r="M232"/>
      <c r="N232"/>
      <c r="O232"/>
    </row>
    <row r="233" spans="13:15">
      <c r="M233"/>
      <c r="N233"/>
      <c r="O233"/>
    </row>
    <row r="234" spans="13:15">
      <c r="M234"/>
      <c r="N234"/>
      <c r="O234"/>
    </row>
    <row r="235" spans="13:15">
      <c r="M235"/>
      <c r="N235"/>
      <c r="O235"/>
    </row>
    <row r="236" spans="13:15">
      <c r="M236"/>
      <c r="N236"/>
      <c r="O236"/>
    </row>
    <row r="237" spans="13:15">
      <c r="M237"/>
      <c r="N237"/>
      <c r="O237"/>
    </row>
    <row r="238" spans="13:15">
      <c r="M238"/>
      <c r="N238"/>
      <c r="O238"/>
    </row>
    <row r="239" spans="13:15">
      <c r="M239"/>
      <c r="N239"/>
      <c r="O239"/>
    </row>
    <row r="240" spans="13:15">
      <c r="M240"/>
      <c r="N240"/>
      <c r="O240"/>
    </row>
    <row r="241" spans="13:15">
      <c r="M241"/>
      <c r="N241"/>
      <c r="O241"/>
    </row>
    <row r="242" spans="13:15">
      <c r="M242"/>
      <c r="N242"/>
      <c r="O242"/>
    </row>
    <row r="243" spans="13:15">
      <c r="M243"/>
      <c r="N243"/>
      <c r="O243"/>
    </row>
    <row r="244" spans="13:15">
      <c r="M244"/>
      <c r="N244"/>
      <c r="O244"/>
    </row>
    <row r="245" spans="13:15">
      <c r="M245"/>
      <c r="N245"/>
      <c r="O245"/>
    </row>
    <row r="246" spans="13:15">
      <c r="M246"/>
      <c r="N246"/>
      <c r="O246"/>
    </row>
    <row r="247" spans="13:15">
      <c r="M247"/>
      <c r="N247"/>
      <c r="O247"/>
    </row>
    <row r="248" spans="13:15">
      <c r="M248"/>
      <c r="N248"/>
      <c r="O248"/>
    </row>
    <row r="249" spans="13:15">
      <c r="M249"/>
      <c r="N249"/>
      <c r="O249"/>
    </row>
    <row r="250" spans="13:15">
      <c r="M250"/>
      <c r="N250"/>
      <c r="O250"/>
    </row>
    <row r="251" spans="13:15">
      <c r="M251"/>
      <c r="N251"/>
      <c r="O251"/>
    </row>
    <row r="252" spans="13:15">
      <c r="M252"/>
      <c r="N252"/>
      <c r="O252"/>
    </row>
    <row r="253" spans="13:15">
      <c r="M253"/>
      <c r="N253"/>
      <c r="O253"/>
    </row>
    <row r="254" spans="13:15">
      <c r="M254"/>
      <c r="N254"/>
      <c r="O254"/>
    </row>
    <row r="255" spans="13:15">
      <c r="M255"/>
      <c r="N255"/>
      <c r="O255"/>
    </row>
    <row r="256" spans="13:15">
      <c r="M256"/>
      <c r="N256"/>
      <c r="O256"/>
    </row>
    <row r="257" spans="13:15">
      <c r="M257"/>
      <c r="N257"/>
      <c r="O257"/>
    </row>
    <row r="258" spans="13:15">
      <c r="M258"/>
      <c r="N258"/>
      <c r="O258"/>
    </row>
    <row r="259" spans="13:15">
      <c r="M259"/>
      <c r="N259"/>
      <c r="O259"/>
    </row>
    <row r="260" spans="13:15">
      <c r="M260"/>
      <c r="N260"/>
      <c r="O260"/>
    </row>
    <row r="261" spans="13:15">
      <c r="M261"/>
      <c r="N261"/>
      <c r="O261"/>
    </row>
    <row r="262" spans="13:15">
      <c r="M262"/>
      <c r="N262"/>
      <c r="O262"/>
    </row>
    <row r="263" spans="13:15">
      <c r="M263"/>
      <c r="N263"/>
      <c r="O263"/>
    </row>
    <row r="264" spans="13:15">
      <c r="M264"/>
      <c r="N264"/>
      <c r="O264"/>
    </row>
    <row r="265" spans="13:15">
      <c r="M265"/>
      <c r="N265"/>
      <c r="O265"/>
    </row>
    <row r="266" spans="13:15">
      <c r="M266"/>
      <c r="N266"/>
      <c r="O266"/>
    </row>
    <row r="267" spans="13:15">
      <c r="M267"/>
      <c r="N267"/>
      <c r="O267"/>
    </row>
    <row r="268" spans="13:15">
      <c r="M268"/>
      <c r="N268"/>
      <c r="O268"/>
    </row>
    <row r="269" spans="13:15">
      <c r="M269"/>
      <c r="N269"/>
      <c r="O269"/>
    </row>
    <row r="270" spans="13:15">
      <c r="M270"/>
      <c r="N270"/>
      <c r="O270"/>
    </row>
    <row r="271" spans="13:15">
      <c r="M271"/>
      <c r="N271"/>
      <c r="O271"/>
    </row>
    <row r="272" spans="13:15">
      <c r="M272"/>
      <c r="N272"/>
      <c r="O272"/>
    </row>
    <row r="273" spans="13:15">
      <c r="M273"/>
      <c r="N273"/>
      <c r="O273"/>
    </row>
    <row r="274" spans="13:15">
      <c r="M274"/>
      <c r="N274"/>
      <c r="O274"/>
    </row>
    <row r="275" spans="13:15">
      <c r="M275"/>
      <c r="N275"/>
      <c r="O275"/>
    </row>
    <row r="276" spans="13:15">
      <c r="M276"/>
      <c r="N276"/>
      <c r="O276"/>
    </row>
    <row r="277" spans="13:15">
      <c r="M277"/>
      <c r="N277"/>
      <c r="O277"/>
    </row>
    <row r="278" spans="13:15">
      <c r="M278"/>
      <c r="N278"/>
      <c r="O278"/>
    </row>
    <row r="279" spans="13:15">
      <c r="M279"/>
      <c r="N279"/>
      <c r="O279"/>
    </row>
    <row r="280" spans="13:15">
      <c r="M280"/>
      <c r="N280"/>
      <c r="O280"/>
    </row>
    <row r="281" spans="13:15">
      <c r="M281"/>
      <c r="N281"/>
      <c r="O281"/>
    </row>
    <row r="282" spans="13:15">
      <c r="M282"/>
      <c r="N282"/>
      <c r="O282"/>
    </row>
    <row r="283" spans="13:15">
      <c r="M283"/>
      <c r="N283"/>
      <c r="O283"/>
    </row>
    <row r="284" spans="13:15">
      <c r="M284"/>
      <c r="N284"/>
      <c r="O284"/>
    </row>
    <row r="285" spans="13:15">
      <c r="M285"/>
      <c r="N285"/>
      <c r="O285"/>
    </row>
    <row r="286" spans="13:15">
      <c r="M286"/>
      <c r="N286"/>
      <c r="O286"/>
    </row>
    <row r="287" spans="13:15">
      <c r="M287"/>
      <c r="N287"/>
      <c r="O287"/>
    </row>
    <row r="288" spans="13:15">
      <c r="M288"/>
      <c r="N288"/>
      <c r="O288"/>
    </row>
    <row r="289" spans="13:15">
      <c r="M289"/>
      <c r="N289"/>
      <c r="O289"/>
    </row>
    <row r="290" spans="13:15">
      <c r="M290"/>
      <c r="N290"/>
      <c r="O290"/>
    </row>
    <row r="291" spans="13:15">
      <c r="M291"/>
      <c r="N291"/>
      <c r="O291"/>
    </row>
    <row r="292" spans="13:15">
      <c r="M292"/>
      <c r="N292"/>
      <c r="O292"/>
    </row>
    <row r="293" spans="13:15">
      <c r="M293"/>
      <c r="N293"/>
      <c r="O293"/>
    </row>
    <row r="294" spans="13:15">
      <c r="M294"/>
      <c r="N294"/>
      <c r="O294"/>
    </row>
    <row r="295" spans="13:15">
      <c r="M295"/>
      <c r="N295"/>
      <c r="O295"/>
    </row>
    <row r="296" spans="13:15">
      <c r="M296"/>
      <c r="N296"/>
      <c r="O296"/>
    </row>
    <row r="297" spans="13:15">
      <c r="M297"/>
      <c r="N297"/>
      <c r="O297"/>
    </row>
    <row r="298" spans="13:15">
      <c r="M298"/>
      <c r="N298"/>
      <c r="O298"/>
    </row>
    <row r="299" spans="13:15">
      <c r="M299"/>
      <c r="N299"/>
      <c r="O299"/>
    </row>
    <row r="300" spans="13:15">
      <c r="M300"/>
      <c r="N300"/>
      <c r="O300"/>
    </row>
    <row r="301" spans="13:15">
      <c r="M301"/>
      <c r="N301"/>
      <c r="O301"/>
    </row>
    <row r="302" spans="13:15">
      <c r="M302"/>
      <c r="N302"/>
      <c r="O302"/>
    </row>
    <row r="303" spans="13:15">
      <c r="M303"/>
      <c r="N303"/>
      <c r="O303"/>
    </row>
    <row r="304" spans="13:15">
      <c r="M304"/>
      <c r="N304"/>
      <c r="O304"/>
    </row>
    <row r="305" spans="13:15">
      <c r="M305"/>
      <c r="N305"/>
      <c r="O305"/>
    </row>
    <row r="306" spans="13:15">
      <c r="M306"/>
      <c r="N306"/>
      <c r="O306"/>
    </row>
    <row r="307" spans="13:15">
      <c r="M307"/>
      <c r="N307"/>
      <c r="O307"/>
    </row>
    <row r="308" spans="13:15">
      <c r="M308"/>
      <c r="N308"/>
      <c r="O308"/>
    </row>
    <row r="309" spans="13:15">
      <c r="M309"/>
      <c r="N309"/>
      <c r="O309"/>
    </row>
    <row r="310" spans="13:15">
      <c r="M310"/>
      <c r="N310"/>
      <c r="O310"/>
    </row>
    <row r="311" spans="13:15">
      <c r="M311"/>
      <c r="N311"/>
      <c r="O311"/>
    </row>
    <row r="312" spans="13:15">
      <c r="M312"/>
      <c r="N312"/>
      <c r="O312"/>
    </row>
    <row r="313" spans="13:15">
      <c r="M313"/>
      <c r="N313"/>
      <c r="O313"/>
    </row>
    <row r="314" spans="13:15">
      <c r="M314"/>
      <c r="N314"/>
      <c r="O314"/>
    </row>
    <row r="315" spans="13:15">
      <c r="M315"/>
      <c r="N315"/>
      <c r="O315"/>
    </row>
    <row r="316" spans="13:15">
      <c r="M316"/>
      <c r="N316"/>
      <c r="O316"/>
    </row>
    <row r="317" spans="13:15">
      <c r="M317"/>
      <c r="N317"/>
      <c r="O317"/>
    </row>
    <row r="318" spans="13:15">
      <c r="M318"/>
      <c r="N318"/>
      <c r="O318"/>
    </row>
    <row r="319" spans="13:15">
      <c r="M319"/>
      <c r="N319"/>
      <c r="O319"/>
    </row>
    <row r="320" spans="13:15">
      <c r="M320"/>
      <c r="N320"/>
      <c r="O320"/>
    </row>
    <row r="321" spans="13:15">
      <c r="M321"/>
      <c r="N321"/>
      <c r="O321"/>
    </row>
    <row r="322" spans="13:15">
      <c r="M322"/>
      <c r="N322"/>
      <c r="O322"/>
    </row>
    <row r="323" spans="13:15">
      <c r="M323"/>
      <c r="N323"/>
      <c r="O323"/>
    </row>
    <row r="324" spans="13:15">
      <c r="M324"/>
      <c r="N324"/>
      <c r="O324"/>
    </row>
    <row r="325" spans="13:15">
      <c r="M325"/>
      <c r="N325"/>
      <c r="O325"/>
    </row>
  </sheetData>
  <sheetProtection formatCells="0" formatColumns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E414-62AA-4ECC-B429-4F4C5EAB5F73}">
  <dimension ref="A1:AP3924"/>
  <sheetViews>
    <sheetView tabSelected="1" topLeftCell="T1" zoomScale="71" zoomScaleNormal="71" workbookViewId="0">
      <pane ySplit="5" topLeftCell="A3843" activePane="bottomLeft" state="frozen"/>
      <selection pane="bottomLeft" activeCell="AJ3844" sqref="AJ3844"/>
    </sheetView>
  </sheetViews>
  <sheetFormatPr defaultRowHeight="14.5"/>
  <cols>
    <col min="1" max="1" width="12.81640625" bestFit="1" customWidth="1"/>
    <col min="4" max="4" width="11.1796875" bestFit="1" customWidth="1"/>
    <col min="5" max="5" width="43.54296875" customWidth="1"/>
    <col min="6" max="6" width="38.453125" customWidth="1"/>
    <col min="7" max="8" width="10.453125" customWidth="1"/>
    <col min="9" max="9" width="15.81640625" bestFit="1" customWidth="1"/>
    <col min="10" max="10" width="19.7265625" customWidth="1"/>
    <col min="11" max="11" width="10.26953125" customWidth="1"/>
    <col min="12" max="12" width="12.1796875" customWidth="1"/>
    <col min="13" max="13" width="19.81640625" bestFit="1" customWidth="1"/>
    <col min="14" max="14" width="18.81640625" bestFit="1" customWidth="1"/>
    <col min="15" max="15" width="26.81640625" customWidth="1"/>
    <col min="16" max="16" width="13.453125" customWidth="1"/>
    <col min="17" max="17" width="9.54296875" bestFit="1" customWidth="1"/>
    <col min="18" max="18" width="11" bestFit="1" customWidth="1"/>
    <col min="19" max="19" width="12.81640625" style="176" bestFit="1" customWidth="1"/>
    <col min="20" max="20" width="9.453125" bestFit="1" customWidth="1"/>
    <col min="24" max="24" width="12.453125" style="43" bestFit="1" customWidth="1"/>
    <col min="25" max="25" width="14.54296875" bestFit="1" customWidth="1"/>
    <col min="27" max="29" width="10.81640625" bestFit="1" customWidth="1"/>
    <col min="30" max="31" width="14.7265625" bestFit="1" customWidth="1"/>
    <col min="32" max="32" width="14.26953125" bestFit="1" customWidth="1"/>
    <col min="34" max="34" width="9.54296875" bestFit="1" customWidth="1"/>
    <col min="36" max="36" width="19" customWidth="1"/>
    <col min="37" max="37" width="25.453125" bestFit="1" customWidth="1"/>
    <col min="38" max="38" width="19.1796875" bestFit="1" customWidth="1"/>
    <col min="39" max="39" width="31.1796875" bestFit="1" customWidth="1"/>
  </cols>
  <sheetData>
    <row r="1" spans="1:39">
      <c r="X1" s="43">
        <v>1000</v>
      </c>
      <c r="AB1">
        <v>1000</v>
      </c>
      <c r="AC1">
        <v>1000</v>
      </c>
    </row>
    <row r="2" spans="1:39">
      <c r="V2">
        <v>2</v>
      </c>
      <c r="X2" s="43">
        <v>400</v>
      </c>
      <c r="AA2">
        <v>2</v>
      </c>
      <c r="AB2">
        <v>60</v>
      </c>
      <c r="AC2">
        <v>35</v>
      </c>
      <c r="AD2">
        <v>2</v>
      </c>
      <c r="AK2">
        <v>120000</v>
      </c>
      <c r="AM2">
        <v>2</v>
      </c>
    </row>
    <row r="4" spans="1:39">
      <c r="AL4" s="160">
        <v>4559.1400000000003</v>
      </c>
    </row>
    <row r="5" spans="1:39" ht="91.5" customHeight="1">
      <c r="A5" s="1" t="s">
        <v>2</v>
      </c>
      <c r="B5" s="2" t="s">
        <v>134</v>
      </c>
      <c r="C5" s="2" t="s">
        <v>1</v>
      </c>
      <c r="D5" s="2" t="s">
        <v>135</v>
      </c>
      <c r="E5" s="2" t="s">
        <v>3</v>
      </c>
      <c r="F5" s="2" t="s">
        <v>136</v>
      </c>
      <c r="G5" s="3" t="s">
        <v>137</v>
      </c>
      <c r="H5" s="4" t="s">
        <v>138</v>
      </c>
      <c r="I5" s="2" t="s">
        <v>139</v>
      </c>
      <c r="J5" s="2" t="s">
        <v>4</v>
      </c>
      <c r="K5" s="5" t="s">
        <v>140</v>
      </c>
      <c r="L5" s="1" t="s">
        <v>141</v>
      </c>
      <c r="M5" s="1" t="s">
        <v>67</v>
      </c>
      <c r="N5" s="1" t="s">
        <v>142</v>
      </c>
      <c r="O5" s="1" t="s">
        <v>143</v>
      </c>
      <c r="P5" s="1" t="s">
        <v>144</v>
      </c>
      <c r="Q5" s="1" t="s">
        <v>145</v>
      </c>
      <c r="R5" s="1" t="s">
        <v>146</v>
      </c>
      <c r="S5" s="6" t="s">
        <v>147</v>
      </c>
      <c r="T5" s="1" t="s">
        <v>148</v>
      </c>
      <c r="U5" s="1" t="s">
        <v>68</v>
      </c>
      <c r="V5" s="1" t="s">
        <v>149</v>
      </c>
      <c r="W5" s="6" t="s">
        <v>150</v>
      </c>
      <c r="X5" s="146" t="s">
        <v>151</v>
      </c>
      <c r="Y5" s="7" t="s">
        <v>152</v>
      </c>
      <c r="Z5" s="7" t="s">
        <v>153</v>
      </c>
      <c r="AA5" s="7" t="s">
        <v>154</v>
      </c>
      <c r="AB5" s="7" t="s">
        <v>155</v>
      </c>
      <c r="AC5" s="7" t="s">
        <v>156</v>
      </c>
      <c r="AD5" s="7" t="s">
        <v>157</v>
      </c>
      <c r="AE5" s="7" t="s">
        <v>158</v>
      </c>
      <c r="AF5" s="7" t="s">
        <v>42</v>
      </c>
      <c r="AG5" s="7" t="s">
        <v>65</v>
      </c>
      <c r="AH5" s="7" t="s">
        <v>159</v>
      </c>
      <c r="AI5" s="7" t="s">
        <v>160</v>
      </c>
      <c r="AJ5" s="7" t="s">
        <v>161</v>
      </c>
      <c r="AK5" s="2" t="s">
        <v>162</v>
      </c>
      <c r="AL5" s="7" t="s">
        <v>163</v>
      </c>
    </row>
    <row r="6" spans="1:39" ht="21" customHeight="1">
      <c r="A6" s="14" t="s">
        <v>17</v>
      </c>
      <c r="B6" s="8">
        <v>2024</v>
      </c>
      <c r="C6" s="8" t="s">
        <v>74</v>
      </c>
      <c r="D6" s="9" t="s">
        <v>75</v>
      </c>
      <c r="E6" s="9" t="s">
        <v>75</v>
      </c>
      <c r="F6" s="9" t="s">
        <v>164</v>
      </c>
      <c r="H6" s="151"/>
      <c r="I6" s="157" t="s">
        <v>165</v>
      </c>
      <c r="J6" s="157" t="s">
        <v>11</v>
      </c>
      <c r="K6" s="152"/>
      <c r="L6" s="155" t="s">
        <v>166</v>
      </c>
      <c r="M6" s="155" t="s">
        <v>28</v>
      </c>
      <c r="N6" s="155"/>
      <c r="O6" s="155" t="s">
        <v>167</v>
      </c>
      <c r="P6" s="155" t="s">
        <v>167</v>
      </c>
      <c r="Q6" s="155"/>
      <c r="R6" s="150"/>
      <c r="S6" s="156">
        <f>+T6*5</f>
        <v>2195</v>
      </c>
      <c r="T6" s="155">
        <v>439</v>
      </c>
      <c r="U6" s="155" t="s">
        <v>76</v>
      </c>
      <c r="V6" s="155"/>
      <c r="W6" s="158">
        <v>30</v>
      </c>
      <c r="X6" s="153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8">
        <f>T6*120000</f>
        <v>52680000</v>
      </c>
      <c r="AL6" s="161">
        <f>AK6/$AL$4</f>
        <v>11554.810775716473</v>
      </c>
    </row>
    <row r="7" spans="1:39" ht="21" customHeight="1">
      <c r="A7" s="14" t="s">
        <v>17</v>
      </c>
      <c r="B7" s="8">
        <v>2024</v>
      </c>
      <c r="C7" s="8" t="s">
        <v>74</v>
      </c>
      <c r="D7" s="9" t="s">
        <v>75</v>
      </c>
      <c r="E7" s="9" t="s">
        <v>75</v>
      </c>
      <c r="F7" s="9" t="s">
        <v>164</v>
      </c>
      <c r="G7" s="151"/>
      <c r="H7" s="151"/>
      <c r="I7" s="157" t="s">
        <v>165</v>
      </c>
      <c r="J7" s="157" t="s">
        <v>11</v>
      </c>
      <c r="K7" s="152"/>
      <c r="L7" s="155" t="s">
        <v>166</v>
      </c>
      <c r="M7" s="155" t="s">
        <v>28</v>
      </c>
      <c r="N7" s="155"/>
      <c r="O7" s="155" t="s">
        <v>168</v>
      </c>
      <c r="P7" s="155" t="s">
        <v>168</v>
      </c>
      <c r="Q7" s="155"/>
      <c r="S7" s="156">
        <f t="shared" ref="S7:S47" si="0">+T7*5</f>
        <v>2225</v>
      </c>
      <c r="T7" s="155">
        <v>445</v>
      </c>
      <c r="U7" s="155" t="s">
        <v>76</v>
      </c>
      <c r="V7" s="155"/>
      <c r="W7" s="158">
        <v>30</v>
      </c>
      <c r="X7" s="153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8">
        <f t="shared" ref="AK7:AK19" si="1">T7*120000</f>
        <v>53400000</v>
      </c>
      <c r="AL7" s="161">
        <f t="shared" ref="AL7:AL73" si="2">AK7/$AL$4</f>
        <v>11712.73529656909</v>
      </c>
    </row>
    <row r="8" spans="1:39" ht="21" customHeight="1">
      <c r="A8" s="14" t="s">
        <v>17</v>
      </c>
      <c r="B8" s="8">
        <v>2024</v>
      </c>
      <c r="C8" s="8" t="s">
        <v>74</v>
      </c>
      <c r="D8" s="9" t="s">
        <v>75</v>
      </c>
      <c r="E8" s="9" t="s">
        <v>75</v>
      </c>
      <c r="F8" s="9" t="s">
        <v>164</v>
      </c>
      <c r="G8" s="151"/>
      <c r="H8" s="151"/>
      <c r="I8" s="157" t="s">
        <v>165</v>
      </c>
      <c r="J8" s="157" t="s">
        <v>11</v>
      </c>
      <c r="K8" s="152"/>
      <c r="L8" s="155" t="s">
        <v>166</v>
      </c>
      <c r="M8" s="155" t="s">
        <v>28</v>
      </c>
      <c r="N8" s="155"/>
      <c r="O8" s="155" t="s">
        <v>169</v>
      </c>
      <c r="P8" s="155" t="s">
        <v>169</v>
      </c>
      <c r="Q8" s="155"/>
      <c r="S8" s="156">
        <f t="shared" si="0"/>
        <v>1500</v>
      </c>
      <c r="T8" s="155">
        <v>300</v>
      </c>
      <c r="U8" s="155" t="s">
        <v>76</v>
      </c>
      <c r="V8" s="155"/>
      <c r="W8" s="158">
        <v>30</v>
      </c>
      <c r="X8" s="153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8">
        <f t="shared" si="1"/>
        <v>36000000</v>
      </c>
      <c r="AL8" s="161">
        <f t="shared" si="2"/>
        <v>7896.2260426308467</v>
      </c>
    </row>
    <row r="9" spans="1:39" ht="21" customHeight="1">
      <c r="A9" s="14" t="s">
        <v>17</v>
      </c>
      <c r="B9" s="8">
        <v>2024</v>
      </c>
      <c r="C9" s="8" t="s">
        <v>74</v>
      </c>
      <c r="D9" s="9" t="s">
        <v>75</v>
      </c>
      <c r="E9" s="9" t="s">
        <v>75</v>
      </c>
      <c r="F9" s="9" t="s">
        <v>164</v>
      </c>
      <c r="G9" s="151"/>
      <c r="H9" s="151"/>
      <c r="I9" s="157" t="s">
        <v>165</v>
      </c>
      <c r="J9" s="157" t="s">
        <v>11</v>
      </c>
      <c r="K9" s="152"/>
      <c r="L9" s="155" t="s">
        <v>166</v>
      </c>
      <c r="M9" s="155" t="s">
        <v>28</v>
      </c>
      <c r="N9" s="155"/>
      <c r="O9" s="155" t="s">
        <v>170</v>
      </c>
      <c r="P9" s="155" t="s">
        <v>170</v>
      </c>
      <c r="Q9" s="155"/>
      <c r="R9" s="150"/>
      <c r="S9" s="156">
        <f t="shared" si="0"/>
        <v>5510</v>
      </c>
      <c r="T9" s="155">
        <v>1102</v>
      </c>
      <c r="U9" s="155" t="s">
        <v>76</v>
      </c>
      <c r="V9" s="155"/>
      <c r="W9" s="158">
        <v>30</v>
      </c>
      <c r="X9" s="153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8">
        <f t="shared" si="1"/>
        <v>132240000</v>
      </c>
      <c r="AL9" s="161">
        <f t="shared" si="2"/>
        <v>29005.470329930642</v>
      </c>
    </row>
    <row r="10" spans="1:39" ht="21" customHeight="1">
      <c r="A10" s="14" t="s">
        <v>17</v>
      </c>
      <c r="B10" s="8">
        <v>2024</v>
      </c>
      <c r="C10" s="8" t="s">
        <v>74</v>
      </c>
      <c r="D10" s="9" t="s">
        <v>75</v>
      </c>
      <c r="E10" s="9" t="s">
        <v>75</v>
      </c>
      <c r="F10" s="9" t="s">
        <v>164</v>
      </c>
      <c r="G10" s="151"/>
      <c r="H10" s="151"/>
      <c r="I10" s="157" t="s">
        <v>11</v>
      </c>
      <c r="J10" s="157" t="s">
        <v>11</v>
      </c>
      <c r="K10" s="152"/>
      <c r="L10" s="155" t="s">
        <v>171</v>
      </c>
      <c r="M10" s="155" t="s">
        <v>11</v>
      </c>
      <c r="N10" s="155"/>
      <c r="O10" s="155" t="s">
        <v>172</v>
      </c>
      <c r="P10" s="155" t="s">
        <v>172</v>
      </c>
      <c r="Q10" s="155"/>
      <c r="R10" s="150"/>
      <c r="S10" s="156">
        <f t="shared" si="0"/>
        <v>1120</v>
      </c>
      <c r="T10" s="155">
        <v>224</v>
      </c>
      <c r="U10" s="155" t="s">
        <v>76</v>
      </c>
      <c r="V10" s="155"/>
      <c r="W10" s="158">
        <v>30</v>
      </c>
      <c r="X10" s="153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8">
        <f t="shared" si="1"/>
        <v>26880000</v>
      </c>
      <c r="AL10" s="161">
        <f t="shared" si="2"/>
        <v>5895.8487784976987</v>
      </c>
    </row>
    <row r="11" spans="1:39" ht="21" customHeight="1">
      <c r="A11" s="14" t="s">
        <v>17</v>
      </c>
      <c r="B11" s="8">
        <v>2024</v>
      </c>
      <c r="C11" s="8" t="s">
        <v>74</v>
      </c>
      <c r="D11" s="9" t="s">
        <v>75</v>
      </c>
      <c r="E11" s="9" t="s">
        <v>75</v>
      </c>
      <c r="F11" s="9" t="s">
        <v>164</v>
      </c>
      <c r="G11" s="151"/>
      <c r="H11" s="151"/>
      <c r="I11" s="157" t="s">
        <v>11</v>
      </c>
      <c r="J11" s="157" t="s">
        <v>11</v>
      </c>
      <c r="K11" s="152"/>
      <c r="L11" s="155" t="s">
        <v>171</v>
      </c>
      <c r="M11" s="155" t="s">
        <v>11</v>
      </c>
      <c r="N11" s="155"/>
      <c r="O11" s="155" t="s">
        <v>173</v>
      </c>
      <c r="P11" s="155" t="s">
        <v>173</v>
      </c>
      <c r="Q11" s="155"/>
      <c r="R11" s="150"/>
      <c r="S11" s="156">
        <f t="shared" si="0"/>
        <v>800</v>
      </c>
      <c r="T11" s="155">
        <v>160</v>
      </c>
      <c r="U11" s="155" t="s">
        <v>76</v>
      </c>
      <c r="V11" s="155"/>
      <c r="W11" s="158">
        <v>30</v>
      </c>
      <c r="X11" s="153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8">
        <f t="shared" si="1"/>
        <v>19200000</v>
      </c>
      <c r="AL11" s="161">
        <f t="shared" si="2"/>
        <v>4211.3205560697852</v>
      </c>
    </row>
    <row r="12" spans="1:39" ht="21" customHeight="1">
      <c r="A12" s="14" t="s">
        <v>17</v>
      </c>
      <c r="B12" s="8">
        <v>2024</v>
      </c>
      <c r="C12" s="8" t="s">
        <v>74</v>
      </c>
      <c r="D12" s="9" t="s">
        <v>75</v>
      </c>
      <c r="E12" s="9" t="s">
        <v>75</v>
      </c>
      <c r="F12" s="9" t="s">
        <v>164</v>
      </c>
      <c r="G12" s="151"/>
      <c r="H12" s="151"/>
      <c r="I12" s="157" t="s">
        <v>11</v>
      </c>
      <c r="J12" s="157" t="s">
        <v>11</v>
      </c>
      <c r="K12" s="152"/>
      <c r="L12" s="155" t="s">
        <v>171</v>
      </c>
      <c r="M12" s="155" t="s">
        <v>11</v>
      </c>
      <c r="N12" s="155"/>
      <c r="O12" s="155" t="s">
        <v>174</v>
      </c>
      <c r="P12" s="155" t="s">
        <v>174</v>
      </c>
      <c r="Q12" s="155"/>
      <c r="R12" s="150"/>
      <c r="S12" s="156">
        <f t="shared" si="0"/>
        <v>1120</v>
      </c>
      <c r="T12" s="155">
        <v>224</v>
      </c>
      <c r="U12" s="155" t="s">
        <v>76</v>
      </c>
      <c r="V12" s="155"/>
      <c r="W12" s="158">
        <v>30</v>
      </c>
      <c r="X12" s="153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8">
        <f t="shared" si="1"/>
        <v>26880000</v>
      </c>
      <c r="AL12" s="161">
        <f t="shared" si="2"/>
        <v>5895.8487784976987</v>
      </c>
    </row>
    <row r="13" spans="1:39" ht="21" customHeight="1">
      <c r="A13" s="14" t="s">
        <v>17</v>
      </c>
      <c r="B13" s="8">
        <v>2024</v>
      </c>
      <c r="C13" s="8" t="s">
        <v>74</v>
      </c>
      <c r="D13" s="9" t="s">
        <v>75</v>
      </c>
      <c r="E13" s="9" t="s">
        <v>75</v>
      </c>
      <c r="F13" s="9" t="s">
        <v>164</v>
      </c>
      <c r="G13" s="151"/>
      <c r="H13" s="151"/>
      <c r="I13" s="157" t="s">
        <v>11</v>
      </c>
      <c r="J13" s="157" t="s">
        <v>11</v>
      </c>
      <c r="K13" s="152"/>
      <c r="L13" s="155" t="s">
        <v>171</v>
      </c>
      <c r="M13" s="155" t="s">
        <v>11</v>
      </c>
      <c r="N13" s="155"/>
      <c r="O13" s="155" t="s">
        <v>175</v>
      </c>
      <c r="P13" s="155" t="s">
        <v>175</v>
      </c>
      <c r="Q13" s="155"/>
      <c r="R13" s="150"/>
      <c r="S13" s="156">
        <f t="shared" si="0"/>
        <v>1000</v>
      </c>
      <c r="T13" s="155">
        <v>200</v>
      </c>
      <c r="U13" s="155" t="s">
        <v>76</v>
      </c>
      <c r="V13" s="155"/>
      <c r="W13" s="158">
        <v>30</v>
      </c>
      <c r="X13" s="153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8">
        <f t="shared" si="1"/>
        <v>24000000</v>
      </c>
      <c r="AL13" s="161">
        <f t="shared" si="2"/>
        <v>5264.1506950872308</v>
      </c>
    </row>
    <row r="14" spans="1:39" ht="21" customHeight="1">
      <c r="A14" s="14" t="s">
        <v>17</v>
      </c>
      <c r="B14" s="8">
        <v>2025</v>
      </c>
      <c r="C14" s="8" t="s">
        <v>74</v>
      </c>
      <c r="D14" s="9" t="s">
        <v>75</v>
      </c>
      <c r="E14" s="9" t="s">
        <v>75</v>
      </c>
      <c r="F14" s="9" t="s">
        <v>164</v>
      </c>
      <c r="G14" s="151"/>
      <c r="H14" s="151"/>
      <c r="I14" s="157" t="s">
        <v>11</v>
      </c>
      <c r="J14" s="157" t="s">
        <v>11</v>
      </c>
      <c r="K14" s="152"/>
      <c r="L14" s="155" t="s">
        <v>171</v>
      </c>
      <c r="M14" s="155" t="s">
        <v>11</v>
      </c>
      <c r="N14" s="155"/>
      <c r="O14" s="155" t="s">
        <v>176</v>
      </c>
      <c r="P14" s="155" t="s">
        <v>176</v>
      </c>
      <c r="Q14" s="155"/>
      <c r="R14" s="150"/>
      <c r="S14" s="156">
        <f>+T14*5</f>
        <v>12500</v>
      </c>
      <c r="T14" s="155">
        <v>2500</v>
      </c>
      <c r="U14" s="155" t="s">
        <v>76</v>
      </c>
      <c r="V14" s="155"/>
      <c r="W14" s="158">
        <v>30</v>
      </c>
      <c r="X14" s="153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8">
        <f>T14*120000</f>
        <v>300000000</v>
      </c>
      <c r="AL14" s="161">
        <f>AK14/$AL$4</f>
        <v>65801.883688590387</v>
      </c>
    </row>
    <row r="15" spans="1:39" ht="21" customHeight="1">
      <c r="A15" s="14" t="s">
        <v>17</v>
      </c>
      <c r="B15" s="8">
        <v>2024</v>
      </c>
      <c r="C15" s="8" t="s">
        <v>74</v>
      </c>
      <c r="D15" s="9" t="s">
        <v>75</v>
      </c>
      <c r="E15" s="9" t="s">
        <v>75</v>
      </c>
      <c r="F15" s="9" t="s">
        <v>164</v>
      </c>
      <c r="G15" s="151"/>
      <c r="H15" s="151"/>
      <c r="I15" s="157" t="s">
        <v>11</v>
      </c>
      <c r="J15" s="157" t="s">
        <v>11</v>
      </c>
      <c r="K15" s="152"/>
      <c r="L15" s="155" t="s">
        <v>171</v>
      </c>
      <c r="M15" s="155" t="s">
        <v>11</v>
      </c>
      <c r="N15" s="155"/>
      <c r="O15" s="155" t="s">
        <v>177</v>
      </c>
      <c r="P15" s="155" t="s">
        <v>177</v>
      </c>
      <c r="Q15" s="155"/>
      <c r="R15" s="150"/>
      <c r="S15" s="156">
        <f t="shared" si="0"/>
        <v>1600</v>
      </c>
      <c r="T15" s="155">
        <v>320</v>
      </c>
      <c r="U15" s="155" t="s">
        <v>76</v>
      </c>
      <c r="V15" s="155"/>
      <c r="W15" s="158">
        <v>30</v>
      </c>
      <c r="X15" s="153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8">
        <f t="shared" si="1"/>
        <v>38400000</v>
      </c>
      <c r="AL15" s="161">
        <f t="shared" si="2"/>
        <v>8422.6411121395704</v>
      </c>
    </row>
    <row r="16" spans="1:39" ht="21" customHeight="1">
      <c r="A16" s="14" t="s">
        <v>17</v>
      </c>
      <c r="B16" s="8">
        <v>2024</v>
      </c>
      <c r="C16" s="8" t="s">
        <v>74</v>
      </c>
      <c r="D16" s="9" t="s">
        <v>75</v>
      </c>
      <c r="E16" s="9" t="s">
        <v>75</v>
      </c>
      <c r="F16" s="9" t="s">
        <v>164</v>
      </c>
      <c r="G16" s="151"/>
      <c r="H16" s="151"/>
      <c r="I16" s="157" t="s">
        <v>13</v>
      </c>
      <c r="J16" s="157" t="s">
        <v>13</v>
      </c>
      <c r="K16" s="152"/>
      <c r="L16" s="155" t="s">
        <v>178</v>
      </c>
      <c r="M16" s="155" t="s">
        <v>11</v>
      </c>
      <c r="N16" s="155"/>
      <c r="O16" s="155" t="s">
        <v>179</v>
      </c>
      <c r="P16" s="155" t="s">
        <v>179</v>
      </c>
      <c r="Q16" s="155"/>
      <c r="R16" s="150"/>
      <c r="S16" s="156">
        <f t="shared" si="0"/>
        <v>1600</v>
      </c>
      <c r="T16" s="155">
        <v>320</v>
      </c>
      <c r="U16" s="155" t="s">
        <v>76</v>
      </c>
      <c r="V16" s="155"/>
      <c r="W16" s="158">
        <v>30</v>
      </c>
      <c r="X16" s="153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8">
        <f t="shared" si="1"/>
        <v>38400000</v>
      </c>
      <c r="AL16" s="161">
        <f t="shared" si="2"/>
        <v>8422.6411121395704</v>
      </c>
    </row>
    <row r="17" spans="1:38" ht="21" customHeight="1">
      <c r="A17" s="14" t="s">
        <v>17</v>
      </c>
      <c r="B17" s="8">
        <v>2024</v>
      </c>
      <c r="C17" s="8" t="s">
        <v>74</v>
      </c>
      <c r="D17" s="9" t="s">
        <v>75</v>
      </c>
      <c r="E17" s="9" t="s">
        <v>75</v>
      </c>
      <c r="F17" s="9" t="s">
        <v>164</v>
      </c>
      <c r="G17" s="151"/>
      <c r="H17" s="151"/>
      <c r="I17" s="157" t="s">
        <v>13</v>
      </c>
      <c r="J17" s="157" t="s">
        <v>13</v>
      </c>
      <c r="K17" s="152"/>
      <c r="L17" s="155" t="s">
        <v>178</v>
      </c>
      <c r="M17" s="155" t="s">
        <v>13</v>
      </c>
      <c r="N17" s="155"/>
      <c r="O17" s="155" t="s">
        <v>180</v>
      </c>
      <c r="P17" s="155" t="s">
        <v>180</v>
      </c>
      <c r="Q17" s="155"/>
      <c r="R17" s="150"/>
      <c r="S17" s="156">
        <f t="shared" si="0"/>
        <v>2200</v>
      </c>
      <c r="T17" s="155">
        <v>440</v>
      </c>
      <c r="U17" s="155" t="s">
        <v>76</v>
      </c>
      <c r="V17" s="155"/>
      <c r="W17" s="158">
        <v>30</v>
      </c>
      <c r="X17" s="153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8">
        <f t="shared" si="1"/>
        <v>52800000</v>
      </c>
      <c r="AL17" s="161">
        <f t="shared" si="2"/>
        <v>11581.131529191909</v>
      </c>
    </row>
    <row r="18" spans="1:38" ht="21" customHeight="1">
      <c r="A18" s="14" t="s">
        <v>17</v>
      </c>
      <c r="B18" s="8">
        <v>2024</v>
      </c>
      <c r="C18" s="8" t="s">
        <v>74</v>
      </c>
      <c r="D18" s="9" t="s">
        <v>75</v>
      </c>
      <c r="E18" s="9" t="s">
        <v>75</v>
      </c>
      <c r="F18" s="9" t="s">
        <v>164</v>
      </c>
      <c r="G18" s="151"/>
      <c r="H18" s="151"/>
      <c r="I18" s="157" t="s">
        <v>13</v>
      </c>
      <c r="J18" s="157" t="s">
        <v>13</v>
      </c>
      <c r="K18" s="152"/>
      <c r="L18" s="155" t="s">
        <v>178</v>
      </c>
      <c r="M18" s="155" t="s">
        <v>13</v>
      </c>
      <c r="N18" s="155"/>
      <c r="O18" s="155" t="s">
        <v>181</v>
      </c>
      <c r="P18" s="155" t="s">
        <v>181</v>
      </c>
      <c r="Q18" s="155"/>
      <c r="R18" s="150"/>
      <c r="S18" s="156">
        <f t="shared" si="0"/>
        <v>4000</v>
      </c>
      <c r="T18" s="155">
        <v>800</v>
      </c>
      <c r="U18" s="155" t="s">
        <v>76</v>
      </c>
      <c r="V18" s="155"/>
      <c r="W18" s="158">
        <v>30</v>
      </c>
      <c r="X18" s="153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8">
        <f t="shared" si="1"/>
        <v>96000000</v>
      </c>
      <c r="AL18" s="161">
        <f t="shared" si="2"/>
        <v>21056.602780348923</v>
      </c>
    </row>
    <row r="19" spans="1:38" ht="21" customHeight="1">
      <c r="A19" s="14" t="s">
        <v>17</v>
      </c>
      <c r="B19" s="8">
        <v>2024</v>
      </c>
      <c r="C19" s="8" t="s">
        <v>74</v>
      </c>
      <c r="D19" s="9" t="s">
        <v>75</v>
      </c>
      <c r="E19" s="9" t="s">
        <v>75</v>
      </c>
      <c r="F19" s="9" t="s">
        <v>164</v>
      </c>
      <c r="G19" s="151"/>
      <c r="H19" s="151"/>
      <c r="I19" s="157" t="s">
        <v>13</v>
      </c>
      <c r="J19" s="157" t="s">
        <v>13</v>
      </c>
      <c r="K19" s="152"/>
      <c r="L19" s="155" t="s">
        <v>178</v>
      </c>
      <c r="M19" s="155" t="s">
        <v>13</v>
      </c>
      <c r="N19" s="155"/>
      <c r="O19" s="155" t="s">
        <v>182</v>
      </c>
      <c r="P19" s="155" t="s">
        <v>183</v>
      </c>
      <c r="Q19" s="155"/>
      <c r="R19" s="150"/>
      <c r="S19" s="156">
        <f t="shared" si="0"/>
        <v>3500</v>
      </c>
      <c r="T19" s="155">
        <v>700</v>
      </c>
      <c r="U19" s="155" t="s">
        <v>76</v>
      </c>
      <c r="V19" s="155"/>
      <c r="W19" s="158">
        <v>30</v>
      </c>
      <c r="X19" s="153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8">
        <f t="shared" si="1"/>
        <v>84000000</v>
      </c>
      <c r="AL19" s="161">
        <f t="shared" si="2"/>
        <v>18424.527432805309</v>
      </c>
    </row>
    <row r="20" spans="1:38" ht="21" customHeight="1">
      <c r="A20" s="14" t="s">
        <v>21</v>
      </c>
      <c r="B20" s="8">
        <v>2024</v>
      </c>
      <c r="C20" s="8" t="s">
        <v>74</v>
      </c>
      <c r="D20" s="9" t="s">
        <v>75</v>
      </c>
      <c r="E20" s="9" t="s">
        <v>75</v>
      </c>
      <c r="F20" s="9" t="s">
        <v>164</v>
      </c>
      <c r="H20" s="151"/>
      <c r="I20" s="157" t="s">
        <v>165</v>
      </c>
      <c r="J20" s="157" t="s">
        <v>11</v>
      </c>
      <c r="K20" s="152"/>
      <c r="L20" s="155" t="s">
        <v>166</v>
      </c>
      <c r="M20" s="155" t="s">
        <v>28</v>
      </c>
      <c r="N20" s="155"/>
      <c r="O20" s="155" t="s">
        <v>167</v>
      </c>
      <c r="P20" s="155" t="s">
        <v>167</v>
      </c>
      <c r="Q20" s="155"/>
      <c r="R20" s="150"/>
      <c r="S20" s="156">
        <f>+T20*5</f>
        <v>2195</v>
      </c>
      <c r="T20" s="155">
        <v>439</v>
      </c>
      <c r="U20" s="155" t="s">
        <v>76</v>
      </c>
      <c r="V20" s="155"/>
      <c r="W20" s="158">
        <v>30</v>
      </c>
      <c r="X20" s="153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8">
        <f>T20*120000</f>
        <v>52680000</v>
      </c>
      <c r="AL20" s="161">
        <f t="shared" si="2"/>
        <v>11554.810775716473</v>
      </c>
    </row>
    <row r="21" spans="1:38" ht="21" customHeight="1">
      <c r="A21" s="14" t="s">
        <v>21</v>
      </c>
      <c r="B21" s="8">
        <v>2024</v>
      </c>
      <c r="C21" s="8" t="s">
        <v>74</v>
      </c>
      <c r="D21" s="9" t="s">
        <v>75</v>
      </c>
      <c r="E21" s="9" t="s">
        <v>75</v>
      </c>
      <c r="F21" s="9" t="s">
        <v>164</v>
      </c>
      <c r="G21" s="151"/>
      <c r="H21" s="151"/>
      <c r="I21" s="157" t="s">
        <v>165</v>
      </c>
      <c r="J21" s="157" t="s">
        <v>11</v>
      </c>
      <c r="K21" s="152"/>
      <c r="L21" s="155" t="s">
        <v>166</v>
      </c>
      <c r="M21" s="155" t="s">
        <v>28</v>
      </c>
      <c r="N21" s="155"/>
      <c r="O21" s="155" t="s">
        <v>168</v>
      </c>
      <c r="P21" s="155" t="s">
        <v>168</v>
      </c>
      <c r="Q21" s="155"/>
      <c r="S21" s="156">
        <f t="shared" si="0"/>
        <v>2225</v>
      </c>
      <c r="T21" s="155">
        <v>445</v>
      </c>
      <c r="U21" s="155" t="s">
        <v>76</v>
      </c>
      <c r="V21" s="155"/>
      <c r="W21" s="158">
        <v>30</v>
      </c>
      <c r="X21" s="153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8">
        <f t="shared" ref="AK21:AK33" si="3">T21*120000</f>
        <v>53400000</v>
      </c>
      <c r="AL21" s="161">
        <f t="shared" si="2"/>
        <v>11712.73529656909</v>
      </c>
    </row>
    <row r="22" spans="1:38" ht="21" customHeight="1">
      <c r="A22" s="14" t="s">
        <v>21</v>
      </c>
      <c r="B22" s="8">
        <v>2024</v>
      </c>
      <c r="C22" s="8" t="s">
        <v>74</v>
      </c>
      <c r="D22" s="9" t="s">
        <v>75</v>
      </c>
      <c r="E22" s="9" t="s">
        <v>75</v>
      </c>
      <c r="F22" s="9" t="s">
        <v>164</v>
      </c>
      <c r="G22" s="151"/>
      <c r="H22" s="151"/>
      <c r="I22" s="157" t="s">
        <v>165</v>
      </c>
      <c r="J22" s="157" t="s">
        <v>11</v>
      </c>
      <c r="K22" s="152"/>
      <c r="L22" s="155" t="s">
        <v>166</v>
      </c>
      <c r="M22" s="155" t="s">
        <v>28</v>
      </c>
      <c r="N22" s="155"/>
      <c r="O22" s="155" t="s">
        <v>169</v>
      </c>
      <c r="P22" s="155" t="s">
        <v>169</v>
      </c>
      <c r="Q22" s="155"/>
      <c r="S22" s="156">
        <f t="shared" si="0"/>
        <v>1500</v>
      </c>
      <c r="T22" s="155">
        <v>300</v>
      </c>
      <c r="U22" s="155" t="s">
        <v>76</v>
      </c>
      <c r="V22" s="155"/>
      <c r="W22" s="158">
        <v>30</v>
      </c>
      <c r="X22" s="153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8">
        <f t="shared" si="3"/>
        <v>36000000</v>
      </c>
      <c r="AL22" s="161">
        <f t="shared" si="2"/>
        <v>7896.2260426308467</v>
      </c>
    </row>
    <row r="23" spans="1:38" ht="21" customHeight="1">
      <c r="A23" s="14" t="s">
        <v>21</v>
      </c>
      <c r="B23" s="8">
        <v>2024</v>
      </c>
      <c r="C23" s="8" t="s">
        <v>74</v>
      </c>
      <c r="D23" s="9" t="s">
        <v>75</v>
      </c>
      <c r="E23" s="9" t="s">
        <v>75</v>
      </c>
      <c r="F23" s="9" t="s">
        <v>164</v>
      </c>
      <c r="G23" s="151"/>
      <c r="H23" s="151"/>
      <c r="I23" s="157" t="s">
        <v>165</v>
      </c>
      <c r="J23" s="157" t="s">
        <v>11</v>
      </c>
      <c r="K23" s="152"/>
      <c r="L23" s="155" t="s">
        <v>166</v>
      </c>
      <c r="M23" s="155" t="s">
        <v>28</v>
      </c>
      <c r="N23" s="155"/>
      <c r="O23" s="155" t="s">
        <v>170</v>
      </c>
      <c r="P23" s="155" t="s">
        <v>170</v>
      </c>
      <c r="Q23" s="155"/>
      <c r="R23" s="150"/>
      <c r="S23" s="156">
        <f t="shared" si="0"/>
        <v>5510</v>
      </c>
      <c r="T23" s="155">
        <v>1102</v>
      </c>
      <c r="U23" s="155" t="s">
        <v>76</v>
      </c>
      <c r="V23" s="155"/>
      <c r="W23" s="158">
        <v>30</v>
      </c>
      <c r="X23" s="153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8">
        <f t="shared" si="3"/>
        <v>132240000</v>
      </c>
      <c r="AL23" s="161">
        <f t="shared" si="2"/>
        <v>29005.470329930642</v>
      </c>
    </row>
    <row r="24" spans="1:38" ht="21" customHeight="1">
      <c r="A24" s="14" t="s">
        <v>21</v>
      </c>
      <c r="B24" s="8">
        <v>2024</v>
      </c>
      <c r="C24" s="8" t="s">
        <v>74</v>
      </c>
      <c r="D24" s="9" t="s">
        <v>75</v>
      </c>
      <c r="E24" s="9" t="s">
        <v>75</v>
      </c>
      <c r="F24" s="9" t="s">
        <v>164</v>
      </c>
      <c r="G24" s="151"/>
      <c r="H24" s="151"/>
      <c r="I24" s="157" t="s">
        <v>11</v>
      </c>
      <c r="J24" s="157" t="s">
        <v>11</v>
      </c>
      <c r="K24" s="152"/>
      <c r="L24" s="155" t="s">
        <v>171</v>
      </c>
      <c r="M24" s="155" t="s">
        <v>11</v>
      </c>
      <c r="N24" s="155"/>
      <c r="O24" s="155" t="s">
        <v>172</v>
      </c>
      <c r="P24" s="155" t="s">
        <v>172</v>
      </c>
      <c r="Q24" s="155"/>
      <c r="R24" s="150"/>
      <c r="S24" s="156">
        <f t="shared" si="0"/>
        <v>1120</v>
      </c>
      <c r="T24" s="155">
        <v>224</v>
      </c>
      <c r="U24" s="155" t="s">
        <v>76</v>
      </c>
      <c r="V24" s="155"/>
      <c r="W24" s="158">
        <v>30</v>
      </c>
      <c r="X24" s="153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8">
        <f t="shared" si="3"/>
        <v>26880000</v>
      </c>
      <c r="AL24" s="161">
        <f t="shared" si="2"/>
        <v>5895.8487784976987</v>
      </c>
    </row>
    <row r="25" spans="1:38" ht="21" customHeight="1">
      <c r="A25" s="14" t="s">
        <v>21</v>
      </c>
      <c r="B25" s="8">
        <v>2024</v>
      </c>
      <c r="C25" s="8" t="s">
        <v>74</v>
      </c>
      <c r="D25" s="9" t="s">
        <v>75</v>
      </c>
      <c r="E25" s="9" t="s">
        <v>75</v>
      </c>
      <c r="F25" s="9" t="s">
        <v>164</v>
      </c>
      <c r="G25" s="151"/>
      <c r="H25" s="151"/>
      <c r="I25" s="157" t="s">
        <v>11</v>
      </c>
      <c r="J25" s="157" t="s">
        <v>11</v>
      </c>
      <c r="K25" s="152"/>
      <c r="L25" s="155" t="s">
        <v>171</v>
      </c>
      <c r="M25" s="155" t="s">
        <v>11</v>
      </c>
      <c r="N25" s="155"/>
      <c r="O25" s="155" t="s">
        <v>173</v>
      </c>
      <c r="P25" s="155" t="s">
        <v>173</v>
      </c>
      <c r="Q25" s="155"/>
      <c r="R25" s="150"/>
      <c r="S25" s="156">
        <f t="shared" si="0"/>
        <v>800</v>
      </c>
      <c r="T25" s="155">
        <v>160</v>
      </c>
      <c r="U25" s="155" t="s">
        <v>76</v>
      </c>
      <c r="V25" s="155"/>
      <c r="W25" s="158">
        <v>30</v>
      </c>
      <c r="X25" s="153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8">
        <f t="shared" si="3"/>
        <v>19200000</v>
      </c>
      <c r="AL25" s="161">
        <f t="shared" si="2"/>
        <v>4211.3205560697852</v>
      </c>
    </row>
    <row r="26" spans="1:38" ht="21" customHeight="1">
      <c r="A26" s="14" t="s">
        <v>21</v>
      </c>
      <c r="B26" s="8">
        <v>2024</v>
      </c>
      <c r="C26" s="8" t="s">
        <v>74</v>
      </c>
      <c r="D26" s="9" t="s">
        <v>75</v>
      </c>
      <c r="E26" s="9" t="s">
        <v>75</v>
      </c>
      <c r="F26" s="9" t="s">
        <v>164</v>
      </c>
      <c r="G26" s="151"/>
      <c r="H26" s="151"/>
      <c r="I26" s="157" t="s">
        <v>11</v>
      </c>
      <c r="J26" s="157" t="s">
        <v>11</v>
      </c>
      <c r="K26" s="152"/>
      <c r="L26" s="155" t="s">
        <v>171</v>
      </c>
      <c r="M26" s="155" t="s">
        <v>11</v>
      </c>
      <c r="N26" s="155"/>
      <c r="O26" s="155" t="s">
        <v>174</v>
      </c>
      <c r="P26" s="155" t="s">
        <v>174</v>
      </c>
      <c r="Q26" s="155"/>
      <c r="R26" s="150"/>
      <c r="S26" s="156">
        <f t="shared" si="0"/>
        <v>1120</v>
      </c>
      <c r="T26" s="155">
        <v>224</v>
      </c>
      <c r="U26" s="155" t="s">
        <v>76</v>
      </c>
      <c r="V26" s="155"/>
      <c r="W26" s="158">
        <v>30</v>
      </c>
      <c r="X26" s="153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8">
        <f t="shared" si="3"/>
        <v>26880000</v>
      </c>
      <c r="AL26" s="161">
        <f t="shared" si="2"/>
        <v>5895.8487784976987</v>
      </c>
    </row>
    <row r="27" spans="1:38" ht="21" customHeight="1">
      <c r="A27" s="14" t="s">
        <v>21</v>
      </c>
      <c r="B27" s="8">
        <v>2024</v>
      </c>
      <c r="C27" s="8" t="s">
        <v>74</v>
      </c>
      <c r="D27" s="9" t="s">
        <v>75</v>
      </c>
      <c r="E27" s="9" t="s">
        <v>75</v>
      </c>
      <c r="F27" s="9" t="s">
        <v>164</v>
      </c>
      <c r="G27" s="151"/>
      <c r="H27" s="151"/>
      <c r="I27" s="157" t="s">
        <v>11</v>
      </c>
      <c r="J27" s="157" t="s">
        <v>11</v>
      </c>
      <c r="K27" s="152"/>
      <c r="L27" s="155" t="s">
        <v>171</v>
      </c>
      <c r="M27" s="155" t="s">
        <v>11</v>
      </c>
      <c r="N27" s="155"/>
      <c r="O27" s="155" t="s">
        <v>175</v>
      </c>
      <c r="P27" s="155" t="s">
        <v>175</v>
      </c>
      <c r="Q27" s="155"/>
      <c r="R27" s="150"/>
      <c r="S27" s="156">
        <f t="shared" si="0"/>
        <v>1000</v>
      </c>
      <c r="T27" s="155">
        <v>200</v>
      </c>
      <c r="U27" s="155" t="s">
        <v>76</v>
      </c>
      <c r="V27" s="155"/>
      <c r="W27" s="158">
        <v>30</v>
      </c>
      <c r="X27" s="153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8">
        <f t="shared" si="3"/>
        <v>24000000</v>
      </c>
      <c r="AL27" s="161">
        <f t="shared" si="2"/>
        <v>5264.1506950872308</v>
      </c>
    </row>
    <row r="28" spans="1:38" ht="21" customHeight="1">
      <c r="A28" s="14" t="s">
        <v>21</v>
      </c>
      <c r="B28" s="8">
        <v>2025</v>
      </c>
      <c r="C28" s="8" t="s">
        <v>74</v>
      </c>
      <c r="D28" s="9" t="s">
        <v>75</v>
      </c>
      <c r="E28" s="9" t="s">
        <v>75</v>
      </c>
      <c r="F28" s="9" t="s">
        <v>164</v>
      </c>
      <c r="G28" s="151"/>
      <c r="H28" s="151"/>
      <c r="I28" s="157" t="s">
        <v>11</v>
      </c>
      <c r="J28" s="157" t="s">
        <v>11</v>
      </c>
      <c r="K28" s="152"/>
      <c r="L28" s="155" t="s">
        <v>171</v>
      </c>
      <c r="M28" s="155" t="s">
        <v>11</v>
      </c>
      <c r="N28" s="155"/>
      <c r="O28" s="155" t="s">
        <v>176</v>
      </c>
      <c r="P28" s="155" t="s">
        <v>176</v>
      </c>
      <c r="Q28" s="155"/>
      <c r="R28" s="150"/>
      <c r="S28" s="156">
        <f>+T28*5</f>
        <v>12500</v>
      </c>
      <c r="T28" s="155">
        <v>2500</v>
      </c>
      <c r="U28" s="155" t="s">
        <v>76</v>
      </c>
      <c r="V28" s="155"/>
      <c r="W28" s="158">
        <v>30</v>
      </c>
      <c r="X28" s="153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8">
        <f>T28*120000</f>
        <v>300000000</v>
      </c>
      <c r="AL28" s="161">
        <f>AK28/$AL$4</f>
        <v>65801.883688590387</v>
      </c>
    </row>
    <row r="29" spans="1:38" ht="21" customHeight="1">
      <c r="A29" s="14" t="s">
        <v>21</v>
      </c>
      <c r="B29" s="8">
        <v>2024</v>
      </c>
      <c r="C29" s="8" t="s">
        <v>74</v>
      </c>
      <c r="D29" s="9" t="s">
        <v>75</v>
      </c>
      <c r="E29" s="9" t="s">
        <v>75</v>
      </c>
      <c r="F29" s="9" t="s">
        <v>164</v>
      </c>
      <c r="G29" s="151"/>
      <c r="H29" s="151"/>
      <c r="I29" s="157" t="s">
        <v>11</v>
      </c>
      <c r="J29" s="157" t="s">
        <v>11</v>
      </c>
      <c r="K29" s="152"/>
      <c r="L29" s="155" t="s">
        <v>171</v>
      </c>
      <c r="M29" s="155" t="s">
        <v>11</v>
      </c>
      <c r="N29" s="155"/>
      <c r="O29" s="155" t="s">
        <v>177</v>
      </c>
      <c r="P29" s="155" t="s">
        <v>177</v>
      </c>
      <c r="Q29" s="155"/>
      <c r="R29" s="150"/>
      <c r="S29" s="156">
        <f t="shared" si="0"/>
        <v>1600</v>
      </c>
      <c r="T29" s="155">
        <v>320</v>
      </c>
      <c r="U29" s="155" t="s">
        <v>76</v>
      </c>
      <c r="V29" s="155"/>
      <c r="W29" s="158">
        <v>30</v>
      </c>
      <c r="X29" s="153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8">
        <f t="shared" si="3"/>
        <v>38400000</v>
      </c>
      <c r="AL29" s="161">
        <f t="shared" si="2"/>
        <v>8422.6411121395704</v>
      </c>
    </row>
    <row r="30" spans="1:38" ht="21" customHeight="1">
      <c r="A30" s="14" t="s">
        <v>21</v>
      </c>
      <c r="B30" s="8">
        <v>2024</v>
      </c>
      <c r="C30" s="8" t="s">
        <v>74</v>
      </c>
      <c r="D30" s="9" t="s">
        <v>75</v>
      </c>
      <c r="E30" s="9" t="s">
        <v>75</v>
      </c>
      <c r="F30" s="9" t="s">
        <v>164</v>
      </c>
      <c r="G30" s="151"/>
      <c r="H30" s="151"/>
      <c r="I30" s="157" t="s">
        <v>13</v>
      </c>
      <c r="J30" s="157" t="s">
        <v>13</v>
      </c>
      <c r="K30" s="152"/>
      <c r="L30" s="155" t="s">
        <v>178</v>
      </c>
      <c r="M30" s="155" t="s">
        <v>11</v>
      </c>
      <c r="N30" s="155"/>
      <c r="O30" s="155" t="s">
        <v>179</v>
      </c>
      <c r="P30" s="155" t="s">
        <v>179</v>
      </c>
      <c r="Q30" s="155"/>
      <c r="R30" s="150"/>
      <c r="S30" s="156">
        <f t="shared" si="0"/>
        <v>1600</v>
      </c>
      <c r="T30" s="155">
        <v>320</v>
      </c>
      <c r="U30" s="155" t="s">
        <v>76</v>
      </c>
      <c r="V30" s="155"/>
      <c r="W30" s="158">
        <v>30</v>
      </c>
      <c r="X30" s="153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8">
        <f t="shared" si="3"/>
        <v>38400000</v>
      </c>
      <c r="AL30" s="161">
        <f t="shared" si="2"/>
        <v>8422.6411121395704</v>
      </c>
    </row>
    <row r="31" spans="1:38" ht="21" customHeight="1">
      <c r="A31" s="14" t="s">
        <v>21</v>
      </c>
      <c r="B31" s="8">
        <v>2024</v>
      </c>
      <c r="C31" s="8" t="s">
        <v>74</v>
      </c>
      <c r="D31" s="9" t="s">
        <v>75</v>
      </c>
      <c r="E31" s="9" t="s">
        <v>75</v>
      </c>
      <c r="F31" s="9" t="s">
        <v>164</v>
      </c>
      <c r="G31" s="151"/>
      <c r="H31" s="151"/>
      <c r="I31" s="157" t="s">
        <v>13</v>
      </c>
      <c r="J31" s="157" t="s">
        <v>13</v>
      </c>
      <c r="K31" s="152"/>
      <c r="L31" s="155" t="s">
        <v>178</v>
      </c>
      <c r="M31" s="155" t="s">
        <v>13</v>
      </c>
      <c r="N31" s="155"/>
      <c r="O31" s="155" t="s">
        <v>180</v>
      </c>
      <c r="P31" s="155" t="s">
        <v>180</v>
      </c>
      <c r="Q31" s="155"/>
      <c r="R31" s="150"/>
      <c r="S31" s="156">
        <f t="shared" si="0"/>
        <v>2200</v>
      </c>
      <c r="T31" s="155">
        <v>440</v>
      </c>
      <c r="U31" s="155" t="s">
        <v>76</v>
      </c>
      <c r="V31" s="155"/>
      <c r="W31" s="158">
        <v>30</v>
      </c>
      <c r="X31" s="153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8">
        <f t="shared" si="3"/>
        <v>52800000</v>
      </c>
      <c r="AL31" s="161">
        <f t="shared" si="2"/>
        <v>11581.131529191909</v>
      </c>
    </row>
    <row r="32" spans="1:38" ht="21" customHeight="1">
      <c r="A32" s="14" t="s">
        <v>21</v>
      </c>
      <c r="B32" s="8">
        <v>2024</v>
      </c>
      <c r="C32" s="8" t="s">
        <v>74</v>
      </c>
      <c r="D32" s="9" t="s">
        <v>75</v>
      </c>
      <c r="E32" s="9" t="s">
        <v>75</v>
      </c>
      <c r="F32" s="9" t="s">
        <v>164</v>
      </c>
      <c r="G32" s="151"/>
      <c r="H32" s="151"/>
      <c r="I32" s="157" t="s">
        <v>13</v>
      </c>
      <c r="J32" s="157" t="s">
        <v>13</v>
      </c>
      <c r="K32" s="152"/>
      <c r="L32" s="155" t="s">
        <v>178</v>
      </c>
      <c r="M32" s="155" t="s">
        <v>13</v>
      </c>
      <c r="N32" s="155"/>
      <c r="O32" s="155" t="s">
        <v>181</v>
      </c>
      <c r="P32" s="155" t="s">
        <v>181</v>
      </c>
      <c r="Q32" s="155"/>
      <c r="R32" s="150"/>
      <c r="S32" s="156">
        <f t="shared" si="0"/>
        <v>4000</v>
      </c>
      <c r="T32" s="155">
        <v>800</v>
      </c>
      <c r="U32" s="155" t="s">
        <v>76</v>
      </c>
      <c r="V32" s="155"/>
      <c r="W32" s="158">
        <v>30</v>
      </c>
      <c r="X32" s="153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8">
        <f t="shared" si="3"/>
        <v>96000000</v>
      </c>
      <c r="AL32" s="161">
        <f t="shared" si="2"/>
        <v>21056.602780348923</v>
      </c>
    </row>
    <row r="33" spans="1:42" ht="21" customHeight="1">
      <c r="A33" s="14" t="s">
        <v>21</v>
      </c>
      <c r="B33" s="8">
        <v>2024</v>
      </c>
      <c r="C33" s="8" t="s">
        <v>74</v>
      </c>
      <c r="D33" s="9" t="s">
        <v>75</v>
      </c>
      <c r="E33" s="9" t="s">
        <v>75</v>
      </c>
      <c r="F33" s="9" t="s">
        <v>164</v>
      </c>
      <c r="G33" s="151"/>
      <c r="H33" s="151"/>
      <c r="I33" s="157" t="s">
        <v>13</v>
      </c>
      <c r="J33" s="157" t="s">
        <v>13</v>
      </c>
      <c r="K33" s="152"/>
      <c r="L33" s="155" t="s">
        <v>178</v>
      </c>
      <c r="M33" s="155" t="s">
        <v>13</v>
      </c>
      <c r="N33" s="155"/>
      <c r="O33" s="155" t="s">
        <v>184</v>
      </c>
      <c r="P33" s="155" t="s">
        <v>183</v>
      </c>
      <c r="Q33" s="155"/>
      <c r="R33" s="150"/>
      <c r="S33" s="156">
        <f t="shared" si="0"/>
        <v>3500</v>
      </c>
      <c r="T33" s="155">
        <v>700</v>
      </c>
      <c r="U33" s="155" t="s">
        <v>76</v>
      </c>
      <c r="V33" s="155"/>
      <c r="W33" s="158">
        <v>30</v>
      </c>
      <c r="X33" s="153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8">
        <f t="shared" si="3"/>
        <v>84000000</v>
      </c>
      <c r="AL33" s="161">
        <f t="shared" si="2"/>
        <v>18424.527432805309</v>
      </c>
    </row>
    <row r="34" spans="1:42" ht="21" customHeight="1">
      <c r="A34" s="14" t="s">
        <v>19</v>
      </c>
      <c r="B34" s="8">
        <v>2024</v>
      </c>
      <c r="C34" s="8" t="s">
        <v>74</v>
      </c>
      <c r="D34" s="9" t="s">
        <v>75</v>
      </c>
      <c r="E34" s="9" t="s">
        <v>75</v>
      </c>
      <c r="F34" s="9" t="s">
        <v>164</v>
      </c>
      <c r="H34" s="151"/>
      <c r="I34" s="157" t="s">
        <v>165</v>
      </c>
      <c r="J34" s="157" t="s">
        <v>11</v>
      </c>
      <c r="K34" s="152"/>
      <c r="L34" s="155" t="s">
        <v>166</v>
      </c>
      <c r="M34" s="155" t="s">
        <v>28</v>
      </c>
      <c r="N34" s="155"/>
      <c r="O34" s="155" t="s">
        <v>167</v>
      </c>
      <c r="P34" s="155" t="s">
        <v>167</v>
      </c>
      <c r="Q34" s="155"/>
      <c r="R34" s="150"/>
      <c r="S34" s="156">
        <f>+T34*5</f>
        <v>2195</v>
      </c>
      <c r="T34" s="155">
        <v>439</v>
      </c>
      <c r="U34" s="155" t="s">
        <v>76</v>
      </c>
      <c r="V34" s="155"/>
      <c r="W34" s="158">
        <v>30</v>
      </c>
      <c r="X34" s="153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8">
        <f>T34*120000</f>
        <v>52680000</v>
      </c>
      <c r="AL34" s="161">
        <f t="shared" si="2"/>
        <v>11554.810775716473</v>
      </c>
    </row>
    <row r="35" spans="1:42" ht="21" customHeight="1">
      <c r="A35" s="14" t="s">
        <v>19</v>
      </c>
      <c r="B35" s="8">
        <v>2024</v>
      </c>
      <c r="C35" s="8" t="s">
        <v>74</v>
      </c>
      <c r="D35" s="9" t="s">
        <v>75</v>
      </c>
      <c r="E35" s="9" t="s">
        <v>75</v>
      </c>
      <c r="F35" s="9" t="s">
        <v>164</v>
      </c>
      <c r="G35" s="151"/>
      <c r="H35" s="151"/>
      <c r="I35" s="157" t="s">
        <v>165</v>
      </c>
      <c r="J35" s="157" t="s">
        <v>11</v>
      </c>
      <c r="K35" s="152"/>
      <c r="L35" s="155" t="s">
        <v>166</v>
      </c>
      <c r="M35" s="155" t="s">
        <v>28</v>
      </c>
      <c r="N35" s="155"/>
      <c r="O35" s="155" t="s">
        <v>168</v>
      </c>
      <c r="P35" s="155" t="s">
        <v>168</v>
      </c>
      <c r="Q35" s="155"/>
      <c r="S35" s="156">
        <f t="shared" si="0"/>
        <v>2225</v>
      </c>
      <c r="T35" s="155">
        <v>445</v>
      </c>
      <c r="U35" s="155" t="s">
        <v>76</v>
      </c>
      <c r="V35" s="155"/>
      <c r="W35" s="158">
        <v>30</v>
      </c>
      <c r="X35" s="153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8">
        <f t="shared" ref="AK35:AK47" si="4">T35*120000</f>
        <v>53400000</v>
      </c>
      <c r="AL35" s="161">
        <f t="shared" si="2"/>
        <v>11712.73529656909</v>
      </c>
    </row>
    <row r="36" spans="1:42" ht="21" customHeight="1">
      <c r="A36" s="14" t="s">
        <v>19</v>
      </c>
      <c r="B36" s="8">
        <v>2024</v>
      </c>
      <c r="C36" s="8" t="s">
        <v>74</v>
      </c>
      <c r="D36" s="9" t="s">
        <v>75</v>
      </c>
      <c r="E36" s="9" t="s">
        <v>75</v>
      </c>
      <c r="F36" s="9" t="s">
        <v>164</v>
      </c>
      <c r="G36" s="151"/>
      <c r="H36" s="151"/>
      <c r="I36" s="157" t="s">
        <v>165</v>
      </c>
      <c r="J36" s="157" t="s">
        <v>11</v>
      </c>
      <c r="K36" s="152"/>
      <c r="L36" s="155" t="s">
        <v>166</v>
      </c>
      <c r="M36" s="155" t="s">
        <v>28</v>
      </c>
      <c r="N36" s="155"/>
      <c r="O36" s="155" t="s">
        <v>169</v>
      </c>
      <c r="P36" s="155" t="s">
        <v>169</v>
      </c>
      <c r="Q36" s="155"/>
      <c r="S36" s="156">
        <f t="shared" si="0"/>
        <v>1500</v>
      </c>
      <c r="T36" s="155">
        <v>300</v>
      </c>
      <c r="U36" s="155" t="s">
        <v>76</v>
      </c>
      <c r="V36" s="155"/>
      <c r="W36" s="158">
        <v>30</v>
      </c>
      <c r="X36" s="153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8">
        <f t="shared" si="4"/>
        <v>36000000</v>
      </c>
      <c r="AL36" s="161">
        <f t="shared" si="2"/>
        <v>7896.2260426308467</v>
      </c>
    </row>
    <row r="37" spans="1:42" ht="21" customHeight="1">
      <c r="A37" s="14" t="s">
        <v>19</v>
      </c>
      <c r="B37" s="8">
        <v>2024</v>
      </c>
      <c r="C37" s="8" t="s">
        <v>74</v>
      </c>
      <c r="D37" s="9" t="s">
        <v>75</v>
      </c>
      <c r="E37" s="9" t="s">
        <v>75</v>
      </c>
      <c r="F37" s="9" t="s">
        <v>164</v>
      </c>
      <c r="G37" s="151"/>
      <c r="H37" s="151"/>
      <c r="I37" s="157" t="s">
        <v>165</v>
      </c>
      <c r="J37" s="157" t="s">
        <v>11</v>
      </c>
      <c r="K37" s="152"/>
      <c r="L37" s="155" t="s">
        <v>166</v>
      </c>
      <c r="M37" s="155" t="s">
        <v>28</v>
      </c>
      <c r="N37" s="155"/>
      <c r="O37" s="155" t="s">
        <v>170</v>
      </c>
      <c r="P37" s="155" t="s">
        <v>170</v>
      </c>
      <c r="Q37" s="155"/>
      <c r="R37" s="150"/>
      <c r="S37" s="156">
        <f t="shared" si="0"/>
        <v>5510</v>
      </c>
      <c r="T37" s="155">
        <v>1102</v>
      </c>
      <c r="U37" s="155" t="s">
        <v>76</v>
      </c>
      <c r="V37" s="155"/>
      <c r="W37" s="158">
        <v>30</v>
      </c>
      <c r="X37" s="153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8">
        <f t="shared" si="4"/>
        <v>132240000</v>
      </c>
      <c r="AL37" s="161">
        <f t="shared" si="2"/>
        <v>29005.470329930642</v>
      </c>
    </row>
    <row r="38" spans="1:42" ht="21" customHeight="1">
      <c r="A38" s="14" t="s">
        <v>19</v>
      </c>
      <c r="B38" s="8">
        <v>2024</v>
      </c>
      <c r="C38" s="8" t="s">
        <v>74</v>
      </c>
      <c r="D38" s="9" t="s">
        <v>75</v>
      </c>
      <c r="E38" s="9" t="s">
        <v>75</v>
      </c>
      <c r="F38" s="9" t="s">
        <v>164</v>
      </c>
      <c r="G38" s="151"/>
      <c r="H38" s="151"/>
      <c r="I38" s="157" t="s">
        <v>11</v>
      </c>
      <c r="J38" s="157" t="s">
        <v>11</v>
      </c>
      <c r="K38" s="152"/>
      <c r="L38" s="155" t="s">
        <v>171</v>
      </c>
      <c r="M38" s="155" t="s">
        <v>11</v>
      </c>
      <c r="N38" s="155"/>
      <c r="O38" s="155" t="s">
        <v>172</v>
      </c>
      <c r="P38" s="155" t="s">
        <v>172</v>
      </c>
      <c r="Q38" s="155"/>
      <c r="R38" s="150"/>
      <c r="S38" s="156">
        <f t="shared" si="0"/>
        <v>1120</v>
      </c>
      <c r="T38" s="155">
        <v>224</v>
      </c>
      <c r="U38" s="155" t="s">
        <v>76</v>
      </c>
      <c r="V38" s="155"/>
      <c r="W38" s="158">
        <v>30</v>
      </c>
      <c r="X38" s="153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8">
        <f t="shared" si="4"/>
        <v>26880000</v>
      </c>
      <c r="AL38" s="161">
        <f t="shared" si="2"/>
        <v>5895.8487784976987</v>
      </c>
    </row>
    <row r="39" spans="1:42" ht="21" customHeight="1">
      <c r="A39" s="14" t="s">
        <v>19</v>
      </c>
      <c r="B39" s="8">
        <v>2024</v>
      </c>
      <c r="C39" s="8" t="s">
        <v>74</v>
      </c>
      <c r="D39" s="9" t="s">
        <v>75</v>
      </c>
      <c r="E39" s="9" t="s">
        <v>75</v>
      </c>
      <c r="F39" s="9" t="s">
        <v>164</v>
      </c>
      <c r="G39" s="151"/>
      <c r="H39" s="151"/>
      <c r="I39" s="157" t="s">
        <v>11</v>
      </c>
      <c r="J39" s="157" t="s">
        <v>11</v>
      </c>
      <c r="K39" s="152"/>
      <c r="L39" s="155" t="s">
        <v>171</v>
      </c>
      <c r="M39" s="155" t="s">
        <v>11</v>
      </c>
      <c r="N39" s="155"/>
      <c r="O39" s="155" t="s">
        <v>173</v>
      </c>
      <c r="P39" s="155" t="s">
        <v>173</v>
      </c>
      <c r="Q39" s="155"/>
      <c r="R39" s="150"/>
      <c r="S39" s="156">
        <f t="shared" si="0"/>
        <v>800</v>
      </c>
      <c r="T39" s="155">
        <v>160</v>
      </c>
      <c r="U39" s="155" t="s">
        <v>76</v>
      </c>
      <c r="V39" s="155"/>
      <c r="W39" s="158">
        <v>30</v>
      </c>
      <c r="X39" s="153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8">
        <f t="shared" si="4"/>
        <v>19200000</v>
      </c>
      <c r="AL39" s="161">
        <f t="shared" si="2"/>
        <v>4211.3205560697852</v>
      </c>
    </row>
    <row r="40" spans="1:42" ht="21" customHeight="1">
      <c r="A40" s="14" t="s">
        <v>19</v>
      </c>
      <c r="B40" s="8">
        <v>2024</v>
      </c>
      <c r="C40" s="8" t="s">
        <v>74</v>
      </c>
      <c r="D40" s="9" t="s">
        <v>75</v>
      </c>
      <c r="E40" s="9" t="s">
        <v>75</v>
      </c>
      <c r="F40" s="9" t="s">
        <v>164</v>
      </c>
      <c r="G40" s="151"/>
      <c r="H40" s="151"/>
      <c r="I40" s="157" t="s">
        <v>11</v>
      </c>
      <c r="J40" s="157" t="s">
        <v>11</v>
      </c>
      <c r="K40" s="152"/>
      <c r="L40" s="155" t="s">
        <v>171</v>
      </c>
      <c r="M40" s="155" t="s">
        <v>11</v>
      </c>
      <c r="N40" s="155"/>
      <c r="O40" s="155" t="s">
        <v>174</v>
      </c>
      <c r="P40" s="155" t="s">
        <v>174</v>
      </c>
      <c r="Q40" s="155"/>
      <c r="R40" s="150"/>
      <c r="S40" s="156">
        <f t="shared" si="0"/>
        <v>1120</v>
      </c>
      <c r="T40" s="155">
        <v>224</v>
      </c>
      <c r="U40" s="155" t="s">
        <v>76</v>
      </c>
      <c r="V40" s="155"/>
      <c r="W40" s="158">
        <v>30</v>
      </c>
      <c r="X40" s="153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8">
        <f t="shared" si="4"/>
        <v>26880000</v>
      </c>
      <c r="AL40" s="161">
        <f t="shared" si="2"/>
        <v>5895.8487784976987</v>
      </c>
    </row>
    <row r="41" spans="1:42" ht="21" customHeight="1">
      <c r="A41" s="14" t="s">
        <v>19</v>
      </c>
      <c r="B41" s="8">
        <v>2024</v>
      </c>
      <c r="C41" s="8" t="s">
        <v>74</v>
      </c>
      <c r="D41" s="9" t="s">
        <v>75</v>
      </c>
      <c r="E41" s="9" t="s">
        <v>75</v>
      </c>
      <c r="F41" s="9" t="s">
        <v>164</v>
      </c>
      <c r="G41" s="151"/>
      <c r="H41" s="151"/>
      <c r="I41" s="157" t="s">
        <v>11</v>
      </c>
      <c r="J41" s="157" t="s">
        <v>11</v>
      </c>
      <c r="K41" s="152"/>
      <c r="L41" s="155" t="s">
        <v>171</v>
      </c>
      <c r="M41" s="155" t="s">
        <v>11</v>
      </c>
      <c r="N41" s="155"/>
      <c r="O41" s="155" t="s">
        <v>175</v>
      </c>
      <c r="P41" s="155" t="s">
        <v>175</v>
      </c>
      <c r="Q41" s="155"/>
      <c r="R41" s="150"/>
      <c r="S41" s="156">
        <f t="shared" si="0"/>
        <v>1000</v>
      </c>
      <c r="T41" s="155">
        <v>200</v>
      </c>
      <c r="U41" s="155" t="s">
        <v>76</v>
      </c>
      <c r="V41" s="155"/>
      <c r="W41" s="158">
        <v>30</v>
      </c>
      <c r="X41" s="153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8">
        <f t="shared" si="4"/>
        <v>24000000</v>
      </c>
      <c r="AL41" s="161">
        <f t="shared" si="2"/>
        <v>5264.1506950872308</v>
      </c>
    </row>
    <row r="42" spans="1:42" ht="21" customHeight="1">
      <c r="A42" s="14" t="s">
        <v>19</v>
      </c>
      <c r="B42" s="8">
        <v>2025</v>
      </c>
      <c r="C42" s="8" t="s">
        <v>74</v>
      </c>
      <c r="D42" s="9" t="s">
        <v>75</v>
      </c>
      <c r="E42" s="9" t="s">
        <v>75</v>
      </c>
      <c r="F42" s="9" t="s">
        <v>164</v>
      </c>
      <c r="G42" s="151"/>
      <c r="H42" s="151"/>
      <c r="I42" s="157" t="s">
        <v>11</v>
      </c>
      <c r="J42" s="157" t="s">
        <v>11</v>
      </c>
      <c r="K42" s="152"/>
      <c r="L42" s="155" t="s">
        <v>171</v>
      </c>
      <c r="M42" s="155" t="s">
        <v>11</v>
      </c>
      <c r="N42" s="155"/>
      <c r="O42" s="155" t="s">
        <v>176</v>
      </c>
      <c r="P42" s="155" t="s">
        <v>176</v>
      </c>
      <c r="Q42" s="155"/>
      <c r="R42" s="150"/>
      <c r="S42" s="156">
        <f>+T42*5</f>
        <v>12500</v>
      </c>
      <c r="T42" s="155">
        <v>2500</v>
      </c>
      <c r="U42" s="155" t="s">
        <v>76</v>
      </c>
      <c r="V42" s="155"/>
      <c r="W42" s="158">
        <v>30</v>
      </c>
      <c r="X42" s="153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8">
        <f>T42*120000</f>
        <v>300000000</v>
      </c>
      <c r="AL42" s="161">
        <f>AK42/$AL$4</f>
        <v>65801.883688590387</v>
      </c>
    </row>
    <row r="43" spans="1:42" ht="21" customHeight="1">
      <c r="A43" s="14" t="s">
        <v>19</v>
      </c>
      <c r="B43" s="8">
        <v>2024</v>
      </c>
      <c r="C43" s="8" t="s">
        <v>74</v>
      </c>
      <c r="D43" s="9" t="s">
        <v>75</v>
      </c>
      <c r="E43" s="9" t="s">
        <v>75</v>
      </c>
      <c r="F43" s="9" t="s">
        <v>164</v>
      </c>
      <c r="G43" s="151"/>
      <c r="H43" s="151"/>
      <c r="I43" s="157" t="s">
        <v>11</v>
      </c>
      <c r="J43" s="157" t="s">
        <v>11</v>
      </c>
      <c r="K43" s="152"/>
      <c r="L43" s="155" t="s">
        <v>171</v>
      </c>
      <c r="M43" s="155" t="s">
        <v>11</v>
      </c>
      <c r="N43" s="155"/>
      <c r="O43" s="155" t="s">
        <v>177</v>
      </c>
      <c r="P43" s="155" t="s">
        <v>177</v>
      </c>
      <c r="Q43" s="155"/>
      <c r="R43" s="150"/>
      <c r="S43" s="156">
        <f t="shared" si="0"/>
        <v>1600</v>
      </c>
      <c r="T43" s="155">
        <v>320</v>
      </c>
      <c r="U43" s="155" t="s">
        <v>76</v>
      </c>
      <c r="V43" s="155"/>
      <c r="W43" s="158">
        <v>30</v>
      </c>
      <c r="X43" s="153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8">
        <f t="shared" si="4"/>
        <v>38400000</v>
      </c>
      <c r="AL43" s="161">
        <f t="shared" si="2"/>
        <v>8422.6411121395704</v>
      </c>
    </row>
    <row r="44" spans="1:42" ht="21" customHeight="1">
      <c r="A44" s="14" t="s">
        <v>19</v>
      </c>
      <c r="B44" s="8">
        <v>2024</v>
      </c>
      <c r="C44" s="8" t="s">
        <v>74</v>
      </c>
      <c r="D44" s="9" t="s">
        <v>75</v>
      </c>
      <c r="E44" s="9" t="s">
        <v>75</v>
      </c>
      <c r="F44" s="9" t="s">
        <v>164</v>
      </c>
      <c r="G44" s="151"/>
      <c r="H44" s="151"/>
      <c r="I44" s="157" t="s">
        <v>13</v>
      </c>
      <c r="J44" s="157" t="s">
        <v>13</v>
      </c>
      <c r="K44" s="152"/>
      <c r="L44" s="155" t="s">
        <v>178</v>
      </c>
      <c r="M44" s="155" t="s">
        <v>11</v>
      </c>
      <c r="N44" s="155"/>
      <c r="O44" s="155" t="s">
        <v>179</v>
      </c>
      <c r="P44" s="155" t="s">
        <v>179</v>
      </c>
      <c r="Q44" s="155"/>
      <c r="R44" s="150"/>
      <c r="S44" s="156">
        <f t="shared" si="0"/>
        <v>1600</v>
      </c>
      <c r="T44" s="155">
        <v>320</v>
      </c>
      <c r="U44" s="155" t="s">
        <v>76</v>
      </c>
      <c r="V44" s="155"/>
      <c r="W44" s="158">
        <v>30</v>
      </c>
      <c r="X44" s="153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8">
        <f t="shared" si="4"/>
        <v>38400000</v>
      </c>
      <c r="AL44" s="161">
        <f t="shared" si="2"/>
        <v>8422.6411121395704</v>
      </c>
    </row>
    <row r="45" spans="1:42" ht="21" customHeight="1">
      <c r="A45" s="14" t="s">
        <v>19</v>
      </c>
      <c r="B45" s="8">
        <v>2024</v>
      </c>
      <c r="C45" s="8" t="s">
        <v>74</v>
      </c>
      <c r="D45" s="9" t="s">
        <v>75</v>
      </c>
      <c r="E45" s="9" t="s">
        <v>75</v>
      </c>
      <c r="F45" s="9" t="s">
        <v>164</v>
      </c>
      <c r="G45" s="151"/>
      <c r="H45" s="151"/>
      <c r="I45" s="157" t="s">
        <v>13</v>
      </c>
      <c r="J45" s="157" t="s">
        <v>13</v>
      </c>
      <c r="K45" s="152"/>
      <c r="L45" s="155" t="s">
        <v>178</v>
      </c>
      <c r="M45" s="155" t="s">
        <v>13</v>
      </c>
      <c r="N45" s="155"/>
      <c r="O45" s="155" t="s">
        <v>180</v>
      </c>
      <c r="P45" s="155" t="s">
        <v>180</v>
      </c>
      <c r="Q45" s="155"/>
      <c r="R45" s="150"/>
      <c r="S45" s="156">
        <f t="shared" si="0"/>
        <v>2200</v>
      </c>
      <c r="T45" s="155">
        <v>440</v>
      </c>
      <c r="U45" s="155" t="s">
        <v>76</v>
      </c>
      <c r="V45" s="155"/>
      <c r="W45" s="158">
        <v>30</v>
      </c>
      <c r="X45" s="153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8">
        <f t="shared" si="4"/>
        <v>52800000</v>
      </c>
      <c r="AL45" s="161">
        <f t="shared" si="2"/>
        <v>11581.131529191909</v>
      </c>
    </row>
    <row r="46" spans="1:42" ht="21" customHeight="1">
      <c r="A46" s="14" t="s">
        <v>19</v>
      </c>
      <c r="B46" s="8">
        <v>2024</v>
      </c>
      <c r="C46" s="8" t="s">
        <v>74</v>
      </c>
      <c r="D46" s="9" t="s">
        <v>75</v>
      </c>
      <c r="E46" s="9" t="s">
        <v>75</v>
      </c>
      <c r="F46" s="9" t="s">
        <v>164</v>
      </c>
      <c r="G46" s="151"/>
      <c r="H46" s="151"/>
      <c r="I46" s="157" t="s">
        <v>13</v>
      </c>
      <c r="J46" s="157" t="s">
        <v>13</v>
      </c>
      <c r="K46" s="152"/>
      <c r="L46" s="155" t="s">
        <v>178</v>
      </c>
      <c r="M46" s="155" t="s">
        <v>13</v>
      </c>
      <c r="N46" s="155"/>
      <c r="O46" s="155" t="s">
        <v>181</v>
      </c>
      <c r="P46" s="155" t="s">
        <v>181</v>
      </c>
      <c r="Q46" s="155"/>
      <c r="R46" s="150"/>
      <c r="S46" s="156">
        <f t="shared" si="0"/>
        <v>4000</v>
      </c>
      <c r="T46" s="155">
        <v>800</v>
      </c>
      <c r="U46" s="155" t="s">
        <v>76</v>
      </c>
      <c r="V46" s="155"/>
      <c r="W46" s="158">
        <v>30</v>
      </c>
      <c r="X46" s="153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8">
        <f t="shared" si="4"/>
        <v>96000000</v>
      </c>
      <c r="AL46" s="161">
        <f t="shared" si="2"/>
        <v>21056.602780348923</v>
      </c>
    </row>
    <row r="47" spans="1:42" ht="21" customHeight="1">
      <c r="A47" s="14" t="s">
        <v>19</v>
      </c>
      <c r="B47" s="8">
        <v>2024</v>
      </c>
      <c r="C47" s="8" t="s">
        <v>74</v>
      </c>
      <c r="D47" s="9" t="s">
        <v>75</v>
      </c>
      <c r="E47" s="9" t="s">
        <v>75</v>
      </c>
      <c r="F47" s="9" t="s">
        <v>164</v>
      </c>
      <c r="G47" s="151"/>
      <c r="H47" s="151"/>
      <c r="I47" s="157" t="s">
        <v>13</v>
      </c>
      <c r="J47" s="157" t="s">
        <v>13</v>
      </c>
      <c r="K47" s="152"/>
      <c r="L47" s="155" t="s">
        <v>178</v>
      </c>
      <c r="M47" s="155" t="s">
        <v>13</v>
      </c>
      <c r="N47" s="155"/>
      <c r="O47" s="155" t="s">
        <v>184</v>
      </c>
      <c r="P47" s="155" t="s">
        <v>183</v>
      </c>
      <c r="Q47" s="155"/>
      <c r="R47" s="150"/>
      <c r="S47" s="156">
        <f t="shared" si="0"/>
        <v>3500</v>
      </c>
      <c r="T47" s="155">
        <v>700</v>
      </c>
      <c r="U47" s="155" t="s">
        <v>76</v>
      </c>
      <c r="V47" s="155"/>
      <c r="W47" s="158">
        <v>30</v>
      </c>
      <c r="X47" s="153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8">
        <f t="shared" si="4"/>
        <v>84000000</v>
      </c>
      <c r="AL47" s="161">
        <f t="shared" si="2"/>
        <v>18424.527432805309</v>
      </c>
    </row>
    <row r="48" spans="1:42" s="45" customFormat="1" ht="22" customHeight="1">
      <c r="A48" s="39" t="s">
        <v>17</v>
      </c>
      <c r="B48" s="8">
        <v>2024</v>
      </c>
      <c r="C48" s="8" t="s">
        <v>8</v>
      </c>
      <c r="D48" s="9" t="s">
        <v>185</v>
      </c>
      <c r="E48" s="9" t="s">
        <v>15</v>
      </c>
      <c r="F48" s="9" t="s">
        <v>186</v>
      </c>
      <c r="G48" s="8"/>
      <c r="H48" s="8"/>
      <c r="I48" s="9" t="s">
        <v>187</v>
      </c>
      <c r="J48" s="9" t="s">
        <v>11</v>
      </c>
      <c r="K48" s="9"/>
      <c r="L48" s="9" t="s">
        <v>188</v>
      </c>
      <c r="M48" s="9" t="s">
        <v>28</v>
      </c>
      <c r="N48" s="9"/>
      <c r="O48" s="9" t="s">
        <v>189</v>
      </c>
      <c r="P48" s="9" t="s">
        <v>190</v>
      </c>
      <c r="Q48" s="11">
        <v>15</v>
      </c>
      <c r="R48" s="11"/>
      <c r="S48" s="11">
        <f t="shared" ref="S48:S75" si="5">Q48+R48</f>
        <v>15</v>
      </c>
      <c r="T48" s="9"/>
      <c r="U48" s="9" t="s">
        <v>191</v>
      </c>
      <c r="V48" s="9"/>
      <c r="W48" s="12">
        <v>30</v>
      </c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2">
        <f>+S48*21000</f>
        <v>315000</v>
      </c>
      <c r="AL48" s="161">
        <f t="shared" si="2"/>
        <v>69.0919778730199</v>
      </c>
      <c r="AM48" s="9"/>
      <c r="AN48" s="9"/>
      <c r="AO48" s="9"/>
      <c r="AP48" s="14"/>
    </row>
    <row r="49" spans="1:42" s="45" customFormat="1" ht="22" customHeight="1">
      <c r="A49" s="39" t="s">
        <v>17</v>
      </c>
      <c r="B49" s="8">
        <v>2024</v>
      </c>
      <c r="C49" s="8" t="s">
        <v>8</v>
      </c>
      <c r="D49" s="9" t="s">
        <v>185</v>
      </c>
      <c r="E49" s="9" t="s">
        <v>15</v>
      </c>
      <c r="F49" s="9" t="s">
        <v>186</v>
      </c>
      <c r="G49" s="8"/>
      <c r="H49" s="8"/>
      <c r="I49" s="9" t="s">
        <v>187</v>
      </c>
      <c r="J49" s="9" t="s">
        <v>11</v>
      </c>
      <c r="K49" s="9"/>
      <c r="L49" s="9" t="s">
        <v>188</v>
      </c>
      <c r="M49" s="9" t="s">
        <v>28</v>
      </c>
      <c r="N49" s="9"/>
      <c r="O49" s="9" t="s">
        <v>189</v>
      </c>
      <c r="P49" s="9" t="s">
        <v>192</v>
      </c>
      <c r="Q49" s="11">
        <v>17</v>
      </c>
      <c r="R49" s="11"/>
      <c r="S49" s="11">
        <f t="shared" si="5"/>
        <v>17</v>
      </c>
      <c r="T49" s="9"/>
      <c r="U49" s="9" t="s">
        <v>191</v>
      </c>
      <c r="V49" s="9"/>
      <c r="W49" s="12">
        <v>30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2">
        <f t="shared" ref="AK49:AK62" si="6">+S49*21000</f>
        <v>357000</v>
      </c>
      <c r="AL49" s="161">
        <f t="shared" si="2"/>
        <v>78.30424158942256</v>
      </c>
      <c r="AM49" s="9"/>
      <c r="AN49" s="9"/>
      <c r="AO49" s="9"/>
      <c r="AP49" s="14"/>
    </row>
    <row r="50" spans="1:42" s="45" customFormat="1" ht="22" customHeight="1">
      <c r="A50" s="39" t="s">
        <v>17</v>
      </c>
      <c r="B50" s="8">
        <v>2024</v>
      </c>
      <c r="C50" s="8" t="s">
        <v>8</v>
      </c>
      <c r="D50" s="9" t="s">
        <v>185</v>
      </c>
      <c r="E50" s="9" t="s">
        <v>15</v>
      </c>
      <c r="F50" s="9" t="s">
        <v>186</v>
      </c>
      <c r="G50" s="8"/>
      <c r="H50" s="8"/>
      <c r="I50" s="9" t="s">
        <v>187</v>
      </c>
      <c r="J50" s="9" t="s">
        <v>11</v>
      </c>
      <c r="K50" s="9"/>
      <c r="L50" s="9" t="s">
        <v>188</v>
      </c>
      <c r="M50" s="9" t="s">
        <v>28</v>
      </c>
      <c r="N50" s="9"/>
      <c r="O50" s="9" t="s">
        <v>193</v>
      </c>
      <c r="P50" s="9" t="s">
        <v>194</v>
      </c>
      <c r="Q50" s="11">
        <v>37</v>
      </c>
      <c r="R50" s="11"/>
      <c r="S50" s="11">
        <f t="shared" si="5"/>
        <v>37</v>
      </c>
      <c r="T50" s="9"/>
      <c r="U50" s="9" t="s">
        <v>191</v>
      </c>
      <c r="V50" s="9"/>
      <c r="W50" s="12">
        <v>30</v>
      </c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2">
        <f t="shared" si="6"/>
        <v>777000</v>
      </c>
      <c r="AL50" s="161">
        <f t="shared" si="2"/>
        <v>170.4268787534491</v>
      </c>
      <c r="AM50" s="9"/>
      <c r="AN50" s="9"/>
      <c r="AO50" s="9"/>
      <c r="AP50" s="14"/>
    </row>
    <row r="51" spans="1:42" s="45" customFormat="1" ht="22" customHeight="1">
      <c r="A51" s="39" t="s">
        <v>17</v>
      </c>
      <c r="B51" s="8">
        <v>2024</v>
      </c>
      <c r="C51" s="8" t="s">
        <v>8</v>
      </c>
      <c r="D51" s="9" t="s">
        <v>185</v>
      </c>
      <c r="E51" s="9" t="s">
        <v>15</v>
      </c>
      <c r="F51" s="9" t="s">
        <v>186</v>
      </c>
      <c r="G51" s="8"/>
      <c r="H51" s="8"/>
      <c r="I51" s="9" t="s">
        <v>187</v>
      </c>
      <c r="J51" s="9" t="s">
        <v>11</v>
      </c>
      <c r="K51" s="9"/>
      <c r="L51" s="9" t="s">
        <v>188</v>
      </c>
      <c r="M51" s="9" t="s">
        <v>28</v>
      </c>
      <c r="N51" s="9"/>
      <c r="O51" s="9" t="s">
        <v>193</v>
      </c>
      <c r="P51" s="9" t="s">
        <v>195</v>
      </c>
      <c r="Q51" s="11">
        <v>52</v>
      </c>
      <c r="R51" s="11"/>
      <c r="S51" s="11">
        <f t="shared" si="5"/>
        <v>52</v>
      </c>
      <c r="T51" s="9"/>
      <c r="U51" s="9" t="s">
        <v>191</v>
      </c>
      <c r="V51" s="9"/>
      <c r="W51" s="12">
        <v>30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2">
        <f t="shared" si="6"/>
        <v>1092000</v>
      </c>
      <c r="AL51" s="161">
        <f t="shared" si="2"/>
        <v>239.51885662646902</v>
      </c>
      <c r="AM51" s="9"/>
      <c r="AN51" s="9"/>
      <c r="AO51" s="9"/>
      <c r="AP51" s="14"/>
    </row>
    <row r="52" spans="1:42" s="45" customFormat="1" ht="22" customHeight="1">
      <c r="A52" s="39" t="s">
        <v>17</v>
      </c>
      <c r="B52" s="8">
        <v>2024</v>
      </c>
      <c r="C52" s="8" t="s">
        <v>8</v>
      </c>
      <c r="D52" s="9" t="s">
        <v>185</v>
      </c>
      <c r="E52" s="9" t="s">
        <v>15</v>
      </c>
      <c r="F52" s="9" t="s">
        <v>186</v>
      </c>
      <c r="G52" s="8"/>
      <c r="H52" s="8"/>
      <c r="I52" s="9" t="s">
        <v>187</v>
      </c>
      <c r="J52" s="9" t="s">
        <v>11</v>
      </c>
      <c r="K52" s="9"/>
      <c r="L52" s="9" t="s">
        <v>188</v>
      </c>
      <c r="M52" s="9" t="s">
        <v>28</v>
      </c>
      <c r="N52" s="9"/>
      <c r="O52" s="9" t="s">
        <v>193</v>
      </c>
      <c r="P52" s="9" t="s">
        <v>196</v>
      </c>
      <c r="Q52" s="11">
        <v>3</v>
      </c>
      <c r="R52" s="11"/>
      <c r="S52" s="11">
        <f t="shared" si="5"/>
        <v>3</v>
      </c>
      <c r="T52" s="9"/>
      <c r="U52" s="9" t="s">
        <v>191</v>
      </c>
      <c r="V52" s="9"/>
      <c r="W52" s="12">
        <v>30</v>
      </c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2">
        <f t="shared" si="6"/>
        <v>63000</v>
      </c>
      <c r="AL52" s="161">
        <f t="shared" si="2"/>
        <v>13.818395574603981</v>
      </c>
      <c r="AM52" s="9"/>
      <c r="AN52" s="9"/>
      <c r="AO52" s="9"/>
      <c r="AP52" s="14"/>
    </row>
    <row r="53" spans="1:42" s="45" customFormat="1" ht="22" customHeight="1">
      <c r="A53" s="39" t="s">
        <v>17</v>
      </c>
      <c r="B53" s="8">
        <v>2024</v>
      </c>
      <c r="C53" s="8" t="s">
        <v>8</v>
      </c>
      <c r="D53" s="9" t="s">
        <v>185</v>
      </c>
      <c r="E53" s="9" t="s">
        <v>15</v>
      </c>
      <c r="F53" s="9" t="s">
        <v>186</v>
      </c>
      <c r="G53" s="8"/>
      <c r="H53" s="8"/>
      <c r="I53" s="9" t="s">
        <v>187</v>
      </c>
      <c r="J53" s="9" t="s">
        <v>11</v>
      </c>
      <c r="K53" s="9"/>
      <c r="L53" s="9" t="s">
        <v>188</v>
      </c>
      <c r="M53" s="9" t="s">
        <v>28</v>
      </c>
      <c r="N53" s="9"/>
      <c r="O53" s="9" t="s">
        <v>193</v>
      </c>
      <c r="P53" s="9" t="s">
        <v>197</v>
      </c>
      <c r="Q53" s="11">
        <v>25</v>
      </c>
      <c r="R53" s="11"/>
      <c r="S53" s="11">
        <f t="shared" si="5"/>
        <v>25</v>
      </c>
      <c r="T53" s="9"/>
      <c r="U53" s="9" t="s">
        <v>191</v>
      </c>
      <c r="V53" s="9"/>
      <c r="W53" s="12">
        <v>30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2">
        <f t="shared" si="6"/>
        <v>525000</v>
      </c>
      <c r="AL53" s="161">
        <f t="shared" si="2"/>
        <v>115.15329645503317</v>
      </c>
      <c r="AM53" s="9"/>
      <c r="AN53" s="9"/>
      <c r="AO53" s="9"/>
      <c r="AP53" s="14"/>
    </row>
    <row r="54" spans="1:42" s="45" customFormat="1" ht="22" customHeight="1">
      <c r="A54" s="39" t="s">
        <v>17</v>
      </c>
      <c r="B54" s="8">
        <v>2024</v>
      </c>
      <c r="C54" s="8" t="s">
        <v>8</v>
      </c>
      <c r="D54" s="9" t="s">
        <v>185</v>
      </c>
      <c r="E54" s="9" t="s">
        <v>15</v>
      </c>
      <c r="F54" s="9" t="s">
        <v>186</v>
      </c>
      <c r="G54" s="8"/>
      <c r="H54" s="8"/>
      <c r="I54" s="9" t="s">
        <v>187</v>
      </c>
      <c r="J54" s="9" t="s">
        <v>11</v>
      </c>
      <c r="K54" s="9"/>
      <c r="L54" s="9" t="s">
        <v>188</v>
      </c>
      <c r="M54" s="9" t="s">
        <v>28</v>
      </c>
      <c r="N54" s="9"/>
      <c r="O54" s="9" t="s">
        <v>193</v>
      </c>
      <c r="P54" s="9" t="s">
        <v>198</v>
      </c>
      <c r="Q54" s="11">
        <v>25</v>
      </c>
      <c r="R54" s="11"/>
      <c r="S54" s="11">
        <f t="shared" si="5"/>
        <v>25</v>
      </c>
      <c r="T54" s="9"/>
      <c r="U54" s="9" t="s">
        <v>191</v>
      </c>
      <c r="V54" s="9"/>
      <c r="W54" s="12">
        <v>30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2">
        <f t="shared" si="6"/>
        <v>525000</v>
      </c>
      <c r="AL54" s="161">
        <f t="shared" si="2"/>
        <v>115.15329645503317</v>
      </c>
      <c r="AM54" s="9"/>
      <c r="AN54" s="9"/>
      <c r="AO54" s="9"/>
      <c r="AP54" s="14"/>
    </row>
    <row r="55" spans="1:42" s="45" customFormat="1" ht="22" customHeight="1">
      <c r="A55" s="39" t="s">
        <v>17</v>
      </c>
      <c r="B55" s="8">
        <v>2024</v>
      </c>
      <c r="C55" s="8" t="s">
        <v>8</v>
      </c>
      <c r="D55" s="9" t="s">
        <v>185</v>
      </c>
      <c r="E55" s="9" t="s">
        <v>15</v>
      </c>
      <c r="F55" s="9" t="s">
        <v>186</v>
      </c>
      <c r="G55" s="8"/>
      <c r="H55" s="8"/>
      <c r="I55" s="9" t="s">
        <v>187</v>
      </c>
      <c r="J55" s="9" t="s">
        <v>11</v>
      </c>
      <c r="K55" s="9"/>
      <c r="L55" s="9" t="s">
        <v>188</v>
      </c>
      <c r="M55" s="9" t="s">
        <v>28</v>
      </c>
      <c r="N55" s="9"/>
      <c r="O55" s="9" t="s">
        <v>193</v>
      </c>
      <c r="P55" s="9" t="s">
        <v>199</v>
      </c>
      <c r="Q55" s="11">
        <v>61</v>
      </c>
      <c r="R55" s="11"/>
      <c r="S55" s="11">
        <f t="shared" si="5"/>
        <v>61</v>
      </c>
      <c r="T55" s="9"/>
      <c r="U55" s="9" t="s">
        <v>191</v>
      </c>
      <c r="V55" s="9"/>
      <c r="W55" s="12">
        <v>30</v>
      </c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2">
        <f t="shared" si="6"/>
        <v>1281000</v>
      </c>
      <c r="AL55" s="161">
        <f t="shared" si="2"/>
        <v>280.97404335028097</v>
      </c>
      <c r="AM55" s="9"/>
      <c r="AN55" s="9"/>
      <c r="AO55" s="9"/>
      <c r="AP55" s="14"/>
    </row>
    <row r="56" spans="1:42" s="45" customFormat="1" ht="22" customHeight="1">
      <c r="A56" s="39" t="s">
        <v>17</v>
      </c>
      <c r="B56" s="8">
        <v>2024</v>
      </c>
      <c r="C56" s="8" t="s">
        <v>8</v>
      </c>
      <c r="D56" s="9" t="s">
        <v>185</v>
      </c>
      <c r="E56" s="9" t="s">
        <v>15</v>
      </c>
      <c r="F56" s="9" t="s">
        <v>186</v>
      </c>
      <c r="G56" s="8"/>
      <c r="H56" s="8"/>
      <c r="I56" s="9" t="s">
        <v>187</v>
      </c>
      <c r="J56" s="9" t="s">
        <v>11</v>
      </c>
      <c r="K56" s="9"/>
      <c r="L56" s="9" t="s">
        <v>188</v>
      </c>
      <c r="M56" s="9" t="s">
        <v>28</v>
      </c>
      <c r="N56" s="9"/>
      <c r="O56" s="9" t="s">
        <v>193</v>
      </c>
      <c r="P56" s="9" t="s">
        <v>200</v>
      </c>
      <c r="Q56" s="11">
        <v>35</v>
      </c>
      <c r="R56" s="11"/>
      <c r="S56" s="11">
        <f t="shared" si="5"/>
        <v>35</v>
      </c>
      <c r="T56" s="9"/>
      <c r="U56" s="9" t="s">
        <v>191</v>
      </c>
      <c r="V56" s="9"/>
      <c r="W56" s="12">
        <v>30</v>
      </c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2">
        <f t="shared" si="6"/>
        <v>735000</v>
      </c>
      <c r="AL56" s="161">
        <f t="shared" si="2"/>
        <v>161.21461503704646</v>
      </c>
      <c r="AM56" s="9"/>
      <c r="AN56" s="9"/>
      <c r="AO56" s="9"/>
      <c r="AP56" s="14"/>
    </row>
    <row r="57" spans="1:42" s="45" customFormat="1" ht="22" customHeight="1">
      <c r="A57" s="39" t="s">
        <v>17</v>
      </c>
      <c r="B57" s="8">
        <v>2024</v>
      </c>
      <c r="C57" s="8" t="s">
        <v>8</v>
      </c>
      <c r="D57" s="9" t="s">
        <v>185</v>
      </c>
      <c r="E57" s="9" t="s">
        <v>15</v>
      </c>
      <c r="F57" s="9" t="s">
        <v>186</v>
      </c>
      <c r="G57" s="8"/>
      <c r="H57" s="8"/>
      <c r="I57" s="9" t="s">
        <v>187</v>
      </c>
      <c r="J57" s="9" t="s">
        <v>11</v>
      </c>
      <c r="K57" s="9"/>
      <c r="L57" s="9" t="s">
        <v>188</v>
      </c>
      <c r="M57" s="9" t="s">
        <v>28</v>
      </c>
      <c r="N57" s="9"/>
      <c r="O57" s="9" t="s">
        <v>193</v>
      </c>
      <c r="P57" s="9" t="s">
        <v>201</v>
      </c>
      <c r="Q57" s="11">
        <v>52</v>
      </c>
      <c r="R57" s="11"/>
      <c r="S57" s="11">
        <f t="shared" si="5"/>
        <v>52</v>
      </c>
      <c r="T57" s="9"/>
      <c r="U57" s="9" t="s">
        <v>191</v>
      </c>
      <c r="V57" s="9"/>
      <c r="W57" s="12">
        <v>30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2">
        <f t="shared" si="6"/>
        <v>1092000</v>
      </c>
      <c r="AL57" s="161">
        <f t="shared" si="2"/>
        <v>239.51885662646902</v>
      </c>
      <c r="AM57" s="9"/>
      <c r="AN57" s="9"/>
      <c r="AO57" s="9"/>
      <c r="AP57" s="14"/>
    </row>
    <row r="58" spans="1:42" s="45" customFormat="1" ht="22" customHeight="1">
      <c r="A58" s="39" t="s">
        <v>17</v>
      </c>
      <c r="B58" s="8">
        <v>2024</v>
      </c>
      <c r="C58" s="8" t="s">
        <v>8</v>
      </c>
      <c r="D58" s="9" t="s">
        <v>185</v>
      </c>
      <c r="E58" s="9" t="s">
        <v>15</v>
      </c>
      <c r="F58" s="9" t="s">
        <v>186</v>
      </c>
      <c r="G58" s="8"/>
      <c r="H58" s="8"/>
      <c r="I58" s="9" t="s">
        <v>187</v>
      </c>
      <c r="J58" s="9" t="s">
        <v>11</v>
      </c>
      <c r="K58" s="9"/>
      <c r="L58" s="9" t="s">
        <v>188</v>
      </c>
      <c r="M58" s="9" t="s">
        <v>28</v>
      </c>
      <c r="N58" s="9"/>
      <c r="O58" s="9" t="s">
        <v>193</v>
      </c>
      <c r="P58" s="9" t="s">
        <v>202</v>
      </c>
      <c r="Q58" s="11">
        <v>56</v>
      </c>
      <c r="R58" s="11"/>
      <c r="S58" s="11">
        <f t="shared" si="5"/>
        <v>56</v>
      </c>
      <c r="T58" s="9"/>
      <c r="U58" s="9" t="s">
        <v>191</v>
      </c>
      <c r="V58" s="9"/>
      <c r="W58" s="12">
        <v>30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2">
        <f t="shared" si="6"/>
        <v>1176000</v>
      </c>
      <c r="AL58" s="161">
        <f t="shared" si="2"/>
        <v>257.94338405927431</v>
      </c>
      <c r="AM58" s="9"/>
      <c r="AN58" s="9"/>
      <c r="AO58" s="9"/>
      <c r="AP58" s="14"/>
    </row>
    <row r="59" spans="1:42" s="45" customFormat="1" ht="22" customHeight="1">
      <c r="A59" s="39" t="s">
        <v>17</v>
      </c>
      <c r="B59" s="8">
        <v>2024</v>
      </c>
      <c r="C59" s="8" t="s">
        <v>8</v>
      </c>
      <c r="D59" s="9" t="s">
        <v>185</v>
      </c>
      <c r="E59" s="9" t="s">
        <v>15</v>
      </c>
      <c r="F59" s="9" t="s">
        <v>186</v>
      </c>
      <c r="G59" s="8"/>
      <c r="H59" s="8"/>
      <c r="I59" s="9" t="s">
        <v>187</v>
      </c>
      <c r="J59" s="9" t="s">
        <v>11</v>
      </c>
      <c r="K59" s="9"/>
      <c r="L59" s="9" t="s">
        <v>188</v>
      </c>
      <c r="M59" s="9" t="s">
        <v>28</v>
      </c>
      <c r="N59" s="9"/>
      <c r="O59" s="9" t="s">
        <v>193</v>
      </c>
      <c r="P59" s="9" t="s">
        <v>203</v>
      </c>
      <c r="Q59" s="11">
        <v>33</v>
      </c>
      <c r="R59" s="11"/>
      <c r="S59" s="11">
        <f t="shared" si="5"/>
        <v>33</v>
      </c>
      <c r="T59" s="9"/>
      <c r="U59" s="9" t="s">
        <v>191</v>
      </c>
      <c r="V59" s="9"/>
      <c r="W59" s="12">
        <v>30</v>
      </c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2">
        <f t="shared" si="6"/>
        <v>693000</v>
      </c>
      <c r="AL59" s="161">
        <f t="shared" si="2"/>
        <v>152.00235132064378</v>
      </c>
      <c r="AM59" s="9"/>
      <c r="AN59" s="9"/>
      <c r="AO59" s="9"/>
      <c r="AP59" s="14"/>
    </row>
    <row r="60" spans="1:42" s="45" customFormat="1" ht="22" customHeight="1">
      <c r="A60" s="39" t="s">
        <v>17</v>
      </c>
      <c r="B60" s="8">
        <v>2024</v>
      </c>
      <c r="C60" s="8" t="s">
        <v>8</v>
      </c>
      <c r="D60" s="9" t="s">
        <v>185</v>
      </c>
      <c r="E60" s="9" t="s">
        <v>15</v>
      </c>
      <c r="F60" s="9" t="s">
        <v>186</v>
      </c>
      <c r="G60" s="8"/>
      <c r="H60" s="8"/>
      <c r="I60" s="9" t="s">
        <v>187</v>
      </c>
      <c r="J60" s="9" t="s">
        <v>11</v>
      </c>
      <c r="K60" s="9"/>
      <c r="L60" s="9" t="s">
        <v>188</v>
      </c>
      <c r="M60" s="9" t="s">
        <v>28</v>
      </c>
      <c r="N60" s="9"/>
      <c r="O60" s="9" t="s">
        <v>193</v>
      </c>
      <c r="P60" s="9" t="s">
        <v>204</v>
      </c>
      <c r="Q60" s="11">
        <v>33</v>
      </c>
      <c r="R60" s="11"/>
      <c r="S60" s="11">
        <f t="shared" si="5"/>
        <v>33</v>
      </c>
      <c r="T60" s="9"/>
      <c r="U60" s="9" t="s">
        <v>191</v>
      </c>
      <c r="V60" s="9"/>
      <c r="W60" s="12">
        <v>30</v>
      </c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2">
        <f t="shared" si="6"/>
        <v>693000</v>
      </c>
      <c r="AL60" s="161">
        <f t="shared" si="2"/>
        <v>152.00235132064378</v>
      </c>
      <c r="AM60" s="9"/>
      <c r="AN60" s="9"/>
      <c r="AO60" s="9"/>
      <c r="AP60" s="14"/>
    </row>
    <row r="61" spans="1:42" s="45" customFormat="1" ht="22" customHeight="1">
      <c r="A61" s="39" t="s">
        <v>17</v>
      </c>
      <c r="B61" s="8">
        <v>2024</v>
      </c>
      <c r="C61" s="8" t="s">
        <v>8</v>
      </c>
      <c r="D61" s="9" t="s">
        <v>185</v>
      </c>
      <c r="E61" s="9" t="s">
        <v>15</v>
      </c>
      <c r="F61" s="9" t="s">
        <v>186</v>
      </c>
      <c r="G61" s="8"/>
      <c r="H61" s="8"/>
      <c r="I61" s="9" t="s">
        <v>187</v>
      </c>
      <c r="J61" s="9" t="s">
        <v>11</v>
      </c>
      <c r="K61" s="9"/>
      <c r="L61" s="9" t="s">
        <v>188</v>
      </c>
      <c r="M61" s="9" t="s">
        <v>28</v>
      </c>
      <c r="N61" s="9"/>
      <c r="O61" s="9" t="s">
        <v>193</v>
      </c>
      <c r="P61" s="9" t="s">
        <v>205</v>
      </c>
      <c r="Q61" s="11">
        <v>42</v>
      </c>
      <c r="R61" s="11"/>
      <c r="S61" s="11">
        <f t="shared" si="5"/>
        <v>42</v>
      </c>
      <c r="T61" s="9"/>
      <c r="U61" s="9" t="s">
        <v>191</v>
      </c>
      <c r="V61" s="9"/>
      <c r="W61" s="12">
        <v>30</v>
      </c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2">
        <f t="shared" si="6"/>
        <v>882000</v>
      </c>
      <c r="AL61" s="161">
        <f t="shared" si="2"/>
        <v>193.45753804445573</v>
      </c>
      <c r="AM61" s="9"/>
      <c r="AN61" s="9"/>
      <c r="AO61" s="9"/>
      <c r="AP61" s="14"/>
    </row>
    <row r="62" spans="1:42" s="45" customFormat="1" ht="22" customHeight="1">
      <c r="A62" s="39" t="s">
        <v>17</v>
      </c>
      <c r="B62" s="8">
        <v>2024</v>
      </c>
      <c r="C62" s="8" t="s">
        <v>8</v>
      </c>
      <c r="D62" s="9" t="s">
        <v>185</v>
      </c>
      <c r="E62" s="9" t="s">
        <v>10</v>
      </c>
      <c r="F62" s="9" t="s">
        <v>186</v>
      </c>
      <c r="G62" s="8"/>
      <c r="H62" s="8"/>
      <c r="I62" s="9" t="s">
        <v>187</v>
      </c>
      <c r="J62" s="9" t="s">
        <v>11</v>
      </c>
      <c r="K62" s="9"/>
      <c r="L62" s="9" t="s">
        <v>188</v>
      </c>
      <c r="M62" s="9" t="s">
        <v>28</v>
      </c>
      <c r="N62" s="9"/>
      <c r="O62" s="9" t="s">
        <v>189</v>
      </c>
      <c r="P62" s="9" t="s">
        <v>190</v>
      </c>
      <c r="Q62" s="11"/>
      <c r="R62" s="11">
        <v>15</v>
      </c>
      <c r="S62" s="11">
        <f t="shared" si="5"/>
        <v>15</v>
      </c>
      <c r="T62" s="9"/>
      <c r="U62" s="9" t="s">
        <v>191</v>
      </c>
      <c r="V62" s="9"/>
      <c r="W62" s="12">
        <v>31</v>
      </c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2">
        <f t="shared" si="6"/>
        <v>315000</v>
      </c>
      <c r="AL62" s="161">
        <f t="shared" si="2"/>
        <v>69.0919778730199</v>
      </c>
      <c r="AM62" s="9"/>
      <c r="AN62" s="9"/>
      <c r="AO62" s="9"/>
      <c r="AP62" s="14"/>
    </row>
    <row r="63" spans="1:42" s="45" customFormat="1" ht="22" customHeight="1">
      <c r="A63" s="39" t="s">
        <v>17</v>
      </c>
      <c r="B63" s="8">
        <v>2024</v>
      </c>
      <c r="C63" s="8" t="s">
        <v>8</v>
      </c>
      <c r="D63" s="9" t="s">
        <v>185</v>
      </c>
      <c r="E63" s="9" t="s">
        <v>10</v>
      </c>
      <c r="F63" s="9" t="s">
        <v>186</v>
      </c>
      <c r="G63" s="8"/>
      <c r="H63" s="8"/>
      <c r="I63" s="9" t="s">
        <v>187</v>
      </c>
      <c r="J63" s="9" t="s">
        <v>11</v>
      </c>
      <c r="K63" s="9"/>
      <c r="L63" s="9" t="s">
        <v>188</v>
      </c>
      <c r="M63" s="9" t="s">
        <v>28</v>
      </c>
      <c r="N63" s="9"/>
      <c r="O63" s="9" t="s">
        <v>189</v>
      </c>
      <c r="P63" s="9" t="s">
        <v>192</v>
      </c>
      <c r="Q63" s="11"/>
      <c r="R63" s="11">
        <v>19</v>
      </c>
      <c r="S63" s="11">
        <f t="shared" si="5"/>
        <v>19</v>
      </c>
      <c r="T63" s="9"/>
      <c r="U63" s="9" t="s">
        <v>191</v>
      </c>
      <c r="V63" s="9"/>
      <c r="W63" s="12">
        <v>32</v>
      </c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2">
        <f>+S63*60000</f>
        <v>1140000</v>
      </c>
      <c r="AL63" s="161">
        <f t="shared" si="2"/>
        <v>250.04715801664346</v>
      </c>
      <c r="AM63" s="9"/>
      <c r="AN63" s="9"/>
      <c r="AO63" s="9"/>
      <c r="AP63" s="14"/>
    </row>
    <row r="64" spans="1:42" s="45" customFormat="1" ht="22" customHeight="1">
      <c r="A64" s="39" t="s">
        <v>17</v>
      </c>
      <c r="B64" s="8">
        <v>2024</v>
      </c>
      <c r="C64" s="8" t="s">
        <v>8</v>
      </c>
      <c r="D64" s="9" t="s">
        <v>185</v>
      </c>
      <c r="E64" s="9" t="s">
        <v>10</v>
      </c>
      <c r="F64" s="9" t="s">
        <v>186</v>
      </c>
      <c r="G64" s="8"/>
      <c r="H64" s="8"/>
      <c r="I64" s="9" t="s">
        <v>187</v>
      </c>
      <c r="J64" s="9" t="s">
        <v>11</v>
      </c>
      <c r="K64" s="9"/>
      <c r="L64" s="9" t="s">
        <v>188</v>
      </c>
      <c r="M64" s="9" t="s">
        <v>28</v>
      </c>
      <c r="N64" s="9"/>
      <c r="O64" s="9" t="s">
        <v>193</v>
      </c>
      <c r="P64" s="9" t="s">
        <v>194</v>
      </c>
      <c r="Q64" s="11"/>
      <c r="R64" s="11">
        <v>31</v>
      </c>
      <c r="S64" s="11">
        <f t="shared" si="5"/>
        <v>31</v>
      </c>
      <c r="T64" s="9"/>
      <c r="U64" s="9" t="s">
        <v>191</v>
      </c>
      <c r="V64" s="9"/>
      <c r="W64" s="12">
        <v>33</v>
      </c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>
        <f t="shared" ref="AK64:AK75" si="7">+S64*60000</f>
        <v>1860000</v>
      </c>
      <c r="AL64" s="161">
        <f t="shared" si="2"/>
        <v>407.97167886926042</v>
      </c>
      <c r="AM64" s="9"/>
      <c r="AN64" s="9"/>
      <c r="AO64" s="9"/>
      <c r="AP64" s="14"/>
    </row>
    <row r="65" spans="1:42" s="45" customFormat="1" ht="22" customHeight="1">
      <c r="A65" s="39" t="s">
        <v>17</v>
      </c>
      <c r="B65" s="8">
        <v>2024</v>
      </c>
      <c r="C65" s="8" t="s">
        <v>8</v>
      </c>
      <c r="D65" s="9" t="s">
        <v>185</v>
      </c>
      <c r="E65" s="9" t="s">
        <v>10</v>
      </c>
      <c r="F65" s="9" t="s">
        <v>186</v>
      </c>
      <c r="G65" s="8"/>
      <c r="H65" s="8"/>
      <c r="I65" s="9" t="s">
        <v>187</v>
      </c>
      <c r="J65" s="9" t="s">
        <v>11</v>
      </c>
      <c r="K65" s="9"/>
      <c r="L65" s="9" t="s">
        <v>188</v>
      </c>
      <c r="M65" s="9" t="s">
        <v>28</v>
      </c>
      <c r="N65" s="9"/>
      <c r="O65" s="9" t="s">
        <v>193</v>
      </c>
      <c r="P65" s="9" t="s">
        <v>195</v>
      </c>
      <c r="Q65" s="11"/>
      <c r="R65" s="11">
        <v>18</v>
      </c>
      <c r="S65" s="11">
        <f t="shared" si="5"/>
        <v>18</v>
      </c>
      <c r="T65" s="9"/>
      <c r="U65" s="9" t="s">
        <v>191</v>
      </c>
      <c r="V65" s="9"/>
      <c r="W65" s="12">
        <v>34</v>
      </c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2">
        <f t="shared" si="7"/>
        <v>1080000</v>
      </c>
      <c r="AL65" s="161">
        <f t="shared" si="2"/>
        <v>236.88678127892538</v>
      </c>
      <c r="AM65" s="9"/>
      <c r="AN65" s="9"/>
      <c r="AO65" s="9"/>
      <c r="AP65" s="14"/>
    </row>
    <row r="66" spans="1:42" s="45" customFormat="1" ht="22" customHeight="1">
      <c r="A66" s="39" t="s">
        <v>17</v>
      </c>
      <c r="B66" s="8">
        <v>2024</v>
      </c>
      <c r="C66" s="8" t="s">
        <v>8</v>
      </c>
      <c r="D66" s="9" t="s">
        <v>185</v>
      </c>
      <c r="E66" s="9" t="s">
        <v>10</v>
      </c>
      <c r="F66" s="9" t="s">
        <v>186</v>
      </c>
      <c r="G66" s="8"/>
      <c r="H66" s="8"/>
      <c r="I66" s="9" t="s">
        <v>187</v>
      </c>
      <c r="J66" s="9" t="s">
        <v>11</v>
      </c>
      <c r="K66" s="9"/>
      <c r="L66" s="9" t="s">
        <v>188</v>
      </c>
      <c r="M66" s="9" t="s">
        <v>28</v>
      </c>
      <c r="N66" s="9"/>
      <c r="O66" s="9" t="s">
        <v>193</v>
      </c>
      <c r="P66" s="9" t="s">
        <v>196</v>
      </c>
      <c r="Q66" s="11"/>
      <c r="R66" s="11">
        <v>16</v>
      </c>
      <c r="S66" s="11">
        <f t="shared" si="5"/>
        <v>16</v>
      </c>
      <c r="T66" s="9"/>
      <c r="U66" s="9" t="s">
        <v>191</v>
      </c>
      <c r="V66" s="9"/>
      <c r="W66" s="12">
        <v>35</v>
      </c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2">
        <f t="shared" si="7"/>
        <v>960000</v>
      </c>
      <c r="AL66" s="161">
        <f t="shared" si="2"/>
        <v>210.56602780348925</v>
      </c>
      <c r="AM66" s="9"/>
      <c r="AN66" s="9"/>
      <c r="AO66" s="9"/>
      <c r="AP66" s="14"/>
    </row>
    <row r="67" spans="1:42" s="45" customFormat="1" ht="22" customHeight="1">
      <c r="A67" s="39" t="s">
        <v>17</v>
      </c>
      <c r="B67" s="8">
        <v>2024</v>
      </c>
      <c r="C67" s="8" t="s">
        <v>8</v>
      </c>
      <c r="D67" s="9" t="s">
        <v>185</v>
      </c>
      <c r="E67" s="9" t="s">
        <v>10</v>
      </c>
      <c r="F67" s="9" t="s">
        <v>186</v>
      </c>
      <c r="G67" s="8"/>
      <c r="H67" s="8"/>
      <c r="I67" s="9" t="s">
        <v>187</v>
      </c>
      <c r="J67" s="9" t="s">
        <v>11</v>
      </c>
      <c r="K67" s="9"/>
      <c r="L67" s="9" t="s">
        <v>188</v>
      </c>
      <c r="M67" s="9" t="s">
        <v>28</v>
      </c>
      <c r="N67" s="9"/>
      <c r="O67" s="9" t="s">
        <v>193</v>
      </c>
      <c r="P67" s="9" t="s">
        <v>197</v>
      </c>
      <c r="Q67" s="11"/>
      <c r="R67" s="11">
        <v>8</v>
      </c>
      <c r="S67" s="11">
        <f t="shared" si="5"/>
        <v>8</v>
      </c>
      <c r="T67" s="9"/>
      <c r="U67" s="9" t="s">
        <v>191</v>
      </c>
      <c r="V67" s="9"/>
      <c r="W67" s="12">
        <v>36</v>
      </c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2">
        <f t="shared" si="7"/>
        <v>480000</v>
      </c>
      <c r="AL67" s="161">
        <f t="shared" si="2"/>
        <v>105.28301390174462</v>
      </c>
      <c r="AM67" s="9"/>
      <c r="AN67" s="9"/>
      <c r="AO67" s="9"/>
      <c r="AP67" s="14"/>
    </row>
    <row r="68" spans="1:42" s="45" customFormat="1" ht="22" customHeight="1">
      <c r="A68" s="39" t="s">
        <v>17</v>
      </c>
      <c r="B68" s="8">
        <v>2024</v>
      </c>
      <c r="C68" s="8" t="s">
        <v>8</v>
      </c>
      <c r="D68" s="9" t="s">
        <v>185</v>
      </c>
      <c r="E68" s="9" t="s">
        <v>10</v>
      </c>
      <c r="F68" s="9" t="s">
        <v>186</v>
      </c>
      <c r="G68" s="8"/>
      <c r="H68" s="8"/>
      <c r="I68" s="9" t="s">
        <v>187</v>
      </c>
      <c r="J68" s="9" t="s">
        <v>11</v>
      </c>
      <c r="K68" s="9"/>
      <c r="L68" s="9" t="s">
        <v>188</v>
      </c>
      <c r="M68" s="9" t="s">
        <v>28</v>
      </c>
      <c r="N68" s="9"/>
      <c r="O68" s="9" t="s">
        <v>193</v>
      </c>
      <c r="P68" s="9" t="s">
        <v>198</v>
      </c>
      <c r="Q68" s="11"/>
      <c r="R68" s="11">
        <v>13</v>
      </c>
      <c r="S68" s="11">
        <f t="shared" si="5"/>
        <v>13</v>
      </c>
      <c r="T68" s="9"/>
      <c r="U68" s="9" t="s">
        <v>191</v>
      </c>
      <c r="V68" s="9"/>
      <c r="W68" s="12">
        <v>37</v>
      </c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>
        <f t="shared" si="7"/>
        <v>780000</v>
      </c>
      <c r="AL68" s="161">
        <f t="shared" si="2"/>
        <v>171.084897590335</v>
      </c>
      <c r="AM68" s="9"/>
      <c r="AN68" s="9"/>
      <c r="AO68" s="9"/>
      <c r="AP68" s="14"/>
    </row>
    <row r="69" spans="1:42" s="45" customFormat="1" ht="22" customHeight="1">
      <c r="A69" s="39" t="s">
        <v>17</v>
      </c>
      <c r="B69" s="8">
        <v>2024</v>
      </c>
      <c r="C69" s="8" t="s">
        <v>8</v>
      </c>
      <c r="D69" s="9" t="s">
        <v>185</v>
      </c>
      <c r="E69" s="9" t="s">
        <v>10</v>
      </c>
      <c r="F69" s="9" t="s">
        <v>186</v>
      </c>
      <c r="G69" s="8"/>
      <c r="H69" s="8"/>
      <c r="I69" s="9" t="s">
        <v>187</v>
      </c>
      <c r="J69" s="9" t="s">
        <v>11</v>
      </c>
      <c r="K69" s="9"/>
      <c r="L69" s="9" t="s">
        <v>188</v>
      </c>
      <c r="M69" s="9" t="s">
        <v>28</v>
      </c>
      <c r="N69" s="9"/>
      <c r="O69" s="9" t="s">
        <v>193</v>
      </c>
      <c r="P69" s="9" t="s">
        <v>199</v>
      </c>
      <c r="Q69" s="11"/>
      <c r="R69" s="11">
        <v>38</v>
      </c>
      <c r="S69" s="11">
        <f t="shared" si="5"/>
        <v>38</v>
      </c>
      <c r="T69" s="9"/>
      <c r="U69" s="9" t="s">
        <v>191</v>
      </c>
      <c r="V69" s="9"/>
      <c r="W69" s="12">
        <v>38</v>
      </c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2">
        <f t="shared" si="7"/>
        <v>2280000</v>
      </c>
      <c r="AL69" s="161">
        <f t="shared" si="2"/>
        <v>500.09431603328693</v>
      </c>
      <c r="AM69" s="9"/>
      <c r="AN69" s="9"/>
      <c r="AO69" s="9"/>
      <c r="AP69" s="14"/>
    </row>
    <row r="70" spans="1:42" s="45" customFormat="1" ht="22" customHeight="1">
      <c r="A70" s="39" t="s">
        <v>17</v>
      </c>
      <c r="B70" s="8">
        <v>2024</v>
      </c>
      <c r="C70" s="8" t="s">
        <v>8</v>
      </c>
      <c r="D70" s="9" t="s">
        <v>185</v>
      </c>
      <c r="E70" s="9" t="s">
        <v>10</v>
      </c>
      <c r="F70" s="9" t="s">
        <v>186</v>
      </c>
      <c r="G70" s="8"/>
      <c r="H70" s="8"/>
      <c r="I70" s="9" t="s">
        <v>187</v>
      </c>
      <c r="J70" s="9" t="s">
        <v>11</v>
      </c>
      <c r="K70" s="9"/>
      <c r="L70" s="9" t="s">
        <v>188</v>
      </c>
      <c r="M70" s="9" t="s">
        <v>28</v>
      </c>
      <c r="N70" s="9"/>
      <c r="O70" s="9" t="s">
        <v>193</v>
      </c>
      <c r="P70" s="9" t="s">
        <v>200</v>
      </c>
      <c r="Q70" s="11"/>
      <c r="R70" s="11">
        <v>25</v>
      </c>
      <c r="S70" s="11">
        <f t="shared" si="5"/>
        <v>25</v>
      </c>
      <c r="T70" s="9"/>
      <c r="U70" s="9" t="s">
        <v>191</v>
      </c>
      <c r="V70" s="9"/>
      <c r="W70" s="12">
        <v>39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2">
        <f t="shared" si="7"/>
        <v>1500000</v>
      </c>
      <c r="AL70" s="161">
        <f t="shared" si="2"/>
        <v>329.00941844295193</v>
      </c>
      <c r="AM70" s="9"/>
      <c r="AN70" s="9"/>
      <c r="AO70" s="9"/>
      <c r="AP70" s="14"/>
    </row>
    <row r="71" spans="1:42" s="45" customFormat="1" ht="22" customHeight="1">
      <c r="A71" s="39" t="s">
        <v>17</v>
      </c>
      <c r="B71" s="8">
        <v>2024</v>
      </c>
      <c r="C71" s="8" t="s">
        <v>8</v>
      </c>
      <c r="D71" s="9" t="s">
        <v>185</v>
      </c>
      <c r="E71" s="9" t="s">
        <v>10</v>
      </c>
      <c r="F71" s="9" t="s">
        <v>186</v>
      </c>
      <c r="G71" s="8"/>
      <c r="H71" s="8"/>
      <c r="I71" s="9" t="s">
        <v>187</v>
      </c>
      <c r="J71" s="9" t="s">
        <v>11</v>
      </c>
      <c r="K71" s="9"/>
      <c r="L71" s="9" t="s">
        <v>188</v>
      </c>
      <c r="M71" s="9" t="s">
        <v>28</v>
      </c>
      <c r="N71" s="9"/>
      <c r="O71" s="9" t="s">
        <v>193</v>
      </c>
      <c r="P71" s="9" t="s">
        <v>201</v>
      </c>
      <c r="Q71" s="11"/>
      <c r="R71" s="11">
        <v>45</v>
      </c>
      <c r="S71" s="11">
        <f t="shared" si="5"/>
        <v>45</v>
      </c>
      <c r="T71" s="9"/>
      <c r="U71" s="9" t="s">
        <v>191</v>
      </c>
      <c r="V71" s="9"/>
      <c r="W71" s="12">
        <v>40</v>
      </c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2">
        <f t="shared" si="7"/>
        <v>2700000</v>
      </c>
      <c r="AL71" s="161">
        <f t="shared" si="2"/>
        <v>592.2169531973135</v>
      </c>
      <c r="AM71" s="9"/>
      <c r="AN71" s="9"/>
      <c r="AO71" s="9"/>
      <c r="AP71" s="14"/>
    </row>
    <row r="72" spans="1:42" s="45" customFormat="1" ht="22" customHeight="1">
      <c r="A72" s="39" t="s">
        <v>17</v>
      </c>
      <c r="B72" s="8">
        <v>2024</v>
      </c>
      <c r="C72" s="8" t="s">
        <v>8</v>
      </c>
      <c r="D72" s="9" t="s">
        <v>185</v>
      </c>
      <c r="E72" s="9" t="s">
        <v>10</v>
      </c>
      <c r="F72" s="9" t="s">
        <v>186</v>
      </c>
      <c r="G72" s="8"/>
      <c r="H72" s="8"/>
      <c r="I72" s="9" t="s">
        <v>187</v>
      </c>
      <c r="J72" s="9" t="s">
        <v>11</v>
      </c>
      <c r="K72" s="9"/>
      <c r="L72" s="9" t="s">
        <v>188</v>
      </c>
      <c r="M72" s="9" t="s">
        <v>28</v>
      </c>
      <c r="N72" s="9"/>
      <c r="O72" s="9" t="s">
        <v>193</v>
      </c>
      <c r="P72" s="9" t="s">
        <v>202</v>
      </c>
      <c r="Q72" s="11"/>
      <c r="R72" s="11">
        <v>17</v>
      </c>
      <c r="S72" s="11">
        <f t="shared" si="5"/>
        <v>17</v>
      </c>
      <c r="T72" s="9"/>
      <c r="U72" s="9" t="s">
        <v>191</v>
      </c>
      <c r="V72" s="9"/>
      <c r="W72" s="12">
        <v>41</v>
      </c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>
        <f t="shared" si="7"/>
        <v>1020000</v>
      </c>
      <c r="AL72" s="161">
        <f t="shared" si="2"/>
        <v>223.72640454120733</v>
      </c>
      <c r="AM72" s="9"/>
      <c r="AN72" s="9"/>
      <c r="AO72" s="9"/>
      <c r="AP72" s="14"/>
    </row>
    <row r="73" spans="1:42" s="45" customFormat="1" ht="22" customHeight="1">
      <c r="A73" s="39" t="s">
        <v>17</v>
      </c>
      <c r="B73" s="8">
        <v>2024</v>
      </c>
      <c r="C73" s="8" t="s">
        <v>8</v>
      </c>
      <c r="D73" s="9" t="s">
        <v>185</v>
      </c>
      <c r="E73" s="9" t="s">
        <v>10</v>
      </c>
      <c r="F73" s="9" t="s">
        <v>186</v>
      </c>
      <c r="G73" s="8"/>
      <c r="H73" s="8"/>
      <c r="I73" s="9" t="s">
        <v>187</v>
      </c>
      <c r="J73" s="9" t="s">
        <v>11</v>
      </c>
      <c r="K73" s="9"/>
      <c r="L73" s="9" t="s">
        <v>188</v>
      </c>
      <c r="M73" s="9" t="s">
        <v>28</v>
      </c>
      <c r="N73" s="9"/>
      <c r="O73" s="9" t="s">
        <v>193</v>
      </c>
      <c r="P73" s="9" t="s">
        <v>203</v>
      </c>
      <c r="Q73" s="11"/>
      <c r="R73" s="11">
        <v>40</v>
      </c>
      <c r="S73" s="11">
        <f t="shared" si="5"/>
        <v>40</v>
      </c>
      <c r="T73" s="9"/>
      <c r="U73" s="9" t="s">
        <v>191</v>
      </c>
      <c r="V73" s="9"/>
      <c r="W73" s="12">
        <v>42</v>
      </c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2">
        <f t="shared" si="7"/>
        <v>2400000</v>
      </c>
      <c r="AL73" s="161">
        <f t="shared" si="2"/>
        <v>526.41506950872315</v>
      </c>
      <c r="AM73" s="9"/>
      <c r="AN73" s="9"/>
      <c r="AO73" s="9"/>
      <c r="AP73" s="14"/>
    </row>
    <row r="74" spans="1:42" s="45" customFormat="1" ht="22" customHeight="1">
      <c r="A74" s="39" t="s">
        <v>17</v>
      </c>
      <c r="B74" s="8">
        <v>2024</v>
      </c>
      <c r="C74" s="8" t="s">
        <v>8</v>
      </c>
      <c r="D74" s="9" t="s">
        <v>185</v>
      </c>
      <c r="E74" s="9" t="s">
        <v>10</v>
      </c>
      <c r="F74" s="9" t="s">
        <v>186</v>
      </c>
      <c r="G74" s="8"/>
      <c r="H74" s="8"/>
      <c r="I74" s="9" t="s">
        <v>187</v>
      </c>
      <c r="J74" s="9" t="s">
        <v>11</v>
      </c>
      <c r="K74" s="9"/>
      <c r="L74" s="9" t="s">
        <v>188</v>
      </c>
      <c r="M74" s="9" t="s">
        <v>28</v>
      </c>
      <c r="N74" s="9"/>
      <c r="O74" s="9" t="s">
        <v>193</v>
      </c>
      <c r="P74" s="9" t="s">
        <v>204</v>
      </c>
      <c r="Q74" s="11"/>
      <c r="R74" s="11">
        <v>31</v>
      </c>
      <c r="S74" s="11">
        <f t="shared" si="5"/>
        <v>31</v>
      </c>
      <c r="T74" s="9"/>
      <c r="U74" s="9" t="s">
        <v>191</v>
      </c>
      <c r="V74" s="9"/>
      <c r="W74" s="12">
        <v>43</v>
      </c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2">
        <f t="shared" si="7"/>
        <v>1860000</v>
      </c>
      <c r="AL74" s="161">
        <f t="shared" ref="AL74:AL137" si="8">AK74/$AL$4</f>
        <v>407.97167886926042</v>
      </c>
      <c r="AM74" s="9"/>
      <c r="AN74" s="9"/>
      <c r="AO74" s="9"/>
      <c r="AP74" s="14"/>
    </row>
    <row r="75" spans="1:42" s="45" customFormat="1" ht="22" customHeight="1">
      <c r="A75" s="39" t="s">
        <v>17</v>
      </c>
      <c r="B75" s="8">
        <v>2024</v>
      </c>
      <c r="C75" s="8" t="s">
        <v>8</v>
      </c>
      <c r="D75" s="9" t="s">
        <v>185</v>
      </c>
      <c r="E75" s="9" t="s">
        <v>10</v>
      </c>
      <c r="F75" s="9" t="s">
        <v>186</v>
      </c>
      <c r="G75" s="8"/>
      <c r="H75" s="8"/>
      <c r="I75" s="9" t="s">
        <v>187</v>
      </c>
      <c r="J75" s="9" t="s">
        <v>11</v>
      </c>
      <c r="K75" s="9"/>
      <c r="L75" s="9" t="s">
        <v>188</v>
      </c>
      <c r="M75" s="9" t="s">
        <v>28</v>
      </c>
      <c r="N75" s="9"/>
      <c r="O75" s="9" t="s">
        <v>193</v>
      </c>
      <c r="P75" s="9" t="s">
        <v>205</v>
      </c>
      <c r="Q75" s="11"/>
      <c r="R75" s="11">
        <v>19</v>
      </c>
      <c r="S75" s="11">
        <f t="shared" si="5"/>
        <v>19</v>
      </c>
      <c r="T75" s="9"/>
      <c r="U75" s="9" t="s">
        <v>191</v>
      </c>
      <c r="V75" s="9"/>
      <c r="W75" s="12">
        <v>44</v>
      </c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2">
        <f t="shared" si="7"/>
        <v>1140000</v>
      </c>
      <c r="AL75" s="161">
        <f t="shared" si="8"/>
        <v>250.04715801664346</v>
      </c>
      <c r="AM75" s="9"/>
      <c r="AN75" s="9"/>
      <c r="AO75" s="9"/>
      <c r="AP75" s="14"/>
    </row>
    <row r="76" spans="1:42" s="45" customFormat="1" ht="22" customHeight="1">
      <c r="A76" s="39" t="s">
        <v>21</v>
      </c>
      <c r="B76" s="8">
        <v>2024</v>
      </c>
      <c r="C76" s="8" t="s">
        <v>8</v>
      </c>
      <c r="D76" s="9" t="s">
        <v>185</v>
      </c>
      <c r="E76" s="9" t="s">
        <v>15</v>
      </c>
      <c r="F76" s="9" t="s">
        <v>186</v>
      </c>
      <c r="G76" s="8"/>
      <c r="H76" s="8"/>
      <c r="I76" s="9" t="s">
        <v>187</v>
      </c>
      <c r="J76" s="9" t="s">
        <v>11</v>
      </c>
      <c r="K76" s="9"/>
      <c r="L76" s="9" t="s">
        <v>188</v>
      </c>
      <c r="M76" s="9" t="s">
        <v>28</v>
      </c>
      <c r="N76" s="9"/>
      <c r="O76" s="9" t="s">
        <v>189</v>
      </c>
      <c r="P76" s="9" t="s">
        <v>190</v>
      </c>
      <c r="Q76" s="11">
        <v>15</v>
      </c>
      <c r="R76" s="11"/>
      <c r="S76" s="11">
        <f t="shared" ref="S76:S131" si="9">Q76+R76</f>
        <v>15</v>
      </c>
      <c r="T76" s="9"/>
      <c r="U76" s="9" t="s">
        <v>191</v>
      </c>
      <c r="V76" s="9"/>
      <c r="W76" s="12">
        <v>30</v>
      </c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2">
        <f>+S76*21000</f>
        <v>315000</v>
      </c>
      <c r="AL76" s="161">
        <f t="shared" si="8"/>
        <v>69.0919778730199</v>
      </c>
      <c r="AM76" s="9"/>
      <c r="AN76" s="9"/>
      <c r="AO76" s="9"/>
      <c r="AP76" s="14"/>
    </row>
    <row r="77" spans="1:42" s="45" customFormat="1" ht="22" customHeight="1">
      <c r="A77" s="39" t="s">
        <v>21</v>
      </c>
      <c r="B77" s="8">
        <v>2024</v>
      </c>
      <c r="C77" s="8" t="s">
        <v>8</v>
      </c>
      <c r="D77" s="9" t="s">
        <v>185</v>
      </c>
      <c r="E77" s="9" t="s">
        <v>15</v>
      </c>
      <c r="F77" s="9" t="s">
        <v>186</v>
      </c>
      <c r="G77" s="8"/>
      <c r="H77" s="8"/>
      <c r="I77" s="9" t="s">
        <v>187</v>
      </c>
      <c r="J77" s="9" t="s">
        <v>11</v>
      </c>
      <c r="K77" s="9"/>
      <c r="L77" s="9" t="s">
        <v>188</v>
      </c>
      <c r="M77" s="9" t="s">
        <v>28</v>
      </c>
      <c r="N77" s="9"/>
      <c r="O77" s="9" t="s">
        <v>189</v>
      </c>
      <c r="P77" s="9" t="s">
        <v>192</v>
      </c>
      <c r="Q77" s="11">
        <v>17</v>
      </c>
      <c r="R77" s="11"/>
      <c r="S77" s="11">
        <f t="shared" si="9"/>
        <v>17</v>
      </c>
      <c r="T77" s="9"/>
      <c r="U77" s="9" t="s">
        <v>191</v>
      </c>
      <c r="V77" s="9"/>
      <c r="W77" s="12">
        <v>30</v>
      </c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2">
        <f t="shared" ref="AK77:AK90" si="10">+S77*21000</f>
        <v>357000</v>
      </c>
      <c r="AL77" s="161">
        <f t="shared" si="8"/>
        <v>78.30424158942256</v>
      </c>
      <c r="AM77" s="9"/>
      <c r="AN77" s="9"/>
      <c r="AO77" s="9"/>
      <c r="AP77" s="14"/>
    </row>
    <row r="78" spans="1:42" s="45" customFormat="1" ht="22" customHeight="1">
      <c r="A78" s="39" t="s">
        <v>21</v>
      </c>
      <c r="B78" s="8">
        <v>2024</v>
      </c>
      <c r="C78" s="8" t="s">
        <v>8</v>
      </c>
      <c r="D78" s="9" t="s">
        <v>185</v>
      </c>
      <c r="E78" s="9" t="s">
        <v>15</v>
      </c>
      <c r="F78" s="9" t="s">
        <v>186</v>
      </c>
      <c r="G78" s="8"/>
      <c r="H78" s="8"/>
      <c r="I78" s="9" t="s">
        <v>187</v>
      </c>
      <c r="J78" s="9" t="s">
        <v>11</v>
      </c>
      <c r="K78" s="9"/>
      <c r="L78" s="9" t="s">
        <v>188</v>
      </c>
      <c r="M78" s="9" t="s">
        <v>28</v>
      </c>
      <c r="N78" s="9"/>
      <c r="O78" s="9" t="s">
        <v>193</v>
      </c>
      <c r="P78" s="9" t="s">
        <v>194</v>
      </c>
      <c r="Q78" s="11">
        <v>37</v>
      </c>
      <c r="R78" s="11"/>
      <c r="S78" s="11">
        <f t="shared" si="9"/>
        <v>37</v>
      </c>
      <c r="T78" s="9"/>
      <c r="U78" s="9" t="s">
        <v>191</v>
      </c>
      <c r="V78" s="9"/>
      <c r="W78" s="12">
        <v>30</v>
      </c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2">
        <f t="shared" si="10"/>
        <v>777000</v>
      </c>
      <c r="AL78" s="161">
        <f t="shared" si="8"/>
        <v>170.4268787534491</v>
      </c>
      <c r="AM78" s="9"/>
      <c r="AN78" s="9"/>
      <c r="AO78" s="9"/>
      <c r="AP78" s="14"/>
    </row>
    <row r="79" spans="1:42" s="45" customFormat="1" ht="22" customHeight="1">
      <c r="A79" s="39" t="s">
        <v>21</v>
      </c>
      <c r="B79" s="8">
        <v>2024</v>
      </c>
      <c r="C79" s="8" t="s">
        <v>8</v>
      </c>
      <c r="D79" s="9" t="s">
        <v>185</v>
      </c>
      <c r="E79" s="9" t="s">
        <v>15</v>
      </c>
      <c r="F79" s="9" t="s">
        <v>186</v>
      </c>
      <c r="G79" s="8"/>
      <c r="H79" s="8"/>
      <c r="I79" s="9" t="s">
        <v>187</v>
      </c>
      <c r="J79" s="9" t="s">
        <v>11</v>
      </c>
      <c r="K79" s="9"/>
      <c r="L79" s="9" t="s">
        <v>188</v>
      </c>
      <c r="M79" s="9" t="s">
        <v>28</v>
      </c>
      <c r="N79" s="9"/>
      <c r="O79" s="9" t="s">
        <v>193</v>
      </c>
      <c r="P79" s="9" t="s">
        <v>195</v>
      </c>
      <c r="Q79" s="11">
        <v>52</v>
      </c>
      <c r="R79" s="11"/>
      <c r="S79" s="11">
        <f t="shared" si="9"/>
        <v>52</v>
      </c>
      <c r="T79" s="9"/>
      <c r="U79" s="9" t="s">
        <v>191</v>
      </c>
      <c r="V79" s="9"/>
      <c r="W79" s="12">
        <v>30</v>
      </c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2">
        <f t="shared" si="10"/>
        <v>1092000</v>
      </c>
      <c r="AL79" s="161">
        <f t="shared" si="8"/>
        <v>239.51885662646902</v>
      </c>
      <c r="AM79" s="9"/>
      <c r="AN79" s="9"/>
      <c r="AO79" s="9"/>
      <c r="AP79" s="14"/>
    </row>
    <row r="80" spans="1:42" s="45" customFormat="1" ht="22" customHeight="1">
      <c r="A80" s="39" t="s">
        <v>21</v>
      </c>
      <c r="B80" s="8">
        <v>2024</v>
      </c>
      <c r="C80" s="8" t="s">
        <v>8</v>
      </c>
      <c r="D80" s="9" t="s">
        <v>185</v>
      </c>
      <c r="E80" s="9" t="s">
        <v>15</v>
      </c>
      <c r="F80" s="9" t="s">
        <v>186</v>
      </c>
      <c r="G80" s="8"/>
      <c r="H80" s="8"/>
      <c r="I80" s="9" t="s">
        <v>187</v>
      </c>
      <c r="J80" s="9" t="s">
        <v>11</v>
      </c>
      <c r="K80" s="9"/>
      <c r="L80" s="9" t="s">
        <v>188</v>
      </c>
      <c r="M80" s="9" t="s">
        <v>28</v>
      </c>
      <c r="N80" s="9"/>
      <c r="O80" s="9" t="s">
        <v>193</v>
      </c>
      <c r="P80" s="9" t="s">
        <v>196</v>
      </c>
      <c r="Q80" s="11">
        <v>3</v>
      </c>
      <c r="R80" s="11"/>
      <c r="S80" s="11">
        <f t="shared" si="9"/>
        <v>3</v>
      </c>
      <c r="T80" s="9"/>
      <c r="U80" s="9" t="s">
        <v>191</v>
      </c>
      <c r="V80" s="9"/>
      <c r="W80" s="12">
        <v>30</v>
      </c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2">
        <f t="shared" si="10"/>
        <v>63000</v>
      </c>
      <c r="AL80" s="161">
        <f t="shared" si="8"/>
        <v>13.818395574603981</v>
      </c>
      <c r="AM80" s="9"/>
      <c r="AN80" s="9"/>
      <c r="AO80" s="9"/>
      <c r="AP80" s="14"/>
    </row>
    <row r="81" spans="1:42" s="45" customFormat="1" ht="22" customHeight="1">
      <c r="A81" s="39" t="s">
        <v>21</v>
      </c>
      <c r="B81" s="8">
        <v>2024</v>
      </c>
      <c r="C81" s="8" t="s">
        <v>8</v>
      </c>
      <c r="D81" s="9" t="s">
        <v>185</v>
      </c>
      <c r="E81" s="9" t="s">
        <v>15</v>
      </c>
      <c r="F81" s="9" t="s">
        <v>186</v>
      </c>
      <c r="G81" s="8"/>
      <c r="H81" s="8"/>
      <c r="I81" s="9" t="s">
        <v>187</v>
      </c>
      <c r="J81" s="9" t="s">
        <v>11</v>
      </c>
      <c r="K81" s="9"/>
      <c r="L81" s="9" t="s">
        <v>188</v>
      </c>
      <c r="M81" s="9" t="s">
        <v>28</v>
      </c>
      <c r="N81" s="9"/>
      <c r="O81" s="9" t="s">
        <v>193</v>
      </c>
      <c r="P81" s="9" t="s">
        <v>197</v>
      </c>
      <c r="Q81" s="11">
        <v>25</v>
      </c>
      <c r="R81" s="11"/>
      <c r="S81" s="11">
        <f t="shared" si="9"/>
        <v>25</v>
      </c>
      <c r="T81" s="9"/>
      <c r="U81" s="9" t="s">
        <v>191</v>
      </c>
      <c r="V81" s="9"/>
      <c r="W81" s="12">
        <v>30</v>
      </c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2">
        <f t="shared" si="10"/>
        <v>525000</v>
      </c>
      <c r="AL81" s="161">
        <f t="shared" si="8"/>
        <v>115.15329645503317</v>
      </c>
      <c r="AM81" s="9"/>
      <c r="AN81" s="9"/>
      <c r="AO81" s="9"/>
      <c r="AP81" s="14"/>
    </row>
    <row r="82" spans="1:42" s="45" customFormat="1" ht="22" customHeight="1">
      <c r="A82" s="39" t="s">
        <v>21</v>
      </c>
      <c r="B82" s="8">
        <v>2024</v>
      </c>
      <c r="C82" s="8" t="s">
        <v>8</v>
      </c>
      <c r="D82" s="9" t="s">
        <v>185</v>
      </c>
      <c r="E82" s="9" t="s">
        <v>15</v>
      </c>
      <c r="F82" s="9" t="s">
        <v>186</v>
      </c>
      <c r="G82" s="8"/>
      <c r="H82" s="8"/>
      <c r="I82" s="9" t="s">
        <v>187</v>
      </c>
      <c r="J82" s="9" t="s">
        <v>11</v>
      </c>
      <c r="K82" s="9"/>
      <c r="L82" s="9" t="s">
        <v>188</v>
      </c>
      <c r="M82" s="9" t="s">
        <v>28</v>
      </c>
      <c r="N82" s="9"/>
      <c r="O82" s="9" t="s">
        <v>193</v>
      </c>
      <c r="P82" s="9" t="s">
        <v>198</v>
      </c>
      <c r="Q82" s="11">
        <v>25</v>
      </c>
      <c r="R82" s="11"/>
      <c r="S82" s="11">
        <f t="shared" si="9"/>
        <v>25</v>
      </c>
      <c r="T82" s="9"/>
      <c r="U82" s="9" t="s">
        <v>191</v>
      </c>
      <c r="V82" s="9"/>
      <c r="W82" s="12">
        <v>30</v>
      </c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2">
        <f t="shared" si="10"/>
        <v>525000</v>
      </c>
      <c r="AL82" s="161">
        <f t="shared" si="8"/>
        <v>115.15329645503317</v>
      </c>
      <c r="AM82" s="9"/>
      <c r="AN82" s="9"/>
      <c r="AO82" s="9"/>
      <c r="AP82" s="14"/>
    </row>
    <row r="83" spans="1:42" s="45" customFormat="1" ht="22" customHeight="1">
      <c r="A83" s="39" t="s">
        <v>21</v>
      </c>
      <c r="B83" s="8">
        <v>2024</v>
      </c>
      <c r="C83" s="8" t="s">
        <v>8</v>
      </c>
      <c r="D83" s="9" t="s">
        <v>185</v>
      </c>
      <c r="E83" s="9" t="s">
        <v>15</v>
      </c>
      <c r="F83" s="9" t="s">
        <v>186</v>
      </c>
      <c r="G83" s="8"/>
      <c r="H83" s="8"/>
      <c r="I83" s="9" t="s">
        <v>187</v>
      </c>
      <c r="J83" s="9" t="s">
        <v>11</v>
      </c>
      <c r="K83" s="9"/>
      <c r="L83" s="9" t="s">
        <v>188</v>
      </c>
      <c r="M83" s="9" t="s">
        <v>28</v>
      </c>
      <c r="N83" s="9"/>
      <c r="O83" s="9" t="s">
        <v>193</v>
      </c>
      <c r="P83" s="9" t="s">
        <v>199</v>
      </c>
      <c r="Q83" s="11">
        <v>61</v>
      </c>
      <c r="R83" s="11"/>
      <c r="S83" s="11">
        <f t="shared" si="9"/>
        <v>61</v>
      </c>
      <c r="T83" s="9"/>
      <c r="U83" s="9" t="s">
        <v>191</v>
      </c>
      <c r="V83" s="9"/>
      <c r="W83" s="12">
        <v>30</v>
      </c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2">
        <f t="shared" si="10"/>
        <v>1281000</v>
      </c>
      <c r="AL83" s="161">
        <f t="shared" si="8"/>
        <v>280.97404335028097</v>
      </c>
      <c r="AM83" s="9"/>
      <c r="AN83" s="9"/>
      <c r="AO83" s="9"/>
      <c r="AP83" s="14"/>
    </row>
    <row r="84" spans="1:42" s="45" customFormat="1" ht="22" customHeight="1">
      <c r="A84" s="39" t="s">
        <v>21</v>
      </c>
      <c r="B84" s="8">
        <v>2024</v>
      </c>
      <c r="C84" s="8" t="s">
        <v>8</v>
      </c>
      <c r="D84" s="9" t="s">
        <v>185</v>
      </c>
      <c r="E84" s="9" t="s">
        <v>15</v>
      </c>
      <c r="F84" s="9" t="s">
        <v>186</v>
      </c>
      <c r="G84" s="8"/>
      <c r="H84" s="8"/>
      <c r="I84" s="9" t="s">
        <v>187</v>
      </c>
      <c r="J84" s="9" t="s">
        <v>11</v>
      </c>
      <c r="K84" s="9"/>
      <c r="L84" s="9" t="s">
        <v>188</v>
      </c>
      <c r="M84" s="9" t="s">
        <v>28</v>
      </c>
      <c r="N84" s="9"/>
      <c r="O84" s="9" t="s">
        <v>193</v>
      </c>
      <c r="P84" s="9" t="s">
        <v>200</v>
      </c>
      <c r="Q84" s="11">
        <v>35</v>
      </c>
      <c r="R84" s="11"/>
      <c r="S84" s="11">
        <f t="shared" si="9"/>
        <v>35</v>
      </c>
      <c r="T84" s="9"/>
      <c r="U84" s="9" t="s">
        <v>191</v>
      </c>
      <c r="V84" s="9"/>
      <c r="W84" s="12">
        <v>30</v>
      </c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2">
        <f t="shared" si="10"/>
        <v>735000</v>
      </c>
      <c r="AL84" s="161">
        <f t="shared" si="8"/>
        <v>161.21461503704646</v>
      </c>
      <c r="AM84" s="9"/>
      <c r="AN84" s="9"/>
      <c r="AO84" s="9"/>
      <c r="AP84" s="14"/>
    </row>
    <row r="85" spans="1:42" s="45" customFormat="1" ht="22" customHeight="1">
      <c r="A85" s="39" t="s">
        <v>21</v>
      </c>
      <c r="B85" s="8">
        <v>2024</v>
      </c>
      <c r="C85" s="8" t="s">
        <v>8</v>
      </c>
      <c r="D85" s="9" t="s">
        <v>185</v>
      </c>
      <c r="E85" s="9" t="s">
        <v>15</v>
      </c>
      <c r="F85" s="9" t="s">
        <v>186</v>
      </c>
      <c r="G85" s="8"/>
      <c r="H85" s="8"/>
      <c r="I85" s="9" t="s">
        <v>187</v>
      </c>
      <c r="J85" s="9" t="s">
        <v>11</v>
      </c>
      <c r="K85" s="9"/>
      <c r="L85" s="9" t="s">
        <v>188</v>
      </c>
      <c r="M85" s="9" t="s">
        <v>28</v>
      </c>
      <c r="N85" s="9"/>
      <c r="O85" s="9" t="s">
        <v>193</v>
      </c>
      <c r="P85" s="9" t="s">
        <v>201</v>
      </c>
      <c r="Q85" s="11">
        <v>52</v>
      </c>
      <c r="R85" s="11"/>
      <c r="S85" s="11">
        <f t="shared" si="9"/>
        <v>52</v>
      </c>
      <c r="T85" s="9"/>
      <c r="U85" s="9" t="s">
        <v>191</v>
      </c>
      <c r="V85" s="9"/>
      <c r="W85" s="12">
        <v>30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2">
        <f t="shared" si="10"/>
        <v>1092000</v>
      </c>
      <c r="AL85" s="161">
        <f t="shared" si="8"/>
        <v>239.51885662646902</v>
      </c>
      <c r="AM85" s="9"/>
      <c r="AN85" s="9"/>
      <c r="AO85" s="9"/>
      <c r="AP85" s="14"/>
    </row>
    <row r="86" spans="1:42" s="45" customFormat="1" ht="22" customHeight="1">
      <c r="A86" s="39" t="s">
        <v>21</v>
      </c>
      <c r="B86" s="8">
        <v>2024</v>
      </c>
      <c r="C86" s="8" t="s">
        <v>8</v>
      </c>
      <c r="D86" s="9" t="s">
        <v>185</v>
      </c>
      <c r="E86" s="9" t="s">
        <v>15</v>
      </c>
      <c r="F86" s="9" t="s">
        <v>186</v>
      </c>
      <c r="G86" s="8"/>
      <c r="H86" s="8"/>
      <c r="I86" s="9" t="s">
        <v>187</v>
      </c>
      <c r="J86" s="9" t="s">
        <v>11</v>
      </c>
      <c r="K86" s="9"/>
      <c r="L86" s="9" t="s">
        <v>188</v>
      </c>
      <c r="M86" s="9" t="s">
        <v>28</v>
      </c>
      <c r="N86" s="9"/>
      <c r="O86" s="9" t="s">
        <v>193</v>
      </c>
      <c r="P86" s="9" t="s">
        <v>202</v>
      </c>
      <c r="Q86" s="11">
        <v>56</v>
      </c>
      <c r="R86" s="11"/>
      <c r="S86" s="11">
        <f t="shared" si="9"/>
        <v>56</v>
      </c>
      <c r="T86" s="9"/>
      <c r="U86" s="9" t="s">
        <v>191</v>
      </c>
      <c r="V86" s="9"/>
      <c r="W86" s="12">
        <v>30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2">
        <f t="shared" si="10"/>
        <v>1176000</v>
      </c>
      <c r="AL86" s="161">
        <f t="shared" si="8"/>
        <v>257.94338405927431</v>
      </c>
      <c r="AM86" s="9"/>
      <c r="AN86" s="9"/>
      <c r="AO86" s="9"/>
      <c r="AP86" s="14"/>
    </row>
    <row r="87" spans="1:42" s="45" customFormat="1" ht="22" customHeight="1">
      <c r="A87" s="39" t="s">
        <v>21</v>
      </c>
      <c r="B87" s="8">
        <v>2024</v>
      </c>
      <c r="C87" s="8" t="s">
        <v>8</v>
      </c>
      <c r="D87" s="9" t="s">
        <v>185</v>
      </c>
      <c r="E87" s="9" t="s">
        <v>15</v>
      </c>
      <c r="F87" s="9" t="s">
        <v>186</v>
      </c>
      <c r="G87" s="8"/>
      <c r="H87" s="8"/>
      <c r="I87" s="9" t="s">
        <v>187</v>
      </c>
      <c r="J87" s="9" t="s">
        <v>11</v>
      </c>
      <c r="K87" s="9"/>
      <c r="L87" s="9" t="s">
        <v>188</v>
      </c>
      <c r="M87" s="9" t="s">
        <v>28</v>
      </c>
      <c r="N87" s="9"/>
      <c r="O87" s="9" t="s">
        <v>193</v>
      </c>
      <c r="P87" s="9" t="s">
        <v>203</v>
      </c>
      <c r="Q87" s="11">
        <v>33</v>
      </c>
      <c r="R87" s="11"/>
      <c r="S87" s="11">
        <f t="shared" si="9"/>
        <v>33</v>
      </c>
      <c r="T87" s="9"/>
      <c r="U87" s="9" t="s">
        <v>191</v>
      </c>
      <c r="V87" s="9"/>
      <c r="W87" s="12">
        <v>30</v>
      </c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2">
        <f t="shared" si="10"/>
        <v>693000</v>
      </c>
      <c r="AL87" s="161">
        <f t="shared" si="8"/>
        <v>152.00235132064378</v>
      </c>
      <c r="AM87" s="9"/>
      <c r="AN87" s="9"/>
      <c r="AO87" s="9"/>
      <c r="AP87" s="14"/>
    </row>
    <row r="88" spans="1:42" s="45" customFormat="1" ht="22" customHeight="1">
      <c r="A88" s="39" t="s">
        <v>21</v>
      </c>
      <c r="B88" s="8">
        <v>2024</v>
      </c>
      <c r="C88" s="8" t="s">
        <v>8</v>
      </c>
      <c r="D88" s="9" t="s">
        <v>185</v>
      </c>
      <c r="E88" s="9" t="s">
        <v>15</v>
      </c>
      <c r="F88" s="9" t="s">
        <v>186</v>
      </c>
      <c r="G88" s="8"/>
      <c r="H88" s="8"/>
      <c r="I88" s="9" t="s">
        <v>187</v>
      </c>
      <c r="J88" s="9" t="s">
        <v>11</v>
      </c>
      <c r="K88" s="9"/>
      <c r="L88" s="9" t="s">
        <v>188</v>
      </c>
      <c r="M88" s="9" t="s">
        <v>28</v>
      </c>
      <c r="N88" s="9"/>
      <c r="O88" s="9" t="s">
        <v>193</v>
      </c>
      <c r="P88" s="9" t="s">
        <v>204</v>
      </c>
      <c r="Q88" s="11">
        <v>33</v>
      </c>
      <c r="R88" s="11"/>
      <c r="S88" s="11">
        <f t="shared" si="9"/>
        <v>33</v>
      </c>
      <c r="T88" s="9"/>
      <c r="U88" s="9" t="s">
        <v>191</v>
      </c>
      <c r="V88" s="9"/>
      <c r="W88" s="12">
        <v>30</v>
      </c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2">
        <f t="shared" si="10"/>
        <v>693000</v>
      </c>
      <c r="AL88" s="161">
        <f t="shared" si="8"/>
        <v>152.00235132064378</v>
      </c>
      <c r="AM88" s="9"/>
      <c r="AN88" s="9"/>
      <c r="AO88" s="9"/>
      <c r="AP88" s="14"/>
    </row>
    <row r="89" spans="1:42" s="45" customFormat="1" ht="22" customHeight="1">
      <c r="A89" s="39" t="s">
        <v>21</v>
      </c>
      <c r="B89" s="8">
        <v>2024</v>
      </c>
      <c r="C89" s="8" t="s">
        <v>8</v>
      </c>
      <c r="D89" s="9" t="s">
        <v>185</v>
      </c>
      <c r="E89" s="9" t="s">
        <v>15</v>
      </c>
      <c r="F89" s="9" t="s">
        <v>186</v>
      </c>
      <c r="G89" s="8"/>
      <c r="H89" s="8"/>
      <c r="I89" s="9" t="s">
        <v>187</v>
      </c>
      <c r="J89" s="9" t="s">
        <v>11</v>
      </c>
      <c r="K89" s="9"/>
      <c r="L89" s="9" t="s">
        <v>188</v>
      </c>
      <c r="M89" s="9" t="s">
        <v>28</v>
      </c>
      <c r="N89" s="9"/>
      <c r="O89" s="9" t="s">
        <v>193</v>
      </c>
      <c r="P89" s="9" t="s">
        <v>205</v>
      </c>
      <c r="Q89" s="11">
        <v>42</v>
      </c>
      <c r="R89" s="11"/>
      <c r="S89" s="11">
        <f t="shared" si="9"/>
        <v>42</v>
      </c>
      <c r="T89" s="9"/>
      <c r="U89" s="9" t="s">
        <v>191</v>
      </c>
      <c r="V89" s="9"/>
      <c r="W89" s="12">
        <v>30</v>
      </c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2">
        <f t="shared" si="10"/>
        <v>882000</v>
      </c>
      <c r="AL89" s="161">
        <f t="shared" si="8"/>
        <v>193.45753804445573</v>
      </c>
      <c r="AM89" s="9"/>
      <c r="AN89" s="9"/>
      <c r="AO89" s="9"/>
      <c r="AP89" s="14"/>
    </row>
    <row r="90" spans="1:42" s="45" customFormat="1" ht="22" customHeight="1">
      <c r="A90" s="39" t="s">
        <v>21</v>
      </c>
      <c r="B90" s="8">
        <v>2024</v>
      </c>
      <c r="C90" s="8" t="s">
        <v>8</v>
      </c>
      <c r="D90" s="9" t="s">
        <v>185</v>
      </c>
      <c r="E90" s="9" t="s">
        <v>10</v>
      </c>
      <c r="F90" s="9" t="s">
        <v>186</v>
      </c>
      <c r="G90" s="8"/>
      <c r="H90" s="8"/>
      <c r="I90" s="9" t="s">
        <v>187</v>
      </c>
      <c r="J90" s="9" t="s">
        <v>11</v>
      </c>
      <c r="K90" s="9"/>
      <c r="L90" s="9" t="s">
        <v>188</v>
      </c>
      <c r="M90" s="9" t="s">
        <v>28</v>
      </c>
      <c r="N90" s="9"/>
      <c r="O90" s="9" t="s">
        <v>189</v>
      </c>
      <c r="P90" s="9" t="s">
        <v>190</v>
      </c>
      <c r="Q90" s="11"/>
      <c r="R90" s="11">
        <v>15</v>
      </c>
      <c r="S90" s="11">
        <f t="shared" si="9"/>
        <v>15</v>
      </c>
      <c r="T90" s="9"/>
      <c r="U90" s="9" t="s">
        <v>191</v>
      </c>
      <c r="V90" s="9"/>
      <c r="W90" s="12">
        <v>31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2">
        <f t="shared" si="10"/>
        <v>315000</v>
      </c>
      <c r="AL90" s="161">
        <f t="shared" si="8"/>
        <v>69.0919778730199</v>
      </c>
      <c r="AM90" s="9"/>
      <c r="AN90" s="9"/>
      <c r="AO90" s="9"/>
      <c r="AP90" s="14"/>
    </row>
    <row r="91" spans="1:42" s="45" customFormat="1" ht="22" customHeight="1">
      <c r="A91" s="39" t="s">
        <v>21</v>
      </c>
      <c r="B91" s="8">
        <v>2024</v>
      </c>
      <c r="C91" s="8" t="s">
        <v>8</v>
      </c>
      <c r="D91" s="9" t="s">
        <v>185</v>
      </c>
      <c r="E91" s="9" t="s">
        <v>10</v>
      </c>
      <c r="F91" s="9" t="s">
        <v>186</v>
      </c>
      <c r="G91" s="8"/>
      <c r="H91" s="8"/>
      <c r="I91" s="9" t="s">
        <v>187</v>
      </c>
      <c r="J91" s="9" t="s">
        <v>11</v>
      </c>
      <c r="K91" s="9"/>
      <c r="L91" s="9" t="s">
        <v>188</v>
      </c>
      <c r="M91" s="9" t="s">
        <v>28</v>
      </c>
      <c r="N91" s="9"/>
      <c r="O91" s="9" t="s">
        <v>189</v>
      </c>
      <c r="P91" s="9" t="s">
        <v>192</v>
      </c>
      <c r="Q91" s="11"/>
      <c r="R91" s="11">
        <v>19</v>
      </c>
      <c r="S91" s="11">
        <f t="shared" si="9"/>
        <v>19</v>
      </c>
      <c r="T91" s="9"/>
      <c r="U91" s="9" t="s">
        <v>191</v>
      </c>
      <c r="V91" s="9"/>
      <c r="W91" s="12">
        <v>32</v>
      </c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2">
        <f>+S91*60000</f>
        <v>1140000</v>
      </c>
      <c r="AL91" s="161">
        <f t="shared" si="8"/>
        <v>250.04715801664346</v>
      </c>
      <c r="AM91" s="9"/>
      <c r="AN91" s="9"/>
      <c r="AO91" s="9"/>
      <c r="AP91" s="14"/>
    </row>
    <row r="92" spans="1:42" s="45" customFormat="1" ht="22" customHeight="1">
      <c r="A92" s="39" t="s">
        <v>21</v>
      </c>
      <c r="B92" s="8">
        <v>2024</v>
      </c>
      <c r="C92" s="8" t="s">
        <v>8</v>
      </c>
      <c r="D92" s="9" t="s">
        <v>185</v>
      </c>
      <c r="E92" s="9" t="s">
        <v>10</v>
      </c>
      <c r="F92" s="9" t="s">
        <v>186</v>
      </c>
      <c r="G92" s="8"/>
      <c r="H92" s="8"/>
      <c r="I92" s="9" t="s">
        <v>187</v>
      </c>
      <c r="J92" s="9" t="s">
        <v>11</v>
      </c>
      <c r="K92" s="9"/>
      <c r="L92" s="9" t="s">
        <v>188</v>
      </c>
      <c r="M92" s="9" t="s">
        <v>28</v>
      </c>
      <c r="N92" s="9"/>
      <c r="O92" s="9" t="s">
        <v>193</v>
      </c>
      <c r="P92" s="9" t="s">
        <v>194</v>
      </c>
      <c r="Q92" s="11"/>
      <c r="R92" s="11">
        <v>31</v>
      </c>
      <c r="S92" s="11">
        <f t="shared" si="9"/>
        <v>31</v>
      </c>
      <c r="T92" s="9"/>
      <c r="U92" s="9" t="s">
        <v>191</v>
      </c>
      <c r="V92" s="9"/>
      <c r="W92" s="12">
        <v>33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2">
        <f t="shared" ref="AK92:AK103" si="11">+S92*60000</f>
        <v>1860000</v>
      </c>
      <c r="AL92" s="161">
        <f t="shared" si="8"/>
        <v>407.97167886926042</v>
      </c>
      <c r="AM92" s="9"/>
      <c r="AN92" s="9"/>
      <c r="AO92" s="9"/>
      <c r="AP92" s="14"/>
    </row>
    <row r="93" spans="1:42" s="45" customFormat="1" ht="22" customHeight="1">
      <c r="A93" s="39" t="s">
        <v>21</v>
      </c>
      <c r="B93" s="8">
        <v>2024</v>
      </c>
      <c r="C93" s="8" t="s">
        <v>8</v>
      </c>
      <c r="D93" s="9" t="s">
        <v>185</v>
      </c>
      <c r="E93" s="9" t="s">
        <v>10</v>
      </c>
      <c r="F93" s="9" t="s">
        <v>186</v>
      </c>
      <c r="G93" s="8"/>
      <c r="H93" s="8"/>
      <c r="I93" s="9" t="s">
        <v>187</v>
      </c>
      <c r="J93" s="9" t="s">
        <v>11</v>
      </c>
      <c r="K93" s="9"/>
      <c r="L93" s="9" t="s">
        <v>188</v>
      </c>
      <c r="M93" s="9" t="s">
        <v>28</v>
      </c>
      <c r="N93" s="9"/>
      <c r="O93" s="9" t="s">
        <v>193</v>
      </c>
      <c r="P93" s="9" t="s">
        <v>195</v>
      </c>
      <c r="Q93" s="11"/>
      <c r="R93" s="11">
        <v>18</v>
      </c>
      <c r="S93" s="11">
        <f t="shared" si="9"/>
        <v>18</v>
      </c>
      <c r="T93" s="9"/>
      <c r="U93" s="9" t="s">
        <v>191</v>
      </c>
      <c r="V93" s="9"/>
      <c r="W93" s="12">
        <v>34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2">
        <f t="shared" si="11"/>
        <v>1080000</v>
      </c>
      <c r="AL93" s="161">
        <f t="shared" si="8"/>
        <v>236.88678127892538</v>
      </c>
      <c r="AM93" s="9"/>
      <c r="AN93" s="9"/>
      <c r="AO93" s="9"/>
      <c r="AP93" s="14"/>
    </row>
    <row r="94" spans="1:42" s="45" customFormat="1" ht="22" customHeight="1">
      <c r="A94" s="39" t="s">
        <v>21</v>
      </c>
      <c r="B94" s="8">
        <v>2024</v>
      </c>
      <c r="C94" s="8" t="s">
        <v>8</v>
      </c>
      <c r="D94" s="9" t="s">
        <v>185</v>
      </c>
      <c r="E94" s="9" t="s">
        <v>10</v>
      </c>
      <c r="F94" s="9" t="s">
        <v>186</v>
      </c>
      <c r="G94" s="8"/>
      <c r="H94" s="8"/>
      <c r="I94" s="9" t="s">
        <v>187</v>
      </c>
      <c r="J94" s="9" t="s">
        <v>11</v>
      </c>
      <c r="K94" s="9"/>
      <c r="L94" s="9" t="s">
        <v>188</v>
      </c>
      <c r="M94" s="9" t="s">
        <v>28</v>
      </c>
      <c r="N94" s="9"/>
      <c r="O94" s="9" t="s">
        <v>193</v>
      </c>
      <c r="P94" s="9" t="s">
        <v>196</v>
      </c>
      <c r="Q94" s="11"/>
      <c r="R94" s="11">
        <v>16</v>
      </c>
      <c r="S94" s="11">
        <f t="shared" si="9"/>
        <v>16</v>
      </c>
      <c r="T94" s="9"/>
      <c r="U94" s="9" t="s">
        <v>191</v>
      </c>
      <c r="V94" s="9"/>
      <c r="W94" s="12">
        <v>35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2">
        <f t="shared" si="11"/>
        <v>960000</v>
      </c>
      <c r="AL94" s="161">
        <f t="shared" si="8"/>
        <v>210.56602780348925</v>
      </c>
      <c r="AM94" s="9"/>
      <c r="AN94" s="9"/>
      <c r="AO94" s="9"/>
      <c r="AP94" s="14"/>
    </row>
    <row r="95" spans="1:42" s="45" customFormat="1" ht="22" customHeight="1">
      <c r="A95" s="39" t="s">
        <v>21</v>
      </c>
      <c r="B95" s="8">
        <v>2024</v>
      </c>
      <c r="C95" s="8" t="s">
        <v>8</v>
      </c>
      <c r="D95" s="9" t="s">
        <v>185</v>
      </c>
      <c r="E95" s="9" t="s">
        <v>10</v>
      </c>
      <c r="F95" s="9" t="s">
        <v>186</v>
      </c>
      <c r="G95" s="8"/>
      <c r="H95" s="8"/>
      <c r="I95" s="9" t="s">
        <v>187</v>
      </c>
      <c r="J95" s="9" t="s">
        <v>11</v>
      </c>
      <c r="K95" s="9"/>
      <c r="L95" s="9" t="s">
        <v>188</v>
      </c>
      <c r="M95" s="9" t="s">
        <v>28</v>
      </c>
      <c r="N95" s="9"/>
      <c r="O95" s="9" t="s">
        <v>193</v>
      </c>
      <c r="P95" s="9" t="s">
        <v>197</v>
      </c>
      <c r="Q95" s="11"/>
      <c r="R95" s="11">
        <v>8</v>
      </c>
      <c r="S95" s="11">
        <f t="shared" si="9"/>
        <v>8</v>
      </c>
      <c r="T95" s="9"/>
      <c r="U95" s="9" t="s">
        <v>191</v>
      </c>
      <c r="V95" s="9"/>
      <c r="W95" s="12">
        <v>36</v>
      </c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2">
        <f t="shared" si="11"/>
        <v>480000</v>
      </c>
      <c r="AL95" s="161">
        <f t="shared" si="8"/>
        <v>105.28301390174462</v>
      </c>
      <c r="AM95" s="9"/>
      <c r="AN95" s="9"/>
      <c r="AO95" s="9"/>
      <c r="AP95" s="14"/>
    </row>
    <row r="96" spans="1:42" s="45" customFormat="1" ht="22" customHeight="1">
      <c r="A96" s="39" t="s">
        <v>21</v>
      </c>
      <c r="B96" s="8">
        <v>2024</v>
      </c>
      <c r="C96" s="8" t="s">
        <v>8</v>
      </c>
      <c r="D96" s="9" t="s">
        <v>185</v>
      </c>
      <c r="E96" s="9" t="s">
        <v>10</v>
      </c>
      <c r="F96" s="9" t="s">
        <v>186</v>
      </c>
      <c r="G96" s="8"/>
      <c r="H96" s="8"/>
      <c r="I96" s="9" t="s">
        <v>187</v>
      </c>
      <c r="J96" s="9" t="s">
        <v>11</v>
      </c>
      <c r="K96" s="9"/>
      <c r="L96" s="9" t="s">
        <v>188</v>
      </c>
      <c r="M96" s="9" t="s">
        <v>28</v>
      </c>
      <c r="N96" s="9"/>
      <c r="O96" s="9" t="s">
        <v>193</v>
      </c>
      <c r="P96" s="9" t="s">
        <v>198</v>
      </c>
      <c r="Q96" s="11"/>
      <c r="R96" s="11">
        <v>13</v>
      </c>
      <c r="S96" s="11">
        <f t="shared" si="9"/>
        <v>13</v>
      </c>
      <c r="T96" s="9"/>
      <c r="U96" s="9" t="s">
        <v>191</v>
      </c>
      <c r="V96" s="9"/>
      <c r="W96" s="12">
        <v>37</v>
      </c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2">
        <f t="shared" si="11"/>
        <v>780000</v>
      </c>
      <c r="AL96" s="161">
        <f t="shared" si="8"/>
        <v>171.084897590335</v>
      </c>
      <c r="AM96" s="9"/>
      <c r="AN96" s="9"/>
      <c r="AO96" s="9"/>
      <c r="AP96" s="14"/>
    </row>
    <row r="97" spans="1:42" s="45" customFormat="1" ht="22" customHeight="1">
      <c r="A97" s="39" t="s">
        <v>21</v>
      </c>
      <c r="B97" s="8">
        <v>2024</v>
      </c>
      <c r="C97" s="8" t="s">
        <v>8</v>
      </c>
      <c r="D97" s="9" t="s">
        <v>185</v>
      </c>
      <c r="E97" s="9" t="s">
        <v>10</v>
      </c>
      <c r="F97" s="9" t="s">
        <v>186</v>
      </c>
      <c r="G97" s="8"/>
      <c r="H97" s="8"/>
      <c r="I97" s="9" t="s">
        <v>187</v>
      </c>
      <c r="J97" s="9" t="s">
        <v>11</v>
      </c>
      <c r="K97" s="9"/>
      <c r="L97" s="9" t="s">
        <v>188</v>
      </c>
      <c r="M97" s="9" t="s">
        <v>28</v>
      </c>
      <c r="N97" s="9"/>
      <c r="O97" s="9" t="s">
        <v>193</v>
      </c>
      <c r="P97" s="9" t="s">
        <v>199</v>
      </c>
      <c r="Q97" s="11"/>
      <c r="R97" s="11">
        <v>38</v>
      </c>
      <c r="S97" s="11">
        <f t="shared" si="9"/>
        <v>38</v>
      </c>
      <c r="T97" s="9"/>
      <c r="U97" s="9" t="s">
        <v>191</v>
      </c>
      <c r="V97" s="9"/>
      <c r="W97" s="12">
        <v>38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2">
        <f t="shared" si="11"/>
        <v>2280000</v>
      </c>
      <c r="AL97" s="161">
        <f t="shared" si="8"/>
        <v>500.09431603328693</v>
      </c>
      <c r="AM97" s="9"/>
      <c r="AN97" s="9"/>
      <c r="AO97" s="9"/>
      <c r="AP97" s="14"/>
    </row>
    <row r="98" spans="1:42" s="45" customFormat="1" ht="22" customHeight="1">
      <c r="A98" s="39" t="s">
        <v>21</v>
      </c>
      <c r="B98" s="8">
        <v>2024</v>
      </c>
      <c r="C98" s="8" t="s">
        <v>8</v>
      </c>
      <c r="D98" s="9" t="s">
        <v>185</v>
      </c>
      <c r="E98" s="9" t="s">
        <v>10</v>
      </c>
      <c r="F98" s="9" t="s">
        <v>186</v>
      </c>
      <c r="G98" s="8"/>
      <c r="H98" s="8"/>
      <c r="I98" s="9" t="s">
        <v>187</v>
      </c>
      <c r="J98" s="9" t="s">
        <v>11</v>
      </c>
      <c r="K98" s="9"/>
      <c r="L98" s="9" t="s">
        <v>188</v>
      </c>
      <c r="M98" s="9" t="s">
        <v>28</v>
      </c>
      <c r="N98" s="9"/>
      <c r="O98" s="9" t="s">
        <v>193</v>
      </c>
      <c r="P98" s="9" t="s">
        <v>200</v>
      </c>
      <c r="Q98" s="11"/>
      <c r="R98" s="11">
        <v>25</v>
      </c>
      <c r="S98" s="11">
        <f t="shared" si="9"/>
        <v>25</v>
      </c>
      <c r="T98" s="9"/>
      <c r="U98" s="9" t="s">
        <v>191</v>
      </c>
      <c r="V98" s="9"/>
      <c r="W98" s="12">
        <v>39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2">
        <f t="shared" si="11"/>
        <v>1500000</v>
      </c>
      <c r="AL98" s="161">
        <f t="shared" si="8"/>
        <v>329.00941844295193</v>
      </c>
      <c r="AM98" s="9"/>
      <c r="AN98" s="9"/>
      <c r="AO98" s="9"/>
      <c r="AP98" s="14"/>
    </row>
    <row r="99" spans="1:42" s="45" customFormat="1" ht="22" customHeight="1">
      <c r="A99" s="39" t="s">
        <v>21</v>
      </c>
      <c r="B99" s="8">
        <v>2024</v>
      </c>
      <c r="C99" s="8" t="s">
        <v>8</v>
      </c>
      <c r="D99" s="9" t="s">
        <v>185</v>
      </c>
      <c r="E99" s="9" t="s">
        <v>10</v>
      </c>
      <c r="F99" s="9" t="s">
        <v>186</v>
      </c>
      <c r="G99" s="8"/>
      <c r="H99" s="8"/>
      <c r="I99" s="9" t="s">
        <v>187</v>
      </c>
      <c r="J99" s="9" t="s">
        <v>11</v>
      </c>
      <c r="K99" s="9"/>
      <c r="L99" s="9" t="s">
        <v>188</v>
      </c>
      <c r="M99" s="9" t="s">
        <v>28</v>
      </c>
      <c r="N99" s="9"/>
      <c r="O99" s="9" t="s">
        <v>193</v>
      </c>
      <c r="P99" s="9" t="s">
        <v>201</v>
      </c>
      <c r="Q99" s="11"/>
      <c r="R99" s="11">
        <v>45</v>
      </c>
      <c r="S99" s="11">
        <f t="shared" si="9"/>
        <v>45</v>
      </c>
      <c r="T99" s="9"/>
      <c r="U99" s="9" t="s">
        <v>191</v>
      </c>
      <c r="V99" s="9"/>
      <c r="W99" s="12">
        <v>40</v>
      </c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2">
        <f t="shared" si="11"/>
        <v>2700000</v>
      </c>
      <c r="AL99" s="161">
        <f t="shared" si="8"/>
        <v>592.2169531973135</v>
      </c>
      <c r="AM99" s="9"/>
      <c r="AN99" s="9"/>
      <c r="AO99" s="9"/>
      <c r="AP99" s="14"/>
    </row>
    <row r="100" spans="1:42" s="45" customFormat="1" ht="22" customHeight="1">
      <c r="A100" s="39" t="s">
        <v>21</v>
      </c>
      <c r="B100" s="8">
        <v>2024</v>
      </c>
      <c r="C100" s="8" t="s">
        <v>8</v>
      </c>
      <c r="D100" s="9" t="s">
        <v>185</v>
      </c>
      <c r="E100" s="9" t="s">
        <v>10</v>
      </c>
      <c r="F100" s="9" t="s">
        <v>186</v>
      </c>
      <c r="G100" s="8"/>
      <c r="H100" s="8"/>
      <c r="I100" s="9" t="s">
        <v>187</v>
      </c>
      <c r="J100" s="9" t="s">
        <v>11</v>
      </c>
      <c r="K100" s="9"/>
      <c r="L100" s="9" t="s">
        <v>188</v>
      </c>
      <c r="M100" s="9" t="s">
        <v>28</v>
      </c>
      <c r="N100" s="9"/>
      <c r="O100" s="9" t="s">
        <v>193</v>
      </c>
      <c r="P100" s="9" t="s">
        <v>202</v>
      </c>
      <c r="Q100" s="11"/>
      <c r="R100" s="11">
        <v>17</v>
      </c>
      <c r="S100" s="11">
        <f t="shared" si="9"/>
        <v>17</v>
      </c>
      <c r="T100" s="9"/>
      <c r="U100" s="9" t="s">
        <v>191</v>
      </c>
      <c r="V100" s="9"/>
      <c r="W100" s="12">
        <v>41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2">
        <f t="shared" si="11"/>
        <v>1020000</v>
      </c>
      <c r="AL100" s="161">
        <f t="shared" si="8"/>
        <v>223.72640454120733</v>
      </c>
      <c r="AM100" s="9"/>
      <c r="AN100" s="9"/>
      <c r="AO100" s="9"/>
      <c r="AP100" s="14"/>
    </row>
    <row r="101" spans="1:42" s="45" customFormat="1" ht="22" customHeight="1">
      <c r="A101" s="39" t="s">
        <v>21</v>
      </c>
      <c r="B101" s="8">
        <v>2024</v>
      </c>
      <c r="C101" s="8" t="s">
        <v>8</v>
      </c>
      <c r="D101" s="9" t="s">
        <v>185</v>
      </c>
      <c r="E101" s="9" t="s">
        <v>10</v>
      </c>
      <c r="F101" s="9" t="s">
        <v>186</v>
      </c>
      <c r="G101" s="8"/>
      <c r="H101" s="8"/>
      <c r="I101" s="9" t="s">
        <v>187</v>
      </c>
      <c r="J101" s="9" t="s">
        <v>11</v>
      </c>
      <c r="K101" s="9"/>
      <c r="L101" s="9" t="s">
        <v>188</v>
      </c>
      <c r="M101" s="9" t="s">
        <v>28</v>
      </c>
      <c r="N101" s="9"/>
      <c r="O101" s="9" t="s">
        <v>193</v>
      </c>
      <c r="P101" s="9" t="s">
        <v>203</v>
      </c>
      <c r="Q101" s="11"/>
      <c r="R101" s="11">
        <v>40</v>
      </c>
      <c r="S101" s="11">
        <f t="shared" si="9"/>
        <v>40</v>
      </c>
      <c r="T101" s="9"/>
      <c r="U101" s="9" t="s">
        <v>191</v>
      </c>
      <c r="V101" s="9"/>
      <c r="W101" s="12">
        <v>42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2">
        <f t="shared" si="11"/>
        <v>2400000</v>
      </c>
      <c r="AL101" s="161">
        <f t="shared" si="8"/>
        <v>526.41506950872315</v>
      </c>
      <c r="AM101" s="9"/>
      <c r="AN101" s="9"/>
      <c r="AO101" s="9"/>
      <c r="AP101" s="14"/>
    </row>
    <row r="102" spans="1:42" s="45" customFormat="1" ht="22" customHeight="1">
      <c r="A102" s="39" t="s">
        <v>21</v>
      </c>
      <c r="B102" s="8">
        <v>2024</v>
      </c>
      <c r="C102" s="8" t="s">
        <v>8</v>
      </c>
      <c r="D102" s="9" t="s">
        <v>185</v>
      </c>
      <c r="E102" s="9" t="s">
        <v>10</v>
      </c>
      <c r="F102" s="9" t="s">
        <v>186</v>
      </c>
      <c r="G102" s="8"/>
      <c r="H102" s="8"/>
      <c r="I102" s="9" t="s">
        <v>187</v>
      </c>
      <c r="J102" s="9" t="s">
        <v>11</v>
      </c>
      <c r="K102" s="9"/>
      <c r="L102" s="9" t="s">
        <v>188</v>
      </c>
      <c r="M102" s="9" t="s">
        <v>28</v>
      </c>
      <c r="N102" s="9"/>
      <c r="O102" s="9" t="s">
        <v>193</v>
      </c>
      <c r="P102" s="9" t="s">
        <v>204</v>
      </c>
      <c r="Q102" s="11"/>
      <c r="R102" s="11">
        <v>31</v>
      </c>
      <c r="S102" s="11">
        <f t="shared" si="9"/>
        <v>31</v>
      </c>
      <c r="T102" s="9"/>
      <c r="U102" s="9" t="s">
        <v>191</v>
      </c>
      <c r="V102" s="9"/>
      <c r="W102" s="12">
        <v>43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2">
        <f t="shared" si="11"/>
        <v>1860000</v>
      </c>
      <c r="AL102" s="161">
        <f t="shared" si="8"/>
        <v>407.97167886926042</v>
      </c>
      <c r="AM102" s="9"/>
      <c r="AN102" s="9"/>
      <c r="AO102" s="9"/>
      <c r="AP102" s="14"/>
    </row>
    <row r="103" spans="1:42" s="45" customFormat="1" ht="22" customHeight="1">
      <c r="A103" s="39" t="s">
        <v>21</v>
      </c>
      <c r="B103" s="8">
        <v>2024</v>
      </c>
      <c r="C103" s="8" t="s">
        <v>8</v>
      </c>
      <c r="D103" s="9" t="s">
        <v>185</v>
      </c>
      <c r="E103" s="9" t="s">
        <v>10</v>
      </c>
      <c r="F103" s="9" t="s">
        <v>186</v>
      </c>
      <c r="G103" s="8"/>
      <c r="H103" s="8"/>
      <c r="I103" s="9" t="s">
        <v>187</v>
      </c>
      <c r="J103" s="9" t="s">
        <v>11</v>
      </c>
      <c r="K103" s="9"/>
      <c r="L103" s="9" t="s">
        <v>188</v>
      </c>
      <c r="M103" s="9" t="s">
        <v>28</v>
      </c>
      <c r="N103" s="9"/>
      <c r="O103" s="9" t="s">
        <v>193</v>
      </c>
      <c r="P103" s="9" t="s">
        <v>205</v>
      </c>
      <c r="Q103" s="11"/>
      <c r="R103" s="11">
        <v>19</v>
      </c>
      <c r="S103" s="11">
        <f t="shared" si="9"/>
        <v>19</v>
      </c>
      <c r="T103" s="9"/>
      <c r="U103" s="9" t="s">
        <v>191</v>
      </c>
      <c r="V103" s="9"/>
      <c r="W103" s="12">
        <v>44</v>
      </c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2">
        <f t="shared" si="11"/>
        <v>1140000</v>
      </c>
      <c r="AL103" s="161">
        <f t="shared" si="8"/>
        <v>250.04715801664346</v>
      </c>
      <c r="AM103" s="9"/>
      <c r="AN103" s="9"/>
      <c r="AO103" s="9"/>
      <c r="AP103" s="14"/>
    </row>
    <row r="104" spans="1:42" s="45" customFormat="1" ht="22" customHeight="1">
      <c r="A104" s="39" t="s">
        <v>19</v>
      </c>
      <c r="B104" s="8">
        <v>2024</v>
      </c>
      <c r="C104" s="8" t="s">
        <v>8</v>
      </c>
      <c r="D104" s="9" t="s">
        <v>185</v>
      </c>
      <c r="E104" s="9" t="s">
        <v>15</v>
      </c>
      <c r="F104" s="9" t="s">
        <v>186</v>
      </c>
      <c r="G104" s="8"/>
      <c r="H104" s="8"/>
      <c r="I104" s="9" t="s">
        <v>187</v>
      </c>
      <c r="J104" s="9" t="s">
        <v>11</v>
      </c>
      <c r="K104" s="9"/>
      <c r="L104" s="9" t="s">
        <v>188</v>
      </c>
      <c r="M104" s="9" t="s">
        <v>28</v>
      </c>
      <c r="N104" s="9"/>
      <c r="O104" s="9" t="s">
        <v>189</v>
      </c>
      <c r="P104" s="9" t="s">
        <v>190</v>
      </c>
      <c r="Q104" s="11">
        <v>15</v>
      </c>
      <c r="R104" s="11"/>
      <c r="S104" s="11">
        <f t="shared" si="9"/>
        <v>15</v>
      </c>
      <c r="T104" s="9"/>
      <c r="U104" s="9" t="s">
        <v>191</v>
      </c>
      <c r="V104" s="9"/>
      <c r="W104" s="12">
        <v>30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2">
        <f>+S104*21000</f>
        <v>315000</v>
      </c>
      <c r="AL104" s="161">
        <f t="shared" si="8"/>
        <v>69.0919778730199</v>
      </c>
      <c r="AM104" s="9"/>
      <c r="AN104" s="9"/>
      <c r="AO104" s="9"/>
      <c r="AP104" s="14"/>
    </row>
    <row r="105" spans="1:42" s="45" customFormat="1" ht="22" customHeight="1">
      <c r="A105" s="39" t="s">
        <v>19</v>
      </c>
      <c r="B105" s="8">
        <v>2024</v>
      </c>
      <c r="C105" s="8" t="s">
        <v>8</v>
      </c>
      <c r="D105" s="9" t="s">
        <v>185</v>
      </c>
      <c r="E105" s="9" t="s">
        <v>15</v>
      </c>
      <c r="F105" s="9" t="s">
        <v>186</v>
      </c>
      <c r="G105" s="8"/>
      <c r="H105" s="8"/>
      <c r="I105" s="9" t="s">
        <v>187</v>
      </c>
      <c r="J105" s="9" t="s">
        <v>11</v>
      </c>
      <c r="K105" s="9"/>
      <c r="L105" s="9" t="s">
        <v>188</v>
      </c>
      <c r="M105" s="9" t="s">
        <v>28</v>
      </c>
      <c r="N105" s="9"/>
      <c r="O105" s="9" t="s">
        <v>189</v>
      </c>
      <c r="P105" s="9" t="s">
        <v>192</v>
      </c>
      <c r="Q105" s="11">
        <v>17</v>
      </c>
      <c r="R105" s="11"/>
      <c r="S105" s="11">
        <f t="shared" si="9"/>
        <v>17</v>
      </c>
      <c r="T105" s="9"/>
      <c r="U105" s="9" t="s">
        <v>191</v>
      </c>
      <c r="V105" s="9"/>
      <c r="W105" s="12">
        <v>30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2">
        <f t="shared" ref="AK105:AK118" si="12">+S105*21000</f>
        <v>357000</v>
      </c>
      <c r="AL105" s="161">
        <f t="shared" si="8"/>
        <v>78.30424158942256</v>
      </c>
      <c r="AM105" s="9"/>
      <c r="AN105" s="9"/>
      <c r="AO105" s="9"/>
      <c r="AP105" s="14"/>
    </row>
    <row r="106" spans="1:42" s="45" customFormat="1" ht="22" customHeight="1">
      <c r="A106" s="39" t="s">
        <v>19</v>
      </c>
      <c r="B106" s="8">
        <v>2024</v>
      </c>
      <c r="C106" s="8" t="s">
        <v>8</v>
      </c>
      <c r="D106" s="9" t="s">
        <v>185</v>
      </c>
      <c r="E106" s="9" t="s">
        <v>15</v>
      </c>
      <c r="F106" s="9" t="s">
        <v>186</v>
      </c>
      <c r="G106" s="8"/>
      <c r="H106" s="8"/>
      <c r="I106" s="9" t="s">
        <v>187</v>
      </c>
      <c r="J106" s="9" t="s">
        <v>11</v>
      </c>
      <c r="K106" s="9"/>
      <c r="L106" s="9" t="s">
        <v>188</v>
      </c>
      <c r="M106" s="9" t="s">
        <v>28</v>
      </c>
      <c r="N106" s="9"/>
      <c r="O106" s="9" t="s">
        <v>193</v>
      </c>
      <c r="P106" s="9" t="s">
        <v>194</v>
      </c>
      <c r="Q106" s="11">
        <v>37</v>
      </c>
      <c r="R106" s="11"/>
      <c r="S106" s="11">
        <f t="shared" si="9"/>
        <v>37</v>
      </c>
      <c r="T106" s="9"/>
      <c r="U106" s="9" t="s">
        <v>191</v>
      </c>
      <c r="V106" s="9"/>
      <c r="W106" s="12">
        <v>30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2">
        <f t="shared" si="12"/>
        <v>777000</v>
      </c>
      <c r="AL106" s="161">
        <f t="shared" si="8"/>
        <v>170.4268787534491</v>
      </c>
      <c r="AM106" s="9"/>
      <c r="AN106" s="9"/>
      <c r="AO106" s="9"/>
      <c r="AP106" s="14"/>
    </row>
    <row r="107" spans="1:42" s="45" customFormat="1" ht="22" customHeight="1">
      <c r="A107" s="39" t="s">
        <v>19</v>
      </c>
      <c r="B107" s="8">
        <v>2024</v>
      </c>
      <c r="C107" s="8" t="s">
        <v>8</v>
      </c>
      <c r="D107" s="9" t="s">
        <v>185</v>
      </c>
      <c r="E107" s="9" t="s">
        <v>15</v>
      </c>
      <c r="F107" s="9" t="s">
        <v>186</v>
      </c>
      <c r="G107" s="8"/>
      <c r="H107" s="8"/>
      <c r="I107" s="9" t="s">
        <v>187</v>
      </c>
      <c r="J107" s="9" t="s">
        <v>11</v>
      </c>
      <c r="K107" s="9"/>
      <c r="L107" s="9" t="s">
        <v>188</v>
      </c>
      <c r="M107" s="9" t="s">
        <v>28</v>
      </c>
      <c r="N107" s="9"/>
      <c r="O107" s="9" t="s">
        <v>193</v>
      </c>
      <c r="P107" s="9" t="s">
        <v>195</v>
      </c>
      <c r="Q107" s="11">
        <v>52</v>
      </c>
      <c r="R107" s="11"/>
      <c r="S107" s="11">
        <f t="shared" si="9"/>
        <v>52</v>
      </c>
      <c r="T107" s="9"/>
      <c r="U107" s="9" t="s">
        <v>191</v>
      </c>
      <c r="V107" s="9"/>
      <c r="W107" s="12">
        <v>30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2">
        <f t="shared" si="12"/>
        <v>1092000</v>
      </c>
      <c r="AL107" s="161">
        <f t="shared" si="8"/>
        <v>239.51885662646902</v>
      </c>
      <c r="AM107" s="9"/>
      <c r="AN107" s="9"/>
      <c r="AO107" s="9"/>
      <c r="AP107" s="14"/>
    </row>
    <row r="108" spans="1:42" s="45" customFormat="1" ht="22" customHeight="1">
      <c r="A108" s="39" t="s">
        <v>19</v>
      </c>
      <c r="B108" s="8">
        <v>2024</v>
      </c>
      <c r="C108" s="8" t="s">
        <v>8</v>
      </c>
      <c r="D108" s="9" t="s">
        <v>185</v>
      </c>
      <c r="E108" s="9" t="s">
        <v>15</v>
      </c>
      <c r="F108" s="9" t="s">
        <v>186</v>
      </c>
      <c r="G108" s="8"/>
      <c r="H108" s="8"/>
      <c r="I108" s="9" t="s">
        <v>187</v>
      </c>
      <c r="J108" s="9" t="s">
        <v>11</v>
      </c>
      <c r="K108" s="9"/>
      <c r="L108" s="9" t="s">
        <v>188</v>
      </c>
      <c r="M108" s="9" t="s">
        <v>28</v>
      </c>
      <c r="N108" s="9"/>
      <c r="O108" s="9" t="s">
        <v>193</v>
      </c>
      <c r="P108" s="9" t="s">
        <v>196</v>
      </c>
      <c r="Q108" s="11">
        <v>3</v>
      </c>
      <c r="R108" s="11"/>
      <c r="S108" s="11">
        <f t="shared" si="9"/>
        <v>3</v>
      </c>
      <c r="T108" s="9"/>
      <c r="U108" s="9" t="s">
        <v>191</v>
      </c>
      <c r="V108" s="9"/>
      <c r="W108" s="12">
        <v>30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2">
        <f t="shared" si="12"/>
        <v>63000</v>
      </c>
      <c r="AL108" s="161">
        <f t="shared" si="8"/>
        <v>13.818395574603981</v>
      </c>
      <c r="AM108" s="9"/>
      <c r="AN108" s="9"/>
      <c r="AO108" s="9"/>
      <c r="AP108" s="14"/>
    </row>
    <row r="109" spans="1:42" s="45" customFormat="1" ht="22" customHeight="1">
      <c r="A109" s="39" t="s">
        <v>19</v>
      </c>
      <c r="B109" s="8">
        <v>2024</v>
      </c>
      <c r="C109" s="8" t="s">
        <v>8</v>
      </c>
      <c r="D109" s="9" t="s">
        <v>185</v>
      </c>
      <c r="E109" s="9" t="s">
        <v>15</v>
      </c>
      <c r="F109" s="9" t="s">
        <v>186</v>
      </c>
      <c r="G109" s="8"/>
      <c r="H109" s="8"/>
      <c r="I109" s="9" t="s">
        <v>187</v>
      </c>
      <c r="J109" s="9" t="s">
        <v>11</v>
      </c>
      <c r="K109" s="9"/>
      <c r="L109" s="9" t="s">
        <v>188</v>
      </c>
      <c r="M109" s="9" t="s">
        <v>28</v>
      </c>
      <c r="N109" s="9"/>
      <c r="O109" s="9" t="s">
        <v>193</v>
      </c>
      <c r="P109" s="9" t="s">
        <v>197</v>
      </c>
      <c r="Q109" s="11">
        <v>25</v>
      </c>
      <c r="R109" s="11"/>
      <c r="S109" s="11">
        <f t="shared" si="9"/>
        <v>25</v>
      </c>
      <c r="T109" s="9"/>
      <c r="U109" s="9" t="s">
        <v>191</v>
      </c>
      <c r="V109" s="9"/>
      <c r="W109" s="12">
        <v>30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2">
        <f t="shared" si="12"/>
        <v>525000</v>
      </c>
      <c r="AL109" s="161">
        <f t="shared" si="8"/>
        <v>115.15329645503317</v>
      </c>
      <c r="AM109" s="9"/>
      <c r="AN109" s="9"/>
      <c r="AO109" s="9"/>
      <c r="AP109" s="14"/>
    </row>
    <row r="110" spans="1:42" s="45" customFormat="1" ht="22" customHeight="1">
      <c r="A110" s="39" t="s">
        <v>19</v>
      </c>
      <c r="B110" s="8">
        <v>2024</v>
      </c>
      <c r="C110" s="8" t="s">
        <v>8</v>
      </c>
      <c r="D110" s="9" t="s">
        <v>185</v>
      </c>
      <c r="E110" s="9" t="s">
        <v>15</v>
      </c>
      <c r="F110" s="9" t="s">
        <v>186</v>
      </c>
      <c r="G110" s="8"/>
      <c r="H110" s="8"/>
      <c r="I110" s="9" t="s">
        <v>187</v>
      </c>
      <c r="J110" s="9" t="s">
        <v>11</v>
      </c>
      <c r="K110" s="9"/>
      <c r="L110" s="9" t="s">
        <v>188</v>
      </c>
      <c r="M110" s="9" t="s">
        <v>28</v>
      </c>
      <c r="N110" s="9"/>
      <c r="O110" s="9" t="s">
        <v>193</v>
      </c>
      <c r="P110" s="9" t="s">
        <v>198</v>
      </c>
      <c r="Q110" s="11">
        <v>25</v>
      </c>
      <c r="R110" s="11"/>
      <c r="S110" s="11">
        <f t="shared" si="9"/>
        <v>25</v>
      </c>
      <c r="T110" s="9"/>
      <c r="U110" s="9" t="s">
        <v>191</v>
      </c>
      <c r="V110" s="9"/>
      <c r="W110" s="12">
        <v>30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2">
        <f t="shared" si="12"/>
        <v>525000</v>
      </c>
      <c r="AL110" s="161">
        <f t="shared" si="8"/>
        <v>115.15329645503317</v>
      </c>
      <c r="AM110" s="9"/>
      <c r="AN110" s="9"/>
      <c r="AO110" s="9"/>
      <c r="AP110" s="14"/>
    </row>
    <row r="111" spans="1:42" s="45" customFormat="1" ht="22" customHeight="1">
      <c r="A111" s="39" t="s">
        <v>19</v>
      </c>
      <c r="B111" s="8">
        <v>2024</v>
      </c>
      <c r="C111" s="8" t="s">
        <v>8</v>
      </c>
      <c r="D111" s="9" t="s">
        <v>185</v>
      </c>
      <c r="E111" s="9" t="s">
        <v>15</v>
      </c>
      <c r="F111" s="9" t="s">
        <v>186</v>
      </c>
      <c r="G111" s="8"/>
      <c r="H111" s="8"/>
      <c r="I111" s="9" t="s">
        <v>187</v>
      </c>
      <c r="J111" s="9" t="s">
        <v>11</v>
      </c>
      <c r="K111" s="9"/>
      <c r="L111" s="9" t="s">
        <v>188</v>
      </c>
      <c r="M111" s="9" t="s">
        <v>28</v>
      </c>
      <c r="N111" s="9"/>
      <c r="O111" s="9" t="s">
        <v>193</v>
      </c>
      <c r="P111" s="9" t="s">
        <v>199</v>
      </c>
      <c r="Q111" s="11">
        <v>61</v>
      </c>
      <c r="R111" s="11"/>
      <c r="S111" s="11">
        <f t="shared" si="9"/>
        <v>61</v>
      </c>
      <c r="T111" s="9"/>
      <c r="U111" s="9" t="s">
        <v>191</v>
      </c>
      <c r="V111" s="9"/>
      <c r="W111" s="12">
        <v>30</v>
      </c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2">
        <f t="shared" si="12"/>
        <v>1281000</v>
      </c>
      <c r="AL111" s="161">
        <f t="shared" si="8"/>
        <v>280.97404335028097</v>
      </c>
      <c r="AM111" s="9"/>
      <c r="AN111" s="9"/>
      <c r="AO111" s="9"/>
      <c r="AP111" s="14"/>
    </row>
    <row r="112" spans="1:42" s="45" customFormat="1" ht="22" customHeight="1">
      <c r="A112" s="39" t="s">
        <v>19</v>
      </c>
      <c r="B112" s="8">
        <v>2024</v>
      </c>
      <c r="C112" s="8" t="s">
        <v>8</v>
      </c>
      <c r="D112" s="9" t="s">
        <v>185</v>
      </c>
      <c r="E112" s="9" t="s">
        <v>15</v>
      </c>
      <c r="F112" s="9" t="s">
        <v>186</v>
      </c>
      <c r="G112" s="8"/>
      <c r="H112" s="8"/>
      <c r="I112" s="9" t="s">
        <v>187</v>
      </c>
      <c r="J112" s="9" t="s">
        <v>11</v>
      </c>
      <c r="K112" s="9"/>
      <c r="L112" s="9" t="s">
        <v>188</v>
      </c>
      <c r="M112" s="9" t="s">
        <v>28</v>
      </c>
      <c r="N112" s="9"/>
      <c r="O112" s="9" t="s">
        <v>193</v>
      </c>
      <c r="P112" s="9" t="s">
        <v>200</v>
      </c>
      <c r="Q112" s="11">
        <v>35</v>
      </c>
      <c r="R112" s="11"/>
      <c r="S112" s="11">
        <f t="shared" si="9"/>
        <v>35</v>
      </c>
      <c r="T112" s="9"/>
      <c r="U112" s="9" t="s">
        <v>191</v>
      </c>
      <c r="V112" s="9"/>
      <c r="W112" s="12">
        <v>30</v>
      </c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2">
        <f t="shared" si="12"/>
        <v>735000</v>
      </c>
      <c r="AL112" s="161">
        <f t="shared" si="8"/>
        <v>161.21461503704646</v>
      </c>
      <c r="AM112" s="9"/>
      <c r="AN112" s="9"/>
      <c r="AO112" s="9"/>
      <c r="AP112" s="14"/>
    </row>
    <row r="113" spans="1:42" s="45" customFormat="1" ht="22" customHeight="1">
      <c r="A113" s="39" t="s">
        <v>19</v>
      </c>
      <c r="B113" s="8">
        <v>2024</v>
      </c>
      <c r="C113" s="8" t="s">
        <v>8</v>
      </c>
      <c r="D113" s="9" t="s">
        <v>185</v>
      </c>
      <c r="E113" s="9" t="s">
        <v>15</v>
      </c>
      <c r="F113" s="9" t="s">
        <v>186</v>
      </c>
      <c r="G113" s="8"/>
      <c r="H113" s="8"/>
      <c r="I113" s="9" t="s">
        <v>187</v>
      </c>
      <c r="J113" s="9" t="s">
        <v>11</v>
      </c>
      <c r="K113" s="9"/>
      <c r="L113" s="9" t="s">
        <v>188</v>
      </c>
      <c r="M113" s="9" t="s">
        <v>28</v>
      </c>
      <c r="N113" s="9"/>
      <c r="O113" s="9" t="s">
        <v>193</v>
      </c>
      <c r="P113" s="9" t="s">
        <v>201</v>
      </c>
      <c r="Q113" s="11">
        <v>52</v>
      </c>
      <c r="R113" s="11"/>
      <c r="S113" s="11">
        <f t="shared" si="9"/>
        <v>52</v>
      </c>
      <c r="T113" s="9"/>
      <c r="U113" s="9" t="s">
        <v>191</v>
      </c>
      <c r="V113" s="9"/>
      <c r="W113" s="12">
        <v>30</v>
      </c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2">
        <f t="shared" si="12"/>
        <v>1092000</v>
      </c>
      <c r="AL113" s="161">
        <f t="shared" si="8"/>
        <v>239.51885662646902</v>
      </c>
      <c r="AM113" s="9"/>
      <c r="AN113" s="9"/>
      <c r="AO113" s="9"/>
      <c r="AP113" s="14"/>
    </row>
    <row r="114" spans="1:42" s="45" customFormat="1" ht="22" customHeight="1">
      <c r="A114" s="39" t="s">
        <v>19</v>
      </c>
      <c r="B114" s="8">
        <v>2024</v>
      </c>
      <c r="C114" s="8" t="s">
        <v>8</v>
      </c>
      <c r="D114" s="9" t="s">
        <v>185</v>
      </c>
      <c r="E114" s="9" t="s">
        <v>15</v>
      </c>
      <c r="F114" s="9" t="s">
        <v>186</v>
      </c>
      <c r="G114" s="8"/>
      <c r="H114" s="8"/>
      <c r="I114" s="9" t="s">
        <v>187</v>
      </c>
      <c r="J114" s="9" t="s">
        <v>11</v>
      </c>
      <c r="K114" s="9"/>
      <c r="L114" s="9" t="s">
        <v>188</v>
      </c>
      <c r="M114" s="9" t="s">
        <v>28</v>
      </c>
      <c r="N114" s="9"/>
      <c r="O114" s="9" t="s">
        <v>193</v>
      </c>
      <c r="P114" s="9" t="s">
        <v>202</v>
      </c>
      <c r="Q114" s="11">
        <v>56</v>
      </c>
      <c r="R114" s="11"/>
      <c r="S114" s="11">
        <f t="shared" si="9"/>
        <v>56</v>
      </c>
      <c r="T114" s="9"/>
      <c r="U114" s="9" t="s">
        <v>191</v>
      </c>
      <c r="V114" s="9"/>
      <c r="W114" s="12">
        <v>30</v>
      </c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2">
        <f t="shared" si="12"/>
        <v>1176000</v>
      </c>
      <c r="AL114" s="161">
        <f t="shared" si="8"/>
        <v>257.94338405927431</v>
      </c>
      <c r="AM114" s="9"/>
      <c r="AN114" s="9"/>
      <c r="AO114" s="9"/>
      <c r="AP114" s="14"/>
    </row>
    <row r="115" spans="1:42" s="45" customFormat="1" ht="22" customHeight="1">
      <c r="A115" s="39" t="s">
        <v>19</v>
      </c>
      <c r="B115" s="8">
        <v>2024</v>
      </c>
      <c r="C115" s="8" t="s">
        <v>8</v>
      </c>
      <c r="D115" s="9" t="s">
        <v>185</v>
      </c>
      <c r="E115" s="9" t="s">
        <v>15</v>
      </c>
      <c r="F115" s="9" t="s">
        <v>186</v>
      </c>
      <c r="G115" s="8"/>
      <c r="H115" s="8"/>
      <c r="I115" s="9" t="s">
        <v>187</v>
      </c>
      <c r="J115" s="9" t="s">
        <v>11</v>
      </c>
      <c r="K115" s="9"/>
      <c r="L115" s="9" t="s">
        <v>188</v>
      </c>
      <c r="M115" s="9" t="s">
        <v>28</v>
      </c>
      <c r="N115" s="9"/>
      <c r="O115" s="9" t="s">
        <v>193</v>
      </c>
      <c r="P115" s="9" t="s">
        <v>203</v>
      </c>
      <c r="Q115" s="11">
        <v>33</v>
      </c>
      <c r="R115" s="11"/>
      <c r="S115" s="11">
        <f t="shared" si="9"/>
        <v>33</v>
      </c>
      <c r="T115" s="9"/>
      <c r="U115" s="9" t="s">
        <v>191</v>
      </c>
      <c r="V115" s="9"/>
      <c r="W115" s="12">
        <v>30</v>
      </c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2">
        <f t="shared" si="12"/>
        <v>693000</v>
      </c>
      <c r="AL115" s="161">
        <f t="shared" si="8"/>
        <v>152.00235132064378</v>
      </c>
      <c r="AM115" s="9"/>
      <c r="AN115" s="9"/>
      <c r="AO115" s="9"/>
      <c r="AP115" s="14"/>
    </row>
    <row r="116" spans="1:42" s="45" customFormat="1" ht="22" customHeight="1">
      <c r="A116" s="39" t="s">
        <v>19</v>
      </c>
      <c r="B116" s="8">
        <v>2024</v>
      </c>
      <c r="C116" s="8" t="s">
        <v>8</v>
      </c>
      <c r="D116" s="9" t="s">
        <v>185</v>
      </c>
      <c r="E116" s="9" t="s">
        <v>15</v>
      </c>
      <c r="F116" s="9" t="s">
        <v>186</v>
      </c>
      <c r="G116" s="8"/>
      <c r="H116" s="8"/>
      <c r="I116" s="9" t="s">
        <v>187</v>
      </c>
      <c r="J116" s="9" t="s">
        <v>11</v>
      </c>
      <c r="K116" s="9"/>
      <c r="L116" s="9" t="s">
        <v>188</v>
      </c>
      <c r="M116" s="9" t="s">
        <v>28</v>
      </c>
      <c r="N116" s="9"/>
      <c r="O116" s="9" t="s">
        <v>193</v>
      </c>
      <c r="P116" s="9" t="s">
        <v>204</v>
      </c>
      <c r="Q116" s="11">
        <v>33</v>
      </c>
      <c r="R116" s="11"/>
      <c r="S116" s="11">
        <f t="shared" si="9"/>
        <v>33</v>
      </c>
      <c r="T116" s="9"/>
      <c r="U116" s="9" t="s">
        <v>191</v>
      </c>
      <c r="V116" s="9"/>
      <c r="W116" s="12">
        <v>30</v>
      </c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2">
        <f t="shared" si="12"/>
        <v>693000</v>
      </c>
      <c r="AL116" s="161">
        <f t="shared" si="8"/>
        <v>152.00235132064378</v>
      </c>
      <c r="AM116" s="9"/>
      <c r="AN116" s="9"/>
      <c r="AO116" s="9"/>
      <c r="AP116" s="14"/>
    </row>
    <row r="117" spans="1:42" s="45" customFormat="1" ht="22" customHeight="1">
      <c r="A117" s="39" t="s">
        <v>19</v>
      </c>
      <c r="B117" s="8">
        <v>2024</v>
      </c>
      <c r="C117" s="8" t="s">
        <v>8</v>
      </c>
      <c r="D117" s="9" t="s">
        <v>185</v>
      </c>
      <c r="E117" s="9" t="s">
        <v>15</v>
      </c>
      <c r="F117" s="9" t="s">
        <v>186</v>
      </c>
      <c r="G117" s="8"/>
      <c r="H117" s="8"/>
      <c r="I117" s="9" t="s">
        <v>187</v>
      </c>
      <c r="J117" s="9" t="s">
        <v>11</v>
      </c>
      <c r="K117" s="9"/>
      <c r="L117" s="9" t="s">
        <v>188</v>
      </c>
      <c r="M117" s="9" t="s">
        <v>28</v>
      </c>
      <c r="N117" s="9"/>
      <c r="O117" s="9" t="s">
        <v>193</v>
      </c>
      <c r="P117" s="9" t="s">
        <v>205</v>
      </c>
      <c r="Q117" s="11">
        <v>42</v>
      </c>
      <c r="R117" s="11"/>
      <c r="S117" s="11">
        <f t="shared" si="9"/>
        <v>42</v>
      </c>
      <c r="T117" s="9"/>
      <c r="U117" s="9" t="s">
        <v>191</v>
      </c>
      <c r="V117" s="9"/>
      <c r="W117" s="12">
        <v>30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2">
        <f t="shared" si="12"/>
        <v>882000</v>
      </c>
      <c r="AL117" s="161">
        <f t="shared" si="8"/>
        <v>193.45753804445573</v>
      </c>
      <c r="AM117" s="9"/>
      <c r="AN117" s="9"/>
      <c r="AO117" s="9"/>
      <c r="AP117" s="14"/>
    </row>
    <row r="118" spans="1:42" s="45" customFormat="1" ht="22" customHeight="1">
      <c r="A118" s="39" t="s">
        <v>19</v>
      </c>
      <c r="B118" s="8">
        <v>2024</v>
      </c>
      <c r="C118" s="8" t="s">
        <v>8</v>
      </c>
      <c r="D118" s="9" t="s">
        <v>185</v>
      </c>
      <c r="E118" s="9" t="s">
        <v>10</v>
      </c>
      <c r="F118" s="9" t="s">
        <v>186</v>
      </c>
      <c r="G118" s="8"/>
      <c r="H118" s="8"/>
      <c r="I118" s="9" t="s">
        <v>187</v>
      </c>
      <c r="J118" s="9" t="s">
        <v>11</v>
      </c>
      <c r="K118" s="9"/>
      <c r="L118" s="9" t="s">
        <v>188</v>
      </c>
      <c r="M118" s="9" t="s">
        <v>28</v>
      </c>
      <c r="N118" s="9"/>
      <c r="O118" s="9" t="s">
        <v>189</v>
      </c>
      <c r="P118" s="9" t="s">
        <v>190</v>
      </c>
      <c r="Q118" s="11"/>
      <c r="R118" s="11">
        <v>15</v>
      </c>
      <c r="S118" s="11">
        <f t="shared" si="9"/>
        <v>15</v>
      </c>
      <c r="T118" s="9"/>
      <c r="U118" s="9" t="s">
        <v>191</v>
      </c>
      <c r="V118" s="9"/>
      <c r="W118" s="12">
        <v>31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2">
        <f t="shared" si="12"/>
        <v>315000</v>
      </c>
      <c r="AL118" s="161">
        <f t="shared" si="8"/>
        <v>69.0919778730199</v>
      </c>
      <c r="AM118" s="9"/>
      <c r="AN118" s="9"/>
      <c r="AO118" s="9"/>
      <c r="AP118" s="14"/>
    </row>
    <row r="119" spans="1:42" s="45" customFormat="1" ht="22" customHeight="1">
      <c r="A119" s="39" t="s">
        <v>19</v>
      </c>
      <c r="B119" s="8">
        <v>2024</v>
      </c>
      <c r="C119" s="8" t="s">
        <v>8</v>
      </c>
      <c r="D119" s="9" t="s">
        <v>185</v>
      </c>
      <c r="E119" s="9" t="s">
        <v>10</v>
      </c>
      <c r="F119" s="9" t="s">
        <v>186</v>
      </c>
      <c r="G119" s="8"/>
      <c r="H119" s="8"/>
      <c r="I119" s="9" t="s">
        <v>187</v>
      </c>
      <c r="J119" s="9" t="s">
        <v>11</v>
      </c>
      <c r="K119" s="9"/>
      <c r="L119" s="9" t="s">
        <v>188</v>
      </c>
      <c r="M119" s="9" t="s">
        <v>28</v>
      </c>
      <c r="N119" s="9"/>
      <c r="O119" s="9" t="s">
        <v>189</v>
      </c>
      <c r="P119" s="9" t="s">
        <v>192</v>
      </c>
      <c r="Q119" s="11"/>
      <c r="R119" s="11">
        <v>19</v>
      </c>
      <c r="S119" s="11">
        <f t="shared" si="9"/>
        <v>19</v>
      </c>
      <c r="T119" s="9"/>
      <c r="U119" s="9" t="s">
        <v>191</v>
      </c>
      <c r="V119" s="9"/>
      <c r="W119" s="12">
        <v>32</v>
      </c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2">
        <f>+S119*60000</f>
        <v>1140000</v>
      </c>
      <c r="AL119" s="161">
        <f t="shared" si="8"/>
        <v>250.04715801664346</v>
      </c>
      <c r="AM119" s="9"/>
      <c r="AN119" s="9"/>
      <c r="AO119" s="9"/>
      <c r="AP119" s="14"/>
    </row>
    <row r="120" spans="1:42" s="45" customFormat="1" ht="22" customHeight="1">
      <c r="A120" s="39" t="s">
        <v>19</v>
      </c>
      <c r="B120" s="8">
        <v>2024</v>
      </c>
      <c r="C120" s="8" t="s">
        <v>8</v>
      </c>
      <c r="D120" s="9" t="s">
        <v>185</v>
      </c>
      <c r="E120" s="9" t="s">
        <v>10</v>
      </c>
      <c r="F120" s="9" t="s">
        <v>186</v>
      </c>
      <c r="G120" s="8"/>
      <c r="H120" s="8"/>
      <c r="I120" s="9" t="s">
        <v>187</v>
      </c>
      <c r="J120" s="9" t="s">
        <v>11</v>
      </c>
      <c r="K120" s="9"/>
      <c r="L120" s="9" t="s">
        <v>188</v>
      </c>
      <c r="M120" s="9" t="s">
        <v>28</v>
      </c>
      <c r="N120" s="9"/>
      <c r="O120" s="9" t="s">
        <v>193</v>
      </c>
      <c r="P120" s="9" t="s">
        <v>194</v>
      </c>
      <c r="Q120" s="11"/>
      <c r="R120" s="11">
        <v>31</v>
      </c>
      <c r="S120" s="11">
        <f t="shared" si="9"/>
        <v>31</v>
      </c>
      <c r="T120" s="9"/>
      <c r="U120" s="9" t="s">
        <v>191</v>
      </c>
      <c r="V120" s="9"/>
      <c r="W120" s="12">
        <v>33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2">
        <f t="shared" ref="AK120:AK131" si="13">+S120*60000</f>
        <v>1860000</v>
      </c>
      <c r="AL120" s="161">
        <f t="shared" si="8"/>
        <v>407.97167886926042</v>
      </c>
      <c r="AM120" s="9"/>
      <c r="AN120" s="9"/>
      <c r="AO120" s="9"/>
      <c r="AP120" s="14"/>
    </row>
    <row r="121" spans="1:42" s="45" customFormat="1" ht="22" customHeight="1">
      <c r="A121" s="39" t="s">
        <v>19</v>
      </c>
      <c r="B121" s="8">
        <v>2024</v>
      </c>
      <c r="C121" s="8" t="s">
        <v>8</v>
      </c>
      <c r="D121" s="9" t="s">
        <v>185</v>
      </c>
      <c r="E121" s="9" t="s">
        <v>10</v>
      </c>
      <c r="F121" s="9" t="s">
        <v>186</v>
      </c>
      <c r="G121" s="8"/>
      <c r="H121" s="8"/>
      <c r="I121" s="9" t="s">
        <v>187</v>
      </c>
      <c r="J121" s="9" t="s">
        <v>11</v>
      </c>
      <c r="K121" s="9"/>
      <c r="L121" s="9" t="s">
        <v>188</v>
      </c>
      <c r="M121" s="9" t="s">
        <v>28</v>
      </c>
      <c r="N121" s="9"/>
      <c r="O121" s="9" t="s">
        <v>193</v>
      </c>
      <c r="P121" s="9" t="s">
        <v>195</v>
      </c>
      <c r="Q121" s="11"/>
      <c r="R121" s="11">
        <v>18</v>
      </c>
      <c r="S121" s="11">
        <f t="shared" si="9"/>
        <v>18</v>
      </c>
      <c r="T121" s="9"/>
      <c r="U121" s="9" t="s">
        <v>191</v>
      </c>
      <c r="V121" s="9"/>
      <c r="W121" s="12">
        <v>34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2">
        <f t="shared" si="13"/>
        <v>1080000</v>
      </c>
      <c r="AL121" s="161">
        <f t="shared" si="8"/>
        <v>236.88678127892538</v>
      </c>
      <c r="AM121" s="9"/>
      <c r="AN121" s="9"/>
      <c r="AO121" s="9"/>
      <c r="AP121" s="14"/>
    </row>
    <row r="122" spans="1:42" s="45" customFormat="1" ht="22" customHeight="1">
      <c r="A122" s="39" t="s">
        <v>19</v>
      </c>
      <c r="B122" s="8">
        <v>2024</v>
      </c>
      <c r="C122" s="8" t="s">
        <v>8</v>
      </c>
      <c r="D122" s="9" t="s">
        <v>185</v>
      </c>
      <c r="E122" s="9" t="s">
        <v>10</v>
      </c>
      <c r="F122" s="9" t="s">
        <v>186</v>
      </c>
      <c r="G122" s="8"/>
      <c r="H122" s="8"/>
      <c r="I122" s="9" t="s">
        <v>187</v>
      </c>
      <c r="J122" s="9" t="s">
        <v>11</v>
      </c>
      <c r="K122" s="9"/>
      <c r="L122" s="9" t="s">
        <v>188</v>
      </c>
      <c r="M122" s="9" t="s">
        <v>28</v>
      </c>
      <c r="N122" s="9"/>
      <c r="O122" s="9" t="s">
        <v>193</v>
      </c>
      <c r="P122" s="9" t="s">
        <v>196</v>
      </c>
      <c r="Q122" s="11"/>
      <c r="R122" s="11">
        <v>16</v>
      </c>
      <c r="S122" s="11">
        <f t="shared" si="9"/>
        <v>16</v>
      </c>
      <c r="T122" s="9"/>
      <c r="U122" s="9" t="s">
        <v>191</v>
      </c>
      <c r="V122" s="9"/>
      <c r="W122" s="12">
        <v>35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2">
        <f t="shared" si="13"/>
        <v>960000</v>
      </c>
      <c r="AL122" s="161">
        <f t="shared" si="8"/>
        <v>210.56602780348925</v>
      </c>
      <c r="AM122" s="9"/>
      <c r="AN122" s="9"/>
      <c r="AO122" s="9"/>
      <c r="AP122" s="14"/>
    </row>
    <row r="123" spans="1:42" s="45" customFormat="1" ht="22" customHeight="1">
      <c r="A123" s="39" t="s">
        <v>19</v>
      </c>
      <c r="B123" s="8">
        <v>2024</v>
      </c>
      <c r="C123" s="8" t="s">
        <v>8</v>
      </c>
      <c r="D123" s="9" t="s">
        <v>185</v>
      </c>
      <c r="E123" s="9" t="s">
        <v>10</v>
      </c>
      <c r="F123" s="9" t="s">
        <v>186</v>
      </c>
      <c r="G123" s="8"/>
      <c r="H123" s="8"/>
      <c r="I123" s="9" t="s">
        <v>187</v>
      </c>
      <c r="J123" s="9" t="s">
        <v>11</v>
      </c>
      <c r="K123" s="9"/>
      <c r="L123" s="9" t="s">
        <v>188</v>
      </c>
      <c r="M123" s="9" t="s">
        <v>28</v>
      </c>
      <c r="N123" s="9"/>
      <c r="O123" s="9" t="s">
        <v>193</v>
      </c>
      <c r="P123" s="9" t="s">
        <v>197</v>
      </c>
      <c r="Q123" s="11"/>
      <c r="R123" s="11">
        <v>8</v>
      </c>
      <c r="S123" s="11">
        <f t="shared" si="9"/>
        <v>8</v>
      </c>
      <c r="T123" s="9"/>
      <c r="U123" s="9" t="s">
        <v>191</v>
      </c>
      <c r="V123" s="9"/>
      <c r="W123" s="12">
        <v>36</v>
      </c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2">
        <f t="shared" si="13"/>
        <v>480000</v>
      </c>
      <c r="AL123" s="161">
        <f t="shared" si="8"/>
        <v>105.28301390174462</v>
      </c>
      <c r="AM123" s="9"/>
      <c r="AN123" s="9"/>
      <c r="AO123" s="9"/>
      <c r="AP123" s="14"/>
    </row>
    <row r="124" spans="1:42" s="45" customFormat="1" ht="22" customHeight="1">
      <c r="A124" s="39" t="s">
        <v>19</v>
      </c>
      <c r="B124" s="8">
        <v>2024</v>
      </c>
      <c r="C124" s="8" t="s">
        <v>8</v>
      </c>
      <c r="D124" s="9" t="s">
        <v>185</v>
      </c>
      <c r="E124" s="9" t="s">
        <v>10</v>
      </c>
      <c r="F124" s="9" t="s">
        <v>186</v>
      </c>
      <c r="G124" s="8"/>
      <c r="H124" s="8"/>
      <c r="I124" s="9" t="s">
        <v>187</v>
      </c>
      <c r="J124" s="9" t="s">
        <v>11</v>
      </c>
      <c r="K124" s="9"/>
      <c r="L124" s="9" t="s">
        <v>188</v>
      </c>
      <c r="M124" s="9" t="s">
        <v>28</v>
      </c>
      <c r="N124" s="9"/>
      <c r="O124" s="9" t="s">
        <v>193</v>
      </c>
      <c r="P124" s="9" t="s">
        <v>198</v>
      </c>
      <c r="Q124" s="11"/>
      <c r="R124" s="11">
        <v>13</v>
      </c>
      <c r="S124" s="11">
        <f t="shared" si="9"/>
        <v>13</v>
      </c>
      <c r="T124" s="9"/>
      <c r="U124" s="9" t="s">
        <v>191</v>
      </c>
      <c r="V124" s="9"/>
      <c r="W124" s="12">
        <v>37</v>
      </c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2">
        <f t="shared" si="13"/>
        <v>780000</v>
      </c>
      <c r="AL124" s="161">
        <f t="shared" si="8"/>
        <v>171.084897590335</v>
      </c>
      <c r="AM124" s="9"/>
      <c r="AN124" s="9"/>
      <c r="AO124" s="9"/>
      <c r="AP124" s="14"/>
    </row>
    <row r="125" spans="1:42" s="45" customFormat="1" ht="22" customHeight="1">
      <c r="A125" s="39" t="s">
        <v>19</v>
      </c>
      <c r="B125" s="8">
        <v>2024</v>
      </c>
      <c r="C125" s="8" t="s">
        <v>8</v>
      </c>
      <c r="D125" s="9" t="s">
        <v>185</v>
      </c>
      <c r="E125" s="9" t="s">
        <v>10</v>
      </c>
      <c r="F125" s="9" t="s">
        <v>186</v>
      </c>
      <c r="G125" s="8"/>
      <c r="H125" s="8"/>
      <c r="I125" s="9" t="s">
        <v>187</v>
      </c>
      <c r="J125" s="9" t="s">
        <v>11</v>
      </c>
      <c r="K125" s="9"/>
      <c r="L125" s="9" t="s">
        <v>188</v>
      </c>
      <c r="M125" s="9" t="s">
        <v>28</v>
      </c>
      <c r="N125" s="9"/>
      <c r="O125" s="9" t="s">
        <v>193</v>
      </c>
      <c r="P125" s="9" t="s">
        <v>199</v>
      </c>
      <c r="Q125" s="11"/>
      <c r="R125" s="11">
        <v>38</v>
      </c>
      <c r="S125" s="11">
        <f t="shared" si="9"/>
        <v>38</v>
      </c>
      <c r="T125" s="9"/>
      <c r="U125" s="9" t="s">
        <v>191</v>
      </c>
      <c r="V125" s="9"/>
      <c r="W125" s="12">
        <v>38</v>
      </c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2">
        <f t="shared" si="13"/>
        <v>2280000</v>
      </c>
      <c r="AL125" s="161">
        <f t="shared" si="8"/>
        <v>500.09431603328693</v>
      </c>
      <c r="AM125" s="9"/>
      <c r="AN125" s="9"/>
      <c r="AO125" s="9"/>
      <c r="AP125" s="14"/>
    </row>
    <row r="126" spans="1:42" s="45" customFormat="1" ht="22" customHeight="1">
      <c r="A126" s="39" t="s">
        <v>19</v>
      </c>
      <c r="B126" s="8">
        <v>2024</v>
      </c>
      <c r="C126" s="8" t="s">
        <v>8</v>
      </c>
      <c r="D126" s="9" t="s">
        <v>185</v>
      </c>
      <c r="E126" s="9" t="s">
        <v>10</v>
      </c>
      <c r="F126" s="9" t="s">
        <v>186</v>
      </c>
      <c r="G126" s="8"/>
      <c r="H126" s="8"/>
      <c r="I126" s="9" t="s">
        <v>187</v>
      </c>
      <c r="J126" s="9" t="s">
        <v>11</v>
      </c>
      <c r="K126" s="9"/>
      <c r="L126" s="9" t="s">
        <v>188</v>
      </c>
      <c r="M126" s="9" t="s">
        <v>28</v>
      </c>
      <c r="N126" s="9"/>
      <c r="O126" s="9" t="s">
        <v>193</v>
      </c>
      <c r="P126" s="9" t="s">
        <v>200</v>
      </c>
      <c r="Q126" s="11"/>
      <c r="R126" s="11">
        <v>25</v>
      </c>
      <c r="S126" s="11">
        <f t="shared" si="9"/>
        <v>25</v>
      </c>
      <c r="T126" s="9"/>
      <c r="U126" s="9" t="s">
        <v>191</v>
      </c>
      <c r="V126" s="9"/>
      <c r="W126" s="12">
        <v>39</v>
      </c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2">
        <f t="shared" si="13"/>
        <v>1500000</v>
      </c>
      <c r="AL126" s="161">
        <f t="shared" si="8"/>
        <v>329.00941844295193</v>
      </c>
      <c r="AM126" s="9"/>
      <c r="AN126" s="9"/>
      <c r="AO126" s="9"/>
      <c r="AP126" s="14"/>
    </row>
    <row r="127" spans="1:42" s="45" customFormat="1" ht="22" customHeight="1">
      <c r="A127" s="39" t="s">
        <v>19</v>
      </c>
      <c r="B127" s="8">
        <v>2024</v>
      </c>
      <c r="C127" s="8" t="s">
        <v>8</v>
      </c>
      <c r="D127" s="9" t="s">
        <v>185</v>
      </c>
      <c r="E127" s="9" t="s">
        <v>10</v>
      </c>
      <c r="F127" s="9" t="s">
        <v>186</v>
      </c>
      <c r="G127" s="8"/>
      <c r="H127" s="8"/>
      <c r="I127" s="9" t="s">
        <v>187</v>
      </c>
      <c r="J127" s="9" t="s">
        <v>11</v>
      </c>
      <c r="K127" s="9"/>
      <c r="L127" s="9" t="s">
        <v>188</v>
      </c>
      <c r="M127" s="9" t="s">
        <v>28</v>
      </c>
      <c r="N127" s="9"/>
      <c r="O127" s="9" t="s">
        <v>193</v>
      </c>
      <c r="P127" s="9" t="s">
        <v>201</v>
      </c>
      <c r="Q127" s="11"/>
      <c r="R127" s="11">
        <v>45</v>
      </c>
      <c r="S127" s="11">
        <f t="shared" si="9"/>
        <v>45</v>
      </c>
      <c r="T127" s="9"/>
      <c r="U127" s="9" t="s">
        <v>191</v>
      </c>
      <c r="V127" s="9"/>
      <c r="W127" s="12">
        <v>40</v>
      </c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2">
        <f t="shared" si="13"/>
        <v>2700000</v>
      </c>
      <c r="AL127" s="161">
        <f t="shared" si="8"/>
        <v>592.2169531973135</v>
      </c>
      <c r="AM127" s="9"/>
      <c r="AN127" s="9"/>
      <c r="AO127" s="9"/>
      <c r="AP127" s="14"/>
    </row>
    <row r="128" spans="1:42" s="45" customFormat="1" ht="22" customHeight="1">
      <c r="A128" s="39" t="s">
        <v>19</v>
      </c>
      <c r="B128" s="8">
        <v>2024</v>
      </c>
      <c r="C128" s="8" t="s">
        <v>8</v>
      </c>
      <c r="D128" s="9" t="s">
        <v>185</v>
      </c>
      <c r="E128" s="9" t="s">
        <v>10</v>
      </c>
      <c r="F128" s="9" t="s">
        <v>186</v>
      </c>
      <c r="G128" s="8"/>
      <c r="H128" s="8"/>
      <c r="I128" s="9" t="s">
        <v>187</v>
      </c>
      <c r="J128" s="9" t="s">
        <v>11</v>
      </c>
      <c r="K128" s="9"/>
      <c r="L128" s="9" t="s">
        <v>188</v>
      </c>
      <c r="M128" s="9" t="s">
        <v>28</v>
      </c>
      <c r="N128" s="9"/>
      <c r="O128" s="9" t="s">
        <v>193</v>
      </c>
      <c r="P128" s="9" t="s">
        <v>202</v>
      </c>
      <c r="Q128" s="11"/>
      <c r="R128" s="11">
        <v>17</v>
      </c>
      <c r="S128" s="11">
        <f t="shared" si="9"/>
        <v>17</v>
      </c>
      <c r="T128" s="9"/>
      <c r="U128" s="9" t="s">
        <v>191</v>
      </c>
      <c r="V128" s="9"/>
      <c r="W128" s="12">
        <v>41</v>
      </c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2">
        <f t="shared" si="13"/>
        <v>1020000</v>
      </c>
      <c r="AL128" s="161">
        <f t="shared" si="8"/>
        <v>223.72640454120733</v>
      </c>
      <c r="AM128" s="9"/>
      <c r="AN128" s="9"/>
      <c r="AO128" s="9"/>
      <c r="AP128" s="14"/>
    </row>
    <row r="129" spans="1:42" s="45" customFormat="1" ht="22" customHeight="1">
      <c r="A129" s="39" t="s">
        <v>19</v>
      </c>
      <c r="B129" s="8">
        <v>2024</v>
      </c>
      <c r="C129" s="8" t="s">
        <v>8</v>
      </c>
      <c r="D129" s="9" t="s">
        <v>185</v>
      </c>
      <c r="E129" s="9" t="s">
        <v>10</v>
      </c>
      <c r="F129" s="9" t="s">
        <v>186</v>
      </c>
      <c r="G129" s="8"/>
      <c r="H129" s="8"/>
      <c r="I129" s="9" t="s">
        <v>187</v>
      </c>
      <c r="J129" s="9" t="s">
        <v>11</v>
      </c>
      <c r="K129" s="9"/>
      <c r="L129" s="9" t="s">
        <v>188</v>
      </c>
      <c r="M129" s="9" t="s">
        <v>28</v>
      </c>
      <c r="N129" s="9"/>
      <c r="O129" s="9" t="s">
        <v>193</v>
      </c>
      <c r="P129" s="9" t="s">
        <v>203</v>
      </c>
      <c r="Q129" s="11"/>
      <c r="R129" s="11">
        <v>40</v>
      </c>
      <c r="S129" s="11">
        <f t="shared" si="9"/>
        <v>40</v>
      </c>
      <c r="T129" s="9"/>
      <c r="U129" s="9" t="s">
        <v>191</v>
      </c>
      <c r="V129" s="9"/>
      <c r="W129" s="12">
        <v>42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2">
        <f t="shared" si="13"/>
        <v>2400000</v>
      </c>
      <c r="AL129" s="161">
        <f t="shared" si="8"/>
        <v>526.41506950872315</v>
      </c>
      <c r="AM129" s="9"/>
      <c r="AN129" s="9"/>
      <c r="AO129" s="9"/>
      <c r="AP129" s="14"/>
    </row>
    <row r="130" spans="1:42" s="45" customFormat="1" ht="22" customHeight="1">
      <c r="A130" s="39" t="s">
        <v>19</v>
      </c>
      <c r="B130" s="8">
        <v>2024</v>
      </c>
      <c r="C130" s="8" t="s">
        <v>8</v>
      </c>
      <c r="D130" s="9" t="s">
        <v>185</v>
      </c>
      <c r="E130" s="9" t="s">
        <v>10</v>
      </c>
      <c r="F130" s="9" t="s">
        <v>186</v>
      </c>
      <c r="G130" s="8"/>
      <c r="H130" s="8"/>
      <c r="I130" s="9" t="s">
        <v>187</v>
      </c>
      <c r="J130" s="9" t="s">
        <v>11</v>
      </c>
      <c r="K130" s="9"/>
      <c r="L130" s="9" t="s">
        <v>188</v>
      </c>
      <c r="M130" s="9" t="s">
        <v>28</v>
      </c>
      <c r="N130" s="9"/>
      <c r="O130" s="9" t="s">
        <v>193</v>
      </c>
      <c r="P130" s="9" t="s">
        <v>204</v>
      </c>
      <c r="Q130" s="11"/>
      <c r="R130" s="11">
        <v>31</v>
      </c>
      <c r="S130" s="11">
        <f t="shared" si="9"/>
        <v>31</v>
      </c>
      <c r="T130" s="9"/>
      <c r="U130" s="9" t="s">
        <v>191</v>
      </c>
      <c r="V130" s="9"/>
      <c r="W130" s="12">
        <v>43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2">
        <f t="shared" si="13"/>
        <v>1860000</v>
      </c>
      <c r="AL130" s="161">
        <f t="shared" si="8"/>
        <v>407.97167886926042</v>
      </c>
      <c r="AM130" s="9"/>
      <c r="AN130" s="9"/>
      <c r="AO130" s="9"/>
      <c r="AP130" s="14"/>
    </row>
    <row r="131" spans="1:42" s="45" customFormat="1" ht="22" customHeight="1">
      <c r="A131" s="39" t="s">
        <v>19</v>
      </c>
      <c r="B131" s="8">
        <v>2024</v>
      </c>
      <c r="C131" s="8" t="s">
        <v>8</v>
      </c>
      <c r="D131" s="9" t="s">
        <v>185</v>
      </c>
      <c r="E131" s="9" t="s">
        <v>10</v>
      </c>
      <c r="F131" s="9" t="s">
        <v>186</v>
      </c>
      <c r="G131" s="8"/>
      <c r="H131" s="8"/>
      <c r="I131" s="9" t="s">
        <v>187</v>
      </c>
      <c r="J131" s="9" t="s">
        <v>11</v>
      </c>
      <c r="K131" s="9"/>
      <c r="L131" s="9" t="s">
        <v>188</v>
      </c>
      <c r="M131" s="9" t="s">
        <v>28</v>
      </c>
      <c r="N131" s="9"/>
      <c r="O131" s="9" t="s">
        <v>193</v>
      </c>
      <c r="P131" s="9" t="s">
        <v>205</v>
      </c>
      <c r="Q131" s="11"/>
      <c r="R131" s="11">
        <v>19</v>
      </c>
      <c r="S131" s="11">
        <f t="shared" si="9"/>
        <v>19</v>
      </c>
      <c r="T131" s="9"/>
      <c r="U131" s="9" t="s">
        <v>191</v>
      </c>
      <c r="V131" s="9"/>
      <c r="W131" s="12">
        <v>44</v>
      </c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2">
        <f t="shared" si="13"/>
        <v>1140000</v>
      </c>
      <c r="AL131" s="161">
        <f t="shared" si="8"/>
        <v>250.04715801664346</v>
      </c>
      <c r="AM131" s="9"/>
      <c r="AN131" s="9"/>
      <c r="AO131" s="9"/>
      <c r="AP131" s="14"/>
    </row>
    <row r="132" spans="1:42" s="45" customFormat="1" ht="22" customHeight="1">
      <c r="A132" s="39" t="s">
        <v>19</v>
      </c>
      <c r="B132" s="8">
        <v>2024</v>
      </c>
      <c r="C132" s="8" t="s">
        <v>8</v>
      </c>
      <c r="D132" s="9" t="s">
        <v>185</v>
      </c>
      <c r="E132" s="9" t="s">
        <v>15</v>
      </c>
      <c r="F132" s="9" t="s">
        <v>186</v>
      </c>
      <c r="G132" s="8"/>
      <c r="H132" s="8"/>
      <c r="I132" s="9" t="s">
        <v>187</v>
      </c>
      <c r="J132" s="9" t="s">
        <v>11</v>
      </c>
      <c r="K132" s="9"/>
      <c r="L132" s="9" t="s">
        <v>188</v>
      </c>
      <c r="M132" s="9" t="s">
        <v>28</v>
      </c>
      <c r="N132" s="9"/>
      <c r="O132" s="9" t="s">
        <v>189</v>
      </c>
      <c r="P132" s="9" t="s">
        <v>190</v>
      </c>
      <c r="Q132" s="11">
        <v>15</v>
      </c>
      <c r="R132" s="11"/>
      <c r="S132" s="11">
        <f t="shared" ref="S132:S159" si="14">Q132+R132</f>
        <v>15</v>
      </c>
      <c r="T132" s="9"/>
      <c r="U132" s="9" t="s">
        <v>191</v>
      </c>
      <c r="V132" s="9"/>
      <c r="W132" s="12">
        <v>30</v>
      </c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2">
        <f>+S132*21000</f>
        <v>315000</v>
      </c>
      <c r="AL132" s="161">
        <f t="shared" si="8"/>
        <v>69.0919778730199</v>
      </c>
      <c r="AM132" s="9"/>
      <c r="AN132" s="9"/>
      <c r="AO132" s="9"/>
      <c r="AP132" s="14"/>
    </row>
    <row r="133" spans="1:42" s="45" customFormat="1" ht="22" customHeight="1">
      <c r="A133" s="39" t="s">
        <v>19</v>
      </c>
      <c r="B133" s="8">
        <v>2024</v>
      </c>
      <c r="C133" s="8" t="s">
        <v>8</v>
      </c>
      <c r="D133" s="9" t="s">
        <v>185</v>
      </c>
      <c r="E133" s="9" t="s">
        <v>15</v>
      </c>
      <c r="F133" s="9" t="s">
        <v>186</v>
      </c>
      <c r="G133" s="8"/>
      <c r="H133" s="8"/>
      <c r="I133" s="9" t="s">
        <v>187</v>
      </c>
      <c r="J133" s="9" t="s">
        <v>11</v>
      </c>
      <c r="K133" s="9"/>
      <c r="L133" s="9" t="s">
        <v>188</v>
      </c>
      <c r="M133" s="9" t="s">
        <v>28</v>
      </c>
      <c r="N133" s="9"/>
      <c r="O133" s="9" t="s">
        <v>189</v>
      </c>
      <c r="P133" s="9" t="s">
        <v>192</v>
      </c>
      <c r="Q133" s="11">
        <v>17</v>
      </c>
      <c r="R133" s="11"/>
      <c r="S133" s="11">
        <f t="shared" si="14"/>
        <v>17</v>
      </c>
      <c r="T133" s="9"/>
      <c r="U133" s="9" t="s">
        <v>191</v>
      </c>
      <c r="V133" s="9"/>
      <c r="W133" s="12">
        <v>30</v>
      </c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2">
        <f t="shared" ref="AK133:AK146" si="15">+S133*21000</f>
        <v>357000</v>
      </c>
      <c r="AL133" s="161">
        <f t="shared" si="8"/>
        <v>78.30424158942256</v>
      </c>
      <c r="AM133" s="9"/>
      <c r="AN133" s="9"/>
      <c r="AO133" s="9"/>
      <c r="AP133" s="14"/>
    </row>
    <row r="134" spans="1:42" s="45" customFormat="1" ht="22" customHeight="1">
      <c r="A134" s="39" t="s">
        <v>19</v>
      </c>
      <c r="B134" s="8">
        <v>2024</v>
      </c>
      <c r="C134" s="8" t="s">
        <v>8</v>
      </c>
      <c r="D134" s="9" t="s">
        <v>185</v>
      </c>
      <c r="E134" s="9" t="s">
        <v>15</v>
      </c>
      <c r="F134" s="9" t="s">
        <v>186</v>
      </c>
      <c r="G134" s="8"/>
      <c r="H134" s="8"/>
      <c r="I134" s="9" t="s">
        <v>187</v>
      </c>
      <c r="J134" s="9" t="s">
        <v>11</v>
      </c>
      <c r="K134" s="9"/>
      <c r="L134" s="9" t="s">
        <v>188</v>
      </c>
      <c r="M134" s="9" t="s">
        <v>28</v>
      </c>
      <c r="N134" s="9"/>
      <c r="O134" s="9" t="s">
        <v>193</v>
      </c>
      <c r="P134" s="9" t="s">
        <v>194</v>
      </c>
      <c r="Q134" s="11">
        <v>37</v>
      </c>
      <c r="R134" s="11"/>
      <c r="S134" s="11">
        <f t="shared" si="14"/>
        <v>37</v>
      </c>
      <c r="T134" s="9"/>
      <c r="U134" s="9" t="s">
        <v>191</v>
      </c>
      <c r="V134" s="9"/>
      <c r="W134" s="12">
        <v>30</v>
      </c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2">
        <f t="shared" si="15"/>
        <v>777000</v>
      </c>
      <c r="AL134" s="161">
        <f t="shared" si="8"/>
        <v>170.4268787534491</v>
      </c>
      <c r="AM134" s="9"/>
      <c r="AN134" s="9"/>
      <c r="AO134" s="9"/>
      <c r="AP134" s="14"/>
    </row>
    <row r="135" spans="1:42" s="45" customFormat="1" ht="22" customHeight="1">
      <c r="A135" s="39" t="s">
        <v>19</v>
      </c>
      <c r="B135" s="8">
        <v>2024</v>
      </c>
      <c r="C135" s="8" t="s">
        <v>8</v>
      </c>
      <c r="D135" s="9" t="s">
        <v>185</v>
      </c>
      <c r="E135" s="9" t="s">
        <v>15</v>
      </c>
      <c r="F135" s="9" t="s">
        <v>186</v>
      </c>
      <c r="G135" s="8"/>
      <c r="H135" s="8"/>
      <c r="I135" s="9" t="s">
        <v>187</v>
      </c>
      <c r="J135" s="9" t="s">
        <v>11</v>
      </c>
      <c r="K135" s="9"/>
      <c r="L135" s="9" t="s">
        <v>188</v>
      </c>
      <c r="M135" s="9" t="s">
        <v>28</v>
      </c>
      <c r="N135" s="9"/>
      <c r="O135" s="9" t="s">
        <v>193</v>
      </c>
      <c r="P135" s="9" t="s">
        <v>195</v>
      </c>
      <c r="Q135" s="11">
        <v>52</v>
      </c>
      <c r="R135" s="11"/>
      <c r="S135" s="11">
        <f t="shared" si="14"/>
        <v>52</v>
      </c>
      <c r="T135" s="9"/>
      <c r="U135" s="9" t="s">
        <v>191</v>
      </c>
      <c r="V135" s="9"/>
      <c r="W135" s="12">
        <v>30</v>
      </c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2">
        <f t="shared" si="15"/>
        <v>1092000</v>
      </c>
      <c r="AL135" s="161">
        <f t="shared" si="8"/>
        <v>239.51885662646902</v>
      </c>
      <c r="AM135" s="9"/>
      <c r="AN135" s="9"/>
      <c r="AO135" s="9"/>
      <c r="AP135" s="14"/>
    </row>
    <row r="136" spans="1:42" s="45" customFormat="1" ht="22" customHeight="1">
      <c r="A136" s="39" t="s">
        <v>19</v>
      </c>
      <c r="B136" s="8">
        <v>2024</v>
      </c>
      <c r="C136" s="8" t="s">
        <v>8</v>
      </c>
      <c r="D136" s="9" t="s">
        <v>185</v>
      </c>
      <c r="E136" s="9" t="s">
        <v>15</v>
      </c>
      <c r="F136" s="9" t="s">
        <v>186</v>
      </c>
      <c r="G136" s="8"/>
      <c r="H136" s="8"/>
      <c r="I136" s="9" t="s">
        <v>187</v>
      </c>
      <c r="J136" s="9" t="s">
        <v>11</v>
      </c>
      <c r="K136" s="9"/>
      <c r="L136" s="9" t="s">
        <v>188</v>
      </c>
      <c r="M136" s="9" t="s">
        <v>28</v>
      </c>
      <c r="N136" s="9"/>
      <c r="O136" s="9" t="s">
        <v>193</v>
      </c>
      <c r="P136" s="9" t="s">
        <v>196</v>
      </c>
      <c r="Q136" s="11">
        <v>3</v>
      </c>
      <c r="R136" s="11"/>
      <c r="S136" s="11">
        <f t="shared" si="14"/>
        <v>3</v>
      </c>
      <c r="T136" s="9"/>
      <c r="U136" s="9" t="s">
        <v>191</v>
      </c>
      <c r="V136" s="9"/>
      <c r="W136" s="12">
        <v>30</v>
      </c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2">
        <f t="shared" si="15"/>
        <v>63000</v>
      </c>
      <c r="AL136" s="161">
        <f t="shared" si="8"/>
        <v>13.818395574603981</v>
      </c>
      <c r="AM136" s="9"/>
      <c r="AN136" s="9"/>
      <c r="AO136" s="9"/>
      <c r="AP136" s="14"/>
    </row>
    <row r="137" spans="1:42" s="45" customFormat="1" ht="22" customHeight="1">
      <c r="A137" s="39" t="s">
        <v>19</v>
      </c>
      <c r="B137" s="8">
        <v>2024</v>
      </c>
      <c r="C137" s="8" t="s">
        <v>8</v>
      </c>
      <c r="D137" s="9" t="s">
        <v>185</v>
      </c>
      <c r="E137" s="9" t="s">
        <v>15</v>
      </c>
      <c r="F137" s="9" t="s">
        <v>186</v>
      </c>
      <c r="G137" s="8"/>
      <c r="H137" s="8"/>
      <c r="I137" s="9" t="s">
        <v>187</v>
      </c>
      <c r="J137" s="9" t="s">
        <v>11</v>
      </c>
      <c r="K137" s="9"/>
      <c r="L137" s="9" t="s">
        <v>188</v>
      </c>
      <c r="M137" s="9" t="s">
        <v>28</v>
      </c>
      <c r="N137" s="9"/>
      <c r="O137" s="9" t="s">
        <v>193</v>
      </c>
      <c r="P137" s="9" t="s">
        <v>197</v>
      </c>
      <c r="Q137" s="11">
        <v>25</v>
      </c>
      <c r="R137" s="11"/>
      <c r="S137" s="11">
        <f t="shared" si="14"/>
        <v>25</v>
      </c>
      <c r="T137" s="9"/>
      <c r="U137" s="9" t="s">
        <v>191</v>
      </c>
      <c r="V137" s="9"/>
      <c r="W137" s="12">
        <v>30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2">
        <f t="shared" si="15"/>
        <v>525000</v>
      </c>
      <c r="AL137" s="161">
        <f t="shared" si="8"/>
        <v>115.15329645503317</v>
      </c>
      <c r="AM137" s="9"/>
      <c r="AN137" s="9"/>
      <c r="AO137" s="9"/>
      <c r="AP137" s="14"/>
    </row>
    <row r="138" spans="1:42" s="45" customFormat="1" ht="22" customHeight="1">
      <c r="A138" s="39" t="s">
        <v>19</v>
      </c>
      <c r="B138" s="8">
        <v>2024</v>
      </c>
      <c r="C138" s="8" t="s">
        <v>8</v>
      </c>
      <c r="D138" s="9" t="s">
        <v>185</v>
      </c>
      <c r="E138" s="9" t="s">
        <v>15</v>
      </c>
      <c r="F138" s="9" t="s">
        <v>186</v>
      </c>
      <c r="G138" s="8"/>
      <c r="H138" s="8"/>
      <c r="I138" s="9" t="s">
        <v>187</v>
      </c>
      <c r="J138" s="9" t="s">
        <v>11</v>
      </c>
      <c r="K138" s="9"/>
      <c r="L138" s="9" t="s">
        <v>188</v>
      </c>
      <c r="M138" s="9" t="s">
        <v>28</v>
      </c>
      <c r="N138" s="9"/>
      <c r="O138" s="9" t="s">
        <v>193</v>
      </c>
      <c r="P138" s="9" t="s">
        <v>198</v>
      </c>
      <c r="Q138" s="11">
        <v>25</v>
      </c>
      <c r="R138" s="11"/>
      <c r="S138" s="11">
        <f t="shared" si="14"/>
        <v>25</v>
      </c>
      <c r="T138" s="9"/>
      <c r="U138" s="9" t="s">
        <v>191</v>
      </c>
      <c r="V138" s="9"/>
      <c r="W138" s="12">
        <v>30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2">
        <f t="shared" si="15"/>
        <v>525000</v>
      </c>
      <c r="AL138" s="161">
        <f t="shared" ref="AL138:AL159" si="16">AK138/$AL$4</f>
        <v>115.15329645503317</v>
      </c>
      <c r="AM138" s="9"/>
      <c r="AN138" s="9"/>
      <c r="AO138" s="9"/>
      <c r="AP138" s="14"/>
    </row>
    <row r="139" spans="1:42" s="45" customFormat="1" ht="22" customHeight="1">
      <c r="A139" s="39" t="s">
        <v>19</v>
      </c>
      <c r="B139" s="8">
        <v>2024</v>
      </c>
      <c r="C139" s="8" t="s">
        <v>8</v>
      </c>
      <c r="D139" s="9" t="s">
        <v>185</v>
      </c>
      <c r="E139" s="9" t="s">
        <v>15</v>
      </c>
      <c r="F139" s="9" t="s">
        <v>186</v>
      </c>
      <c r="G139" s="8"/>
      <c r="H139" s="8"/>
      <c r="I139" s="9" t="s">
        <v>187</v>
      </c>
      <c r="J139" s="9" t="s">
        <v>11</v>
      </c>
      <c r="K139" s="9"/>
      <c r="L139" s="9" t="s">
        <v>188</v>
      </c>
      <c r="M139" s="9" t="s">
        <v>28</v>
      </c>
      <c r="N139" s="9"/>
      <c r="O139" s="9" t="s">
        <v>193</v>
      </c>
      <c r="P139" s="9" t="s">
        <v>199</v>
      </c>
      <c r="Q139" s="11">
        <v>61</v>
      </c>
      <c r="R139" s="11"/>
      <c r="S139" s="11">
        <f t="shared" si="14"/>
        <v>61</v>
      </c>
      <c r="T139" s="9"/>
      <c r="U139" s="9" t="s">
        <v>191</v>
      </c>
      <c r="V139" s="9"/>
      <c r="W139" s="12">
        <v>30</v>
      </c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2">
        <f t="shared" si="15"/>
        <v>1281000</v>
      </c>
      <c r="AL139" s="161">
        <f t="shared" si="16"/>
        <v>280.97404335028097</v>
      </c>
      <c r="AM139" s="9"/>
      <c r="AN139" s="9"/>
      <c r="AO139" s="9"/>
      <c r="AP139" s="14"/>
    </row>
    <row r="140" spans="1:42" s="45" customFormat="1" ht="22" customHeight="1">
      <c r="A140" s="39" t="s">
        <v>19</v>
      </c>
      <c r="B140" s="8">
        <v>2024</v>
      </c>
      <c r="C140" s="8" t="s">
        <v>8</v>
      </c>
      <c r="D140" s="9" t="s">
        <v>185</v>
      </c>
      <c r="E140" s="9" t="s">
        <v>15</v>
      </c>
      <c r="F140" s="9" t="s">
        <v>186</v>
      </c>
      <c r="G140" s="8"/>
      <c r="H140" s="8"/>
      <c r="I140" s="9" t="s">
        <v>187</v>
      </c>
      <c r="J140" s="9" t="s">
        <v>11</v>
      </c>
      <c r="K140" s="9"/>
      <c r="L140" s="9" t="s">
        <v>188</v>
      </c>
      <c r="M140" s="9" t="s">
        <v>28</v>
      </c>
      <c r="N140" s="9"/>
      <c r="O140" s="9" t="s">
        <v>193</v>
      </c>
      <c r="P140" s="9" t="s">
        <v>200</v>
      </c>
      <c r="Q140" s="11">
        <v>35</v>
      </c>
      <c r="R140" s="11"/>
      <c r="S140" s="11">
        <f t="shared" si="14"/>
        <v>35</v>
      </c>
      <c r="T140" s="9"/>
      <c r="U140" s="9" t="s">
        <v>191</v>
      </c>
      <c r="V140" s="9"/>
      <c r="W140" s="12">
        <v>30</v>
      </c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2">
        <f t="shared" si="15"/>
        <v>735000</v>
      </c>
      <c r="AL140" s="161">
        <f t="shared" si="16"/>
        <v>161.21461503704646</v>
      </c>
      <c r="AM140" s="9"/>
      <c r="AN140" s="9"/>
      <c r="AO140" s="9"/>
      <c r="AP140" s="14"/>
    </row>
    <row r="141" spans="1:42" s="45" customFormat="1" ht="22" customHeight="1">
      <c r="A141" s="39" t="s">
        <v>19</v>
      </c>
      <c r="B141" s="8">
        <v>2024</v>
      </c>
      <c r="C141" s="8" t="s">
        <v>8</v>
      </c>
      <c r="D141" s="9" t="s">
        <v>185</v>
      </c>
      <c r="E141" s="9" t="s">
        <v>15</v>
      </c>
      <c r="F141" s="9" t="s">
        <v>186</v>
      </c>
      <c r="G141" s="8"/>
      <c r="H141" s="8"/>
      <c r="I141" s="9" t="s">
        <v>187</v>
      </c>
      <c r="J141" s="9" t="s">
        <v>11</v>
      </c>
      <c r="K141" s="9"/>
      <c r="L141" s="9" t="s">
        <v>188</v>
      </c>
      <c r="M141" s="9" t="s">
        <v>28</v>
      </c>
      <c r="N141" s="9"/>
      <c r="O141" s="9" t="s">
        <v>193</v>
      </c>
      <c r="P141" s="9" t="s">
        <v>201</v>
      </c>
      <c r="Q141" s="11">
        <v>52</v>
      </c>
      <c r="R141" s="11"/>
      <c r="S141" s="11">
        <f t="shared" si="14"/>
        <v>52</v>
      </c>
      <c r="T141" s="9"/>
      <c r="U141" s="9" t="s">
        <v>191</v>
      </c>
      <c r="V141" s="9"/>
      <c r="W141" s="12">
        <v>30</v>
      </c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2">
        <f t="shared" si="15"/>
        <v>1092000</v>
      </c>
      <c r="AL141" s="161">
        <f t="shared" si="16"/>
        <v>239.51885662646902</v>
      </c>
      <c r="AM141" s="9"/>
      <c r="AN141" s="9"/>
      <c r="AO141" s="9"/>
      <c r="AP141" s="14"/>
    </row>
    <row r="142" spans="1:42" s="45" customFormat="1" ht="22" customHeight="1">
      <c r="A142" s="39" t="s">
        <v>19</v>
      </c>
      <c r="B142" s="8">
        <v>2024</v>
      </c>
      <c r="C142" s="8" t="s">
        <v>8</v>
      </c>
      <c r="D142" s="9" t="s">
        <v>185</v>
      </c>
      <c r="E142" s="9" t="s">
        <v>15</v>
      </c>
      <c r="F142" s="9" t="s">
        <v>186</v>
      </c>
      <c r="G142" s="8"/>
      <c r="H142" s="8"/>
      <c r="I142" s="9" t="s">
        <v>187</v>
      </c>
      <c r="J142" s="9" t="s">
        <v>11</v>
      </c>
      <c r="K142" s="9"/>
      <c r="L142" s="9" t="s">
        <v>188</v>
      </c>
      <c r="M142" s="9" t="s">
        <v>28</v>
      </c>
      <c r="N142" s="9"/>
      <c r="O142" s="9" t="s">
        <v>193</v>
      </c>
      <c r="P142" s="9" t="s">
        <v>202</v>
      </c>
      <c r="Q142" s="11">
        <v>56</v>
      </c>
      <c r="R142" s="11"/>
      <c r="S142" s="11">
        <f t="shared" si="14"/>
        <v>56</v>
      </c>
      <c r="T142" s="9"/>
      <c r="U142" s="9" t="s">
        <v>191</v>
      </c>
      <c r="V142" s="9"/>
      <c r="W142" s="12">
        <v>30</v>
      </c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2">
        <f t="shared" si="15"/>
        <v>1176000</v>
      </c>
      <c r="AL142" s="161">
        <f t="shared" si="16"/>
        <v>257.94338405927431</v>
      </c>
      <c r="AM142" s="9"/>
      <c r="AN142" s="9"/>
      <c r="AO142" s="9"/>
      <c r="AP142" s="14"/>
    </row>
    <row r="143" spans="1:42" s="45" customFormat="1" ht="22" customHeight="1">
      <c r="A143" s="39" t="s">
        <v>19</v>
      </c>
      <c r="B143" s="8">
        <v>2024</v>
      </c>
      <c r="C143" s="8" t="s">
        <v>8</v>
      </c>
      <c r="D143" s="9" t="s">
        <v>185</v>
      </c>
      <c r="E143" s="9" t="s">
        <v>15</v>
      </c>
      <c r="F143" s="9" t="s">
        <v>186</v>
      </c>
      <c r="G143" s="8"/>
      <c r="H143" s="8"/>
      <c r="I143" s="9" t="s">
        <v>187</v>
      </c>
      <c r="J143" s="9" t="s">
        <v>11</v>
      </c>
      <c r="K143" s="9"/>
      <c r="L143" s="9" t="s">
        <v>188</v>
      </c>
      <c r="M143" s="9" t="s">
        <v>28</v>
      </c>
      <c r="N143" s="9"/>
      <c r="O143" s="9" t="s">
        <v>193</v>
      </c>
      <c r="P143" s="9" t="s">
        <v>203</v>
      </c>
      <c r="Q143" s="11">
        <v>33</v>
      </c>
      <c r="R143" s="11"/>
      <c r="S143" s="11">
        <f t="shared" si="14"/>
        <v>33</v>
      </c>
      <c r="T143" s="9"/>
      <c r="U143" s="9" t="s">
        <v>191</v>
      </c>
      <c r="V143" s="9"/>
      <c r="W143" s="12">
        <v>30</v>
      </c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2">
        <f t="shared" si="15"/>
        <v>693000</v>
      </c>
      <c r="AL143" s="161">
        <f t="shared" si="16"/>
        <v>152.00235132064378</v>
      </c>
      <c r="AM143" s="9"/>
      <c r="AN143" s="9"/>
      <c r="AO143" s="9"/>
      <c r="AP143" s="14"/>
    </row>
    <row r="144" spans="1:42" s="45" customFormat="1" ht="22" customHeight="1">
      <c r="A144" s="39" t="s">
        <v>19</v>
      </c>
      <c r="B144" s="8">
        <v>2024</v>
      </c>
      <c r="C144" s="8" t="s">
        <v>8</v>
      </c>
      <c r="D144" s="9" t="s">
        <v>185</v>
      </c>
      <c r="E144" s="9" t="s">
        <v>15</v>
      </c>
      <c r="F144" s="9" t="s">
        <v>186</v>
      </c>
      <c r="G144" s="8"/>
      <c r="H144" s="8"/>
      <c r="I144" s="9" t="s">
        <v>187</v>
      </c>
      <c r="J144" s="9" t="s">
        <v>11</v>
      </c>
      <c r="K144" s="9"/>
      <c r="L144" s="9" t="s">
        <v>188</v>
      </c>
      <c r="M144" s="9" t="s">
        <v>28</v>
      </c>
      <c r="N144" s="9"/>
      <c r="O144" s="9" t="s">
        <v>193</v>
      </c>
      <c r="P144" s="9" t="s">
        <v>204</v>
      </c>
      <c r="Q144" s="11">
        <v>33</v>
      </c>
      <c r="R144" s="11"/>
      <c r="S144" s="11">
        <f t="shared" si="14"/>
        <v>33</v>
      </c>
      <c r="T144" s="9"/>
      <c r="U144" s="9" t="s">
        <v>191</v>
      </c>
      <c r="V144" s="9"/>
      <c r="W144" s="12">
        <v>30</v>
      </c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2">
        <f t="shared" si="15"/>
        <v>693000</v>
      </c>
      <c r="AL144" s="161">
        <f t="shared" si="16"/>
        <v>152.00235132064378</v>
      </c>
      <c r="AM144" s="9"/>
      <c r="AN144" s="9"/>
      <c r="AO144" s="9"/>
      <c r="AP144" s="14"/>
    </row>
    <row r="145" spans="1:42" s="45" customFormat="1" ht="22" customHeight="1">
      <c r="A145" s="39" t="s">
        <v>19</v>
      </c>
      <c r="B145" s="8">
        <v>2024</v>
      </c>
      <c r="C145" s="8" t="s">
        <v>8</v>
      </c>
      <c r="D145" s="9" t="s">
        <v>185</v>
      </c>
      <c r="E145" s="9" t="s">
        <v>15</v>
      </c>
      <c r="F145" s="9" t="s">
        <v>186</v>
      </c>
      <c r="G145" s="8"/>
      <c r="H145" s="8"/>
      <c r="I145" s="9" t="s">
        <v>187</v>
      </c>
      <c r="J145" s="9" t="s">
        <v>11</v>
      </c>
      <c r="K145" s="9"/>
      <c r="L145" s="9" t="s">
        <v>188</v>
      </c>
      <c r="M145" s="9" t="s">
        <v>28</v>
      </c>
      <c r="N145" s="9"/>
      <c r="O145" s="9" t="s">
        <v>193</v>
      </c>
      <c r="P145" s="9" t="s">
        <v>205</v>
      </c>
      <c r="Q145" s="11">
        <v>42</v>
      </c>
      <c r="R145" s="11"/>
      <c r="S145" s="11">
        <f t="shared" si="14"/>
        <v>42</v>
      </c>
      <c r="T145" s="9"/>
      <c r="U145" s="9" t="s">
        <v>191</v>
      </c>
      <c r="V145" s="9"/>
      <c r="W145" s="12">
        <v>30</v>
      </c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2">
        <f t="shared" si="15"/>
        <v>882000</v>
      </c>
      <c r="AL145" s="161">
        <f t="shared" si="16"/>
        <v>193.45753804445573</v>
      </c>
      <c r="AM145" s="9"/>
      <c r="AN145" s="9"/>
      <c r="AO145" s="9"/>
      <c r="AP145" s="14"/>
    </row>
    <row r="146" spans="1:42" s="45" customFormat="1" ht="22" customHeight="1">
      <c r="A146" s="39" t="s">
        <v>19</v>
      </c>
      <c r="B146" s="8">
        <v>2024</v>
      </c>
      <c r="C146" s="8" t="s">
        <v>8</v>
      </c>
      <c r="D146" s="9" t="s">
        <v>185</v>
      </c>
      <c r="E146" s="9" t="s">
        <v>10</v>
      </c>
      <c r="F146" s="9" t="s">
        <v>186</v>
      </c>
      <c r="G146" s="8"/>
      <c r="H146" s="8"/>
      <c r="I146" s="9" t="s">
        <v>187</v>
      </c>
      <c r="J146" s="9" t="s">
        <v>11</v>
      </c>
      <c r="K146" s="9"/>
      <c r="L146" s="9" t="s">
        <v>188</v>
      </c>
      <c r="M146" s="9" t="s">
        <v>28</v>
      </c>
      <c r="N146" s="9"/>
      <c r="O146" s="9" t="s">
        <v>189</v>
      </c>
      <c r="P146" s="9" t="s">
        <v>190</v>
      </c>
      <c r="Q146" s="11"/>
      <c r="R146" s="11">
        <v>15</v>
      </c>
      <c r="S146" s="11">
        <f t="shared" si="14"/>
        <v>15</v>
      </c>
      <c r="T146" s="9"/>
      <c r="U146" s="9" t="s">
        <v>191</v>
      </c>
      <c r="V146" s="9"/>
      <c r="W146" s="12">
        <v>31</v>
      </c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2">
        <f t="shared" si="15"/>
        <v>315000</v>
      </c>
      <c r="AL146" s="161">
        <f t="shared" si="16"/>
        <v>69.0919778730199</v>
      </c>
      <c r="AM146" s="9"/>
      <c r="AN146" s="9"/>
      <c r="AO146" s="9"/>
      <c r="AP146" s="14"/>
    </row>
    <row r="147" spans="1:42" s="45" customFormat="1" ht="22" customHeight="1">
      <c r="A147" s="39" t="s">
        <v>19</v>
      </c>
      <c r="B147" s="8">
        <v>2024</v>
      </c>
      <c r="C147" s="8" t="s">
        <v>8</v>
      </c>
      <c r="D147" s="9" t="s">
        <v>185</v>
      </c>
      <c r="E147" s="9" t="s">
        <v>10</v>
      </c>
      <c r="F147" s="9" t="s">
        <v>186</v>
      </c>
      <c r="G147" s="8"/>
      <c r="H147" s="8"/>
      <c r="I147" s="9" t="s">
        <v>187</v>
      </c>
      <c r="J147" s="9" t="s">
        <v>11</v>
      </c>
      <c r="K147" s="9"/>
      <c r="L147" s="9" t="s">
        <v>188</v>
      </c>
      <c r="M147" s="9" t="s">
        <v>28</v>
      </c>
      <c r="N147" s="9"/>
      <c r="O147" s="9" t="s">
        <v>189</v>
      </c>
      <c r="P147" s="9" t="s">
        <v>192</v>
      </c>
      <c r="Q147" s="11"/>
      <c r="R147" s="11">
        <v>19</v>
      </c>
      <c r="S147" s="11">
        <f t="shared" si="14"/>
        <v>19</v>
      </c>
      <c r="T147" s="9"/>
      <c r="U147" s="9" t="s">
        <v>191</v>
      </c>
      <c r="V147" s="9"/>
      <c r="W147" s="12">
        <v>32</v>
      </c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2">
        <f>+S147*60000</f>
        <v>1140000</v>
      </c>
      <c r="AL147" s="161">
        <f t="shared" si="16"/>
        <v>250.04715801664346</v>
      </c>
      <c r="AM147" s="9"/>
      <c r="AN147" s="9"/>
      <c r="AO147" s="9"/>
      <c r="AP147" s="14"/>
    </row>
    <row r="148" spans="1:42" s="45" customFormat="1" ht="22" customHeight="1">
      <c r="A148" s="39" t="s">
        <v>19</v>
      </c>
      <c r="B148" s="8">
        <v>2024</v>
      </c>
      <c r="C148" s="8" t="s">
        <v>8</v>
      </c>
      <c r="D148" s="9" t="s">
        <v>185</v>
      </c>
      <c r="E148" s="9" t="s">
        <v>10</v>
      </c>
      <c r="F148" s="9" t="s">
        <v>186</v>
      </c>
      <c r="G148" s="8"/>
      <c r="H148" s="8"/>
      <c r="I148" s="9" t="s">
        <v>187</v>
      </c>
      <c r="J148" s="9" t="s">
        <v>11</v>
      </c>
      <c r="K148" s="9"/>
      <c r="L148" s="9" t="s">
        <v>188</v>
      </c>
      <c r="M148" s="9" t="s">
        <v>28</v>
      </c>
      <c r="N148" s="9"/>
      <c r="O148" s="9" t="s">
        <v>193</v>
      </c>
      <c r="P148" s="9" t="s">
        <v>194</v>
      </c>
      <c r="Q148" s="11"/>
      <c r="R148" s="11">
        <v>31</v>
      </c>
      <c r="S148" s="11">
        <f t="shared" si="14"/>
        <v>31</v>
      </c>
      <c r="T148" s="9"/>
      <c r="U148" s="9" t="s">
        <v>191</v>
      </c>
      <c r="V148" s="9"/>
      <c r="W148" s="12">
        <v>33</v>
      </c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2">
        <f t="shared" ref="AK148:AK159" si="17">+S148*60000</f>
        <v>1860000</v>
      </c>
      <c r="AL148" s="161">
        <f t="shared" si="16"/>
        <v>407.97167886926042</v>
      </c>
      <c r="AM148" s="9"/>
      <c r="AN148" s="9"/>
      <c r="AO148" s="9"/>
      <c r="AP148" s="14"/>
    </row>
    <row r="149" spans="1:42" s="45" customFormat="1" ht="22" customHeight="1">
      <c r="A149" s="39" t="s">
        <v>19</v>
      </c>
      <c r="B149" s="8">
        <v>2024</v>
      </c>
      <c r="C149" s="8" t="s">
        <v>8</v>
      </c>
      <c r="D149" s="9" t="s">
        <v>185</v>
      </c>
      <c r="E149" s="9" t="s">
        <v>10</v>
      </c>
      <c r="F149" s="9" t="s">
        <v>186</v>
      </c>
      <c r="G149" s="8"/>
      <c r="H149" s="8"/>
      <c r="I149" s="9" t="s">
        <v>187</v>
      </c>
      <c r="J149" s="9" t="s">
        <v>11</v>
      </c>
      <c r="K149" s="9"/>
      <c r="L149" s="9" t="s">
        <v>188</v>
      </c>
      <c r="M149" s="9" t="s">
        <v>28</v>
      </c>
      <c r="N149" s="9"/>
      <c r="O149" s="9" t="s">
        <v>193</v>
      </c>
      <c r="P149" s="9" t="s">
        <v>195</v>
      </c>
      <c r="Q149" s="11"/>
      <c r="R149" s="11">
        <v>18</v>
      </c>
      <c r="S149" s="11">
        <f t="shared" si="14"/>
        <v>18</v>
      </c>
      <c r="T149" s="9"/>
      <c r="U149" s="9" t="s">
        <v>191</v>
      </c>
      <c r="V149" s="9"/>
      <c r="W149" s="12">
        <v>34</v>
      </c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2">
        <f t="shared" si="17"/>
        <v>1080000</v>
      </c>
      <c r="AL149" s="161">
        <f t="shared" si="16"/>
        <v>236.88678127892538</v>
      </c>
      <c r="AM149" s="9"/>
      <c r="AN149" s="9"/>
      <c r="AO149" s="9"/>
      <c r="AP149" s="14"/>
    </row>
    <row r="150" spans="1:42" s="45" customFormat="1" ht="22" customHeight="1">
      <c r="A150" s="39" t="s">
        <v>19</v>
      </c>
      <c r="B150" s="8">
        <v>2024</v>
      </c>
      <c r="C150" s="8" t="s">
        <v>8</v>
      </c>
      <c r="D150" s="9" t="s">
        <v>185</v>
      </c>
      <c r="E150" s="9" t="s">
        <v>10</v>
      </c>
      <c r="F150" s="9" t="s">
        <v>186</v>
      </c>
      <c r="G150" s="8"/>
      <c r="H150" s="8"/>
      <c r="I150" s="9" t="s">
        <v>187</v>
      </c>
      <c r="J150" s="9" t="s">
        <v>11</v>
      </c>
      <c r="K150" s="9"/>
      <c r="L150" s="9" t="s">
        <v>188</v>
      </c>
      <c r="M150" s="9" t="s">
        <v>28</v>
      </c>
      <c r="N150" s="9"/>
      <c r="O150" s="9" t="s">
        <v>193</v>
      </c>
      <c r="P150" s="9" t="s">
        <v>196</v>
      </c>
      <c r="Q150" s="11"/>
      <c r="R150" s="11">
        <v>16</v>
      </c>
      <c r="S150" s="11">
        <f t="shared" si="14"/>
        <v>16</v>
      </c>
      <c r="T150" s="9"/>
      <c r="U150" s="9" t="s">
        <v>191</v>
      </c>
      <c r="V150" s="9"/>
      <c r="W150" s="12">
        <v>35</v>
      </c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2">
        <f t="shared" si="17"/>
        <v>960000</v>
      </c>
      <c r="AL150" s="161">
        <f t="shared" si="16"/>
        <v>210.56602780348925</v>
      </c>
      <c r="AM150" s="9"/>
      <c r="AN150" s="9"/>
      <c r="AO150" s="9"/>
      <c r="AP150" s="14"/>
    </row>
    <row r="151" spans="1:42" s="45" customFormat="1" ht="22" customHeight="1">
      <c r="A151" s="39" t="s">
        <v>19</v>
      </c>
      <c r="B151" s="8">
        <v>2024</v>
      </c>
      <c r="C151" s="8" t="s">
        <v>8</v>
      </c>
      <c r="D151" s="9" t="s">
        <v>185</v>
      </c>
      <c r="E151" s="9" t="s">
        <v>10</v>
      </c>
      <c r="F151" s="9" t="s">
        <v>186</v>
      </c>
      <c r="G151" s="8"/>
      <c r="H151" s="8"/>
      <c r="I151" s="9" t="s">
        <v>187</v>
      </c>
      <c r="J151" s="9" t="s">
        <v>11</v>
      </c>
      <c r="K151" s="9"/>
      <c r="L151" s="9" t="s">
        <v>188</v>
      </c>
      <c r="M151" s="9" t="s">
        <v>28</v>
      </c>
      <c r="N151" s="9"/>
      <c r="O151" s="9" t="s">
        <v>193</v>
      </c>
      <c r="P151" s="9" t="s">
        <v>197</v>
      </c>
      <c r="Q151" s="11"/>
      <c r="R151" s="11">
        <v>8</v>
      </c>
      <c r="S151" s="11">
        <f t="shared" si="14"/>
        <v>8</v>
      </c>
      <c r="T151" s="9"/>
      <c r="U151" s="9" t="s">
        <v>191</v>
      </c>
      <c r="V151" s="9"/>
      <c r="W151" s="12">
        <v>36</v>
      </c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2">
        <f t="shared" si="17"/>
        <v>480000</v>
      </c>
      <c r="AL151" s="161">
        <f t="shared" si="16"/>
        <v>105.28301390174462</v>
      </c>
      <c r="AM151" s="9"/>
      <c r="AN151" s="9"/>
      <c r="AO151" s="9"/>
      <c r="AP151" s="14"/>
    </row>
    <row r="152" spans="1:42" s="45" customFormat="1" ht="22" customHeight="1">
      <c r="A152" s="39" t="s">
        <v>19</v>
      </c>
      <c r="B152" s="8">
        <v>2024</v>
      </c>
      <c r="C152" s="8" t="s">
        <v>8</v>
      </c>
      <c r="D152" s="9" t="s">
        <v>185</v>
      </c>
      <c r="E152" s="9" t="s">
        <v>10</v>
      </c>
      <c r="F152" s="9" t="s">
        <v>186</v>
      </c>
      <c r="G152" s="8"/>
      <c r="H152" s="8"/>
      <c r="I152" s="9" t="s">
        <v>187</v>
      </c>
      <c r="J152" s="9" t="s">
        <v>11</v>
      </c>
      <c r="K152" s="9"/>
      <c r="L152" s="9" t="s">
        <v>188</v>
      </c>
      <c r="M152" s="9" t="s">
        <v>28</v>
      </c>
      <c r="N152" s="9"/>
      <c r="O152" s="9" t="s">
        <v>193</v>
      </c>
      <c r="P152" s="9" t="s">
        <v>198</v>
      </c>
      <c r="Q152" s="11"/>
      <c r="R152" s="11">
        <v>13</v>
      </c>
      <c r="S152" s="11">
        <f t="shared" si="14"/>
        <v>13</v>
      </c>
      <c r="T152" s="9"/>
      <c r="U152" s="9" t="s">
        <v>191</v>
      </c>
      <c r="V152" s="9"/>
      <c r="W152" s="12">
        <v>37</v>
      </c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2">
        <f t="shared" si="17"/>
        <v>780000</v>
      </c>
      <c r="AL152" s="161">
        <f t="shared" si="16"/>
        <v>171.084897590335</v>
      </c>
      <c r="AM152" s="9"/>
      <c r="AN152" s="9"/>
      <c r="AO152" s="9"/>
      <c r="AP152" s="14"/>
    </row>
    <row r="153" spans="1:42" s="45" customFormat="1" ht="22" customHeight="1">
      <c r="A153" s="39" t="s">
        <v>19</v>
      </c>
      <c r="B153" s="8">
        <v>2024</v>
      </c>
      <c r="C153" s="8" t="s">
        <v>8</v>
      </c>
      <c r="D153" s="9" t="s">
        <v>185</v>
      </c>
      <c r="E153" s="9" t="s">
        <v>10</v>
      </c>
      <c r="F153" s="9" t="s">
        <v>186</v>
      </c>
      <c r="G153" s="8"/>
      <c r="H153" s="8"/>
      <c r="I153" s="9" t="s">
        <v>187</v>
      </c>
      <c r="J153" s="9" t="s">
        <v>11</v>
      </c>
      <c r="K153" s="9"/>
      <c r="L153" s="9" t="s">
        <v>188</v>
      </c>
      <c r="M153" s="9" t="s">
        <v>28</v>
      </c>
      <c r="N153" s="9"/>
      <c r="O153" s="9" t="s">
        <v>193</v>
      </c>
      <c r="P153" s="9" t="s">
        <v>199</v>
      </c>
      <c r="Q153" s="11"/>
      <c r="R153" s="11">
        <v>38</v>
      </c>
      <c r="S153" s="11">
        <f t="shared" si="14"/>
        <v>38</v>
      </c>
      <c r="T153" s="9"/>
      <c r="U153" s="9" t="s">
        <v>191</v>
      </c>
      <c r="V153" s="9"/>
      <c r="W153" s="12">
        <v>38</v>
      </c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2">
        <f t="shared" si="17"/>
        <v>2280000</v>
      </c>
      <c r="AL153" s="161">
        <f t="shared" si="16"/>
        <v>500.09431603328693</v>
      </c>
      <c r="AM153" s="9"/>
      <c r="AN153" s="9"/>
      <c r="AO153" s="9"/>
      <c r="AP153" s="14"/>
    </row>
    <row r="154" spans="1:42" s="45" customFormat="1" ht="22" customHeight="1">
      <c r="A154" s="39" t="s">
        <v>19</v>
      </c>
      <c r="B154" s="8">
        <v>2024</v>
      </c>
      <c r="C154" s="8" t="s">
        <v>8</v>
      </c>
      <c r="D154" s="9" t="s">
        <v>185</v>
      </c>
      <c r="E154" s="9" t="s">
        <v>10</v>
      </c>
      <c r="F154" s="9" t="s">
        <v>186</v>
      </c>
      <c r="G154" s="8"/>
      <c r="H154" s="8"/>
      <c r="I154" s="9" t="s">
        <v>187</v>
      </c>
      <c r="J154" s="9" t="s">
        <v>11</v>
      </c>
      <c r="K154" s="9"/>
      <c r="L154" s="9" t="s">
        <v>188</v>
      </c>
      <c r="M154" s="9" t="s">
        <v>28</v>
      </c>
      <c r="N154" s="9"/>
      <c r="O154" s="9" t="s">
        <v>193</v>
      </c>
      <c r="P154" s="9" t="s">
        <v>200</v>
      </c>
      <c r="Q154" s="11"/>
      <c r="R154" s="11">
        <v>25</v>
      </c>
      <c r="S154" s="11">
        <f t="shared" si="14"/>
        <v>25</v>
      </c>
      <c r="T154" s="9"/>
      <c r="U154" s="9" t="s">
        <v>191</v>
      </c>
      <c r="V154" s="9"/>
      <c r="W154" s="12">
        <v>39</v>
      </c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2">
        <f t="shared" si="17"/>
        <v>1500000</v>
      </c>
      <c r="AL154" s="161">
        <f t="shared" si="16"/>
        <v>329.00941844295193</v>
      </c>
      <c r="AM154" s="9"/>
      <c r="AN154" s="9"/>
      <c r="AO154" s="9"/>
      <c r="AP154" s="14"/>
    </row>
    <row r="155" spans="1:42" s="45" customFormat="1" ht="22" customHeight="1">
      <c r="A155" s="39" t="s">
        <v>19</v>
      </c>
      <c r="B155" s="8">
        <v>2024</v>
      </c>
      <c r="C155" s="8" t="s">
        <v>8</v>
      </c>
      <c r="D155" s="9" t="s">
        <v>185</v>
      </c>
      <c r="E155" s="9" t="s">
        <v>10</v>
      </c>
      <c r="F155" s="9" t="s">
        <v>186</v>
      </c>
      <c r="G155" s="8"/>
      <c r="H155" s="8"/>
      <c r="I155" s="9" t="s">
        <v>187</v>
      </c>
      <c r="J155" s="9" t="s">
        <v>11</v>
      </c>
      <c r="K155" s="9"/>
      <c r="L155" s="9" t="s">
        <v>188</v>
      </c>
      <c r="M155" s="9" t="s">
        <v>28</v>
      </c>
      <c r="N155" s="9"/>
      <c r="O155" s="9" t="s">
        <v>193</v>
      </c>
      <c r="P155" s="9" t="s">
        <v>201</v>
      </c>
      <c r="Q155" s="11"/>
      <c r="R155" s="11">
        <v>45</v>
      </c>
      <c r="S155" s="11">
        <f t="shared" si="14"/>
        <v>45</v>
      </c>
      <c r="T155" s="9"/>
      <c r="U155" s="9" t="s">
        <v>191</v>
      </c>
      <c r="V155" s="9"/>
      <c r="W155" s="12">
        <v>40</v>
      </c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2">
        <f t="shared" si="17"/>
        <v>2700000</v>
      </c>
      <c r="AL155" s="161">
        <f t="shared" si="16"/>
        <v>592.2169531973135</v>
      </c>
      <c r="AM155" s="9"/>
      <c r="AN155" s="9"/>
      <c r="AO155" s="9"/>
      <c r="AP155" s="14"/>
    </row>
    <row r="156" spans="1:42" s="45" customFormat="1" ht="22" customHeight="1">
      <c r="A156" s="39" t="s">
        <v>19</v>
      </c>
      <c r="B156" s="8">
        <v>2024</v>
      </c>
      <c r="C156" s="8" t="s">
        <v>8</v>
      </c>
      <c r="D156" s="9" t="s">
        <v>185</v>
      </c>
      <c r="E156" s="9" t="s">
        <v>10</v>
      </c>
      <c r="F156" s="9" t="s">
        <v>186</v>
      </c>
      <c r="G156" s="8"/>
      <c r="H156" s="8"/>
      <c r="I156" s="9" t="s">
        <v>187</v>
      </c>
      <c r="J156" s="9" t="s">
        <v>11</v>
      </c>
      <c r="K156" s="9"/>
      <c r="L156" s="9" t="s">
        <v>188</v>
      </c>
      <c r="M156" s="9" t="s">
        <v>28</v>
      </c>
      <c r="N156" s="9"/>
      <c r="O156" s="9" t="s">
        <v>193</v>
      </c>
      <c r="P156" s="9" t="s">
        <v>202</v>
      </c>
      <c r="Q156" s="11"/>
      <c r="R156" s="11">
        <v>17</v>
      </c>
      <c r="S156" s="11">
        <f t="shared" si="14"/>
        <v>17</v>
      </c>
      <c r="T156" s="9"/>
      <c r="U156" s="9" t="s">
        <v>191</v>
      </c>
      <c r="V156" s="9"/>
      <c r="W156" s="12">
        <v>41</v>
      </c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2">
        <f t="shared" si="17"/>
        <v>1020000</v>
      </c>
      <c r="AL156" s="161">
        <f t="shared" si="16"/>
        <v>223.72640454120733</v>
      </c>
      <c r="AM156" s="9"/>
      <c r="AN156" s="9"/>
      <c r="AO156" s="9"/>
      <c r="AP156" s="14"/>
    </row>
    <row r="157" spans="1:42" s="45" customFormat="1" ht="22" customHeight="1">
      <c r="A157" s="39" t="s">
        <v>19</v>
      </c>
      <c r="B157" s="8">
        <v>2024</v>
      </c>
      <c r="C157" s="8" t="s">
        <v>8</v>
      </c>
      <c r="D157" s="9" t="s">
        <v>185</v>
      </c>
      <c r="E157" s="9" t="s">
        <v>10</v>
      </c>
      <c r="F157" s="9" t="s">
        <v>186</v>
      </c>
      <c r="G157" s="8"/>
      <c r="H157" s="8"/>
      <c r="I157" s="9" t="s">
        <v>187</v>
      </c>
      <c r="J157" s="9" t="s">
        <v>11</v>
      </c>
      <c r="K157" s="9"/>
      <c r="L157" s="9" t="s">
        <v>188</v>
      </c>
      <c r="M157" s="9" t="s">
        <v>28</v>
      </c>
      <c r="N157" s="9"/>
      <c r="O157" s="9" t="s">
        <v>193</v>
      </c>
      <c r="P157" s="9" t="s">
        <v>203</v>
      </c>
      <c r="Q157" s="11"/>
      <c r="R157" s="11">
        <v>40</v>
      </c>
      <c r="S157" s="11">
        <f t="shared" si="14"/>
        <v>40</v>
      </c>
      <c r="T157" s="9"/>
      <c r="U157" s="9" t="s">
        <v>191</v>
      </c>
      <c r="V157" s="9"/>
      <c r="W157" s="12">
        <v>42</v>
      </c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2">
        <f t="shared" si="17"/>
        <v>2400000</v>
      </c>
      <c r="AL157" s="161">
        <f t="shared" si="16"/>
        <v>526.41506950872315</v>
      </c>
      <c r="AM157" s="9"/>
      <c r="AN157" s="9"/>
      <c r="AO157" s="9"/>
      <c r="AP157" s="14"/>
    </row>
    <row r="158" spans="1:42" s="45" customFormat="1" ht="22" customHeight="1">
      <c r="A158" s="39" t="s">
        <v>19</v>
      </c>
      <c r="B158" s="8">
        <v>2024</v>
      </c>
      <c r="C158" s="8" t="s">
        <v>8</v>
      </c>
      <c r="D158" s="9" t="s">
        <v>185</v>
      </c>
      <c r="E158" s="9" t="s">
        <v>10</v>
      </c>
      <c r="F158" s="9" t="s">
        <v>186</v>
      </c>
      <c r="G158" s="8"/>
      <c r="H158" s="8"/>
      <c r="I158" s="9" t="s">
        <v>187</v>
      </c>
      <c r="J158" s="9" t="s">
        <v>11</v>
      </c>
      <c r="K158" s="9"/>
      <c r="L158" s="9" t="s">
        <v>188</v>
      </c>
      <c r="M158" s="9" t="s">
        <v>28</v>
      </c>
      <c r="N158" s="9"/>
      <c r="O158" s="9" t="s">
        <v>193</v>
      </c>
      <c r="P158" s="9" t="s">
        <v>204</v>
      </c>
      <c r="Q158" s="11"/>
      <c r="R158" s="11">
        <v>31</v>
      </c>
      <c r="S158" s="11">
        <f t="shared" si="14"/>
        <v>31</v>
      </c>
      <c r="T158" s="9"/>
      <c r="U158" s="9" t="s">
        <v>191</v>
      </c>
      <c r="V158" s="9"/>
      <c r="W158" s="12">
        <v>43</v>
      </c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2">
        <f t="shared" si="17"/>
        <v>1860000</v>
      </c>
      <c r="AL158" s="161">
        <f t="shared" si="16"/>
        <v>407.97167886926042</v>
      </c>
      <c r="AM158" s="9"/>
      <c r="AN158" s="9"/>
      <c r="AO158" s="9"/>
      <c r="AP158" s="14"/>
    </row>
    <row r="159" spans="1:42" s="45" customFormat="1" ht="22" customHeight="1">
      <c r="A159" s="39" t="s">
        <v>19</v>
      </c>
      <c r="B159" s="8">
        <v>2024</v>
      </c>
      <c r="C159" s="8" t="s">
        <v>8</v>
      </c>
      <c r="D159" s="9" t="s">
        <v>185</v>
      </c>
      <c r="E159" s="9" t="s">
        <v>10</v>
      </c>
      <c r="F159" s="9" t="s">
        <v>186</v>
      </c>
      <c r="G159" s="8"/>
      <c r="H159" s="8"/>
      <c r="I159" s="9" t="s">
        <v>187</v>
      </c>
      <c r="J159" s="9" t="s">
        <v>11</v>
      </c>
      <c r="K159" s="9"/>
      <c r="L159" s="9" t="s">
        <v>188</v>
      </c>
      <c r="M159" s="9" t="s">
        <v>28</v>
      </c>
      <c r="N159" s="9"/>
      <c r="O159" s="9" t="s">
        <v>193</v>
      </c>
      <c r="P159" s="9" t="s">
        <v>205</v>
      </c>
      <c r="Q159" s="11"/>
      <c r="R159" s="11">
        <v>19</v>
      </c>
      <c r="S159" s="11">
        <f t="shared" si="14"/>
        <v>19</v>
      </c>
      <c r="T159" s="9"/>
      <c r="U159" s="9" t="s">
        <v>191</v>
      </c>
      <c r="V159" s="9"/>
      <c r="W159" s="12">
        <v>44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2">
        <f t="shared" si="17"/>
        <v>1140000</v>
      </c>
      <c r="AL159" s="161">
        <f t="shared" si="16"/>
        <v>250.04715801664346</v>
      </c>
      <c r="AM159" s="9"/>
      <c r="AN159" s="9"/>
      <c r="AO159" s="9"/>
      <c r="AP159" s="14"/>
    </row>
    <row r="160" spans="1:42" s="14" customFormat="1" ht="22" customHeight="1">
      <c r="A160" s="14" t="s">
        <v>17</v>
      </c>
      <c r="B160" s="15">
        <v>2024</v>
      </c>
      <c r="C160" s="15" t="s">
        <v>24</v>
      </c>
      <c r="D160" s="14" t="s">
        <v>206</v>
      </c>
      <c r="E160" s="14" t="s">
        <v>25</v>
      </c>
      <c r="F160" s="16" t="s">
        <v>207</v>
      </c>
      <c r="G160" s="14">
        <v>1</v>
      </c>
      <c r="I160" s="14" t="s">
        <v>78</v>
      </c>
      <c r="J160" s="14" t="s">
        <v>11</v>
      </c>
      <c r="K160" s="16" t="s">
        <v>82</v>
      </c>
      <c r="L160" s="14" t="s">
        <v>171</v>
      </c>
      <c r="M160" s="14" t="s">
        <v>78</v>
      </c>
      <c r="N160" s="17"/>
      <c r="O160" s="18" t="s">
        <v>208</v>
      </c>
      <c r="P160" s="18"/>
      <c r="Q160" s="19"/>
      <c r="R160" s="19"/>
      <c r="S160" s="182">
        <v>16706</v>
      </c>
      <c r="T160" s="19">
        <f>S160/5</f>
        <v>3341.2</v>
      </c>
      <c r="U160" s="14" t="s">
        <v>77</v>
      </c>
      <c r="W160" s="21">
        <v>30</v>
      </c>
      <c r="X160" s="13">
        <f>+S160*$X$2*W160/1000000</f>
        <v>200.47200000000001</v>
      </c>
      <c r="Y160" s="13">
        <v>0</v>
      </c>
      <c r="Z160" s="13">
        <v>0</v>
      </c>
      <c r="AA160" s="13"/>
      <c r="AB160" s="13">
        <f>+S160*$AB$2*W160/1000000</f>
        <v>30.070799999999998</v>
      </c>
      <c r="AC160" s="13">
        <f>+S160*$AC$2*W160/1000000</f>
        <v>17.5413</v>
      </c>
      <c r="AD160" s="13"/>
      <c r="AE160" s="13">
        <v>0</v>
      </c>
      <c r="AF160" s="13">
        <v>0</v>
      </c>
      <c r="AG160" s="13">
        <v>0</v>
      </c>
      <c r="AH160" s="13"/>
      <c r="AI160" s="13">
        <v>0</v>
      </c>
      <c r="AJ160" s="13">
        <f>SUBTOTAL(9,X160:AI160)</f>
        <v>248.08410000000001</v>
      </c>
      <c r="AK160" s="22"/>
      <c r="AL160" s="23">
        <v>0</v>
      </c>
    </row>
    <row r="161" spans="1:38" s="14" customFormat="1" ht="22" customHeight="1">
      <c r="A161" s="14" t="s">
        <v>17</v>
      </c>
      <c r="B161" s="15">
        <v>2024</v>
      </c>
      <c r="C161" s="15" t="s">
        <v>24</v>
      </c>
      <c r="D161" s="14" t="s">
        <v>206</v>
      </c>
      <c r="E161" s="14" t="s">
        <v>25</v>
      </c>
      <c r="F161" s="16" t="s">
        <v>207</v>
      </c>
      <c r="G161" s="14">
        <v>1</v>
      </c>
      <c r="I161" s="14" t="s">
        <v>12</v>
      </c>
      <c r="J161" s="14" t="s">
        <v>12</v>
      </c>
      <c r="K161" s="16" t="s">
        <v>14</v>
      </c>
      <c r="L161" s="14" t="s">
        <v>209</v>
      </c>
      <c r="M161" s="14" t="s">
        <v>84</v>
      </c>
      <c r="N161" s="24"/>
      <c r="O161" s="25" t="s">
        <v>210</v>
      </c>
      <c r="P161" s="25"/>
      <c r="Q161" s="26"/>
      <c r="R161" s="26"/>
      <c r="S161" s="182">
        <v>17635</v>
      </c>
      <c r="T161" s="19">
        <f t="shared" ref="T161:T213" si="18">S161/5</f>
        <v>3527</v>
      </c>
      <c r="U161" s="14" t="s">
        <v>77</v>
      </c>
      <c r="W161" s="21">
        <v>30</v>
      </c>
      <c r="X161" s="13">
        <f t="shared" ref="X161:X164" si="19">+S161*$X$2*W161/1000000</f>
        <v>211.62</v>
      </c>
      <c r="Y161" s="13">
        <v>0</v>
      </c>
      <c r="Z161" s="13">
        <v>0</v>
      </c>
      <c r="AA161" s="13"/>
      <c r="AB161" s="13">
        <f t="shared" ref="AB161:AB164" si="20">+S161*$AB$2*W161/1000000</f>
        <v>31.742999999999999</v>
      </c>
      <c r="AC161" s="13">
        <f t="shared" ref="AC161:AC164" si="21">+S161*$AC$2*W161/1000000</f>
        <v>18.516749999999998</v>
      </c>
      <c r="AD161" s="13"/>
      <c r="AE161" s="13">
        <v>0</v>
      </c>
      <c r="AF161" s="13">
        <v>0</v>
      </c>
      <c r="AG161" s="13">
        <v>0</v>
      </c>
      <c r="AH161" s="13"/>
      <c r="AI161" s="13">
        <v>0</v>
      </c>
      <c r="AJ161" s="13">
        <f>SUBTOTAL(9,X161:AI161)</f>
        <v>261.87975</v>
      </c>
      <c r="AK161" s="22"/>
      <c r="AL161" s="23">
        <v>0</v>
      </c>
    </row>
    <row r="162" spans="1:38" s="192" customFormat="1" ht="22" customHeight="1">
      <c r="A162" s="192" t="s">
        <v>17</v>
      </c>
      <c r="B162" s="193">
        <v>2024</v>
      </c>
      <c r="C162" s="193" t="s">
        <v>24</v>
      </c>
      <c r="D162" s="192" t="s">
        <v>206</v>
      </c>
      <c r="E162" s="192" t="s">
        <v>25</v>
      </c>
      <c r="F162" s="194" t="s">
        <v>207</v>
      </c>
      <c r="G162" s="192">
        <v>1</v>
      </c>
      <c r="I162" s="192" t="s">
        <v>11</v>
      </c>
      <c r="J162" s="192" t="s">
        <v>11</v>
      </c>
      <c r="K162" s="194" t="s">
        <v>82</v>
      </c>
      <c r="L162" s="192" t="s">
        <v>171</v>
      </c>
      <c r="M162" s="192" t="s">
        <v>11</v>
      </c>
      <c r="N162" s="195"/>
      <c r="O162" s="196" t="s">
        <v>211</v>
      </c>
      <c r="P162" s="196"/>
      <c r="Q162" s="197"/>
      <c r="R162" s="197"/>
      <c r="S162" s="198">
        <v>33828</v>
      </c>
      <c r="T162" s="197">
        <f t="shared" si="18"/>
        <v>6765.6</v>
      </c>
      <c r="U162" s="192" t="s">
        <v>191</v>
      </c>
      <c r="W162" s="199">
        <v>30</v>
      </c>
      <c r="AD162" s="200"/>
      <c r="AE162" s="200">
        <v>0</v>
      </c>
      <c r="AF162" s="200">
        <v>0</v>
      </c>
      <c r="AG162" s="200">
        <v>0</v>
      </c>
      <c r="AH162" s="200"/>
      <c r="AI162" s="200">
        <v>0</v>
      </c>
      <c r="AJ162" s="200">
        <f t="shared" ref="AJ162:AJ166" si="22">SUBTOTAL(9,X162:AI162)</f>
        <v>0</v>
      </c>
      <c r="AK162" s="201">
        <f>+T162*$AK$2*2</f>
        <v>1623744000</v>
      </c>
      <c r="AL162" s="202">
        <f>+AK162/AL4</f>
        <v>356151.37942682172</v>
      </c>
    </row>
    <row r="163" spans="1:38" s="14" customFormat="1" ht="22" customHeight="1">
      <c r="A163" s="14" t="s">
        <v>17</v>
      </c>
      <c r="B163" s="15">
        <v>2024</v>
      </c>
      <c r="C163" s="15" t="s">
        <v>24</v>
      </c>
      <c r="D163" s="14" t="s">
        <v>206</v>
      </c>
      <c r="E163" s="14" t="s">
        <v>25</v>
      </c>
      <c r="F163" s="16" t="s">
        <v>207</v>
      </c>
      <c r="G163" s="14">
        <v>2</v>
      </c>
      <c r="I163" s="14" t="s">
        <v>28</v>
      </c>
      <c r="J163" s="14" t="s">
        <v>11</v>
      </c>
      <c r="K163" s="16" t="s">
        <v>82</v>
      </c>
      <c r="L163" s="14" t="s">
        <v>166</v>
      </c>
      <c r="M163" s="14" t="s">
        <v>82</v>
      </c>
      <c r="N163" s="27"/>
      <c r="O163" s="28" t="s">
        <v>212</v>
      </c>
      <c r="P163" s="28"/>
      <c r="Q163" s="26"/>
      <c r="R163" s="26"/>
      <c r="S163" s="182">
        <v>7275</v>
      </c>
      <c r="T163" s="19">
        <f t="shared" si="18"/>
        <v>1455</v>
      </c>
      <c r="U163" s="14" t="s">
        <v>77</v>
      </c>
      <c r="W163" s="21">
        <v>30</v>
      </c>
      <c r="X163" s="13">
        <f t="shared" si="19"/>
        <v>87.3</v>
      </c>
      <c r="Y163" s="13">
        <v>0</v>
      </c>
      <c r="Z163" s="13">
        <v>0</v>
      </c>
      <c r="AA163" s="13"/>
      <c r="AB163" s="13">
        <f t="shared" si="20"/>
        <v>13.095000000000001</v>
      </c>
      <c r="AC163" s="13">
        <f t="shared" si="21"/>
        <v>7.6387499999999999</v>
      </c>
      <c r="AD163" s="13"/>
      <c r="AE163" s="13">
        <v>0</v>
      </c>
      <c r="AF163" s="13">
        <v>0</v>
      </c>
      <c r="AG163" s="13">
        <v>0</v>
      </c>
      <c r="AH163" s="13"/>
      <c r="AI163" s="13">
        <v>0</v>
      </c>
      <c r="AJ163" s="13">
        <f>SUBTOTAL(9,X163:AI163)</f>
        <v>108.03375</v>
      </c>
      <c r="AK163" s="22"/>
      <c r="AL163" s="23">
        <v>0</v>
      </c>
    </row>
    <row r="164" spans="1:38" s="14" customFormat="1" ht="22" customHeight="1">
      <c r="A164" s="14" t="s">
        <v>17</v>
      </c>
      <c r="B164" s="15">
        <v>2024</v>
      </c>
      <c r="C164" s="15" t="s">
        <v>24</v>
      </c>
      <c r="D164" s="14" t="s">
        <v>206</v>
      </c>
      <c r="E164" s="14" t="s">
        <v>25</v>
      </c>
      <c r="F164" s="16" t="s">
        <v>207</v>
      </c>
      <c r="G164" s="14">
        <v>1</v>
      </c>
      <c r="I164" s="14" t="s">
        <v>12</v>
      </c>
      <c r="J164" s="14" t="s">
        <v>12</v>
      </c>
      <c r="K164" s="16" t="s">
        <v>14</v>
      </c>
      <c r="L164" s="14" t="s">
        <v>209</v>
      </c>
      <c r="M164" s="14" t="s">
        <v>84</v>
      </c>
      <c r="N164" s="24"/>
      <c r="O164" s="25" t="s">
        <v>213</v>
      </c>
      <c r="P164" s="25"/>
      <c r="Q164" s="26"/>
      <c r="R164" s="26"/>
      <c r="S164" s="182">
        <v>11555</v>
      </c>
      <c r="T164" s="19">
        <f t="shared" si="18"/>
        <v>2311</v>
      </c>
      <c r="U164" s="14" t="s">
        <v>77</v>
      </c>
      <c r="W164" s="21">
        <v>30</v>
      </c>
      <c r="X164" s="13">
        <f t="shared" si="19"/>
        <v>138.66</v>
      </c>
      <c r="Y164" s="13">
        <v>0</v>
      </c>
      <c r="Z164" s="13">
        <v>0</v>
      </c>
      <c r="AA164" s="13"/>
      <c r="AB164" s="13">
        <f t="shared" si="20"/>
        <v>20.798999999999999</v>
      </c>
      <c r="AC164" s="13">
        <f t="shared" si="21"/>
        <v>12.13275</v>
      </c>
      <c r="AD164" s="13"/>
      <c r="AE164" s="13">
        <v>0</v>
      </c>
      <c r="AF164" s="13">
        <v>0</v>
      </c>
      <c r="AG164" s="13">
        <v>0</v>
      </c>
      <c r="AH164" s="13"/>
      <c r="AI164" s="13">
        <v>0</v>
      </c>
      <c r="AJ164" s="13">
        <f t="shared" si="22"/>
        <v>171.59174999999999</v>
      </c>
      <c r="AK164" s="22"/>
      <c r="AL164" s="23">
        <v>0</v>
      </c>
    </row>
    <row r="165" spans="1:38" s="192" customFormat="1" ht="22" customHeight="1">
      <c r="A165" s="192" t="s">
        <v>17</v>
      </c>
      <c r="B165" s="193">
        <v>2024</v>
      </c>
      <c r="C165" s="193" t="s">
        <v>24</v>
      </c>
      <c r="D165" s="192" t="s">
        <v>206</v>
      </c>
      <c r="E165" s="192" t="s">
        <v>25</v>
      </c>
      <c r="F165" s="194" t="s">
        <v>207</v>
      </c>
      <c r="G165" s="192">
        <v>1</v>
      </c>
      <c r="I165" s="192" t="s">
        <v>12</v>
      </c>
      <c r="J165" s="192" t="s">
        <v>12</v>
      </c>
      <c r="K165" s="194" t="s">
        <v>14</v>
      </c>
      <c r="L165" s="192" t="s">
        <v>209</v>
      </c>
      <c r="M165" s="192" t="s">
        <v>84</v>
      </c>
      <c r="N165" s="195"/>
      <c r="O165" s="196" t="s">
        <v>214</v>
      </c>
      <c r="P165" s="196"/>
      <c r="Q165" s="197"/>
      <c r="R165" s="197"/>
      <c r="S165" s="203">
        <v>35000</v>
      </c>
      <c r="T165" s="197"/>
      <c r="U165" s="192" t="s">
        <v>77</v>
      </c>
      <c r="W165" s="199">
        <v>15</v>
      </c>
      <c r="X165" s="200">
        <f t="shared" ref="X165" si="23">+S165*$X$2*W165/1000000</f>
        <v>210</v>
      </c>
      <c r="Y165" s="200">
        <v>0</v>
      </c>
      <c r="Z165" s="200">
        <v>0</v>
      </c>
      <c r="AA165" s="200"/>
      <c r="AB165" s="200">
        <f t="shared" ref="AB165" si="24">+S165*$AB$2*W165/1000000</f>
        <v>31.5</v>
      </c>
      <c r="AC165" s="200">
        <f t="shared" ref="AC165" si="25">+S165*$AC$2*W165/1000000</f>
        <v>18.375</v>
      </c>
      <c r="AD165" s="200"/>
      <c r="AE165" s="200">
        <v>0</v>
      </c>
      <c r="AF165" s="200">
        <v>0</v>
      </c>
      <c r="AG165" s="200">
        <v>0</v>
      </c>
      <c r="AH165" s="200"/>
      <c r="AI165" s="200">
        <v>0</v>
      </c>
      <c r="AJ165" s="13">
        <f t="shared" si="22"/>
        <v>259.875</v>
      </c>
      <c r="AK165" s="201">
        <f>T165*AK1</f>
        <v>0</v>
      </c>
      <c r="AL165" s="202">
        <v>0</v>
      </c>
    </row>
    <row r="166" spans="1:38" s="192" customFormat="1" ht="22" customHeight="1">
      <c r="A166" s="192" t="s">
        <v>17</v>
      </c>
      <c r="B166" s="193">
        <v>2024</v>
      </c>
      <c r="C166" s="193" t="s">
        <v>24</v>
      </c>
      <c r="D166" s="192" t="s">
        <v>206</v>
      </c>
      <c r="E166" s="192" t="s">
        <v>25</v>
      </c>
      <c r="F166" s="194" t="s">
        <v>207</v>
      </c>
      <c r="G166" s="192">
        <v>1</v>
      </c>
      <c r="I166" s="192" t="s">
        <v>12</v>
      </c>
      <c r="J166" s="192" t="s">
        <v>12</v>
      </c>
      <c r="K166" s="194" t="s">
        <v>14</v>
      </c>
      <c r="L166" s="192" t="s">
        <v>209</v>
      </c>
      <c r="M166" s="192" t="s">
        <v>84</v>
      </c>
      <c r="N166" s="195"/>
      <c r="O166" s="196" t="s">
        <v>214</v>
      </c>
      <c r="P166" s="196"/>
      <c r="Q166" s="197"/>
      <c r="R166" s="197"/>
      <c r="S166" s="203"/>
      <c r="T166" s="197">
        <v>7000</v>
      </c>
      <c r="U166" s="192" t="s">
        <v>191</v>
      </c>
      <c r="W166" s="199">
        <v>15</v>
      </c>
      <c r="X166" s="200"/>
      <c r="Y166" s="200"/>
      <c r="Z166" s="200"/>
      <c r="AA166" s="200"/>
      <c r="AB166" s="200"/>
      <c r="AC166" s="200"/>
      <c r="AD166" s="200"/>
      <c r="AE166" s="200">
        <v>0</v>
      </c>
      <c r="AF166" s="200">
        <v>0</v>
      </c>
      <c r="AG166" s="200">
        <v>0</v>
      </c>
      <c r="AH166" s="200"/>
      <c r="AI166" s="200">
        <v>0</v>
      </c>
      <c r="AJ166" s="200">
        <f t="shared" si="22"/>
        <v>0</v>
      </c>
      <c r="AK166" s="201">
        <f>T166*AK2</f>
        <v>840000000</v>
      </c>
      <c r="AL166" s="202">
        <f>+AK166/AL4</f>
        <v>184245.27432805308</v>
      </c>
    </row>
    <row r="167" spans="1:38" s="14" customFormat="1" ht="22" customHeight="1">
      <c r="A167" s="14" t="s">
        <v>17</v>
      </c>
      <c r="B167" s="15">
        <v>2024</v>
      </c>
      <c r="C167" s="15" t="s">
        <v>24</v>
      </c>
      <c r="D167" s="14" t="s">
        <v>206</v>
      </c>
      <c r="E167" s="14" t="s">
        <v>25</v>
      </c>
      <c r="F167" s="16" t="s">
        <v>207</v>
      </c>
      <c r="G167" s="14">
        <v>1</v>
      </c>
      <c r="J167" s="14" t="s">
        <v>13</v>
      </c>
      <c r="K167" s="16"/>
      <c r="L167" s="14" t="s">
        <v>215</v>
      </c>
      <c r="M167" s="14" t="s">
        <v>95</v>
      </c>
      <c r="N167" s="27"/>
      <c r="O167" s="185" t="s">
        <v>216</v>
      </c>
      <c r="P167" s="28"/>
      <c r="Q167" s="26"/>
      <c r="R167" s="26"/>
      <c r="S167" s="180">
        <v>3744</v>
      </c>
      <c r="T167" s="19">
        <f t="shared" si="18"/>
        <v>748.8</v>
      </c>
      <c r="U167" s="14" t="s">
        <v>76</v>
      </c>
      <c r="W167" s="21">
        <v>30</v>
      </c>
      <c r="X167" s="13">
        <v>0</v>
      </c>
      <c r="Y167" s="13">
        <v>0</v>
      </c>
      <c r="Z167" s="13">
        <v>0</v>
      </c>
      <c r="AA167" s="13"/>
      <c r="AB167" s="13">
        <v>0</v>
      </c>
      <c r="AC167" s="13">
        <v>0</v>
      </c>
      <c r="AD167" s="13"/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29">
        <f>+T167*$AK$2*2</f>
        <v>179712000</v>
      </c>
      <c r="AL167" s="161">
        <f t="shared" ref="AL167" si="26">AK167/$AL$4</f>
        <v>39417.960404813188</v>
      </c>
    </row>
    <row r="168" spans="1:38" s="14" customFormat="1" ht="22" customHeight="1">
      <c r="A168" s="14" t="s">
        <v>17</v>
      </c>
      <c r="B168" s="15">
        <v>2024</v>
      </c>
      <c r="C168" s="15" t="s">
        <v>24</v>
      </c>
      <c r="D168" s="14" t="s">
        <v>206</v>
      </c>
      <c r="E168" s="14" t="s">
        <v>25</v>
      </c>
      <c r="F168" s="16" t="s">
        <v>207</v>
      </c>
      <c r="G168" s="14">
        <v>1</v>
      </c>
      <c r="I168" s="14" t="s">
        <v>78</v>
      </c>
      <c r="J168" s="14" t="s">
        <v>11</v>
      </c>
      <c r="K168" s="16" t="s">
        <v>82</v>
      </c>
      <c r="L168" s="14" t="s">
        <v>171</v>
      </c>
      <c r="M168" s="14" t="s">
        <v>78</v>
      </c>
      <c r="N168" s="24"/>
      <c r="O168" s="25" t="s">
        <v>217</v>
      </c>
      <c r="P168" s="25"/>
      <c r="Q168" s="26"/>
      <c r="R168" s="26"/>
      <c r="S168" s="182">
        <v>6800</v>
      </c>
      <c r="T168" s="19">
        <f t="shared" si="18"/>
        <v>1360</v>
      </c>
      <c r="U168" s="14" t="s">
        <v>77</v>
      </c>
      <c r="W168" s="21">
        <v>30</v>
      </c>
      <c r="X168" s="13">
        <f>+S168*$X$2*W168/1000000</f>
        <v>81.599999999999994</v>
      </c>
      <c r="Y168" s="13">
        <v>0</v>
      </c>
      <c r="Z168" s="13">
        <v>0</v>
      </c>
      <c r="AA168" s="13"/>
      <c r="AB168" s="13">
        <f>+S168*$AB$2*W168/1000000</f>
        <v>12.24</v>
      </c>
      <c r="AC168" s="13">
        <f>+S168*$AC$2*W168/1000000</f>
        <v>7.14</v>
      </c>
      <c r="AD168" s="13"/>
      <c r="AE168" s="13">
        <v>0</v>
      </c>
      <c r="AF168" s="13">
        <v>0</v>
      </c>
      <c r="AG168" s="13">
        <v>0</v>
      </c>
      <c r="AH168" s="13"/>
      <c r="AI168" s="13">
        <v>0</v>
      </c>
      <c r="AJ168" s="13">
        <f>SUBTOTAL(9,X168:AI168)</f>
        <v>100.97999999999999</v>
      </c>
      <c r="AK168" s="22"/>
      <c r="AL168" s="23">
        <v>0</v>
      </c>
    </row>
    <row r="169" spans="1:38" s="14" customFormat="1" ht="22" customHeight="1">
      <c r="A169" s="14" t="s">
        <v>17</v>
      </c>
      <c r="B169" s="15">
        <v>2024</v>
      </c>
      <c r="C169" s="15" t="s">
        <v>24</v>
      </c>
      <c r="D169" s="14" t="s">
        <v>206</v>
      </c>
      <c r="E169" s="14" t="s">
        <v>25</v>
      </c>
      <c r="F169" s="16" t="s">
        <v>207</v>
      </c>
      <c r="G169" s="14">
        <v>1</v>
      </c>
      <c r="J169" s="14" t="s">
        <v>13</v>
      </c>
      <c r="K169" s="16"/>
      <c r="L169" s="14" t="s">
        <v>215</v>
      </c>
      <c r="M169" s="14" t="s">
        <v>95</v>
      </c>
      <c r="N169" s="27"/>
      <c r="O169" s="185" t="s">
        <v>218</v>
      </c>
      <c r="P169" s="28"/>
      <c r="Q169" s="26"/>
      <c r="R169" s="26"/>
      <c r="S169" s="180">
        <v>18225</v>
      </c>
      <c r="T169" s="19">
        <f t="shared" si="18"/>
        <v>3645</v>
      </c>
      <c r="U169" s="14" t="s">
        <v>76</v>
      </c>
      <c r="W169" s="21">
        <v>30</v>
      </c>
      <c r="X169" s="13">
        <v>0</v>
      </c>
      <c r="Y169" s="13">
        <v>0</v>
      </c>
      <c r="Z169" s="13">
        <v>0</v>
      </c>
      <c r="AA169" s="13"/>
      <c r="AB169" s="13">
        <v>0</v>
      </c>
      <c r="AC169" s="13">
        <v>0</v>
      </c>
      <c r="AD169" s="13"/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29">
        <f>+T169*$AK$2*2</f>
        <v>874800000</v>
      </c>
      <c r="AL169" s="161">
        <f t="shared" ref="AL169" si="27">AK169/$AL$4</f>
        <v>191878.29283592958</v>
      </c>
    </row>
    <row r="170" spans="1:38" s="14" customFormat="1" ht="22" customHeight="1">
      <c r="A170" s="14" t="s">
        <v>17</v>
      </c>
      <c r="B170" s="15">
        <v>2024</v>
      </c>
      <c r="C170" s="15" t="s">
        <v>24</v>
      </c>
      <c r="D170" s="14" t="s">
        <v>206</v>
      </c>
      <c r="E170" s="14" t="s">
        <v>25</v>
      </c>
      <c r="F170" s="16" t="s">
        <v>207</v>
      </c>
      <c r="G170" s="14">
        <v>1</v>
      </c>
      <c r="I170" s="14" t="s">
        <v>78</v>
      </c>
      <c r="J170" s="14" t="s">
        <v>11</v>
      </c>
      <c r="K170" s="16" t="s">
        <v>82</v>
      </c>
      <c r="L170" s="14" t="s">
        <v>171</v>
      </c>
      <c r="M170" s="14" t="s">
        <v>78</v>
      </c>
      <c r="N170" s="24"/>
      <c r="O170" s="25" t="s">
        <v>219</v>
      </c>
      <c r="P170" s="25"/>
      <c r="Q170" s="19"/>
      <c r="R170" s="19"/>
      <c r="S170" s="182">
        <v>3770</v>
      </c>
      <c r="T170" s="19">
        <f t="shared" si="18"/>
        <v>754</v>
      </c>
      <c r="U170" s="14" t="s">
        <v>77</v>
      </c>
      <c r="W170" s="21">
        <v>30</v>
      </c>
      <c r="X170" s="13">
        <f t="shared" ref="X170:X178" si="28">+S170*$X$2*W170/1000000</f>
        <v>45.24</v>
      </c>
      <c r="Y170" s="13">
        <v>0</v>
      </c>
      <c r="Z170" s="13">
        <v>0</v>
      </c>
      <c r="AA170" s="13"/>
      <c r="AB170" s="13">
        <f t="shared" ref="AB170:AB178" si="29">+S170*$AB$2*W170/1000000</f>
        <v>6.7859999999999996</v>
      </c>
      <c r="AC170" s="13">
        <f t="shared" ref="AC170:AC178" si="30">+S170*$AC$2*W170/1000000</f>
        <v>3.9584999999999999</v>
      </c>
      <c r="AD170" s="13"/>
      <c r="AE170" s="13">
        <v>0</v>
      </c>
      <c r="AF170" s="13">
        <v>0</v>
      </c>
      <c r="AG170" s="13">
        <v>0</v>
      </c>
      <c r="AH170" s="13"/>
      <c r="AI170" s="13">
        <v>0</v>
      </c>
      <c r="AJ170" s="13">
        <f t="shared" ref="AJ170:AJ172" si="31">SUBTOTAL(9,X170:AI170)</f>
        <v>55.984500000000004</v>
      </c>
      <c r="AK170" s="22"/>
      <c r="AL170" s="23">
        <v>0</v>
      </c>
    </row>
    <row r="171" spans="1:38" s="14" customFormat="1" ht="22" customHeight="1">
      <c r="A171" s="14" t="s">
        <v>17</v>
      </c>
      <c r="B171" s="15">
        <v>2024</v>
      </c>
      <c r="C171" s="15" t="s">
        <v>24</v>
      </c>
      <c r="D171" s="14" t="s">
        <v>206</v>
      </c>
      <c r="E171" s="14" t="s">
        <v>25</v>
      </c>
      <c r="F171" s="16" t="s">
        <v>207</v>
      </c>
      <c r="G171" s="14">
        <v>1</v>
      </c>
      <c r="I171" s="14" t="s">
        <v>11</v>
      </c>
      <c r="J171" s="14" t="s">
        <v>11</v>
      </c>
      <c r="K171" s="16" t="s">
        <v>82</v>
      </c>
      <c r="L171" s="14" t="s">
        <v>171</v>
      </c>
      <c r="M171" s="14" t="s">
        <v>11</v>
      </c>
      <c r="N171" s="24"/>
      <c r="O171" s="25" t="s">
        <v>220</v>
      </c>
      <c r="P171" s="25"/>
      <c r="Q171" s="19"/>
      <c r="R171" s="19"/>
      <c r="S171" s="181">
        <v>10150</v>
      </c>
      <c r="T171" s="19">
        <f t="shared" si="18"/>
        <v>2030</v>
      </c>
      <c r="U171" s="14" t="s">
        <v>77</v>
      </c>
      <c r="W171" s="21">
        <v>30</v>
      </c>
      <c r="X171" s="13">
        <f t="shared" si="28"/>
        <v>121.8</v>
      </c>
      <c r="Y171" s="13">
        <v>0</v>
      </c>
      <c r="Z171" s="13">
        <v>0</v>
      </c>
      <c r="AA171" s="13"/>
      <c r="AB171" s="13">
        <f t="shared" si="29"/>
        <v>18.27</v>
      </c>
      <c r="AC171" s="13">
        <f t="shared" si="30"/>
        <v>10.657500000000001</v>
      </c>
      <c r="AD171" s="13"/>
      <c r="AE171" s="13">
        <v>0</v>
      </c>
      <c r="AF171" s="13">
        <v>0</v>
      </c>
      <c r="AG171" s="13">
        <v>0</v>
      </c>
      <c r="AH171" s="13"/>
      <c r="AI171" s="13">
        <v>0</v>
      </c>
      <c r="AJ171" s="13">
        <f t="shared" si="31"/>
        <v>150.72749999999999</v>
      </c>
      <c r="AK171" s="29"/>
      <c r="AL171" s="23">
        <v>0</v>
      </c>
    </row>
    <row r="172" spans="1:38" s="14" customFormat="1" ht="22" customHeight="1">
      <c r="A172" s="14" t="s">
        <v>17</v>
      </c>
      <c r="B172" s="15">
        <v>2024</v>
      </c>
      <c r="C172" s="15" t="s">
        <v>24</v>
      </c>
      <c r="D172" s="14" t="s">
        <v>206</v>
      </c>
      <c r="E172" s="14" t="s">
        <v>25</v>
      </c>
      <c r="F172" s="16" t="s">
        <v>207</v>
      </c>
      <c r="G172" s="14">
        <v>1</v>
      </c>
      <c r="I172" s="14" t="s">
        <v>11</v>
      </c>
      <c r="J172" s="14" t="s">
        <v>11</v>
      </c>
      <c r="K172" s="16" t="s">
        <v>82</v>
      </c>
      <c r="L172" s="14" t="s">
        <v>171</v>
      </c>
      <c r="M172" s="14" t="s">
        <v>11</v>
      </c>
      <c r="N172" s="24"/>
      <c r="O172" s="25" t="s">
        <v>221</v>
      </c>
      <c r="P172" s="25"/>
      <c r="Q172" s="19"/>
      <c r="R172" s="19"/>
      <c r="S172" s="182">
        <v>18880</v>
      </c>
      <c r="T172" s="19">
        <f t="shared" si="18"/>
        <v>3776</v>
      </c>
      <c r="U172" s="14" t="s">
        <v>77</v>
      </c>
      <c r="W172" s="21">
        <v>30</v>
      </c>
      <c r="X172" s="13">
        <f t="shared" si="28"/>
        <v>226.56</v>
      </c>
      <c r="Y172" s="13">
        <v>0</v>
      </c>
      <c r="Z172" s="13">
        <v>0</v>
      </c>
      <c r="AA172" s="13"/>
      <c r="AB172" s="13">
        <f t="shared" si="29"/>
        <v>33.984000000000002</v>
      </c>
      <c r="AC172" s="13">
        <f t="shared" si="30"/>
        <v>19.824000000000002</v>
      </c>
      <c r="AD172" s="13"/>
      <c r="AE172" s="13">
        <v>0</v>
      </c>
      <c r="AF172" s="13">
        <v>0</v>
      </c>
      <c r="AG172" s="13">
        <v>0</v>
      </c>
      <c r="AH172" s="13"/>
      <c r="AI172" s="13">
        <v>0</v>
      </c>
      <c r="AJ172" s="13">
        <f t="shared" si="31"/>
        <v>280.36799999999999</v>
      </c>
      <c r="AK172" s="22"/>
      <c r="AL172" s="23">
        <v>0</v>
      </c>
    </row>
    <row r="173" spans="1:38" s="14" customFormat="1" ht="22" customHeight="1">
      <c r="A173" s="14" t="s">
        <v>17</v>
      </c>
      <c r="B173" s="15">
        <v>2024</v>
      </c>
      <c r="C173" s="15" t="s">
        <v>24</v>
      </c>
      <c r="D173" s="14" t="s">
        <v>206</v>
      </c>
      <c r="E173" s="14" t="s">
        <v>25</v>
      </c>
      <c r="F173" s="16" t="s">
        <v>207</v>
      </c>
      <c r="G173" s="14">
        <v>2</v>
      </c>
      <c r="I173" s="14" t="s">
        <v>14</v>
      </c>
      <c r="J173" s="14" t="s">
        <v>14</v>
      </c>
      <c r="K173" s="16" t="s">
        <v>14</v>
      </c>
      <c r="L173" s="14" t="s">
        <v>209</v>
      </c>
      <c r="M173" s="14" t="s">
        <v>99</v>
      </c>
      <c r="N173" s="30"/>
      <c r="O173" s="31" t="s">
        <v>222</v>
      </c>
      <c r="P173" s="31"/>
      <c r="Q173" s="19"/>
      <c r="R173" s="19"/>
      <c r="S173" s="189">
        <v>12000</v>
      </c>
      <c r="T173" s="19">
        <f t="shared" si="18"/>
        <v>2400</v>
      </c>
      <c r="U173" s="14" t="s">
        <v>76</v>
      </c>
      <c r="W173" s="21">
        <v>30</v>
      </c>
      <c r="X173" s="13"/>
      <c r="Y173" s="34"/>
      <c r="Z173" s="34"/>
      <c r="AA173" s="13"/>
      <c r="AB173" s="13"/>
      <c r="AC173" s="13"/>
      <c r="AD173" s="13"/>
      <c r="AE173" s="34">
        <v>0</v>
      </c>
      <c r="AF173" s="34">
        <v>0</v>
      </c>
      <c r="AG173" s="34">
        <v>0</v>
      </c>
      <c r="AH173" s="34"/>
      <c r="AI173" s="34">
        <v>0</v>
      </c>
      <c r="AJ173" s="13">
        <f t="shared" ref="AJ173:AJ177" si="32">SUBTOTAL(9,X173:AI173)</f>
        <v>0</v>
      </c>
      <c r="AK173" s="22">
        <f>T173*$AK$2*2</f>
        <v>576000000</v>
      </c>
      <c r="AL173" s="35">
        <f>AK173/AL4</f>
        <v>126339.61668209355</v>
      </c>
    </row>
    <row r="174" spans="1:38" s="14" customFormat="1" ht="22" customHeight="1">
      <c r="A174" s="14" t="s">
        <v>17</v>
      </c>
      <c r="B174" s="15">
        <v>2024</v>
      </c>
      <c r="C174" s="15" t="s">
        <v>24</v>
      </c>
      <c r="D174" s="14" t="s">
        <v>206</v>
      </c>
      <c r="E174" s="14" t="s">
        <v>25</v>
      </c>
      <c r="F174" s="16" t="s">
        <v>207</v>
      </c>
      <c r="G174" s="14">
        <v>2</v>
      </c>
      <c r="J174" s="14" t="s">
        <v>13</v>
      </c>
      <c r="K174" s="16"/>
      <c r="L174" s="14" t="s">
        <v>223</v>
      </c>
      <c r="M174" s="14" t="s">
        <v>97</v>
      </c>
      <c r="N174" s="30"/>
      <c r="O174" s="31" t="s">
        <v>224</v>
      </c>
      <c r="P174" s="31"/>
      <c r="Q174" s="19"/>
      <c r="R174" s="19"/>
      <c r="S174" s="180">
        <v>4797</v>
      </c>
      <c r="T174" s="19">
        <f t="shared" si="18"/>
        <v>959.4</v>
      </c>
      <c r="U174" s="14" t="s">
        <v>77</v>
      </c>
      <c r="W174" s="21">
        <v>30</v>
      </c>
      <c r="X174" s="13">
        <f t="shared" si="28"/>
        <v>57.564</v>
      </c>
      <c r="Y174" s="34">
        <v>0</v>
      </c>
      <c r="Z174" s="34">
        <v>0</v>
      </c>
      <c r="AA174" s="13"/>
      <c r="AB174" s="13">
        <f t="shared" si="29"/>
        <v>8.6346000000000007</v>
      </c>
      <c r="AC174" s="13">
        <f t="shared" si="30"/>
        <v>5.0368500000000003</v>
      </c>
      <c r="AD174" s="13"/>
      <c r="AE174" s="34">
        <v>0</v>
      </c>
      <c r="AF174" s="34">
        <v>0</v>
      </c>
      <c r="AG174" s="34">
        <v>0</v>
      </c>
      <c r="AH174" s="34"/>
      <c r="AI174" s="34">
        <v>0</v>
      </c>
      <c r="AJ174" s="13">
        <f t="shared" si="32"/>
        <v>71.23545</v>
      </c>
      <c r="AK174" s="22"/>
      <c r="AL174" s="35">
        <v>0</v>
      </c>
    </row>
    <row r="175" spans="1:38" s="14" customFormat="1" ht="22" customHeight="1">
      <c r="A175" s="14" t="s">
        <v>17</v>
      </c>
      <c r="B175" s="15">
        <v>2024</v>
      </c>
      <c r="C175" s="15" t="s">
        <v>24</v>
      </c>
      <c r="D175" s="14" t="s">
        <v>206</v>
      </c>
      <c r="E175" s="14" t="s">
        <v>25</v>
      </c>
      <c r="F175" s="16" t="s">
        <v>207</v>
      </c>
      <c r="G175" s="14">
        <v>2</v>
      </c>
      <c r="I175" s="14" t="s">
        <v>12</v>
      </c>
      <c r="J175" s="14" t="s">
        <v>12</v>
      </c>
      <c r="K175" s="16" t="s">
        <v>14</v>
      </c>
      <c r="L175" s="14" t="s">
        <v>209</v>
      </c>
      <c r="M175" s="14" t="s">
        <v>84</v>
      </c>
      <c r="N175" s="24"/>
      <c r="O175" s="25" t="s">
        <v>225</v>
      </c>
      <c r="P175" s="25"/>
      <c r="Q175" s="19"/>
      <c r="R175" s="19"/>
      <c r="S175" s="182">
        <v>18100</v>
      </c>
      <c r="T175" s="19">
        <f t="shared" si="18"/>
        <v>3620</v>
      </c>
      <c r="U175" s="14" t="s">
        <v>77</v>
      </c>
      <c r="W175" s="21">
        <v>30</v>
      </c>
      <c r="X175" s="13">
        <f t="shared" si="28"/>
        <v>217.2</v>
      </c>
      <c r="Y175" s="13">
        <v>0</v>
      </c>
      <c r="Z175" s="13">
        <v>0</v>
      </c>
      <c r="AA175" s="13"/>
      <c r="AB175" s="13">
        <f t="shared" si="29"/>
        <v>32.58</v>
      </c>
      <c r="AC175" s="13">
        <f t="shared" si="30"/>
        <v>19.004999999999999</v>
      </c>
      <c r="AD175" s="13"/>
      <c r="AE175" s="13">
        <v>0</v>
      </c>
      <c r="AF175" s="13">
        <v>0</v>
      </c>
      <c r="AG175" s="13">
        <v>0</v>
      </c>
      <c r="AH175" s="13"/>
      <c r="AI175" s="13">
        <v>0</v>
      </c>
      <c r="AJ175" s="13">
        <f t="shared" si="32"/>
        <v>268.78499999999997</v>
      </c>
      <c r="AK175" s="22"/>
      <c r="AL175" s="23">
        <v>0</v>
      </c>
    </row>
    <row r="176" spans="1:38" s="14" customFormat="1" ht="22" customHeight="1">
      <c r="A176" s="14" t="s">
        <v>17</v>
      </c>
      <c r="B176" s="15">
        <v>2024</v>
      </c>
      <c r="C176" s="15" t="s">
        <v>24</v>
      </c>
      <c r="D176" s="14" t="s">
        <v>206</v>
      </c>
      <c r="E176" s="14" t="s">
        <v>25</v>
      </c>
      <c r="F176" s="16" t="s">
        <v>207</v>
      </c>
      <c r="G176" s="14">
        <v>1</v>
      </c>
      <c r="I176" s="14" t="s">
        <v>78</v>
      </c>
      <c r="J176" s="14" t="s">
        <v>11</v>
      </c>
      <c r="K176" s="16" t="s">
        <v>82</v>
      </c>
      <c r="L176" s="14" t="s">
        <v>171</v>
      </c>
      <c r="M176" s="14" t="s">
        <v>78</v>
      </c>
      <c r="N176" s="24"/>
      <c r="O176" s="25" t="s">
        <v>226</v>
      </c>
      <c r="P176" s="25"/>
      <c r="Q176" s="19"/>
      <c r="R176" s="19"/>
      <c r="S176" s="182">
        <v>6201</v>
      </c>
      <c r="T176" s="19">
        <f t="shared" si="18"/>
        <v>1240.2</v>
      </c>
      <c r="U176" s="14" t="s">
        <v>77</v>
      </c>
      <c r="W176" s="21">
        <v>30</v>
      </c>
      <c r="X176" s="13">
        <f t="shared" si="28"/>
        <v>74.412000000000006</v>
      </c>
      <c r="Y176" s="13">
        <v>0</v>
      </c>
      <c r="Z176" s="13">
        <v>0</v>
      </c>
      <c r="AA176" s="13"/>
      <c r="AB176" s="13">
        <f t="shared" si="29"/>
        <v>11.161799999999999</v>
      </c>
      <c r="AC176" s="13">
        <f t="shared" si="30"/>
        <v>6.51105</v>
      </c>
      <c r="AD176" s="13"/>
      <c r="AE176" s="13">
        <v>0</v>
      </c>
      <c r="AF176" s="13">
        <v>0</v>
      </c>
      <c r="AG176" s="13">
        <v>0</v>
      </c>
      <c r="AH176" s="13"/>
      <c r="AI176" s="13">
        <v>0</v>
      </c>
      <c r="AJ176" s="13">
        <f>SUBTOTAL(9,X176:AI176)</f>
        <v>92.084850000000003</v>
      </c>
      <c r="AK176" s="22"/>
      <c r="AL176" s="23">
        <v>0</v>
      </c>
    </row>
    <row r="177" spans="1:38" s="14" customFormat="1" ht="22" customHeight="1">
      <c r="A177" s="14" t="s">
        <v>17</v>
      </c>
      <c r="B177" s="15">
        <v>2024</v>
      </c>
      <c r="C177" s="15" t="s">
        <v>24</v>
      </c>
      <c r="D177" s="14" t="s">
        <v>206</v>
      </c>
      <c r="E177" s="14" t="s">
        <v>25</v>
      </c>
      <c r="F177" s="16" t="s">
        <v>207</v>
      </c>
      <c r="G177" s="14">
        <v>1</v>
      </c>
      <c r="I177" s="14" t="s">
        <v>12</v>
      </c>
      <c r="J177" s="14" t="s">
        <v>12</v>
      </c>
      <c r="K177" s="16" t="s">
        <v>14</v>
      </c>
      <c r="L177" s="14" t="s">
        <v>209</v>
      </c>
      <c r="M177" s="14" t="s">
        <v>84</v>
      </c>
      <c r="N177" s="17"/>
      <c r="O177" s="18" t="s">
        <v>227</v>
      </c>
      <c r="P177" s="18"/>
      <c r="Q177" s="19"/>
      <c r="R177" s="19"/>
      <c r="S177" s="182">
        <v>10195</v>
      </c>
      <c r="T177" s="19">
        <f t="shared" si="18"/>
        <v>2039</v>
      </c>
      <c r="U177" s="14" t="s">
        <v>77</v>
      </c>
      <c r="W177" s="21">
        <v>30</v>
      </c>
      <c r="X177" s="13">
        <f t="shared" si="28"/>
        <v>122.34</v>
      </c>
      <c r="Y177" s="13">
        <v>0</v>
      </c>
      <c r="Z177" s="13">
        <v>0</v>
      </c>
      <c r="AA177" s="13"/>
      <c r="AB177" s="13">
        <f t="shared" si="29"/>
        <v>18.350999999999999</v>
      </c>
      <c r="AC177" s="13">
        <f t="shared" si="30"/>
        <v>10.704750000000001</v>
      </c>
      <c r="AD177" s="13"/>
      <c r="AE177" s="13">
        <v>0</v>
      </c>
      <c r="AF177" s="13">
        <v>0</v>
      </c>
      <c r="AG177" s="13">
        <v>0</v>
      </c>
      <c r="AH177" s="13"/>
      <c r="AI177" s="13">
        <v>0</v>
      </c>
      <c r="AJ177" s="13">
        <f t="shared" si="32"/>
        <v>151.39574999999999</v>
      </c>
      <c r="AK177" s="22"/>
      <c r="AL177" s="23">
        <v>0</v>
      </c>
    </row>
    <row r="178" spans="1:38" s="14" customFormat="1" ht="22" customHeight="1">
      <c r="A178" s="14" t="s">
        <v>17</v>
      </c>
      <c r="B178" s="15">
        <v>2024</v>
      </c>
      <c r="C178" s="15" t="s">
        <v>24</v>
      </c>
      <c r="D178" s="14" t="s">
        <v>206</v>
      </c>
      <c r="E178" s="14" t="s">
        <v>25</v>
      </c>
      <c r="F178" s="16" t="s">
        <v>207</v>
      </c>
      <c r="G178" s="14">
        <v>1</v>
      </c>
      <c r="I178" s="14" t="s">
        <v>78</v>
      </c>
      <c r="J178" s="14" t="s">
        <v>11</v>
      </c>
      <c r="K178" s="16" t="s">
        <v>82</v>
      </c>
      <c r="L178" s="14" t="s">
        <v>171</v>
      </c>
      <c r="M178" s="14" t="s">
        <v>78</v>
      </c>
      <c r="N178" s="17"/>
      <c r="O178" s="18" t="s">
        <v>228</v>
      </c>
      <c r="P178" s="18"/>
      <c r="Q178" s="19"/>
      <c r="R178" s="19"/>
      <c r="S178" s="182">
        <v>15000</v>
      </c>
      <c r="T178" s="19">
        <f t="shared" si="18"/>
        <v>3000</v>
      </c>
      <c r="U178" s="14" t="s">
        <v>77</v>
      </c>
      <c r="W178" s="21">
        <v>30</v>
      </c>
      <c r="X178" s="13">
        <f t="shared" si="28"/>
        <v>180</v>
      </c>
      <c r="Y178" s="13">
        <v>0</v>
      </c>
      <c r="Z178" s="13">
        <v>0</v>
      </c>
      <c r="AA178" s="13"/>
      <c r="AB178" s="13">
        <f t="shared" si="29"/>
        <v>27</v>
      </c>
      <c r="AC178" s="13">
        <f t="shared" si="30"/>
        <v>15.75</v>
      </c>
      <c r="AD178" s="13"/>
      <c r="AE178" s="13">
        <v>0</v>
      </c>
      <c r="AF178" s="13">
        <v>0</v>
      </c>
      <c r="AG178" s="13">
        <v>0</v>
      </c>
      <c r="AH178" s="13"/>
      <c r="AI178" s="13">
        <v>0</v>
      </c>
      <c r="AJ178" s="13">
        <f>SUBTOTAL(9,X178:AI178)</f>
        <v>222.75</v>
      </c>
      <c r="AK178" s="22"/>
      <c r="AL178" s="23">
        <v>0</v>
      </c>
    </row>
    <row r="179" spans="1:38" s="14" customFormat="1" ht="22" customHeight="1">
      <c r="A179" s="14" t="s">
        <v>17</v>
      </c>
      <c r="B179" s="15">
        <v>2024</v>
      </c>
      <c r="C179" s="15" t="s">
        <v>24</v>
      </c>
      <c r="D179" s="14" t="s">
        <v>206</v>
      </c>
      <c r="E179" s="14" t="s">
        <v>25</v>
      </c>
      <c r="F179" s="16" t="s">
        <v>207</v>
      </c>
      <c r="G179" s="14">
        <v>2</v>
      </c>
      <c r="J179" s="14" t="s">
        <v>13</v>
      </c>
      <c r="K179" s="16"/>
      <c r="L179" s="14" t="s">
        <v>223</v>
      </c>
      <c r="M179" s="14" t="s">
        <v>94</v>
      </c>
      <c r="N179" s="36"/>
      <c r="O179" s="186" t="s">
        <v>229</v>
      </c>
      <c r="P179" s="37"/>
      <c r="Q179" s="19"/>
      <c r="R179" s="19"/>
      <c r="S179" s="180">
        <v>7334</v>
      </c>
      <c r="T179" s="19">
        <f t="shared" si="18"/>
        <v>1466.8</v>
      </c>
      <c r="U179" s="14" t="s">
        <v>76</v>
      </c>
      <c r="W179" s="21">
        <v>30</v>
      </c>
      <c r="X179" s="13">
        <v>0</v>
      </c>
      <c r="Y179" s="13">
        <v>0</v>
      </c>
      <c r="Z179" s="13">
        <v>0</v>
      </c>
      <c r="AA179" s="13"/>
      <c r="AB179" s="13">
        <v>0</v>
      </c>
      <c r="AC179" s="13">
        <v>0</v>
      </c>
      <c r="AD179" s="13"/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29">
        <f t="shared" ref="AK179" si="33">+T179*$AK$2*2</f>
        <v>352032000</v>
      </c>
      <c r="AL179" s="161">
        <f t="shared" ref="AL179:AL180" si="34">AK179/$AL$4</f>
        <v>77214.562395539499</v>
      </c>
    </row>
    <row r="180" spans="1:38" s="192" customFormat="1" ht="22" customHeight="1">
      <c r="A180" s="192" t="s">
        <v>17</v>
      </c>
      <c r="B180" s="193">
        <v>2024</v>
      </c>
      <c r="C180" s="193" t="s">
        <v>24</v>
      </c>
      <c r="D180" s="192" t="s">
        <v>206</v>
      </c>
      <c r="E180" s="192" t="s">
        <v>25</v>
      </c>
      <c r="F180" s="194" t="s">
        <v>207</v>
      </c>
      <c r="G180" s="192">
        <v>2</v>
      </c>
      <c r="I180" s="192" t="s">
        <v>14</v>
      </c>
      <c r="J180" s="192" t="s">
        <v>14</v>
      </c>
      <c r="K180" s="194" t="s">
        <v>14</v>
      </c>
      <c r="L180" s="192" t="s">
        <v>209</v>
      </c>
      <c r="M180" s="192" t="s">
        <v>99</v>
      </c>
      <c r="N180" s="204"/>
      <c r="O180" s="205" t="s">
        <v>230</v>
      </c>
      <c r="P180" s="205"/>
      <c r="Q180" s="197"/>
      <c r="R180" s="197"/>
      <c r="S180" s="203">
        <v>3627</v>
      </c>
      <c r="T180" s="197">
        <f t="shared" si="18"/>
        <v>725.4</v>
      </c>
      <c r="U180" s="192" t="s">
        <v>76</v>
      </c>
      <c r="W180" s="199">
        <v>30</v>
      </c>
      <c r="X180" s="200"/>
      <c r="Y180" s="200"/>
      <c r="Z180" s="200"/>
      <c r="AA180" s="200"/>
      <c r="AB180" s="200"/>
      <c r="AC180" s="200"/>
      <c r="AD180" s="200"/>
      <c r="AE180" s="200">
        <v>0</v>
      </c>
      <c r="AF180" s="200">
        <v>0</v>
      </c>
      <c r="AG180" s="200">
        <v>0</v>
      </c>
      <c r="AH180" s="200">
        <v>0</v>
      </c>
      <c r="AI180" s="200">
        <v>0</v>
      </c>
      <c r="AJ180" s="200">
        <f t="shared" ref="AJ180:AJ192" si="35">SUBTOTAL(9,X180:AI180)</f>
        <v>0</v>
      </c>
      <c r="AK180" s="201">
        <f>T180*$AK$2*2</f>
        <v>174096000</v>
      </c>
      <c r="AL180" s="207">
        <f t="shared" si="34"/>
        <v>38186.149142162772</v>
      </c>
    </row>
    <row r="181" spans="1:38" s="14" customFormat="1" ht="22" customHeight="1">
      <c r="A181" s="14" t="s">
        <v>17</v>
      </c>
      <c r="B181" s="15">
        <v>2024</v>
      </c>
      <c r="C181" s="15" t="s">
        <v>24</v>
      </c>
      <c r="D181" s="14" t="s">
        <v>206</v>
      </c>
      <c r="E181" s="14" t="s">
        <v>25</v>
      </c>
      <c r="F181" s="16" t="s">
        <v>207</v>
      </c>
      <c r="G181" s="14">
        <v>1</v>
      </c>
      <c r="I181" s="14" t="s">
        <v>14</v>
      </c>
      <c r="J181" s="14" t="s">
        <v>14</v>
      </c>
      <c r="K181" s="16" t="s">
        <v>14</v>
      </c>
      <c r="L181" s="14" t="s">
        <v>209</v>
      </c>
      <c r="M181" s="14" t="s">
        <v>99</v>
      </c>
      <c r="N181" s="30"/>
      <c r="O181" s="31" t="s">
        <v>231</v>
      </c>
      <c r="P181" s="31"/>
      <c r="Q181" s="19"/>
      <c r="R181" s="19"/>
      <c r="S181" s="189">
        <v>1000</v>
      </c>
      <c r="T181" s="19">
        <f t="shared" si="18"/>
        <v>200</v>
      </c>
      <c r="U181" s="14" t="s">
        <v>77</v>
      </c>
      <c r="W181" s="21">
        <v>30</v>
      </c>
      <c r="X181" s="38">
        <f t="shared" ref="X181:X193" si="36">+S181*$X$2*W181/1000000</f>
        <v>12</v>
      </c>
      <c r="Y181" s="34">
        <v>0</v>
      </c>
      <c r="Z181" s="34">
        <v>0</v>
      </c>
      <c r="AA181" s="13"/>
      <c r="AB181" s="13">
        <f t="shared" ref="AB181:AB193" si="37">+S181*$AB$2*W181/1000000</f>
        <v>1.8</v>
      </c>
      <c r="AC181" s="13">
        <f t="shared" ref="AC181:AC193" si="38">+S181*$AC$2*W181/1000000</f>
        <v>1.05</v>
      </c>
      <c r="AD181" s="13"/>
      <c r="AE181" s="34">
        <v>0</v>
      </c>
      <c r="AF181" s="34">
        <v>0</v>
      </c>
      <c r="AG181" s="34">
        <v>0</v>
      </c>
      <c r="AH181" s="34"/>
      <c r="AI181" s="34">
        <v>0</v>
      </c>
      <c r="AJ181" s="13">
        <f t="shared" si="35"/>
        <v>14.850000000000001</v>
      </c>
      <c r="AK181" s="22"/>
      <c r="AL181" s="35">
        <v>0</v>
      </c>
    </row>
    <row r="182" spans="1:38" s="14" customFormat="1" ht="22" customHeight="1">
      <c r="A182" s="14" t="s">
        <v>17</v>
      </c>
      <c r="B182" s="15">
        <v>2024</v>
      </c>
      <c r="C182" s="15" t="s">
        <v>24</v>
      </c>
      <c r="D182" s="14" t="s">
        <v>206</v>
      </c>
      <c r="E182" s="14" t="s">
        <v>25</v>
      </c>
      <c r="F182" s="16" t="s">
        <v>207</v>
      </c>
      <c r="G182" s="14">
        <v>1</v>
      </c>
      <c r="I182" s="14" t="s">
        <v>78</v>
      </c>
      <c r="J182" s="14" t="s">
        <v>11</v>
      </c>
      <c r="K182" s="16" t="s">
        <v>82</v>
      </c>
      <c r="L182" s="14" t="s">
        <v>171</v>
      </c>
      <c r="M182" s="14" t="s">
        <v>78</v>
      </c>
      <c r="N182" s="17"/>
      <c r="O182" s="18" t="s">
        <v>232</v>
      </c>
      <c r="P182" s="18"/>
      <c r="Q182" s="19"/>
      <c r="R182" s="19"/>
      <c r="S182" s="182">
        <v>6341</v>
      </c>
      <c r="T182" s="19">
        <f t="shared" si="18"/>
        <v>1268.2</v>
      </c>
      <c r="U182" s="14" t="s">
        <v>77</v>
      </c>
      <c r="W182" s="21">
        <v>30</v>
      </c>
      <c r="X182" s="13">
        <f t="shared" si="36"/>
        <v>76.091999999999999</v>
      </c>
      <c r="Y182" s="13">
        <v>0</v>
      </c>
      <c r="Z182" s="13">
        <v>0</v>
      </c>
      <c r="AA182" s="13"/>
      <c r="AB182" s="13">
        <f t="shared" si="37"/>
        <v>11.4138</v>
      </c>
      <c r="AC182" s="13">
        <f t="shared" si="38"/>
        <v>6.6580500000000002</v>
      </c>
      <c r="AD182" s="13"/>
      <c r="AE182" s="13">
        <v>0</v>
      </c>
      <c r="AF182" s="13">
        <v>0</v>
      </c>
      <c r="AG182" s="13">
        <v>0</v>
      </c>
      <c r="AH182" s="13"/>
      <c r="AI182" s="13">
        <v>0</v>
      </c>
      <c r="AJ182" s="13">
        <f t="shared" si="35"/>
        <v>94.163849999999996</v>
      </c>
      <c r="AK182" s="22"/>
      <c r="AL182" s="23">
        <v>0</v>
      </c>
    </row>
    <row r="183" spans="1:38" s="14" customFormat="1" ht="22" customHeight="1">
      <c r="A183" s="14" t="s">
        <v>17</v>
      </c>
      <c r="B183" s="15">
        <v>2024</v>
      </c>
      <c r="C183" s="15" t="s">
        <v>24</v>
      </c>
      <c r="D183" s="14" t="s">
        <v>206</v>
      </c>
      <c r="E183" s="14" t="s">
        <v>25</v>
      </c>
      <c r="F183" s="16" t="s">
        <v>207</v>
      </c>
      <c r="G183" s="14">
        <v>1</v>
      </c>
      <c r="I183" s="14" t="s">
        <v>28</v>
      </c>
      <c r="J183" s="14" t="s">
        <v>11</v>
      </c>
      <c r="K183" s="16" t="s">
        <v>82</v>
      </c>
      <c r="L183" s="14" t="s">
        <v>166</v>
      </c>
      <c r="M183" s="14" t="s">
        <v>28</v>
      </c>
      <c r="N183" s="27"/>
      <c r="O183" s="28" t="s">
        <v>233</v>
      </c>
      <c r="P183" s="28"/>
      <c r="Q183" s="19"/>
      <c r="R183" s="19"/>
      <c r="S183" s="182">
        <v>13542</v>
      </c>
      <c r="T183" s="19">
        <f t="shared" si="18"/>
        <v>2708.4</v>
      </c>
      <c r="U183" s="14" t="s">
        <v>77</v>
      </c>
      <c r="W183" s="21">
        <v>30</v>
      </c>
      <c r="X183" s="13">
        <f t="shared" si="36"/>
        <v>162.50399999999999</v>
      </c>
      <c r="Y183" s="13">
        <v>0</v>
      </c>
      <c r="Z183" s="13">
        <v>0</v>
      </c>
      <c r="AA183" s="13"/>
      <c r="AB183" s="13">
        <f t="shared" si="37"/>
        <v>24.375599999999999</v>
      </c>
      <c r="AC183" s="13">
        <f t="shared" si="38"/>
        <v>14.219099999999999</v>
      </c>
      <c r="AD183" s="13"/>
      <c r="AE183" s="13">
        <v>0</v>
      </c>
      <c r="AF183" s="13">
        <v>0</v>
      </c>
      <c r="AG183" s="13">
        <v>0</v>
      </c>
      <c r="AH183" s="13"/>
      <c r="AI183" s="13">
        <v>0</v>
      </c>
      <c r="AJ183" s="13">
        <f t="shared" si="35"/>
        <v>201.09869999999998</v>
      </c>
      <c r="AK183" s="22"/>
      <c r="AL183" s="23">
        <v>0</v>
      </c>
    </row>
    <row r="184" spans="1:38" s="14" customFormat="1" ht="22" customHeight="1">
      <c r="A184" s="14" t="s">
        <v>17</v>
      </c>
      <c r="B184" s="15">
        <v>2024</v>
      </c>
      <c r="C184" s="15" t="s">
        <v>24</v>
      </c>
      <c r="D184" s="14" t="s">
        <v>206</v>
      </c>
      <c r="E184" s="14" t="s">
        <v>25</v>
      </c>
      <c r="F184" s="16" t="s">
        <v>207</v>
      </c>
      <c r="G184" s="14">
        <v>1</v>
      </c>
      <c r="I184" s="14" t="s">
        <v>12</v>
      </c>
      <c r="J184" s="14" t="s">
        <v>12</v>
      </c>
      <c r="K184" s="16" t="s">
        <v>14</v>
      </c>
      <c r="L184" s="14" t="s">
        <v>209</v>
      </c>
      <c r="M184" s="14" t="s">
        <v>84</v>
      </c>
      <c r="N184" s="27"/>
      <c r="O184" s="28" t="s">
        <v>234</v>
      </c>
      <c r="P184" s="28"/>
      <c r="Q184" s="19"/>
      <c r="R184" s="19"/>
      <c r="S184" s="182">
        <v>18955</v>
      </c>
      <c r="T184" s="19">
        <f t="shared" si="18"/>
        <v>3791</v>
      </c>
      <c r="U184" s="14" t="s">
        <v>77</v>
      </c>
      <c r="W184" s="21">
        <v>30</v>
      </c>
      <c r="X184" s="13">
        <f t="shared" si="36"/>
        <v>227.46</v>
      </c>
      <c r="Y184" s="13">
        <v>0</v>
      </c>
      <c r="Z184" s="13">
        <v>0</v>
      </c>
      <c r="AA184" s="13"/>
      <c r="AB184" s="13">
        <f t="shared" si="37"/>
        <v>34.119</v>
      </c>
      <c r="AC184" s="13">
        <f t="shared" si="38"/>
        <v>19.902750000000001</v>
      </c>
      <c r="AD184" s="13"/>
      <c r="AE184" s="13">
        <v>0</v>
      </c>
      <c r="AF184" s="13">
        <v>0</v>
      </c>
      <c r="AG184" s="13">
        <v>0</v>
      </c>
      <c r="AH184" s="13"/>
      <c r="AI184" s="13">
        <v>0</v>
      </c>
      <c r="AJ184" s="13">
        <f t="shared" si="35"/>
        <v>281.48175000000003</v>
      </c>
      <c r="AK184" s="22"/>
      <c r="AL184" s="23">
        <v>0</v>
      </c>
    </row>
    <row r="185" spans="1:38" s="14" customFormat="1" ht="22" customHeight="1">
      <c r="A185" s="14" t="s">
        <v>17</v>
      </c>
      <c r="B185" s="15">
        <v>2024</v>
      </c>
      <c r="C185" s="15" t="s">
        <v>24</v>
      </c>
      <c r="D185" s="14" t="s">
        <v>206</v>
      </c>
      <c r="E185" s="14" t="s">
        <v>25</v>
      </c>
      <c r="F185" s="16" t="s">
        <v>207</v>
      </c>
      <c r="G185" s="14">
        <v>2</v>
      </c>
      <c r="I185" s="14" t="s">
        <v>14</v>
      </c>
      <c r="J185" s="14" t="s">
        <v>14</v>
      </c>
      <c r="K185" s="16" t="s">
        <v>14</v>
      </c>
      <c r="L185" s="14" t="s">
        <v>209</v>
      </c>
      <c r="M185" s="14" t="s">
        <v>99</v>
      </c>
      <c r="N185" s="30"/>
      <c r="O185" s="31" t="s">
        <v>235</v>
      </c>
      <c r="P185" s="31"/>
      <c r="Q185" s="19"/>
      <c r="R185" s="19"/>
      <c r="S185" s="189">
        <v>10900</v>
      </c>
      <c r="T185" s="19">
        <f t="shared" si="18"/>
        <v>2180</v>
      </c>
      <c r="U185" s="14" t="s">
        <v>77</v>
      </c>
      <c r="W185" s="21">
        <v>30</v>
      </c>
      <c r="X185" s="38">
        <f t="shared" si="36"/>
        <v>130.80000000000001</v>
      </c>
      <c r="Y185" s="34">
        <v>0</v>
      </c>
      <c r="Z185" s="34">
        <v>0</v>
      </c>
      <c r="AA185" s="13"/>
      <c r="AB185" s="13">
        <f t="shared" si="37"/>
        <v>19.62</v>
      </c>
      <c r="AC185" s="13">
        <f t="shared" si="38"/>
        <v>11.445</v>
      </c>
      <c r="AD185" s="13"/>
      <c r="AE185" s="34">
        <v>0</v>
      </c>
      <c r="AF185" s="34">
        <v>0</v>
      </c>
      <c r="AG185" s="34">
        <v>0</v>
      </c>
      <c r="AH185" s="34"/>
      <c r="AI185" s="34">
        <v>0</v>
      </c>
      <c r="AJ185" s="13">
        <f t="shared" si="35"/>
        <v>161.86500000000001</v>
      </c>
      <c r="AK185" s="22"/>
      <c r="AL185" s="35">
        <v>0</v>
      </c>
    </row>
    <row r="186" spans="1:38" s="14" customFormat="1" ht="22" customHeight="1">
      <c r="A186" s="14" t="s">
        <v>17</v>
      </c>
      <c r="B186" s="15">
        <v>2024</v>
      </c>
      <c r="C186" s="15" t="s">
        <v>24</v>
      </c>
      <c r="D186" s="14" t="s">
        <v>206</v>
      </c>
      <c r="E186" s="14" t="s">
        <v>25</v>
      </c>
      <c r="F186" s="16" t="s">
        <v>207</v>
      </c>
      <c r="G186" s="14">
        <v>1</v>
      </c>
      <c r="I186" s="14" t="s">
        <v>28</v>
      </c>
      <c r="J186" s="14" t="s">
        <v>11</v>
      </c>
      <c r="K186" s="16" t="s">
        <v>82</v>
      </c>
      <c r="L186" s="14" t="s">
        <v>166</v>
      </c>
      <c r="M186" s="14" t="s">
        <v>28</v>
      </c>
      <c r="N186" s="24"/>
      <c r="O186" s="25" t="s">
        <v>236</v>
      </c>
      <c r="P186" s="25"/>
      <c r="Q186" s="19"/>
      <c r="R186" s="19"/>
      <c r="S186" s="182">
        <v>5759</v>
      </c>
      <c r="T186" s="19">
        <f t="shared" si="18"/>
        <v>1151.8</v>
      </c>
      <c r="U186" s="14" t="s">
        <v>77</v>
      </c>
      <c r="W186" s="21">
        <v>30</v>
      </c>
      <c r="X186" s="13">
        <f t="shared" si="36"/>
        <v>69.108000000000004</v>
      </c>
      <c r="Y186" s="13">
        <v>0</v>
      </c>
      <c r="Z186" s="13">
        <v>0</v>
      </c>
      <c r="AA186" s="13"/>
      <c r="AB186" s="13">
        <f t="shared" si="37"/>
        <v>10.366199999999999</v>
      </c>
      <c r="AC186" s="13">
        <f t="shared" si="38"/>
        <v>6.0469499999999998</v>
      </c>
      <c r="AD186" s="13"/>
      <c r="AE186" s="13">
        <v>0</v>
      </c>
      <c r="AF186" s="13">
        <v>0</v>
      </c>
      <c r="AG186" s="13">
        <v>0</v>
      </c>
      <c r="AH186" s="13"/>
      <c r="AI186" s="13">
        <v>0</v>
      </c>
      <c r="AJ186" s="13">
        <f t="shared" si="35"/>
        <v>85.521149999999992</v>
      </c>
      <c r="AK186" s="22"/>
      <c r="AL186" s="23">
        <v>0</v>
      </c>
    </row>
    <row r="187" spans="1:38" s="14" customFormat="1" ht="22" customHeight="1">
      <c r="A187" s="14" t="s">
        <v>17</v>
      </c>
      <c r="B187" s="15">
        <v>2024</v>
      </c>
      <c r="C187" s="15" t="s">
        <v>24</v>
      </c>
      <c r="D187" s="14" t="s">
        <v>206</v>
      </c>
      <c r="E187" s="14" t="s">
        <v>25</v>
      </c>
      <c r="F187" s="16" t="s">
        <v>207</v>
      </c>
      <c r="G187" s="14">
        <v>1</v>
      </c>
      <c r="I187" s="14" t="s">
        <v>28</v>
      </c>
      <c r="J187" s="14" t="s">
        <v>11</v>
      </c>
      <c r="K187" s="16" t="s">
        <v>82</v>
      </c>
      <c r="L187" s="14" t="s">
        <v>166</v>
      </c>
      <c r="M187" s="14" t="s">
        <v>28</v>
      </c>
      <c r="N187" s="24"/>
      <c r="O187" s="25" t="s">
        <v>237</v>
      </c>
      <c r="P187" s="25"/>
      <c r="Q187" s="19"/>
      <c r="R187" s="19"/>
      <c r="S187" s="182">
        <v>20745</v>
      </c>
      <c r="T187" s="19">
        <f t="shared" si="18"/>
        <v>4149</v>
      </c>
      <c r="U187" s="14" t="s">
        <v>77</v>
      </c>
      <c r="W187" s="21">
        <v>30</v>
      </c>
      <c r="X187" s="13">
        <f t="shared" si="36"/>
        <v>248.94</v>
      </c>
      <c r="Y187" s="13">
        <v>0</v>
      </c>
      <c r="Z187" s="13">
        <v>0</v>
      </c>
      <c r="AA187" s="13"/>
      <c r="AB187" s="13">
        <f t="shared" si="37"/>
        <v>37.341000000000001</v>
      </c>
      <c r="AC187" s="13">
        <f t="shared" si="38"/>
        <v>21.782250000000001</v>
      </c>
      <c r="AD187" s="13"/>
      <c r="AE187" s="13">
        <v>0</v>
      </c>
      <c r="AF187" s="13">
        <v>0</v>
      </c>
      <c r="AG187" s="13">
        <v>0</v>
      </c>
      <c r="AH187" s="13"/>
      <c r="AI187" s="13">
        <v>0</v>
      </c>
      <c r="AJ187" s="13">
        <f t="shared" si="35"/>
        <v>308.06324999999998</v>
      </c>
      <c r="AK187" s="22"/>
      <c r="AL187" s="23">
        <v>0</v>
      </c>
    </row>
    <row r="188" spans="1:38" s="14" customFormat="1" ht="22" customHeight="1">
      <c r="A188" s="14" t="s">
        <v>17</v>
      </c>
      <c r="B188" s="15">
        <v>2024</v>
      </c>
      <c r="C188" s="15" t="s">
        <v>24</v>
      </c>
      <c r="D188" s="14" t="s">
        <v>206</v>
      </c>
      <c r="E188" s="14" t="s">
        <v>25</v>
      </c>
      <c r="F188" s="16" t="s">
        <v>207</v>
      </c>
      <c r="G188" s="14">
        <v>2</v>
      </c>
      <c r="J188" s="14" t="s">
        <v>13</v>
      </c>
      <c r="K188" s="16"/>
      <c r="L188" s="14" t="s">
        <v>223</v>
      </c>
      <c r="M188" s="14" t="s">
        <v>97</v>
      </c>
      <c r="N188" s="30"/>
      <c r="O188" s="31" t="s">
        <v>238</v>
      </c>
      <c r="P188" s="31"/>
      <c r="Q188" s="19"/>
      <c r="R188" s="19"/>
      <c r="S188" s="184">
        <v>7686</v>
      </c>
      <c r="T188" s="19">
        <f t="shared" si="18"/>
        <v>1537.2</v>
      </c>
      <c r="U188" s="14" t="s">
        <v>77</v>
      </c>
      <c r="W188" s="21">
        <v>30</v>
      </c>
      <c r="X188" s="13">
        <f t="shared" si="36"/>
        <v>92.231999999999999</v>
      </c>
      <c r="Y188" s="34">
        <v>0</v>
      </c>
      <c r="Z188" s="34">
        <v>0</v>
      </c>
      <c r="AA188" s="13"/>
      <c r="AB188" s="13">
        <f t="shared" si="37"/>
        <v>13.8348</v>
      </c>
      <c r="AC188" s="13">
        <f t="shared" si="38"/>
        <v>8.0702999999999996</v>
      </c>
      <c r="AD188" s="13"/>
      <c r="AE188" s="34">
        <v>0</v>
      </c>
      <c r="AF188" s="34">
        <v>0</v>
      </c>
      <c r="AG188" s="34">
        <v>0</v>
      </c>
      <c r="AH188" s="34"/>
      <c r="AI188" s="34">
        <v>0</v>
      </c>
      <c r="AJ188" s="13">
        <f t="shared" si="35"/>
        <v>114.1371</v>
      </c>
      <c r="AK188" s="22"/>
      <c r="AL188" s="35">
        <v>0</v>
      </c>
    </row>
    <row r="189" spans="1:38" s="14" customFormat="1" ht="22" customHeight="1">
      <c r="A189" s="14" t="s">
        <v>17</v>
      </c>
      <c r="B189" s="15">
        <v>2024</v>
      </c>
      <c r="C189" s="15" t="s">
        <v>24</v>
      </c>
      <c r="D189" s="14" t="s">
        <v>206</v>
      </c>
      <c r="E189" s="14" t="s">
        <v>25</v>
      </c>
      <c r="F189" s="16" t="s">
        <v>207</v>
      </c>
      <c r="G189" s="14">
        <v>1</v>
      </c>
      <c r="I189" s="14" t="s">
        <v>78</v>
      </c>
      <c r="J189" s="14" t="s">
        <v>11</v>
      </c>
      <c r="K189" s="16" t="s">
        <v>82</v>
      </c>
      <c r="L189" s="14" t="s">
        <v>171</v>
      </c>
      <c r="M189" s="14" t="s">
        <v>78</v>
      </c>
      <c r="N189" s="24"/>
      <c r="O189" s="25" t="s">
        <v>239</v>
      </c>
      <c r="P189" s="25"/>
      <c r="Q189" s="19"/>
      <c r="R189" s="19"/>
      <c r="S189" s="182">
        <v>6759</v>
      </c>
      <c r="T189" s="19">
        <f t="shared" si="18"/>
        <v>1351.8</v>
      </c>
      <c r="U189" s="14" t="s">
        <v>77</v>
      </c>
      <c r="W189" s="21">
        <v>30</v>
      </c>
      <c r="X189" s="13">
        <f t="shared" si="36"/>
        <v>81.108000000000004</v>
      </c>
      <c r="Y189" s="13">
        <v>0</v>
      </c>
      <c r="Z189" s="13">
        <v>0</v>
      </c>
      <c r="AA189" s="13"/>
      <c r="AB189" s="13">
        <f t="shared" si="37"/>
        <v>12.1662</v>
      </c>
      <c r="AC189" s="13">
        <f t="shared" si="38"/>
        <v>7.0969499999999996</v>
      </c>
      <c r="AD189" s="13"/>
      <c r="AE189" s="13">
        <v>0</v>
      </c>
      <c r="AF189" s="13">
        <v>0</v>
      </c>
      <c r="AG189" s="13">
        <v>0</v>
      </c>
      <c r="AH189" s="13"/>
      <c r="AI189" s="13">
        <v>0</v>
      </c>
      <c r="AJ189" s="13">
        <f t="shared" si="35"/>
        <v>100.37115</v>
      </c>
      <c r="AK189" s="22"/>
      <c r="AL189" s="23">
        <v>0</v>
      </c>
    </row>
    <row r="190" spans="1:38" s="14" customFormat="1" ht="22" customHeight="1">
      <c r="A190" s="14" t="s">
        <v>17</v>
      </c>
      <c r="B190" s="15">
        <v>2024</v>
      </c>
      <c r="C190" s="15" t="s">
        <v>24</v>
      </c>
      <c r="D190" s="14" t="s">
        <v>206</v>
      </c>
      <c r="E190" s="14" t="s">
        <v>25</v>
      </c>
      <c r="F190" s="16" t="s">
        <v>207</v>
      </c>
      <c r="G190" s="14">
        <v>2</v>
      </c>
      <c r="I190" s="14" t="s">
        <v>28</v>
      </c>
      <c r="J190" s="14" t="s">
        <v>11</v>
      </c>
      <c r="K190" s="16" t="s">
        <v>82</v>
      </c>
      <c r="L190" s="14" t="s">
        <v>166</v>
      </c>
      <c r="M190" s="14" t="s">
        <v>28</v>
      </c>
      <c r="N190" s="24"/>
      <c r="O190" s="25" t="s">
        <v>240</v>
      </c>
      <c r="P190" s="25"/>
      <c r="Q190" s="19"/>
      <c r="R190" s="19"/>
      <c r="S190" s="182">
        <v>15242</v>
      </c>
      <c r="T190" s="19">
        <f t="shared" si="18"/>
        <v>3048.4</v>
      </c>
      <c r="U190" s="14" t="s">
        <v>77</v>
      </c>
      <c r="W190" s="21">
        <v>30</v>
      </c>
      <c r="X190" s="13">
        <f t="shared" si="36"/>
        <v>182.904</v>
      </c>
      <c r="Y190" s="13">
        <v>0</v>
      </c>
      <c r="Z190" s="13">
        <v>0</v>
      </c>
      <c r="AA190" s="13"/>
      <c r="AB190" s="13">
        <f t="shared" si="37"/>
        <v>27.435600000000001</v>
      </c>
      <c r="AC190" s="13">
        <f t="shared" si="38"/>
        <v>16.004100000000001</v>
      </c>
      <c r="AD190" s="13"/>
      <c r="AE190" s="13">
        <v>0</v>
      </c>
      <c r="AF190" s="13">
        <v>0</v>
      </c>
      <c r="AG190" s="13">
        <v>0</v>
      </c>
      <c r="AH190" s="13"/>
      <c r="AI190" s="13">
        <v>0</v>
      </c>
      <c r="AJ190" s="13">
        <f t="shared" si="35"/>
        <v>226.34369999999998</v>
      </c>
      <c r="AK190" s="22"/>
      <c r="AL190" s="23">
        <v>0</v>
      </c>
    </row>
    <row r="191" spans="1:38" s="14" customFormat="1" ht="22" customHeight="1">
      <c r="A191" s="14" t="s">
        <v>17</v>
      </c>
      <c r="B191" s="15">
        <v>2024</v>
      </c>
      <c r="C191" s="15" t="s">
        <v>24</v>
      </c>
      <c r="D191" s="14" t="s">
        <v>206</v>
      </c>
      <c r="E191" s="14" t="s">
        <v>25</v>
      </c>
      <c r="F191" s="16" t="s">
        <v>207</v>
      </c>
      <c r="G191" s="14">
        <v>1</v>
      </c>
      <c r="I191" s="14" t="s">
        <v>12</v>
      </c>
      <c r="J191" s="14" t="s">
        <v>12</v>
      </c>
      <c r="K191" s="16" t="s">
        <v>14</v>
      </c>
      <c r="L191" s="14" t="s">
        <v>209</v>
      </c>
      <c r="M191" s="14" t="s">
        <v>84</v>
      </c>
      <c r="N191" s="17"/>
      <c r="O191" s="18" t="s">
        <v>241</v>
      </c>
      <c r="P191" s="18"/>
      <c r="Q191" s="19"/>
      <c r="R191" s="19"/>
      <c r="S191" s="181">
        <v>7940</v>
      </c>
      <c r="T191" s="19">
        <f t="shared" si="18"/>
        <v>1588</v>
      </c>
      <c r="U191" s="14" t="s">
        <v>77</v>
      </c>
      <c r="W191" s="21">
        <v>30</v>
      </c>
      <c r="X191" s="13">
        <f t="shared" si="36"/>
        <v>95.28</v>
      </c>
      <c r="Y191" s="34">
        <v>0</v>
      </c>
      <c r="Z191" s="34">
        <v>0</v>
      </c>
      <c r="AA191" s="13"/>
      <c r="AB191" s="13">
        <f t="shared" si="37"/>
        <v>14.292</v>
      </c>
      <c r="AC191" s="13">
        <f t="shared" si="38"/>
        <v>8.3369999999999997</v>
      </c>
      <c r="AD191" s="13"/>
      <c r="AE191" s="34">
        <v>0</v>
      </c>
      <c r="AF191" s="34">
        <v>0</v>
      </c>
      <c r="AG191" s="34">
        <v>0</v>
      </c>
      <c r="AH191" s="34"/>
      <c r="AI191" s="34">
        <v>0</v>
      </c>
      <c r="AJ191" s="13">
        <f t="shared" si="35"/>
        <v>117.90900000000001</v>
      </c>
      <c r="AK191" s="22"/>
      <c r="AL191" s="35">
        <v>0</v>
      </c>
    </row>
    <row r="192" spans="1:38" s="14" customFormat="1" ht="22" customHeight="1">
      <c r="A192" s="14" t="s">
        <v>17</v>
      </c>
      <c r="B192" s="15">
        <v>2024</v>
      </c>
      <c r="C192" s="15" t="s">
        <v>24</v>
      </c>
      <c r="D192" s="14" t="s">
        <v>206</v>
      </c>
      <c r="E192" s="14" t="s">
        <v>25</v>
      </c>
      <c r="F192" s="16" t="s">
        <v>207</v>
      </c>
      <c r="G192" s="14">
        <v>1</v>
      </c>
      <c r="I192" s="14" t="s">
        <v>14</v>
      </c>
      <c r="J192" s="14" t="s">
        <v>14</v>
      </c>
      <c r="K192" s="16" t="s">
        <v>14</v>
      </c>
      <c r="L192" s="14" t="s">
        <v>209</v>
      </c>
      <c r="M192" s="14" t="s">
        <v>99</v>
      </c>
      <c r="N192" s="30"/>
      <c r="O192" s="31" t="s">
        <v>242</v>
      </c>
      <c r="P192" s="31"/>
      <c r="Q192" s="19"/>
      <c r="R192" s="19"/>
      <c r="S192" s="189">
        <v>3766</v>
      </c>
      <c r="T192" s="19">
        <f t="shared" si="18"/>
        <v>753.2</v>
      </c>
      <c r="U192" s="14" t="s">
        <v>77</v>
      </c>
      <c r="W192" s="21">
        <v>30</v>
      </c>
      <c r="X192" s="38">
        <f t="shared" si="36"/>
        <v>45.192</v>
      </c>
      <c r="Y192" s="34">
        <v>0</v>
      </c>
      <c r="Z192" s="34">
        <v>0</v>
      </c>
      <c r="AA192" s="13"/>
      <c r="AB192" s="13">
        <f t="shared" si="37"/>
        <v>6.7788000000000004</v>
      </c>
      <c r="AC192" s="13">
        <f t="shared" si="38"/>
        <v>3.9542999999999999</v>
      </c>
      <c r="AD192" s="13"/>
      <c r="AE192" s="34">
        <v>0</v>
      </c>
      <c r="AF192" s="34">
        <v>0</v>
      </c>
      <c r="AG192" s="34">
        <v>0</v>
      </c>
      <c r="AH192" s="34"/>
      <c r="AI192" s="34">
        <v>0</v>
      </c>
      <c r="AJ192" s="13">
        <f t="shared" si="35"/>
        <v>55.9251</v>
      </c>
      <c r="AK192" s="22"/>
      <c r="AL192" s="35">
        <v>0</v>
      </c>
    </row>
    <row r="193" spans="1:38" s="14" customFormat="1" ht="22" customHeight="1">
      <c r="A193" s="14" t="s">
        <v>17</v>
      </c>
      <c r="B193" s="15">
        <v>2024</v>
      </c>
      <c r="C193" s="15" t="s">
        <v>24</v>
      </c>
      <c r="D193" s="14" t="s">
        <v>206</v>
      </c>
      <c r="E193" s="14" t="s">
        <v>25</v>
      </c>
      <c r="F193" s="16" t="s">
        <v>207</v>
      </c>
      <c r="G193" s="14">
        <v>1</v>
      </c>
      <c r="I193" s="14" t="s">
        <v>78</v>
      </c>
      <c r="J193" s="14" t="s">
        <v>11</v>
      </c>
      <c r="K193" s="16" t="s">
        <v>82</v>
      </c>
      <c r="L193" s="14" t="s">
        <v>171</v>
      </c>
      <c r="M193" s="14" t="s">
        <v>78</v>
      </c>
      <c r="N193" s="24"/>
      <c r="O193" s="25" t="s">
        <v>243</v>
      </c>
      <c r="P193" s="25"/>
      <c r="Q193" s="19"/>
      <c r="R193" s="19"/>
      <c r="S193" s="182">
        <v>12420</v>
      </c>
      <c r="T193" s="19">
        <f t="shared" si="18"/>
        <v>2484</v>
      </c>
      <c r="U193" s="14" t="s">
        <v>77</v>
      </c>
      <c r="W193" s="21">
        <v>30</v>
      </c>
      <c r="X193" s="13">
        <f t="shared" si="36"/>
        <v>149.04</v>
      </c>
      <c r="Y193" s="13">
        <v>0</v>
      </c>
      <c r="Z193" s="13">
        <v>0</v>
      </c>
      <c r="AA193" s="13"/>
      <c r="AB193" s="13">
        <f t="shared" si="37"/>
        <v>22.356000000000002</v>
      </c>
      <c r="AC193" s="13">
        <f t="shared" si="38"/>
        <v>13.041</v>
      </c>
      <c r="AD193" s="13"/>
      <c r="AE193" s="13">
        <v>0</v>
      </c>
      <c r="AF193" s="13">
        <v>0</v>
      </c>
      <c r="AG193" s="13">
        <v>0</v>
      </c>
      <c r="AH193" s="13"/>
      <c r="AI193" s="13">
        <v>0</v>
      </c>
      <c r="AJ193" s="13">
        <f>SUBTOTAL(9,X193:AI193)</f>
        <v>184.43699999999998</v>
      </c>
      <c r="AK193" s="22"/>
      <c r="AL193" s="23">
        <v>0</v>
      </c>
    </row>
    <row r="194" spans="1:38" s="14" customFormat="1" ht="22" customHeight="1">
      <c r="A194" s="14" t="s">
        <v>17</v>
      </c>
      <c r="B194" s="15">
        <v>2024</v>
      </c>
      <c r="C194" s="15" t="s">
        <v>24</v>
      </c>
      <c r="D194" s="14" t="s">
        <v>206</v>
      </c>
      <c r="E194" s="14" t="s">
        <v>25</v>
      </c>
      <c r="F194" s="16" t="s">
        <v>207</v>
      </c>
      <c r="G194" s="14">
        <v>1</v>
      </c>
      <c r="I194" s="14" t="s">
        <v>11</v>
      </c>
      <c r="J194" s="14" t="s">
        <v>11</v>
      </c>
      <c r="K194" s="16" t="s">
        <v>82</v>
      </c>
      <c r="L194" s="14" t="s">
        <v>171</v>
      </c>
      <c r="M194" s="14" t="s">
        <v>11</v>
      </c>
      <c r="N194" s="24"/>
      <c r="O194" s="25" t="s">
        <v>244</v>
      </c>
      <c r="P194" s="25"/>
      <c r="Q194" s="19"/>
      <c r="R194" s="19"/>
      <c r="S194" s="20">
        <v>26403</v>
      </c>
      <c r="T194" s="19">
        <f t="shared" si="18"/>
        <v>5280.6</v>
      </c>
      <c r="U194" s="14" t="s">
        <v>76</v>
      </c>
      <c r="W194" s="21">
        <v>30</v>
      </c>
      <c r="X194" s="13">
        <v>0</v>
      </c>
      <c r="Y194" s="13">
        <v>0</v>
      </c>
      <c r="Z194" s="13">
        <v>0</v>
      </c>
      <c r="AA194" s="13"/>
      <c r="AB194" s="13">
        <v>0</v>
      </c>
      <c r="AC194" s="13">
        <v>0</v>
      </c>
      <c r="AD194" s="13"/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29">
        <f>+T194*$AK$2*2</f>
        <v>1267344000</v>
      </c>
      <c r="AL194" s="161">
        <f t="shared" ref="AL194" si="39">AK194/$AL$4</f>
        <v>277978.7416047763</v>
      </c>
    </row>
    <row r="195" spans="1:38" s="14" customFormat="1" ht="22" customHeight="1">
      <c r="A195" s="14" t="s">
        <v>17</v>
      </c>
      <c r="B195" s="15">
        <v>2024</v>
      </c>
      <c r="C195" s="15" t="s">
        <v>24</v>
      </c>
      <c r="D195" s="14" t="s">
        <v>206</v>
      </c>
      <c r="E195" s="14" t="s">
        <v>25</v>
      </c>
      <c r="F195" s="16" t="s">
        <v>207</v>
      </c>
      <c r="G195" s="14">
        <v>1</v>
      </c>
      <c r="J195" s="14" t="s">
        <v>13</v>
      </c>
      <c r="K195" s="16"/>
      <c r="L195" s="14" t="s">
        <v>223</v>
      </c>
      <c r="M195" s="14" t="s">
        <v>96</v>
      </c>
      <c r="N195" s="30"/>
      <c r="O195" s="31" t="s">
        <v>245</v>
      </c>
      <c r="P195" s="31"/>
      <c r="Q195" s="19"/>
      <c r="R195" s="19"/>
      <c r="S195" s="184">
        <v>13734</v>
      </c>
      <c r="T195" s="19">
        <f t="shared" si="18"/>
        <v>2746.8</v>
      </c>
      <c r="U195" s="14" t="s">
        <v>77</v>
      </c>
      <c r="W195" s="21">
        <v>30</v>
      </c>
      <c r="X195" s="13">
        <f t="shared" ref="X195:X198" si="40">+S195*$X$2*W195/1000000</f>
        <v>164.80799999999999</v>
      </c>
      <c r="Y195" s="34">
        <v>0</v>
      </c>
      <c r="Z195" s="34">
        <v>0</v>
      </c>
      <c r="AA195" s="13"/>
      <c r="AB195" s="13">
        <f t="shared" ref="AB195:AB198" si="41">+S195*$AB$2*W195/1000000</f>
        <v>24.7212</v>
      </c>
      <c r="AC195" s="13">
        <f t="shared" ref="AC195:AC198" si="42">+S195*$AC$2*W195/1000000</f>
        <v>14.4207</v>
      </c>
      <c r="AD195" s="13"/>
      <c r="AE195" s="34">
        <v>0</v>
      </c>
      <c r="AF195" s="34">
        <v>0</v>
      </c>
      <c r="AG195" s="34">
        <v>0</v>
      </c>
      <c r="AH195" s="34"/>
      <c r="AI195" s="34">
        <v>0</v>
      </c>
      <c r="AJ195" s="13">
        <f>SUBTOTAL(9,X195:AI195)</f>
        <v>203.94990000000001</v>
      </c>
      <c r="AK195" s="22"/>
      <c r="AL195" s="35">
        <v>0</v>
      </c>
    </row>
    <row r="196" spans="1:38" s="14" customFormat="1" ht="22" customHeight="1">
      <c r="A196" s="14" t="s">
        <v>17</v>
      </c>
      <c r="B196" s="15">
        <v>2024</v>
      </c>
      <c r="C196" s="15" t="s">
        <v>24</v>
      </c>
      <c r="D196" s="14" t="s">
        <v>206</v>
      </c>
      <c r="E196" s="14" t="s">
        <v>25</v>
      </c>
      <c r="F196" s="16" t="s">
        <v>207</v>
      </c>
      <c r="G196" s="14">
        <v>1</v>
      </c>
      <c r="J196" s="14" t="s">
        <v>13</v>
      </c>
      <c r="K196" s="16"/>
      <c r="L196" s="14" t="s">
        <v>223</v>
      </c>
      <c r="M196" s="14" t="s">
        <v>93</v>
      </c>
      <c r="N196" s="30"/>
      <c r="O196" s="31" t="s">
        <v>246</v>
      </c>
      <c r="P196" s="31"/>
      <c r="Q196" s="19"/>
      <c r="R196" s="19"/>
      <c r="S196" s="180">
        <v>5174</v>
      </c>
      <c r="T196" s="19">
        <f t="shared" si="18"/>
        <v>1034.8</v>
      </c>
      <c r="U196" s="14" t="s">
        <v>77</v>
      </c>
      <c r="W196" s="21">
        <v>30</v>
      </c>
      <c r="X196" s="13">
        <f t="shared" si="40"/>
        <v>62.088000000000001</v>
      </c>
      <c r="Y196" s="34"/>
      <c r="Z196" s="34"/>
      <c r="AA196" s="13"/>
      <c r="AB196" s="13">
        <f t="shared" ref="AB196" si="43">+S196*$AB$2*W196/1000000</f>
        <v>9.3132000000000001</v>
      </c>
      <c r="AC196" s="13">
        <f t="shared" ref="AC196" si="44">+S196*$AC$2*W196/1000000</f>
        <v>5.4326999999999996</v>
      </c>
      <c r="AD196" s="13"/>
      <c r="AE196" s="34">
        <v>0</v>
      </c>
      <c r="AF196" s="34">
        <v>0</v>
      </c>
      <c r="AG196" s="34">
        <v>0</v>
      </c>
      <c r="AH196" s="34"/>
      <c r="AI196" s="34">
        <v>0</v>
      </c>
      <c r="AJ196" s="13">
        <f t="shared" ref="AJ196:AJ198" si="45">SUBTOTAL(9,X196:AI196)</f>
        <v>76.8339</v>
      </c>
      <c r="AK196" s="22"/>
      <c r="AL196" s="35">
        <f>+AK196/AL4</f>
        <v>0</v>
      </c>
    </row>
    <row r="197" spans="1:38" s="14" customFormat="1" ht="22" customHeight="1">
      <c r="A197" s="14" t="s">
        <v>17</v>
      </c>
      <c r="B197" s="15">
        <v>2024</v>
      </c>
      <c r="C197" s="15" t="s">
        <v>24</v>
      </c>
      <c r="D197" s="14" t="s">
        <v>206</v>
      </c>
      <c r="E197" s="14" t="s">
        <v>25</v>
      </c>
      <c r="F197" s="16" t="s">
        <v>207</v>
      </c>
      <c r="G197" s="14">
        <v>1</v>
      </c>
      <c r="I197" s="14" t="s">
        <v>28</v>
      </c>
      <c r="J197" s="14" t="s">
        <v>11</v>
      </c>
      <c r="K197" s="16" t="s">
        <v>82</v>
      </c>
      <c r="L197" s="14" t="s">
        <v>166</v>
      </c>
      <c r="M197" s="14" t="s">
        <v>28</v>
      </c>
      <c r="N197" s="24"/>
      <c r="O197" s="25" t="s">
        <v>247</v>
      </c>
      <c r="P197" s="25"/>
      <c r="Q197" s="19"/>
      <c r="R197" s="19"/>
      <c r="S197" s="182">
        <v>8462</v>
      </c>
      <c r="T197" s="19">
        <f t="shared" si="18"/>
        <v>1692.4</v>
      </c>
      <c r="U197" s="14" t="s">
        <v>77</v>
      </c>
      <c r="W197" s="21">
        <v>30</v>
      </c>
      <c r="X197" s="13">
        <f t="shared" si="40"/>
        <v>101.544</v>
      </c>
      <c r="Y197" s="13">
        <v>0</v>
      </c>
      <c r="Z197" s="13">
        <v>0</v>
      </c>
      <c r="AA197" s="13"/>
      <c r="AB197" s="13">
        <f t="shared" si="41"/>
        <v>15.2316</v>
      </c>
      <c r="AC197" s="13">
        <f t="shared" si="42"/>
        <v>8.8850999999999996</v>
      </c>
      <c r="AD197" s="13"/>
      <c r="AE197" s="13">
        <v>0</v>
      </c>
      <c r="AF197" s="13">
        <v>0</v>
      </c>
      <c r="AG197" s="13">
        <v>0</v>
      </c>
      <c r="AH197" s="13"/>
      <c r="AI197" s="13">
        <v>0</v>
      </c>
      <c r="AJ197" s="13">
        <f t="shared" si="45"/>
        <v>125.66069999999999</v>
      </c>
      <c r="AK197" s="22"/>
      <c r="AL197" s="23">
        <v>0</v>
      </c>
    </row>
    <row r="198" spans="1:38" s="14" customFormat="1" ht="22" customHeight="1">
      <c r="A198" s="14" t="s">
        <v>17</v>
      </c>
      <c r="B198" s="15">
        <v>2024</v>
      </c>
      <c r="C198" s="15" t="s">
        <v>24</v>
      </c>
      <c r="D198" s="14" t="s">
        <v>206</v>
      </c>
      <c r="E198" s="14" t="s">
        <v>25</v>
      </c>
      <c r="F198" s="16" t="s">
        <v>207</v>
      </c>
      <c r="G198" s="14">
        <v>2</v>
      </c>
      <c r="I198" s="14" t="s">
        <v>28</v>
      </c>
      <c r="J198" s="14" t="s">
        <v>11</v>
      </c>
      <c r="K198" s="16" t="s">
        <v>82</v>
      </c>
      <c r="L198" s="14" t="s">
        <v>166</v>
      </c>
      <c r="M198" s="14" t="s">
        <v>28</v>
      </c>
      <c r="N198" s="27"/>
      <c r="O198" s="28" t="s">
        <v>248</v>
      </c>
      <c r="P198" s="28"/>
      <c r="Q198" s="19"/>
      <c r="R198" s="19"/>
      <c r="S198" s="182">
        <v>11033</v>
      </c>
      <c r="T198" s="19">
        <f t="shared" si="18"/>
        <v>2206.6</v>
      </c>
      <c r="U198" s="14" t="s">
        <v>77</v>
      </c>
      <c r="W198" s="21">
        <v>30</v>
      </c>
      <c r="X198" s="13">
        <f t="shared" si="40"/>
        <v>132.39599999999999</v>
      </c>
      <c r="Y198" s="13">
        <v>0</v>
      </c>
      <c r="Z198" s="13">
        <v>0</v>
      </c>
      <c r="AA198" s="13"/>
      <c r="AB198" s="13">
        <f t="shared" si="41"/>
        <v>19.859400000000001</v>
      </c>
      <c r="AC198" s="13">
        <f t="shared" si="42"/>
        <v>11.58465</v>
      </c>
      <c r="AD198" s="13"/>
      <c r="AE198" s="13">
        <v>0</v>
      </c>
      <c r="AF198" s="13">
        <v>0</v>
      </c>
      <c r="AG198" s="13">
        <v>0</v>
      </c>
      <c r="AH198" s="13"/>
      <c r="AI198" s="13">
        <v>0</v>
      </c>
      <c r="AJ198" s="13">
        <f t="shared" si="45"/>
        <v>163.84004999999999</v>
      </c>
      <c r="AK198" s="22"/>
      <c r="AL198" s="23">
        <v>0</v>
      </c>
    </row>
    <row r="199" spans="1:38" s="14" customFormat="1" ht="22" customHeight="1">
      <c r="A199" s="14" t="s">
        <v>17</v>
      </c>
      <c r="B199" s="15">
        <v>2024</v>
      </c>
      <c r="C199" s="15" t="s">
        <v>24</v>
      </c>
      <c r="D199" s="14" t="s">
        <v>206</v>
      </c>
      <c r="E199" s="14" t="s">
        <v>25</v>
      </c>
      <c r="F199" s="16" t="s">
        <v>207</v>
      </c>
      <c r="G199" s="14">
        <v>1</v>
      </c>
      <c r="J199" s="14" t="s">
        <v>13</v>
      </c>
      <c r="K199" s="16"/>
      <c r="L199" s="14" t="s">
        <v>223</v>
      </c>
      <c r="M199" s="14" t="s">
        <v>93</v>
      </c>
      <c r="N199" s="27"/>
      <c r="O199" s="185" t="s">
        <v>249</v>
      </c>
      <c r="P199" s="28"/>
      <c r="Q199" s="19"/>
      <c r="R199" s="19"/>
      <c r="S199" s="180">
        <v>10257</v>
      </c>
      <c r="T199" s="19">
        <f t="shared" si="18"/>
        <v>2051.4</v>
      </c>
      <c r="U199" s="14" t="s">
        <v>76</v>
      </c>
      <c r="W199" s="21">
        <v>30</v>
      </c>
      <c r="X199" s="13">
        <v>0</v>
      </c>
      <c r="Y199" s="13">
        <v>0</v>
      </c>
      <c r="Z199" s="13">
        <v>0</v>
      </c>
      <c r="AA199" s="13"/>
      <c r="AB199" s="13">
        <v>0</v>
      </c>
      <c r="AC199" s="13">
        <v>0</v>
      </c>
      <c r="AD199" s="13"/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29">
        <f t="shared" ref="AK199:AK202" si="46">+T199*$AK$2*2</f>
        <v>492336000</v>
      </c>
      <c r="AL199" s="161">
        <f t="shared" ref="AL199:AL202" si="47">AK199/$AL$4</f>
        <v>107988.78735901945</v>
      </c>
    </row>
    <row r="200" spans="1:38" s="14" customFormat="1" ht="22" customHeight="1">
      <c r="A200" s="14" t="s">
        <v>17</v>
      </c>
      <c r="B200" s="15">
        <v>2024</v>
      </c>
      <c r="C200" s="15" t="s">
        <v>24</v>
      </c>
      <c r="D200" s="14" t="s">
        <v>206</v>
      </c>
      <c r="E200" s="14" t="s">
        <v>25</v>
      </c>
      <c r="F200" s="16" t="s">
        <v>207</v>
      </c>
      <c r="G200" s="14">
        <v>1</v>
      </c>
      <c r="J200" s="14" t="s">
        <v>13</v>
      </c>
      <c r="K200" s="16"/>
      <c r="L200" s="14" t="s">
        <v>215</v>
      </c>
      <c r="M200" s="14" t="s">
        <v>95</v>
      </c>
      <c r="N200" s="27"/>
      <c r="O200" s="185" t="s">
        <v>250</v>
      </c>
      <c r="P200" s="28"/>
      <c r="Q200" s="19"/>
      <c r="R200" s="19"/>
      <c r="S200" s="180">
        <v>10240</v>
      </c>
      <c r="T200" s="19">
        <f t="shared" si="18"/>
        <v>2048</v>
      </c>
      <c r="U200" s="14" t="s">
        <v>76</v>
      </c>
      <c r="W200" s="21">
        <v>30</v>
      </c>
      <c r="X200" s="13">
        <v>0</v>
      </c>
      <c r="Y200" s="13">
        <v>0</v>
      </c>
      <c r="Z200" s="13">
        <v>0</v>
      </c>
      <c r="AA200" s="13"/>
      <c r="AB200" s="13">
        <v>0</v>
      </c>
      <c r="AC200" s="13">
        <v>0</v>
      </c>
      <c r="AD200" s="13"/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29">
        <f t="shared" si="46"/>
        <v>491520000</v>
      </c>
      <c r="AL200" s="161">
        <f t="shared" si="47"/>
        <v>107809.8062353865</v>
      </c>
    </row>
    <row r="201" spans="1:38" s="14" customFormat="1" ht="22" customHeight="1">
      <c r="A201" s="14" t="s">
        <v>17</v>
      </c>
      <c r="B201" s="15">
        <v>2024</v>
      </c>
      <c r="C201" s="15" t="s">
        <v>24</v>
      </c>
      <c r="D201" s="14" t="s">
        <v>206</v>
      </c>
      <c r="E201" s="14" t="s">
        <v>25</v>
      </c>
      <c r="F201" s="16" t="s">
        <v>207</v>
      </c>
      <c r="G201" s="14">
        <v>1</v>
      </c>
      <c r="J201" s="14" t="s">
        <v>13</v>
      </c>
      <c r="K201" s="16"/>
      <c r="L201" s="14" t="s">
        <v>215</v>
      </c>
      <c r="M201" s="14" t="s">
        <v>95</v>
      </c>
      <c r="N201" s="27"/>
      <c r="O201" s="28" t="s">
        <v>251</v>
      </c>
      <c r="P201" s="28"/>
      <c r="Q201" s="19"/>
      <c r="R201" s="19"/>
      <c r="S201" s="20">
        <v>12803</v>
      </c>
      <c r="T201" s="19">
        <f t="shared" si="18"/>
        <v>2560.6</v>
      </c>
      <c r="U201" s="14" t="s">
        <v>76</v>
      </c>
      <c r="W201" s="21">
        <v>30</v>
      </c>
      <c r="X201" s="13">
        <v>0</v>
      </c>
      <c r="Y201" s="13">
        <v>0</v>
      </c>
      <c r="Z201" s="13">
        <v>0</v>
      </c>
      <c r="AA201" s="13"/>
      <c r="AB201" s="13">
        <v>0</v>
      </c>
      <c r="AC201" s="13">
        <v>0</v>
      </c>
      <c r="AD201" s="13"/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29">
        <f t="shared" si="46"/>
        <v>614544000</v>
      </c>
      <c r="AL201" s="161">
        <f t="shared" si="47"/>
        <v>134793.84269840363</v>
      </c>
    </row>
    <row r="202" spans="1:38" s="14" customFormat="1" ht="22" customHeight="1">
      <c r="A202" s="14" t="s">
        <v>17</v>
      </c>
      <c r="B202" s="15">
        <v>2024</v>
      </c>
      <c r="C202" s="15" t="s">
        <v>24</v>
      </c>
      <c r="D202" s="14" t="s">
        <v>206</v>
      </c>
      <c r="E202" s="14" t="s">
        <v>25</v>
      </c>
      <c r="F202" s="16" t="s">
        <v>207</v>
      </c>
      <c r="G202" s="14">
        <v>2</v>
      </c>
      <c r="J202" s="14" t="s">
        <v>13</v>
      </c>
      <c r="K202" s="16"/>
      <c r="L202" s="14" t="s">
        <v>223</v>
      </c>
      <c r="M202" s="14" t="s">
        <v>94</v>
      </c>
      <c r="N202" s="36"/>
      <c r="O202" s="186" t="s">
        <v>252</v>
      </c>
      <c r="P202" s="37"/>
      <c r="Q202" s="19"/>
      <c r="R202" s="19"/>
      <c r="S202" s="180">
        <v>7475</v>
      </c>
      <c r="T202" s="19">
        <f t="shared" si="18"/>
        <v>1495</v>
      </c>
      <c r="U202" s="14" t="s">
        <v>76</v>
      </c>
      <c r="W202" s="21">
        <v>30</v>
      </c>
      <c r="X202" s="13">
        <v>0</v>
      </c>
      <c r="Y202" s="13">
        <v>0</v>
      </c>
      <c r="Z202" s="13">
        <v>0</v>
      </c>
      <c r="AA202" s="13"/>
      <c r="AB202" s="13">
        <v>0</v>
      </c>
      <c r="AC202" s="13">
        <v>0</v>
      </c>
      <c r="AD202" s="13"/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29">
        <f t="shared" si="46"/>
        <v>358800000</v>
      </c>
      <c r="AL202" s="161">
        <f t="shared" si="47"/>
        <v>78699.052891554107</v>
      </c>
    </row>
    <row r="203" spans="1:38" s="14" customFormat="1" ht="22" customHeight="1">
      <c r="A203" s="14" t="s">
        <v>17</v>
      </c>
      <c r="B203" s="15">
        <v>2024</v>
      </c>
      <c r="C203" s="15" t="s">
        <v>24</v>
      </c>
      <c r="D203" s="14" t="s">
        <v>206</v>
      </c>
      <c r="E203" s="14" t="s">
        <v>25</v>
      </c>
      <c r="F203" s="16" t="s">
        <v>207</v>
      </c>
      <c r="G203" s="14">
        <v>1</v>
      </c>
      <c r="I203" s="14" t="s">
        <v>11</v>
      </c>
      <c r="J203" s="14" t="s">
        <v>11</v>
      </c>
      <c r="K203" s="16" t="s">
        <v>82</v>
      </c>
      <c r="L203" s="14" t="s">
        <v>171</v>
      </c>
      <c r="M203" s="14" t="s">
        <v>11</v>
      </c>
      <c r="N203" s="24"/>
      <c r="O203" s="25" t="s">
        <v>253</v>
      </c>
      <c r="P203" s="25"/>
      <c r="Q203" s="19"/>
      <c r="R203" s="19"/>
      <c r="S203" s="181">
        <v>26677</v>
      </c>
      <c r="T203" s="19">
        <f t="shared" si="18"/>
        <v>5335.4</v>
      </c>
      <c r="U203" s="14" t="s">
        <v>77</v>
      </c>
      <c r="W203" s="21">
        <v>30</v>
      </c>
      <c r="X203" s="13">
        <f t="shared" ref="X203:X206" si="48">+S203*$X$2*W203/1000000</f>
        <v>320.12400000000002</v>
      </c>
      <c r="Y203" s="13">
        <v>0</v>
      </c>
      <c r="Z203" s="13">
        <v>0</v>
      </c>
      <c r="AA203" s="13"/>
      <c r="AB203" s="13">
        <f t="shared" ref="AB203:AB204" si="49">+S203*$AB$2*W203/1000000</f>
        <v>48.018599999999999</v>
      </c>
      <c r="AC203" s="13">
        <f t="shared" ref="AC203:AC204" si="50">+S203*$AC$2*W203/1000000</f>
        <v>28.010850000000001</v>
      </c>
      <c r="AD203" s="13"/>
      <c r="AE203" s="13">
        <v>0</v>
      </c>
      <c r="AF203" s="13">
        <v>0</v>
      </c>
      <c r="AG203" s="13">
        <v>0</v>
      </c>
      <c r="AH203" s="13"/>
      <c r="AI203" s="13">
        <v>0</v>
      </c>
      <c r="AJ203" s="13">
        <f>SUBTOTAL(9,X203:AI203)</f>
        <v>396.15345000000002</v>
      </c>
      <c r="AK203" s="29"/>
      <c r="AL203" s="23">
        <v>0</v>
      </c>
    </row>
    <row r="204" spans="1:38" s="14" customFormat="1" ht="22" customHeight="1">
      <c r="A204" s="14" t="s">
        <v>17</v>
      </c>
      <c r="B204" s="15">
        <v>2024</v>
      </c>
      <c r="C204" s="15" t="s">
        <v>24</v>
      </c>
      <c r="D204" s="14" t="s">
        <v>206</v>
      </c>
      <c r="E204" s="14" t="s">
        <v>25</v>
      </c>
      <c r="F204" s="16" t="s">
        <v>207</v>
      </c>
      <c r="G204" s="14">
        <v>2</v>
      </c>
      <c r="I204" s="14" t="s">
        <v>14</v>
      </c>
      <c r="J204" s="14" t="s">
        <v>14</v>
      </c>
      <c r="K204" s="16" t="s">
        <v>14</v>
      </c>
      <c r="L204" s="14" t="s">
        <v>209</v>
      </c>
      <c r="M204" s="14" t="s">
        <v>99</v>
      </c>
      <c r="N204" s="30"/>
      <c r="O204" s="31" t="s">
        <v>254</v>
      </c>
      <c r="P204" s="31"/>
      <c r="Q204" s="19"/>
      <c r="R204" s="19"/>
      <c r="S204" s="189">
        <v>8716</v>
      </c>
      <c r="T204" s="19">
        <f t="shared" si="18"/>
        <v>1743.2</v>
      </c>
      <c r="U204" s="14" t="s">
        <v>77</v>
      </c>
      <c r="W204" s="21">
        <v>30</v>
      </c>
      <c r="X204" s="13">
        <f t="shared" si="48"/>
        <v>104.592</v>
      </c>
      <c r="Y204" s="34">
        <v>0</v>
      </c>
      <c r="Z204" s="34">
        <v>0</v>
      </c>
      <c r="AA204" s="13"/>
      <c r="AB204" s="13">
        <f t="shared" si="49"/>
        <v>15.688800000000001</v>
      </c>
      <c r="AC204" s="13">
        <f t="shared" si="50"/>
        <v>9.1517999999999997</v>
      </c>
      <c r="AD204" s="13"/>
      <c r="AE204" s="34">
        <v>0</v>
      </c>
      <c r="AF204" s="34">
        <v>0</v>
      </c>
      <c r="AG204" s="34">
        <v>0</v>
      </c>
      <c r="AH204" s="34"/>
      <c r="AI204" s="34">
        <v>0</v>
      </c>
      <c r="AJ204" s="13">
        <f t="shared" ref="AJ204" si="51">SUBTOTAL(9,X204:AI204)</f>
        <v>129.43260000000001</v>
      </c>
      <c r="AK204" s="22"/>
      <c r="AL204" s="35">
        <v>0</v>
      </c>
    </row>
    <row r="205" spans="1:38" s="192" customFormat="1" ht="22" customHeight="1">
      <c r="A205" s="192" t="s">
        <v>17</v>
      </c>
      <c r="B205" s="193">
        <v>2024</v>
      </c>
      <c r="C205" s="193" t="s">
        <v>24</v>
      </c>
      <c r="D205" s="192" t="s">
        <v>206</v>
      </c>
      <c r="E205" s="192" t="s">
        <v>25</v>
      </c>
      <c r="F205" s="194" t="s">
        <v>207</v>
      </c>
      <c r="G205" s="192">
        <v>1</v>
      </c>
      <c r="J205" s="192" t="s">
        <v>13</v>
      </c>
      <c r="K205" s="194"/>
      <c r="L205" s="192" t="s">
        <v>223</v>
      </c>
      <c r="M205" s="192" t="s">
        <v>96</v>
      </c>
      <c r="N205" s="204"/>
      <c r="O205" s="205" t="s">
        <v>255</v>
      </c>
      <c r="P205" s="205"/>
      <c r="Q205" s="197"/>
      <c r="R205" s="197"/>
      <c r="S205" s="206">
        <v>4868</v>
      </c>
      <c r="T205" s="197">
        <f t="shared" si="18"/>
        <v>973.6</v>
      </c>
      <c r="U205" s="192" t="s">
        <v>256</v>
      </c>
      <c r="W205" s="199">
        <v>30</v>
      </c>
      <c r="X205" s="200"/>
      <c r="Y205" s="200"/>
      <c r="Z205" s="200"/>
      <c r="AA205" s="200"/>
      <c r="AB205" s="200"/>
      <c r="AC205" s="200"/>
      <c r="AD205" s="200"/>
      <c r="AE205" s="200">
        <v>0</v>
      </c>
      <c r="AF205" s="200">
        <v>0</v>
      </c>
      <c r="AG205" s="200">
        <v>0</v>
      </c>
      <c r="AH205" s="200"/>
      <c r="AI205" s="200">
        <v>0</v>
      </c>
      <c r="AJ205" s="200">
        <f t="shared" ref="AJ205:AJ209" si="52">SUBTOTAL(9,X205:AI205)</f>
        <v>0</v>
      </c>
      <c r="AK205" s="201">
        <f>T205*AK2*2</f>
        <v>233664000</v>
      </c>
      <c r="AL205" s="202">
        <f>+AK205/AL4</f>
        <v>51251.771167369283</v>
      </c>
    </row>
    <row r="206" spans="1:38" s="14" customFormat="1" ht="22" customHeight="1">
      <c r="A206" s="14" t="s">
        <v>17</v>
      </c>
      <c r="B206" s="15">
        <v>2024</v>
      </c>
      <c r="C206" s="15" t="s">
        <v>24</v>
      </c>
      <c r="D206" s="14" t="s">
        <v>206</v>
      </c>
      <c r="E206" s="14" t="s">
        <v>25</v>
      </c>
      <c r="F206" s="16" t="s">
        <v>207</v>
      </c>
      <c r="G206" s="14">
        <v>1</v>
      </c>
      <c r="I206" s="14" t="s">
        <v>14</v>
      </c>
      <c r="J206" s="14" t="s">
        <v>14</v>
      </c>
      <c r="K206" s="16" t="s">
        <v>14</v>
      </c>
      <c r="L206" s="14" t="s">
        <v>209</v>
      </c>
      <c r="M206" s="14" t="s">
        <v>99</v>
      </c>
      <c r="N206" s="27"/>
      <c r="O206" s="28" t="s">
        <v>257</v>
      </c>
      <c r="P206" s="28"/>
      <c r="Q206" s="19"/>
      <c r="R206" s="19"/>
      <c r="S206" s="189">
        <v>6455</v>
      </c>
      <c r="T206" s="19">
        <f t="shared" si="18"/>
        <v>1291</v>
      </c>
      <c r="U206" s="14" t="s">
        <v>77</v>
      </c>
      <c r="W206" s="21">
        <v>30</v>
      </c>
      <c r="X206" s="13">
        <f t="shared" si="48"/>
        <v>77.459999999999994</v>
      </c>
      <c r="Y206" s="13">
        <v>0</v>
      </c>
      <c r="Z206" s="13">
        <v>0</v>
      </c>
      <c r="AA206" s="13"/>
      <c r="AB206" s="13">
        <f t="shared" ref="AB206" si="53">+S206*$AB$2*W206/1000000</f>
        <v>11.619</v>
      </c>
      <c r="AC206" s="13">
        <f t="shared" ref="AC206" si="54">+S206*$AC$2*W206/1000000</f>
        <v>6.7777500000000002</v>
      </c>
      <c r="AD206" s="13"/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f t="shared" si="52"/>
        <v>95.856749999999991</v>
      </c>
      <c r="AK206" s="29"/>
      <c r="AL206" s="161">
        <f t="shared" ref="AL206" si="55">AK206/$AL$4</f>
        <v>0</v>
      </c>
    </row>
    <row r="207" spans="1:38" s="14" customFormat="1" ht="22" customHeight="1">
      <c r="A207" s="14" t="s">
        <v>17</v>
      </c>
      <c r="B207" s="15">
        <v>2024</v>
      </c>
      <c r="C207" s="15" t="s">
        <v>24</v>
      </c>
      <c r="D207" s="14" t="s">
        <v>206</v>
      </c>
      <c r="E207" s="14" t="s">
        <v>25</v>
      </c>
      <c r="F207" s="16" t="s">
        <v>207</v>
      </c>
      <c r="G207" s="14">
        <v>1</v>
      </c>
      <c r="J207" s="14" t="s">
        <v>13</v>
      </c>
      <c r="K207" s="16"/>
      <c r="L207" s="14" t="s">
        <v>223</v>
      </c>
      <c r="M207" s="14" t="s">
        <v>96</v>
      </c>
      <c r="N207" s="30"/>
      <c r="O207" s="31" t="s">
        <v>258</v>
      </c>
      <c r="P207" s="31"/>
      <c r="Q207" s="19"/>
      <c r="R207" s="19"/>
      <c r="S207" s="180">
        <v>4267</v>
      </c>
      <c r="T207" s="19">
        <f t="shared" si="18"/>
        <v>853.4</v>
      </c>
      <c r="U207" s="14" t="s">
        <v>77</v>
      </c>
      <c r="W207" s="21">
        <v>30</v>
      </c>
      <c r="X207" s="13">
        <f t="shared" ref="X207:X211" si="56">+S207*$X$2*W207/1000000</f>
        <v>51.204000000000001</v>
      </c>
      <c r="Y207" s="34">
        <v>0</v>
      </c>
      <c r="Z207" s="34">
        <v>0</v>
      </c>
      <c r="AA207" s="13"/>
      <c r="AB207" s="13">
        <f t="shared" ref="AB207:AB211" si="57">+S207*$AB$2*W207/1000000</f>
        <v>7.6806000000000001</v>
      </c>
      <c r="AC207" s="13">
        <f t="shared" ref="AC207:AC211" si="58">+S207*$AC$2*W207/1000000</f>
        <v>4.4803499999999996</v>
      </c>
      <c r="AD207" s="13"/>
      <c r="AE207" s="34">
        <v>0</v>
      </c>
      <c r="AF207" s="34">
        <v>0</v>
      </c>
      <c r="AG207" s="34">
        <v>0</v>
      </c>
      <c r="AH207" s="34"/>
      <c r="AI207" s="34">
        <v>0</v>
      </c>
      <c r="AJ207" s="13">
        <f t="shared" si="52"/>
        <v>63.36495</v>
      </c>
      <c r="AK207" s="22"/>
      <c r="AL207" s="35">
        <v>0</v>
      </c>
    </row>
    <row r="208" spans="1:38" s="14" customFormat="1" ht="22" customHeight="1">
      <c r="A208" s="14" t="s">
        <v>17</v>
      </c>
      <c r="B208" s="15">
        <v>2024</v>
      </c>
      <c r="C208" s="15" t="s">
        <v>24</v>
      </c>
      <c r="D208" s="14" t="s">
        <v>206</v>
      </c>
      <c r="E208" s="14" t="s">
        <v>25</v>
      </c>
      <c r="F208" s="16" t="s">
        <v>207</v>
      </c>
      <c r="G208" s="14">
        <v>1</v>
      </c>
      <c r="I208" s="14" t="s">
        <v>114</v>
      </c>
      <c r="J208" s="14" t="s">
        <v>11</v>
      </c>
      <c r="K208" s="16" t="s">
        <v>82</v>
      </c>
      <c r="L208" s="14" t="s">
        <v>171</v>
      </c>
      <c r="M208" s="14" t="s">
        <v>80</v>
      </c>
      <c r="N208" s="24"/>
      <c r="O208" s="25" t="s">
        <v>259</v>
      </c>
      <c r="P208" s="25"/>
      <c r="Q208" s="19"/>
      <c r="R208" s="19"/>
      <c r="S208" s="182">
        <v>12629</v>
      </c>
      <c r="T208" s="19">
        <f t="shared" si="18"/>
        <v>2525.8000000000002</v>
      </c>
      <c r="U208" s="14" t="s">
        <v>77</v>
      </c>
      <c r="W208" s="21">
        <v>30</v>
      </c>
      <c r="X208" s="13">
        <f t="shared" si="56"/>
        <v>151.548</v>
      </c>
      <c r="Y208" s="13">
        <v>0</v>
      </c>
      <c r="Z208" s="13">
        <v>0</v>
      </c>
      <c r="AA208" s="13"/>
      <c r="AB208" s="13">
        <f t="shared" si="57"/>
        <v>22.732199999999999</v>
      </c>
      <c r="AC208" s="13">
        <f t="shared" si="58"/>
        <v>13.260450000000001</v>
      </c>
      <c r="AD208" s="13"/>
      <c r="AE208" s="13">
        <v>0</v>
      </c>
      <c r="AF208" s="13">
        <v>0</v>
      </c>
      <c r="AG208" s="13">
        <v>0</v>
      </c>
      <c r="AH208" s="13"/>
      <c r="AI208" s="13">
        <v>0</v>
      </c>
      <c r="AJ208" s="13">
        <f>SUBTOTAL(9,X208:AI208)</f>
        <v>187.54065</v>
      </c>
      <c r="AK208" s="22"/>
      <c r="AL208" s="23">
        <v>0</v>
      </c>
    </row>
    <row r="209" spans="1:42" s="14" customFormat="1" ht="22" customHeight="1">
      <c r="A209" s="14" t="s">
        <v>17</v>
      </c>
      <c r="B209" s="15">
        <v>2024</v>
      </c>
      <c r="C209" s="15" t="s">
        <v>24</v>
      </c>
      <c r="D209" s="14" t="s">
        <v>206</v>
      </c>
      <c r="E209" s="14" t="s">
        <v>25</v>
      </c>
      <c r="F209" s="16" t="s">
        <v>207</v>
      </c>
      <c r="G209" s="14">
        <v>1</v>
      </c>
      <c r="J209" s="14" t="s">
        <v>13</v>
      </c>
      <c r="K209" s="16"/>
      <c r="L209" s="14" t="s">
        <v>223</v>
      </c>
      <c r="M209" s="14" t="s">
        <v>96</v>
      </c>
      <c r="N209" s="30"/>
      <c r="O209" s="31" t="s">
        <v>260</v>
      </c>
      <c r="P209" s="31"/>
      <c r="Q209" s="19"/>
      <c r="R209" s="19"/>
      <c r="S209" s="180">
        <v>19824</v>
      </c>
      <c r="T209" s="19">
        <f t="shared" si="18"/>
        <v>3964.8</v>
      </c>
      <c r="U209" s="14" t="s">
        <v>77</v>
      </c>
      <c r="W209" s="21">
        <v>30</v>
      </c>
      <c r="X209" s="13">
        <f t="shared" si="56"/>
        <v>237.88800000000001</v>
      </c>
      <c r="Y209" s="34">
        <v>0</v>
      </c>
      <c r="Z209" s="34">
        <v>0</v>
      </c>
      <c r="AA209" s="13"/>
      <c r="AB209" s="13">
        <f t="shared" si="57"/>
        <v>35.683199999999999</v>
      </c>
      <c r="AC209" s="13">
        <f t="shared" si="58"/>
        <v>20.815200000000001</v>
      </c>
      <c r="AD209" s="13"/>
      <c r="AE209" s="34">
        <v>0</v>
      </c>
      <c r="AF209" s="34">
        <v>0</v>
      </c>
      <c r="AG209" s="34">
        <v>0</v>
      </c>
      <c r="AH209" s="34"/>
      <c r="AI209" s="34">
        <v>0</v>
      </c>
      <c r="AJ209" s="13">
        <f t="shared" si="52"/>
        <v>294.38639999999998</v>
      </c>
      <c r="AK209" s="22"/>
      <c r="AL209" s="35">
        <v>0</v>
      </c>
    </row>
    <row r="210" spans="1:42" s="192" customFormat="1" ht="22" customHeight="1">
      <c r="A210" s="192" t="s">
        <v>17</v>
      </c>
      <c r="B210" s="193">
        <v>2024</v>
      </c>
      <c r="C210" s="193" t="s">
        <v>24</v>
      </c>
      <c r="D210" s="192" t="s">
        <v>206</v>
      </c>
      <c r="E210" s="192" t="s">
        <v>25</v>
      </c>
      <c r="F210" s="194" t="s">
        <v>207</v>
      </c>
      <c r="G210" s="192">
        <v>1</v>
      </c>
      <c r="J210" s="192" t="s">
        <v>13</v>
      </c>
      <c r="K210" s="194"/>
      <c r="L210" s="192" t="s">
        <v>223</v>
      </c>
      <c r="M210" s="192" t="s">
        <v>96</v>
      </c>
      <c r="N210" s="204"/>
      <c r="O210" s="205" t="s">
        <v>261</v>
      </c>
      <c r="P210" s="205"/>
      <c r="Q210" s="197"/>
      <c r="R210" s="197"/>
      <c r="S210" s="206">
        <v>17521</v>
      </c>
      <c r="T210" s="197">
        <f t="shared" si="18"/>
        <v>3504.2</v>
      </c>
      <c r="U210" s="192" t="s">
        <v>76</v>
      </c>
      <c r="W210" s="199">
        <v>30</v>
      </c>
      <c r="X210" s="200"/>
      <c r="Y210" s="200"/>
      <c r="Z210" s="200"/>
      <c r="AA210" s="200"/>
      <c r="AB210" s="200"/>
      <c r="AC210" s="200"/>
      <c r="AD210" s="200"/>
      <c r="AE210" s="200">
        <v>0</v>
      </c>
      <c r="AF210" s="200">
        <v>0</v>
      </c>
      <c r="AG210" s="200">
        <v>0</v>
      </c>
      <c r="AH210" s="200"/>
      <c r="AI210" s="200">
        <v>0</v>
      </c>
      <c r="AJ210" s="200">
        <f t="shared" ref="AJ210" si="59">SUBTOTAL(9,X210:AI210)</f>
        <v>0</v>
      </c>
      <c r="AK210" s="201">
        <f>+T210*AK2*2</f>
        <v>841008000</v>
      </c>
      <c r="AL210" s="202">
        <f>+AK210/AL4</f>
        <v>184466.36865724676</v>
      </c>
    </row>
    <row r="211" spans="1:42" s="14" customFormat="1" ht="22" customHeight="1">
      <c r="A211" s="14" t="s">
        <v>17</v>
      </c>
      <c r="B211" s="15">
        <v>2024</v>
      </c>
      <c r="C211" s="15" t="s">
        <v>24</v>
      </c>
      <c r="D211" s="14" t="s">
        <v>206</v>
      </c>
      <c r="E211" s="14" t="s">
        <v>25</v>
      </c>
      <c r="F211" s="16" t="s">
        <v>207</v>
      </c>
      <c r="G211" s="14">
        <v>1</v>
      </c>
      <c r="I211" s="14" t="s">
        <v>78</v>
      </c>
      <c r="J211" s="14" t="s">
        <v>11</v>
      </c>
      <c r="K211" s="16" t="s">
        <v>82</v>
      </c>
      <c r="L211" s="14" t="s">
        <v>171</v>
      </c>
      <c r="M211" s="14" t="s">
        <v>78</v>
      </c>
      <c r="N211" s="24"/>
      <c r="O211" s="25" t="s">
        <v>262</v>
      </c>
      <c r="P211" s="25"/>
      <c r="Q211" s="19"/>
      <c r="R211" s="19"/>
      <c r="S211" s="182">
        <v>5748</v>
      </c>
      <c r="T211" s="19">
        <f t="shared" si="18"/>
        <v>1149.5999999999999</v>
      </c>
      <c r="U211" s="14" t="s">
        <v>77</v>
      </c>
      <c r="W211" s="21">
        <v>30</v>
      </c>
      <c r="X211" s="13">
        <f t="shared" si="56"/>
        <v>68.975999999999999</v>
      </c>
      <c r="Y211" s="13">
        <v>0</v>
      </c>
      <c r="Z211" s="13">
        <v>0</v>
      </c>
      <c r="AA211" s="13"/>
      <c r="AB211" s="13">
        <f t="shared" si="57"/>
        <v>10.346399999999999</v>
      </c>
      <c r="AC211" s="13">
        <f t="shared" si="58"/>
        <v>6.0354000000000001</v>
      </c>
      <c r="AD211" s="13"/>
      <c r="AE211" s="13">
        <v>0</v>
      </c>
      <c r="AF211" s="13">
        <v>0</v>
      </c>
      <c r="AG211" s="13">
        <v>0</v>
      </c>
      <c r="AH211" s="13"/>
      <c r="AI211" s="13">
        <v>0</v>
      </c>
      <c r="AJ211" s="13">
        <f>SUBTOTAL(9,X211:AI211)</f>
        <v>85.357799999999997</v>
      </c>
      <c r="AK211" s="22"/>
      <c r="AL211" s="23">
        <v>0</v>
      </c>
    </row>
    <row r="212" spans="1:42" s="14" customFormat="1" ht="22" customHeight="1">
      <c r="A212" s="14" t="s">
        <v>17</v>
      </c>
      <c r="B212" s="15">
        <v>2024</v>
      </c>
      <c r="C212" s="15" t="s">
        <v>24</v>
      </c>
      <c r="D212" s="14" t="s">
        <v>206</v>
      </c>
      <c r="E212" s="14" t="s">
        <v>25</v>
      </c>
      <c r="F212" s="16" t="s">
        <v>207</v>
      </c>
      <c r="G212" s="14">
        <v>2</v>
      </c>
      <c r="I212" s="14" t="s">
        <v>14</v>
      </c>
      <c r="J212" s="14" t="s">
        <v>14</v>
      </c>
      <c r="K212" s="16" t="s">
        <v>14</v>
      </c>
      <c r="L212" s="14" t="s">
        <v>209</v>
      </c>
      <c r="M212" s="14" t="s">
        <v>99</v>
      </c>
      <c r="N212" s="30"/>
      <c r="O212" s="31" t="s">
        <v>263</v>
      </c>
      <c r="P212" s="31"/>
      <c r="Q212" s="19"/>
      <c r="R212" s="19"/>
      <c r="S212" s="208">
        <v>4446</v>
      </c>
      <c r="T212" s="19">
        <f t="shared" si="18"/>
        <v>889.2</v>
      </c>
      <c r="U212" s="14" t="s">
        <v>76</v>
      </c>
      <c r="W212" s="33">
        <v>30</v>
      </c>
      <c r="X212" s="34">
        <v>0</v>
      </c>
      <c r="Y212" s="34">
        <v>0</v>
      </c>
      <c r="Z212" s="34">
        <v>0</v>
      </c>
      <c r="AA212" s="34"/>
      <c r="AB212" s="34">
        <v>0</v>
      </c>
      <c r="AC212" s="34">
        <v>0</v>
      </c>
      <c r="AD212" s="34"/>
      <c r="AE212" s="34">
        <v>0</v>
      </c>
      <c r="AF212" s="34">
        <v>0</v>
      </c>
      <c r="AG212" s="34">
        <v>0</v>
      </c>
      <c r="AH212" s="34">
        <v>0</v>
      </c>
      <c r="AI212" s="34">
        <v>0</v>
      </c>
      <c r="AJ212" s="34">
        <v>0</v>
      </c>
      <c r="AK212" s="22">
        <f t="shared" ref="AK212:AK213" si="60">+T212*$AK$2*2</f>
        <v>213408000</v>
      </c>
      <c r="AL212" s="161">
        <f t="shared" ref="AL212:AL213" si="61">AK212/$AL$4</f>
        <v>46808.827980715658</v>
      </c>
    </row>
    <row r="213" spans="1:42" s="14" customFormat="1" ht="22" customHeight="1">
      <c r="A213" s="14" t="s">
        <v>17</v>
      </c>
      <c r="B213" s="15">
        <v>2024</v>
      </c>
      <c r="C213" s="15" t="s">
        <v>24</v>
      </c>
      <c r="D213" s="14" t="s">
        <v>206</v>
      </c>
      <c r="E213" s="14" t="s">
        <v>25</v>
      </c>
      <c r="F213" s="16" t="s">
        <v>207</v>
      </c>
      <c r="G213" s="14">
        <v>2</v>
      </c>
      <c r="I213" s="14" t="s">
        <v>14</v>
      </c>
      <c r="J213" s="14" t="s">
        <v>14</v>
      </c>
      <c r="K213" s="16" t="s">
        <v>14</v>
      </c>
      <c r="L213" s="14" t="s">
        <v>209</v>
      </c>
      <c r="M213" s="14" t="s">
        <v>99</v>
      </c>
      <c r="N213" s="27"/>
      <c r="O213" s="28" t="s">
        <v>264</v>
      </c>
      <c r="P213" s="28"/>
      <c r="Q213" s="19"/>
      <c r="R213" s="19"/>
      <c r="S213" s="189">
        <v>5765</v>
      </c>
      <c r="T213" s="19">
        <f t="shared" si="18"/>
        <v>1153</v>
      </c>
      <c r="U213" s="14" t="s">
        <v>76</v>
      </c>
      <c r="W213" s="21">
        <v>30</v>
      </c>
      <c r="X213" s="13">
        <v>0</v>
      </c>
      <c r="Y213" s="13">
        <v>0</v>
      </c>
      <c r="Z213" s="13">
        <v>0</v>
      </c>
      <c r="AA213" s="13"/>
      <c r="AB213" s="13">
        <v>0</v>
      </c>
      <c r="AC213" s="13">
        <v>0</v>
      </c>
      <c r="AD213" s="13"/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29">
        <f t="shared" si="60"/>
        <v>276720000</v>
      </c>
      <c r="AL213" s="161">
        <f t="shared" si="61"/>
        <v>60695.657514355771</v>
      </c>
    </row>
    <row r="214" spans="1:42" s="45" customFormat="1" ht="22" customHeight="1">
      <c r="A214" s="14" t="s">
        <v>17</v>
      </c>
      <c r="B214" s="15">
        <v>2024</v>
      </c>
      <c r="C214" s="15" t="s">
        <v>24</v>
      </c>
      <c r="D214" s="14" t="s">
        <v>185</v>
      </c>
      <c r="E214" s="14" t="s">
        <v>79</v>
      </c>
      <c r="F214" s="16" t="s">
        <v>265</v>
      </c>
      <c r="G214" s="14">
        <v>1</v>
      </c>
      <c r="H214" s="14"/>
      <c r="I214" s="14"/>
      <c r="J214" s="14" t="s">
        <v>11</v>
      </c>
      <c r="K214" s="16" t="s">
        <v>82</v>
      </c>
      <c r="L214" s="14" t="s">
        <v>171</v>
      </c>
      <c r="M214" s="14" t="s">
        <v>78</v>
      </c>
      <c r="N214" s="17"/>
      <c r="O214" s="18" t="s">
        <v>208</v>
      </c>
      <c r="P214" s="18"/>
      <c r="Q214" s="19"/>
      <c r="R214" s="19"/>
      <c r="S214" s="209">
        <v>1002</v>
      </c>
      <c r="T214" s="19">
        <f>S214</f>
        <v>1002</v>
      </c>
      <c r="U214" s="14" t="s">
        <v>77</v>
      </c>
      <c r="V214" s="14"/>
      <c r="W214" s="33">
        <v>90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v>0</v>
      </c>
      <c r="AH214" s="34">
        <f>+T214*W214*50/1000000</f>
        <v>4.5090000000000003</v>
      </c>
      <c r="AI214" s="34">
        <v>0</v>
      </c>
      <c r="AJ214" s="34">
        <f t="shared" ref="AJ214:AJ277" si="62">SUBTOTAL(9,X214:AI214)</f>
        <v>4.5090000000000003</v>
      </c>
      <c r="AK214" s="22"/>
      <c r="AL214" s="34">
        <v>0</v>
      </c>
      <c r="AM214" s="14"/>
      <c r="AN214" s="14"/>
      <c r="AO214" s="14"/>
      <c r="AP214" s="14"/>
    </row>
    <row r="215" spans="1:42" s="45" customFormat="1" ht="22" customHeight="1">
      <c r="A215" s="14" t="s">
        <v>17</v>
      </c>
      <c r="B215" s="15">
        <v>2024</v>
      </c>
      <c r="C215" s="15" t="s">
        <v>24</v>
      </c>
      <c r="D215" s="14" t="s">
        <v>185</v>
      </c>
      <c r="E215" s="14" t="s">
        <v>79</v>
      </c>
      <c r="F215" s="16" t="s">
        <v>265</v>
      </c>
      <c r="G215" s="14">
        <v>1</v>
      </c>
      <c r="H215" s="14"/>
      <c r="I215" s="14"/>
      <c r="J215" s="14" t="s">
        <v>12</v>
      </c>
      <c r="K215" s="16" t="s">
        <v>14</v>
      </c>
      <c r="L215" s="14" t="s">
        <v>209</v>
      </c>
      <c r="M215" s="14" t="s">
        <v>84</v>
      </c>
      <c r="N215" s="17"/>
      <c r="O215" s="18" t="s">
        <v>210</v>
      </c>
      <c r="P215" s="18"/>
      <c r="Q215" s="19"/>
      <c r="R215" s="19"/>
      <c r="S215" s="209">
        <v>1058</v>
      </c>
      <c r="T215" s="19">
        <f t="shared" ref="T215:T266" si="63">S215</f>
        <v>1058</v>
      </c>
      <c r="U215" s="14" t="s">
        <v>77</v>
      </c>
      <c r="V215" s="14"/>
      <c r="W215" s="33">
        <v>90</v>
      </c>
      <c r="X215" s="34">
        <v>0</v>
      </c>
      <c r="Y215" s="34">
        <v>0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4">
        <v>0</v>
      </c>
      <c r="AH215" s="34">
        <f t="shared" ref="AH215:AH220" si="64">+T215*W215*50/1000000</f>
        <v>4.7610000000000001</v>
      </c>
      <c r="AI215" s="34">
        <v>0</v>
      </c>
      <c r="AJ215" s="34">
        <f t="shared" si="62"/>
        <v>4.7610000000000001</v>
      </c>
      <c r="AK215" s="22"/>
      <c r="AL215" s="34">
        <v>0</v>
      </c>
      <c r="AM215" s="14"/>
      <c r="AN215" s="14"/>
      <c r="AO215" s="14"/>
      <c r="AP215" s="14"/>
    </row>
    <row r="216" spans="1:42" s="45" customFormat="1" ht="22" customHeight="1">
      <c r="A216" s="14" t="s">
        <v>17</v>
      </c>
      <c r="B216" s="15">
        <v>2024</v>
      </c>
      <c r="C216" s="15" t="s">
        <v>24</v>
      </c>
      <c r="D216" s="14" t="s">
        <v>185</v>
      </c>
      <c r="E216" s="14" t="s">
        <v>79</v>
      </c>
      <c r="F216" s="16" t="s">
        <v>265</v>
      </c>
      <c r="G216" s="14">
        <v>1</v>
      </c>
      <c r="H216" s="14"/>
      <c r="I216" s="14"/>
      <c r="J216" s="14" t="s">
        <v>11</v>
      </c>
      <c r="K216" s="16" t="s">
        <v>82</v>
      </c>
      <c r="L216" s="14" t="s">
        <v>171</v>
      </c>
      <c r="M216" s="14" t="s">
        <v>11</v>
      </c>
      <c r="N216" s="17"/>
      <c r="O216" s="18" t="s">
        <v>211</v>
      </c>
      <c r="P216" s="18"/>
      <c r="Q216" s="19"/>
      <c r="R216" s="19"/>
      <c r="S216" s="209">
        <v>2030</v>
      </c>
      <c r="T216" s="19">
        <f t="shared" si="63"/>
        <v>2030</v>
      </c>
      <c r="U216" s="14" t="s">
        <v>77</v>
      </c>
      <c r="V216" s="14"/>
      <c r="W216" s="33">
        <v>90</v>
      </c>
      <c r="X216" s="34">
        <v>0</v>
      </c>
      <c r="Y216" s="34">
        <v>0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4">
        <v>0</v>
      </c>
      <c r="AH216" s="34">
        <f t="shared" si="64"/>
        <v>9.1349999999999998</v>
      </c>
      <c r="AI216" s="34">
        <v>0</v>
      </c>
      <c r="AJ216" s="34">
        <f t="shared" si="62"/>
        <v>9.1349999999999998</v>
      </c>
      <c r="AK216" s="22"/>
      <c r="AL216" s="34">
        <v>0</v>
      </c>
      <c r="AM216" s="14"/>
      <c r="AN216" s="14"/>
      <c r="AO216" s="14"/>
      <c r="AP216" s="14"/>
    </row>
    <row r="217" spans="1:42" s="45" customFormat="1" ht="22" customHeight="1">
      <c r="A217" s="14" t="s">
        <v>17</v>
      </c>
      <c r="B217" s="15">
        <v>2024</v>
      </c>
      <c r="C217" s="15" t="s">
        <v>24</v>
      </c>
      <c r="D217" s="14" t="s">
        <v>185</v>
      </c>
      <c r="E217" s="14" t="s">
        <v>79</v>
      </c>
      <c r="F217" s="16" t="s">
        <v>265</v>
      </c>
      <c r="G217" s="14">
        <v>2</v>
      </c>
      <c r="H217" s="14"/>
      <c r="I217" s="14"/>
      <c r="J217" s="14" t="s">
        <v>11</v>
      </c>
      <c r="K217" s="16" t="s">
        <v>82</v>
      </c>
      <c r="L217" s="14" t="s">
        <v>166</v>
      </c>
      <c r="M217" s="14" t="s">
        <v>82</v>
      </c>
      <c r="N217" s="30"/>
      <c r="O217" s="31" t="s">
        <v>212</v>
      </c>
      <c r="P217" s="31"/>
      <c r="Q217" s="19"/>
      <c r="R217" s="19"/>
      <c r="S217" s="209">
        <v>437</v>
      </c>
      <c r="T217" s="19">
        <f t="shared" si="63"/>
        <v>437</v>
      </c>
      <c r="U217" s="14" t="s">
        <v>77</v>
      </c>
      <c r="V217" s="14"/>
      <c r="W217" s="33">
        <v>90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4">
        <v>0</v>
      </c>
      <c r="AH217" s="34">
        <f t="shared" si="64"/>
        <v>1.9664999999999999</v>
      </c>
      <c r="AI217" s="34">
        <v>0</v>
      </c>
      <c r="AJ217" s="34">
        <f t="shared" si="62"/>
        <v>1.9664999999999999</v>
      </c>
      <c r="AK217" s="22"/>
      <c r="AL217" s="34">
        <v>0</v>
      </c>
      <c r="AM217" s="14"/>
      <c r="AN217" s="14"/>
      <c r="AO217" s="14"/>
      <c r="AP217" s="14"/>
    </row>
    <row r="218" spans="1:42" s="45" customFormat="1" ht="22" customHeight="1">
      <c r="A218" s="14" t="s">
        <v>17</v>
      </c>
      <c r="B218" s="15">
        <v>2024</v>
      </c>
      <c r="C218" s="15" t="s">
        <v>24</v>
      </c>
      <c r="D218" s="14" t="s">
        <v>185</v>
      </c>
      <c r="E218" s="14" t="s">
        <v>79</v>
      </c>
      <c r="F218" s="16" t="s">
        <v>265</v>
      </c>
      <c r="G218" s="14">
        <v>1</v>
      </c>
      <c r="H218" s="14"/>
      <c r="I218" s="14"/>
      <c r="J218" s="14" t="s">
        <v>12</v>
      </c>
      <c r="K218" s="16" t="s">
        <v>14</v>
      </c>
      <c r="L218" s="14" t="s">
        <v>209</v>
      </c>
      <c r="M218" s="14" t="s">
        <v>84</v>
      </c>
      <c r="N218" s="17"/>
      <c r="O218" s="18" t="s">
        <v>213</v>
      </c>
      <c r="P218" s="18"/>
      <c r="Q218" s="19"/>
      <c r="R218" s="19"/>
      <c r="S218" s="32"/>
      <c r="T218" s="19">
        <f t="shared" si="63"/>
        <v>0</v>
      </c>
      <c r="U218" s="14" t="s">
        <v>77</v>
      </c>
      <c r="V218" s="14"/>
      <c r="W218" s="33">
        <v>90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v>0</v>
      </c>
      <c r="AH218" s="34">
        <f t="shared" si="64"/>
        <v>0</v>
      </c>
      <c r="AI218" s="34">
        <v>0</v>
      </c>
      <c r="AJ218" s="34">
        <f t="shared" si="62"/>
        <v>0</v>
      </c>
      <c r="AK218" s="22"/>
      <c r="AL218" s="34">
        <v>0</v>
      </c>
      <c r="AM218" s="14"/>
      <c r="AN218" s="14"/>
      <c r="AO218" s="14"/>
      <c r="AP218" s="14"/>
    </row>
    <row r="219" spans="1:42" s="45" customFormat="1" ht="22" customHeight="1">
      <c r="A219" s="14" t="s">
        <v>17</v>
      </c>
      <c r="B219" s="15">
        <v>2024</v>
      </c>
      <c r="C219" s="15" t="s">
        <v>24</v>
      </c>
      <c r="D219" s="14" t="s">
        <v>185</v>
      </c>
      <c r="E219" s="14" t="s">
        <v>79</v>
      </c>
      <c r="F219" s="16" t="s">
        <v>265</v>
      </c>
      <c r="G219" s="14">
        <v>1</v>
      </c>
      <c r="H219" s="14"/>
      <c r="I219" s="14"/>
      <c r="J219" s="14" t="s">
        <v>12</v>
      </c>
      <c r="K219" s="16" t="s">
        <v>14</v>
      </c>
      <c r="L219" s="14" t="s">
        <v>209</v>
      </c>
      <c r="M219" s="14" t="s">
        <v>84</v>
      </c>
      <c r="N219" s="17"/>
      <c r="O219" s="18" t="s">
        <v>214</v>
      </c>
      <c r="P219" s="18"/>
      <c r="Q219" s="19"/>
      <c r="R219" s="19"/>
      <c r="S219" s="209">
        <v>2100</v>
      </c>
      <c r="T219" s="19">
        <f t="shared" si="63"/>
        <v>2100</v>
      </c>
      <c r="U219" s="14" t="s">
        <v>77</v>
      </c>
      <c r="V219" s="14"/>
      <c r="W219" s="33">
        <v>90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f t="shared" si="64"/>
        <v>9.4499999999999993</v>
      </c>
      <c r="AI219" s="34">
        <v>0</v>
      </c>
      <c r="AJ219" s="34">
        <f t="shared" si="62"/>
        <v>9.4499999999999993</v>
      </c>
      <c r="AK219" s="22"/>
      <c r="AL219" s="34">
        <v>0</v>
      </c>
      <c r="AM219" s="14"/>
      <c r="AN219" s="14"/>
      <c r="AO219" s="14"/>
      <c r="AP219" s="14"/>
    </row>
    <row r="220" spans="1:42" s="45" customFormat="1" ht="22" customHeight="1">
      <c r="A220" s="14" t="s">
        <v>17</v>
      </c>
      <c r="B220" s="15">
        <v>2024</v>
      </c>
      <c r="C220" s="15" t="s">
        <v>24</v>
      </c>
      <c r="D220" s="14" t="s">
        <v>185</v>
      </c>
      <c r="E220" s="14" t="s">
        <v>79</v>
      </c>
      <c r="F220" s="16" t="s">
        <v>265</v>
      </c>
      <c r="G220" s="14">
        <v>1</v>
      </c>
      <c r="H220" s="14"/>
      <c r="I220" s="14"/>
      <c r="J220" s="14" t="s">
        <v>11</v>
      </c>
      <c r="K220" s="16" t="s">
        <v>82</v>
      </c>
      <c r="L220" s="14" t="s">
        <v>171</v>
      </c>
      <c r="M220" s="14" t="s">
        <v>78</v>
      </c>
      <c r="N220" s="17"/>
      <c r="O220" s="18" t="s">
        <v>217</v>
      </c>
      <c r="P220" s="18"/>
      <c r="Q220" s="19"/>
      <c r="R220" s="19"/>
      <c r="S220" s="209">
        <v>408</v>
      </c>
      <c r="T220" s="19">
        <f t="shared" si="63"/>
        <v>408</v>
      </c>
      <c r="U220" s="14" t="s">
        <v>77</v>
      </c>
      <c r="V220" s="14"/>
      <c r="W220" s="33">
        <v>90</v>
      </c>
      <c r="X220" s="34">
        <v>0</v>
      </c>
      <c r="Y220" s="34">
        <v>0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4">
        <v>0</v>
      </c>
      <c r="AH220" s="34">
        <f t="shared" si="64"/>
        <v>1.8360000000000001</v>
      </c>
      <c r="AI220" s="34">
        <v>0</v>
      </c>
      <c r="AJ220" s="34">
        <f t="shared" si="62"/>
        <v>1.8360000000000001</v>
      </c>
      <c r="AK220" s="22"/>
      <c r="AL220" s="34">
        <v>0</v>
      </c>
      <c r="AM220" s="14"/>
      <c r="AN220" s="14"/>
      <c r="AO220" s="14"/>
      <c r="AP220" s="14"/>
    </row>
    <row r="221" spans="1:42" s="45" customFormat="1" ht="22" customHeight="1">
      <c r="A221" s="14" t="s">
        <v>17</v>
      </c>
      <c r="B221" s="15">
        <v>2024</v>
      </c>
      <c r="C221" s="15" t="s">
        <v>24</v>
      </c>
      <c r="D221" s="14" t="s">
        <v>185</v>
      </c>
      <c r="E221" s="14" t="s">
        <v>79</v>
      </c>
      <c r="F221" s="16" t="s">
        <v>265</v>
      </c>
      <c r="G221" s="14">
        <v>1</v>
      </c>
      <c r="H221" s="14"/>
      <c r="I221" s="14"/>
      <c r="J221" s="14" t="s">
        <v>13</v>
      </c>
      <c r="K221" s="16"/>
      <c r="L221" s="14" t="s">
        <v>215</v>
      </c>
      <c r="M221" s="14" t="s">
        <v>95</v>
      </c>
      <c r="N221" s="30" t="s">
        <v>266</v>
      </c>
      <c r="O221" s="31" t="s">
        <v>216</v>
      </c>
      <c r="P221" s="31"/>
      <c r="Q221" s="19"/>
      <c r="R221" s="19"/>
      <c r="S221" s="209">
        <v>225</v>
      </c>
      <c r="T221" s="19">
        <f t="shared" si="63"/>
        <v>225</v>
      </c>
      <c r="U221" s="14" t="s">
        <v>77</v>
      </c>
      <c r="V221" s="14"/>
      <c r="W221" s="33">
        <v>90</v>
      </c>
      <c r="X221" s="34">
        <v>0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v>0</v>
      </c>
      <c r="AH221" s="34">
        <f>+S221*W221*50/1000000</f>
        <v>1.0125</v>
      </c>
      <c r="AI221" s="34">
        <v>0</v>
      </c>
      <c r="AJ221" s="34">
        <f t="shared" si="62"/>
        <v>1.0125</v>
      </c>
      <c r="AK221" s="22"/>
      <c r="AL221" s="34"/>
      <c r="AM221" s="14"/>
      <c r="AN221" s="14"/>
      <c r="AO221" s="14"/>
      <c r="AP221" s="14"/>
    </row>
    <row r="222" spans="1:42" s="45" customFormat="1" ht="22" customHeight="1">
      <c r="A222" s="14" t="s">
        <v>17</v>
      </c>
      <c r="B222" s="15">
        <v>2024</v>
      </c>
      <c r="C222" s="15" t="s">
        <v>24</v>
      </c>
      <c r="D222" s="14" t="s">
        <v>185</v>
      </c>
      <c r="E222" s="14" t="s">
        <v>79</v>
      </c>
      <c r="F222" s="16" t="s">
        <v>265</v>
      </c>
      <c r="G222" s="14"/>
      <c r="H222" s="14"/>
      <c r="I222" s="14"/>
      <c r="J222" s="14" t="s">
        <v>13</v>
      </c>
      <c r="K222" s="16"/>
      <c r="L222" s="14" t="s">
        <v>215</v>
      </c>
      <c r="M222" s="14" t="s">
        <v>95</v>
      </c>
      <c r="N222" s="30" t="s">
        <v>266</v>
      </c>
      <c r="O222" s="31" t="s">
        <v>218</v>
      </c>
      <c r="P222" s="31"/>
      <c r="Q222" s="19"/>
      <c r="R222" s="19"/>
      <c r="S222" s="209">
        <v>1094</v>
      </c>
      <c r="T222" s="19">
        <f t="shared" si="63"/>
        <v>1094</v>
      </c>
      <c r="U222" s="14" t="s">
        <v>77</v>
      </c>
      <c r="V222" s="14"/>
      <c r="W222" s="33">
        <v>90</v>
      </c>
      <c r="X222" s="34">
        <v>0</v>
      </c>
      <c r="Y222" s="34">
        <v>0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4">
        <v>0</v>
      </c>
      <c r="AH222" s="34">
        <f t="shared" ref="AH222:AH235" si="65">+S222*W222*50/1000000</f>
        <v>4.923</v>
      </c>
      <c r="AI222" s="34">
        <v>0</v>
      </c>
      <c r="AJ222" s="34">
        <f t="shared" si="62"/>
        <v>4.923</v>
      </c>
      <c r="AK222" s="22"/>
      <c r="AL222" s="34"/>
      <c r="AM222" s="14"/>
      <c r="AN222" s="14"/>
      <c r="AO222" s="14"/>
      <c r="AP222" s="14"/>
    </row>
    <row r="223" spans="1:42" s="45" customFormat="1" ht="22" customHeight="1">
      <c r="A223" s="14" t="s">
        <v>17</v>
      </c>
      <c r="B223" s="15">
        <v>2024</v>
      </c>
      <c r="C223" s="15" t="s">
        <v>24</v>
      </c>
      <c r="D223" s="14" t="s">
        <v>185</v>
      </c>
      <c r="E223" s="14" t="s">
        <v>79</v>
      </c>
      <c r="F223" s="16" t="s">
        <v>265</v>
      </c>
      <c r="G223" s="14"/>
      <c r="H223" s="14"/>
      <c r="I223" s="14"/>
      <c r="J223" s="14" t="s">
        <v>13</v>
      </c>
      <c r="K223" s="16"/>
      <c r="L223" s="14" t="s">
        <v>223</v>
      </c>
      <c r="M223" s="14" t="s">
        <v>97</v>
      </c>
      <c r="N223" s="30" t="s">
        <v>267</v>
      </c>
      <c r="O223" s="31" t="s">
        <v>224</v>
      </c>
      <c r="P223" s="31"/>
      <c r="Q223" s="19"/>
      <c r="R223" s="19"/>
      <c r="S223" s="209">
        <v>288</v>
      </c>
      <c r="T223" s="19">
        <f t="shared" si="63"/>
        <v>288</v>
      </c>
      <c r="U223" s="14" t="s">
        <v>77</v>
      </c>
      <c r="V223" s="14"/>
      <c r="W223" s="33">
        <v>90</v>
      </c>
      <c r="X223" s="34">
        <v>0</v>
      </c>
      <c r="Y223" s="34">
        <v>0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0</v>
      </c>
      <c r="AF223" s="34">
        <v>0</v>
      </c>
      <c r="AG223" s="34">
        <v>0</v>
      </c>
      <c r="AH223" s="34">
        <f t="shared" si="65"/>
        <v>1.296</v>
      </c>
      <c r="AI223" s="34">
        <v>0</v>
      </c>
      <c r="AJ223" s="34">
        <f t="shared" si="62"/>
        <v>1.296</v>
      </c>
      <c r="AK223" s="22"/>
      <c r="AL223" s="34">
        <v>0</v>
      </c>
      <c r="AM223" s="14"/>
      <c r="AN223" s="14"/>
      <c r="AO223" s="14"/>
      <c r="AP223" s="14"/>
    </row>
    <row r="224" spans="1:42" s="45" customFormat="1" ht="22" customHeight="1">
      <c r="A224" s="14" t="s">
        <v>17</v>
      </c>
      <c r="B224" s="15">
        <v>2024</v>
      </c>
      <c r="C224" s="15" t="s">
        <v>24</v>
      </c>
      <c r="D224" s="14" t="s">
        <v>185</v>
      </c>
      <c r="E224" s="14" t="s">
        <v>79</v>
      </c>
      <c r="F224" s="16" t="s">
        <v>265</v>
      </c>
      <c r="G224" s="14"/>
      <c r="H224" s="14"/>
      <c r="I224" s="14"/>
      <c r="J224" s="14" t="s">
        <v>13</v>
      </c>
      <c r="K224" s="16"/>
      <c r="L224" s="14" t="s">
        <v>223</v>
      </c>
      <c r="M224" s="14" t="s">
        <v>94</v>
      </c>
      <c r="N224" s="30" t="s">
        <v>267</v>
      </c>
      <c r="O224" s="31" t="s">
        <v>229</v>
      </c>
      <c r="P224" s="31"/>
      <c r="Q224" s="19"/>
      <c r="R224" s="19"/>
      <c r="S224" s="209">
        <v>440</v>
      </c>
      <c r="T224" s="19">
        <f t="shared" si="63"/>
        <v>440</v>
      </c>
      <c r="U224" s="14" t="s">
        <v>77</v>
      </c>
      <c r="V224" s="14"/>
      <c r="W224" s="33">
        <v>90</v>
      </c>
      <c r="X224" s="34">
        <v>0</v>
      </c>
      <c r="Y224" s="34">
        <v>0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0</v>
      </c>
      <c r="AF224" s="34">
        <v>0</v>
      </c>
      <c r="AG224" s="34">
        <v>0</v>
      </c>
      <c r="AH224" s="34">
        <f t="shared" si="65"/>
        <v>1.98</v>
      </c>
      <c r="AI224" s="34">
        <v>0</v>
      </c>
      <c r="AJ224" s="34">
        <f t="shared" si="62"/>
        <v>1.98</v>
      </c>
      <c r="AK224" s="22"/>
      <c r="AL224" s="34"/>
      <c r="AM224" s="14"/>
      <c r="AN224" s="14"/>
      <c r="AO224" s="14"/>
      <c r="AP224" s="14"/>
    </row>
    <row r="225" spans="1:42" s="45" customFormat="1" ht="22" customHeight="1">
      <c r="A225" s="14" t="s">
        <v>17</v>
      </c>
      <c r="B225" s="15">
        <v>2024</v>
      </c>
      <c r="C225" s="15" t="s">
        <v>24</v>
      </c>
      <c r="D225" s="14" t="s">
        <v>185</v>
      </c>
      <c r="E225" s="14" t="s">
        <v>79</v>
      </c>
      <c r="F225" s="16" t="s">
        <v>265</v>
      </c>
      <c r="G225" s="14"/>
      <c r="H225" s="14"/>
      <c r="I225" s="14"/>
      <c r="J225" s="14" t="s">
        <v>13</v>
      </c>
      <c r="K225" s="16"/>
      <c r="L225" s="14" t="s">
        <v>223</v>
      </c>
      <c r="M225" s="14" t="s">
        <v>97</v>
      </c>
      <c r="N225" s="30" t="s">
        <v>267</v>
      </c>
      <c r="O225" s="31" t="s">
        <v>238</v>
      </c>
      <c r="P225" s="31"/>
      <c r="Q225" s="19"/>
      <c r="R225" s="19"/>
      <c r="S225" s="209">
        <v>461</v>
      </c>
      <c r="T225" s="19">
        <f t="shared" si="63"/>
        <v>461</v>
      </c>
      <c r="U225" s="14" t="s">
        <v>77</v>
      </c>
      <c r="V225" s="14"/>
      <c r="W225" s="33">
        <v>90</v>
      </c>
      <c r="X225" s="34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f t="shared" si="65"/>
        <v>2.0745</v>
      </c>
      <c r="AI225" s="34">
        <v>0</v>
      </c>
      <c r="AJ225" s="34">
        <f t="shared" si="62"/>
        <v>2.0745</v>
      </c>
      <c r="AK225" s="22"/>
      <c r="AL225" s="34">
        <v>0</v>
      </c>
      <c r="AM225" s="14"/>
      <c r="AN225" s="14"/>
      <c r="AO225" s="14"/>
      <c r="AP225" s="14"/>
    </row>
    <row r="226" spans="1:42" s="45" customFormat="1" ht="22" customHeight="1">
      <c r="A226" s="14" t="s">
        <v>17</v>
      </c>
      <c r="B226" s="15">
        <v>2024</v>
      </c>
      <c r="C226" s="15" t="s">
        <v>24</v>
      </c>
      <c r="D226" s="14" t="s">
        <v>185</v>
      </c>
      <c r="E226" s="14" t="s">
        <v>79</v>
      </c>
      <c r="F226" s="16" t="s">
        <v>265</v>
      </c>
      <c r="G226" s="14"/>
      <c r="H226" s="14"/>
      <c r="I226" s="14"/>
      <c r="J226" s="14" t="s">
        <v>13</v>
      </c>
      <c r="K226" s="16"/>
      <c r="L226" s="14" t="s">
        <v>223</v>
      </c>
      <c r="M226" s="14" t="s">
        <v>96</v>
      </c>
      <c r="N226" s="30" t="s">
        <v>267</v>
      </c>
      <c r="O226" s="31" t="s">
        <v>245</v>
      </c>
      <c r="P226" s="31"/>
      <c r="Q226" s="19"/>
      <c r="R226" s="19"/>
      <c r="S226" s="209">
        <v>824</v>
      </c>
      <c r="T226" s="19">
        <f t="shared" si="63"/>
        <v>824</v>
      </c>
      <c r="U226" s="14" t="s">
        <v>77</v>
      </c>
      <c r="V226" s="14"/>
      <c r="W226" s="33">
        <v>90</v>
      </c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>
        <f t="shared" si="65"/>
        <v>3.7080000000000002</v>
      </c>
      <c r="AI226" s="34">
        <v>0</v>
      </c>
      <c r="AJ226" s="34">
        <f t="shared" si="62"/>
        <v>3.7080000000000002</v>
      </c>
      <c r="AK226" s="22"/>
      <c r="AL226" s="34"/>
      <c r="AM226" s="14"/>
      <c r="AN226" s="14"/>
      <c r="AO226" s="14"/>
      <c r="AP226" s="14"/>
    </row>
    <row r="227" spans="1:42" s="45" customFormat="1" ht="22" customHeight="1">
      <c r="A227" s="14" t="s">
        <v>17</v>
      </c>
      <c r="B227" s="15">
        <v>2024</v>
      </c>
      <c r="C227" s="15" t="s">
        <v>24</v>
      </c>
      <c r="D227" s="14" t="s">
        <v>185</v>
      </c>
      <c r="E227" s="14" t="s">
        <v>79</v>
      </c>
      <c r="F227" s="16" t="s">
        <v>265</v>
      </c>
      <c r="G227" s="14"/>
      <c r="H227" s="14"/>
      <c r="I227" s="14"/>
      <c r="J227" s="14" t="s">
        <v>13</v>
      </c>
      <c r="K227" s="16"/>
      <c r="L227" s="14" t="s">
        <v>223</v>
      </c>
      <c r="M227" s="14" t="s">
        <v>93</v>
      </c>
      <c r="N227" s="30" t="s">
        <v>267</v>
      </c>
      <c r="O227" s="31" t="s">
        <v>246</v>
      </c>
      <c r="P227" s="31" t="s">
        <v>268</v>
      </c>
      <c r="Q227" s="19"/>
      <c r="R227" s="19"/>
      <c r="S227" s="209">
        <v>310</v>
      </c>
      <c r="T227" s="19">
        <f t="shared" si="63"/>
        <v>310</v>
      </c>
      <c r="U227" s="14" t="s">
        <v>77</v>
      </c>
      <c r="V227" s="14"/>
      <c r="W227" s="33">
        <v>90</v>
      </c>
      <c r="X227" s="34">
        <v>0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v>0</v>
      </c>
      <c r="AH227" s="34">
        <f t="shared" si="65"/>
        <v>1.395</v>
      </c>
      <c r="AI227" s="34">
        <v>0</v>
      </c>
      <c r="AJ227" s="34">
        <f t="shared" si="62"/>
        <v>1.395</v>
      </c>
      <c r="AK227" s="22"/>
      <c r="AL227" s="34">
        <v>0</v>
      </c>
      <c r="AM227" s="14"/>
      <c r="AN227" s="14"/>
      <c r="AO227" s="14"/>
      <c r="AP227" s="14"/>
    </row>
    <row r="228" spans="1:42" s="45" customFormat="1" ht="22" customHeight="1">
      <c r="A228" s="14" t="s">
        <v>17</v>
      </c>
      <c r="B228" s="15">
        <v>2024</v>
      </c>
      <c r="C228" s="15" t="s">
        <v>24</v>
      </c>
      <c r="D228" s="14" t="s">
        <v>185</v>
      </c>
      <c r="E228" s="14" t="s">
        <v>79</v>
      </c>
      <c r="F228" s="16" t="s">
        <v>265</v>
      </c>
      <c r="G228" s="14"/>
      <c r="H228" s="14"/>
      <c r="I228" s="14"/>
      <c r="J228" s="14" t="s">
        <v>13</v>
      </c>
      <c r="K228" s="16"/>
      <c r="L228" s="14" t="s">
        <v>223</v>
      </c>
      <c r="M228" s="14" t="s">
        <v>93</v>
      </c>
      <c r="N228" s="30" t="s">
        <v>267</v>
      </c>
      <c r="O228" s="31" t="s">
        <v>249</v>
      </c>
      <c r="P228" s="31" t="s">
        <v>268</v>
      </c>
      <c r="Q228" s="19"/>
      <c r="R228" s="19"/>
      <c r="S228" s="209">
        <v>615</v>
      </c>
      <c r="T228" s="19">
        <f t="shared" si="63"/>
        <v>615</v>
      </c>
      <c r="U228" s="14" t="s">
        <v>77</v>
      </c>
      <c r="V228" s="14"/>
      <c r="W228" s="33">
        <v>90</v>
      </c>
      <c r="X228" s="34">
        <v>0</v>
      </c>
      <c r="Y228" s="34">
        <v>0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4">
        <v>0</v>
      </c>
      <c r="AH228" s="34">
        <f t="shared" si="65"/>
        <v>2.7675000000000001</v>
      </c>
      <c r="AI228" s="34">
        <v>0</v>
      </c>
      <c r="AJ228" s="34">
        <f t="shared" si="62"/>
        <v>2.7675000000000001</v>
      </c>
      <c r="AK228" s="22"/>
      <c r="AL228" s="34">
        <v>0</v>
      </c>
      <c r="AM228" s="14"/>
      <c r="AN228" s="14"/>
      <c r="AO228" s="14"/>
      <c r="AP228" s="14"/>
    </row>
    <row r="229" spans="1:42" s="45" customFormat="1" ht="22" customHeight="1">
      <c r="A229" s="14" t="s">
        <v>17</v>
      </c>
      <c r="B229" s="15">
        <v>2024</v>
      </c>
      <c r="C229" s="15" t="s">
        <v>24</v>
      </c>
      <c r="D229" s="14" t="s">
        <v>185</v>
      </c>
      <c r="E229" s="14" t="s">
        <v>79</v>
      </c>
      <c r="F229" s="16" t="s">
        <v>265</v>
      </c>
      <c r="G229" s="14"/>
      <c r="H229" s="14"/>
      <c r="I229" s="14"/>
      <c r="J229" s="14" t="s">
        <v>13</v>
      </c>
      <c r="K229" s="16"/>
      <c r="L229" s="14" t="s">
        <v>215</v>
      </c>
      <c r="M229" s="14" t="s">
        <v>95</v>
      </c>
      <c r="N229" s="30" t="s">
        <v>266</v>
      </c>
      <c r="O229" s="31" t="s">
        <v>250</v>
      </c>
      <c r="P229" s="31"/>
      <c r="Q229" s="19"/>
      <c r="R229" s="19"/>
      <c r="S229" s="209">
        <v>614</v>
      </c>
      <c r="T229" s="19">
        <f t="shared" si="63"/>
        <v>614</v>
      </c>
      <c r="U229" s="14" t="s">
        <v>77</v>
      </c>
      <c r="V229" s="14"/>
      <c r="W229" s="33">
        <v>90</v>
      </c>
      <c r="X229" s="34">
        <v>0</v>
      </c>
      <c r="Y229" s="34">
        <v>0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4">
        <v>0</v>
      </c>
      <c r="AH229" s="34">
        <f t="shared" si="65"/>
        <v>2.7629999999999999</v>
      </c>
      <c r="AI229" s="34">
        <v>0</v>
      </c>
      <c r="AJ229" s="34">
        <f t="shared" si="62"/>
        <v>2.7629999999999999</v>
      </c>
      <c r="AK229" s="22"/>
      <c r="AL229" s="34"/>
      <c r="AM229" s="14"/>
      <c r="AN229" s="14"/>
      <c r="AO229" s="14"/>
      <c r="AP229" s="14"/>
    </row>
    <row r="230" spans="1:42" s="45" customFormat="1" ht="22" customHeight="1">
      <c r="A230" s="14" t="s">
        <v>17</v>
      </c>
      <c r="B230" s="15">
        <v>2024</v>
      </c>
      <c r="C230" s="15" t="s">
        <v>24</v>
      </c>
      <c r="D230" s="14" t="s">
        <v>185</v>
      </c>
      <c r="E230" s="14" t="s">
        <v>79</v>
      </c>
      <c r="F230" s="16" t="s">
        <v>265</v>
      </c>
      <c r="G230" s="14"/>
      <c r="H230" s="14"/>
      <c r="I230" s="14"/>
      <c r="J230" s="14" t="s">
        <v>13</v>
      </c>
      <c r="K230" s="16"/>
      <c r="L230" s="14" t="s">
        <v>215</v>
      </c>
      <c r="M230" s="14" t="s">
        <v>95</v>
      </c>
      <c r="N230" s="30" t="s">
        <v>266</v>
      </c>
      <c r="O230" s="31" t="s">
        <v>251</v>
      </c>
      <c r="P230" s="31"/>
      <c r="Q230" s="19"/>
      <c r="R230" s="19"/>
      <c r="S230" s="209">
        <v>768</v>
      </c>
      <c r="T230" s="19">
        <f t="shared" si="63"/>
        <v>768</v>
      </c>
      <c r="U230" s="14" t="s">
        <v>77</v>
      </c>
      <c r="V230" s="14"/>
      <c r="W230" s="33">
        <v>90</v>
      </c>
      <c r="X230" s="34">
        <v>0</v>
      </c>
      <c r="Y230" s="34">
        <v>0</v>
      </c>
      <c r="Z230" s="34">
        <v>0</v>
      </c>
      <c r="AA230" s="34">
        <v>0</v>
      </c>
      <c r="AB230" s="34">
        <v>0</v>
      </c>
      <c r="AC230" s="34">
        <v>0</v>
      </c>
      <c r="AD230" s="34">
        <v>0</v>
      </c>
      <c r="AE230" s="34">
        <v>0</v>
      </c>
      <c r="AF230" s="34">
        <v>0</v>
      </c>
      <c r="AG230" s="34">
        <v>0</v>
      </c>
      <c r="AH230" s="34">
        <f t="shared" si="65"/>
        <v>3.456</v>
      </c>
      <c r="AI230" s="34">
        <v>0</v>
      </c>
      <c r="AJ230" s="34">
        <f t="shared" si="62"/>
        <v>3.456</v>
      </c>
      <c r="AK230" s="22"/>
      <c r="AL230" s="34"/>
      <c r="AM230" s="14"/>
      <c r="AN230" s="14"/>
      <c r="AO230" s="14"/>
      <c r="AP230" s="14"/>
    </row>
    <row r="231" spans="1:42" s="45" customFormat="1" ht="22" customHeight="1">
      <c r="A231" s="14" t="s">
        <v>17</v>
      </c>
      <c r="B231" s="15">
        <v>2024</v>
      </c>
      <c r="C231" s="15" t="s">
        <v>24</v>
      </c>
      <c r="D231" s="14" t="s">
        <v>185</v>
      </c>
      <c r="E231" s="14" t="s">
        <v>79</v>
      </c>
      <c r="F231" s="16" t="s">
        <v>265</v>
      </c>
      <c r="G231" s="14"/>
      <c r="H231" s="14"/>
      <c r="I231" s="14"/>
      <c r="J231" s="14" t="s">
        <v>13</v>
      </c>
      <c r="K231" s="16"/>
      <c r="L231" s="14" t="s">
        <v>223</v>
      </c>
      <c r="M231" s="14" t="s">
        <v>94</v>
      </c>
      <c r="N231" s="30" t="s">
        <v>267</v>
      </c>
      <c r="O231" s="31" t="s">
        <v>252</v>
      </c>
      <c r="P231" s="31"/>
      <c r="Q231" s="19"/>
      <c r="R231" s="19"/>
      <c r="S231" s="209">
        <v>449</v>
      </c>
      <c r="T231" s="19">
        <f t="shared" si="63"/>
        <v>449</v>
      </c>
      <c r="U231" s="14" t="s">
        <v>77</v>
      </c>
      <c r="V231" s="14"/>
      <c r="W231" s="33">
        <v>90</v>
      </c>
      <c r="X231" s="34">
        <v>0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4">
        <v>0</v>
      </c>
      <c r="AH231" s="34">
        <f t="shared" si="65"/>
        <v>2.0205000000000002</v>
      </c>
      <c r="AI231" s="34">
        <v>0</v>
      </c>
      <c r="AJ231" s="34">
        <f t="shared" si="62"/>
        <v>2.0205000000000002</v>
      </c>
      <c r="AK231" s="22"/>
      <c r="AL231" s="34"/>
      <c r="AM231" s="14"/>
      <c r="AN231" s="14"/>
      <c r="AO231" s="14"/>
      <c r="AP231" s="14"/>
    </row>
    <row r="232" spans="1:42" s="45" customFormat="1" ht="22" customHeight="1">
      <c r="A232" s="14" t="s">
        <v>17</v>
      </c>
      <c r="B232" s="15">
        <v>2024</v>
      </c>
      <c r="C232" s="15" t="s">
        <v>24</v>
      </c>
      <c r="D232" s="14" t="s">
        <v>185</v>
      </c>
      <c r="E232" s="14" t="s">
        <v>79</v>
      </c>
      <c r="F232" s="16" t="s">
        <v>265</v>
      </c>
      <c r="G232" s="14"/>
      <c r="H232" s="14"/>
      <c r="I232" s="14"/>
      <c r="J232" s="14" t="s">
        <v>13</v>
      </c>
      <c r="K232" s="16"/>
      <c r="L232" s="14" t="s">
        <v>223</v>
      </c>
      <c r="M232" s="14" t="s">
        <v>96</v>
      </c>
      <c r="N232" s="30" t="s">
        <v>267</v>
      </c>
      <c r="O232" s="31" t="s">
        <v>255</v>
      </c>
      <c r="P232" s="31"/>
      <c r="Q232" s="19"/>
      <c r="R232" s="19"/>
      <c r="S232" s="209">
        <v>292</v>
      </c>
      <c r="T232" s="19">
        <f t="shared" si="63"/>
        <v>292</v>
      </c>
      <c r="U232" s="14" t="s">
        <v>77</v>
      </c>
      <c r="V232" s="14"/>
      <c r="W232" s="33">
        <v>90</v>
      </c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>
        <f t="shared" si="65"/>
        <v>1.3140000000000001</v>
      </c>
      <c r="AI232" s="34">
        <v>0</v>
      </c>
      <c r="AJ232" s="34">
        <f t="shared" si="62"/>
        <v>1.3140000000000001</v>
      </c>
      <c r="AK232" s="22"/>
      <c r="AL232" s="34"/>
      <c r="AM232" s="14"/>
      <c r="AN232" s="14"/>
      <c r="AO232" s="14"/>
      <c r="AP232" s="14"/>
    </row>
    <row r="233" spans="1:42" s="45" customFormat="1" ht="22" customHeight="1">
      <c r="A233" s="14" t="s">
        <v>17</v>
      </c>
      <c r="B233" s="15">
        <v>2024</v>
      </c>
      <c r="C233" s="15" t="s">
        <v>24</v>
      </c>
      <c r="D233" s="14" t="s">
        <v>185</v>
      </c>
      <c r="E233" s="14" t="s">
        <v>79</v>
      </c>
      <c r="F233" s="16" t="s">
        <v>265</v>
      </c>
      <c r="G233" s="14"/>
      <c r="H233" s="14"/>
      <c r="I233" s="14"/>
      <c r="J233" s="14" t="s">
        <v>13</v>
      </c>
      <c r="K233" s="16"/>
      <c r="L233" s="14" t="s">
        <v>223</v>
      </c>
      <c r="M233" s="14" t="s">
        <v>96</v>
      </c>
      <c r="N233" s="30" t="s">
        <v>267</v>
      </c>
      <c r="O233" s="31" t="s">
        <v>258</v>
      </c>
      <c r="P233" s="31"/>
      <c r="Q233" s="19"/>
      <c r="R233" s="19"/>
      <c r="S233" s="209">
        <v>256</v>
      </c>
      <c r="T233" s="19">
        <f t="shared" si="63"/>
        <v>256</v>
      </c>
      <c r="U233" s="14" t="s">
        <v>77</v>
      </c>
      <c r="V233" s="14"/>
      <c r="W233" s="33">
        <v>90</v>
      </c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>
        <f t="shared" si="65"/>
        <v>1.1519999999999999</v>
      </c>
      <c r="AI233" s="34">
        <v>0</v>
      </c>
      <c r="AJ233" s="34">
        <f t="shared" si="62"/>
        <v>1.1519999999999999</v>
      </c>
      <c r="AK233" s="22"/>
      <c r="AL233" s="34"/>
      <c r="AM233" s="14"/>
      <c r="AN233" s="14"/>
      <c r="AO233" s="14"/>
      <c r="AP233" s="14"/>
    </row>
    <row r="234" spans="1:42" s="45" customFormat="1" ht="22" customHeight="1">
      <c r="A234" s="14" t="s">
        <v>17</v>
      </c>
      <c r="B234" s="15">
        <v>2024</v>
      </c>
      <c r="C234" s="15" t="s">
        <v>24</v>
      </c>
      <c r="D234" s="14" t="s">
        <v>185</v>
      </c>
      <c r="E234" s="14" t="s">
        <v>79</v>
      </c>
      <c r="F234" s="16" t="s">
        <v>265</v>
      </c>
      <c r="G234" s="14"/>
      <c r="H234" s="14"/>
      <c r="I234" s="14"/>
      <c r="J234" s="14" t="s">
        <v>13</v>
      </c>
      <c r="K234" s="16"/>
      <c r="L234" s="14" t="s">
        <v>223</v>
      </c>
      <c r="M234" s="14" t="s">
        <v>96</v>
      </c>
      <c r="N234" s="30" t="s">
        <v>267</v>
      </c>
      <c r="O234" s="31" t="s">
        <v>260</v>
      </c>
      <c r="P234" s="31"/>
      <c r="Q234" s="19"/>
      <c r="R234" s="19"/>
      <c r="S234" s="209">
        <v>1189</v>
      </c>
      <c r="T234" s="19">
        <f t="shared" si="63"/>
        <v>1189</v>
      </c>
      <c r="U234" s="14" t="s">
        <v>77</v>
      </c>
      <c r="V234" s="14"/>
      <c r="W234" s="33">
        <v>90</v>
      </c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>
        <f t="shared" si="65"/>
        <v>5.3505000000000003</v>
      </c>
      <c r="AI234" s="34">
        <v>0</v>
      </c>
      <c r="AJ234" s="34">
        <f t="shared" si="62"/>
        <v>5.3505000000000003</v>
      </c>
      <c r="AK234" s="22"/>
      <c r="AL234" s="34"/>
      <c r="AM234" s="14"/>
      <c r="AN234" s="14"/>
      <c r="AO234" s="14"/>
      <c r="AP234" s="14"/>
    </row>
    <row r="235" spans="1:42" s="45" customFormat="1" ht="22" customHeight="1">
      <c r="A235" s="14" t="s">
        <v>17</v>
      </c>
      <c r="B235" s="15">
        <v>2024</v>
      </c>
      <c r="C235" s="15" t="s">
        <v>24</v>
      </c>
      <c r="D235" s="14" t="s">
        <v>185</v>
      </c>
      <c r="E235" s="14" t="s">
        <v>79</v>
      </c>
      <c r="F235" s="16" t="s">
        <v>265</v>
      </c>
      <c r="G235" s="14"/>
      <c r="H235" s="14"/>
      <c r="I235" s="14"/>
      <c r="J235" s="14" t="s">
        <v>13</v>
      </c>
      <c r="K235" s="16"/>
      <c r="L235" s="14" t="s">
        <v>223</v>
      </c>
      <c r="M235" s="14" t="s">
        <v>96</v>
      </c>
      <c r="N235" s="30" t="s">
        <v>267</v>
      </c>
      <c r="O235" s="31" t="s">
        <v>261</v>
      </c>
      <c r="P235" s="31"/>
      <c r="Q235" s="19"/>
      <c r="R235" s="19"/>
      <c r="S235" s="209">
        <v>1051</v>
      </c>
      <c r="T235" s="19">
        <f t="shared" si="63"/>
        <v>1051</v>
      </c>
      <c r="U235" s="14" t="s">
        <v>77</v>
      </c>
      <c r="V235" s="14"/>
      <c r="W235" s="33">
        <v>90</v>
      </c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>
        <f t="shared" si="65"/>
        <v>4.7294999999999998</v>
      </c>
      <c r="AI235" s="34">
        <v>0</v>
      </c>
      <c r="AJ235" s="34">
        <f t="shared" si="62"/>
        <v>4.7294999999999998</v>
      </c>
      <c r="AK235" s="22"/>
      <c r="AL235" s="34"/>
      <c r="AM235" s="14"/>
      <c r="AN235" s="14"/>
      <c r="AO235" s="14"/>
      <c r="AP235" s="14"/>
    </row>
    <row r="236" spans="1:42" s="45" customFormat="1" ht="22" customHeight="1">
      <c r="A236" s="14" t="s">
        <v>17</v>
      </c>
      <c r="B236" s="15">
        <v>2024</v>
      </c>
      <c r="C236" s="15" t="s">
        <v>24</v>
      </c>
      <c r="D236" s="14" t="s">
        <v>185</v>
      </c>
      <c r="E236" s="14" t="s">
        <v>79</v>
      </c>
      <c r="F236" s="16" t="s">
        <v>265</v>
      </c>
      <c r="G236" s="14">
        <v>1</v>
      </c>
      <c r="H236" s="14"/>
      <c r="I236" s="14"/>
      <c r="J236" s="14" t="s">
        <v>11</v>
      </c>
      <c r="K236" s="16" t="s">
        <v>82</v>
      </c>
      <c r="L236" s="14" t="s">
        <v>171</v>
      </c>
      <c r="M236" s="14" t="s">
        <v>78</v>
      </c>
      <c r="N236" s="17"/>
      <c r="O236" s="18" t="s">
        <v>219</v>
      </c>
      <c r="P236" s="9"/>
      <c r="Q236" s="19"/>
      <c r="R236" s="19"/>
      <c r="S236" s="209">
        <v>226</v>
      </c>
      <c r="T236" s="19">
        <f t="shared" si="63"/>
        <v>226</v>
      </c>
      <c r="U236" s="14" t="s">
        <v>77</v>
      </c>
      <c r="V236" s="14"/>
      <c r="W236" s="33">
        <v>90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4">
        <v>0</v>
      </c>
      <c r="AH236" s="34">
        <f t="shared" ref="AH236:AH266" si="66">+T236*W236*50/1000000</f>
        <v>1.0169999999999999</v>
      </c>
      <c r="AI236" s="34">
        <v>0</v>
      </c>
      <c r="AJ236" s="34">
        <f t="shared" si="62"/>
        <v>1.0169999999999999</v>
      </c>
      <c r="AK236" s="22"/>
      <c r="AL236" s="34">
        <v>0</v>
      </c>
      <c r="AM236" s="14"/>
      <c r="AN236" s="14"/>
      <c r="AO236" s="14"/>
      <c r="AP236" s="14"/>
    </row>
    <row r="237" spans="1:42" s="45" customFormat="1" ht="22" customHeight="1">
      <c r="A237" s="14" t="s">
        <v>17</v>
      </c>
      <c r="B237" s="15">
        <v>2024</v>
      </c>
      <c r="C237" s="15" t="s">
        <v>24</v>
      </c>
      <c r="D237" s="14" t="s">
        <v>185</v>
      </c>
      <c r="E237" s="14" t="s">
        <v>79</v>
      </c>
      <c r="F237" s="16" t="s">
        <v>265</v>
      </c>
      <c r="G237" s="14">
        <v>1</v>
      </c>
      <c r="H237" s="14"/>
      <c r="I237" s="14"/>
      <c r="J237" s="14" t="s">
        <v>11</v>
      </c>
      <c r="K237" s="16" t="s">
        <v>82</v>
      </c>
      <c r="L237" s="14" t="s">
        <v>171</v>
      </c>
      <c r="M237" s="14" t="s">
        <v>11</v>
      </c>
      <c r="N237" s="17"/>
      <c r="O237" s="18" t="s">
        <v>220</v>
      </c>
      <c r="P237" s="9"/>
      <c r="Q237" s="19"/>
      <c r="R237" s="19"/>
      <c r="S237" s="209">
        <v>609</v>
      </c>
      <c r="T237" s="19">
        <f t="shared" si="63"/>
        <v>609</v>
      </c>
      <c r="U237" s="14" t="s">
        <v>77</v>
      </c>
      <c r="V237" s="14"/>
      <c r="W237" s="33">
        <v>90</v>
      </c>
      <c r="X237" s="34">
        <v>0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4">
        <v>0</v>
      </c>
      <c r="AH237" s="34">
        <f t="shared" si="66"/>
        <v>2.7404999999999999</v>
      </c>
      <c r="AI237" s="34">
        <v>0</v>
      </c>
      <c r="AJ237" s="34">
        <f t="shared" si="62"/>
        <v>2.7404999999999999</v>
      </c>
      <c r="AK237" s="22"/>
      <c r="AL237" s="34">
        <v>0</v>
      </c>
      <c r="AM237" s="14"/>
      <c r="AN237" s="14"/>
      <c r="AO237" s="14"/>
      <c r="AP237" s="14"/>
    </row>
    <row r="238" spans="1:42" s="45" customFormat="1" ht="22" customHeight="1">
      <c r="A238" s="14" t="s">
        <v>17</v>
      </c>
      <c r="B238" s="15">
        <v>2024</v>
      </c>
      <c r="C238" s="15" t="s">
        <v>24</v>
      </c>
      <c r="D238" s="14" t="s">
        <v>185</v>
      </c>
      <c r="E238" s="14" t="s">
        <v>79</v>
      </c>
      <c r="F238" s="16" t="s">
        <v>265</v>
      </c>
      <c r="G238" s="14">
        <v>1</v>
      </c>
      <c r="H238" s="14"/>
      <c r="I238" s="14"/>
      <c r="J238" s="14" t="s">
        <v>11</v>
      </c>
      <c r="K238" s="16" t="s">
        <v>82</v>
      </c>
      <c r="L238" s="14" t="s">
        <v>171</v>
      </c>
      <c r="M238" s="14" t="s">
        <v>11</v>
      </c>
      <c r="N238" s="17"/>
      <c r="O238" s="18" t="s">
        <v>221</v>
      </c>
      <c r="P238" s="9"/>
      <c r="Q238" s="19"/>
      <c r="R238" s="19"/>
      <c r="S238" s="209">
        <v>1133</v>
      </c>
      <c r="T238" s="19">
        <f t="shared" si="63"/>
        <v>1133</v>
      </c>
      <c r="U238" s="14" t="s">
        <v>77</v>
      </c>
      <c r="V238" s="14"/>
      <c r="W238" s="33">
        <v>90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  <c r="AC238" s="34">
        <v>0</v>
      </c>
      <c r="AD238" s="34">
        <v>0</v>
      </c>
      <c r="AE238" s="34">
        <v>0</v>
      </c>
      <c r="AF238" s="34">
        <v>0</v>
      </c>
      <c r="AG238" s="34">
        <v>0</v>
      </c>
      <c r="AH238" s="34">
        <f t="shared" si="66"/>
        <v>5.0984999999999996</v>
      </c>
      <c r="AI238" s="34">
        <v>0</v>
      </c>
      <c r="AJ238" s="34">
        <f t="shared" si="62"/>
        <v>5.0984999999999996</v>
      </c>
      <c r="AK238" s="22"/>
      <c r="AL238" s="34">
        <v>0</v>
      </c>
      <c r="AM238" s="14"/>
      <c r="AN238" s="14"/>
      <c r="AO238" s="14"/>
      <c r="AP238" s="14"/>
    </row>
    <row r="239" spans="1:42" s="45" customFormat="1" ht="22" customHeight="1">
      <c r="A239" s="14" t="s">
        <v>17</v>
      </c>
      <c r="B239" s="15">
        <v>2024</v>
      </c>
      <c r="C239" s="15" t="s">
        <v>24</v>
      </c>
      <c r="D239" s="14" t="s">
        <v>185</v>
      </c>
      <c r="E239" s="14" t="s">
        <v>79</v>
      </c>
      <c r="F239" s="16" t="s">
        <v>265</v>
      </c>
      <c r="G239" s="14">
        <v>2</v>
      </c>
      <c r="H239" s="14"/>
      <c r="I239" s="14"/>
      <c r="J239" s="14" t="s">
        <v>14</v>
      </c>
      <c r="K239" s="16" t="s">
        <v>14</v>
      </c>
      <c r="L239" s="14" t="s">
        <v>209</v>
      </c>
      <c r="M239" s="14" t="s">
        <v>99</v>
      </c>
      <c r="N239" s="30"/>
      <c r="O239" s="31" t="s">
        <v>222</v>
      </c>
      <c r="P239" s="9"/>
      <c r="Q239" s="19"/>
      <c r="R239" s="19"/>
      <c r="S239" s="209">
        <v>720</v>
      </c>
      <c r="T239" s="19">
        <f t="shared" si="63"/>
        <v>720</v>
      </c>
      <c r="U239" s="14" t="s">
        <v>77</v>
      </c>
      <c r="V239" s="14"/>
      <c r="W239" s="33">
        <v>90</v>
      </c>
      <c r="X239" s="34">
        <v>0</v>
      </c>
      <c r="Y239" s="34">
        <v>0</v>
      </c>
      <c r="Z239" s="34">
        <v>0</v>
      </c>
      <c r="AA239" s="34">
        <v>0</v>
      </c>
      <c r="AB239" s="34">
        <v>0</v>
      </c>
      <c r="AC239" s="34">
        <v>0</v>
      </c>
      <c r="AD239" s="34">
        <v>0</v>
      </c>
      <c r="AE239" s="34">
        <v>0</v>
      </c>
      <c r="AF239" s="34">
        <v>0</v>
      </c>
      <c r="AG239" s="34">
        <v>0</v>
      </c>
      <c r="AH239" s="34">
        <f t="shared" si="66"/>
        <v>3.24</v>
      </c>
      <c r="AI239" s="34">
        <v>0</v>
      </c>
      <c r="AJ239" s="34">
        <f t="shared" si="62"/>
        <v>3.24</v>
      </c>
      <c r="AK239" s="22"/>
      <c r="AL239" s="34">
        <v>0</v>
      </c>
      <c r="AM239" s="14"/>
      <c r="AN239" s="14"/>
      <c r="AO239" s="14"/>
      <c r="AP239" s="14"/>
    </row>
    <row r="240" spans="1:42" s="45" customFormat="1" ht="22" customHeight="1">
      <c r="A240" s="14" t="s">
        <v>17</v>
      </c>
      <c r="B240" s="15">
        <v>2024</v>
      </c>
      <c r="C240" s="15" t="s">
        <v>24</v>
      </c>
      <c r="D240" s="14" t="s">
        <v>185</v>
      </c>
      <c r="E240" s="14" t="s">
        <v>79</v>
      </c>
      <c r="F240" s="16" t="s">
        <v>265</v>
      </c>
      <c r="G240" s="14">
        <v>2</v>
      </c>
      <c r="H240" s="14"/>
      <c r="I240" s="14"/>
      <c r="J240" s="14" t="s">
        <v>12</v>
      </c>
      <c r="K240" s="16" t="s">
        <v>14</v>
      </c>
      <c r="L240" s="14" t="s">
        <v>209</v>
      </c>
      <c r="M240" s="14" t="s">
        <v>84</v>
      </c>
      <c r="N240" s="17"/>
      <c r="O240" s="18" t="s">
        <v>225</v>
      </c>
      <c r="P240" s="9"/>
      <c r="Q240" s="19"/>
      <c r="R240" s="19"/>
      <c r="S240" s="209">
        <v>1086</v>
      </c>
      <c r="T240" s="19">
        <f t="shared" si="63"/>
        <v>1086</v>
      </c>
      <c r="U240" s="14" t="s">
        <v>77</v>
      </c>
      <c r="V240" s="14"/>
      <c r="W240" s="33">
        <v>90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4">
        <v>0</v>
      </c>
      <c r="AH240" s="34">
        <f t="shared" si="66"/>
        <v>4.8869999999999996</v>
      </c>
      <c r="AI240" s="34">
        <v>0</v>
      </c>
      <c r="AJ240" s="34">
        <f t="shared" si="62"/>
        <v>4.8869999999999996</v>
      </c>
      <c r="AK240" s="22"/>
      <c r="AL240" s="34">
        <v>0</v>
      </c>
      <c r="AM240" s="14"/>
      <c r="AN240" s="14"/>
      <c r="AO240" s="14"/>
      <c r="AP240" s="14"/>
    </row>
    <row r="241" spans="1:42" s="45" customFormat="1" ht="22" customHeight="1">
      <c r="A241" s="14" t="s">
        <v>17</v>
      </c>
      <c r="B241" s="15">
        <v>2024</v>
      </c>
      <c r="C241" s="15" t="s">
        <v>24</v>
      </c>
      <c r="D241" s="14" t="s">
        <v>185</v>
      </c>
      <c r="E241" s="14" t="s">
        <v>79</v>
      </c>
      <c r="F241" s="16" t="s">
        <v>265</v>
      </c>
      <c r="G241" s="14">
        <v>1</v>
      </c>
      <c r="H241" s="14"/>
      <c r="I241" s="14"/>
      <c r="J241" s="14" t="s">
        <v>11</v>
      </c>
      <c r="K241" s="16" t="s">
        <v>82</v>
      </c>
      <c r="L241" s="14" t="s">
        <v>171</v>
      </c>
      <c r="M241" s="14" t="s">
        <v>78</v>
      </c>
      <c r="N241" s="17"/>
      <c r="O241" s="18" t="s">
        <v>226</v>
      </c>
      <c r="P241" s="9"/>
      <c r="Q241" s="19"/>
      <c r="R241" s="19"/>
      <c r="S241" s="209">
        <v>372</v>
      </c>
      <c r="T241" s="19">
        <f t="shared" si="63"/>
        <v>372</v>
      </c>
      <c r="U241" s="14" t="s">
        <v>77</v>
      </c>
      <c r="V241" s="14"/>
      <c r="W241" s="33">
        <v>90</v>
      </c>
      <c r="X241" s="34">
        <v>0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0</v>
      </c>
      <c r="AF241" s="34">
        <v>0</v>
      </c>
      <c r="AG241" s="34">
        <v>0</v>
      </c>
      <c r="AH241" s="34">
        <f t="shared" si="66"/>
        <v>1.6739999999999999</v>
      </c>
      <c r="AI241" s="34">
        <v>0</v>
      </c>
      <c r="AJ241" s="34">
        <f t="shared" si="62"/>
        <v>1.6739999999999999</v>
      </c>
      <c r="AK241" s="22"/>
      <c r="AL241" s="34">
        <v>0</v>
      </c>
      <c r="AM241" s="14"/>
      <c r="AN241" s="14"/>
      <c r="AO241" s="14"/>
      <c r="AP241" s="14"/>
    </row>
    <row r="242" spans="1:42" s="45" customFormat="1" ht="22" customHeight="1">
      <c r="A242" s="14" t="s">
        <v>17</v>
      </c>
      <c r="B242" s="15">
        <v>2024</v>
      </c>
      <c r="C242" s="15" t="s">
        <v>24</v>
      </c>
      <c r="D242" s="14" t="s">
        <v>185</v>
      </c>
      <c r="E242" s="14" t="s">
        <v>79</v>
      </c>
      <c r="F242" s="16" t="s">
        <v>265</v>
      </c>
      <c r="G242" s="14">
        <v>1</v>
      </c>
      <c r="H242" s="14"/>
      <c r="I242" s="14"/>
      <c r="J242" s="14" t="s">
        <v>12</v>
      </c>
      <c r="K242" s="16" t="s">
        <v>14</v>
      </c>
      <c r="L242" s="14" t="s">
        <v>209</v>
      </c>
      <c r="M242" s="14" t="s">
        <v>84</v>
      </c>
      <c r="N242" s="17"/>
      <c r="O242" s="18" t="s">
        <v>227</v>
      </c>
      <c r="P242" s="9"/>
      <c r="Q242" s="19"/>
      <c r="R242" s="19"/>
      <c r="S242" s="209">
        <v>612</v>
      </c>
      <c r="T242" s="19">
        <f t="shared" si="63"/>
        <v>612</v>
      </c>
      <c r="U242" s="14" t="s">
        <v>77</v>
      </c>
      <c r="V242" s="14"/>
      <c r="W242" s="33">
        <v>90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v>0</v>
      </c>
      <c r="AH242" s="34">
        <f t="shared" si="66"/>
        <v>2.754</v>
      </c>
      <c r="AI242" s="34">
        <v>0</v>
      </c>
      <c r="AJ242" s="34">
        <f t="shared" si="62"/>
        <v>2.754</v>
      </c>
      <c r="AK242" s="22"/>
      <c r="AL242" s="34">
        <v>0</v>
      </c>
      <c r="AM242" s="14"/>
      <c r="AN242" s="14"/>
      <c r="AO242" s="14"/>
      <c r="AP242" s="14"/>
    </row>
    <row r="243" spans="1:42" s="45" customFormat="1" ht="22" customHeight="1">
      <c r="A243" s="14" t="s">
        <v>17</v>
      </c>
      <c r="B243" s="15">
        <v>2024</v>
      </c>
      <c r="C243" s="15" t="s">
        <v>24</v>
      </c>
      <c r="D243" s="14" t="s">
        <v>185</v>
      </c>
      <c r="E243" s="14" t="s">
        <v>79</v>
      </c>
      <c r="F243" s="16" t="s">
        <v>265</v>
      </c>
      <c r="G243" s="14">
        <v>1</v>
      </c>
      <c r="H243" s="14"/>
      <c r="I243" s="14"/>
      <c r="J243" s="14" t="s">
        <v>11</v>
      </c>
      <c r="K243" s="16" t="s">
        <v>82</v>
      </c>
      <c r="L243" s="14" t="s">
        <v>171</v>
      </c>
      <c r="M243" s="14" t="s">
        <v>78</v>
      </c>
      <c r="N243" s="17"/>
      <c r="O243" s="18" t="s">
        <v>228</v>
      </c>
      <c r="P243" s="9"/>
      <c r="Q243" s="19"/>
      <c r="R243" s="19"/>
      <c r="S243" s="209">
        <v>900</v>
      </c>
      <c r="T243" s="19">
        <f t="shared" si="63"/>
        <v>900</v>
      </c>
      <c r="U243" s="14" t="s">
        <v>77</v>
      </c>
      <c r="V243" s="14"/>
      <c r="W243" s="33">
        <v>90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f t="shared" si="66"/>
        <v>4.05</v>
      </c>
      <c r="AI243" s="34">
        <v>0</v>
      </c>
      <c r="AJ243" s="34">
        <f t="shared" si="62"/>
        <v>4.05</v>
      </c>
      <c r="AK243" s="22"/>
      <c r="AL243" s="34">
        <v>0</v>
      </c>
      <c r="AM243" s="14"/>
      <c r="AN243" s="14"/>
      <c r="AO243" s="14"/>
      <c r="AP243" s="14"/>
    </row>
    <row r="244" spans="1:42" s="45" customFormat="1" ht="22" customHeight="1">
      <c r="A244" s="14" t="s">
        <v>17</v>
      </c>
      <c r="B244" s="15">
        <v>2024</v>
      </c>
      <c r="C244" s="15" t="s">
        <v>24</v>
      </c>
      <c r="D244" s="14" t="s">
        <v>185</v>
      </c>
      <c r="E244" s="14" t="s">
        <v>79</v>
      </c>
      <c r="F244" s="16" t="s">
        <v>265</v>
      </c>
      <c r="G244" s="14">
        <v>2</v>
      </c>
      <c r="H244" s="14"/>
      <c r="I244" s="14"/>
      <c r="J244" s="14" t="s">
        <v>14</v>
      </c>
      <c r="K244" s="16" t="s">
        <v>14</v>
      </c>
      <c r="L244" s="14" t="s">
        <v>209</v>
      </c>
      <c r="M244" s="14" t="s">
        <v>99</v>
      </c>
      <c r="N244" s="30"/>
      <c r="O244" s="31" t="s">
        <v>230</v>
      </c>
      <c r="P244" s="9"/>
      <c r="Q244" s="19"/>
      <c r="R244" s="19"/>
      <c r="S244" s="209">
        <v>218</v>
      </c>
      <c r="T244" s="19">
        <f t="shared" si="63"/>
        <v>218</v>
      </c>
      <c r="U244" s="14" t="s">
        <v>77</v>
      </c>
      <c r="V244" s="14"/>
      <c r="W244" s="33">
        <v>90</v>
      </c>
      <c r="X244" s="34">
        <v>0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4">
        <v>0</v>
      </c>
      <c r="AH244" s="34">
        <f t="shared" si="66"/>
        <v>0.98099999999999998</v>
      </c>
      <c r="AI244" s="34">
        <v>0</v>
      </c>
      <c r="AJ244" s="34">
        <f t="shared" si="62"/>
        <v>0.98099999999999998</v>
      </c>
      <c r="AK244" s="22"/>
      <c r="AL244" s="34"/>
      <c r="AM244" s="14"/>
      <c r="AN244" s="14"/>
      <c r="AO244" s="14"/>
      <c r="AP244" s="14"/>
    </row>
    <row r="245" spans="1:42" s="45" customFormat="1" ht="22" customHeight="1">
      <c r="A245" s="14" t="s">
        <v>17</v>
      </c>
      <c r="B245" s="15">
        <v>2024</v>
      </c>
      <c r="C245" s="15" t="s">
        <v>24</v>
      </c>
      <c r="D245" s="14" t="s">
        <v>185</v>
      </c>
      <c r="E245" s="14" t="s">
        <v>79</v>
      </c>
      <c r="F245" s="16" t="s">
        <v>265</v>
      </c>
      <c r="G245" s="14">
        <v>1</v>
      </c>
      <c r="H245" s="14"/>
      <c r="I245" s="14"/>
      <c r="J245" s="14" t="s">
        <v>14</v>
      </c>
      <c r="K245" s="16" t="s">
        <v>14</v>
      </c>
      <c r="L245" s="14" t="s">
        <v>209</v>
      </c>
      <c r="M245" s="14" t="s">
        <v>99</v>
      </c>
      <c r="N245" s="30"/>
      <c r="O245" s="31" t="s">
        <v>231</v>
      </c>
      <c r="P245" s="9"/>
      <c r="Q245" s="19"/>
      <c r="R245" s="19"/>
      <c r="S245" s="209">
        <v>60</v>
      </c>
      <c r="T245" s="19">
        <f t="shared" si="63"/>
        <v>60</v>
      </c>
      <c r="U245" s="14" t="s">
        <v>77</v>
      </c>
      <c r="V245" s="14"/>
      <c r="W245" s="33">
        <v>90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v>0</v>
      </c>
      <c r="AH245" s="34">
        <f t="shared" si="66"/>
        <v>0.27</v>
      </c>
      <c r="AI245" s="34">
        <v>0</v>
      </c>
      <c r="AJ245" s="34">
        <f t="shared" si="62"/>
        <v>0.27</v>
      </c>
      <c r="AK245" s="22"/>
      <c r="AL245" s="34">
        <v>0</v>
      </c>
      <c r="AM245" s="14"/>
      <c r="AN245" s="14"/>
      <c r="AO245" s="14"/>
      <c r="AP245" s="14"/>
    </row>
    <row r="246" spans="1:42" s="45" customFormat="1" ht="22" customHeight="1">
      <c r="A246" s="14" t="s">
        <v>17</v>
      </c>
      <c r="B246" s="15">
        <v>2024</v>
      </c>
      <c r="C246" s="15" t="s">
        <v>24</v>
      </c>
      <c r="D246" s="14" t="s">
        <v>185</v>
      </c>
      <c r="E246" s="14" t="s">
        <v>79</v>
      </c>
      <c r="F246" s="16" t="s">
        <v>265</v>
      </c>
      <c r="G246" s="14">
        <v>1</v>
      </c>
      <c r="H246" s="14"/>
      <c r="I246" s="14"/>
      <c r="J246" s="14" t="s">
        <v>11</v>
      </c>
      <c r="K246" s="16" t="s">
        <v>82</v>
      </c>
      <c r="L246" s="14" t="s">
        <v>171</v>
      </c>
      <c r="M246" s="14" t="s">
        <v>78</v>
      </c>
      <c r="N246" s="17"/>
      <c r="O246" s="18" t="s">
        <v>232</v>
      </c>
      <c r="P246" s="9"/>
      <c r="Q246" s="19"/>
      <c r="R246" s="19"/>
      <c r="S246" s="209">
        <v>380</v>
      </c>
      <c r="T246" s="19">
        <f t="shared" si="63"/>
        <v>380</v>
      </c>
      <c r="U246" s="14" t="s">
        <v>77</v>
      </c>
      <c r="V246" s="14"/>
      <c r="W246" s="33">
        <v>90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f t="shared" si="66"/>
        <v>1.71</v>
      </c>
      <c r="AI246" s="34">
        <v>0</v>
      </c>
      <c r="AJ246" s="34">
        <f t="shared" si="62"/>
        <v>1.71</v>
      </c>
      <c r="AK246" s="22"/>
      <c r="AL246" s="34">
        <v>0</v>
      </c>
      <c r="AM246" s="14"/>
      <c r="AN246" s="14"/>
      <c r="AO246" s="14"/>
      <c r="AP246" s="14"/>
    </row>
    <row r="247" spans="1:42" s="45" customFormat="1" ht="22" customHeight="1">
      <c r="A247" s="14" t="s">
        <v>17</v>
      </c>
      <c r="B247" s="15">
        <v>2024</v>
      </c>
      <c r="C247" s="15" t="s">
        <v>24</v>
      </c>
      <c r="D247" s="14" t="s">
        <v>185</v>
      </c>
      <c r="E247" s="14" t="s">
        <v>79</v>
      </c>
      <c r="F247" s="16" t="s">
        <v>265</v>
      </c>
      <c r="G247" s="14">
        <v>1</v>
      </c>
      <c r="H247" s="14"/>
      <c r="I247" s="14" t="s">
        <v>28</v>
      </c>
      <c r="J247" s="14" t="s">
        <v>11</v>
      </c>
      <c r="K247" s="16" t="s">
        <v>82</v>
      </c>
      <c r="L247" s="14" t="s">
        <v>166</v>
      </c>
      <c r="M247" s="14" t="s">
        <v>28</v>
      </c>
      <c r="N247" s="30"/>
      <c r="O247" s="31" t="s">
        <v>233</v>
      </c>
      <c r="P247" s="9"/>
      <c r="Q247" s="19"/>
      <c r="R247" s="19"/>
      <c r="S247" s="209">
        <v>813</v>
      </c>
      <c r="T247" s="19">
        <f t="shared" si="63"/>
        <v>813</v>
      </c>
      <c r="U247" s="14" t="s">
        <v>77</v>
      </c>
      <c r="V247" s="14"/>
      <c r="W247" s="33">
        <v>90</v>
      </c>
      <c r="X247" s="34">
        <v>0</v>
      </c>
      <c r="Y247" s="34">
        <v>0</v>
      </c>
      <c r="Z247" s="34">
        <v>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4">
        <v>0</v>
      </c>
      <c r="AH247" s="34">
        <f t="shared" si="66"/>
        <v>3.6585000000000001</v>
      </c>
      <c r="AI247" s="34">
        <v>0</v>
      </c>
      <c r="AJ247" s="34">
        <f t="shared" si="62"/>
        <v>3.6585000000000001</v>
      </c>
      <c r="AK247" s="22"/>
      <c r="AL247" s="34">
        <v>0</v>
      </c>
      <c r="AM247" s="14"/>
      <c r="AN247" s="14"/>
      <c r="AO247" s="14"/>
      <c r="AP247" s="14"/>
    </row>
    <row r="248" spans="1:42" s="45" customFormat="1" ht="22" customHeight="1">
      <c r="A248" s="14" t="s">
        <v>17</v>
      </c>
      <c r="B248" s="15">
        <v>2024</v>
      </c>
      <c r="C248" s="15" t="s">
        <v>24</v>
      </c>
      <c r="D248" s="14" t="s">
        <v>185</v>
      </c>
      <c r="E248" s="14" t="s">
        <v>79</v>
      </c>
      <c r="F248" s="16" t="s">
        <v>265</v>
      </c>
      <c r="G248" s="14">
        <v>1</v>
      </c>
      <c r="H248" s="14"/>
      <c r="I248" s="14"/>
      <c r="J248" s="14" t="s">
        <v>12</v>
      </c>
      <c r="K248" s="16" t="s">
        <v>14</v>
      </c>
      <c r="L248" s="14" t="s">
        <v>209</v>
      </c>
      <c r="M248" s="14" t="s">
        <v>84</v>
      </c>
      <c r="N248" s="30"/>
      <c r="O248" s="31" t="s">
        <v>234</v>
      </c>
      <c r="P248" s="9"/>
      <c r="Q248" s="19"/>
      <c r="R248" s="19"/>
      <c r="S248" s="209">
        <v>1137</v>
      </c>
      <c r="T248" s="19">
        <f t="shared" si="63"/>
        <v>1137</v>
      </c>
      <c r="U248" s="14" t="s">
        <v>77</v>
      </c>
      <c r="V248" s="14"/>
      <c r="W248" s="33">
        <v>90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0</v>
      </c>
      <c r="AE248" s="34">
        <v>0</v>
      </c>
      <c r="AF248" s="34">
        <v>0</v>
      </c>
      <c r="AG248" s="34">
        <v>0</v>
      </c>
      <c r="AH248" s="34">
        <f t="shared" si="66"/>
        <v>5.1165000000000003</v>
      </c>
      <c r="AI248" s="34">
        <v>0</v>
      </c>
      <c r="AJ248" s="34">
        <f t="shared" si="62"/>
        <v>5.1165000000000003</v>
      </c>
      <c r="AK248" s="22"/>
      <c r="AL248" s="34">
        <v>0</v>
      </c>
      <c r="AM248" s="14"/>
      <c r="AN248" s="14"/>
      <c r="AO248" s="14"/>
      <c r="AP248" s="14"/>
    </row>
    <row r="249" spans="1:42" s="45" customFormat="1" ht="22" customHeight="1">
      <c r="A249" s="14" t="s">
        <v>17</v>
      </c>
      <c r="B249" s="15">
        <v>2024</v>
      </c>
      <c r="C249" s="15" t="s">
        <v>24</v>
      </c>
      <c r="D249" s="14" t="s">
        <v>185</v>
      </c>
      <c r="E249" s="14" t="s">
        <v>79</v>
      </c>
      <c r="F249" s="16" t="s">
        <v>265</v>
      </c>
      <c r="G249" s="14">
        <v>2</v>
      </c>
      <c r="H249" s="14"/>
      <c r="I249" s="14"/>
      <c r="J249" s="14" t="s">
        <v>14</v>
      </c>
      <c r="K249" s="16" t="s">
        <v>14</v>
      </c>
      <c r="L249" s="14" t="s">
        <v>209</v>
      </c>
      <c r="M249" s="14" t="s">
        <v>99</v>
      </c>
      <c r="N249" s="30"/>
      <c r="O249" s="31" t="s">
        <v>235</v>
      </c>
      <c r="P249" s="9"/>
      <c r="Q249" s="19"/>
      <c r="R249" s="19"/>
      <c r="S249" s="209">
        <v>654</v>
      </c>
      <c r="T249" s="19">
        <f t="shared" si="63"/>
        <v>654</v>
      </c>
      <c r="U249" s="14" t="s">
        <v>77</v>
      </c>
      <c r="V249" s="14"/>
      <c r="W249" s="33">
        <v>90</v>
      </c>
      <c r="X249" s="34">
        <v>0</v>
      </c>
      <c r="Y249" s="34">
        <v>0</v>
      </c>
      <c r="Z249" s="34">
        <v>0</v>
      </c>
      <c r="AA249" s="34">
        <v>0</v>
      </c>
      <c r="AB249" s="34">
        <v>0</v>
      </c>
      <c r="AC249" s="34">
        <v>0</v>
      </c>
      <c r="AD249" s="34">
        <v>0</v>
      </c>
      <c r="AE249" s="34">
        <v>0</v>
      </c>
      <c r="AF249" s="34">
        <v>0</v>
      </c>
      <c r="AG249" s="34">
        <v>0</v>
      </c>
      <c r="AH249" s="34">
        <f t="shared" si="66"/>
        <v>2.9430000000000001</v>
      </c>
      <c r="AI249" s="34">
        <v>0</v>
      </c>
      <c r="AJ249" s="34">
        <f t="shared" si="62"/>
        <v>2.9430000000000001</v>
      </c>
      <c r="AK249" s="22"/>
      <c r="AL249" s="34">
        <v>0</v>
      </c>
      <c r="AM249" s="14"/>
      <c r="AN249" s="14"/>
      <c r="AO249" s="14"/>
      <c r="AP249" s="14"/>
    </row>
    <row r="250" spans="1:42" s="45" customFormat="1" ht="22" customHeight="1">
      <c r="A250" s="14" t="s">
        <v>17</v>
      </c>
      <c r="B250" s="15">
        <v>2024</v>
      </c>
      <c r="C250" s="15" t="s">
        <v>24</v>
      </c>
      <c r="D250" s="14" t="s">
        <v>185</v>
      </c>
      <c r="E250" s="14" t="s">
        <v>79</v>
      </c>
      <c r="F250" s="16" t="s">
        <v>265</v>
      </c>
      <c r="G250" s="14">
        <v>1</v>
      </c>
      <c r="H250" s="14"/>
      <c r="I250" s="14" t="s">
        <v>28</v>
      </c>
      <c r="J250" s="14" t="s">
        <v>11</v>
      </c>
      <c r="K250" s="16" t="s">
        <v>82</v>
      </c>
      <c r="L250" s="14" t="s">
        <v>166</v>
      </c>
      <c r="M250" s="14" t="s">
        <v>28</v>
      </c>
      <c r="N250" s="17"/>
      <c r="O250" s="18" t="s">
        <v>236</v>
      </c>
      <c r="P250" s="9"/>
      <c r="Q250" s="19"/>
      <c r="R250" s="19"/>
      <c r="S250" s="209">
        <v>346</v>
      </c>
      <c r="T250" s="19">
        <f t="shared" si="63"/>
        <v>346</v>
      </c>
      <c r="U250" s="14" t="s">
        <v>77</v>
      </c>
      <c r="V250" s="14"/>
      <c r="W250" s="33">
        <v>90</v>
      </c>
      <c r="X250" s="34">
        <v>0</v>
      </c>
      <c r="Y250" s="34">
        <v>0</v>
      </c>
      <c r="Z250" s="34">
        <v>0</v>
      </c>
      <c r="AA250" s="34">
        <v>0</v>
      </c>
      <c r="AB250" s="34">
        <v>0</v>
      </c>
      <c r="AC250" s="34">
        <v>0</v>
      </c>
      <c r="AD250" s="34">
        <v>0</v>
      </c>
      <c r="AE250" s="34">
        <v>0</v>
      </c>
      <c r="AF250" s="34">
        <v>0</v>
      </c>
      <c r="AG250" s="34">
        <v>0</v>
      </c>
      <c r="AH250" s="34">
        <f t="shared" si="66"/>
        <v>1.5569999999999999</v>
      </c>
      <c r="AI250" s="34">
        <v>0</v>
      </c>
      <c r="AJ250" s="34">
        <f t="shared" si="62"/>
        <v>1.5569999999999999</v>
      </c>
      <c r="AK250" s="22"/>
      <c r="AL250" s="34">
        <v>0</v>
      </c>
      <c r="AM250" s="14"/>
      <c r="AN250" s="14"/>
      <c r="AO250" s="14"/>
      <c r="AP250" s="14"/>
    </row>
    <row r="251" spans="1:42" s="45" customFormat="1" ht="22" customHeight="1">
      <c r="A251" s="14" t="s">
        <v>17</v>
      </c>
      <c r="B251" s="15">
        <v>2024</v>
      </c>
      <c r="C251" s="15" t="s">
        <v>24</v>
      </c>
      <c r="D251" s="14" t="s">
        <v>185</v>
      </c>
      <c r="E251" s="14" t="s">
        <v>79</v>
      </c>
      <c r="F251" s="16" t="s">
        <v>265</v>
      </c>
      <c r="G251" s="14">
        <v>1</v>
      </c>
      <c r="H251" s="14"/>
      <c r="I251" s="14" t="s">
        <v>28</v>
      </c>
      <c r="J251" s="14" t="s">
        <v>11</v>
      </c>
      <c r="K251" s="16" t="s">
        <v>82</v>
      </c>
      <c r="L251" s="14" t="s">
        <v>166</v>
      </c>
      <c r="M251" s="14" t="s">
        <v>28</v>
      </c>
      <c r="N251" s="17"/>
      <c r="O251" s="18" t="s">
        <v>237</v>
      </c>
      <c r="P251" s="9"/>
      <c r="Q251" s="19"/>
      <c r="R251" s="19"/>
      <c r="S251" s="209">
        <v>1245</v>
      </c>
      <c r="T251" s="19">
        <f t="shared" si="63"/>
        <v>1245</v>
      </c>
      <c r="U251" s="14" t="s">
        <v>77</v>
      </c>
      <c r="V251" s="14"/>
      <c r="W251" s="33">
        <v>90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4">
        <v>0</v>
      </c>
      <c r="AH251" s="34">
        <f t="shared" si="66"/>
        <v>5.6025</v>
      </c>
      <c r="AI251" s="34">
        <v>0</v>
      </c>
      <c r="AJ251" s="34">
        <f t="shared" si="62"/>
        <v>5.6025</v>
      </c>
      <c r="AK251" s="22"/>
      <c r="AL251" s="34">
        <v>0</v>
      </c>
      <c r="AM251" s="14"/>
      <c r="AN251" s="14"/>
      <c r="AO251" s="14"/>
      <c r="AP251" s="14"/>
    </row>
    <row r="252" spans="1:42" s="45" customFormat="1" ht="22" customHeight="1">
      <c r="A252" s="14" t="s">
        <v>17</v>
      </c>
      <c r="B252" s="15">
        <v>2024</v>
      </c>
      <c r="C252" s="15" t="s">
        <v>24</v>
      </c>
      <c r="D252" s="14" t="s">
        <v>185</v>
      </c>
      <c r="E252" s="14" t="s">
        <v>79</v>
      </c>
      <c r="F252" s="16" t="s">
        <v>265</v>
      </c>
      <c r="G252" s="14">
        <v>1</v>
      </c>
      <c r="H252" s="14"/>
      <c r="I252" s="14"/>
      <c r="J252" s="14" t="s">
        <v>11</v>
      </c>
      <c r="K252" s="16" t="s">
        <v>82</v>
      </c>
      <c r="L252" s="14" t="s">
        <v>171</v>
      </c>
      <c r="M252" s="14" t="s">
        <v>78</v>
      </c>
      <c r="N252" s="17"/>
      <c r="O252" s="18" t="s">
        <v>239</v>
      </c>
      <c r="P252" s="9"/>
      <c r="Q252" s="19"/>
      <c r="R252" s="19"/>
      <c r="S252" s="209">
        <v>406</v>
      </c>
      <c r="T252" s="19">
        <f t="shared" si="63"/>
        <v>406</v>
      </c>
      <c r="U252" s="14" t="s">
        <v>77</v>
      </c>
      <c r="V252" s="14"/>
      <c r="W252" s="33">
        <v>90</v>
      </c>
      <c r="X252" s="34">
        <v>0</v>
      </c>
      <c r="Y252" s="34">
        <v>0</v>
      </c>
      <c r="Z252" s="34">
        <v>0</v>
      </c>
      <c r="AA252" s="34">
        <v>0</v>
      </c>
      <c r="AB252" s="34">
        <v>0</v>
      </c>
      <c r="AC252" s="34">
        <v>0</v>
      </c>
      <c r="AD252" s="34">
        <v>0</v>
      </c>
      <c r="AE252" s="34">
        <v>0</v>
      </c>
      <c r="AF252" s="34">
        <v>0</v>
      </c>
      <c r="AG252" s="34">
        <v>0</v>
      </c>
      <c r="AH252" s="34">
        <f t="shared" si="66"/>
        <v>1.827</v>
      </c>
      <c r="AI252" s="34">
        <v>0</v>
      </c>
      <c r="AJ252" s="34">
        <f t="shared" si="62"/>
        <v>1.827</v>
      </c>
      <c r="AK252" s="22"/>
      <c r="AL252" s="34">
        <v>0</v>
      </c>
      <c r="AM252" s="14"/>
      <c r="AN252" s="14"/>
      <c r="AO252" s="14"/>
      <c r="AP252" s="14"/>
    </row>
    <row r="253" spans="1:42" s="45" customFormat="1" ht="22" customHeight="1">
      <c r="A253" s="14" t="s">
        <v>17</v>
      </c>
      <c r="B253" s="15">
        <v>2024</v>
      </c>
      <c r="C253" s="15" t="s">
        <v>24</v>
      </c>
      <c r="D253" s="14" t="s">
        <v>185</v>
      </c>
      <c r="E253" s="14" t="s">
        <v>79</v>
      </c>
      <c r="F253" s="16" t="s">
        <v>265</v>
      </c>
      <c r="G253" s="14">
        <v>2</v>
      </c>
      <c r="H253" s="14"/>
      <c r="I253" s="14" t="s">
        <v>28</v>
      </c>
      <c r="J253" s="14" t="s">
        <v>11</v>
      </c>
      <c r="K253" s="16" t="s">
        <v>82</v>
      </c>
      <c r="L253" s="14" t="s">
        <v>166</v>
      </c>
      <c r="M253" s="14" t="s">
        <v>28</v>
      </c>
      <c r="N253" s="17"/>
      <c r="O253" s="18" t="s">
        <v>240</v>
      </c>
      <c r="P253" s="9"/>
      <c r="Q253" s="19"/>
      <c r="R253" s="19"/>
      <c r="S253" s="209">
        <v>915</v>
      </c>
      <c r="T253" s="19">
        <f t="shared" si="63"/>
        <v>915</v>
      </c>
      <c r="U253" s="14" t="s">
        <v>77</v>
      </c>
      <c r="V253" s="14"/>
      <c r="W253" s="33">
        <v>90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4">
        <v>0</v>
      </c>
      <c r="AH253" s="34">
        <f t="shared" si="66"/>
        <v>4.1174999999999997</v>
      </c>
      <c r="AI253" s="34">
        <v>0</v>
      </c>
      <c r="AJ253" s="34">
        <f t="shared" si="62"/>
        <v>4.1174999999999997</v>
      </c>
      <c r="AK253" s="22"/>
      <c r="AL253" s="34">
        <v>0</v>
      </c>
      <c r="AM253" s="14"/>
      <c r="AN253" s="14"/>
      <c r="AO253" s="14"/>
      <c r="AP253" s="14"/>
    </row>
    <row r="254" spans="1:42" s="45" customFormat="1" ht="22" customHeight="1">
      <c r="A254" s="14" t="s">
        <v>17</v>
      </c>
      <c r="B254" s="15">
        <v>2024</v>
      </c>
      <c r="C254" s="15" t="s">
        <v>24</v>
      </c>
      <c r="D254" s="14" t="s">
        <v>185</v>
      </c>
      <c r="E254" s="14" t="s">
        <v>79</v>
      </c>
      <c r="F254" s="16" t="s">
        <v>265</v>
      </c>
      <c r="G254" s="14">
        <v>1</v>
      </c>
      <c r="H254" s="14"/>
      <c r="I254" s="14"/>
      <c r="J254" s="14" t="s">
        <v>14</v>
      </c>
      <c r="K254" s="16" t="s">
        <v>14</v>
      </c>
      <c r="L254" s="14" t="s">
        <v>209</v>
      </c>
      <c r="M254" s="14" t="s">
        <v>99</v>
      </c>
      <c r="N254" s="30"/>
      <c r="O254" s="31" t="s">
        <v>242</v>
      </c>
      <c r="P254" s="9"/>
      <c r="Q254" s="19"/>
      <c r="R254" s="19"/>
      <c r="S254" s="209">
        <v>226</v>
      </c>
      <c r="T254" s="19">
        <f t="shared" si="63"/>
        <v>226</v>
      </c>
      <c r="U254" s="14" t="s">
        <v>77</v>
      </c>
      <c r="V254" s="14"/>
      <c r="W254" s="33">
        <v>90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f t="shared" si="66"/>
        <v>1.0169999999999999</v>
      </c>
      <c r="AI254" s="34">
        <v>0</v>
      </c>
      <c r="AJ254" s="34">
        <f t="shared" si="62"/>
        <v>1.0169999999999999</v>
      </c>
      <c r="AK254" s="22"/>
      <c r="AL254" s="34">
        <v>0</v>
      </c>
      <c r="AM254" s="14"/>
      <c r="AN254" s="14"/>
      <c r="AO254" s="14"/>
      <c r="AP254" s="14"/>
    </row>
    <row r="255" spans="1:42" s="45" customFormat="1" ht="22" customHeight="1">
      <c r="A255" s="14" t="s">
        <v>17</v>
      </c>
      <c r="B255" s="15">
        <v>2024</v>
      </c>
      <c r="C255" s="15" t="s">
        <v>24</v>
      </c>
      <c r="D255" s="14" t="s">
        <v>185</v>
      </c>
      <c r="E255" s="14" t="s">
        <v>79</v>
      </c>
      <c r="F255" s="16" t="s">
        <v>265</v>
      </c>
      <c r="G255" s="14">
        <v>1</v>
      </c>
      <c r="H255" s="14"/>
      <c r="I255" s="14"/>
      <c r="J255" s="14" t="s">
        <v>12</v>
      </c>
      <c r="K255" s="16" t="s">
        <v>14</v>
      </c>
      <c r="L255" s="14" t="s">
        <v>209</v>
      </c>
      <c r="M255" s="14" t="s">
        <v>84</v>
      </c>
      <c r="N255" s="17"/>
      <c r="O255" s="18" t="s">
        <v>241</v>
      </c>
      <c r="P255" s="9"/>
      <c r="Q255" s="19"/>
      <c r="R255" s="19"/>
      <c r="S255" s="209">
        <v>476</v>
      </c>
      <c r="T255" s="19">
        <f t="shared" si="63"/>
        <v>476</v>
      </c>
      <c r="U255" s="14" t="s">
        <v>77</v>
      </c>
      <c r="V255" s="14"/>
      <c r="W255" s="33">
        <v>90</v>
      </c>
      <c r="X255" s="34">
        <v>0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4">
        <v>0</v>
      </c>
      <c r="AH255" s="34">
        <f t="shared" si="66"/>
        <v>2.1419999999999999</v>
      </c>
      <c r="AI255" s="34">
        <v>0</v>
      </c>
      <c r="AJ255" s="34">
        <f t="shared" si="62"/>
        <v>2.1419999999999999</v>
      </c>
      <c r="AK255" s="22"/>
      <c r="AL255" s="34">
        <v>0</v>
      </c>
      <c r="AM255" s="14"/>
      <c r="AN255" s="14"/>
      <c r="AO255" s="14"/>
      <c r="AP255" s="14"/>
    </row>
    <row r="256" spans="1:42" s="45" customFormat="1" ht="22" customHeight="1">
      <c r="A256" s="14" t="s">
        <v>17</v>
      </c>
      <c r="B256" s="15">
        <v>2024</v>
      </c>
      <c r="C256" s="15" t="s">
        <v>24</v>
      </c>
      <c r="D256" s="14" t="s">
        <v>185</v>
      </c>
      <c r="E256" s="14" t="s">
        <v>79</v>
      </c>
      <c r="F256" s="16" t="s">
        <v>265</v>
      </c>
      <c r="G256" s="14">
        <v>1</v>
      </c>
      <c r="H256" s="14"/>
      <c r="I256" s="14"/>
      <c r="J256" s="14" t="s">
        <v>11</v>
      </c>
      <c r="K256" s="16" t="s">
        <v>82</v>
      </c>
      <c r="L256" s="14" t="s">
        <v>171</v>
      </c>
      <c r="M256" s="14" t="s">
        <v>78</v>
      </c>
      <c r="N256" s="17"/>
      <c r="O256" s="18" t="s">
        <v>243</v>
      </c>
      <c r="P256" s="9"/>
      <c r="Q256" s="19"/>
      <c r="R256" s="19"/>
      <c r="S256" s="209">
        <v>745</v>
      </c>
      <c r="T256" s="19">
        <f t="shared" si="63"/>
        <v>745</v>
      </c>
      <c r="U256" s="14" t="s">
        <v>77</v>
      </c>
      <c r="V256" s="14"/>
      <c r="W256" s="33">
        <v>90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f t="shared" si="66"/>
        <v>3.3525</v>
      </c>
      <c r="AI256" s="34">
        <v>0</v>
      </c>
      <c r="AJ256" s="34">
        <f t="shared" si="62"/>
        <v>3.3525</v>
      </c>
      <c r="AK256" s="22"/>
      <c r="AL256" s="34">
        <v>0</v>
      </c>
      <c r="AM256" s="14"/>
      <c r="AN256" s="14"/>
      <c r="AO256" s="14"/>
      <c r="AP256" s="14"/>
    </row>
    <row r="257" spans="1:42" s="45" customFormat="1" ht="22" customHeight="1">
      <c r="A257" s="14" t="s">
        <v>17</v>
      </c>
      <c r="B257" s="15">
        <v>2024</v>
      </c>
      <c r="C257" s="15" t="s">
        <v>24</v>
      </c>
      <c r="D257" s="14" t="s">
        <v>185</v>
      </c>
      <c r="E257" s="14" t="s">
        <v>79</v>
      </c>
      <c r="F257" s="16" t="s">
        <v>265</v>
      </c>
      <c r="G257" s="14">
        <v>1</v>
      </c>
      <c r="H257" s="14"/>
      <c r="I257" s="14"/>
      <c r="J257" s="14" t="s">
        <v>11</v>
      </c>
      <c r="K257" s="16" t="s">
        <v>82</v>
      </c>
      <c r="L257" s="14" t="s">
        <v>171</v>
      </c>
      <c r="M257" s="14" t="s">
        <v>11</v>
      </c>
      <c r="N257" s="17"/>
      <c r="O257" s="18" t="s">
        <v>244</v>
      </c>
      <c r="P257" s="9"/>
      <c r="Q257" s="19"/>
      <c r="R257" s="19"/>
      <c r="S257" s="209">
        <v>1584</v>
      </c>
      <c r="T257" s="19">
        <f t="shared" si="63"/>
        <v>1584</v>
      </c>
      <c r="U257" s="14" t="s">
        <v>77</v>
      </c>
      <c r="V257" s="14"/>
      <c r="W257" s="33">
        <v>90</v>
      </c>
      <c r="X257" s="34">
        <v>0</v>
      </c>
      <c r="Y257" s="34">
        <v>0</v>
      </c>
      <c r="Z257" s="34">
        <v>0</v>
      </c>
      <c r="AA257" s="34">
        <v>0</v>
      </c>
      <c r="AB257" s="34">
        <v>0</v>
      </c>
      <c r="AC257" s="34">
        <v>0</v>
      </c>
      <c r="AD257" s="34">
        <v>0</v>
      </c>
      <c r="AE257" s="34">
        <v>0</v>
      </c>
      <c r="AF257" s="34">
        <v>0</v>
      </c>
      <c r="AG257" s="34">
        <v>0</v>
      </c>
      <c r="AH257" s="34">
        <f t="shared" si="66"/>
        <v>7.1280000000000001</v>
      </c>
      <c r="AI257" s="34">
        <v>0</v>
      </c>
      <c r="AJ257" s="34">
        <f t="shared" si="62"/>
        <v>7.1280000000000001</v>
      </c>
      <c r="AK257" s="22"/>
      <c r="AL257" s="34"/>
      <c r="AM257" s="14"/>
      <c r="AN257" s="14"/>
      <c r="AO257" s="14"/>
      <c r="AP257" s="14"/>
    </row>
    <row r="258" spans="1:42" s="45" customFormat="1" ht="22" customHeight="1">
      <c r="A258" s="14" t="s">
        <v>17</v>
      </c>
      <c r="B258" s="15">
        <v>2024</v>
      </c>
      <c r="C258" s="15" t="s">
        <v>24</v>
      </c>
      <c r="D258" s="14" t="s">
        <v>185</v>
      </c>
      <c r="E258" s="14" t="s">
        <v>79</v>
      </c>
      <c r="F258" s="16" t="s">
        <v>265</v>
      </c>
      <c r="G258" s="14">
        <v>1</v>
      </c>
      <c r="H258" s="14"/>
      <c r="I258" s="14" t="s">
        <v>28</v>
      </c>
      <c r="J258" s="14" t="s">
        <v>11</v>
      </c>
      <c r="K258" s="16" t="s">
        <v>82</v>
      </c>
      <c r="L258" s="14" t="s">
        <v>166</v>
      </c>
      <c r="M258" s="14" t="s">
        <v>28</v>
      </c>
      <c r="N258" s="17"/>
      <c r="O258" s="18" t="s">
        <v>247</v>
      </c>
      <c r="P258" s="9"/>
      <c r="Q258" s="19"/>
      <c r="R258" s="19"/>
      <c r="S258" s="209">
        <v>508</v>
      </c>
      <c r="T258" s="19">
        <f t="shared" si="63"/>
        <v>508</v>
      </c>
      <c r="U258" s="14" t="s">
        <v>77</v>
      </c>
      <c r="V258" s="14"/>
      <c r="W258" s="33">
        <v>90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f t="shared" si="66"/>
        <v>2.286</v>
      </c>
      <c r="AI258" s="34">
        <v>0</v>
      </c>
      <c r="AJ258" s="34">
        <f t="shared" si="62"/>
        <v>2.286</v>
      </c>
      <c r="AK258" s="22"/>
      <c r="AL258" s="34">
        <v>0</v>
      </c>
      <c r="AM258" s="14"/>
      <c r="AN258" s="14"/>
      <c r="AO258" s="14"/>
      <c r="AP258" s="14"/>
    </row>
    <row r="259" spans="1:42" s="45" customFormat="1" ht="22" customHeight="1">
      <c r="A259" s="14" t="s">
        <v>17</v>
      </c>
      <c r="B259" s="15">
        <v>2024</v>
      </c>
      <c r="C259" s="15" t="s">
        <v>24</v>
      </c>
      <c r="D259" s="14" t="s">
        <v>185</v>
      </c>
      <c r="E259" s="14" t="s">
        <v>79</v>
      </c>
      <c r="F259" s="16" t="s">
        <v>265</v>
      </c>
      <c r="G259" s="14">
        <v>2</v>
      </c>
      <c r="H259" s="14"/>
      <c r="I259" s="14" t="s">
        <v>28</v>
      </c>
      <c r="J259" s="14" t="s">
        <v>11</v>
      </c>
      <c r="K259" s="16" t="s">
        <v>82</v>
      </c>
      <c r="L259" s="14" t="s">
        <v>166</v>
      </c>
      <c r="M259" s="14" t="s">
        <v>28</v>
      </c>
      <c r="N259" s="30"/>
      <c r="O259" s="31" t="s">
        <v>248</v>
      </c>
      <c r="P259" s="9"/>
      <c r="Q259" s="19"/>
      <c r="R259" s="19"/>
      <c r="S259" s="209">
        <v>662</v>
      </c>
      <c r="T259" s="19">
        <f t="shared" si="63"/>
        <v>662</v>
      </c>
      <c r="U259" s="14" t="s">
        <v>77</v>
      </c>
      <c r="V259" s="14"/>
      <c r="W259" s="33">
        <v>90</v>
      </c>
      <c r="X259" s="34">
        <v>0</v>
      </c>
      <c r="Y259" s="34">
        <v>0</v>
      </c>
      <c r="Z259" s="34">
        <v>0</v>
      </c>
      <c r="AA259" s="34">
        <v>0</v>
      </c>
      <c r="AB259" s="34">
        <v>0</v>
      </c>
      <c r="AC259" s="34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f t="shared" si="66"/>
        <v>2.9790000000000001</v>
      </c>
      <c r="AI259" s="34">
        <v>0</v>
      </c>
      <c r="AJ259" s="34">
        <f t="shared" si="62"/>
        <v>2.9790000000000001</v>
      </c>
      <c r="AK259" s="22"/>
      <c r="AL259" s="34">
        <v>0</v>
      </c>
      <c r="AM259" s="14"/>
      <c r="AN259" s="14"/>
      <c r="AO259" s="14"/>
      <c r="AP259" s="14"/>
    </row>
    <row r="260" spans="1:42" s="45" customFormat="1" ht="22" customHeight="1">
      <c r="A260" s="14" t="s">
        <v>17</v>
      </c>
      <c r="B260" s="15">
        <v>2024</v>
      </c>
      <c r="C260" s="15" t="s">
        <v>24</v>
      </c>
      <c r="D260" s="14" t="s">
        <v>185</v>
      </c>
      <c r="E260" s="14" t="s">
        <v>79</v>
      </c>
      <c r="F260" s="16" t="s">
        <v>265</v>
      </c>
      <c r="G260" s="14">
        <v>1</v>
      </c>
      <c r="H260" s="14"/>
      <c r="I260" s="14"/>
      <c r="J260" s="14" t="s">
        <v>11</v>
      </c>
      <c r="K260" s="16" t="s">
        <v>82</v>
      </c>
      <c r="L260" s="14" t="s">
        <v>171</v>
      </c>
      <c r="M260" s="14" t="s">
        <v>11</v>
      </c>
      <c r="N260" s="17"/>
      <c r="O260" s="18" t="s">
        <v>253</v>
      </c>
      <c r="P260" s="9"/>
      <c r="Q260" s="19"/>
      <c r="R260" s="19"/>
      <c r="S260" s="209">
        <v>1601</v>
      </c>
      <c r="T260" s="19">
        <f t="shared" si="63"/>
        <v>1601</v>
      </c>
      <c r="U260" s="14" t="s">
        <v>77</v>
      </c>
      <c r="V260" s="14"/>
      <c r="W260" s="33">
        <v>90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0</v>
      </c>
      <c r="AE260" s="34">
        <v>0</v>
      </c>
      <c r="AF260" s="34">
        <v>0</v>
      </c>
      <c r="AG260" s="34">
        <v>0</v>
      </c>
      <c r="AH260" s="34">
        <f t="shared" si="66"/>
        <v>7.2045000000000003</v>
      </c>
      <c r="AI260" s="34">
        <v>0</v>
      </c>
      <c r="AJ260" s="34">
        <f t="shared" si="62"/>
        <v>7.2045000000000003</v>
      </c>
      <c r="AK260" s="22"/>
      <c r="AL260" s="34">
        <v>0</v>
      </c>
      <c r="AM260" s="14"/>
      <c r="AN260" s="14"/>
      <c r="AO260" s="14"/>
      <c r="AP260" s="14"/>
    </row>
    <row r="261" spans="1:42" s="45" customFormat="1" ht="22" customHeight="1">
      <c r="A261" s="14" t="s">
        <v>17</v>
      </c>
      <c r="B261" s="15">
        <v>2024</v>
      </c>
      <c r="C261" s="15" t="s">
        <v>24</v>
      </c>
      <c r="D261" s="14" t="s">
        <v>185</v>
      </c>
      <c r="E261" s="14" t="s">
        <v>79</v>
      </c>
      <c r="F261" s="16" t="s">
        <v>265</v>
      </c>
      <c r="G261" s="14">
        <v>2</v>
      </c>
      <c r="H261" s="14"/>
      <c r="I261" s="14"/>
      <c r="J261" s="14" t="s">
        <v>14</v>
      </c>
      <c r="K261" s="16" t="s">
        <v>14</v>
      </c>
      <c r="L261" s="14" t="s">
        <v>209</v>
      </c>
      <c r="M261" s="14" t="s">
        <v>99</v>
      </c>
      <c r="N261" s="30"/>
      <c r="O261" s="31" t="s">
        <v>254</v>
      </c>
      <c r="P261" s="9"/>
      <c r="Q261" s="19"/>
      <c r="R261" s="19"/>
      <c r="S261" s="209">
        <v>523</v>
      </c>
      <c r="T261" s="19">
        <f t="shared" si="63"/>
        <v>523</v>
      </c>
      <c r="U261" s="14" t="s">
        <v>77</v>
      </c>
      <c r="V261" s="14"/>
      <c r="W261" s="33">
        <v>90</v>
      </c>
      <c r="X261" s="34">
        <v>0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4">
        <v>0</v>
      </c>
      <c r="AH261" s="34">
        <f t="shared" si="66"/>
        <v>2.3534999999999999</v>
      </c>
      <c r="AI261" s="34">
        <v>0</v>
      </c>
      <c r="AJ261" s="34">
        <f t="shared" si="62"/>
        <v>2.3534999999999999</v>
      </c>
      <c r="AK261" s="22"/>
      <c r="AL261" s="34">
        <v>0</v>
      </c>
      <c r="AM261" s="14"/>
      <c r="AN261" s="14"/>
      <c r="AO261" s="14"/>
      <c r="AP261" s="14"/>
    </row>
    <row r="262" spans="1:42" s="45" customFormat="1" ht="22" customHeight="1">
      <c r="A262" s="14" t="s">
        <v>17</v>
      </c>
      <c r="B262" s="15">
        <v>2024</v>
      </c>
      <c r="C262" s="15" t="s">
        <v>24</v>
      </c>
      <c r="D262" s="14" t="s">
        <v>185</v>
      </c>
      <c r="E262" s="14" t="s">
        <v>79</v>
      </c>
      <c r="F262" s="16" t="s">
        <v>265</v>
      </c>
      <c r="G262" s="14">
        <v>1</v>
      </c>
      <c r="H262" s="14"/>
      <c r="I262" s="14"/>
      <c r="J262" s="14" t="s">
        <v>14</v>
      </c>
      <c r="K262" s="16" t="s">
        <v>14</v>
      </c>
      <c r="L262" s="14" t="s">
        <v>209</v>
      </c>
      <c r="M262" s="14" t="s">
        <v>99</v>
      </c>
      <c r="N262" s="30"/>
      <c r="O262" s="31" t="s">
        <v>257</v>
      </c>
      <c r="P262" s="9"/>
      <c r="Q262" s="19"/>
      <c r="R262" s="19"/>
      <c r="S262" s="209">
        <v>387</v>
      </c>
      <c r="T262" s="19">
        <f t="shared" si="63"/>
        <v>387</v>
      </c>
      <c r="U262" s="14" t="s">
        <v>77</v>
      </c>
      <c r="V262" s="14"/>
      <c r="W262" s="33">
        <v>90</v>
      </c>
      <c r="X262" s="34">
        <v>0</v>
      </c>
      <c r="Y262" s="34">
        <v>0</v>
      </c>
      <c r="Z262" s="34">
        <v>0</v>
      </c>
      <c r="AA262" s="34">
        <v>0</v>
      </c>
      <c r="AB262" s="34">
        <v>0</v>
      </c>
      <c r="AC262" s="34">
        <v>0</v>
      </c>
      <c r="AD262" s="34">
        <v>0</v>
      </c>
      <c r="AE262" s="34">
        <v>0</v>
      </c>
      <c r="AF262" s="34">
        <v>0</v>
      </c>
      <c r="AG262" s="34">
        <v>0</v>
      </c>
      <c r="AH262" s="34">
        <f t="shared" si="66"/>
        <v>1.7415</v>
      </c>
      <c r="AI262" s="34">
        <v>0</v>
      </c>
      <c r="AJ262" s="34">
        <f t="shared" si="62"/>
        <v>1.7415</v>
      </c>
      <c r="AK262" s="22"/>
      <c r="AL262" s="34"/>
      <c r="AM262" s="14"/>
      <c r="AN262" s="14"/>
      <c r="AO262" s="14"/>
      <c r="AP262" s="14"/>
    </row>
    <row r="263" spans="1:42" s="45" customFormat="1" ht="22" customHeight="1">
      <c r="A263" s="14" t="s">
        <v>17</v>
      </c>
      <c r="B263" s="15">
        <v>2024</v>
      </c>
      <c r="C263" s="15" t="s">
        <v>24</v>
      </c>
      <c r="D263" s="14" t="s">
        <v>185</v>
      </c>
      <c r="E263" s="14" t="s">
        <v>79</v>
      </c>
      <c r="F263" s="16" t="s">
        <v>265</v>
      </c>
      <c r="G263" s="14">
        <v>1</v>
      </c>
      <c r="H263" s="14"/>
      <c r="I263" s="14"/>
      <c r="J263" s="14" t="s">
        <v>11</v>
      </c>
      <c r="K263" s="16" t="s">
        <v>82</v>
      </c>
      <c r="L263" s="14" t="s">
        <v>171</v>
      </c>
      <c r="M263" s="14" t="s">
        <v>80</v>
      </c>
      <c r="N263" s="17"/>
      <c r="O263" s="18" t="s">
        <v>259</v>
      </c>
      <c r="P263" s="9"/>
      <c r="Q263" s="19"/>
      <c r="R263" s="19"/>
      <c r="S263" s="209">
        <v>758</v>
      </c>
      <c r="T263" s="19">
        <f t="shared" si="63"/>
        <v>758</v>
      </c>
      <c r="U263" s="14" t="s">
        <v>77</v>
      </c>
      <c r="V263" s="14"/>
      <c r="W263" s="33">
        <v>90</v>
      </c>
      <c r="X263" s="34">
        <v>0</v>
      </c>
      <c r="Y263" s="34">
        <v>0</v>
      </c>
      <c r="Z263" s="34">
        <v>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4">
        <v>0</v>
      </c>
      <c r="AH263" s="34">
        <f t="shared" si="66"/>
        <v>3.411</v>
      </c>
      <c r="AI263" s="34">
        <v>0</v>
      </c>
      <c r="AJ263" s="34">
        <f t="shared" si="62"/>
        <v>3.411</v>
      </c>
      <c r="AK263" s="22"/>
      <c r="AL263" s="34">
        <v>0</v>
      </c>
      <c r="AM263" s="14"/>
      <c r="AN263" s="14"/>
      <c r="AO263" s="14"/>
      <c r="AP263" s="14"/>
    </row>
    <row r="264" spans="1:42" s="45" customFormat="1" ht="22" customHeight="1">
      <c r="A264" s="14" t="s">
        <v>17</v>
      </c>
      <c r="B264" s="15">
        <v>2024</v>
      </c>
      <c r="C264" s="15" t="s">
        <v>24</v>
      </c>
      <c r="D264" s="14" t="s">
        <v>185</v>
      </c>
      <c r="E264" s="14" t="s">
        <v>79</v>
      </c>
      <c r="F264" s="16" t="s">
        <v>265</v>
      </c>
      <c r="G264" s="14">
        <v>1</v>
      </c>
      <c r="H264" s="14"/>
      <c r="I264" s="14"/>
      <c r="J264" s="14" t="s">
        <v>11</v>
      </c>
      <c r="K264" s="16" t="s">
        <v>82</v>
      </c>
      <c r="L264" s="14" t="s">
        <v>171</v>
      </c>
      <c r="M264" s="14" t="s">
        <v>78</v>
      </c>
      <c r="N264" s="17"/>
      <c r="O264" s="18" t="s">
        <v>262</v>
      </c>
      <c r="P264" s="9"/>
      <c r="Q264" s="19"/>
      <c r="R264" s="19"/>
      <c r="S264" s="209">
        <v>345</v>
      </c>
      <c r="T264" s="19">
        <f t="shared" si="63"/>
        <v>345</v>
      </c>
      <c r="U264" s="14" t="s">
        <v>77</v>
      </c>
      <c r="V264" s="14"/>
      <c r="W264" s="33">
        <v>90</v>
      </c>
      <c r="X264" s="34">
        <v>0</v>
      </c>
      <c r="Y264" s="34">
        <v>0</v>
      </c>
      <c r="Z264" s="34">
        <v>0</v>
      </c>
      <c r="AA264" s="34">
        <v>0</v>
      </c>
      <c r="AB264" s="34">
        <v>0</v>
      </c>
      <c r="AC264" s="34">
        <v>0</v>
      </c>
      <c r="AD264" s="34">
        <v>0</v>
      </c>
      <c r="AE264" s="34">
        <v>0</v>
      </c>
      <c r="AF264" s="34">
        <v>0</v>
      </c>
      <c r="AG264" s="34">
        <v>0</v>
      </c>
      <c r="AH264" s="34">
        <f t="shared" si="66"/>
        <v>1.5525</v>
      </c>
      <c r="AI264" s="34">
        <v>0</v>
      </c>
      <c r="AJ264" s="34">
        <f t="shared" si="62"/>
        <v>1.5525</v>
      </c>
      <c r="AK264" s="22"/>
      <c r="AL264" s="34">
        <v>0</v>
      </c>
      <c r="AM264" s="14"/>
      <c r="AN264" s="14"/>
      <c r="AO264" s="14"/>
      <c r="AP264" s="14"/>
    </row>
    <row r="265" spans="1:42" s="45" customFormat="1" ht="22" customHeight="1">
      <c r="A265" s="14" t="s">
        <v>17</v>
      </c>
      <c r="B265" s="15">
        <v>2024</v>
      </c>
      <c r="C265" s="15" t="s">
        <v>24</v>
      </c>
      <c r="D265" s="14" t="s">
        <v>185</v>
      </c>
      <c r="E265" s="14" t="s">
        <v>79</v>
      </c>
      <c r="F265" s="16" t="s">
        <v>265</v>
      </c>
      <c r="G265" s="14">
        <v>2</v>
      </c>
      <c r="H265" s="14"/>
      <c r="I265" s="14"/>
      <c r="J265" s="14" t="s">
        <v>14</v>
      </c>
      <c r="K265" s="16" t="s">
        <v>14</v>
      </c>
      <c r="L265" s="14" t="s">
        <v>209</v>
      </c>
      <c r="M265" s="14" t="s">
        <v>99</v>
      </c>
      <c r="N265" s="30"/>
      <c r="O265" s="31" t="s">
        <v>263</v>
      </c>
      <c r="P265" s="9"/>
      <c r="Q265" s="19"/>
      <c r="R265" s="19"/>
      <c r="S265" s="209">
        <v>267</v>
      </c>
      <c r="T265" s="19">
        <f t="shared" si="63"/>
        <v>267</v>
      </c>
      <c r="U265" s="14" t="s">
        <v>77</v>
      </c>
      <c r="V265" s="14"/>
      <c r="W265" s="33">
        <v>90</v>
      </c>
      <c r="X265" s="34">
        <v>0</v>
      </c>
      <c r="Y265" s="34">
        <v>0</v>
      </c>
      <c r="Z265" s="34">
        <v>0</v>
      </c>
      <c r="AA265" s="34">
        <v>0</v>
      </c>
      <c r="AB265" s="34">
        <v>0</v>
      </c>
      <c r="AC265" s="34">
        <v>0</v>
      </c>
      <c r="AD265" s="34">
        <v>0</v>
      </c>
      <c r="AE265" s="34">
        <v>0</v>
      </c>
      <c r="AF265" s="34">
        <v>0</v>
      </c>
      <c r="AG265" s="34">
        <v>0</v>
      </c>
      <c r="AH265" s="34">
        <f t="shared" si="66"/>
        <v>1.2015</v>
      </c>
      <c r="AI265" s="34">
        <v>0</v>
      </c>
      <c r="AJ265" s="34">
        <f t="shared" si="62"/>
        <v>1.2015</v>
      </c>
      <c r="AK265" s="22"/>
      <c r="AL265" s="34"/>
      <c r="AM265" s="14"/>
      <c r="AN265" s="14"/>
      <c r="AO265" s="14"/>
      <c r="AP265" s="14"/>
    </row>
    <row r="266" spans="1:42" s="45" customFormat="1" ht="22" customHeight="1">
      <c r="A266" s="14" t="s">
        <v>17</v>
      </c>
      <c r="B266" s="15">
        <v>2024</v>
      </c>
      <c r="C266" s="15" t="s">
        <v>24</v>
      </c>
      <c r="D266" s="14" t="s">
        <v>185</v>
      </c>
      <c r="E266" s="14" t="s">
        <v>79</v>
      </c>
      <c r="F266" s="16" t="s">
        <v>265</v>
      </c>
      <c r="G266" s="14">
        <v>2</v>
      </c>
      <c r="H266" s="14"/>
      <c r="I266" s="14"/>
      <c r="J266" s="14" t="s">
        <v>14</v>
      </c>
      <c r="K266" s="16" t="s">
        <v>14</v>
      </c>
      <c r="L266" s="14" t="s">
        <v>209</v>
      </c>
      <c r="M266" s="14" t="s">
        <v>99</v>
      </c>
      <c r="N266" s="30"/>
      <c r="O266" s="31" t="s">
        <v>264</v>
      </c>
      <c r="P266" s="9"/>
      <c r="Q266" s="19"/>
      <c r="R266" s="19"/>
      <c r="S266" s="209">
        <v>346</v>
      </c>
      <c r="T266" s="19">
        <f t="shared" si="63"/>
        <v>346</v>
      </c>
      <c r="U266" s="14" t="s">
        <v>77</v>
      </c>
      <c r="V266" s="14"/>
      <c r="W266" s="33">
        <v>90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4">
        <v>0</v>
      </c>
      <c r="AH266" s="34">
        <f t="shared" si="66"/>
        <v>1.5569999999999999</v>
      </c>
      <c r="AI266" s="34">
        <v>0</v>
      </c>
      <c r="AJ266" s="34">
        <f t="shared" si="62"/>
        <v>1.5569999999999999</v>
      </c>
      <c r="AK266" s="22"/>
      <c r="AL266" s="34"/>
      <c r="AM266" s="14"/>
      <c r="AN266" s="14"/>
      <c r="AO266" s="14"/>
      <c r="AP266" s="14"/>
    </row>
    <row r="267" spans="1:42" s="45" customFormat="1" ht="22" customHeight="1">
      <c r="A267" s="14" t="s">
        <v>17</v>
      </c>
      <c r="B267" s="15">
        <v>2024</v>
      </c>
      <c r="C267" s="15" t="s">
        <v>24</v>
      </c>
      <c r="D267" s="14" t="s">
        <v>185</v>
      </c>
      <c r="E267" s="14" t="s">
        <v>26</v>
      </c>
      <c r="F267" s="16" t="s">
        <v>265</v>
      </c>
      <c r="G267" s="14">
        <v>1</v>
      </c>
      <c r="H267" s="14"/>
      <c r="I267" s="14"/>
      <c r="J267" s="14" t="s">
        <v>11</v>
      </c>
      <c r="K267" s="16" t="s">
        <v>82</v>
      </c>
      <c r="L267" s="14" t="s">
        <v>171</v>
      </c>
      <c r="M267" s="14" t="s">
        <v>78</v>
      </c>
      <c r="N267" s="17"/>
      <c r="O267" s="18" t="s">
        <v>208</v>
      </c>
      <c r="P267" s="9"/>
      <c r="Q267" s="19"/>
      <c r="R267" s="19"/>
      <c r="S267" s="187">
        <v>835</v>
      </c>
      <c r="T267" s="19">
        <f>S267</f>
        <v>835</v>
      </c>
      <c r="U267" s="14" t="s">
        <v>77</v>
      </c>
      <c r="V267" s="14"/>
      <c r="W267" s="21">
        <v>90</v>
      </c>
      <c r="X267" s="13"/>
      <c r="Y267" s="13">
        <v>0</v>
      </c>
      <c r="Z267" s="13">
        <v>0</v>
      </c>
      <c r="AA267" s="13">
        <v>0</v>
      </c>
      <c r="AB267" s="13">
        <v>0</v>
      </c>
      <c r="AC267" s="13">
        <f>+S267*W267*20/1000000</f>
        <v>1.5029999999999999</v>
      </c>
      <c r="AD267" s="13"/>
      <c r="AE267" s="13">
        <v>0</v>
      </c>
      <c r="AF267" s="13">
        <f>+S267*W267*200/1000000</f>
        <v>15.03</v>
      </c>
      <c r="AG267" s="13">
        <v>0</v>
      </c>
      <c r="AH267" s="13"/>
      <c r="AI267" s="13">
        <v>0</v>
      </c>
      <c r="AJ267" s="34">
        <f t="shared" si="62"/>
        <v>16.532999999999998</v>
      </c>
      <c r="AK267" s="22"/>
      <c r="AL267" s="13"/>
      <c r="AM267" s="14"/>
      <c r="AN267" s="14"/>
      <c r="AO267" s="14"/>
      <c r="AP267" s="14"/>
    </row>
    <row r="268" spans="1:42" s="45" customFormat="1" ht="22" customHeight="1">
      <c r="A268" s="14" t="s">
        <v>17</v>
      </c>
      <c r="B268" s="15">
        <v>2024</v>
      </c>
      <c r="C268" s="15" t="s">
        <v>24</v>
      </c>
      <c r="D268" s="14" t="s">
        <v>185</v>
      </c>
      <c r="E268" s="14" t="s">
        <v>26</v>
      </c>
      <c r="F268" s="16" t="s">
        <v>265</v>
      </c>
      <c r="G268" s="14">
        <v>1</v>
      </c>
      <c r="H268" s="14"/>
      <c r="I268" s="14"/>
      <c r="J268" s="14" t="s">
        <v>12</v>
      </c>
      <c r="K268" s="16" t="s">
        <v>14</v>
      </c>
      <c r="L268" s="14" t="s">
        <v>209</v>
      </c>
      <c r="M268" s="14" t="s">
        <v>84</v>
      </c>
      <c r="N268" s="24"/>
      <c r="O268" s="25" t="s">
        <v>210</v>
      </c>
      <c r="P268" s="9"/>
      <c r="Q268" s="26"/>
      <c r="R268" s="26"/>
      <c r="S268" s="187">
        <v>882</v>
      </c>
      <c r="T268" s="19">
        <f t="shared" ref="T268:T319" si="67">S268</f>
        <v>882</v>
      </c>
      <c r="U268" s="14" t="s">
        <v>77</v>
      </c>
      <c r="V268" s="14"/>
      <c r="W268" s="21">
        <v>90</v>
      </c>
      <c r="X268" s="13"/>
      <c r="Y268" s="13">
        <v>0</v>
      </c>
      <c r="Z268" s="13">
        <v>0</v>
      </c>
      <c r="AA268" s="13">
        <v>0</v>
      </c>
      <c r="AB268" s="13">
        <v>0</v>
      </c>
      <c r="AC268" s="13">
        <f t="shared" ref="AC268:AC319" si="68">+S268*W268*20/1000000</f>
        <v>1.5875999999999999</v>
      </c>
      <c r="AD268" s="13"/>
      <c r="AE268" s="13">
        <v>0</v>
      </c>
      <c r="AF268" s="13">
        <f t="shared" ref="AF268:AF319" si="69">+S268*W268*200/1000000</f>
        <v>15.875999999999999</v>
      </c>
      <c r="AG268" s="13">
        <v>0</v>
      </c>
      <c r="AH268" s="13"/>
      <c r="AI268" s="13">
        <v>0</v>
      </c>
      <c r="AJ268" s="34">
        <f t="shared" si="62"/>
        <v>17.4636</v>
      </c>
      <c r="AK268" s="22"/>
      <c r="AL268" s="13"/>
      <c r="AM268" s="14"/>
      <c r="AN268" s="14"/>
      <c r="AO268" s="14"/>
      <c r="AP268" s="14"/>
    </row>
    <row r="269" spans="1:42" s="45" customFormat="1" ht="22" customHeight="1">
      <c r="A269" s="14" t="s">
        <v>17</v>
      </c>
      <c r="B269" s="15">
        <v>2024</v>
      </c>
      <c r="C269" s="15" t="s">
        <v>24</v>
      </c>
      <c r="D269" s="14" t="s">
        <v>185</v>
      </c>
      <c r="E269" s="14" t="s">
        <v>26</v>
      </c>
      <c r="F269" s="16" t="s">
        <v>265</v>
      </c>
      <c r="G269" s="14">
        <v>1</v>
      </c>
      <c r="H269" s="14"/>
      <c r="I269" s="14"/>
      <c r="J269" s="14" t="s">
        <v>11</v>
      </c>
      <c r="K269" s="16" t="s">
        <v>82</v>
      </c>
      <c r="L269" s="14" t="s">
        <v>171</v>
      </c>
      <c r="M269" s="14" t="s">
        <v>11</v>
      </c>
      <c r="N269" s="24"/>
      <c r="O269" s="25" t="s">
        <v>211</v>
      </c>
      <c r="P269" s="9"/>
      <c r="Q269" s="26"/>
      <c r="R269" s="26"/>
      <c r="S269" s="187">
        <v>1691</v>
      </c>
      <c r="T269" s="19">
        <f t="shared" si="67"/>
        <v>1691</v>
      </c>
      <c r="U269" s="14" t="s">
        <v>77</v>
      </c>
      <c r="V269" s="14"/>
      <c r="W269" s="21">
        <v>90</v>
      </c>
      <c r="X269" s="13"/>
      <c r="Y269" s="13">
        <v>0</v>
      </c>
      <c r="Z269" s="13">
        <v>0</v>
      </c>
      <c r="AA269" s="13">
        <v>0</v>
      </c>
      <c r="AB269" s="13">
        <v>0</v>
      </c>
      <c r="AC269" s="13">
        <f t="shared" si="68"/>
        <v>3.0438000000000001</v>
      </c>
      <c r="AD269" s="13"/>
      <c r="AE269" s="13">
        <v>0</v>
      </c>
      <c r="AF269" s="13">
        <f t="shared" si="69"/>
        <v>30.437999999999999</v>
      </c>
      <c r="AG269" s="13">
        <v>0</v>
      </c>
      <c r="AH269" s="13"/>
      <c r="AI269" s="13">
        <v>0</v>
      </c>
      <c r="AJ269" s="34">
        <f t="shared" si="62"/>
        <v>33.4818</v>
      </c>
      <c r="AK269" s="22"/>
      <c r="AL269" s="13"/>
      <c r="AM269" s="14"/>
      <c r="AN269" s="14"/>
      <c r="AO269" s="14"/>
      <c r="AP269" s="14"/>
    </row>
    <row r="270" spans="1:42" s="45" customFormat="1" ht="22" customHeight="1">
      <c r="A270" s="14" t="s">
        <v>17</v>
      </c>
      <c r="B270" s="15">
        <v>2024</v>
      </c>
      <c r="C270" s="15" t="s">
        <v>24</v>
      </c>
      <c r="D270" s="14" t="s">
        <v>185</v>
      </c>
      <c r="E270" s="14" t="s">
        <v>26</v>
      </c>
      <c r="F270" s="16" t="s">
        <v>265</v>
      </c>
      <c r="G270" s="14">
        <v>2</v>
      </c>
      <c r="H270" s="14"/>
      <c r="I270" s="14"/>
      <c r="J270" s="14" t="s">
        <v>11</v>
      </c>
      <c r="K270" s="16" t="s">
        <v>82</v>
      </c>
      <c r="L270" s="14" t="s">
        <v>166</v>
      </c>
      <c r="M270" s="14" t="s">
        <v>82</v>
      </c>
      <c r="N270" s="27"/>
      <c r="O270" s="28" t="s">
        <v>212</v>
      </c>
      <c r="P270" s="9"/>
      <c r="Q270" s="26"/>
      <c r="R270" s="26"/>
      <c r="S270" s="187">
        <v>364</v>
      </c>
      <c r="T270" s="19">
        <f t="shared" si="67"/>
        <v>364</v>
      </c>
      <c r="U270" s="14" t="s">
        <v>77</v>
      </c>
      <c r="V270" s="14"/>
      <c r="W270" s="21">
        <v>90</v>
      </c>
      <c r="X270" s="13"/>
      <c r="Y270" s="13">
        <v>0</v>
      </c>
      <c r="Z270" s="13">
        <v>0</v>
      </c>
      <c r="AA270" s="13">
        <v>0</v>
      </c>
      <c r="AB270" s="13">
        <v>0</v>
      </c>
      <c r="AC270" s="13">
        <f t="shared" si="68"/>
        <v>0.6552</v>
      </c>
      <c r="AD270" s="13"/>
      <c r="AE270" s="13">
        <v>0</v>
      </c>
      <c r="AF270" s="13">
        <f t="shared" si="69"/>
        <v>6.5519999999999996</v>
      </c>
      <c r="AG270" s="13">
        <v>0</v>
      </c>
      <c r="AH270" s="13"/>
      <c r="AI270" s="13">
        <v>0</v>
      </c>
      <c r="AJ270" s="34">
        <f t="shared" si="62"/>
        <v>7.2071999999999994</v>
      </c>
      <c r="AK270" s="22"/>
      <c r="AL270" s="13"/>
      <c r="AM270" s="14"/>
      <c r="AN270" s="14"/>
      <c r="AO270" s="14"/>
      <c r="AP270" s="14"/>
    </row>
    <row r="271" spans="1:42" s="45" customFormat="1" ht="22" customHeight="1">
      <c r="A271" s="14" t="s">
        <v>17</v>
      </c>
      <c r="B271" s="15">
        <v>2024</v>
      </c>
      <c r="C271" s="15" t="s">
        <v>24</v>
      </c>
      <c r="D271" s="14" t="s">
        <v>185</v>
      </c>
      <c r="E271" s="14" t="s">
        <v>26</v>
      </c>
      <c r="F271" s="16" t="s">
        <v>265</v>
      </c>
      <c r="G271" s="14">
        <v>1</v>
      </c>
      <c r="H271" s="14"/>
      <c r="I271" s="14"/>
      <c r="J271" s="14" t="s">
        <v>12</v>
      </c>
      <c r="K271" s="16" t="s">
        <v>14</v>
      </c>
      <c r="L271" s="14" t="s">
        <v>209</v>
      </c>
      <c r="M271" s="14" t="s">
        <v>84</v>
      </c>
      <c r="N271" s="24"/>
      <c r="O271" s="25" t="s">
        <v>213</v>
      </c>
      <c r="P271" s="9"/>
      <c r="Q271" s="26"/>
      <c r="R271" s="26"/>
      <c r="S271" s="20"/>
      <c r="T271" s="19">
        <f t="shared" si="67"/>
        <v>0</v>
      </c>
      <c r="U271" s="14"/>
      <c r="V271" s="14"/>
      <c r="W271" s="21"/>
      <c r="X271" s="13"/>
      <c r="Y271" s="13">
        <v>0</v>
      </c>
      <c r="Z271" s="13">
        <v>0</v>
      </c>
      <c r="AA271" s="13">
        <v>0</v>
      </c>
      <c r="AB271" s="13">
        <v>0</v>
      </c>
      <c r="AC271" s="13">
        <f t="shared" si="68"/>
        <v>0</v>
      </c>
      <c r="AD271" s="13"/>
      <c r="AE271" s="13">
        <v>0</v>
      </c>
      <c r="AF271" s="13">
        <f t="shared" si="69"/>
        <v>0</v>
      </c>
      <c r="AG271" s="13">
        <v>0</v>
      </c>
      <c r="AH271" s="13"/>
      <c r="AI271" s="13">
        <v>0</v>
      </c>
      <c r="AJ271" s="13">
        <f t="shared" si="62"/>
        <v>0</v>
      </c>
      <c r="AK271" s="22"/>
      <c r="AL271" s="13"/>
      <c r="AM271" s="14"/>
      <c r="AN271" s="14"/>
      <c r="AO271" s="14"/>
      <c r="AP271" s="14"/>
    </row>
    <row r="272" spans="1:42" s="45" customFormat="1" ht="22" customHeight="1">
      <c r="A272" s="14" t="s">
        <v>17</v>
      </c>
      <c r="B272" s="15">
        <v>2024</v>
      </c>
      <c r="C272" s="15" t="s">
        <v>24</v>
      </c>
      <c r="D272" s="14" t="s">
        <v>185</v>
      </c>
      <c r="E272" s="14" t="s">
        <v>26</v>
      </c>
      <c r="F272" s="16" t="s">
        <v>265</v>
      </c>
      <c r="G272" s="14">
        <v>1</v>
      </c>
      <c r="H272" s="14"/>
      <c r="I272" s="14"/>
      <c r="J272" s="14" t="s">
        <v>12</v>
      </c>
      <c r="K272" s="16" t="s">
        <v>14</v>
      </c>
      <c r="L272" s="14" t="s">
        <v>209</v>
      </c>
      <c r="M272" s="14" t="s">
        <v>84</v>
      </c>
      <c r="N272" s="24"/>
      <c r="O272" s="25" t="s">
        <v>214</v>
      </c>
      <c r="P272" s="9"/>
      <c r="Q272" s="26"/>
      <c r="R272" s="26"/>
      <c r="S272" s="187">
        <v>1750</v>
      </c>
      <c r="T272" s="19">
        <f t="shared" si="67"/>
        <v>1750</v>
      </c>
      <c r="U272" s="14" t="s">
        <v>77</v>
      </c>
      <c r="V272" s="14"/>
      <c r="W272" s="21">
        <v>90</v>
      </c>
      <c r="X272" s="13"/>
      <c r="Y272" s="13">
        <v>0</v>
      </c>
      <c r="Z272" s="13">
        <v>0</v>
      </c>
      <c r="AA272" s="13">
        <v>0</v>
      </c>
      <c r="AB272" s="13">
        <v>0</v>
      </c>
      <c r="AC272" s="13">
        <f t="shared" si="68"/>
        <v>3.15</v>
      </c>
      <c r="AD272" s="13"/>
      <c r="AE272" s="13">
        <v>0</v>
      </c>
      <c r="AF272" s="13">
        <f t="shared" si="69"/>
        <v>31.5</v>
      </c>
      <c r="AG272" s="13">
        <v>0</v>
      </c>
      <c r="AH272" s="13"/>
      <c r="AI272" s="13">
        <v>0</v>
      </c>
      <c r="AJ272" s="34">
        <f t="shared" si="62"/>
        <v>34.65</v>
      </c>
      <c r="AK272" s="22"/>
      <c r="AL272" s="13"/>
      <c r="AM272" s="14"/>
      <c r="AN272" s="14"/>
      <c r="AO272" s="14"/>
      <c r="AP272" s="14"/>
    </row>
    <row r="273" spans="1:42" s="45" customFormat="1" ht="22" customHeight="1">
      <c r="A273" s="14" t="s">
        <v>17</v>
      </c>
      <c r="B273" s="15">
        <v>2024</v>
      </c>
      <c r="C273" s="15" t="s">
        <v>24</v>
      </c>
      <c r="D273" s="14" t="s">
        <v>185</v>
      </c>
      <c r="E273" s="14" t="s">
        <v>26</v>
      </c>
      <c r="F273" s="16" t="s">
        <v>265</v>
      </c>
      <c r="G273" s="14">
        <v>1</v>
      </c>
      <c r="H273" s="14"/>
      <c r="I273" s="14"/>
      <c r="J273" s="14" t="s">
        <v>13</v>
      </c>
      <c r="K273" s="16"/>
      <c r="L273" s="14" t="s">
        <v>215</v>
      </c>
      <c r="M273" s="14" t="s">
        <v>95</v>
      </c>
      <c r="N273" s="30" t="s">
        <v>266</v>
      </c>
      <c r="O273" s="31" t="s">
        <v>216</v>
      </c>
      <c r="P273" s="9"/>
      <c r="Q273" s="19"/>
      <c r="R273" s="19"/>
      <c r="S273" s="209">
        <v>187</v>
      </c>
      <c r="T273" s="19">
        <f t="shared" si="67"/>
        <v>187</v>
      </c>
      <c r="U273" s="14" t="s">
        <v>77</v>
      </c>
      <c r="V273" s="14"/>
      <c r="W273" s="33">
        <v>90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f t="shared" si="68"/>
        <v>0.33660000000000001</v>
      </c>
      <c r="AD273" s="34"/>
      <c r="AE273" s="34">
        <v>0</v>
      </c>
      <c r="AF273" s="34">
        <f t="shared" si="69"/>
        <v>3.3660000000000001</v>
      </c>
      <c r="AG273" s="34">
        <v>0</v>
      </c>
      <c r="AH273" s="34">
        <v>0</v>
      </c>
      <c r="AI273" s="34">
        <v>0</v>
      </c>
      <c r="AJ273" s="34">
        <f t="shared" si="62"/>
        <v>3.7026000000000003</v>
      </c>
      <c r="AK273" s="22"/>
      <c r="AL273" s="34"/>
      <c r="AM273" s="14"/>
      <c r="AN273" s="14"/>
      <c r="AO273" s="14"/>
      <c r="AP273" s="14"/>
    </row>
    <row r="274" spans="1:42" s="45" customFormat="1" ht="22" customHeight="1">
      <c r="A274" s="14" t="s">
        <v>17</v>
      </c>
      <c r="B274" s="15">
        <v>2024</v>
      </c>
      <c r="C274" s="15" t="s">
        <v>24</v>
      </c>
      <c r="D274" s="14" t="s">
        <v>185</v>
      </c>
      <c r="E274" s="14" t="s">
        <v>26</v>
      </c>
      <c r="F274" s="16" t="s">
        <v>265</v>
      </c>
      <c r="G274" s="14">
        <v>1</v>
      </c>
      <c r="H274" s="14"/>
      <c r="I274" s="14"/>
      <c r="J274" s="14" t="s">
        <v>13</v>
      </c>
      <c r="K274" s="16"/>
      <c r="L274" s="14" t="s">
        <v>215</v>
      </c>
      <c r="M274" s="14" t="s">
        <v>95</v>
      </c>
      <c r="N274" s="30" t="s">
        <v>266</v>
      </c>
      <c r="O274" s="31" t="s">
        <v>218</v>
      </c>
      <c r="P274" s="9"/>
      <c r="Q274" s="19"/>
      <c r="R274" s="19"/>
      <c r="S274" s="209">
        <v>911</v>
      </c>
      <c r="T274" s="19">
        <f t="shared" si="67"/>
        <v>911</v>
      </c>
      <c r="U274" s="14" t="s">
        <v>77</v>
      </c>
      <c r="V274" s="14"/>
      <c r="W274" s="33">
        <v>90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f t="shared" si="68"/>
        <v>1.6397999999999999</v>
      </c>
      <c r="AD274" s="34"/>
      <c r="AE274" s="34">
        <v>0</v>
      </c>
      <c r="AF274" s="34">
        <f t="shared" si="69"/>
        <v>16.398</v>
      </c>
      <c r="AG274" s="34">
        <v>0</v>
      </c>
      <c r="AH274" s="34">
        <v>0</v>
      </c>
      <c r="AI274" s="34">
        <v>0</v>
      </c>
      <c r="AJ274" s="34">
        <f t="shared" si="62"/>
        <v>18.037800000000001</v>
      </c>
      <c r="AK274" s="22"/>
      <c r="AL274" s="34"/>
      <c r="AM274" s="14"/>
      <c r="AN274" s="14"/>
      <c r="AO274" s="14"/>
      <c r="AP274" s="14"/>
    </row>
    <row r="275" spans="1:42" s="45" customFormat="1" ht="22" customHeight="1">
      <c r="A275" s="14" t="s">
        <v>17</v>
      </c>
      <c r="B275" s="15">
        <v>2024</v>
      </c>
      <c r="C275" s="15" t="s">
        <v>24</v>
      </c>
      <c r="D275" s="14" t="s">
        <v>185</v>
      </c>
      <c r="E275" s="14" t="s">
        <v>26</v>
      </c>
      <c r="F275" s="16" t="s">
        <v>265</v>
      </c>
      <c r="G275" s="14">
        <v>2</v>
      </c>
      <c r="H275" s="14"/>
      <c r="I275" s="14"/>
      <c r="J275" s="14" t="s">
        <v>13</v>
      </c>
      <c r="K275" s="16"/>
      <c r="L275" s="14" t="s">
        <v>223</v>
      </c>
      <c r="M275" s="14" t="s">
        <v>97</v>
      </c>
      <c r="N275" s="30" t="s">
        <v>267</v>
      </c>
      <c r="O275" s="31" t="s">
        <v>224</v>
      </c>
      <c r="P275" s="9"/>
      <c r="Q275" s="19"/>
      <c r="R275" s="19"/>
      <c r="S275" s="209">
        <v>240</v>
      </c>
      <c r="T275" s="19">
        <f t="shared" si="67"/>
        <v>240</v>
      </c>
      <c r="U275" s="14" t="s">
        <v>77</v>
      </c>
      <c r="V275" s="14"/>
      <c r="W275" s="33">
        <v>90</v>
      </c>
      <c r="X275" s="34"/>
      <c r="Y275" s="34">
        <v>0</v>
      </c>
      <c r="Z275" s="34">
        <v>0</v>
      </c>
      <c r="AA275" s="34">
        <v>0</v>
      </c>
      <c r="AB275" s="34">
        <v>0</v>
      </c>
      <c r="AC275" s="34">
        <f t="shared" si="68"/>
        <v>0.432</v>
      </c>
      <c r="AD275" s="34"/>
      <c r="AE275" s="34">
        <v>0</v>
      </c>
      <c r="AF275" s="34">
        <f t="shared" si="69"/>
        <v>4.32</v>
      </c>
      <c r="AG275" s="34">
        <v>0</v>
      </c>
      <c r="AH275" s="34"/>
      <c r="AI275" s="34">
        <v>0</v>
      </c>
      <c r="AJ275" s="34">
        <f t="shared" si="62"/>
        <v>4.7520000000000007</v>
      </c>
      <c r="AK275" s="22"/>
      <c r="AL275" s="34"/>
      <c r="AM275" s="14"/>
      <c r="AN275" s="14"/>
      <c r="AO275" s="14"/>
      <c r="AP275" s="14"/>
    </row>
    <row r="276" spans="1:42" s="45" customFormat="1" ht="22" customHeight="1">
      <c r="A276" s="14" t="s">
        <v>17</v>
      </c>
      <c r="B276" s="15">
        <v>2024</v>
      </c>
      <c r="C276" s="15" t="s">
        <v>24</v>
      </c>
      <c r="D276" s="14" t="s">
        <v>185</v>
      </c>
      <c r="E276" s="14" t="s">
        <v>26</v>
      </c>
      <c r="F276" s="16" t="s">
        <v>265</v>
      </c>
      <c r="G276" s="14">
        <v>2</v>
      </c>
      <c r="H276" s="14"/>
      <c r="I276" s="14"/>
      <c r="J276" s="14" t="s">
        <v>13</v>
      </c>
      <c r="K276" s="16"/>
      <c r="L276" s="14" t="s">
        <v>223</v>
      </c>
      <c r="M276" s="14" t="s">
        <v>94</v>
      </c>
      <c r="N276" s="30" t="s">
        <v>267</v>
      </c>
      <c r="O276" s="37" t="s">
        <v>229</v>
      </c>
      <c r="P276" s="9"/>
      <c r="Q276" s="19"/>
      <c r="R276" s="19"/>
      <c r="S276" s="209">
        <v>367</v>
      </c>
      <c r="T276" s="19">
        <f t="shared" si="67"/>
        <v>367</v>
      </c>
      <c r="U276" s="14" t="s">
        <v>77</v>
      </c>
      <c r="V276" s="14"/>
      <c r="W276" s="33">
        <v>90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f t="shared" si="68"/>
        <v>0.66059999999999997</v>
      </c>
      <c r="AD276" s="34"/>
      <c r="AE276" s="34">
        <v>0</v>
      </c>
      <c r="AF276" s="34">
        <f t="shared" si="69"/>
        <v>6.6059999999999999</v>
      </c>
      <c r="AG276" s="34">
        <v>0</v>
      </c>
      <c r="AH276" s="34">
        <v>0</v>
      </c>
      <c r="AI276" s="34">
        <v>0</v>
      </c>
      <c r="AJ276" s="34">
        <f t="shared" si="62"/>
        <v>7.2665999999999995</v>
      </c>
      <c r="AK276" s="22"/>
      <c r="AL276" s="34"/>
      <c r="AM276" s="14"/>
      <c r="AN276" s="14"/>
      <c r="AO276" s="14"/>
      <c r="AP276" s="14"/>
    </row>
    <row r="277" spans="1:42" s="45" customFormat="1" ht="22" customHeight="1">
      <c r="A277" s="14" t="s">
        <v>17</v>
      </c>
      <c r="B277" s="15">
        <v>2024</v>
      </c>
      <c r="C277" s="15" t="s">
        <v>24</v>
      </c>
      <c r="D277" s="14" t="s">
        <v>185</v>
      </c>
      <c r="E277" s="14" t="s">
        <v>26</v>
      </c>
      <c r="F277" s="16" t="s">
        <v>265</v>
      </c>
      <c r="G277" s="14">
        <v>2</v>
      </c>
      <c r="H277" s="14"/>
      <c r="I277" s="14"/>
      <c r="J277" s="14" t="s">
        <v>13</v>
      </c>
      <c r="K277" s="16"/>
      <c r="L277" s="14" t="s">
        <v>223</v>
      </c>
      <c r="M277" s="14" t="s">
        <v>97</v>
      </c>
      <c r="N277" s="30" t="s">
        <v>267</v>
      </c>
      <c r="O277" s="31" t="s">
        <v>238</v>
      </c>
      <c r="P277" s="9"/>
      <c r="Q277" s="19"/>
      <c r="R277" s="19"/>
      <c r="S277" s="209">
        <v>384</v>
      </c>
      <c r="T277" s="19">
        <f t="shared" si="67"/>
        <v>384</v>
      </c>
      <c r="U277" s="14" t="s">
        <v>77</v>
      </c>
      <c r="V277" s="14"/>
      <c r="W277" s="33">
        <v>90</v>
      </c>
      <c r="X277" s="34"/>
      <c r="Y277" s="34">
        <v>0</v>
      </c>
      <c r="Z277" s="34">
        <v>0</v>
      </c>
      <c r="AA277" s="34">
        <v>0</v>
      </c>
      <c r="AB277" s="34">
        <v>0</v>
      </c>
      <c r="AC277" s="34">
        <f t="shared" si="68"/>
        <v>0.69120000000000004</v>
      </c>
      <c r="AD277" s="34"/>
      <c r="AE277" s="34">
        <v>0</v>
      </c>
      <c r="AF277" s="34">
        <f t="shared" si="69"/>
        <v>6.9119999999999999</v>
      </c>
      <c r="AG277" s="34">
        <v>0</v>
      </c>
      <c r="AH277" s="34"/>
      <c r="AI277" s="34">
        <v>0</v>
      </c>
      <c r="AJ277" s="34">
        <f t="shared" si="62"/>
        <v>7.6032000000000002</v>
      </c>
      <c r="AK277" s="22"/>
      <c r="AL277" s="34"/>
      <c r="AM277" s="14"/>
      <c r="AN277" s="14"/>
      <c r="AO277" s="14"/>
      <c r="AP277" s="14"/>
    </row>
    <row r="278" spans="1:42" s="45" customFormat="1" ht="22" customHeight="1">
      <c r="A278" s="14" t="s">
        <v>17</v>
      </c>
      <c r="B278" s="15">
        <v>2024</v>
      </c>
      <c r="C278" s="15" t="s">
        <v>24</v>
      </c>
      <c r="D278" s="14" t="s">
        <v>185</v>
      </c>
      <c r="E278" s="14" t="s">
        <v>26</v>
      </c>
      <c r="F278" s="16" t="s">
        <v>265</v>
      </c>
      <c r="G278" s="14">
        <v>1</v>
      </c>
      <c r="H278" s="14"/>
      <c r="I278" s="14"/>
      <c r="J278" s="14" t="s">
        <v>13</v>
      </c>
      <c r="K278" s="16"/>
      <c r="L278" s="14" t="s">
        <v>223</v>
      </c>
      <c r="M278" s="14" t="s">
        <v>96</v>
      </c>
      <c r="N278" s="30" t="s">
        <v>267</v>
      </c>
      <c r="O278" s="31" t="s">
        <v>245</v>
      </c>
      <c r="P278" s="9"/>
      <c r="Q278" s="19"/>
      <c r="R278" s="19"/>
      <c r="S278" s="209">
        <v>687</v>
      </c>
      <c r="T278" s="19">
        <f t="shared" si="67"/>
        <v>687</v>
      </c>
      <c r="U278" s="14" t="s">
        <v>77</v>
      </c>
      <c r="V278" s="14"/>
      <c r="W278" s="33">
        <v>90</v>
      </c>
      <c r="X278" s="34"/>
      <c r="Y278" s="34">
        <v>0</v>
      </c>
      <c r="Z278" s="34">
        <v>0</v>
      </c>
      <c r="AA278" s="34">
        <v>0</v>
      </c>
      <c r="AB278" s="34">
        <v>0</v>
      </c>
      <c r="AC278" s="34">
        <f t="shared" si="68"/>
        <v>1.2365999999999999</v>
      </c>
      <c r="AD278" s="34"/>
      <c r="AE278" s="34">
        <v>0</v>
      </c>
      <c r="AF278" s="34">
        <f t="shared" si="69"/>
        <v>12.366</v>
      </c>
      <c r="AG278" s="34">
        <v>0</v>
      </c>
      <c r="AH278" s="34"/>
      <c r="AI278" s="34">
        <v>0</v>
      </c>
      <c r="AJ278" s="34">
        <f t="shared" ref="AJ278:AJ341" si="70">SUBTOTAL(9,X278:AI278)</f>
        <v>13.602599999999999</v>
      </c>
      <c r="AK278" s="22"/>
      <c r="AL278" s="34"/>
      <c r="AM278" s="14"/>
      <c r="AN278" s="14"/>
      <c r="AO278" s="14"/>
      <c r="AP278" s="14"/>
    </row>
    <row r="279" spans="1:42" s="45" customFormat="1" ht="22" customHeight="1">
      <c r="A279" s="14" t="s">
        <v>17</v>
      </c>
      <c r="B279" s="15">
        <v>2024</v>
      </c>
      <c r="C279" s="15" t="s">
        <v>24</v>
      </c>
      <c r="D279" s="14" t="s">
        <v>185</v>
      </c>
      <c r="E279" s="14" t="s">
        <v>26</v>
      </c>
      <c r="F279" s="16" t="s">
        <v>265</v>
      </c>
      <c r="G279" s="14">
        <v>2</v>
      </c>
      <c r="H279" s="14"/>
      <c r="I279" s="14"/>
      <c r="J279" s="14" t="s">
        <v>13</v>
      </c>
      <c r="K279" s="16"/>
      <c r="L279" s="14" t="s">
        <v>223</v>
      </c>
      <c r="M279" s="14" t="s">
        <v>93</v>
      </c>
      <c r="N279" s="30" t="s">
        <v>267</v>
      </c>
      <c r="O279" s="31" t="s">
        <v>246</v>
      </c>
      <c r="P279" s="9"/>
      <c r="Q279" s="19"/>
      <c r="R279" s="19"/>
      <c r="S279" s="209">
        <v>259</v>
      </c>
      <c r="T279" s="19">
        <f t="shared" si="67"/>
        <v>259</v>
      </c>
      <c r="U279" s="14" t="s">
        <v>77</v>
      </c>
      <c r="V279" s="14"/>
      <c r="W279" s="33">
        <v>90</v>
      </c>
      <c r="X279" s="34"/>
      <c r="Y279" s="34">
        <v>0</v>
      </c>
      <c r="Z279" s="34">
        <v>0</v>
      </c>
      <c r="AA279" s="34">
        <v>0</v>
      </c>
      <c r="AB279" s="34">
        <v>0</v>
      </c>
      <c r="AC279" s="34">
        <f t="shared" si="68"/>
        <v>0.4662</v>
      </c>
      <c r="AD279" s="34"/>
      <c r="AE279" s="34">
        <v>0</v>
      </c>
      <c r="AF279" s="34">
        <f t="shared" si="69"/>
        <v>4.6619999999999999</v>
      </c>
      <c r="AG279" s="34">
        <v>0</v>
      </c>
      <c r="AH279" s="34"/>
      <c r="AI279" s="34">
        <v>0</v>
      </c>
      <c r="AJ279" s="34">
        <f t="shared" si="70"/>
        <v>5.1281999999999996</v>
      </c>
      <c r="AK279" s="22"/>
      <c r="AL279" s="34"/>
      <c r="AM279" s="14"/>
      <c r="AN279" s="14"/>
      <c r="AO279" s="14"/>
      <c r="AP279" s="14"/>
    </row>
    <row r="280" spans="1:42" s="45" customFormat="1" ht="22" customHeight="1">
      <c r="A280" s="14" t="s">
        <v>17</v>
      </c>
      <c r="B280" s="15">
        <v>2024</v>
      </c>
      <c r="C280" s="15" t="s">
        <v>24</v>
      </c>
      <c r="D280" s="14" t="s">
        <v>185</v>
      </c>
      <c r="E280" s="14" t="s">
        <v>26</v>
      </c>
      <c r="F280" s="16" t="s">
        <v>265</v>
      </c>
      <c r="G280" s="14">
        <v>1</v>
      </c>
      <c r="H280" s="14"/>
      <c r="I280" s="14"/>
      <c r="J280" s="14" t="s">
        <v>13</v>
      </c>
      <c r="K280" s="16"/>
      <c r="L280" s="14" t="s">
        <v>223</v>
      </c>
      <c r="M280" s="14" t="s">
        <v>93</v>
      </c>
      <c r="N280" s="30" t="s">
        <v>267</v>
      </c>
      <c r="O280" s="31" t="s">
        <v>249</v>
      </c>
      <c r="P280" s="9"/>
      <c r="Q280" s="19"/>
      <c r="R280" s="19"/>
      <c r="S280" s="209">
        <v>513</v>
      </c>
      <c r="T280" s="19">
        <f t="shared" si="67"/>
        <v>513</v>
      </c>
      <c r="U280" s="14" t="s">
        <v>77</v>
      </c>
      <c r="V280" s="14"/>
      <c r="W280" s="33">
        <v>90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f t="shared" si="68"/>
        <v>0.9234</v>
      </c>
      <c r="AD280" s="34"/>
      <c r="AE280" s="34">
        <v>0</v>
      </c>
      <c r="AF280" s="34">
        <f t="shared" si="69"/>
        <v>9.234</v>
      </c>
      <c r="AG280" s="34">
        <v>0</v>
      </c>
      <c r="AH280" s="34">
        <v>0</v>
      </c>
      <c r="AI280" s="34">
        <v>0</v>
      </c>
      <c r="AJ280" s="34">
        <f t="shared" si="70"/>
        <v>10.157399999999999</v>
      </c>
      <c r="AK280" s="22"/>
      <c r="AL280" s="34"/>
      <c r="AM280" s="14"/>
      <c r="AN280" s="14"/>
      <c r="AO280" s="14"/>
      <c r="AP280" s="14"/>
    </row>
    <row r="281" spans="1:42" s="45" customFormat="1" ht="22" customHeight="1">
      <c r="A281" s="14" t="s">
        <v>17</v>
      </c>
      <c r="B281" s="15">
        <v>2024</v>
      </c>
      <c r="C281" s="15" t="s">
        <v>24</v>
      </c>
      <c r="D281" s="14" t="s">
        <v>185</v>
      </c>
      <c r="E281" s="14" t="s">
        <v>26</v>
      </c>
      <c r="F281" s="16" t="s">
        <v>265</v>
      </c>
      <c r="G281" s="14">
        <v>1</v>
      </c>
      <c r="H281" s="14"/>
      <c r="I281" s="14"/>
      <c r="J281" s="14" t="s">
        <v>13</v>
      </c>
      <c r="K281" s="16"/>
      <c r="L281" s="14" t="s">
        <v>215</v>
      </c>
      <c r="M281" s="14" t="s">
        <v>95</v>
      </c>
      <c r="N281" s="30" t="s">
        <v>266</v>
      </c>
      <c r="O281" s="31" t="s">
        <v>250</v>
      </c>
      <c r="P281" s="9"/>
      <c r="Q281" s="19"/>
      <c r="R281" s="19"/>
      <c r="S281" s="209">
        <v>512</v>
      </c>
      <c r="T281" s="19">
        <f t="shared" si="67"/>
        <v>512</v>
      </c>
      <c r="U281" s="14" t="s">
        <v>77</v>
      </c>
      <c r="V281" s="14"/>
      <c r="W281" s="33">
        <v>90</v>
      </c>
      <c r="X281" s="34">
        <v>0</v>
      </c>
      <c r="Y281" s="34">
        <v>0</v>
      </c>
      <c r="Z281" s="34">
        <v>0</v>
      </c>
      <c r="AA281" s="34">
        <v>0</v>
      </c>
      <c r="AB281" s="34">
        <v>0</v>
      </c>
      <c r="AC281" s="34">
        <f t="shared" si="68"/>
        <v>0.92159999999999997</v>
      </c>
      <c r="AD281" s="34"/>
      <c r="AE281" s="34">
        <v>0</v>
      </c>
      <c r="AF281" s="34">
        <f t="shared" si="69"/>
        <v>9.2159999999999993</v>
      </c>
      <c r="AG281" s="34">
        <v>0</v>
      </c>
      <c r="AH281" s="34">
        <v>0</v>
      </c>
      <c r="AI281" s="34">
        <v>0</v>
      </c>
      <c r="AJ281" s="34">
        <f t="shared" si="70"/>
        <v>10.137599999999999</v>
      </c>
      <c r="AK281" s="22"/>
      <c r="AL281" s="34"/>
      <c r="AM281" s="14"/>
      <c r="AN281" s="14"/>
      <c r="AO281" s="14"/>
      <c r="AP281" s="14"/>
    </row>
    <row r="282" spans="1:42" s="45" customFormat="1" ht="22" customHeight="1">
      <c r="A282" s="14" t="s">
        <v>17</v>
      </c>
      <c r="B282" s="15">
        <v>2024</v>
      </c>
      <c r="C282" s="15" t="s">
        <v>24</v>
      </c>
      <c r="D282" s="14" t="s">
        <v>185</v>
      </c>
      <c r="E282" s="14" t="s">
        <v>26</v>
      </c>
      <c r="F282" s="16" t="s">
        <v>265</v>
      </c>
      <c r="G282" s="14">
        <v>1</v>
      </c>
      <c r="H282" s="14"/>
      <c r="I282" s="14"/>
      <c r="J282" s="14" t="s">
        <v>13</v>
      </c>
      <c r="K282" s="16"/>
      <c r="L282" s="14" t="s">
        <v>215</v>
      </c>
      <c r="M282" s="14" t="s">
        <v>95</v>
      </c>
      <c r="N282" s="30" t="s">
        <v>266</v>
      </c>
      <c r="O282" s="31" t="s">
        <v>251</v>
      </c>
      <c r="P282" s="9"/>
      <c r="Q282" s="19"/>
      <c r="R282" s="19"/>
      <c r="S282" s="209">
        <v>640</v>
      </c>
      <c r="T282" s="19">
        <f t="shared" si="67"/>
        <v>640</v>
      </c>
      <c r="U282" s="14" t="s">
        <v>77</v>
      </c>
      <c r="V282" s="14"/>
      <c r="W282" s="33">
        <v>90</v>
      </c>
      <c r="X282" s="34">
        <v>0</v>
      </c>
      <c r="Y282" s="34">
        <v>0</v>
      </c>
      <c r="Z282" s="34">
        <v>0</v>
      </c>
      <c r="AA282" s="34">
        <v>0</v>
      </c>
      <c r="AB282" s="34">
        <v>0</v>
      </c>
      <c r="AC282" s="34">
        <f t="shared" si="68"/>
        <v>1.1519999999999999</v>
      </c>
      <c r="AD282" s="34"/>
      <c r="AE282" s="34">
        <v>0</v>
      </c>
      <c r="AF282" s="34">
        <f t="shared" si="69"/>
        <v>11.52</v>
      </c>
      <c r="AG282" s="34">
        <v>0</v>
      </c>
      <c r="AH282" s="34">
        <v>0</v>
      </c>
      <c r="AI282" s="34">
        <v>0</v>
      </c>
      <c r="AJ282" s="34">
        <f t="shared" si="70"/>
        <v>12.671999999999999</v>
      </c>
      <c r="AK282" s="22"/>
      <c r="AL282" s="34"/>
      <c r="AM282" s="14"/>
      <c r="AN282" s="14"/>
      <c r="AO282" s="14"/>
      <c r="AP282" s="14"/>
    </row>
    <row r="283" spans="1:42" s="45" customFormat="1" ht="22" customHeight="1">
      <c r="A283" s="14" t="s">
        <v>17</v>
      </c>
      <c r="B283" s="15">
        <v>2024</v>
      </c>
      <c r="C283" s="15" t="s">
        <v>24</v>
      </c>
      <c r="D283" s="14" t="s">
        <v>185</v>
      </c>
      <c r="E283" s="14" t="s">
        <v>26</v>
      </c>
      <c r="F283" s="16" t="s">
        <v>265</v>
      </c>
      <c r="G283" s="14">
        <v>2</v>
      </c>
      <c r="H283" s="14"/>
      <c r="I283" s="14"/>
      <c r="J283" s="14" t="s">
        <v>13</v>
      </c>
      <c r="K283" s="16"/>
      <c r="L283" s="14" t="s">
        <v>223</v>
      </c>
      <c r="M283" s="14" t="s">
        <v>94</v>
      </c>
      <c r="N283" s="36" t="s">
        <v>267</v>
      </c>
      <c r="O283" s="37" t="s">
        <v>252</v>
      </c>
      <c r="P283" s="9"/>
      <c r="Q283" s="19"/>
      <c r="R283" s="19"/>
      <c r="S283" s="209">
        <v>374</v>
      </c>
      <c r="T283" s="19">
        <f t="shared" si="67"/>
        <v>374</v>
      </c>
      <c r="U283" s="14" t="s">
        <v>77</v>
      </c>
      <c r="V283" s="14"/>
      <c r="W283" s="33">
        <v>90</v>
      </c>
      <c r="X283" s="34">
        <v>0</v>
      </c>
      <c r="Y283" s="34">
        <v>0</v>
      </c>
      <c r="Z283" s="34">
        <v>0</v>
      </c>
      <c r="AA283" s="34">
        <v>0</v>
      </c>
      <c r="AB283" s="34">
        <v>0</v>
      </c>
      <c r="AC283" s="34">
        <f t="shared" si="68"/>
        <v>0.67320000000000002</v>
      </c>
      <c r="AD283" s="34"/>
      <c r="AE283" s="34">
        <v>0</v>
      </c>
      <c r="AF283" s="34">
        <f t="shared" si="69"/>
        <v>6.7320000000000002</v>
      </c>
      <c r="AG283" s="34">
        <v>0</v>
      </c>
      <c r="AH283" s="34">
        <v>0</v>
      </c>
      <c r="AI283" s="34">
        <v>0</v>
      </c>
      <c r="AJ283" s="34">
        <f t="shared" si="70"/>
        <v>7.4052000000000007</v>
      </c>
      <c r="AK283" s="22"/>
      <c r="AL283" s="34"/>
      <c r="AM283" s="14"/>
      <c r="AN283" s="14"/>
      <c r="AO283" s="14"/>
      <c r="AP283" s="14"/>
    </row>
    <row r="284" spans="1:42" s="45" customFormat="1" ht="22" customHeight="1">
      <c r="A284" s="14" t="s">
        <v>17</v>
      </c>
      <c r="B284" s="15">
        <v>2024</v>
      </c>
      <c r="C284" s="15" t="s">
        <v>24</v>
      </c>
      <c r="D284" s="14" t="s">
        <v>185</v>
      </c>
      <c r="E284" s="14" t="s">
        <v>26</v>
      </c>
      <c r="F284" s="16" t="s">
        <v>265</v>
      </c>
      <c r="G284" s="14">
        <v>1</v>
      </c>
      <c r="H284" s="14"/>
      <c r="I284" s="14"/>
      <c r="J284" s="14" t="s">
        <v>13</v>
      </c>
      <c r="K284" s="16"/>
      <c r="L284" s="14" t="s">
        <v>223</v>
      </c>
      <c r="M284" s="14" t="s">
        <v>96</v>
      </c>
      <c r="N284" s="30" t="s">
        <v>267</v>
      </c>
      <c r="O284" s="31" t="s">
        <v>255</v>
      </c>
      <c r="P284" s="9"/>
      <c r="Q284" s="19"/>
      <c r="R284" s="19"/>
      <c r="S284" s="209">
        <v>243</v>
      </c>
      <c r="T284" s="19">
        <f t="shared" si="67"/>
        <v>243</v>
      </c>
      <c r="U284" s="14" t="s">
        <v>77</v>
      </c>
      <c r="V284" s="14"/>
      <c r="W284" s="33">
        <v>90</v>
      </c>
      <c r="X284" s="34"/>
      <c r="Y284" s="34">
        <v>0</v>
      </c>
      <c r="Z284" s="34">
        <v>0</v>
      </c>
      <c r="AA284" s="34">
        <v>0</v>
      </c>
      <c r="AB284" s="34">
        <v>0</v>
      </c>
      <c r="AC284" s="34">
        <f t="shared" si="68"/>
        <v>0.43740000000000001</v>
      </c>
      <c r="AD284" s="34"/>
      <c r="AE284" s="34">
        <v>0</v>
      </c>
      <c r="AF284" s="34">
        <f t="shared" si="69"/>
        <v>4.3739999999999997</v>
      </c>
      <c r="AG284" s="34">
        <v>0</v>
      </c>
      <c r="AH284" s="34"/>
      <c r="AI284" s="34">
        <v>0</v>
      </c>
      <c r="AJ284" s="34">
        <f t="shared" si="70"/>
        <v>4.8113999999999999</v>
      </c>
      <c r="AK284" s="22"/>
      <c r="AL284" s="34"/>
      <c r="AM284" s="14"/>
      <c r="AN284" s="14"/>
      <c r="AO284" s="14"/>
      <c r="AP284" s="14"/>
    </row>
    <row r="285" spans="1:42" s="45" customFormat="1" ht="22" customHeight="1">
      <c r="A285" s="14" t="s">
        <v>17</v>
      </c>
      <c r="B285" s="15">
        <v>2024</v>
      </c>
      <c r="C285" s="15" t="s">
        <v>24</v>
      </c>
      <c r="D285" s="14" t="s">
        <v>185</v>
      </c>
      <c r="E285" s="14" t="s">
        <v>26</v>
      </c>
      <c r="F285" s="16" t="s">
        <v>265</v>
      </c>
      <c r="G285" s="14">
        <v>1</v>
      </c>
      <c r="H285" s="14"/>
      <c r="I285" s="14"/>
      <c r="J285" s="14" t="s">
        <v>13</v>
      </c>
      <c r="K285" s="16"/>
      <c r="L285" s="14" t="s">
        <v>223</v>
      </c>
      <c r="M285" s="14" t="s">
        <v>96</v>
      </c>
      <c r="N285" s="30" t="s">
        <v>267</v>
      </c>
      <c r="O285" s="31" t="s">
        <v>258</v>
      </c>
      <c r="P285" s="9"/>
      <c r="Q285" s="19"/>
      <c r="R285" s="19"/>
      <c r="S285" s="209">
        <v>213</v>
      </c>
      <c r="T285" s="19">
        <f t="shared" si="67"/>
        <v>213</v>
      </c>
      <c r="U285" s="14" t="s">
        <v>77</v>
      </c>
      <c r="V285" s="14"/>
      <c r="W285" s="33">
        <v>90</v>
      </c>
      <c r="X285" s="34"/>
      <c r="Y285" s="34">
        <v>0</v>
      </c>
      <c r="Z285" s="34">
        <v>0</v>
      </c>
      <c r="AA285" s="34">
        <v>0</v>
      </c>
      <c r="AB285" s="34">
        <v>0</v>
      </c>
      <c r="AC285" s="34">
        <f t="shared" si="68"/>
        <v>0.38340000000000002</v>
      </c>
      <c r="AD285" s="34"/>
      <c r="AE285" s="34">
        <v>0</v>
      </c>
      <c r="AF285" s="34">
        <f t="shared" si="69"/>
        <v>3.8340000000000001</v>
      </c>
      <c r="AG285" s="34">
        <v>0</v>
      </c>
      <c r="AH285" s="34"/>
      <c r="AI285" s="34">
        <v>0</v>
      </c>
      <c r="AJ285" s="34">
        <f t="shared" si="70"/>
        <v>4.2174000000000005</v>
      </c>
      <c r="AK285" s="22"/>
      <c r="AL285" s="34"/>
      <c r="AM285" s="14"/>
      <c r="AN285" s="14"/>
      <c r="AO285" s="14"/>
      <c r="AP285" s="14"/>
    </row>
    <row r="286" spans="1:42" s="45" customFormat="1" ht="22" customHeight="1">
      <c r="A286" s="14" t="s">
        <v>17</v>
      </c>
      <c r="B286" s="15">
        <v>2024</v>
      </c>
      <c r="C286" s="15" t="s">
        <v>24</v>
      </c>
      <c r="D286" s="14" t="s">
        <v>185</v>
      </c>
      <c r="E286" s="14" t="s">
        <v>26</v>
      </c>
      <c r="F286" s="16" t="s">
        <v>265</v>
      </c>
      <c r="G286" s="14">
        <v>1</v>
      </c>
      <c r="H286" s="14"/>
      <c r="I286" s="14"/>
      <c r="J286" s="14" t="s">
        <v>13</v>
      </c>
      <c r="K286" s="16"/>
      <c r="L286" s="14" t="s">
        <v>223</v>
      </c>
      <c r="M286" s="14" t="s">
        <v>96</v>
      </c>
      <c r="N286" s="30" t="s">
        <v>267</v>
      </c>
      <c r="O286" s="31" t="s">
        <v>260</v>
      </c>
      <c r="P286" s="9"/>
      <c r="Q286" s="19"/>
      <c r="R286" s="19"/>
      <c r="S286" s="209">
        <v>991</v>
      </c>
      <c r="T286" s="19">
        <f t="shared" si="67"/>
        <v>991</v>
      </c>
      <c r="U286" s="14" t="s">
        <v>77</v>
      </c>
      <c r="V286" s="14"/>
      <c r="W286" s="33">
        <v>90</v>
      </c>
      <c r="X286" s="34"/>
      <c r="Y286" s="34">
        <v>0</v>
      </c>
      <c r="Z286" s="34">
        <v>0</v>
      </c>
      <c r="AA286" s="34">
        <v>0</v>
      </c>
      <c r="AB286" s="34">
        <v>0</v>
      </c>
      <c r="AC286" s="34">
        <f t="shared" si="68"/>
        <v>1.7838000000000001</v>
      </c>
      <c r="AD286" s="34"/>
      <c r="AE286" s="34">
        <v>0</v>
      </c>
      <c r="AF286" s="34">
        <f t="shared" si="69"/>
        <v>17.838000000000001</v>
      </c>
      <c r="AG286" s="34">
        <v>0</v>
      </c>
      <c r="AH286" s="34"/>
      <c r="AI286" s="34">
        <v>0</v>
      </c>
      <c r="AJ286" s="34">
        <f t="shared" si="70"/>
        <v>19.6218</v>
      </c>
      <c r="AK286" s="22"/>
      <c r="AL286" s="34"/>
      <c r="AM286" s="14"/>
      <c r="AN286" s="14"/>
      <c r="AO286" s="14"/>
      <c r="AP286" s="14"/>
    </row>
    <row r="287" spans="1:42" s="45" customFormat="1" ht="22" customHeight="1">
      <c r="A287" s="14" t="s">
        <v>17</v>
      </c>
      <c r="B287" s="15">
        <v>2024</v>
      </c>
      <c r="C287" s="15" t="s">
        <v>24</v>
      </c>
      <c r="D287" s="14" t="s">
        <v>185</v>
      </c>
      <c r="E287" s="14" t="s">
        <v>26</v>
      </c>
      <c r="F287" s="16" t="s">
        <v>265</v>
      </c>
      <c r="G287" s="14">
        <v>1</v>
      </c>
      <c r="H287" s="14"/>
      <c r="I287" s="14"/>
      <c r="J287" s="14" t="s">
        <v>13</v>
      </c>
      <c r="K287" s="16"/>
      <c r="L287" s="14" t="s">
        <v>223</v>
      </c>
      <c r="M287" s="14" t="s">
        <v>96</v>
      </c>
      <c r="N287" s="30" t="s">
        <v>267</v>
      </c>
      <c r="O287" s="31" t="s">
        <v>261</v>
      </c>
      <c r="P287" s="9"/>
      <c r="Q287" s="19"/>
      <c r="R287" s="19"/>
      <c r="S287" s="209">
        <v>876</v>
      </c>
      <c r="T287" s="19">
        <f t="shared" si="67"/>
        <v>876</v>
      </c>
      <c r="U287" s="14" t="s">
        <v>77</v>
      </c>
      <c r="V287" s="14"/>
      <c r="W287" s="33">
        <v>90</v>
      </c>
      <c r="X287" s="34"/>
      <c r="Y287" s="34">
        <v>0</v>
      </c>
      <c r="Z287" s="34">
        <v>0</v>
      </c>
      <c r="AA287" s="34">
        <v>0</v>
      </c>
      <c r="AB287" s="34">
        <v>0</v>
      </c>
      <c r="AC287" s="34">
        <f t="shared" si="68"/>
        <v>1.5768</v>
      </c>
      <c r="AD287" s="34"/>
      <c r="AE287" s="34">
        <v>0</v>
      </c>
      <c r="AF287" s="34">
        <f t="shared" si="69"/>
        <v>15.768000000000001</v>
      </c>
      <c r="AG287" s="34">
        <v>0</v>
      </c>
      <c r="AH287" s="34"/>
      <c r="AI287" s="34">
        <v>0</v>
      </c>
      <c r="AJ287" s="34">
        <f t="shared" si="70"/>
        <v>17.344799999999999</v>
      </c>
      <c r="AK287" s="22"/>
      <c r="AL287" s="34"/>
      <c r="AM287" s="14"/>
      <c r="AN287" s="14"/>
      <c r="AO287" s="14"/>
      <c r="AP287" s="14"/>
    </row>
    <row r="288" spans="1:42" s="45" customFormat="1" ht="22" customHeight="1">
      <c r="A288" s="14" t="s">
        <v>17</v>
      </c>
      <c r="B288" s="15">
        <v>2024</v>
      </c>
      <c r="C288" s="15" t="s">
        <v>24</v>
      </c>
      <c r="D288" s="14" t="s">
        <v>185</v>
      </c>
      <c r="E288" s="14" t="s">
        <v>26</v>
      </c>
      <c r="F288" s="16" t="s">
        <v>265</v>
      </c>
      <c r="G288" s="14">
        <v>1</v>
      </c>
      <c r="H288" s="14"/>
      <c r="I288" s="14"/>
      <c r="J288" s="14" t="s">
        <v>11</v>
      </c>
      <c r="K288" s="16" t="s">
        <v>82</v>
      </c>
      <c r="L288" s="14" t="s">
        <v>171</v>
      </c>
      <c r="M288" s="14" t="s">
        <v>78</v>
      </c>
      <c r="N288" s="24"/>
      <c r="O288" s="25" t="s">
        <v>217</v>
      </c>
      <c r="P288" s="9"/>
      <c r="Q288" s="26"/>
      <c r="R288" s="26"/>
      <c r="S288" s="187">
        <v>340</v>
      </c>
      <c r="T288" s="19">
        <f t="shared" si="67"/>
        <v>340</v>
      </c>
      <c r="U288" s="14" t="s">
        <v>77</v>
      </c>
      <c r="V288" s="14"/>
      <c r="W288" s="21">
        <v>90</v>
      </c>
      <c r="X288" s="13"/>
      <c r="Y288" s="13">
        <v>0</v>
      </c>
      <c r="Z288" s="13">
        <v>0</v>
      </c>
      <c r="AA288" s="13">
        <v>0</v>
      </c>
      <c r="AB288" s="13">
        <v>0</v>
      </c>
      <c r="AC288" s="13">
        <f t="shared" si="68"/>
        <v>0.61199999999999999</v>
      </c>
      <c r="AD288" s="13"/>
      <c r="AE288" s="13">
        <v>0</v>
      </c>
      <c r="AF288" s="13">
        <f t="shared" si="69"/>
        <v>6.12</v>
      </c>
      <c r="AG288" s="13">
        <v>0</v>
      </c>
      <c r="AH288" s="13"/>
      <c r="AI288" s="13">
        <v>0</v>
      </c>
      <c r="AJ288" s="34">
        <f t="shared" si="70"/>
        <v>6.7320000000000002</v>
      </c>
      <c r="AK288" s="22"/>
      <c r="AL288" s="13"/>
      <c r="AM288" s="14"/>
      <c r="AN288" s="14"/>
      <c r="AO288" s="14"/>
      <c r="AP288" s="14"/>
    </row>
    <row r="289" spans="1:42" s="45" customFormat="1" ht="22" customHeight="1">
      <c r="A289" s="14" t="s">
        <v>17</v>
      </c>
      <c r="B289" s="15">
        <v>2024</v>
      </c>
      <c r="C289" s="15" t="s">
        <v>24</v>
      </c>
      <c r="D289" s="14" t="s">
        <v>185</v>
      </c>
      <c r="E289" s="14" t="s">
        <v>26</v>
      </c>
      <c r="F289" s="16" t="s">
        <v>265</v>
      </c>
      <c r="G289" s="14">
        <v>1</v>
      </c>
      <c r="H289" s="14"/>
      <c r="I289" s="14"/>
      <c r="J289" s="14" t="s">
        <v>11</v>
      </c>
      <c r="K289" s="16" t="s">
        <v>82</v>
      </c>
      <c r="L289" s="14" t="s">
        <v>171</v>
      </c>
      <c r="M289" s="14" t="s">
        <v>78</v>
      </c>
      <c r="N289" s="24"/>
      <c r="O289" s="25" t="s">
        <v>219</v>
      </c>
      <c r="P289" s="9"/>
      <c r="Q289" s="19"/>
      <c r="R289" s="19"/>
      <c r="S289" s="187">
        <v>189</v>
      </c>
      <c r="T289" s="19">
        <f t="shared" si="67"/>
        <v>189</v>
      </c>
      <c r="U289" s="14" t="s">
        <v>77</v>
      </c>
      <c r="V289" s="14"/>
      <c r="W289" s="21">
        <v>90</v>
      </c>
      <c r="X289" s="13"/>
      <c r="Y289" s="13">
        <v>0</v>
      </c>
      <c r="Z289" s="13">
        <v>0</v>
      </c>
      <c r="AA289" s="13">
        <v>0</v>
      </c>
      <c r="AB289" s="13">
        <v>0</v>
      </c>
      <c r="AC289" s="13">
        <f t="shared" si="68"/>
        <v>0.3402</v>
      </c>
      <c r="AD289" s="13"/>
      <c r="AE289" s="13">
        <v>0</v>
      </c>
      <c r="AF289" s="13">
        <f t="shared" si="69"/>
        <v>3.4020000000000001</v>
      </c>
      <c r="AG289" s="13">
        <v>0</v>
      </c>
      <c r="AH289" s="13"/>
      <c r="AI289" s="13">
        <v>0</v>
      </c>
      <c r="AJ289" s="34">
        <f t="shared" si="70"/>
        <v>3.7422</v>
      </c>
      <c r="AK289" s="22"/>
      <c r="AL289" s="13"/>
      <c r="AM289" s="14"/>
      <c r="AN289" s="14"/>
      <c r="AO289" s="14"/>
      <c r="AP289" s="14"/>
    </row>
    <row r="290" spans="1:42" s="45" customFormat="1" ht="22" customHeight="1">
      <c r="A290" s="14" t="s">
        <v>17</v>
      </c>
      <c r="B290" s="15">
        <v>2024</v>
      </c>
      <c r="C290" s="15" t="s">
        <v>24</v>
      </c>
      <c r="D290" s="14" t="s">
        <v>185</v>
      </c>
      <c r="E290" s="14" t="s">
        <v>26</v>
      </c>
      <c r="F290" s="16" t="s">
        <v>265</v>
      </c>
      <c r="G290" s="14">
        <v>1</v>
      </c>
      <c r="H290" s="14"/>
      <c r="I290" s="14"/>
      <c r="J290" s="14" t="s">
        <v>11</v>
      </c>
      <c r="K290" s="16" t="s">
        <v>82</v>
      </c>
      <c r="L290" s="14" t="s">
        <v>171</v>
      </c>
      <c r="M290" s="14" t="s">
        <v>11</v>
      </c>
      <c r="N290" s="24"/>
      <c r="O290" s="25" t="s">
        <v>220</v>
      </c>
      <c r="P290" s="9"/>
      <c r="Q290" s="19"/>
      <c r="R290" s="19"/>
      <c r="S290" s="187">
        <v>508</v>
      </c>
      <c r="T290" s="19">
        <f t="shared" si="67"/>
        <v>508</v>
      </c>
      <c r="U290" s="14" t="s">
        <v>77</v>
      </c>
      <c r="V290" s="14"/>
      <c r="W290" s="21">
        <v>90</v>
      </c>
      <c r="X290" s="13"/>
      <c r="Y290" s="13">
        <v>0</v>
      </c>
      <c r="Z290" s="13">
        <v>0</v>
      </c>
      <c r="AA290" s="13">
        <v>0</v>
      </c>
      <c r="AB290" s="13">
        <v>0</v>
      </c>
      <c r="AC290" s="13">
        <f t="shared" si="68"/>
        <v>0.91439999999999999</v>
      </c>
      <c r="AD290" s="13"/>
      <c r="AE290" s="13">
        <v>0</v>
      </c>
      <c r="AF290" s="13">
        <f t="shared" si="69"/>
        <v>9.1440000000000001</v>
      </c>
      <c r="AG290" s="13">
        <v>0</v>
      </c>
      <c r="AH290" s="13"/>
      <c r="AI290" s="13">
        <v>0</v>
      </c>
      <c r="AJ290" s="34">
        <f t="shared" si="70"/>
        <v>10.058400000000001</v>
      </c>
      <c r="AK290" s="29"/>
      <c r="AL290" s="13"/>
      <c r="AM290" s="14"/>
      <c r="AN290" s="14"/>
      <c r="AO290" s="14"/>
      <c r="AP290" s="14"/>
    </row>
    <row r="291" spans="1:42" s="45" customFormat="1" ht="22" customHeight="1">
      <c r="A291" s="14" t="s">
        <v>17</v>
      </c>
      <c r="B291" s="15">
        <v>2024</v>
      </c>
      <c r="C291" s="15" t="s">
        <v>24</v>
      </c>
      <c r="D291" s="14" t="s">
        <v>185</v>
      </c>
      <c r="E291" s="14" t="s">
        <v>26</v>
      </c>
      <c r="F291" s="16" t="s">
        <v>265</v>
      </c>
      <c r="G291" s="14">
        <v>1</v>
      </c>
      <c r="H291" s="14"/>
      <c r="I291" s="14"/>
      <c r="J291" s="14" t="s">
        <v>11</v>
      </c>
      <c r="K291" s="16" t="s">
        <v>82</v>
      </c>
      <c r="L291" s="14" t="s">
        <v>171</v>
      </c>
      <c r="M291" s="14" t="s">
        <v>11</v>
      </c>
      <c r="N291" s="24"/>
      <c r="O291" s="25" t="s">
        <v>221</v>
      </c>
      <c r="P291" s="9"/>
      <c r="Q291" s="19"/>
      <c r="R291" s="19"/>
      <c r="S291" s="187">
        <v>944</v>
      </c>
      <c r="T291" s="19">
        <f t="shared" si="67"/>
        <v>944</v>
      </c>
      <c r="U291" s="14" t="s">
        <v>77</v>
      </c>
      <c r="V291" s="14"/>
      <c r="W291" s="21">
        <v>90</v>
      </c>
      <c r="X291" s="13"/>
      <c r="Y291" s="13">
        <v>0</v>
      </c>
      <c r="Z291" s="13">
        <v>0</v>
      </c>
      <c r="AA291" s="13">
        <v>0</v>
      </c>
      <c r="AB291" s="13">
        <v>0</v>
      </c>
      <c r="AC291" s="13">
        <f t="shared" si="68"/>
        <v>1.6992</v>
      </c>
      <c r="AD291" s="13"/>
      <c r="AE291" s="13">
        <v>0</v>
      </c>
      <c r="AF291" s="13">
        <f t="shared" si="69"/>
        <v>16.992000000000001</v>
      </c>
      <c r="AG291" s="13">
        <v>0</v>
      </c>
      <c r="AH291" s="13"/>
      <c r="AI291" s="13">
        <v>0</v>
      </c>
      <c r="AJ291" s="34">
        <f t="shared" si="70"/>
        <v>18.691200000000002</v>
      </c>
      <c r="AK291" s="22"/>
      <c r="AL291" s="13"/>
      <c r="AM291" s="14"/>
      <c r="AN291" s="14"/>
      <c r="AO291" s="14"/>
      <c r="AP291" s="14"/>
    </row>
    <row r="292" spans="1:42" s="45" customFormat="1" ht="22" customHeight="1">
      <c r="A292" s="14" t="s">
        <v>17</v>
      </c>
      <c r="B292" s="15">
        <v>2024</v>
      </c>
      <c r="C292" s="15" t="s">
        <v>24</v>
      </c>
      <c r="D292" s="14" t="s">
        <v>185</v>
      </c>
      <c r="E292" s="14" t="s">
        <v>26</v>
      </c>
      <c r="F292" s="16" t="s">
        <v>265</v>
      </c>
      <c r="G292" s="14">
        <v>2</v>
      </c>
      <c r="H292" s="14"/>
      <c r="I292" s="14"/>
      <c r="J292" s="14" t="s">
        <v>14</v>
      </c>
      <c r="K292" s="16" t="s">
        <v>14</v>
      </c>
      <c r="L292" s="14" t="s">
        <v>209</v>
      </c>
      <c r="M292" s="14" t="s">
        <v>99</v>
      </c>
      <c r="N292" s="27"/>
      <c r="O292" s="28" t="s">
        <v>222</v>
      </c>
      <c r="P292" s="9"/>
      <c r="Q292" s="19"/>
      <c r="R292" s="19"/>
      <c r="S292" s="187">
        <v>600</v>
      </c>
      <c r="T292" s="19">
        <f t="shared" si="67"/>
        <v>600</v>
      </c>
      <c r="U292" s="14" t="s">
        <v>77</v>
      </c>
      <c r="V292" s="14"/>
      <c r="W292" s="21">
        <v>90</v>
      </c>
      <c r="X292" s="13"/>
      <c r="Y292" s="13">
        <v>0</v>
      </c>
      <c r="Z292" s="13">
        <v>0</v>
      </c>
      <c r="AA292" s="13">
        <v>0</v>
      </c>
      <c r="AB292" s="13">
        <v>0</v>
      </c>
      <c r="AC292" s="13">
        <f t="shared" si="68"/>
        <v>1.08</v>
      </c>
      <c r="AD292" s="13"/>
      <c r="AE292" s="13">
        <v>0</v>
      </c>
      <c r="AF292" s="13">
        <f t="shared" si="69"/>
        <v>10.8</v>
      </c>
      <c r="AG292" s="13">
        <v>0</v>
      </c>
      <c r="AH292" s="13"/>
      <c r="AI292" s="13">
        <v>0</v>
      </c>
      <c r="AJ292" s="34">
        <f t="shared" si="70"/>
        <v>11.88</v>
      </c>
      <c r="AK292" s="22"/>
      <c r="AL292" s="13"/>
      <c r="AM292" s="14"/>
      <c r="AN292" s="14"/>
      <c r="AO292" s="14"/>
      <c r="AP292" s="14"/>
    </row>
    <row r="293" spans="1:42" s="45" customFormat="1" ht="22" customHeight="1">
      <c r="A293" s="14" t="s">
        <v>17</v>
      </c>
      <c r="B293" s="15">
        <v>2024</v>
      </c>
      <c r="C293" s="15" t="s">
        <v>24</v>
      </c>
      <c r="D293" s="14" t="s">
        <v>185</v>
      </c>
      <c r="E293" s="14" t="s">
        <v>26</v>
      </c>
      <c r="F293" s="16" t="s">
        <v>265</v>
      </c>
      <c r="G293" s="14">
        <v>2</v>
      </c>
      <c r="H293" s="14"/>
      <c r="I293" s="14"/>
      <c r="J293" s="14" t="s">
        <v>12</v>
      </c>
      <c r="K293" s="16" t="s">
        <v>14</v>
      </c>
      <c r="L293" s="14" t="s">
        <v>209</v>
      </c>
      <c r="M293" s="14" t="s">
        <v>84</v>
      </c>
      <c r="N293" s="24"/>
      <c r="O293" s="25" t="s">
        <v>225</v>
      </c>
      <c r="P293" s="9"/>
      <c r="Q293" s="19"/>
      <c r="R293" s="19"/>
      <c r="S293" s="187">
        <v>905</v>
      </c>
      <c r="T293" s="19">
        <f t="shared" si="67"/>
        <v>905</v>
      </c>
      <c r="U293" s="14" t="s">
        <v>77</v>
      </c>
      <c r="V293" s="14"/>
      <c r="W293" s="21">
        <v>90</v>
      </c>
      <c r="X293" s="13"/>
      <c r="Y293" s="13">
        <v>0</v>
      </c>
      <c r="Z293" s="13">
        <v>0</v>
      </c>
      <c r="AA293" s="13">
        <v>0</v>
      </c>
      <c r="AB293" s="13">
        <v>0</v>
      </c>
      <c r="AC293" s="13">
        <f t="shared" si="68"/>
        <v>1.629</v>
      </c>
      <c r="AD293" s="13"/>
      <c r="AE293" s="13">
        <v>0</v>
      </c>
      <c r="AF293" s="13">
        <f t="shared" si="69"/>
        <v>16.29</v>
      </c>
      <c r="AG293" s="13">
        <v>0</v>
      </c>
      <c r="AH293" s="13"/>
      <c r="AI293" s="13">
        <v>0</v>
      </c>
      <c r="AJ293" s="34">
        <f t="shared" si="70"/>
        <v>17.919</v>
      </c>
      <c r="AK293" s="22"/>
      <c r="AL293" s="13"/>
      <c r="AM293" s="14"/>
      <c r="AN293" s="14"/>
      <c r="AO293" s="14"/>
      <c r="AP293" s="14"/>
    </row>
    <row r="294" spans="1:42" s="45" customFormat="1" ht="22" customHeight="1">
      <c r="A294" s="14" t="s">
        <v>17</v>
      </c>
      <c r="B294" s="15">
        <v>2024</v>
      </c>
      <c r="C294" s="15" t="s">
        <v>24</v>
      </c>
      <c r="D294" s="14" t="s">
        <v>185</v>
      </c>
      <c r="E294" s="14" t="s">
        <v>26</v>
      </c>
      <c r="F294" s="16" t="s">
        <v>265</v>
      </c>
      <c r="G294" s="14">
        <v>1</v>
      </c>
      <c r="H294" s="14"/>
      <c r="I294" s="14"/>
      <c r="J294" s="14" t="s">
        <v>11</v>
      </c>
      <c r="K294" s="16" t="s">
        <v>82</v>
      </c>
      <c r="L294" s="14" t="s">
        <v>171</v>
      </c>
      <c r="M294" s="14" t="s">
        <v>78</v>
      </c>
      <c r="N294" s="24"/>
      <c r="O294" s="25" t="s">
        <v>226</v>
      </c>
      <c r="P294" s="9"/>
      <c r="Q294" s="19"/>
      <c r="R294" s="19"/>
      <c r="S294" s="187">
        <v>310</v>
      </c>
      <c r="T294" s="19">
        <f t="shared" si="67"/>
        <v>310</v>
      </c>
      <c r="U294" s="14" t="s">
        <v>77</v>
      </c>
      <c r="V294" s="14"/>
      <c r="W294" s="21">
        <v>90</v>
      </c>
      <c r="X294" s="13"/>
      <c r="Y294" s="13">
        <v>0</v>
      </c>
      <c r="Z294" s="13">
        <v>0</v>
      </c>
      <c r="AA294" s="13">
        <v>0</v>
      </c>
      <c r="AB294" s="13">
        <v>0</v>
      </c>
      <c r="AC294" s="13">
        <f t="shared" si="68"/>
        <v>0.55800000000000005</v>
      </c>
      <c r="AD294" s="13"/>
      <c r="AE294" s="13">
        <v>0</v>
      </c>
      <c r="AF294" s="13">
        <f t="shared" si="69"/>
        <v>5.58</v>
      </c>
      <c r="AG294" s="13">
        <v>0</v>
      </c>
      <c r="AH294" s="13"/>
      <c r="AI294" s="13">
        <v>0</v>
      </c>
      <c r="AJ294" s="34">
        <f t="shared" si="70"/>
        <v>6.1379999999999999</v>
      </c>
      <c r="AK294" s="22"/>
      <c r="AL294" s="13"/>
      <c r="AM294" s="14"/>
      <c r="AN294" s="14"/>
      <c r="AO294" s="14"/>
      <c r="AP294" s="14"/>
    </row>
    <row r="295" spans="1:42" s="45" customFormat="1" ht="22" customHeight="1">
      <c r="A295" s="14" t="s">
        <v>17</v>
      </c>
      <c r="B295" s="15">
        <v>2024</v>
      </c>
      <c r="C295" s="15" t="s">
        <v>24</v>
      </c>
      <c r="D295" s="14" t="s">
        <v>185</v>
      </c>
      <c r="E295" s="14" t="s">
        <v>26</v>
      </c>
      <c r="F295" s="16" t="s">
        <v>265</v>
      </c>
      <c r="G295" s="14">
        <v>1</v>
      </c>
      <c r="H295" s="14"/>
      <c r="I295" s="14"/>
      <c r="J295" s="14" t="s">
        <v>12</v>
      </c>
      <c r="K295" s="16" t="s">
        <v>14</v>
      </c>
      <c r="L295" s="14" t="s">
        <v>209</v>
      </c>
      <c r="M295" s="14" t="s">
        <v>84</v>
      </c>
      <c r="N295" s="17"/>
      <c r="O295" s="18" t="s">
        <v>227</v>
      </c>
      <c r="P295" s="9"/>
      <c r="Q295" s="19"/>
      <c r="R295" s="19"/>
      <c r="S295" s="187">
        <v>510</v>
      </c>
      <c r="T295" s="19">
        <f t="shared" si="67"/>
        <v>510</v>
      </c>
      <c r="U295" s="14" t="s">
        <v>77</v>
      </c>
      <c r="V295" s="14"/>
      <c r="W295" s="21">
        <v>90</v>
      </c>
      <c r="X295" s="13"/>
      <c r="Y295" s="13">
        <v>0</v>
      </c>
      <c r="Z295" s="13">
        <v>0</v>
      </c>
      <c r="AA295" s="13">
        <v>0</v>
      </c>
      <c r="AB295" s="13">
        <v>0</v>
      </c>
      <c r="AC295" s="13">
        <f t="shared" si="68"/>
        <v>0.91800000000000004</v>
      </c>
      <c r="AD295" s="13"/>
      <c r="AE295" s="13">
        <v>0</v>
      </c>
      <c r="AF295" s="13">
        <f t="shared" si="69"/>
        <v>9.18</v>
      </c>
      <c r="AG295" s="13">
        <v>0</v>
      </c>
      <c r="AH295" s="13"/>
      <c r="AI295" s="13">
        <v>0</v>
      </c>
      <c r="AJ295" s="34">
        <f t="shared" si="70"/>
        <v>10.097999999999999</v>
      </c>
      <c r="AK295" s="22"/>
      <c r="AL295" s="13"/>
      <c r="AM295" s="14"/>
      <c r="AN295" s="14"/>
      <c r="AO295" s="14"/>
      <c r="AP295" s="14"/>
    </row>
    <row r="296" spans="1:42" s="45" customFormat="1" ht="22" customHeight="1">
      <c r="A296" s="14" t="s">
        <v>17</v>
      </c>
      <c r="B296" s="15">
        <v>2024</v>
      </c>
      <c r="C296" s="15" t="s">
        <v>24</v>
      </c>
      <c r="D296" s="14" t="s">
        <v>185</v>
      </c>
      <c r="E296" s="14" t="s">
        <v>26</v>
      </c>
      <c r="F296" s="16" t="s">
        <v>265</v>
      </c>
      <c r="G296" s="14">
        <v>1</v>
      </c>
      <c r="H296" s="14"/>
      <c r="I296" s="14"/>
      <c r="J296" s="14" t="s">
        <v>11</v>
      </c>
      <c r="K296" s="16" t="s">
        <v>82</v>
      </c>
      <c r="L296" s="14" t="s">
        <v>171</v>
      </c>
      <c r="M296" s="14" t="s">
        <v>78</v>
      </c>
      <c r="N296" s="17"/>
      <c r="O296" s="18" t="s">
        <v>228</v>
      </c>
      <c r="P296" s="9"/>
      <c r="Q296" s="19"/>
      <c r="R296" s="19"/>
      <c r="S296" s="187">
        <v>750</v>
      </c>
      <c r="T296" s="19">
        <f t="shared" si="67"/>
        <v>750</v>
      </c>
      <c r="U296" s="14" t="s">
        <v>77</v>
      </c>
      <c r="V296" s="14"/>
      <c r="W296" s="21">
        <v>90</v>
      </c>
      <c r="X296" s="13"/>
      <c r="Y296" s="13">
        <v>0</v>
      </c>
      <c r="Z296" s="13">
        <v>0</v>
      </c>
      <c r="AA296" s="13">
        <v>0</v>
      </c>
      <c r="AB296" s="13">
        <v>0</v>
      </c>
      <c r="AC296" s="13">
        <f t="shared" si="68"/>
        <v>1.35</v>
      </c>
      <c r="AD296" s="13"/>
      <c r="AE296" s="13">
        <v>0</v>
      </c>
      <c r="AF296" s="13">
        <f t="shared" si="69"/>
        <v>13.5</v>
      </c>
      <c r="AG296" s="13">
        <v>0</v>
      </c>
      <c r="AH296" s="13"/>
      <c r="AI296" s="13">
        <v>0</v>
      </c>
      <c r="AJ296" s="34">
        <f t="shared" si="70"/>
        <v>14.85</v>
      </c>
      <c r="AK296" s="22"/>
      <c r="AL296" s="13"/>
      <c r="AM296" s="14"/>
      <c r="AN296" s="14"/>
      <c r="AO296" s="14"/>
      <c r="AP296" s="14"/>
    </row>
    <row r="297" spans="1:42" s="45" customFormat="1" ht="22" customHeight="1">
      <c r="A297" s="14" t="s">
        <v>17</v>
      </c>
      <c r="B297" s="15">
        <v>2024</v>
      </c>
      <c r="C297" s="15" t="s">
        <v>24</v>
      </c>
      <c r="D297" s="14" t="s">
        <v>185</v>
      </c>
      <c r="E297" s="14" t="s">
        <v>26</v>
      </c>
      <c r="F297" s="16" t="s">
        <v>265</v>
      </c>
      <c r="G297" s="14">
        <v>2</v>
      </c>
      <c r="H297" s="14"/>
      <c r="I297" s="14"/>
      <c r="J297" s="14" t="s">
        <v>14</v>
      </c>
      <c r="K297" s="16" t="s">
        <v>14</v>
      </c>
      <c r="L297" s="14" t="s">
        <v>209</v>
      </c>
      <c r="M297" s="14" t="s">
        <v>99</v>
      </c>
      <c r="N297" s="30"/>
      <c r="O297" s="31" t="s">
        <v>230</v>
      </c>
      <c r="P297" s="9"/>
      <c r="Q297" s="19"/>
      <c r="R297" s="19"/>
      <c r="S297" s="209">
        <v>181</v>
      </c>
      <c r="T297" s="19">
        <f t="shared" si="67"/>
        <v>181</v>
      </c>
      <c r="U297" s="14" t="s">
        <v>77</v>
      </c>
      <c r="V297" s="14"/>
      <c r="W297" s="33">
        <v>90</v>
      </c>
      <c r="X297" s="34">
        <v>0</v>
      </c>
      <c r="Y297" s="34">
        <v>0</v>
      </c>
      <c r="Z297" s="34">
        <v>0</v>
      </c>
      <c r="AA297" s="34">
        <v>0</v>
      </c>
      <c r="AB297" s="34">
        <v>0</v>
      </c>
      <c r="AC297" s="34">
        <f t="shared" si="68"/>
        <v>0.32579999999999998</v>
      </c>
      <c r="AD297" s="34"/>
      <c r="AE297" s="34">
        <v>0</v>
      </c>
      <c r="AF297" s="34">
        <f t="shared" si="69"/>
        <v>3.258</v>
      </c>
      <c r="AG297" s="34">
        <v>0</v>
      </c>
      <c r="AH297" s="34">
        <v>0</v>
      </c>
      <c r="AI297" s="34">
        <v>0</v>
      </c>
      <c r="AJ297" s="34">
        <f t="shared" si="70"/>
        <v>3.5838000000000001</v>
      </c>
      <c r="AK297" s="22"/>
      <c r="AL297" s="34"/>
      <c r="AM297" s="14"/>
      <c r="AN297" s="14"/>
      <c r="AO297" s="14"/>
      <c r="AP297" s="14"/>
    </row>
    <row r="298" spans="1:42" s="45" customFormat="1" ht="22" customHeight="1">
      <c r="A298" s="14" t="s">
        <v>17</v>
      </c>
      <c r="B298" s="15">
        <v>2024</v>
      </c>
      <c r="C298" s="15" t="s">
        <v>24</v>
      </c>
      <c r="D298" s="14" t="s">
        <v>185</v>
      </c>
      <c r="E298" s="14" t="s">
        <v>26</v>
      </c>
      <c r="F298" s="16" t="s">
        <v>265</v>
      </c>
      <c r="G298" s="14">
        <v>1</v>
      </c>
      <c r="H298" s="14"/>
      <c r="I298" s="14"/>
      <c r="J298" s="14" t="s">
        <v>14</v>
      </c>
      <c r="K298" s="16" t="s">
        <v>14</v>
      </c>
      <c r="L298" s="14" t="s">
        <v>209</v>
      </c>
      <c r="M298" s="14" t="s">
        <v>99</v>
      </c>
      <c r="N298" s="27"/>
      <c r="O298" s="28" t="s">
        <v>231</v>
      </c>
      <c r="P298" s="9"/>
      <c r="Q298" s="19"/>
      <c r="R298" s="19"/>
      <c r="S298" s="187">
        <v>50</v>
      </c>
      <c r="T298" s="19">
        <f t="shared" si="67"/>
        <v>50</v>
      </c>
      <c r="U298" s="14" t="s">
        <v>77</v>
      </c>
      <c r="V298" s="14"/>
      <c r="W298" s="21">
        <v>90</v>
      </c>
      <c r="X298" s="13"/>
      <c r="Y298" s="13">
        <v>0</v>
      </c>
      <c r="Z298" s="13">
        <v>0</v>
      </c>
      <c r="AA298" s="13">
        <v>0</v>
      </c>
      <c r="AB298" s="13">
        <v>0</v>
      </c>
      <c r="AC298" s="13">
        <f t="shared" si="68"/>
        <v>0.09</v>
      </c>
      <c r="AD298" s="13"/>
      <c r="AE298" s="13">
        <v>0</v>
      </c>
      <c r="AF298" s="13">
        <f t="shared" si="69"/>
        <v>0.9</v>
      </c>
      <c r="AG298" s="13">
        <v>0</v>
      </c>
      <c r="AH298" s="13"/>
      <c r="AI298" s="13">
        <v>0</v>
      </c>
      <c r="AJ298" s="34">
        <f t="shared" si="70"/>
        <v>0.99</v>
      </c>
      <c r="AK298" s="22"/>
      <c r="AL298" s="13"/>
      <c r="AM298" s="14"/>
      <c r="AN298" s="14"/>
      <c r="AO298" s="14"/>
      <c r="AP298" s="14"/>
    </row>
    <row r="299" spans="1:42" s="45" customFormat="1" ht="22" customHeight="1">
      <c r="A299" s="14" t="s">
        <v>17</v>
      </c>
      <c r="B299" s="15">
        <v>2024</v>
      </c>
      <c r="C299" s="15" t="s">
        <v>24</v>
      </c>
      <c r="D299" s="14" t="s">
        <v>185</v>
      </c>
      <c r="E299" s="14" t="s">
        <v>26</v>
      </c>
      <c r="F299" s="16" t="s">
        <v>265</v>
      </c>
      <c r="G299" s="14">
        <v>1</v>
      </c>
      <c r="H299" s="14"/>
      <c r="I299" s="14"/>
      <c r="J299" s="14" t="s">
        <v>11</v>
      </c>
      <c r="K299" s="16" t="s">
        <v>82</v>
      </c>
      <c r="L299" s="14" t="s">
        <v>171</v>
      </c>
      <c r="M299" s="14" t="s">
        <v>78</v>
      </c>
      <c r="N299" s="17"/>
      <c r="O299" s="18" t="s">
        <v>232</v>
      </c>
      <c r="P299" s="9"/>
      <c r="Q299" s="19"/>
      <c r="R299" s="19"/>
      <c r="S299" s="187">
        <v>317</v>
      </c>
      <c r="T299" s="19">
        <f t="shared" si="67"/>
        <v>317</v>
      </c>
      <c r="U299" s="14" t="s">
        <v>77</v>
      </c>
      <c r="V299" s="14"/>
      <c r="W299" s="21">
        <v>90</v>
      </c>
      <c r="X299" s="13"/>
      <c r="Y299" s="13">
        <v>0</v>
      </c>
      <c r="Z299" s="13">
        <v>0</v>
      </c>
      <c r="AA299" s="13">
        <v>0</v>
      </c>
      <c r="AB299" s="13">
        <v>0</v>
      </c>
      <c r="AC299" s="13">
        <f t="shared" si="68"/>
        <v>0.5706</v>
      </c>
      <c r="AD299" s="13"/>
      <c r="AE299" s="13">
        <v>0</v>
      </c>
      <c r="AF299" s="13">
        <f t="shared" si="69"/>
        <v>5.7060000000000004</v>
      </c>
      <c r="AG299" s="13">
        <v>0</v>
      </c>
      <c r="AH299" s="13"/>
      <c r="AI299" s="13">
        <v>0</v>
      </c>
      <c r="AJ299" s="34">
        <f t="shared" si="70"/>
        <v>6.2766000000000002</v>
      </c>
      <c r="AK299" s="22"/>
      <c r="AL299" s="13"/>
      <c r="AM299" s="14"/>
      <c r="AN299" s="14"/>
      <c r="AO299" s="14"/>
      <c r="AP299" s="14"/>
    </row>
    <row r="300" spans="1:42" s="45" customFormat="1" ht="22" customHeight="1">
      <c r="A300" s="14" t="s">
        <v>17</v>
      </c>
      <c r="B300" s="15">
        <v>2024</v>
      </c>
      <c r="C300" s="15" t="s">
        <v>24</v>
      </c>
      <c r="D300" s="14" t="s">
        <v>185</v>
      </c>
      <c r="E300" s="14" t="s">
        <v>26</v>
      </c>
      <c r="F300" s="16" t="s">
        <v>265</v>
      </c>
      <c r="G300" s="14">
        <v>1</v>
      </c>
      <c r="H300" s="14"/>
      <c r="I300" s="14" t="s">
        <v>28</v>
      </c>
      <c r="J300" s="14" t="s">
        <v>11</v>
      </c>
      <c r="K300" s="16" t="s">
        <v>82</v>
      </c>
      <c r="L300" s="14" t="s">
        <v>166</v>
      </c>
      <c r="M300" s="14" t="s">
        <v>28</v>
      </c>
      <c r="N300" s="27"/>
      <c r="O300" s="28" t="s">
        <v>233</v>
      </c>
      <c r="P300" s="9"/>
      <c r="Q300" s="19"/>
      <c r="R300" s="19"/>
      <c r="S300" s="187">
        <v>677</v>
      </c>
      <c r="T300" s="19">
        <f t="shared" si="67"/>
        <v>677</v>
      </c>
      <c r="U300" s="14" t="s">
        <v>77</v>
      </c>
      <c r="V300" s="14"/>
      <c r="W300" s="21">
        <v>90</v>
      </c>
      <c r="X300" s="13"/>
      <c r="Y300" s="13">
        <v>0</v>
      </c>
      <c r="Z300" s="13">
        <v>0</v>
      </c>
      <c r="AA300" s="13">
        <v>0</v>
      </c>
      <c r="AB300" s="13">
        <v>0</v>
      </c>
      <c r="AC300" s="13">
        <f t="shared" si="68"/>
        <v>1.2185999999999999</v>
      </c>
      <c r="AD300" s="13"/>
      <c r="AE300" s="13">
        <v>0</v>
      </c>
      <c r="AF300" s="13">
        <f t="shared" si="69"/>
        <v>12.186</v>
      </c>
      <c r="AG300" s="13">
        <v>0</v>
      </c>
      <c r="AH300" s="13"/>
      <c r="AI300" s="13">
        <v>0</v>
      </c>
      <c r="AJ300" s="34">
        <f t="shared" si="70"/>
        <v>13.4046</v>
      </c>
      <c r="AK300" s="22"/>
      <c r="AL300" s="13"/>
      <c r="AM300" s="14"/>
      <c r="AN300" s="14"/>
      <c r="AO300" s="14"/>
      <c r="AP300" s="14"/>
    </row>
    <row r="301" spans="1:42" s="45" customFormat="1" ht="22" customHeight="1">
      <c r="A301" s="14" t="s">
        <v>17</v>
      </c>
      <c r="B301" s="15">
        <v>2024</v>
      </c>
      <c r="C301" s="15" t="s">
        <v>24</v>
      </c>
      <c r="D301" s="14" t="s">
        <v>185</v>
      </c>
      <c r="E301" s="14" t="s">
        <v>26</v>
      </c>
      <c r="F301" s="16" t="s">
        <v>265</v>
      </c>
      <c r="G301" s="14">
        <v>1</v>
      </c>
      <c r="H301" s="14"/>
      <c r="I301" s="14"/>
      <c r="J301" s="14" t="s">
        <v>12</v>
      </c>
      <c r="K301" s="16" t="s">
        <v>14</v>
      </c>
      <c r="L301" s="14" t="s">
        <v>209</v>
      </c>
      <c r="M301" s="14" t="s">
        <v>84</v>
      </c>
      <c r="N301" s="27"/>
      <c r="O301" s="28" t="s">
        <v>234</v>
      </c>
      <c r="P301" s="9"/>
      <c r="Q301" s="19"/>
      <c r="R301" s="19"/>
      <c r="S301" s="187">
        <v>948</v>
      </c>
      <c r="T301" s="19">
        <f t="shared" si="67"/>
        <v>948</v>
      </c>
      <c r="U301" s="14" t="s">
        <v>77</v>
      </c>
      <c r="V301" s="14"/>
      <c r="W301" s="21">
        <v>90</v>
      </c>
      <c r="X301" s="13"/>
      <c r="Y301" s="13">
        <v>0</v>
      </c>
      <c r="Z301" s="13">
        <v>0</v>
      </c>
      <c r="AA301" s="13">
        <v>0</v>
      </c>
      <c r="AB301" s="13">
        <v>0</v>
      </c>
      <c r="AC301" s="13">
        <f t="shared" si="68"/>
        <v>1.7063999999999999</v>
      </c>
      <c r="AD301" s="13"/>
      <c r="AE301" s="13">
        <v>0</v>
      </c>
      <c r="AF301" s="13">
        <f t="shared" si="69"/>
        <v>17.064</v>
      </c>
      <c r="AG301" s="13">
        <v>0</v>
      </c>
      <c r="AH301" s="13"/>
      <c r="AI301" s="13">
        <v>0</v>
      </c>
      <c r="AJ301" s="34">
        <f t="shared" si="70"/>
        <v>18.770399999999999</v>
      </c>
      <c r="AK301" s="22"/>
      <c r="AL301" s="13"/>
      <c r="AM301" s="14"/>
      <c r="AN301" s="14"/>
      <c r="AO301" s="14"/>
      <c r="AP301" s="14"/>
    </row>
    <row r="302" spans="1:42" s="45" customFormat="1" ht="22" customHeight="1">
      <c r="A302" s="14" t="s">
        <v>17</v>
      </c>
      <c r="B302" s="15">
        <v>2024</v>
      </c>
      <c r="C302" s="15" t="s">
        <v>24</v>
      </c>
      <c r="D302" s="14" t="s">
        <v>185</v>
      </c>
      <c r="E302" s="14" t="s">
        <v>26</v>
      </c>
      <c r="F302" s="16" t="s">
        <v>265</v>
      </c>
      <c r="G302" s="14">
        <v>2</v>
      </c>
      <c r="H302" s="14"/>
      <c r="I302" s="14"/>
      <c r="J302" s="14" t="s">
        <v>14</v>
      </c>
      <c r="K302" s="16" t="s">
        <v>14</v>
      </c>
      <c r="L302" s="14" t="s">
        <v>209</v>
      </c>
      <c r="M302" s="14" t="s">
        <v>99</v>
      </c>
      <c r="N302" s="27"/>
      <c r="O302" s="28" t="s">
        <v>235</v>
      </c>
      <c r="P302" s="9"/>
      <c r="Q302" s="19"/>
      <c r="R302" s="19"/>
      <c r="S302" s="187">
        <v>545</v>
      </c>
      <c r="T302" s="19">
        <f t="shared" si="67"/>
        <v>545</v>
      </c>
      <c r="U302" s="14" t="s">
        <v>77</v>
      </c>
      <c r="V302" s="14"/>
      <c r="W302" s="21">
        <v>90</v>
      </c>
      <c r="X302" s="13"/>
      <c r="Y302" s="13">
        <v>0</v>
      </c>
      <c r="Z302" s="13">
        <v>0</v>
      </c>
      <c r="AA302" s="13">
        <v>0</v>
      </c>
      <c r="AB302" s="13">
        <v>0</v>
      </c>
      <c r="AC302" s="13">
        <f t="shared" si="68"/>
        <v>0.98099999999999998</v>
      </c>
      <c r="AD302" s="13"/>
      <c r="AE302" s="13">
        <v>0</v>
      </c>
      <c r="AF302" s="13">
        <f t="shared" si="69"/>
        <v>9.81</v>
      </c>
      <c r="AG302" s="13">
        <v>0</v>
      </c>
      <c r="AH302" s="13"/>
      <c r="AI302" s="13">
        <v>0</v>
      </c>
      <c r="AJ302" s="34">
        <f t="shared" si="70"/>
        <v>10.791</v>
      </c>
      <c r="AK302" s="22"/>
      <c r="AL302" s="13"/>
      <c r="AM302" s="14"/>
      <c r="AN302" s="14"/>
      <c r="AO302" s="14"/>
      <c r="AP302" s="14"/>
    </row>
    <row r="303" spans="1:42" s="45" customFormat="1" ht="22" customHeight="1">
      <c r="A303" s="14" t="s">
        <v>17</v>
      </c>
      <c r="B303" s="15">
        <v>2024</v>
      </c>
      <c r="C303" s="15" t="s">
        <v>24</v>
      </c>
      <c r="D303" s="14" t="s">
        <v>185</v>
      </c>
      <c r="E303" s="14" t="s">
        <v>26</v>
      </c>
      <c r="F303" s="16" t="s">
        <v>265</v>
      </c>
      <c r="G303" s="14">
        <v>1</v>
      </c>
      <c r="H303" s="14"/>
      <c r="I303" s="14" t="s">
        <v>28</v>
      </c>
      <c r="J303" s="14" t="s">
        <v>11</v>
      </c>
      <c r="K303" s="16" t="s">
        <v>82</v>
      </c>
      <c r="L303" s="14" t="s">
        <v>166</v>
      </c>
      <c r="M303" s="14" t="s">
        <v>28</v>
      </c>
      <c r="N303" s="24"/>
      <c r="O303" s="25" t="s">
        <v>236</v>
      </c>
      <c r="P303" s="9"/>
      <c r="Q303" s="19"/>
      <c r="R303" s="19"/>
      <c r="S303" s="187">
        <v>288</v>
      </c>
      <c r="T303" s="19">
        <f t="shared" si="67"/>
        <v>288</v>
      </c>
      <c r="U303" s="14" t="s">
        <v>77</v>
      </c>
      <c r="V303" s="14"/>
      <c r="W303" s="21">
        <v>90</v>
      </c>
      <c r="X303" s="13"/>
      <c r="Y303" s="13">
        <v>0</v>
      </c>
      <c r="Z303" s="13">
        <v>0</v>
      </c>
      <c r="AA303" s="13">
        <v>0</v>
      </c>
      <c r="AB303" s="13">
        <v>0</v>
      </c>
      <c r="AC303" s="13">
        <f t="shared" si="68"/>
        <v>0.51839999999999997</v>
      </c>
      <c r="AD303" s="13"/>
      <c r="AE303" s="13">
        <v>0</v>
      </c>
      <c r="AF303" s="13">
        <f t="shared" si="69"/>
        <v>5.1840000000000002</v>
      </c>
      <c r="AG303" s="13">
        <v>0</v>
      </c>
      <c r="AH303" s="13"/>
      <c r="AI303" s="13">
        <v>0</v>
      </c>
      <c r="AJ303" s="34">
        <f t="shared" si="70"/>
        <v>5.7023999999999999</v>
      </c>
      <c r="AK303" s="22"/>
      <c r="AL303" s="13"/>
      <c r="AM303" s="14"/>
      <c r="AN303" s="14"/>
      <c r="AO303" s="14"/>
      <c r="AP303" s="14"/>
    </row>
    <row r="304" spans="1:42" s="45" customFormat="1" ht="22" customHeight="1">
      <c r="A304" s="14" t="s">
        <v>17</v>
      </c>
      <c r="B304" s="15">
        <v>2024</v>
      </c>
      <c r="C304" s="15" t="s">
        <v>24</v>
      </c>
      <c r="D304" s="14" t="s">
        <v>185</v>
      </c>
      <c r="E304" s="14" t="s">
        <v>26</v>
      </c>
      <c r="F304" s="16" t="s">
        <v>265</v>
      </c>
      <c r="G304" s="14">
        <v>1</v>
      </c>
      <c r="H304" s="14"/>
      <c r="I304" s="14" t="s">
        <v>28</v>
      </c>
      <c r="J304" s="14" t="s">
        <v>11</v>
      </c>
      <c r="K304" s="16" t="s">
        <v>82</v>
      </c>
      <c r="L304" s="14" t="s">
        <v>166</v>
      </c>
      <c r="M304" s="14" t="s">
        <v>28</v>
      </c>
      <c r="N304" s="24"/>
      <c r="O304" s="25" t="s">
        <v>237</v>
      </c>
      <c r="P304" s="9"/>
      <c r="Q304" s="19"/>
      <c r="R304" s="19"/>
      <c r="S304" s="187">
        <v>1037</v>
      </c>
      <c r="T304" s="19">
        <f t="shared" si="67"/>
        <v>1037</v>
      </c>
      <c r="U304" s="14" t="s">
        <v>77</v>
      </c>
      <c r="V304" s="14"/>
      <c r="W304" s="21">
        <v>90</v>
      </c>
      <c r="X304" s="13"/>
      <c r="Y304" s="13">
        <v>0</v>
      </c>
      <c r="Z304" s="13">
        <v>0</v>
      </c>
      <c r="AA304" s="13">
        <v>0</v>
      </c>
      <c r="AB304" s="13">
        <v>0</v>
      </c>
      <c r="AC304" s="13">
        <f t="shared" si="68"/>
        <v>1.8666</v>
      </c>
      <c r="AD304" s="13"/>
      <c r="AE304" s="13">
        <v>0</v>
      </c>
      <c r="AF304" s="13">
        <f t="shared" si="69"/>
        <v>18.666</v>
      </c>
      <c r="AG304" s="13">
        <v>0</v>
      </c>
      <c r="AH304" s="13"/>
      <c r="AI304" s="13">
        <v>0</v>
      </c>
      <c r="AJ304" s="34">
        <f t="shared" si="70"/>
        <v>20.532600000000002</v>
      </c>
      <c r="AK304" s="22"/>
      <c r="AL304" s="13"/>
      <c r="AM304" s="14"/>
      <c r="AN304" s="14"/>
      <c r="AO304" s="14"/>
      <c r="AP304" s="14"/>
    </row>
    <row r="305" spans="1:42" s="45" customFormat="1" ht="22" customHeight="1">
      <c r="A305" s="14" t="s">
        <v>17</v>
      </c>
      <c r="B305" s="15">
        <v>2024</v>
      </c>
      <c r="C305" s="15" t="s">
        <v>24</v>
      </c>
      <c r="D305" s="14" t="s">
        <v>185</v>
      </c>
      <c r="E305" s="14" t="s">
        <v>26</v>
      </c>
      <c r="F305" s="16" t="s">
        <v>265</v>
      </c>
      <c r="G305" s="14">
        <v>1</v>
      </c>
      <c r="H305" s="14"/>
      <c r="I305" s="14"/>
      <c r="J305" s="14" t="s">
        <v>11</v>
      </c>
      <c r="K305" s="16" t="s">
        <v>82</v>
      </c>
      <c r="L305" s="14" t="s">
        <v>171</v>
      </c>
      <c r="M305" s="14" t="s">
        <v>78</v>
      </c>
      <c r="N305" s="24"/>
      <c r="O305" s="25" t="s">
        <v>239</v>
      </c>
      <c r="P305" s="9"/>
      <c r="Q305" s="19"/>
      <c r="R305" s="19"/>
      <c r="S305" s="187">
        <v>338</v>
      </c>
      <c r="T305" s="19">
        <f t="shared" si="67"/>
        <v>338</v>
      </c>
      <c r="U305" s="14" t="s">
        <v>77</v>
      </c>
      <c r="V305" s="14"/>
      <c r="W305" s="21">
        <v>90</v>
      </c>
      <c r="X305" s="13"/>
      <c r="Y305" s="13">
        <v>0</v>
      </c>
      <c r="Z305" s="13">
        <v>0</v>
      </c>
      <c r="AA305" s="13">
        <v>0</v>
      </c>
      <c r="AB305" s="13">
        <v>0</v>
      </c>
      <c r="AC305" s="13">
        <f t="shared" si="68"/>
        <v>0.60840000000000005</v>
      </c>
      <c r="AD305" s="13"/>
      <c r="AE305" s="13">
        <v>0</v>
      </c>
      <c r="AF305" s="13">
        <f t="shared" si="69"/>
        <v>6.0839999999999996</v>
      </c>
      <c r="AG305" s="13">
        <v>0</v>
      </c>
      <c r="AH305" s="13"/>
      <c r="AI305" s="13">
        <v>0</v>
      </c>
      <c r="AJ305" s="34">
        <f t="shared" si="70"/>
        <v>6.6923999999999992</v>
      </c>
      <c r="AK305" s="22"/>
      <c r="AL305" s="13"/>
      <c r="AM305" s="14"/>
      <c r="AN305" s="14"/>
      <c r="AO305" s="14"/>
      <c r="AP305" s="14"/>
    </row>
    <row r="306" spans="1:42" s="45" customFormat="1" ht="22" customHeight="1">
      <c r="A306" s="14" t="s">
        <v>17</v>
      </c>
      <c r="B306" s="15">
        <v>2024</v>
      </c>
      <c r="C306" s="15" t="s">
        <v>24</v>
      </c>
      <c r="D306" s="14" t="s">
        <v>185</v>
      </c>
      <c r="E306" s="14" t="s">
        <v>26</v>
      </c>
      <c r="F306" s="16" t="s">
        <v>265</v>
      </c>
      <c r="G306" s="14">
        <v>2</v>
      </c>
      <c r="H306" s="14"/>
      <c r="I306" s="14" t="s">
        <v>28</v>
      </c>
      <c r="J306" s="14" t="s">
        <v>11</v>
      </c>
      <c r="K306" s="16" t="s">
        <v>82</v>
      </c>
      <c r="L306" s="14" t="s">
        <v>166</v>
      </c>
      <c r="M306" s="14" t="s">
        <v>28</v>
      </c>
      <c r="N306" s="24"/>
      <c r="O306" s="25" t="s">
        <v>240</v>
      </c>
      <c r="P306" s="9"/>
      <c r="Q306" s="19"/>
      <c r="R306" s="19"/>
      <c r="S306" s="187">
        <v>762</v>
      </c>
      <c r="T306" s="19">
        <f t="shared" si="67"/>
        <v>762</v>
      </c>
      <c r="U306" s="14" t="s">
        <v>77</v>
      </c>
      <c r="V306" s="14"/>
      <c r="W306" s="21">
        <v>90</v>
      </c>
      <c r="X306" s="13"/>
      <c r="Y306" s="13">
        <v>0</v>
      </c>
      <c r="Z306" s="13">
        <v>0</v>
      </c>
      <c r="AA306" s="13">
        <v>0</v>
      </c>
      <c r="AB306" s="13">
        <v>0</v>
      </c>
      <c r="AC306" s="13">
        <f t="shared" si="68"/>
        <v>1.3715999999999999</v>
      </c>
      <c r="AD306" s="13"/>
      <c r="AE306" s="13">
        <v>0</v>
      </c>
      <c r="AF306" s="13">
        <f t="shared" si="69"/>
        <v>13.715999999999999</v>
      </c>
      <c r="AG306" s="13">
        <v>0</v>
      </c>
      <c r="AH306" s="13"/>
      <c r="AI306" s="13">
        <v>0</v>
      </c>
      <c r="AJ306" s="34">
        <f t="shared" si="70"/>
        <v>15.087599999999998</v>
      </c>
      <c r="AK306" s="22"/>
      <c r="AL306" s="13"/>
      <c r="AM306" s="14"/>
      <c r="AN306" s="14"/>
      <c r="AO306" s="14"/>
      <c r="AP306" s="14"/>
    </row>
    <row r="307" spans="1:42" s="45" customFormat="1" ht="22" customHeight="1">
      <c r="A307" s="14" t="s">
        <v>17</v>
      </c>
      <c r="B307" s="15">
        <v>2024</v>
      </c>
      <c r="C307" s="15" t="s">
        <v>24</v>
      </c>
      <c r="D307" s="14" t="s">
        <v>185</v>
      </c>
      <c r="E307" s="14" t="s">
        <v>26</v>
      </c>
      <c r="F307" s="16" t="s">
        <v>265</v>
      </c>
      <c r="G307" s="14">
        <v>1</v>
      </c>
      <c r="H307" s="14"/>
      <c r="I307" s="14"/>
      <c r="J307" s="14" t="s">
        <v>14</v>
      </c>
      <c r="K307" s="16" t="s">
        <v>14</v>
      </c>
      <c r="L307" s="14" t="s">
        <v>209</v>
      </c>
      <c r="M307" s="14" t="s">
        <v>99</v>
      </c>
      <c r="N307" s="27"/>
      <c r="O307" s="28" t="s">
        <v>242</v>
      </c>
      <c r="P307" s="9"/>
      <c r="Q307" s="19"/>
      <c r="R307" s="19"/>
      <c r="S307" s="187">
        <v>188</v>
      </c>
      <c r="T307" s="19">
        <f t="shared" si="67"/>
        <v>188</v>
      </c>
      <c r="U307" s="14" t="s">
        <v>77</v>
      </c>
      <c r="V307" s="14"/>
      <c r="W307" s="21">
        <v>90</v>
      </c>
      <c r="X307" s="13"/>
      <c r="Y307" s="13">
        <v>0</v>
      </c>
      <c r="Z307" s="13">
        <v>0</v>
      </c>
      <c r="AA307" s="13">
        <v>0</v>
      </c>
      <c r="AB307" s="13">
        <v>0</v>
      </c>
      <c r="AC307" s="13">
        <f t="shared" si="68"/>
        <v>0.33839999999999998</v>
      </c>
      <c r="AD307" s="13"/>
      <c r="AE307" s="13">
        <v>0</v>
      </c>
      <c r="AF307" s="13">
        <f t="shared" si="69"/>
        <v>3.3839999999999999</v>
      </c>
      <c r="AG307" s="13">
        <v>0</v>
      </c>
      <c r="AH307" s="13"/>
      <c r="AI307" s="13">
        <v>0</v>
      </c>
      <c r="AJ307" s="34">
        <f t="shared" si="70"/>
        <v>3.7223999999999999</v>
      </c>
      <c r="AK307" s="22"/>
      <c r="AL307" s="13"/>
      <c r="AM307" s="14"/>
      <c r="AN307" s="14"/>
      <c r="AO307" s="14"/>
      <c r="AP307" s="14"/>
    </row>
    <row r="308" spans="1:42" s="45" customFormat="1" ht="22" customHeight="1">
      <c r="A308" s="14" t="s">
        <v>17</v>
      </c>
      <c r="B308" s="15">
        <v>2024</v>
      </c>
      <c r="C308" s="15" t="s">
        <v>24</v>
      </c>
      <c r="D308" s="14" t="s">
        <v>185</v>
      </c>
      <c r="E308" s="14" t="s">
        <v>26</v>
      </c>
      <c r="F308" s="16" t="s">
        <v>265</v>
      </c>
      <c r="G308" s="14">
        <v>1</v>
      </c>
      <c r="H308" s="14"/>
      <c r="I308" s="14"/>
      <c r="J308" s="14" t="s">
        <v>12</v>
      </c>
      <c r="K308" s="16" t="s">
        <v>14</v>
      </c>
      <c r="L308" s="14" t="s">
        <v>209</v>
      </c>
      <c r="M308" s="14" t="s">
        <v>84</v>
      </c>
      <c r="N308" s="24"/>
      <c r="O308" s="25" t="s">
        <v>241</v>
      </c>
      <c r="P308" s="9"/>
      <c r="Q308" s="19"/>
      <c r="R308" s="19"/>
      <c r="S308" s="187">
        <v>397</v>
      </c>
      <c r="T308" s="19">
        <f t="shared" si="67"/>
        <v>397</v>
      </c>
      <c r="U308" s="14" t="s">
        <v>77</v>
      </c>
      <c r="V308" s="14"/>
      <c r="W308" s="21">
        <v>90</v>
      </c>
      <c r="X308" s="13"/>
      <c r="Y308" s="13">
        <v>0</v>
      </c>
      <c r="Z308" s="13">
        <v>0</v>
      </c>
      <c r="AA308" s="13">
        <v>0</v>
      </c>
      <c r="AB308" s="13">
        <v>0</v>
      </c>
      <c r="AC308" s="13">
        <f t="shared" si="68"/>
        <v>0.71460000000000001</v>
      </c>
      <c r="AD308" s="13"/>
      <c r="AE308" s="13">
        <v>0</v>
      </c>
      <c r="AF308" s="13">
        <f t="shared" si="69"/>
        <v>7.1459999999999999</v>
      </c>
      <c r="AG308" s="13">
        <v>0</v>
      </c>
      <c r="AH308" s="13"/>
      <c r="AI308" s="13">
        <v>0</v>
      </c>
      <c r="AJ308" s="34">
        <f t="shared" si="70"/>
        <v>7.8605999999999998</v>
      </c>
      <c r="AK308" s="29"/>
      <c r="AL308" s="13"/>
      <c r="AM308" s="14"/>
      <c r="AN308" s="14"/>
      <c r="AO308" s="14"/>
      <c r="AP308" s="14"/>
    </row>
    <row r="309" spans="1:42" s="45" customFormat="1" ht="22" customHeight="1">
      <c r="A309" s="14" t="s">
        <v>17</v>
      </c>
      <c r="B309" s="15">
        <v>2024</v>
      </c>
      <c r="C309" s="15" t="s">
        <v>24</v>
      </c>
      <c r="D309" s="14" t="s">
        <v>185</v>
      </c>
      <c r="E309" s="14" t="s">
        <v>26</v>
      </c>
      <c r="F309" s="16" t="s">
        <v>265</v>
      </c>
      <c r="G309" s="14">
        <v>1</v>
      </c>
      <c r="H309" s="14"/>
      <c r="I309" s="14"/>
      <c r="J309" s="14" t="s">
        <v>11</v>
      </c>
      <c r="K309" s="16" t="s">
        <v>82</v>
      </c>
      <c r="L309" s="14" t="s">
        <v>171</v>
      </c>
      <c r="M309" s="14" t="s">
        <v>78</v>
      </c>
      <c r="N309" s="24"/>
      <c r="O309" s="25" t="s">
        <v>243</v>
      </c>
      <c r="P309" s="9"/>
      <c r="Q309" s="19"/>
      <c r="R309" s="19"/>
      <c r="S309" s="187">
        <v>621</v>
      </c>
      <c r="T309" s="19">
        <f t="shared" si="67"/>
        <v>621</v>
      </c>
      <c r="U309" s="14" t="s">
        <v>77</v>
      </c>
      <c r="V309" s="14"/>
      <c r="W309" s="21">
        <v>90</v>
      </c>
      <c r="X309" s="13"/>
      <c r="Y309" s="13">
        <v>0</v>
      </c>
      <c r="Z309" s="13">
        <v>0</v>
      </c>
      <c r="AA309" s="13">
        <v>0</v>
      </c>
      <c r="AB309" s="13">
        <v>0</v>
      </c>
      <c r="AC309" s="13">
        <f t="shared" si="68"/>
        <v>1.1177999999999999</v>
      </c>
      <c r="AD309" s="13"/>
      <c r="AE309" s="13">
        <v>0</v>
      </c>
      <c r="AF309" s="13">
        <f t="shared" si="69"/>
        <v>11.178000000000001</v>
      </c>
      <c r="AG309" s="13">
        <v>0</v>
      </c>
      <c r="AH309" s="13"/>
      <c r="AI309" s="13">
        <v>0</v>
      </c>
      <c r="AJ309" s="34">
        <f t="shared" si="70"/>
        <v>12.2958</v>
      </c>
      <c r="AK309" s="22"/>
      <c r="AL309" s="13"/>
      <c r="AM309" s="14"/>
      <c r="AN309" s="14"/>
      <c r="AO309" s="14"/>
      <c r="AP309" s="14"/>
    </row>
    <row r="310" spans="1:42" s="45" customFormat="1" ht="22" customHeight="1">
      <c r="A310" s="14" t="s">
        <v>17</v>
      </c>
      <c r="B310" s="15">
        <v>2024</v>
      </c>
      <c r="C310" s="15" t="s">
        <v>24</v>
      </c>
      <c r="D310" s="14" t="s">
        <v>185</v>
      </c>
      <c r="E310" s="14" t="s">
        <v>26</v>
      </c>
      <c r="F310" s="16" t="s">
        <v>265</v>
      </c>
      <c r="G310" s="14">
        <v>1</v>
      </c>
      <c r="H310" s="14"/>
      <c r="I310" s="14"/>
      <c r="J310" s="14" t="s">
        <v>11</v>
      </c>
      <c r="K310" s="16" t="s">
        <v>82</v>
      </c>
      <c r="L310" s="14" t="s">
        <v>171</v>
      </c>
      <c r="M310" s="14" t="s">
        <v>11</v>
      </c>
      <c r="N310" s="17"/>
      <c r="O310" s="18" t="s">
        <v>244</v>
      </c>
      <c r="P310" s="9"/>
      <c r="Q310" s="19"/>
      <c r="R310" s="19"/>
      <c r="S310" s="209">
        <v>1320</v>
      </c>
      <c r="T310" s="19">
        <f t="shared" si="67"/>
        <v>1320</v>
      </c>
      <c r="U310" s="14" t="s">
        <v>77</v>
      </c>
      <c r="V310" s="14"/>
      <c r="W310" s="33">
        <v>90</v>
      </c>
      <c r="X310" s="34">
        <v>0</v>
      </c>
      <c r="Y310" s="34">
        <v>0</v>
      </c>
      <c r="Z310" s="34">
        <v>0</v>
      </c>
      <c r="AA310" s="34">
        <v>0</v>
      </c>
      <c r="AB310" s="34">
        <v>0</v>
      </c>
      <c r="AC310" s="34">
        <f t="shared" si="68"/>
        <v>2.3759999999999999</v>
      </c>
      <c r="AD310" s="34"/>
      <c r="AE310" s="34">
        <v>0</v>
      </c>
      <c r="AF310" s="34">
        <f t="shared" si="69"/>
        <v>23.76</v>
      </c>
      <c r="AG310" s="34">
        <v>0</v>
      </c>
      <c r="AH310" s="34">
        <v>0</v>
      </c>
      <c r="AI310" s="34">
        <v>0</v>
      </c>
      <c r="AJ310" s="34">
        <f t="shared" si="70"/>
        <v>26.136000000000003</v>
      </c>
      <c r="AK310" s="22"/>
      <c r="AL310" s="34"/>
      <c r="AM310" s="14"/>
      <c r="AN310" s="14"/>
      <c r="AO310" s="14"/>
      <c r="AP310" s="14"/>
    </row>
    <row r="311" spans="1:42" s="45" customFormat="1" ht="22" customHeight="1">
      <c r="A311" s="14" t="s">
        <v>17</v>
      </c>
      <c r="B311" s="15">
        <v>2024</v>
      </c>
      <c r="C311" s="15" t="s">
        <v>24</v>
      </c>
      <c r="D311" s="14" t="s">
        <v>185</v>
      </c>
      <c r="E311" s="14" t="s">
        <v>26</v>
      </c>
      <c r="F311" s="16" t="s">
        <v>265</v>
      </c>
      <c r="G311" s="14">
        <v>1</v>
      </c>
      <c r="H311" s="14"/>
      <c r="I311" s="14" t="s">
        <v>28</v>
      </c>
      <c r="J311" s="14" t="s">
        <v>11</v>
      </c>
      <c r="K311" s="16" t="s">
        <v>82</v>
      </c>
      <c r="L311" s="14" t="s">
        <v>166</v>
      </c>
      <c r="M311" s="14" t="s">
        <v>28</v>
      </c>
      <c r="N311" s="24"/>
      <c r="O311" s="25" t="s">
        <v>247</v>
      </c>
      <c r="P311" s="9"/>
      <c r="Q311" s="19"/>
      <c r="R311" s="19"/>
      <c r="S311" s="187">
        <v>423</v>
      </c>
      <c r="T311" s="19">
        <f t="shared" si="67"/>
        <v>423</v>
      </c>
      <c r="U311" s="14" t="s">
        <v>77</v>
      </c>
      <c r="V311" s="14"/>
      <c r="W311" s="21">
        <v>90</v>
      </c>
      <c r="X311" s="13"/>
      <c r="Y311" s="13">
        <v>0</v>
      </c>
      <c r="Z311" s="13">
        <v>0</v>
      </c>
      <c r="AA311" s="13">
        <v>0</v>
      </c>
      <c r="AB311" s="13">
        <v>0</v>
      </c>
      <c r="AC311" s="13">
        <f t="shared" si="68"/>
        <v>0.76139999999999997</v>
      </c>
      <c r="AD311" s="13"/>
      <c r="AE311" s="13">
        <v>0</v>
      </c>
      <c r="AF311" s="13">
        <f t="shared" si="69"/>
        <v>7.6139999999999999</v>
      </c>
      <c r="AG311" s="13">
        <v>0</v>
      </c>
      <c r="AH311" s="13"/>
      <c r="AI311" s="13">
        <v>0</v>
      </c>
      <c r="AJ311" s="34">
        <f t="shared" si="70"/>
        <v>8.3753999999999991</v>
      </c>
      <c r="AK311" s="22"/>
      <c r="AL311" s="13"/>
      <c r="AM311" s="14"/>
      <c r="AN311" s="14"/>
      <c r="AO311" s="14"/>
      <c r="AP311" s="14"/>
    </row>
    <row r="312" spans="1:42" s="45" customFormat="1" ht="22" customHeight="1">
      <c r="A312" s="14" t="s">
        <v>17</v>
      </c>
      <c r="B312" s="15">
        <v>2024</v>
      </c>
      <c r="C312" s="15" t="s">
        <v>24</v>
      </c>
      <c r="D312" s="14" t="s">
        <v>185</v>
      </c>
      <c r="E312" s="14" t="s">
        <v>26</v>
      </c>
      <c r="F312" s="16" t="s">
        <v>265</v>
      </c>
      <c r="G312" s="14">
        <v>2</v>
      </c>
      <c r="H312" s="14"/>
      <c r="I312" s="14" t="s">
        <v>28</v>
      </c>
      <c r="J312" s="14" t="s">
        <v>11</v>
      </c>
      <c r="K312" s="16" t="s">
        <v>82</v>
      </c>
      <c r="L312" s="14" t="s">
        <v>166</v>
      </c>
      <c r="M312" s="14" t="s">
        <v>28</v>
      </c>
      <c r="N312" s="27"/>
      <c r="O312" s="28" t="s">
        <v>248</v>
      </c>
      <c r="P312" s="9"/>
      <c r="Q312" s="19"/>
      <c r="R312" s="19"/>
      <c r="S312" s="187">
        <v>552</v>
      </c>
      <c r="T312" s="19">
        <f t="shared" si="67"/>
        <v>552</v>
      </c>
      <c r="U312" s="14" t="s">
        <v>77</v>
      </c>
      <c r="V312" s="14"/>
      <c r="W312" s="21">
        <v>90</v>
      </c>
      <c r="X312" s="13"/>
      <c r="Y312" s="13">
        <v>0</v>
      </c>
      <c r="Z312" s="13">
        <v>0</v>
      </c>
      <c r="AA312" s="13">
        <v>0</v>
      </c>
      <c r="AB312" s="13">
        <v>0</v>
      </c>
      <c r="AC312" s="13">
        <f t="shared" si="68"/>
        <v>0.99360000000000004</v>
      </c>
      <c r="AD312" s="13"/>
      <c r="AE312" s="13">
        <v>0</v>
      </c>
      <c r="AF312" s="13">
        <f t="shared" si="69"/>
        <v>9.9359999999999999</v>
      </c>
      <c r="AG312" s="13">
        <v>0</v>
      </c>
      <c r="AH312" s="13"/>
      <c r="AI312" s="13">
        <v>0</v>
      </c>
      <c r="AJ312" s="34">
        <f t="shared" si="70"/>
        <v>10.929600000000001</v>
      </c>
      <c r="AK312" s="22"/>
      <c r="AL312" s="13"/>
      <c r="AM312" s="14"/>
      <c r="AN312" s="14"/>
      <c r="AO312" s="14"/>
      <c r="AP312" s="14"/>
    </row>
    <row r="313" spans="1:42" s="45" customFormat="1" ht="22" customHeight="1">
      <c r="A313" s="14" t="s">
        <v>17</v>
      </c>
      <c r="B313" s="15">
        <v>2024</v>
      </c>
      <c r="C313" s="15" t="s">
        <v>24</v>
      </c>
      <c r="D313" s="14" t="s">
        <v>185</v>
      </c>
      <c r="E313" s="14" t="s">
        <v>26</v>
      </c>
      <c r="F313" s="16" t="s">
        <v>265</v>
      </c>
      <c r="G313" s="14">
        <v>1</v>
      </c>
      <c r="H313" s="14"/>
      <c r="I313" s="14"/>
      <c r="J313" s="14" t="s">
        <v>11</v>
      </c>
      <c r="K313" s="16" t="s">
        <v>82</v>
      </c>
      <c r="L313" s="14" t="s">
        <v>171</v>
      </c>
      <c r="M313" s="14" t="s">
        <v>11</v>
      </c>
      <c r="N313" s="24"/>
      <c r="O313" s="25" t="s">
        <v>253</v>
      </c>
      <c r="P313" s="9"/>
      <c r="Q313" s="19"/>
      <c r="R313" s="19"/>
      <c r="S313" s="187">
        <v>1334</v>
      </c>
      <c r="T313" s="19">
        <f t="shared" si="67"/>
        <v>1334</v>
      </c>
      <c r="U313" s="14" t="s">
        <v>77</v>
      </c>
      <c r="V313" s="14"/>
      <c r="W313" s="21">
        <v>90</v>
      </c>
      <c r="X313" s="13"/>
      <c r="Y313" s="13">
        <v>0</v>
      </c>
      <c r="Z313" s="13">
        <v>0</v>
      </c>
      <c r="AA313" s="13">
        <v>0</v>
      </c>
      <c r="AB313" s="13">
        <v>0</v>
      </c>
      <c r="AC313" s="13">
        <f t="shared" si="68"/>
        <v>2.4011999999999998</v>
      </c>
      <c r="AD313" s="13"/>
      <c r="AE313" s="13">
        <v>0</v>
      </c>
      <c r="AF313" s="13">
        <f t="shared" si="69"/>
        <v>24.012</v>
      </c>
      <c r="AG313" s="13">
        <v>0</v>
      </c>
      <c r="AH313" s="13"/>
      <c r="AI313" s="13">
        <v>0</v>
      </c>
      <c r="AJ313" s="34">
        <f t="shared" si="70"/>
        <v>26.4132</v>
      </c>
      <c r="AK313" s="29"/>
      <c r="AL313" s="13"/>
      <c r="AM313" s="14"/>
      <c r="AN313" s="14"/>
      <c r="AO313" s="14"/>
      <c r="AP313" s="14"/>
    </row>
    <row r="314" spans="1:42" s="45" customFormat="1" ht="22" customHeight="1">
      <c r="A314" s="14" t="s">
        <v>17</v>
      </c>
      <c r="B314" s="15">
        <v>2024</v>
      </c>
      <c r="C314" s="15" t="s">
        <v>24</v>
      </c>
      <c r="D314" s="14" t="s">
        <v>185</v>
      </c>
      <c r="E314" s="14" t="s">
        <v>26</v>
      </c>
      <c r="F314" s="16" t="s">
        <v>265</v>
      </c>
      <c r="G314" s="14">
        <v>2</v>
      </c>
      <c r="H314" s="14"/>
      <c r="I314" s="14"/>
      <c r="J314" s="14" t="s">
        <v>14</v>
      </c>
      <c r="K314" s="16" t="s">
        <v>14</v>
      </c>
      <c r="L314" s="14" t="s">
        <v>209</v>
      </c>
      <c r="M314" s="14" t="s">
        <v>99</v>
      </c>
      <c r="N314" s="27"/>
      <c r="O314" s="28" t="s">
        <v>254</v>
      </c>
      <c r="P314" s="9"/>
      <c r="Q314" s="19"/>
      <c r="R314" s="19"/>
      <c r="S314" s="187">
        <v>436</v>
      </c>
      <c r="T314" s="19">
        <f t="shared" si="67"/>
        <v>436</v>
      </c>
      <c r="U314" s="14" t="s">
        <v>77</v>
      </c>
      <c r="V314" s="14"/>
      <c r="W314" s="21">
        <v>90</v>
      </c>
      <c r="X314" s="13"/>
      <c r="Y314" s="13">
        <v>0</v>
      </c>
      <c r="Z314" s="13">
        <v>0</v>
      </c>
      <c r="AA314" s="13">
        <v>0</v>
      </c>
      <c r="AB314" s="13">
        <v>0</v>
      </c>
      <c r="AC314" s="13">
        <f t="shared" si="68"/>
        <v>0.78480000000000005</v>
      </c>
      <c r="AD314" s="13"/>
      <c r="AE314" s="13">
        <v>0</v>
      </c>
      <c r="AF314" s="13">
        <f t="shared" si="69"/>
        <v>7.8479999999999999</v>
      </c>
      <c r="AG314" s="13">
        <v>0</v>
      </c>
      <c r="AH314" s="13"/>
      <c r="AI314" s="13">
        <v>0</v>
      </c>
      <c r="AJ314" s="34">
        <f t="shared" si="70"/>
        <v>8.6327999999999996</v>
      </c>
      <c r="AK314" s="22"/>
      <c r="AL314" s="13"/>
      <c r="AM314" s="14"/>
      <c r="AN314" s="14"/>
      <c r="AO314" s="14"/>
      <c r="AP314" s="14"/>
    </row>
    <row r="315" spans="1:42" s="45" customFormat="1" ht="22" customHeight="1">
      <c r="A315" s="14" t="s">
        <v>17</v>
      </c>
      <c r="B315" s="15">
        <v>2024</v>
      </c>
      <c r="C315" s="15" t="s">
        <v>24</v>
      </c>
      <c r="D315" s="14" t="s">
        <v>185</v>
      </c>
      <c r="E315" s="14" t="s">
        <v>26</v>
      </c>
      <c r="F315" s="16" t="s">
        <v>265</v>
      </c>
      <c r="G315" s="14">
        <v>1</v>
      </c>
      <c r="H315" s="14"/>
      <c r="I315" s="14"/>
      <c r="J315" s="14" t="s">
        <v>14</v>
      </c>
      <c r="K315" s="16" t="s">
        <v>14</v>
      </c>
      <c r="L315" s="14" t="s">
        <v>209</v>
      </c>
      <c r="M315" s="14" t="s">
        <v>99</v>
      </c>
      <c r="N315" s="30"/>
      <c r="O315" s="31" t="s">
        <v>257</v>
      </c>
      <c r="P315" s="9"/>
      <c r="Q315" s="19"/>
      <c r="R315" s="19"/>
      <c r="S315" s="209">
        <v>323</v>
      </c>
      <c r="T315" s="19">
        <f t="shared" si="67"/>
        <v>323</v>
      </c>
      <c r="U315" s="14" t="s">
        <v>77</v>
      </c>
      <c r="V315" s="14"/>
      <c r="W315" s="33">
        <v>90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  <c r="AC315" s="34">
        <f t="shared" si="68"/>
        <v>0.58140000000000003</v>
      </c>
      <c r="AD315" s="34"/>
      <c r="AE315" s="34">
        <v>0</v>
      </c>
      <c r="AF315" s="34">
        <f t="shared" si="69"/>
        <v>5.8140000000000001</v>
      </c>
      <c r="AG315" s="34">
        <v>0</v>
      </c>
      <c r="AH315" s="34">
        <v>0</v>
      </c>
      <c r="AI315" s="34">
        <v>0</v>
      </c>
      <c r="AJ315" s="34">
        <f t="shared" si="70"/>
        <v>6.3954000000000004</v>
      </c>
      <c r="AK315" s="22"/>
      <c r="AL315" s="34"/>
      <c r="AM315" s="14"/>
      <c r="AN315" s="14"/>
      <c r="AO315" s="14"/>
      <c r="AP315" s="14"/>
    </row>
    <row r="316" spans="1:42" s="45" customFormat="1" ht="22" customHeight="1">
      <c r="A316" s="14" t="s">
        <v>17</v>
      </c>
      <c r="B316" s="15">
        <v>2024</v>
      </c>
      <c r="C316" s="15" t="s">
        <v>24</v>
      </c>
      <c r="D316" s="14" t="s">
        <v>185</v>
      </c>
      <c r="E316" s="14" t="s">
        <v>26</v>
      </c>
      <c r="F316" s="16" t="s">
        <v>265</v>
      </c>
      <c r="G316" s="14">
        <v>1</v>
      </c>
      <c r="H316" s="14"/>
      <c r="I316" s="14"/>
      <c r="J316" s="14" t="s">
        <v>11</v>
      </c>
      <c r="K316" s="16" t="s">
        <v>82</v>
      </c>
      <c r="L316" s="14" t="s">
        <v>171</v>
      </c>
      <c r="M316" s="14" t="s">
        <v>80</v>
      </c>
      <c r="N316" s="24"/>
      <c r="O316" s="25" t="s">
        <v>259</v>
      </c>
      <c r="P316" s="9"/>
      <c r="Q316" s="19"/>
      <c r="R316" s="19"/>
      <c r="S316" s="187">
        <v>631</v>
      </c>
      <c r="T316" s="19">
        <f t="shared" si="67"/>
        <v>631</v>
      </c>
      <c r="U316" s="14" t="s">
        <v>77</v>
      </c>
      <c r="V316" s="14"/>
      <c r="W316" s="21">
        <v>90</v>
      </c>
      <c r="X316" s="13"/>
      <c r="Y316" s="13">
        <v>0</v>
      </c>
      <c r="Z316" s="13">
        <v>0</v>
      </c>
      <c r="AA316" s="13">
        <v>0</v>
      </c>
      <c r="AB316" s="13">
        <v>0</v>
      </c>
      <c r="AC316" s="13">
        <f t="shared" si="68"/>
        <v>1.1357999999999999</v>
      </c>
      <c r="AD316" s="13"/>
      <c r="AE316" s="13">
        <v>0</v>
      </c>
      <c r="AF316" s="13">
        <f t="shared" si="69"/>
        <v>11.358000000000001</v>
      </c>
      <c r="AG316" s="13">
        <v>0</v>
      </c>
      <c r="AH316" s="13"/>
      <c r="AI316" s="13">
        <v>0</v>
      </c>
      <c r="AJ316" s="34">
        <f t="shared" si="70"/>
        <v>12.4938</v>
      </c>
      <c r="AK316" s="22"/>
      <c r="AL316" s="13"/>
      <c r="AM316" s="14"/>
      <c r="AN316" s="14"/>
      <c r="AO316" s="14"/>
      <c r="AP316" s="14"/>
    </row>
    <row r="317" spans="1:42" s="45" customFormat="1" ht="22" customHeight="1">
      <c r="A317" s="14" t="s">
        <v>17</v>
      </c>
      <c r="B317" s="15">
        <v>2024</v>
      </c>
      <c r="C317" s="15" t="s">
        <v>24</v>
      </c>
      <c r="D317" s="14" t="s">
        <v>185</v>
      </c>
      <c r="E317" s="14" t="s">
        <v>26</v>
      </c>
      <c r="F317" s="16" t="s">
        <v>265</v>
      </c>
      <c r="G317" s="14">
        <v>1</v>
      </c>
      <c r="H317" s="14"/>
      <c r="I317" s="14"/>
      <c r="J317" s="14" t="s">
        <v>11</v>
      </c>
      <c r="K317" s="16" t="s">
        <v>82</v>
      </c>
      <c r="L317" s="14" t="s">
        <v>171</v>
      </c>
      <c r="M317" s="14" t="s">
        <v>78</v>
      </c>
      <c r="N317" s="24"/>
      <c r="O317" s="25" t="s">
        <v>262</v>
      </c>
      <c r="P317" s="9"/>
      <c r="Q317" s="19"/>
      <c r="R317" s="19"/>
      <c r="S317" s="187">
        <v>287</v>
      </c>
      <c r="T317" s="19">
        <f t="shared" si="67"/>
        <v>287</v>
      </c>
      <c r="U317" s="14" t="s">
        <v>77</v>
      </c>
      <c r="V317" s="14"/>
      <c r="W317" s="21">
        <v>90</v>
      </c>
      <c r="X317" s="13"/>
      <c r="Y317" s="13">
        <v>0</v>
      </c>
      <c r="Z317" s="13">
        <v>0</v>
      </c>
      <c r="AA317" s="13">
        <v>0</v>
      </c>
      <c r="AB317" s="13">
        <v>0</v>
      </c>
      <c r="AC317" s="13">
        <f t="shared" si="68"/>
        <v>0.51659999999999995</v>
      </c>
      <c r="AD317" s="13"/>
      <c r="AE317" s="13">
        <v>0</v>
      </c>
      <c r="AF317" s="13">
        <f t="shared" si="69"/>
        <v>5.1660000000000004</v>
      </c>
      <c r="AG317" s="13">
        <v>0</v>
      </c>
      <c r="AH317" s="13"/>
      <c r="AI317" s="13">
        <v>0</v>
      </c>
      <c r="AJ317" s="34">
        <f t="shared" si="70"/>
        <v>5.6826000000000008</v>
      </c>
      <c r="AK317" s="22"/>
      <c r="AL317" s="13"/>
      <c r="AM317" s="14"/>
      <c r="AN317" s="14"/>
      <c r="AO317" s="14"/>
      <c r="AP317" s="14"/>
    </row>
    <row r="318" spans="1:42" s="45" customFormat="1" ht="22" customHeight="1">
      <c r="A318" s="14" t="s">
        <v>17</v>
      </c>
      <c r="B318" s="15">
        <v>2024</v>
      </c>
      <c r="C318" s="15" t="s">
        <v>24</v>
      </c>
      <c r="D318" s="14" t="s">
        <v>185</v>
      </c>
      <c r="E318" s="14" t="s">
        <v>26</v>
      </c>
      <c r="F318" s="16" t="s">
        <v>265</v>
      </c>
      <c r="G318" s="14">
        <v>2</v>
      </c>
      <c r="H318" s="14"/>
      <c r="I318" s="14"/>
      <c r="J318" s="14" t="s">
        <v>14</v>
      </c>
      <c r="K318" s="16" t="s">
        <v>14</v>
      </c>
      <c r="L318" s="14" t="s">
        <v>209</v>
      </c>
      <c r="M318" s="14" t="s">
        <v>99</v>
      </c>
      <c r="N318" s="30"/>
      <c r="O318" s="31" t="s">
        <v>263</v>
      </c>
      <c r="P318" s="9"/>
      <c r="Q318" s="19"/>
      <c r="R318" s="19"/>
      <c r="S318" s="209">
        <v>222</v>
      </c>
      <c r="T318" s="19">
        <f t="shared" si="67"/>
        <v>222</v>
      </c>
      <c r="U318" s="14" t="s">
        <v>77</v>
      </c>
      <c r="V318" s="14"/>
      <c r="W318" s="33">
        <v>90</v>
      </c>
      <c r="X318" s="34">
        <v>0</v>
      </c>
      <c r="Y318" s="34">
        <v>0</v>
      </c>
      <c r="Z318" s="34">
        <v>0</v>
      </c>
      <c r="AA318" s="34">
        <v>0</v>
      </c>
      <c r="AB318" s="34">
        <v>0</v>
      </c>
      <c r="AC318" s="34">
        <f t="shared" si="68"/>
        <v>0.39960000000000001</v>
      </c>
      <c r="AD318" s="34"/>
      <c r="AE318" s="34">
        <v>0</v>
      </c>
      <c r="AF318" s="34">
        <f t="shared" si="69"/>
        <v>3.996</v>
      </c>
      <c r="AG318" s="34">
        <v>0</v>
      </c>
      <c r="AH318" s="34">
        <v>0</v>
      </c>
      <c r="AI318" s="34">
        <v>0</v>
      </c>
      <c r="AJ318" s="34">
        <f t="shared" si="70"/>
        <v>4.3956</v>
      </c>
      <c r="AK318" s="22"/>
      <c r="AL318" s="34"/>
      <c r="AM318" s="14"/>
      <c r="AN318" s="14"/>
      <c r="AO318" s="14"/>
      <c r="AP318" s="14"/>
    </row>
    <row r="319" spans="1:42" s="45" customFormat="1" ht="22" customHeight="1">
      <c r="A319" s="14" t="s">
        <v>17</v>
      </c>
      <c r="B319" s="15">
        <v>2024</v>
      </c>
      <c r="C319" s="15" t="s">
        <v>24</v>
      </c>
      <c r="D319" s="14" t="s">
        <v>185</v>
      </c>
      <c r="E319" s="14" t="s">
        <v>26</v>
      </c>
      <c r="F319" s="16" t="s">
        <v>265</v>
      </c>
      <c r="G319" s="14">
        <v>2</v>
      </c>
      <c r="H319" s="14"/>
      <c r="I319" s="14"/>
      <c r="J319" s="14" t="s">
        <v>14</v>
      </c>
      <c r="K319" s="16" t="s">
        <v>14</v>
      </c>
      <c r="L319" s="14" t="s">
        <v>209</v>
      </c>
      <c r="M319" s="14" t="s">
        <v>99</v>
      </c>
      <c r="N319" s="30"/>
      <c r="O319" s="31" t="s">
        <v>264</v>
      </c>
      <c r="P319" s="9"/>
      <c r="Q319" s="19"/>
      <c r="R319" s="19"/>
      <c r="S319" s="209">
        <v>288</v>
      </c>
      <c r="T319" s="19">
        <f t="shared" si="67"/>
        <v>288</v>
      </c>
      <c r="U319" s="14" t="s">
        <v>77</v>
      </c>
      <c r="V319" s="14"/>
      <c r="W319" s="33">
        <v>90</v>
      </c>
      <c r="X319" s="34">
        <v>0</v>
      </c>
      <c r="Y319" s="34">
        <v>0</v>
      </c>
      <c r="Z319" s="34">
        <v>0</v>
      </c>
      <c r="AA319" s="34">
        <v>0</v>
      </c>
      <c r="AB319" s="34">
        <v>0</v>
      </c>
      <c r="AC319" s="34">
        <f t="shared" si="68"/>
        <v>0.51839999999999997</v>
      </c>
      <c r="AD319" s="34"/>
      <c r="AE319" s="34">
        <v>0</v>
      </c>
      <c r="AF319" s="34">
        <f t="shared" si="69"/>
        <v>5.1840000000000002</v>
      </c>
      <c r="AG319" s="34">
        <v>0</v>
      </c>
      <c r="AH319" s="34">
        <v>0</v>
      </c>
      <c r="AI319" s="34">
        <v>0</v>
      </c>
      <c r="AJ319" s="34">
        <f t="shared" si="70"/>
        <v>5.7023999999999999</v>
      </c>
      <c r="AK319" s="22"/>
      <c r="AL319" s="34"/>
      <c r="AM319" s="14"/>
      <c r="AN319" s="14"/>
      <c r="AO319" s="14"/>
      <c r="AP319" s="14"/>
    </row>
    <row r="320" spans="1:42" s="45" customFormat="1" ht="22" customHeight="1">
      <c r="A320" s="14" t="s">
        <v>21</v>
      </c>
      <c r="B320" s="15">
        <v>2024</v>
      </c>
      <c r="C320" s="15" t="s">
        <v>24</v>
      </c>
      <c r="D320" s="14" t="s">
        <v>185</v>
      </c>
      <c r="E320" s="14" t="s">
        <v>79</v>
      </c>
      <c r="F320" s="16" t="s">
        <v>265</v>
      </c>
      <c r="G320" s="14">
        <v>1</v>
      </c>
      <c r="H320" s="14"/>
      <c r="I320" s="14"/>
      <c r="J320" s="14" t="s">
        <v>11</v>
      </c>
      <c r="K320" s="16" t="s">
        <v>82</v>
      </c>
      <c r="L320" s="14" t="s">
        <v>171</v>
      </c>
      <c r="M320" s="14" t="s">
        <v>78</v>
      </c>
      <c r="N320" s="17"/>
      <c r="O320" s="18" t="s">
        <v>208</v>
      </c>
      <c r="P320" s="18"/>
      <c r="Q320" s="19"/>
      <c r="R320" s="19"/>
      <c r="S320" s="209">
        <v>1002</v>
      </c>
      <c r="T320" s="19">
        <f>S320</f>
        <v>1002</v>
      </c>
      <c r="U320" s="14" t="s">
        <v>77</v>
      </c>
      <c r="V320" s="14"/>
      <c r="W320" s="33">
        <v>30</v>
      </c>
      <c r="X320" s="34">
        <v>0</v>
      </c>
      <c r="Y320" s="34">
        <v>0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v>0</v>
      </c>
      <c r="AH320" s="34">
        <f>+T320*W320*50/1000000</f>
        <v>1.5029999999999999</v>
      </c>
      <c r="AI320" s="34">
        <v>0</v>
      </c>
      <c r="AJ320" s="34">
        <f t="shared" si="70"/>
        <v>1.5029999999999999</v>
      </c>
      <c r="AK320" s="22"/>
      <c r="AL320" s="34">
        <v>0</v>
      </c>
      <c r="AM320" s="14"/>
      <c r="AN320" s="14"/>
      <c r="AO320" s="14"/>
      <c r="AP320" s="14"/>
    </row>
    <row r="321" spans="1:42" s="45" customFormat="1" ht="22" customHeight="1">
      <c r="A321" s="14" t="s">
        <v>21</v>
      </c>
      <c r="B321" s="15">
        <v>2024</v>
      </c>
      <c r="C321" s="15" t="s">
        <v>24</v>
      </c>
      <c r="D321" s="14" t="s">
        <v>185</v>
      </c>
      <c r="E321" s="14" t="s">
        <v>79</v>
      </c>
      <c r="F321" s="16" t="s">
        <v>265</v>
      </c>
      <c r="G321" s="14">
        <v>1</v>
      </c>
      <c r="H321" s="14"/>
      <c r="I321" s="14"/>
      <c r="J321" s="14" t="s">
        <v>12</v>
      </c>
      <c r="K321" s="16" t="s">
        <v>14</v>
      </c>
      <c r="L321" s="14" t="s">
        <v>209</v>
      </c>
      <c r="M321" s="14" t="s">
        <v>84</v>
      </c>
      <c r="N321" s="17"/>
      <c r="O321" s="18" t="s">
        <v>210</v>
      </c>
      <c r="P321" s="18"/>
      <c r="Q321" s="19"/>
      <c r="R321" s="19"/>
      <c r="S321" s="209">
        <v>1058</v>
      </c>
      <c r="T321" s="19">
        <f t="shared" ref="T321:T372" si="71">S321</f>
        <v>1058</v>
      </c>
      <c r="U321" s="14" t="s">
        <v>77</v>
      </c>
      <c r="V321" s="14"/>
      <c r="W321" s="33">
        <v>30</v>
      </c>
      <c r="X321" s="34">
        <v>0</v>
      </c>
      <c r="Y321" s="34">
        <v>0</v>
      </c>
      <c r="Z321" s="34">
        <v>0</v>
      </c>
      <c r="AA321" s="34">
        <v>0</v>
      </c>
      <c r="AB321" s="34">
        <v>0</v>
      </c>
      <c r="AC321" s="34">
        <v>0</v>
      </c>
      <c r="AD321" s="34">
        <v>0</v>
      </c>
      <c r="AE321" s="34">
        <v>0</v>
      </c>
      <c r="AF321" s="34">
        <v>0</v>
      </c>
      <c r="AG321" s="34">
        <v>0</v>
      </c>
      <c r="AH321" s="34">
        <f t="shared" ref="AH321:AH372" si="72">+T321*W321*50/1000000</f>
        <v>1.587</v>
      </c>
      <c r="AI321" s="34">
        <v>0</v>
      </c>
      <c r="AJ321" s="34">
        <f t="shared" si="70"/>
        <v>1.587</v>
      </c>
      <c r="AK321" s="22"/>
      <c r="AL321" s="34">
        <v>0</v>
      </c>
      <c r="AM321" s="14"/>
      <c r="AN321" s="14"/>
      <c r="AO321" s="14"/>
      <c r="AP321" s="14"/>
    </row>
    <row r="322" spans="1:42" s="45" customFormat="1" ht="22" customHeight="1">
      <c r="A322" s="14" t="s">
        <v>21</v>
      </c>
      <c r="B322" s="15">
        <v>2024</v>
      </c>
      <c r="C322" s="15" t="s">
        <v>24</v>
      </c>
      <c r="D322" s="14" t="s">
        <v>185</v>
      </c>
      <c r="E322" s="14" t="s">
        <v>79</v>
      </c>
      <c r="F322" s="16" t="s">
        <v>265</v>
      </c>
      <c r="G322" s="14">
        <v>1</v>
      </c>
      <c r="H322" s="14"/>
      <c r="I322" s="14"/>
      <c r="J322" s="14" t="s">
        <v>11</v>
      </c>
      <c r="K322" s="16" t="s">
        <v>82</v>
      </c>
      <c r="L322" s="14" t="s">
        <v>171</v>
      </c>
      <c r="M322" s="14" t="s">
        <v>11</v>
      </c>
      <c r="N322" s="17"/>
      <c r="O322" s="18" t="s">
        <v>211</v>
      </c>
      <c r="P322" s="18"/>
      <c r="Q322" s="19"/>
      <c r="R322" s="19"/>
      <c r="S322" s="209">
        <v>2030</v>
      </c>
      <c r="T322" s="19">
        <f t="shared" si="71"/>
        <v>2030</v>
      </c>
      <c r="U322" s="14" t="s">
        <v>77</v>
      </c>
      <c r="V322" s="14"/>
      <c r="W322" s="33">
        <v>30</v>
      </c>
      <c r="X322" s="34">
        <v>0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v>0</v>
      </c>
      <c r="AH322" s="34">
        <f t="shared" si="72"/>
        <v>3.0449999999999999</v>
      </c>
      <c r="AI322" s="34">
        <v>0</v>
      </c>
      <c r="AJ322" s="34">
        <f t="shared" si="70"/>
        <v>3.0449999999999999</v>
      </c>
      <c r="AK322" s="22"/>
      <c r="AL322" s="34">
        <v>0</v>
      </c>
      <c r="AM322" s="14"/>
      <c r="AN322" s="14"/>
      <c r="AO322" s="14"/>
      <c r="AP322" s="14"/>
    </row>
    <row r="323" spans="1:42" s="45" customFormat="1" ht="22" customHeight="1">
      <c r="A323" s="14" t="s">
        <v>21</v>
      </c>
      <c r="B323" s="15">
        <v>2024</v>
      </c>
      <c r="C323" s="15" t="s">
        <v>24</v>
      </c>
      <c r="D323" s="14" t="s">
        <v>185</v>
      </c>
      <c r="E323" s="14" t="s">
        <v>79</v>
      </c>
      <c r="F323" s="16" t="s">
        <v>265</v>
      </c>
      <c r="G323" s="14">
        <v>2</v>
      </c>
      <c r="H323" s="14"/>
      <c r="I323" s="14"/>
      <c r="J323" s="14" t="s">
        <v>11</v>
      </c>
      <c r="K323" s="16" t="s">
        <v>82</v>
      </c>
      <c r="L323" s="14" t="s">
        <v>166</v>
      </c>
      <c r="M323" s="14" t="s">
        <v>82</v>
      </c>
      <c r="N323" s="30"/>
      <c r="O323" s="31" t="s">
        <v>212</v>
      </c>
      <c r="P323" s="31"/>
      <c r="Q323" s="19"/>
      <c r="R323" s="19"/>
      <c r="S323" s="209">
        <v>437</v>
      </c>
      <c r="T323" s="19">
        <f t="shared" si="71"/>
        <v>437</v>
      </c>
      <c r="U323" s="14" t="s">
        <v>77</v>
      </c>
      <c r="V323" s="14"/>
      <c r="W323" s="33">
        <v>30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v>0</v>
      </c>
      <c r="AH323" s="34">
        <f t="shared" si="72"/>
        <v>0.65549999999999997</v>
      </c>
      <c r="AI323" s="34">
        <v>0</v>
      </c>
      <c r="AJ323" s="34">
        <f t="shared" si="70"/>
        <v>0.65549999999999997</v>
      </c>
      <c r="AK323" s="22"/>
      <c r="AL323" s="34">
        <v>0</v>
      </c>
      <c r="AM323" s="14"/>
      <c r="AN323" s="14"/>
      <c r="AO323" s="14"/>
      <c r="AP323" s="14"/>
    </row>
    <row r="324" spans="1:42" s="45" customFormat="1" ht="22" customHeight="1">
      <c r="A324" s="14" t="s">
        <v>21</v>
      </c>
      <c r="B324" s="15">
        <v>2024</v>
      </c>
      <c r="C324" s="15" t="s">
        <v>24</v>
      </c>
      <c r="D324" s="14" t="s">
        <v>185</v>
      </c>
      <c r="E324" s="14" t="s">
        <v>79</v>
      </c>
      <c r="F324" s="16" t="s">
        <v>265</v>
      </c>
      <c r="G324" s="14">
        <v>1</v>
      </c>
      <c r="H324" s="14"/>
      <c r="I324" s="14"/>
      <c r="J324" s="14" t="s">
        <v>12</v>
      </c>
      <c r="K324" s="16" t="s">
        <v>14</v>
      </c>
      <c r="L324" s="14" t="s">
        <v>209</v>
      </c>
      <c r="M324" s="14" t="s">
        <v>84</v>
      </c>
      <c r="N324" s="17"/>
      <c r="O324" s="18" t="s">
        <v>213</v>
      </c>
      <c r="P324" s="18"/>
      <c r="Q324" s="19"/>
      <c r="R324" s="19"/>
      <c r="S324" s="32"/>
      <c r="T324" s="19">
        <f t="shared" si="71"/>
        <v>0</v>
      </c>
      <c r="U324" s="14" t="s">
        <v>77</v>
      </c>
      <c r="V324" s="14"/>
      <c r="W324" s="33">
        <v>30</v>
      </c>
      <c r="X324" s="34">
        <v>0</v>
      </c>
      <c r="Y324" s="34">
        <v>0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34">
        <f t="shared" si="72"/>
        <v>0</v>
      </c>
      <c r="AI324" s="34">
        <v>0</v>
      </c>
      <c r="AJ324" s="34">
        <f t="shared" si="70"/>
        <v>0</v>
      </c>
      <c r="AK324" s="22"/>
      <c r="AL324" s="34">
        <v>0</v>
      </c>
      <c r="AM324" s="14"/>
      <c r="AN324" s="14"/>
      <c r="AO324" s="14"/>
      <c r="AP324" s="14"/>
    </row>
    <row r="325" spans="1:42" s="45" customFormat="1" ht="22" customHeight="1">
      <c r="A325" s="14" t="s">
        <v>21</v>
      </c>
      <c r="B325" s="15">
        <v>2024</v>
      </c>
      <c r="C325" s="15" t="s">
        <v>24</v>
      </c>
      <c r="D325" s="14" t="s">
        <v>185</v>
      </c>
      <c r="E325" s="14" t="s">
        <v>79</v>
      </c>
      <c r="F325" s="16" t="s">
        <v>265</v>
      </c>
      <c r="G325" s="14">
        <v>1</v>
      </c>
      <c r="H325" s="14"/>
      <c r="I325" s="14"/>
      <c r="J325" s="14" t="s">
        <v>12</v>
      </c>
      <c r="K325" s="16" t="s">
        <v>14</v>
      </c>
      <c r="L325" s="14" t="s">
        <v>209</v>
      </c>
      <c r="M325" s="14" t="s">
        <v>84</v>
      </c>
      <c r="N325" s="17"/>
      <c r="O325" s="18" t="s">
        <v>214</v>
      </c>
      <c r="P325" s="18"/>
      <c r="Q325" s="19"/>
      <c r="R325" s="19"/>
      <c r="S325" s="209">
        <v>2100</v>
      </c>
      <c r="T325" s="19">
        <f t="shared" si="71"/>
        <v>2100</v>
      </c>
      <c r="U325" s="14" t="s">
        <v>77</v>
      </c>
      <c r="V325" s="14"/>
      <c r="W325" s="33">
        <v>30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v>0</v>
      </c>
      <c r="AH325" s="34">
        <f t="shared" si="72"/>
        <v>3.15</v>
      </c>
      <c r="AI325" s="34">
        <v>0</v>
      </c>
      <c r="AJ325" s="34">
        <f t="shared" si="70"/>
        <v>3.15</v>
      </c>
      <c r="AK325" s="22"/>
      <c r="AL325" s="34">
        <v>0</v>
      </c>
      <c r="AM325" s="14"/>
      <c r="AN325" s="14"/>
      <c r="AO325" s="14"/>
      <c r="AP325" s="14"/>
    </row>
    <row r="326" spans="1:42" s="45" customFormat="1" ht="22" customHeight="1">
      <c r="A326" s="14" t="s">
        <v>21</v>
      </c>
      <c r="B326" s="15">
        <v>2024</v>
      </c>
      <c r="C326" s="15" t="s">
        <v>24</v>
      </c>
      <c r="D326" s="14" t="s">
        <v>185</v>
      </c>
      <c r="E326" s="14" t="s">
        <v>79</v>
      </c>
      <c r="F326" s="16" t="s">
        <v>265</v>
      </c>
      <c r="G326" s="14">
        <v>1</v>
      </c>
      <c r="H326" s="14"/>
      <c r="I326" s="14"/>
      <c r="J326" s="14" t="s">
        <v>11</v>
      </c>
      <c r="K326" s="16" t="s">
        <v>82</v>
      </c>
      <c r="L326" s="14" t="s">
        <v>171</v>
      </c>
      <c r="M326" s="14" t="s">
        <v>78</v>
      </c>
      <c r="N326" s="17"/>
      <c r="O326" s="18" t="s">
        <v>217</v>
      </c>
      <c r="P326" s="18"/>
      <c r="Q326" s="19"/>
      <c r="R326" s="19"/>
      <c r="S326" s="209">
        <v>408</v>
      </c>
      <c r="T326" s="19">
        <f t="shared" si="71"/>
        <v>408</v>
      </c>
      <c r="U326" s="14" t="s">
        <v>77</v>
      </c>
      <c r="V326" s="14"/>
      <c r="W326" s="33">
        <v>30</v>
      </c>
      <c r="X326" s="34">
        <v>0</v>
      </c>
      <c r="Y326" s="34">
        <v>0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34">
        <f t="shared" si="72"/>
        <v>0.61199999999999999</v>
      </c>
      <c r="AI326" s="34">
        <v>0</v>
      </c>
      <c r="AJ326" s="34">
        <f t="shared" si="70"/>
        <v>0.61199999999999999</v>
      </c>
      <c r="AK326" s="22"/>
      <c r="AL326" s="34">
        <v>0</v>
      </c>
      <c r="AM326" s="14"/>
      <c r="AN326" s="14"/>
      <c r="AO326" s="14"/>
      <c r="AP326" s="14"/>
    </row>
    <row r="327" spans="1:42" s="45" customFormat="1" ht="22" customHeight="1">
      <c r="A327" s="14" t="s">
        <v>21</v>
      </c>
      <c r="B327" s="15">
        <v>2024</v>
      </c>
      <c r="C327" s="15" t="s">
        <v>24</v>
      </c>
      <c r="D327" s="14" t="s">
        <v>185</v>
      </c>
      <c r="E327" s="14" t="s">
        <v>79</v>
      </c>
      <c r="F327" s="16" t="s">
        <v>265</v>
      </c>
      <c r="G327" s="14">
        <v>1</v>
      </c>
      <c r="H327" s="14"/>
      <c r="I327" s="14"/>
      <c r="J327" s="14" t="s">
        <v>13</v>
      </c>
      <c r="K327" s="16"/>
      <c r="L327" s="14" t="s">
        <v>215</v>
      </c>
      <c r="M327" s="14" t="s">
        <v>95</v>
      </c>
      <c r="N327" s="30" t="s">
        <v>266</v>
      </c>
      <c r="O327" s="31" t="s">
        <v>216</v>
      </c>
      <c r="P327" s="31"/>
      <c r="Q327" s="19"/>
      <c r="R327" s="19"/>
      <c r="S327" s="209">
        <v>225</v>
      </c>
      <c r="T327" s="19">
        <f t="shared" si="71"/>
        <v>225</v>
      </c>
      <c r="U327" s="14" t="s">
        <v>77</v>
      </c>
      <c r="V327" s="14"/>
      <c r="W327" s="33">
        <v>30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4">
        <v>0</v>
      </c>
      <c r="AH327" s="34">
        <f>+S327*W327*50/1000000</f>
        <v>0.33750000000000002</v>
      </c>
      <c r="AI327" s="34">
        <v>0</v>
      </c>
      <c r="AJ327" s="34">
        <f t="shared" si="70"/>
        <v>0.33750000000000002</v>
      </c>
      <c r="AK327" s="22"/>
      <c r="AL327" s="34"/>
      <c r="AM327" s="14"/>
      <c r="AN327" s="14"/>
      <c r="AO327" s="14"/>
      <c r="AP327" s="14"/>
    </row>
    <row r="328" spans="1:42" s="45" customFormat="1" ht="22" customHeight="1">
      <c r="A328" s="14" t="s">
        <v>21</v>
      </c>
      <c r="B328" s="15">
        <v>2024</v>
      </c>
      <c r="C328" s="15" t="s">
        <v>24</v>
      </c>
      <c r="D328" s="14" t="s">
        <v>185</v>
      </c>
      <c r="E328" s="14" t="s">
        <v>79</v>
      </c>
      <c r="F328" s="16" t="s">
        <v>265</v>
      </c>
      <c r="G328" s="14"/>
      <c r="H328" s="14"/>
      <c r="I328" s="14"/>
      <c r="J328" s="14" t="s">
        <v>13</v>
      </c>
      <c r="K328" s="16"/>
      <c r="L328" s="14" t="s">
        <v>215</v>
      </c>
      <c r="M328" s="14" t="s">
        <v>95</v>
      </c>
      <c r="N328" s="30" t="s">
        <v>266</v>
      </c>
      <c r="O328" s="31" t="s">
        <v>218</v>
      </c>
      <c r="P328" s="31"/>
      <c r="Q328" s="19"/>
      <c r="R328" s="19"/>
      <c r="S328" s="209">
        <v>1094</v>
      </c>
      <c r="T328" s="19">
        <f t="shared" si="71"/>
        <v>1094</v>
      </c>
      <c r="U328" s="14" t="s">
        <v>77</v>
      </c>
      <c r="V328" s="14"/>
      <c r="W328" s="33">
        <v>30</v>
      </c>
      <c r="X328" s="34">
        <v>0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v>0</v>
      </c>
      <c r="AH328" s="34">
        <f t="shared" ref="AH328:AH341" si="73">+S328*W328*50/1000000</f>
        <v>1.641</v>
      </c>
      <c r="AI328" s="34">
        <v>0</v>
      </c>
      <c r="AJ328" s="34">
        <f t="shared" si="70"/>
        <v>1.641</v>
      </c>
      <c r="AK328" s="22"/>
      <c r="AL328" s="34"/>
      <c r="AM328" s="14"/>
      <c r="AN328" s="14"/>
      <c r="AO328" s="14"/>
      <c r="AP328" s="14"/>
    </row>
    <row r="329" spans="1:42" s="45" customFormat="1" ht="22" customHeight="1">
      <c r="A329" s="14" t="s">
        <v>21</v>
      </c>
      <c r="B329" s="15">
        <v>2024</v>
      </c>
      <c r="C329" s="15" t="s">
        <v>24</v>
      </c>
      <c r="D329" s="14" t="s">
        <v>185</v>
      </c>
      <c r="E329" s="14" t="s">
        <v>79</v>
      </c>
      <c r="F329" s="16" t="s">
        <v>265</v>
      </c>
      <c r="G329" s="14"/>
      <c r="H329" s="14"/>
      <c r="I329" s="14"/>
      <c r="J329" s="14" t="s">
        <v>13</v>
      </c>
      <c r="K329" s="16"/>
      <c r="L329" s="14" t="s">
        <v>223</v>
      </c>
      <c r="M329" s="14" t="s">
        <v>97</v>
      </c>
      <c r="N329" s="30" t="s">
        <v>267</v>
      </c>
      <c r="O329" s="31" t="s">
        <v>224</v>
      </c>
      <c r="P329" s="31"/>
      <c r="Q329" s="19"/>
      <c r="R329" s="19"/>
      <c r="S329" s="209">
        <v>288</v>
      </c>
      <c r="T329" s="19">
        <f t="shared" si="71"/>
        <v>288</v>
      </c>
      <c r="U329" s="14" t="s">
        <v>77</v>
      </c>
      <c r="V329" s="14"/>
      <c r="W329" s="33">
        <v>30</v>
      </c>
      <c r="X329" s="34">
        <v>0</v>
      </c>
      <c r="Y329" s="34">
        <v>0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4">
        <v>0</v>
      </c>
      <c r="AH329" s="34">
        <f t="shared" si="73"/>
        <v>0.432</v>
      </c>
      <c r="AI329" s="34">
        <v>0</v>
      </c>
      <c r="AJ329" s="34">
        <f t="shared" si="70"/>
        <v>0.432</v>
      </c>
      <c r="AK329" s="22"/>
      <c r="AL329" s="34">
        <v>0</v>
      </c>
      <c r="AM329" s="14"/>
      <c r="AN329" s="14"/>
      <c r="AO329" s="14"/>
      <c r="AP329" s="14"/>
    </row>
    <row r="330" spans="1:42" s="45" customFormat="1" ht="22" customHeight="1">
      <c r="A330" s="14" t="s">
        <v>21</v>
      </c>
      <c r="B330" s="15">
        <v>2024</v>
      </c>
      <c r="C330" s="15" t="s">
        <v>24</v>
      </c>
      <c r="D330" s="14" t="s">
        <v>185</v>
      </c>
      <c r="E330" s="14" t="s">
        <v>79</v>
      </c>
      <c r="F330" s="16" t="s">
        <v>265</v>
      </c>
      <c r="G330" s="14"/>
      <c r="H330" s="14"/>
      <c r="I330" s="14"/>
      <c r="J330" s="14" t="s">
        <v>13</v>
      </c>
      <c r="K330" s="16"/>
      <c r="L330" s="14" t="s">
        <v>223</v>
      </c>
      <c r="M330" s="14" t="s">
        <v>94</v>
      </c>
      <c r="N330" s="30" t="s">
        <v>267</v>
      </c>
      <c r="O330" s="31" t="s">
        <v>229</v>
      </c>
      <c r="P330" s="31"/>
      <c r="Q330" s="19"/>
      <c r="R330" s="19"/>
      <c r="S330" s="209">
        <v>440</v>
      </c>
      <c r="T330" s="19">
        <f t="shared" si="71"/>
        <v>440</v>
      </c>
      <c r="U330" s="14" t="s">
        <v>77</v>
      </c>
      <c r="V330" s="14"/>
      <c r="W330" s="33">
        <v>30</v>
      </c>
      <c r="X330" s="34">
        <v>0</v>
      </c>
      <c r="Y330" s="34">
        <v>0</v>
      </c>
      <c r="Z330" s="34">
        <v>0</v>
      </c>
      <c r="AA330" s="34">
        <v>0</v>
      </c>
      <c r="AB330" s="34">
        <v>0</v>
      </c>
      <c r="AC330" s="34">
        <v>0</v>
      </c>
      <c r="AD330" s="34">
        <v>0</v>
      </c>
      <c r="AE330" s="34">
        <v>0</v>
      </c>
      <c r="AF330" s="34">
        <v>0</v>
      </c>
      <c r="AG330" s="34">
        <v>0</v>
      </c>
      <c r="AH330" s="34">
        <f t="shared" si="73"/>
        <v>0.66</v>
      </c>
      <c r="AI330" s="34">
        <v>0</v>
      </c>
      <c r="AJ330" s="34">
        <f t="shared" si="70"/>
        <v>0.66</v>
      </c>
      <c r="AK330" s="22"/>
      <c r="AL330" s="34"/>
      <c r="AM330" s="14"/>
      <c r="AN330" s="14"/>
      <c r="AO330" s="14"/>
      <c r="AP330" s="14"/>
    </row>
    <row r="331" spans="1:42" s="45" customFormat="1" ht="22" customHeight="1">
      <c r="A331" s="14" t="s">
        <v>21</v>
      </c>
      <c r="B331" s="15">
        <v>2024</v>
      </c>
      <c r="C331" s="15" t="s">
        <v>24</v>
      </c>
      <c r="D331" s="14" t="s">
        <v>185</v>
      </c>
      <c r="E331" s="14" t="s">
        <v>79</v>
      </c>
      <c r="F331" s="16" t="s">
        <v>265</v>
      </c>
      <c r="G331" s="14"/>
      <c r="H331" s="14"/>
      <c r="I331" s="14"/>
      <c r="J331" s="14" t="s">
        <v>13</v>
      </c>
      <c r="K331" s="16"/>
      <c r="L331" s="14" t="s">
        <v>223</v>
      </c>
      <c r="M331" s="14" t="s">
        <v>97</v>
      </c>
      <c r="N331" s="30" t="s">
        <v>267</v>
      </c>
      <c r="O331" s="31" t="s">
        <v>238</v>
      </c>
      <c r="P331" s="31"/>
      <c r="Q331" s="19"/>
      <c r="R331" s="19"/>
      <c r="S331" s="209">
        <v>461</v>
      </c>
      <c r="T331" s="19">
        <f t="shared" si="71"/>
        <v>461</v>
      </c>
      <c r="U331" s="14" t="s">
        <v>77</v>
      </c>
      <c r="V331" s="14"/>
      <c r="W331" s="33">
        <v>30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4">
        <v>0</v>
      </c>
      <c r="AH331" s="34">
        <f t="shared" si="73"/>
        <v>0.6915</v>
      </c>
      <c r="AI331" s="34">
        <v>0</v>
      </c>
      <c r="AJ331" s="34">
        <f t="shared" si="70"/>
        <v>0.6915</v>
      </c>
      <c r="AK331" s="22"/>
      <c r="AL331" s="34">
        <v>0</v>
      </c>
      <c r="AM331" s="14"/>
      <c r="AN331" s="14"/>
      <c r="AO331" s="14"/>
      <c r="AP331" s="14"/>
    </row>
    <row r="332" spans="1:42" s="45" customFormat="1" ht="22" customHeight="1">
      <c r="A332" s="14" t="s">
        <v>21</v>
      </c>
      <c r="B332" s="15">
        <v>2024</v>
      </c>
      <c r="C332" s="15" t="s">
        <v>24</v>
      </c>
      <c r="D332" s="14" t="s">
        <v>185</v>
      </c>
      <c r="E332" s="14" t="s">
        <v>79</v>
      </c>
      <c r="F332" s="16" t="s">
        <v>265</v>
      </c>
      <c r="G332" s="14"/>
      <c r="H332" s="14"/>
      <c r="I332" s="14"/>
      <c r="J332" s="14" t="s">
        <v>13</v>
      </c>
      <c r="K332" s="16"/>
      <c r="L332" s="14" t="s">
        <v>223</v>
      </c>
      <c r="M332" s="14" t="s">
        <v>96</v>
      </c>
      <c r="N332" s="30" t="s">
        <v>267</v>
      </c>
      <c r="O332" s="31" t="s">
        <v>245</v>
      </c>
      <c r="P332" s="31"/>
      <c r="Q332" s="19"/>
      <c r="R332" s="19"/>
      <c r="S332" s="209">
        <v>824</v>
      </c>
      <c r="T332" s="19">
        <f t="shared" si="71"/>
        <v>824</v>
      </c>
      <c r="U332" s="14" t="s">
        <v>77</v>
      </c>
      <c r="V332" s="14"/>
      <c r="W332" s="33">
        <v>30</v>
      </c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>
        <f t="shared" si="73"/>
        <v>1.236</v>
      </c>
      <c r="AI332" s="34">
        <v>0</v>
      </c>
      <c r="AJ332" s="34">
        <f t="shared" si="70"/>
        <v>1.236</v>
      </c>
      <c r="AK332" s="22"/>
      <c r="AL332" s="34"/>
      <c r="AM332" s="14"/>
      <c r="AN332" s="14"/>
      <c r="AO332" s="14"/>
      <c r="AP332" s="14"/>
    </row>
    <row r="333" spans="1:42" s="45" customFormat="1" ht="22" customHeight="1">
      <c r="A333" s="14" t="s">
        <v>21</v>
      </c>
      <c r="B333" s="15">
        <v>2024</v>
      </c>
      <c r="C333" s="15" t="s">
        <v>24</v>
      </c>
      <c r="D333" s="14" t="s">
        <v>185</v>
      </c>
      <c r="E333" s="14" t="s">
        <v>79</v>
      </c>
      <c r="F333" s="16" t="s">
        <v>265</v>
      </c>
      <c r="G333" s="14"/>
      <c r="H333" s="14"/>
      <c r="I333" s="14"/>
      <c r="J333" s="14" t="s">
        <v>13</v>
      </c>
      <c r="K333" s="16"/>
      <c r="L333" s="14" t="s">
        <v>223</v>
      </c>
      <c r="M333" s="14" t="s">
        <v>93</v>
      </c>
      <c r="N333" s="30" t="s">
        <v>267</v>
      </c>
      <c r="O333" s="31" t="s">
        <v>246</v>
      </c>
      <c r="P333" s="31" t="s">
        <v>268</v>
      </c>
      <c r="Q333" s="19"/>
      <c r="R333" s="19"/>
      <c r="S333" s="209">
        <v>310</v>
      </c>
      <c r="T333" s="19">
        <f t="shared" si="71"/>
        <v>310</v>
      </c>
      <c r="U333" s="14" t="s">
        <v>77</v>
      </c>
      <c r="V333" s="14"/>
      <c r="W333" s="33">
        <v>30</v>
      </c>
      <c r="X333" s="34">
        <v>0</v>
      </c>
      <c r="Y333" s="34">
        <v>0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34">
        <f t="shared" si="73"/>
        <v>0.46500000000000002</v>
      </c>
      <c r="AI333" s="34">
        <v>0</v>
      </c>
      <c r="AJ333" s="34">
        <f t="shared" si="70"/>
        <v>0.46500000000000002</v>
      </c>
      <c r="AK333" s="22"/>
      <c r="AL333" s="34">
        <v>0</v>
      </c>
      <c r="AM333" s="14"/>
      <c r="AN333" s="14"/>
      <c r="AO333" s="14"/>
      <c r="AP333" s="14"/>
    </row>
    <row r="334" spans="1:42" s="45" customFormat="1" ht="22" customHeight="1">
      <c r="A334" s="14" t="s">
        <v>21</v>
      </c>
      <c r="B334" s="15">
        <v>2024</v>
      </c>
      <c r="C334" s="15" t="s">
        <v>24</v>
      </c>
      <c r="D334" s="14" t="s">
        <v>185</v>
      </c>
      <c r="E334" s="14" t="s">
        <v>79</v>
      </c>
      <c r="F334" s="16" t="s">
        <v>265</v>
      </c>
      <c r="G334" s="14"/>
      <c r="H334" s="14"/>
      <c r="I334" s="14"/>
      <c r="J334" s="14" t="s">
        <v>13</v>
      </c>
      <c r="K334" s="16"/>
      <c r="L334" s="14" t="s">
        <v>223</v>
      </c>
      <c r="M334" s="14" t="s">
        <v>93</v>
      </c>
      <c r="N334" s="30" t="s">
        <v>267</v>
      </c>
      <c r="O334" s="31" t="s">
        <v>249</v>
      </c>
      <c r="P334" s="31" t="s">
        <v>268</v>
      </c>
      <c r="Q334" s="19"/>
      <c r="R334" s="19"/>
      <c r="S334" s="209">
        <v>615</v>
      </c>
      <c r="T334" s="19">
        <f t="shared" si="71"/>
        <v>615</v>
      </c>
      <c r="U334" s="14" t="s">
        <v>77</v>
      </c>
      <c r="V334" s="14"/>
      <c r="W334" s="33">
        <v>30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4">
        <v>0</v>
      </c>
      <c r="AH334" s="34">
        <f t="shared" si="73"/>
        <v>0.92249999999999999</v>
      </c>
      <c r="AI334" s="34">
        <v>0</v>
      </c>
      <c r="AJ334" s="34">
        <f t="shared" si="70"/>
        <v>0.92249999999999999</v>
      </c>
      <c r="AK334" s="22"/>
      <c r="AL334" s="34">
        <v>0</v>
      </c>
      <c r="AM334" s="14"/>
      <c r="AN334" s="14"/>
      <c r="AO334" s="14"/>
      <c r="AP334" s="14"/>
    </row>
    <row r="335" spans="1:42" s="45" customFormat="1" ht="22" customHeight="1">
      <c r="A335" s="14" t="s">
        <v>21</v>
      </c>
      <c r="B335" s="15">
        <v>2024</v>
      </c>
      <c r="C335" s="15" t="s">
        <v>24</v>
      </c>
      <c r="D335" s="14" t="s">
        <v>185</v>
      </c>
      <c r="E335" s="14" t="s">
        <v>79</v>
      </c>
      <c r="F335" s="16" t="s">
        <v>265</v>
      </c>
      <c r="G335" s="14"/>
      <c r="H335" s="14"/>
      <c r="I335" s="14"/>
      <c r="J335" s="14" t="s">
        <v>13</v>
      </c>
      <c r="K335" s="16"/>
      <c r="L335" s="14" t="s">
        <v>215</v>
      </c>
      <c r="M335" s="14" t="s">
        <v>95</v>
      </c>
      <c r="N335" s="30" t="s">
        <v>266</v>
      </c>
      <c r="O335" s="31" t="s">
        <v>250</v>
      </c>
      <c r="P335" s="31"/>
      <c r="Q335" s="19"/>
      <c r="R335" s="19"/>
      <c r="S335" s="209">
        <v>614</v>
      </c>
      <c r="T335" s="19">
        <f t="shared" si="71"/>
        <v>614</v>
      </c>
      <c r="U335" s="14" t="s">
        <v>77</v>
      </c>
      <c r="V335" s="14"/>
      <c r="W335" s="33">
        <v>30</v>
      </c>
      <c r="X335" s="34">
        <v>0</v>
      </c>
      <c r="Y335" s="34">
        <v>0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0</v>
      </c>
      <c r="AF335" s="34">
        <v>0</v>
      </c>
      <c r="AG335" s="34">
        <v>0</v>
      </c>
      <c r="AH335" s="34">
        <f t="shared" si="73"/>
        <v>0.92100000000000004</v>
      </c>
      <c r="AI335" s="34">
        <v>0</v>
      </c>
      <c r="AJ335" s="34">
        <f t="shared" si="70"/>
        <v>0.92100000000000004</v>
      </c>
      <c r="AK335" s="22"/>
      <c r="AL335" s="34"/>
      <c r="AM335" s="14"/>
      <c r="AN335" s="14"/>
      <c r="AO335" s="14"/>
      <c r="AP335" s="14"/>
    </row>
    <row r="336" spans="1:42" s="45" customFormat="1" ht="22" customHeight="1">
      <c r="A336" s="14" t="s">
        <v>21</v>
      </c>
      <c r="B336" s="15">
        <v>2024</v>
      </c>
      <c r="C336" s="15" t="s">
        <v>24</v>
      </c>
      <c r="D336" s="14" t="s">
        <v>185</v>
      </c>
      <c r="E336" s="14" t="s">
        <v>79</v>
      </c>
      <c r="F336" s="16" t="s">
        <v>265</v>
      </c>
      <c r="G336" s="14"/>
      <c r="H336" s="14"/>
      <c r="I336" s="14"/>
      <c r="J336" s="14" t="s">
        <v>13</v>
      </c>
      <c r="K336" s="16"/>
      <c r="L336" s="14" t="s">
        <v>215</v>
      </c>
      <c r="M336" s="14" t="s">
        <v>95</v>
      </c>
      <c r="N336" s="30" t="s">
        <v>266</v>
      </c>
      <c r="O336" s="31" t="s">
        <v>251</v>
      </c>
      <c r="P336" s="31"/>
      <c r="Q336" s="19"/>
      <c r="R336" s="19"/>
      <c r="S336" s="209">
        <v>768</v>
      </c>
      <c r="T336" s="19">
        <f t="shared" si="71"/>
        <v>768</v>
      </c>
      <c r="U336" s="14" t="s">
        <v>77</v>
      </c>
      <c r="V336" s="14"/>
      <c r="W336" s="33">
        <v>30</v>
      </c>
      <c r="X336" s="34">
        <v>0</v>
      </c>
      <c r="Y336" s="34">
        <v>0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34">
        <f t="shared" si="73"/>
        <v>1.1519999999999999</v>
      </c>
      <c r="AI336" s="34">
        <v>0</v>
      </c>
      <c r="AJ336" s="34">
        <f t="shared" si="70"/>
        <v>1.1519999999999999</v>
      </c>
      <c r="AK336" s="22"/>
      <c r="AL336" s="34"/>
      <c r="AM336" s="14"/>
      <c r="AN336" s="14"/>
      <c r="AO336" s="14"/>
      <c r="AP336" s="14"/>
    </row>
    <row r="337" spans="1:42" s="45" customFormat="1" ht="22" customHeight="1">
      <c r="A337" s="14" t="s">
        <v>21</v>
      </c>
      <c r="B337" s="15">
        <v>2024</v>
      </c>
      <c r="C337" s="15" t="s">
        <v>24</v>
      </c>
      <c r="D337" s="14" t="s">
        <v>185</v>
      </c>
      <c r="E337" s="14" t="s">
        <v>79</v>
      </c>
      <c r="F337" s="16" t="s">
        <v>265</v>
      </c>
      <c r="G337" s="14"/>
      <c r="H337" s="14"/>
      <c r="I337" s="14"/>
      <c r="J337" s="14" t="s">
        <v>13</v>
      </c>
      <c r="K337" s="16"/>
      <c r="L337" s="14" t="s">
        <v>223</v>
      </c>
      <c r="M337" s="14" t="s">
        <v>94</v>
      </c>
      <c r="N337" s="30" t="s">
        <v>267</v>
      </c>
      <c r="O337" s="31" t="s">
        <v>252</v>
      </c>
      <c r="P337" s="31"/>
      <c r="Q337" s="19"/>
      <c r="R337" s="19"/>
      <c r="S337" s="209">
        <v>449</v>
      </c>
      <c r="T337" s="19">
        <f t="shared" si="71"/>
        <v>449</v>
      </c>
      <c r="U337" s="14" t="s">
        <v>77</v>
      </c>
      <c r="V337" s="14"/>
      <c r="W337" s="33">
        <v>30</v>
      </c>
      <c r="X337" s="34">
        <v>0</v>
      </c>
      <c r="Y337" s="34">
        <v>0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0</v>
      </c>
      <c r="AH337" s="34">
        <f t="shared" si="73"/>
        <v>0.67349999999999999</v>
      </c>
      <c r="AI337" s="34">
        <v>0</v>
      </c>
      <c r="AJ337" s="34">
        <f t="shared" si="70"/>
        <v>0.67349999999999999</v>
      </c>
      <c r="AK337" s="22"/>
      <c r="AL337" s="34"/>
      <c r="AM337" s="14"/>
      <c r="AN337" s="14"/>
      <c r="AO337" s="14"/>
      <c r="AP337" s="14"/>
    </row>
    <row r="338" spans="1:42" s="45" customFormat="1" ht="22" customHeight="1">
      <c r="A338" s="14" t="s">
        <v>21</v>
      </c>
      <c r="B338" s="15">
        <v>2024</v>
      </c>
      <c r="C338" s="15" t="s">
        <v>24</v>
      </c>
      <c r="D338" s="14" t="s">
        <v>185</v>
      </c>
      <c r="E338" s="14" t="s">
        <v>79</v>
      </c>
      <c r="F338" s="16" t="s">
        <v>265</v>
      </c>
      <c r="G338" s="14"/>
      <c r="H338" s="14"/>
      <c r="I338" s="14"/>
      <c r="J338" s="14" t="s">
        <v>13</v>
      </c>
      <c r="K338" s="16"/>
      <c r="L338" s="14" t="s">
        <v>223</v>
      </c>
      <c r="M338" s="14" t="s">
        <v>96</v>
      </c>
      <c r="N338" s="30" t="s">
        <v>267</v>
      </c>
      <c r="O338" s="31" t="s">
        <v>255</v>
      </c>
      <c r="P338" s="31"/>
      <c r="Q338" s="19"/>
      <c r="R338" s="19"/>
      <c r="S338" s="209">
        <v>292</v>
      </c>
      <c r="T338" s="19">
        <f t="shared" si="71"/>
        <v>292</v>
      </c>
      <c r="U338" s="14" t="s">
        <v>77</v>
      </c>
      <c r="V338" s="14"/>
      <c r="W338" s="33">
        <v>30</v>
      </c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>
        <f t="shared" si="73"/>
        <v>0.438</v>
      </c>
      <c r="AI338" s="34">
        <v>0</v>
      </c>
      <c r="AJ338" s="34">
        <f t="shared" si="70"/>
        <v>0.438</v>
      </c>
      <c r="AK338" s="22"/>
      <c r="AL338" s="34"/>
      <c r="AM338" s="14"/>
      <c r="AN338" s="14"/>
      <c r="AO338" s="14"/>
      <c r="AP338" s="14"/>
    </row>
    <row r="339" spans="1:42" s="45" customFormat="1" ht="22" customHeight="1">
      <c r="A339" s="14" t="s">
        <v>21</v>
      </c>
      <c r="B339" s="15">
        <v>2024</v>
      </c>
      <c r="C339" s="15" t="s">
        <v>24</v>
      </c>
      <c r="D339" s="14" t="s">
        <v>185</v>
      </c>
      <c r="E339" s="14" t="s">
        <v>79</v>
      </c>
      <c r="F339" s="16" t="s">
        <v>265</v>
      </c>
      <c r="G339" s="14"/>
      <c r="H339" s="14"/>
      <c r="I339" s="14"/>
      <c r="J339" s="14" t="s">
        <v>13</v>
      </c>
      <c r="K339" s="16"/>
      <c r="L339" s="14" t="s">
        <v>223</v>
      </c>
      <c r="M339" s="14" t="s">
        <v>96</v>
      </c>
      <c r="N339" s="30" t="s">
        <v>267</v>
      </c>
      <c r="O339" s="31" t="s">
        <v>258</v>
      </c>
      <c r="P339" s="31"/>
      <c r="Q339" s="19"/>
      <c r="R339" s="19"/>
      <c r="S339" s="209">
        <v>256</v>
      </c>
      <c r="T339" s="19">
        <f t="shared" si="71"/>
        <v>256</v>
      </c>
      <c r="U339" s="14" t="s">
        <v>77</v>
      </c>
      <c r="V339" s="14"/>
      <c r="W339" s="33">
        <v>30</v>
      </c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>
        <f t="shared" si="73"/>
        <v>0.38400000000000001</v>
      </c>
      <c r="AI339" s="34">
        <v>0</v>
      </c>
      <c r="AJ339" s="34">
        <f t="shared" si="70"/>
        <v>0.38400000000000001</v>
      </c>
      <c r="AK339" s="22"/>
      <c r="AL339" s="34"/>
      <c r="AM339" s="14"/>
      <c r="AN339" s="14"/>
      <c r="AO339" s="14"/>
      <c r="AP339" s="14"/>
    </row>
    <row r="340" spans="1:42" s="45" customFormat="1" ht="22" customHeight="1">
      <c r="A340" s="14" t="s">
        <v>21</v>
      </c>
      <c r="B340" s="15">
        <v>2024</v>
      </c>
      <c r="C340" s="15" t="s">
        <v>24</v>
      </c>
      <c r="D340" s="14" t="s">
        <v>185</v>
      </c>
      <c r="E340" s="14" t="s">
        <v>79</v>
      </c>
      <c r="F340" s="16" t="s">
        <v>265</v>
      </c>
      <c r="G340" s="14"/>
      <c r="H340" s="14"/>
      <c r="I340" s="14"/>
      <c r="J340" s="14" t="s">
        <v>13</v>
      </c>
      <c r="K340" s="16"/>
      <c r="L340" s="14" t="s">
        <v>223</v>
      </c>
      <c r="M340" s="14" t="s">
        <v>96</v>
      </c>
      <c r="N340" s="30" t="s">
        <v>267</v>
      </c>
      <c r="O340" s="31" t="s">
        <v>260</v>
      </c>
      <c r="P340" s="31"/>
      <c r="Q340" s="19"/>
      <c r="R340" s="19"/>
      <c r="S340" s="209">
        <v>1189</v>
      </c>
      <c r="T340" s="19">
        <f t="shared" si="71"/>
        <v>1189</v>
      </c>
      <c r="U340" s="14" t="s">
        <v>77</v>
      </c>
      <c r="V340" s="14"/>
      <c r="W340" s="33">
        <v>30</v>
      </c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>
        <f t="shared" si="73"/>
        <v>1.7835000000000001</v>
      </c>
      <c r="AI340" s="34">
        <v>0</v>
      </c>
      <c r="AJ340" s="34">
        <f t="shared" si="70"/>
        <v>1.7835000000000001</v>
      </c>
      <c r="AK340" s="22"/>
      <c r="AL340" s="34"/>
      <c r="AM340" s="14"/>
      <c r="AN340" s="14"/>
      <c r="AO340" s="14"/>
      <c r="AP340" s="14"/>
    </row>
    <row r="341" spans="1:42" s="45" customFormat="1" ht="22" customHeight="1">
      <c r="A341" s="14" t="s">
        <v>21</v>
      </c>
      <c r="B341" s="15">
        <v>2024</v>
      </c>
      <c r="C341" s="15" t="s">
        <v>24</v>
      </c>
      <c r="D341" s="14" t="s">
        <v>185</v>
      </c>
      <c r="E341" s="14" t="s">
        <v>79</v>
      </c>
      <c r="F341" s="16" t="s">
        <v>265</v>
      </c>
      <c r="G341" s="14"/>
      <c r="H341" s="14"/>
      <c r="I341" s="14"/>
      <c r="J341" s="14" t="s">
        <v>13</v>
      </c>
      <c r="K341" s="16"/>
      <c r="L341" s="14" t="s">
        <v>223</v>
      </c>
      <c r="M341" s="14" t="s">
        <v>96</v>
      </c>
      <c r="N341" s="30" t="s">
        <v>267</v>
      </c>
      <c r="O341" s="31" t="s">
        <v>261</v>
      </c>
      <c r="P341" s="31"/>
      <c r="Q341" s="19"/>
      <c r="R341" s="19"/>
      <c r="S341" s="209">
        <v>1051</v>
      </c>
      <c r="T341" s="19">
        <f t="shared" si="71"/>
        <v>1051</v>
      </c>
      <c r="U341" s="14" t="s">
        <v>77</v>
      </c>
      <c r="V341" s="14"/>
      <c r="W341" s="33">
        <v>30</v>
      </c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>
        <f t="shared" si="73"/>
        <v>1.5765</v>
      </c>
      <c r="AI341" s="34">
        <v>0</v>
      </c>
      <c r="AJ341" s="34">
        <f t="shared" si="70"/>
        <v>1.5765</v>
      </c>
      <c r="AK341" s="22"/>
      <c r="AL341" s="34"/>
      <c r="AM341" s="14"/>
      <c r="AN341" s="14"/>
      <c r="AO341" s="14"/>
      <c r="AP341" s="14"/>
    </row>
    <row r="342" spans="1:42" s="45" customFormat="1" ht="22" customHeight="1">
      <c r="A342" s="14" t="s">
        <v>21</v>
      </c>
      <c r="B342" s="15">
        <v>2024</v>
      </c>
      <c r="C342" s="15" t="s">
        <v>24</v>
      </c>
      <c r="D342" s="14" t="s">
        <v>185</v>
      </c>
      <c r="E342" s="14" t="s">
        <v>79</v>
      </c>
      <c r="F342" s="16" t="s">
        <v>265</v>
      </c>
      <c r="G342" s="14">
        <v>1</v>
      </c>
      <c r="H342" s="14"/>
      <c r="I342" s="14"/>
      <c r="J342" s="14" t="s">
        <v>11</v>
      </c>
      <c r="K342" s="16" t="s">
        <v>82</v>
      </c>
      <c r="L342" s="14" t="s">
        <v>171</v>
      </c>
      <c r="M342" s="14" t="s">
        <v>78</v>
      </c>
      <c r="N342" s="17"/>
      <c r="O342" s="18" t="s">
        <v>219</v>
      </c>
      <c r="P342" s="9"/>
      <c r="Q342" s="19"/>
      <c r="R342" s="19"/>
      <c r="S342" s="209">
        <v>226</v>
      </c>
      <c r="T342" s="19">
        <f t="shared" si="71"/>
        <v>226</v>
      </c>
      <c r="U342" s="14" t="s">
        <v>77</v>
      </c>
      <c r="V342" s="14"/>
      <c r="W342" s="33">
        <v>30</v>
      </c>
      <c r="X342" s="34">
        <v>0</v>
      </c>
      <c r="Y342" s="34">
        <v>0</v>
      </c>
      <c r="Z342" s="34">
        <v>0</v>
      </c>
      <c r="AA342" s="34">
        <v>0</v>
      </c>
      <c r="AB342" s="34">
        <v>0</v>
      </c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34">
        <f t="shared" si="72"/>
        <v>0.33900000000000002</v>
      </c>
      <c r="AI342" s="34">
        <v>0</v>
      </c>
      <c r="AJ342" s="34">
        <f t="shared" ref="AJ342:AJ376" si="74">SUBTOTAL(9,X342:AI342)</f>
        <v>0.33900000000000002</v>
      </c>
      <c r="AK342" s="22"/>
      <c r="AL342" s="34">
        <v>0</v>
      </c>
      <c r="AM342" s="14"/>
      <c r="AN342" s="14"/>
      <c r="AO342" s="14"/>
      <c r="AP342" s="14"/>
    </row>
    <row r="343" spans="1:42" s="45" customFormat="1" ht="22" customHeight="1">
      <c r="A343" s="14" t="s">
        <v>21</v>
      </c>
      <c r="B343" s="15">
        <v>2024</v>
      </c>
      <c r="C343" s="15" t="s">
        <v>24</v>
      </c>
      <c r="D343" s="14" t="s">
        <v>185</v>
      </c>
      <c r="E343" s="14" t="s">
        <v>79</v>
      </c>
      <c r="F343" s="16" t="s">
        <v>265</v>
      </c>
      <c r="G343" s="14">
        <v>1</v>
      </c>
      <c r="H343" s="14"/>
      <c r="I343" s="14"/>
      <c r="J343" s="14" t="s">
        <v>11</v>
      </c>
      <c r="K343" s="16" t="s">
        <v>82</v>
      </c>
      <c r="L343" s="14" t="s">
        <v>171</v>
      </c>
      <c r="M343" s="14" t="s">
        <v>11</v>
      </c>
      <c r="N343" s="17"/>
      <c r="O343" s="18" t="s">
        <v>220</v>
      </c>
      <c r="P343" s="9"/>
      <c r="Q343" s="19"/>
      <c r="R343" s="19"/>
      <c r="S343" s="209">
        <v>609</v>
      </c>
      <c r="T343" s="19">
        <f t="shared" si="71"/>
        <v>609</v>
      </c>
      <c r="U343" s="14" t="s">
        <v>77</v>
      </c>
      <c r="V343" s="14"/>
      <c r="W343" s="33">
        <v>30</v>
      </c>
      <c r="X343" s="34">
        <v>0</v>
      </c>
      <c r="Y343" s="34">
        <v>0</v>
      </c>
      <c r="Z343" s="34">
        <v>0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4">
        <v>0</v>
      </c>
      <c r="AH343" s="34">
        <f t="shared" si="72"/>
        <v>0.91349999999999998</v>
      </c>
      <c r="AI343" s="34">
        <v>0</v>
      </c>
      <c r="AJ343" s="34">
        <f t="shared" si="74"/>
        <v>0.91349999999999998</v>
      </c>
      <c r="AK343" s="22"/>
      <c r="AL343" s="34">
        <v>0</v>
      </c>
      <c r="AM343" s="14"/>
      <c r="AN343" s="14"/>
      <c r="AO343" s="14"/>
      <c r="AP343" s="14"/>
    </row>
    <row r="344" spans="1:42" s="45" customFormat="1" ht="22" customHeight="1">
      <c r="A344" s="14" t="s">
        <v>21</v>
      </c>
      <c r="B344" s="15">
        <v>2024</v>
      </c>
      <c r="C344" s="15" t="s">
        <v>24</v>
      </c>
      <c r="D344" s="14" t="s">
        <v>185</v>
      </c>
      <c r="E344" s="14" t="s">
        <v>79</v>
      </c>
      <c r="F344" s="16" t="s">
        <v>265</v>
      </c>
      <c r="G344" s="14">
        <v>1</v>
      </c>
      <c r="H344" s="14"/>
      <c r="I344" s="14"/>
      <c r="J344" s="14" t="s">
        <v>11</v>
      </c>
      <c r="K344" s="16" t="s">
        <v>82</v>
      </c>
      <c r="L344" s="14" t="s">
        <v>171</v>
      </c>
      <c r="M344" s="14" t="s">
        <v>11</v>
      </c>
      <c r="N344" s="17"/>
      <c r="O344" s="18" t="s">
        <v>221</v>
      </c>
      <c r="P344" s="9"/>
      <c r="Q344" s="19"/>
      <c r="R344" s="19"/>
      <c r="S344" s="209">
        <v>1133</v>
      </c>
      <c r="T344" s="19">
        <f t="shared" si="71"/>
        <v>1133</v>
      </c>
      <c r="U344" s="14" t="s">
        <v>77</v>
      </c>
      <c r="V344" s="14"/>
      <c r="W344" s="33">
        <v>30</v>
      </c>
      <c r="X344" s="34">
        <v>0</v>
      </c>
      <c r="Y344" s="34">
        <v>0</v>
      </c>
      <c r="Z344" s="34">
        <v>0</v>
      </c>
      <c r="AA344" s="34">
        <v>0</v>
      </c>
      <c r="AB344" s="34">
        <v>0</v>
      </c>
      <c r="AC344" s="34">
        <v>0</v>
      </c>
      <c r="AD344" s="34">
        <v>0</v>
      </c>
      <c r="AE344" s="34">
        <v>0</v>
      </c>
      <c r="AF344" s="34">
        <v>0</v>
      </c>
      <c r="AG344" s="34">
        <v>0</v>
      </c>
      <c r="AH344" s="34">
        <f t="shared" si="72"/>
        <v>1.6995</v>
      </c>
      <c r="AI344" s="34">
        <v>0</v>
      </c>
      <c r="AJ344" s="34">
        <f t="shared" si="74"/>
        <v>1.6995</v>
      </c>
      <c r="AK344" s="22"/>
      <c r="AL344" s="34">
        <v>0</v>
      </c>
      <c r="AM344" s="14"/>
      <c r="AN344" s="14"/>
      <c r="AO344" s="14"/>
      <c r="AP344" s="14"/>
    </row>
    <row r="345" spans="1:42" s="45" customFormat="1" ht="22" customHeight="1">
      <c r="A345" s="14" t="s">
        <v>21</v>
      </c>
      <c r="B345" s="15">
        <v>2024</v>
      </c>
      <c r="C345" s="15" t="s">
        <v>24</v>
      </c>
      <c r="D345" s="14" t="s">
        <v>185</v>
      </c>
      <c r="E345" s="14" t="s">
        <v>79</v>
      </c>
      <c r="F345" s="16" t="s">
        <v>265</v>
      </c>
      <c r="G345" s="14">
        <v>2</v>
      </c>
      <c r="H345" s="14"/>
      <c r="I345" s="14"/>
      <c r="J345" s="14" t="s">
        <v>14</v>
      </c>
      <c r="K345" s="16" t="s">
        <v>14</v>
      </c>
      <c r="L345" s="14" t="s">
        <v>209</v>
      </c>
      <c r="M345" s="14" t="s">
        <v>99</v>
      </c>
      <c r="N345" s="30"/>
      <c r="O345" s="31" t="s">
        <v>222</v>
      </c>
      <c r="P345" s="9"/>
      <c r="Q345" s="19"/>
      <c r="R345" s="19"/>
      <c r="S345" s="209">
        <v>720</v>
      </c>
      <c r="T345" s="19">
        <f t="shared" si="71"/>
        <v>720</v>
      </c>
      <c r="U345" s="14" t="s">
        <v>77</v>
      </c>
      <c r="V345" s="14"/>
      <c r="W345" s="33">
        <v>30</v>
      </c>
      <c r="X345" s="34">
        <v>0</v>
      </c>
      <c r="Y345" s="34">
        <v>0</v>
      </c>
      <c r="Z345" s="34">
        <v>0</v>
      </c>
      <c r="AA345" s="34">
        <v>0</v>
      </c>
      <c r="AB345" s="34">
        <v>0</v>
      </c>
      <c r="AC345" s="34">
        <v>0</v>
      </c>
      <c r="AD345" s="34">
        <v>0</v>
      </c>
      <c r="AE345" s="34">
        <v>0</v>
      </c>
      <c r="AF345" s="34">
        <v>0</v>
      </c>
      <c r="AG345" s="34">
        <v>0</v>
      </c>
      <c r="AH345" s="34">
        <f t="shared" si="72"/>
        <v>1.08</v>
      </c>
      <c r="AI345" s="34">
        <v>0</v>
      </c>
      <c r="AJ345" s="34">
        <f t="shared" si="74"/>
        <v>1.08</v>
      </c>
      <c r="AK345" s="22"/>
      <c r="AL345" s="34">
        <v>0</v>
      </c>
      <c r="AM345" s="14"/>
      <c r="AN345" s="14"/>
      <c r="AO345" s="14"/>
      <c r="AP345" s="14"/>
    </row>
    <row r="346" spans="1:42" s="45" customFormat="1" ht="22" customHeight="1">
      <c r="A346" s="14" t="s">
        <v>21</v>
      </c>
      <c r="B346" s="15">
        <v>2024</v>
      </c>
      <c r="C346" s="15" t="s">
        <v>24</v>
      </c>
      <c r="D346" s="14" t="s">
        <v>185</v>
      </c>
      <c r="E346" s="14" t="s">
        <v>79</v>
      </c>
      <c r="F346" s="16" t="s">
        <v>265</v>
      </c>
      <c r="G346" s="14">
        <v>2</v>
      </c>
      <c r="H346" s="14"/>
      <c r="I346" s="14"/>
      <c r="J346" s="14" t="s">
        <v>12</v>
      </c>
      <c r="K346" s="16" t="s">
        <v>14</v>
      </c>
      <c r="L346" s="14" t="s">
        <v>209</v>
      </c>
      <c r="M346" s="14" t="s">
        <v>84</v>
      </c>
      <c r="N346" s="17"/>
      <c r="O346" s="18" t="s">
        <v>225</v>
      </c>
      <c r="P346" s="9"/>
      <c r="Q346" s="19"/>
      <c r="R346" s="19"/>
      <c r="S346" s="209">
        <v>1086</v>
      </c>
      <c r="T346" s="19">
        <f t="shared" si="71"/>
        <v>1086</v>
      </c>
      <c r="U346" s="14" t="s">
        <v>77</v>
      </c>
      <c r="V346" s="14"/>
      <c r="W346" s="33">
        <v>30</v>
      </c>
      <c r="X346" s="34">
        <v>0</v>
      </c>
      <c r="Y346" s="34">
        <v>0</v>
      </c>
      <c r="Z346" s="34">
        <v>0</v>
      </c>
      <c r="AA346" s="34">
        <v>0</v>
      </c>
      <c r="AB346" s="34">
        <v>0</v>
      </c>
      <c r="AC346" s="34">
        <v>0</v>
      </c>
      <c r="AD346" s="34">
        <v>0</v>
      </c>
      <c r="AE346" s="34">
        <v>0</v>
      </c>
      <c r="AF346" s="34">
        <v>0</v>
      </c>
      <c r="AG346" s="34">
        <v>0</v>
      </c>
      <c r="AH346" s="34">
        <f t="shared" si="72"/>
        <v>1.629</v>
      </c>
      <c r="AI346" s="34">
        <v>0</v>
      </c>
      <c r="AJ346" s="34">
        <f t="shared" si="74"/>
        <v>1.629</v>
      </c>
      <c r="AK346" s="22"/>
      <c r="AL346" s="34">
        <v>0</v>
      </c>
      <c r="AM346" s="14"/>
      <c r="AN346" s="14"/>
      <c r="AO346" s="14"/>
      <c r="AP346" s="14"/>
    </row>
    <row r="347" spans="1:42" s="45" customFormat="1" ht="22" customHeight="1">
      <c r="A347" s="14" t="s">
        <v>21</v>
      </c>
      <c r="B347" s="15">
        <v>2024</v>
      </c>
      <c r="C347" s="15" t="s">
        <v>24</v>
      </c>
      <c r="D347" s="14" t="s">
        <v>185</v>
      </c>
      <c r="E347" s="14" t="s">
        <v>79</v>
      </c>
      <c r="F347" s="16" t="s">
        <v>265</v>
      </c>
      <c r="G347" s="14">
        <v>1</v>
      </c>
      <c r="H347" s="14"/>
      <c r="I347" s="14"/>
      <c r="J347" s="14" t="s">
        <v>11</v>
      </c>
      <c r="K347" s="16" t="s">
        <v>82</v>
      </c>
      <c r="L347" s="14" t="s">
        <v>171</v>
      </c>
      <c r="M347" s="14" t="s">
        <v>78</v>
      </c>
      <c r="N347" s="17"/>
      <c r="O347" s="18" t="s">
        <v>226</v>
      </c>
      <c r="P347" s="9"/>
      <c r="Q347" s="19"/>
      <c r="R347" s="19"/>
      <c r="S347" s="209">
        <v>372</v>
      </c>
      <c r="T347" s="19">
        <f t="shared" si="71"/>
        <v>372</v>
      </c>
      <c r="U347" s="14" t="s">
        <v>77</v>
      </c>
      <c r="V347" s="14"/>
      <c r="W347" s="33">
        <v>30</v>
      </c>
      <c r="X347" s="34">
        <v>0</v>
      </c>
      <c r="Y347" s="34">
        <v>0</v>
      </c>
      <c r="Z347" s="34">
        <v>0</v>
      </c>
      <c r="AA347" s="34">
        <v>0</v>
      </c>
      <c r="AB347" s="34">
        <v>0</v>
      </c>
      <c r="AC347" s="34">
        <v>0</v>
      </c>
      <c r="AD347" s="34">
        <v>0</v>
      </c>
      <c r="AE347" s="34">
        <v>0</v>
      </c>
      <c r="AF347" s="34">
        <v>0</v>
      </c>
      <c r="AG347" s="34">
        <v>0</v>
      </c>
      <c r="AH347" s="34">
        <f t="shared" si="72"/>
        <v>0.55800000000000005</v>
      </c>
      <c r="AI347" s="34">
        <v>0</v>
      </c>
      <c r="AJ347" s="34">
        <f t="shared" si="74"/>
        <v>0.55800000000000005</v>
      </c>
      <c r="AK347" s="22"/>
      <c r="AL347" s="34">
        <v>0</v>
      </c>
      <c r="AM347" s="14"/>
      <c r="AN347" s="14"/>
      <c r="AO347" s="14"/>
      <c r="AP347" s="14"/>
    </row>
    <row r="348" spans="1:42" s="45" customFormat="1" ht="22" customHeight="1">
      <c r="A348" s="14" t="s">
        <v>21</v>
      </c>
      <c r="B348" s="15">
        <v>2024</v>
      </c>
      <c r="C348" s="15" t="s">
        <v>24</v>
      </c>
      <c r="D348" s="14" t="s">
        <v>185</v>
      </c>
      <c r="E348" s="14" t="s">
        <v>79</v>
      </c>
      <c r="F348" s="16" t="s">
        <v>265</v>
      </c>
      <c r="G348" s="14">
        <v>1</v>
      </c>
      <c r="H348" s="14"/>
      <c r="I348" s="14"/>
      <c r="J348" s="14" t="s">
        <v>12</v>
      </c>
      <c r="K348" s="16" t="s">
        <v>14</v>
      </c>
      <c r="L348" s="14" t="s">
        <v>209</v>
      </c>
      <c r="M348" s="14" t="s">
        <v>84</v>
      </c>
      <c r="N348" s="17"/>
      <c r="O348" s="18" t="s">
        <v>227</v>
      </c>
      <c r="P348" s="9"/>
      <c r="Q348" s="19"/>
      <c r="R348" s="19"/>
      <c r="S348" s="209">
        <v>612</v>
      </c>
      <c r="T348" s="19">
        <f t="shared" si="71"/>
        <v>612</v>
      </c>
      <c r="U348" s="14" t="s">
        <v>77</v>
      </c>
      <c r="V348" s="14"/>
      <c r="W348" s="33">
        <v>30</v>
      </c>
      <c r="X348" s="34">
        <v>0</v>
      </c>
      <c r="Y348" s="34">
        <v>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v>0</v>
      </c>
      <c r="AH348" s="34">
        <f t="shared" si="72"/>
        <v>0.91800000000000004</v>
      </c>
      <c r="AI348" s="34">
        <v>0</v>
      </c>
      <c r="AJ348" s="34">
        <f t="shared" si="74"/>
        <v>0.91800000000000004</v>
      </c>
      <c r="AK348" s="22"/>
      <c r="AL348" s="34">
        <v>0</v>
      </c>
      <c r="AM348" s="14"/>
      <c r="AN348" s="14"/>
      <c r="AO348" s="14"/>
      <c r="AP348" s="14"/>
    </row>
    <row r="349" spans="1:42" s="45" customFormat="1" ht="22" customHeight="1">
      <c r="A349" s="14" t="s">
        <v>21</v>
      </c>
      <c r="B349" s="15">
        <v>2024</v>
      </c>
      <c r="C349" s="15" t="s">
        <v>24</v>
      </c>
      <c r="D349" s="14" t="s">
        <v>185</v>
      </c>
      <c r="E349" s="14" t="s">
        <v>79</v>
      </c>
      <c r="F349" s="16" t="s">
        <v>265</v>
      </c>
      <c r="G349" s="14">
        <v>1</v>
      </c>
      <c r="H349" s="14"/>
      <c r="I349" s="14"/>
      <c r="J349" s="14" t="s">
        <v>11</v>
      </c>
      <c r="K349" s="16" t="s">
        <v>82</v>
      </c>
      <c r="L349" s="14" t="s">
        <v>171</v>
      </c>
      <c r="M349" s="14" t="s">
        <v>78</v>
      </c>
      <c r="N349" s="17"/>
      <c r="O349" s="18" t="s">
        <v>228</v>
      </c>
      <c r="P349" s="9"/>
      <c r="Q349" s="19"/>
      <c r="R349" s="19"/>
      <c r="S349" s="209">
        <v>900</v>
      </c>
      <c r="T349" s="19">
        <f t="shared" si="71"/>
        <v>900</v>
      </c>
      <c r="U349" s="14" t="s">
        <v>77</v>
      </c>
      <c r="V349" s="14"/>
      <c r="W349" s="33">
        <v>30</v>
      </c>
      <c r="X349" s="34">
        <v>0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v>0</v>
      </c>
      <c r="AH349" s="34">
        <f t="shared" si="72"/>
        <v>1.35</v>
      </c>
      <c r="AI349" s="34">
        <v>0</v>
      </c>
      <c r="AJ349" s="34">
        <f t="shared" si="74"/>
        <v>1.35</v>
      </c>
      <c r="AK349" s="22"/>
      <c r="AL349" s="34">
        <v>0</v>
      </c>
      <c r="AM349" s="14"/>
      <c r="AN349" s="14"/>
      <c r="AO349" s="14"/>
      <c r="AP349" s="14"/>
    </row>
    <row r="350" spans="1:42" s="45" customFormat="1" ht="22" customHeight="1">
      <c r="A350" s="14" t="s">
        <v>21</v>
      </c>
      <c r="B350" s="15">
        <v>2024</v>
      </c>
      <c r="C350" s="15" t="s">
        <v>24</v>
      </c>
      <c r="D350" s="14" t="s">
        <v>185</v>
      </c>
      <c r="E350" s="14" t="s">
        <v>79</v>
      </c>
      <c r="F350" s="16" t="s">
        <v>265</v>
      </c>
      <c r="G350" s="14">
        <v>2</v>
      </c>
      <c r="H350" s="14"/>
      <c r="I350" s="14"/>
      <c r="J350" s="14" t="s">
        <v>14</v>
      </c>
      <c r="K350" s="16" t="s">
        <v>14</v>
      </c>
      <c r="L350" s="14" t="s">
        <v>209</v>
      </c>
      <c r="M350" s="14" t="s">
        <v>99</v>
      </c>
      <c r="N350" s="30"/>
      <c r="O350" s="31" t="s">
        <v>230</v>
      </c>
      <c r="P350" s="9"/>
      <c r="Q350" s="19"/>
      <c r="R350" s="19"/>
      <c r="S350" s="209">
        <v>218</v>
      </c>
      <c r="T350" s="19">
        <f t="shared" si="71"/>
        <v>218</v>
      </c>
      <c r="U350" s="14" t="s">
        <v>77</v>
      </c>
      <c r="V350" s="14"/>
      <c r="W350" s="33">
        <v>30</v>
      </c>
      <c r="X350" s="34">
        <v>0</v>
      </c>
      <c r="Y350" s="34">
        <v>0</v>
      </c>
      <c r="Z350" s="34">
        <v>0</v>
      </c>
      <c r="AA350" s="34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0</v>
      </c>
      <c r="AG350" s="34">
        <v>0</v>
      </c>
      <c r="AH350" s="34">
        <f t="shared" si="72"/>
        <v>0.32700000000000001</v>
      </c>
      <c r="AI350" s="34">
        <v>0</v>
      </c>
      <c r="AJ350" s="34">
        <f t="shared" si="74"/>
        <v>0.32700000000000001</v>
      </c>
      <c r="AK350" s="22"/>
      <c r="AL350" s="34"/>
      <c r="AM350" s="14"/>
      <c r="AN350" s="14"/>
      <c r="AO350" s="14"/>
      <c r="AP350" s="14"/>
    </row>
    <row r="351" spans="1:42" s="45" customFormat="1" ht="22" customHeight="1">
      <c r="A351" s="14" t="s">
        <v>21</v>
      </c>
      <c r="B351" s="15">
        <v>2024</v>
      </c>
      <c r="C351" s="15" t="s">
        <v>24</v>
      </c>
      <c r="D351" s="14" t="s">
        <v>185</v>
      </c>
      <c r="E351" s="14" t="s">
        <v>79</v>
      </c>
      <c r="F351" s="16" t="s">
        <v>265</v>
      </c>
      <c r="G351" s="14">
        <v>1</v>
      </c>
      <c r="H351" s="14"/>
      <c r="I351" s="14"/>
      <c r="J351" s="14" t="s">
        <v>14</v>
      </c>
      <c r="K351" s="16" t="s">
        <v>14</v>
      </c>
      <c r="L351" s="14" t="s">
        <v>209</v>
      </c>
      <c r="M351" s="14" t="s">
        <v>99</v>
      </c>
      <c r="N351" s="30"/>
      <c r="O351" s="31" t="s">
        <v>231</v>
      </c>
      <c r="P351" s="9"/>
      <c r="Q351" s="19"/>
      <c r="R351" s="19"/>
      <c r="S351" s="209">
        <v>60</v>
      </c>
      <c r="T351" s="19">
        <f t="shared" si="71"/>
        <v>60</v>
      </c>
      <c r="U351" s="14" t="s">
        <v>77</v>
      </c>
      <c r="V351" s="14"/>
      <c r="W351" s="33">
        <v>30</v>
      </c>
      <c r="X351" s="34">
        <v>0</v>
      </c>
      <c r="Y351" s="34">
        <v>0</v>
      </c>
      <c r="Z351" s="34">
        <v>0</v>
      </c>
      <c r="AA351" s="34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0</v>
      </c>
      <c r="AG351" s="34">
        <v>0</v>
      </c>
      <c r="AH351" s="34">
        <f t="shared" si="72"/>
        <v>0.09</v>
      </c>
      <c r="AI351" s="34">
        <v>0</v>
      </c>
      <c r="AJ351" s="34">
        <f t="shared" si="74"/>
        <v>0.09</v>
      </c>
      <c r="AK351" s="22"/>
      <c r="AL351" s="34">
        <v>0</v>
      </c>
      <c r="AM351" s="14"/>
      <c r="AN351" s="14"/>
      <c r="AO351" s="14"/>
      <c r="AP351" s="14"/>
    </row>
    <row r="352" spans="1:42" s="45" customFormat="1" ht="22" customHeight="1">
      <c r="A352" s="14" t="s">
        <v>21</v>
      </c>
      <c r="B352" s="15">
        <v>2024</v>
      </c>
      <c r="C352" s="15" t="s">
        <v>24</v>
      </c>
      <c r="D352" s="14" t="s">
        <v>185</v>
      </c>
      <c r="E352" s="14" t="s">
        <v>79</v>
      </c>
      <c r="F352" s="16" t="s">
        <v>265</v>
      </c>
      <c r="G352" s="14">
        <v>1</v>
      </c>
      <c r="H352" s="14"/>
      <c r="I352" s="14"/>
      <c r="J352" s="14" t="s">
        <v>11</v>
      </c>
      <c r="K352" s="16" t="s">
        <v>82</v>
      </c>
      <c r="L352" s="14" t="s">
        <v>171</v>
      </c>
      <c r="M352" s="14" t="s">
        <v>78</v>
      </c>
      <c r="N352" s="17"/>
      <c r="O352" s="18" t="s">
        <v>232</v>
      </c>
      <c r="P352" s="9"/>
      <c r="Q352" s="19"/>
      <c r="R352" s="19"/>
      <c r="S352" s="209">
        <v>380</v>
      </c>
      <c r="T352" s="19">
        <f t="shared" si="71"/>
        <v>380</v>
      </c>
      <c r="U352" s="14" t="s">
        <v>77</v>
      </c>
      <c r="V352" s="14"/>
      <c r="W352" s="33">
        <v>30</v>
      </c>
      <c r="X352" s="34">
        <v>0</v>
      </c>
      <c r="Y352" s="34">
        <v>0</v>
      </c>
      <c r="Z352" s="34">
        <v>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0</v>
      </c>
      <c r="AG352" s="34">
        <v>0</v>
      </c>
      <c r="AH352" s="34">
        <f t="shared" si="72"/>
        <v>0.56999999999999995</v>
      </c>
      <c r="AI352" s="34">
        <v>0</v>
      </c>
      <c r="AJ352" s="34">
        <f t="shared" si="74"/>
        <v>0.56999999999999995</v>
      </c>
      <c r="AK352" s="22"/>
      <c r="AL352" s="34">
        <v>0</v>
      </c>
      <c r="AM352" s="14"/>
      <c r="AN352" s="14"/>
      <c r="AO352" s="14"/>
      <c r="AP352" s="14"/>
    </row>
    <row r="353" spans="1:42" s="45" customFormat="1" ht="22" customHeight="1">
      <c r="A353" s="14" t="s">
        <v>21</v>
      </c>
      <c r="B353" s="15">
        <v>2024</v>
      </c>
      <c r="C353" s="15" t="s">
        <v>24</v>
      </c>
      <c r="D353" s="14" t="s">
        <v>185</v>
      </c>
      <c r="E353" s="14" t="s">
        <v>79</v>
      </c>
      <c r="F353" s="16" t="s">
        <v>265</v>
      </c>
      <c r="G353" s="14">
        <v>1</v>
      </c>
      <c r="H353" s="14"/>
      <c r="I353" s="14" t="s">
        <v>28</v>
      </c>
      <c r="J353" s="14" t="s">
        <v>11</v>
      </c>
      <c r="K353" s="16" t="s">
        <v>82</v>
      </c>
      <c r="L353" s="14" t="s">
        <v>166</v>
      </c>
      <c r="M353" s="14" t="s">
        <v>28</v>
      </c>
      <c r="N353" s="30"/>
      <c r="O353" s="31" t="s">
        <v>233</v>
      </c>
      <c r="P353" s="9"/>
      <c r="Q353" s="19"/>
      <c r="R353" s="19"/>
      <c r="S353" s="209">
        <v>813</v>
      </c>
      <c r="T353" s="19">
        <f t="shared" si="71"/>
        <v>813</v>
      </c>
      <c r="U353" s="14" t="s">
        <v>77</v>
      </c>
      <c r="V353" s="14"/>
      <c r="W353" s="33">
        <v>30</v>
      </c>
      <c r="X353" s="34">
        <v>0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4">
        <v>0</v>
      </c>
      <c r="AH353" s="34">
        <f t="shared" si="72"/>
        <v>1.2195</v>
      </c>
      <c r="AI353" s="34">
        <v>0</v>
      </c>
      <c r="AJ353" s="34">
        <f t="shared" si="74"/>
        <v>1.2195</v>
      </c>
      <c r="AK353" s="22"/>
      <c r="AL353" s="34">
        <v>0</v>
      </c>
      <c r="AM353" s="14"/>
      <c r="AN353" s="14"/>
      <c r="AO353" s="14"/>
      <c r="AP353" s="14"/>
    </row>
    <row r="354" spans="1:42" s="45" customFormat="1" ht="22" customHeight="1">
      <c r="A354" s="14" t="s">
        <v>21</v>
      </c>
      <c r="B354" s="15">
        <v>2024</v>
      </c>
      <c r="C354" s="15" t="s">
        <v>24</v>
      </c>
      <c r="D354" s="14" t="s">
        <v>185</v>
      </c>
      <c r="E354" s="14" t="s">
        <v>79</v>
      </c>
      <c r="F354" s="16" t="s">
        <v>265</v>
      </c>
      <c r="G354" s="14">
        <v>1</v>
      </c>
      <c r="H354" s="14"/>
      <c r="I354" s="14"/>
      <c r="J354" s="14" t="s">
        <v>12</v>
      </c>
      <c r="K354" s="16" t="s">
        <v>14</v>
      </c>
      <c r="L354" s="14" t="s">
        <v>209</v>
      </c>
      <c r="M354" s="14" t="s">
        <v>84</v>
      </c>
      <c r="N354" s="30"/>
      <c r="O354" s="31" t="s">
        <v>234</v>
      </c>
      <c r="P354" s="9"/>
      <c r="Q354" s="19"/>
      <c r="R354" s="19"/>
      <c r="S354" s="209">
        <v>1137</v>
      </c>
      <c r="T354" s="19">
        <f t="shared" si="71"/>
        <v>1137</v>
      </c>
      <c r="U354" s="14" t="s">
        <v>77</v>
      </c>
      <c r="V354" s="14"/>
      <c r="W354" s="33">
        <v>30</v>
      </c>
      <c r="X354" s="34">
        <v>0</v>
      </c>
      <c r="Y354" s="34">
        <v>0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4">
        <v>0</v>
      </c>
      <c r="AH354" s="34">
        <f t="shared" si="72"/>
        <v>1.7055</v>
      </c>
      <c r="AI354" s="34">
        <v>0</v>
      </c>
      <c r="AJ354" s="34">
        <f t="shared" si="74"/>
        <v>1.7055</v>
      </c>
      <c r="AK354" s="22"/>
      <c r="AL354" s="34">
        <v>0</v>
      </c>
      <c r="AM354" s="14"/>
      <c r="AN354" s="14"/>
      <c r="AO354" s="14"/>
      <c r="AP354" s="14"/>
    </row>
    <row r="355" spans="1:42" s="45" customFormat="1" ht="22" customHeight="1">
      <c r="A355" s="14" t="s">
        <v>21</v>
      </c>
      <c r="B355" s="15">
        <v>2024</v>
      </c>
      <c r="C355" s="15" t="s">
        <v>24</v>
      </c>
      <c r="D355" s="14" t="s">
        <v>185</v>
      </c>
      <c r="E355" s="14" t="s">
        <v>79</v>
      </c>
      <c r="F355" s="16" t="s">
        <v>265</v>
      </c>
      <c r="G355" s="14">
        <v>2</v>
      </c>
      <c r="H355" s="14"/>
      <c r="I355" s="14"/>
      <c r="J355" s="14" t="s">
        <v>14</v>
      </c>
      <c r="K355" s="16" t="s">
        <v>14</v>
      </c>
      <c r="L355" s="14" t="s">
        <v>209</v>
      </c>
      <c r="M355" s="14" t="s">
        <v>99</v>
      </c>
      <c r="N355" s="30"/>
      <c r="O355" s="31" t="s">
        <v>235</v>
      </c>
      <c r="P355" s="9"/>
      <c r="Q355" s="19"/>
      <c r="R355" s="19"/>
      <c r="S355" s="209">
        <v>654</v>
      </c>
      <c r="T355" s="19">
        <f t="shared" si="71"/>
        <v>654</v>
      </c>
      <c r="U355" s="14" t="s">
        <v>77</v>
      </c>
      <c r="V355" s="14"/>
      <c r="W355" s="33">
        <v>30</v>
      </c>
      <c r="X355" s="34">
        <v>0</v>
      </c>
      <c r="Y355" s="34">
        <v>0</v>
      </c>
      <c r="Z355" s="34">
        <v>0</v>
      </c>
      <c r="AA355" s="34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4">
        <v>0</v>
      </c>
      <c r="AH355" s="34">
        <f t="shared" si="72"/>
        <v>0.98099999999999998</v>
      </c>
      <c r="AI355" s="34">
        <v>0</v>
      </c>
      <c r="AJ355" s="34">
        <f t="shared" si="74"/>
        <v>0.98099999999999998</v>
      </c>
      <c r="AK355" s="22"/>
      <c r="AL355" s="34">
        <v>0</v>
      </c>
      <c r="AM355" s="14"/>
      <c r="AN355" s="14"/>
      <c r="AO355" s="14"/>
      <c r="AP355" s="14"/>
    </row>
    <row r="356" spans="1:42" s="45" customFormat="1" ht="22" customHeight="1">
      <c r="A356" s="14" t="s">
        <v>21</v>
      </c>
      <c r="B356" s="15">
        <v>2024</v>
      </c>
      <c r="C356" s="15" t="s">
        <v>24</v>
      </c>
      <c r="D356" s="14" t="s">
        <v>185</v>
      </c>
      <c r="E356" s="14" t="s">
        <v>79</v>
      </c>
      <c r="F356" s="16" t="s">
        <v>265</v>
      </c>
      <c r="G356" s="14">
        <v>1</v>
      </c>
      <c r="H356" s="14"/>
      <c r="I356" s="14" t="s">
        <v>28</v>
      </c>
      <c r="J356" s="14" t="s">
        <v>11</v>
      </c>
      <c r="K356" s="16" t="s">
        <v>82</v>
      </c>
      <c r="L356" s="14" t="s">
        <v>166</v>
      </c>
      <c r="M356" s="14" t="s">
        <v>28</v>
      </c>
      <c r="N356" s="17"/>
      <c r="O356" s="18" t="s">
        <v>236</v>
      </c>
      <c r="P356" s="9"/>
      <c r="Q356" s="19"/>
      <c r="R356" s="19"/>
      <c r="S356" s="209">
        <v>346</v>
      </c>
      <c r="T356" s="19">
        <f t="shared" si="71"/>
        <v>346</v>
      </c>
      <c r="U356" s="14" t="s">
        <v>77</v>
      </c>
      <c r="V356" s="14"/>
      <c r="W356" s="33">
        <v>30</v>
      </c>
      <c r="X356" s="34">
        <v>0</v>
      </c>
      <c r="Y356" s="34">
        <v>0</v>
      </c>
      <c r="Z356" s="34">
        <v>0</v>
      </c>
      <c r="AA356" s="34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0</v>
      </c>
      <c r="AG356" s="34">
        <v>0</v>
      </c>
      <c r="AH356" s="34">
        <f t="shared" si="72"/>
        <v>0.51900000000000002</v>
      </c>
      <c r="AI356" s="34">
        <v>0</v>
      </c>
      <c r="AJ356" s="34">
        <f t="shared" si="74"/>
        <v>0.51900000000000002</v>
      </c>
      <c r="AK356" s="22"/>
      <c r="AL356" s="34">
        <v>0</v>
      </c>
      <c r="AM356" s="14"/>
      <c r="AN356" s="14"/>
      <c r="AO356" s="14"/>
      <c r="AP356" s="14"/>
    </row>
    <row r="357" spans="1:42" s="45" customFormat="1" ht="22" customHeight="1">
      <c r="A357" s="14" t="s">
        <v>21</v>
      </c>
      <c r="B357" s="15">
        <v>2024</v>
      </c>
      <c r="C357" s="15" t="s">
        <v>24</v>
      </c>
      <c r="D357" s="14" t="s">
        <v>185</v>
      </c>
      <c r="E357" s="14" t="s">
        <v>79</v>
      </c>
      <c r="F357" s="16" t="s">
        <v>265</v>
      </c>
      <c r="G357" s="14">
        <v>1</v>
      </c>
      <c r="H357" s="14"/>
      <c r="I357" s="14" t="s">
        <v>28</v>
      </c>
      <c r="J357" s="14" t="s">
        <v>11</v>
      </c>
      <c r="K357" s="16" t="s">
        <v>82</v>
      </c>
      <c r="L357" s="14" t="s">
        <v>166</v>
      </c>
      <c r="M357" s="14" t="s">
        <v>28</v>
      </c>
      <c r="N357" s="17"/>
      <c r="O357" s="18" t="s">
        <v>237</v>
      </c>
      <c r="P357" s="9"/>
      <c r="Q357" s="19"/>
      <c r="R357" s="19"/>
      <c r="S357" s="209">
        <v>1245</v>
      </c>
      <c r="T357" s="19">
        <f t="shared" si="71"/>
        <v>1245</v>
      </c>
      <c r="U357" s="14" t="s">
        <v>77</v>
      </c>
      <c r="V357" s="14"/>
      <c r="W357" s="33">
        <v>30</v>
      </c>
      <c r="X357" s="34">
        <v>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v>0</v>
      </c>
      <c r="AH357" s="34">
        <f t="shared" si="72"/>
        <v>1.8674999999999999</v>
      </c>
      <c r="AI357" s="34">
        <v>0</v>
      </c>
      <c r="AJ357" s="34">
        <f t="shared" si="74"/>
        <v>1.8674999999999999</v>
      </c>
      <c r="AK357" s="22"/>
      <c r="AL357" s="34">
        <v>0</v>
      </c>
      <c r="AM357" s="14"/>
      <c r="AN357" s="14"/>
      <c r="AO357" s="14"/>
      <c r="AP357" s="14"/>
    </row>
    <row r="358" spans="1:42" s="45" customFormat="1" ht="22" customHeight="1">
      <c r="A358" s="14" t="s">
        <v>21</v>
      </c>
      <c r="B358" s="15">
        <v>2024</v>
      </c>
      <c r="C358" s="15" t="s">
        <v>24</v>
      </c>
      <c r="D358" s="14" t="s">
        <v>185</v>
      </c>
      <c r="E358" s="14" t="s">
        <v>79</v>
      </c>
      <c r="F358" s="16" t="s">
        <v>265</v>
      </c>
      <c r="G358" s="14">
        <v>1</v>
      </c>
      <c r="H358" s="14"/>
      <c r="I358" s="14"/>
      <c r="J358" s="14" t="s">
        <v>11</v>
      </c>
      <c r="K358" s="16" t="s">
        <v>82</v>
      </c>
      <c r="L358" s="14" t="s">
        <v>171</v>
      </c>
      <c r="M358" s="14" t="s">
        <v>78</v>
      </c>
      <c r="N358" s="17"/>
      <c r="O358" s="18" t="s">
        <v>239</v>
      </c>
      <c r="P358" s="9"/>
      <c r="Q358" s="19"/>
      <c r="R358" s="19"/>
      <c r="S358" s="209">
        <v>406</v>
      </c>
      <c r="T358" s="19">
        <f t="shared" si="71"/>
        <v>406</v>
      </c>
      <c r="U358" s="14" t="s">
        <v>77</v>
      </c>
      <c r="V358" s="14"/>
      <c r="W358" s="33">
        <v>30</v>
      </c>
      <c r="X358" s="34">
        <v>0</v>
      </c>
      <c r="Y358" s="34">
        <v>0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0</v>
      </c>
      <c r="AG358" s="34">
        <v>0</v>
      </c>
      <c r="AH358" s="34">
        <f t="shared" si="72"/>
        <v>0.60899999999999999</v>
      </c>
      <c r="AI358" s="34">
        <v>0</v>
      </c>
      <c r="AJ358" s="34">
        <f t="shared" si="74"/>
        <v>0.60899999999999999</v>
      </c>
      <c r="AK358" s="22"/>
      <c r="AL358" s="34">
        <v>0</v>
      </c>
      <c r="AM358" s="14"/>
      <c r="AN358" s="14"/>
      <c r="AO358" s="14"/>
      <c r="AP358" s="14"/>
    </row>
    <row r="359" spans="1:42" s="45" customFormat="1" ht="22" customHeight="1">
      <c r="A359" s="14" t="s">
        <v>21</v>
      </c>
      <c r="B359" s="15">
        <v>2024</v>
      </c>
      <c r="C359" s="15" t="s">
        <v>24</v>
      </c>
      <c r="D359" s="14" t="s">
        <v>185</v>
      </c>
      <c r="E359" s="14" t="s">
        <v>79</v>
      </c>
      <c r="F359" s="16" t="s">
        <v>265</v>
      </c>
      <c r="G359" s="14">
        <v>2</v>
      </c>
      <c r="H359" s="14"/>
      <c r="I359" s="14" t="s">
        <v>28</v>
      </c>
      <c r="J359" s="14" t="s">
        <v>11</v>
      </c>
      <c r="K359" s="16" t="s">
        <v>82</v>
      </c>
      <c r="L359" s="14" t="s">
        <v>166</v>
      </c>
      <c r="M359" s="14" t="s">
        <v>28</v>
      </c>
      <c r="N359" s="17"/>
      <c r="O359" s="18" t="s">
        <v>240</v>
      </c>
      <c r="P359" s="9"/>
      <c r="Q359" s="19"/>
      <c r="R359" s="19"/>
      <c r="S359" s="209">
        <v>915</v>
      </c>
      <c r="T359" s="19">
        <f t="shared" si="71"/>
        <v>915</v>
      </c>
      <c r="U359" s="14" t="s">
        <v>77</v>
      </c>
      <c r="V359" s="14"/>
      <c r="W359" s="33">
        <v>30</v>
      </c>
      <c r="X359" s="34">
        <v>0</v>
      </c>
      <c r="Y359" s="34">
        <v>0</v>
      </c>
      <c r="Z359" s="34">
        <v>0</v>
      </c>
      <c r="AA359" s="34">
        <v>0</v>
      </c>
      <c r="AB359" s="34">
        <v>0</v>
      </c>
      <c r="AC359" s="34">
        <v>0</v>
      </c>
      <c r="AD359" s="34">
        <v>0</v>
      </c>
      <c r="AE359" s="34">
        <v>0</v>
      </c>
      <c r="AF359" s="34">
        <v>0</v>
      </c>
      <c r="AG359" s="34">
        <v>0</v>
      </c>
      <c r="AH359" s="34">
        <f t="shared" si="72"/>
        <v>1.3725000000000001</v>
      </c>
      <c r="AI359" s="34">
        <v>0</v>
      </c>
      <c r="AJ359" s="34">
        <f t="shared" si="74"/>
        <v>1.3725000000000001</v>
      </c>
      <c r="AK359" s="22"/>
      <c r="AL359" s="34">
        <v>0</v>
      </c>
      <c r="AM359" s="14"/>
      <c r="AN359" s="14"/>
      <c r="AO359" s="14"/>
      <c r="AP359" s="14"/>
    </row>
    <row r="360" spans="1:42" s="45" customFormat="1" ht="22" customHeight="1">
      <c r="A360" s="14" t="s">
        <v>21</v>
      </c>
      <c r="B360" s="15">
        <v>2024</v>
      </c>
      <c r="C360" s="15" t="s">
        <v>24</v>
      </c>
      <c r="D360" s="14" t="s">
        <v>185</v>
      </c>
      <c r="E360" s="14" t="s">
        <v>79</v>
      </c>
      <c r="F360" s="16" t="s">
        <v>265</v>
      </c>
      <c r="G360" s="14">
        <v>1</v>
      </c>
      <c r="H360" s="14"/>
      <c r="I360" s="14"/>
      <c r="J360" s="14" t="s">
        <v>14</v>
      </c>
      <c r="K360" s="16" t="s">
        <v>14</v>
      </c>
      <c r="L360" s="14" t="s">
        <v>209</v>
      </c>
      <c r="M360" s="14" t="s">
        <v>99</v>
      </c>
      <c r="N360" s="30"/>
      <c r="O360" s="31" t="s">
        <v>242</v>
      </c>
      <c r="P360" s="9"/>
      <c r="Q360" s="19"/>
      <c r="R360" s="19"/>
      <c r="S360" s="209">
        <v>226</v>
      </c>
      <c r="T360" s="19">
        <f t="shared" si="71"/>
        <v>226</v>
      </c>
      <c r="U360" s="14" t="s">
        <v>77</v>
      </c>
      <c r="V360" s="14"/>
      <c r="W360" s="33">
        <v>30</v>
      </c>
      <c r="X360" s="34">
        <v>0</v>
      </c>
      <c r="Y360" s="34">
        <v>0</v>
      </c>
      <c r="Z360" s="34">
        <v>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4">
        <v>0</v>
      </c>
      <c r="AH360" s="34">
        <f t="shared" si="72"/>
        <v>0.33900000000000002</v>
      </c>
      <c r="AI360" s="34">
        <v>0</v>
      </c>
      <c r="AJ360" s="34">
        <f t="shared" si="74"/>
        <v>0.33900000000000002</v>
      </c>
      <c r="AK360" s="22"/>
      <c r="AL360" s="34">
        <v>0</v>
      </c>
      <c r="AM360" s="14"/>
      <c r="AN360" s="14"/>
      <c r="AO360" s="14"/>
      <c r="AP360" s="14"/>
    </row>
    <row r="361" spans="1:42" s="45" customFormat="1" ht="22" customHeight="1">
      <c r="A361" s="14" t="s">
        <v>21</v>
      </c>
      <c r="B361" s="15">
        <v>2024</v>
      </c>
      <c r="C361" s="15" t="s">
        <v>24</v>
      </c>
      <c r="D361" s="14" t="s">
        <v>185</v>
      </c>
      <c r="E361" s="14" t="s">
        <v>79</v>
      </c>
      <c r="F361" s="16" t="s">
        <v>265</v>
      </c>
      <c r="G361" s="14">
        <v>1</v>
      </c>
      <c r="H361" s="14"/>
      <c r="I361" s="14"/>
      <c r="J361" s="14" t="s">
        <v>12</v>
      </c>
      <c r="K361" s="16" t="s">
        <v>14</v>
      </c>
      <c r="L361" s="14" t="s">
        <v>209</v>
      </c>
      <c r="M361" s="14" t="s">
        <v>84</v>
      </c>
      <c r="N361" s="17"/>
      <c r="O361" s="18" t="s">
        <v>241</v>
      </c>
      <c r="P361" s="9"/>
      <c r="Q361" s="19"/>
      <c r="R361" s="19"/>
      <c r="S361" s="209">
        <v>476</v>
      </c>
      <c r="T361" s="19">
        <f t="shared" si="71"/>
        <v>476</v>
      </c>
      <c r="U361" s="14" t="s">
        <v>77</v>
      </c>
      <c r="V361" s="14"/>
      <c r="W361" s="33">
        <v>30</v>
      </c>
      <c r="X361" s="34">
        <v>0</v>
      </c>
      <c r="Y361" s="34">
        <v>0</v>
      </c>
      <c r="Z361" s="34">
        <v>0</v>
      </c>
      <c r="AA361" s="34">
        <v>0</v>
      </c>
      <c r="AB361" s="34">
        <v>0</v>
      </c>
      <c r="AC361" s="34">
        <v>0</v>
      </c>
      <c r="AD361" s="34">
        <v>0</v>
      </c>
      <c r="AE361" s="34">
        <v>0</v>
      </c>
      <c r="AF361" s="34">
        <v>0</v>
      </c>
      <c r="AG361" s="34">
        <v>0</v>
      </c>
      <c r="AH361" s="34">
        <f t="shared" si="72"/>
        <v>0.71399999999999997</v>
      </c>
      <c r="AI361" s="34">
        <v>0</v>
      </c>
      <c r="AJ361" s="34">
        <f t="shared" si="74"/>
        <v>0.71399999999999997</v>
      </c>
      <c r="AK361" s="22"/>
      <c r="AL361" s="34">
        <v>0</v>
      </c>
      <c r="AM361" s="14"/>
      <c r="AN361" s="14"/>
      <c r="AO361" s="14"/>
      <c r="AP361" s="14"/>
    </row>
    <row r="362" spans="1:42" s="45" customFormat="1" ht="22" customHeight="1">
      <c r="A362" s="14" t="s">
        <v>21</v>
      </c>
      <c r="B362" s="15">
        <v>2024</v>
      </c>
      <c r="C362" s="15" t="s">
        <v>24</v>
      </c>
      <c r="D362" s="14" t="s">
        <v>185</v>
      </c>
      <c r="E362" s="14" t="s">
        <v>79</v>
      </c>
      <c r="F362" s="16" t="s">
        <v>265</v>
      </c>
      <c r="G362" s="14">
        <v>1</v>
      </c>
      <c r="H362" s="14"/>
      <c r="I362" s="14"/>
      <c r="J362" s="14" t="s">
        <v>11</v>
      </c>
      <c r="K362" s="16" t="s">
        <v>82</v>
      </c>
      <c r="L362" s="14" t="s">
        <v>171</v>
      </c>
      <c r="M362" s="14" t="s">
        <v>78</v>
      </c>
      <c r="N362" s="17"/>
      <c r="O362" s="18" t="s">
        <v>243</v>
      </c>
      <c r="P362" s="9"/>
      <c r="Q362" s="19"/>
      <c r="R362" s="19"/>
      <c r="S362" s="209">
        <v>745</v>
      </c>
      <c r="T362" s="19">
        <f t="shared" si="71"/>
        <v>745</v>
      </c>
      <c r="U362" s="14" t="s">
        <v>77</v>
      </c>
      <c r="V362" s="14"/>
      <c r="W362" s="33">
        <v>30</v>
      </c>
      <c r="X362" s="34">
        <v>0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4">
        <v>0</v>
      </c>
      <c r="AH362" s="34">
        <f t="shared" si="72"/>
        <v>1.1174999999999999</v>
      </c>
      <c r="AI362" s="34">
        <v>0</v>
      </c>
      <c r="AJ362" s="34">
        <f t="shared" si="74"/>
        <v>1.1174999999999999</v>
      </c>
      <c r="AK362" s="22"/>
      <c r="AL362" s="34">
        <v>0</v>
      </c>
      <c r="AM362" s="14"/>
      <c r="AN362" s="14"/>
      <c r="AO362" s="14"/>
      <c r="AP362" s="14"/>
    </row>
    <row r="363" spans="1:42" s="45" customFormat="1" ht="22" customHeight="1">
      <c r="A363" s="14" t="s">
        <v>21</v>
      </c>
      <c r="B363" s="15">
        <v>2024</v>
      </c>
      <c r="C363" s="15" t="s">
        <v>24</v>
      </c>
      <c r="D363" s="14" t="s">
        <v>185</v>
      </c>
      <c r="E363" s="14" t="s">
        <v>79</v>
      </c>
      <c r="F363" s="16" t="s">
        <v>265</v>
      </c>
      <c r="G363" s="14">
        <v>1</v>
      </c>
      <c r="H363" s="14"/>
      <c r="I363" s="14"/>
      <c r="J363" s="14" t="s">
        <v>11</v>
      </c>
      <c r="K363" s="16" t="s">
        <v>82</v>
      </c>
      <c r="L363" s="14" t="s">
        <v>171</v>
      </c>
      <c r="M363" s="14" t="s">
        <v>11</v>
      </c>
      <c r="N363" s="17"/>
      <c r="O363" s="18" t="s">
        <v>244</v>
      </c>
      <c r="P363" s="9"/>
      <c r="Q363" s="19"/>
      <c r="R363" s="19"/>
      <c r="S363" s="209">
        <v>1584</v>
      </c>
      <c r="T363" s="19">
        <f t="shared" si="71"/>
        <v>1584</v>
      </c>
      <c r="U363" s="14" t="s">
        <v>77</v>
      </c>
      <c r="V363" s="14"/>
      <c r="W363" s="33">
        <v>30</v>
      </c>
      <c r="X363" s="34">
        <v>0</v>
      </c>
      <c r="Y363" s="34">
        <v>0</v>
      </c>
      <c r="Z363" s="34">
        <v>0</v>
      </c>
      <c r="AA363" s="34">
        <v>0</v>
      </c>
      <c r="AB363" s="34">
        <v>0</v>
      </c>
      <c r="AC363" s="34">
        <v>0</v>
      </c>
      <c r="AD363" s="34">
        <v>0</v>
      </c>
      <c r="AE363" s="34">
        <v>0</v>
      </c>
      <c r="AF363" s="34">
        <v>0</v>
      </c>
      <c r="AG363" s="34">
        <v>0</v>
      </c>
      <c r="AH363" s="34">
        <f t="shared" si="72"/>
        <v>2.3759999999999999</v>
      </c>
      <c r="AI363" s="34">
        <v>0</v>
      </c>
      <c r="AJ363" s="34">
        <f t="shared" si="74"/>
        <v>2.3759999999999999</v>
      </c>
      <c r="AK363" s="22"/>
      <c r="AL363" s="34"/>
      <c r="AM363" s="14"/>
      <c r="AN363" s="14"/>
      <c r="AO363" s="14"/>
      <c r="AP363" s="14"/>
    </row>
    <row r="364" spans="1:42" s="45" customFormat="1" ht="22" customHeight="1">
      <c r="A364" s="14" t="s">
        <v>21</v>
      </c>
      <c r="B364" s="15">
        <v>2024</v>
      </c>
      <c r="C364" s="15" t="s">
        <v>24</v>
      </c>
      <c r="D364" s="14" t="s">
        <v>185</v>
      </c>
      <c r="E364" s="14" t="s">
        <v>79</v>
      </c>
      <c r="F364" s="16" t="s">
        <v>265</v>
      </c>
      <c r="G364" s="14">
        <v>1</v>
      </c>
      <c r="H364" s="14"/>
      <c r="I364" s="14" t="s">
        <v>28</v>
      </c>
      <c r="J364" s="14" t="s">
        <v>11</v>
      </c>
      <c r="K364" s="16" t="s">
        <v>82</v>
      </c>
      <c r="L364" s="14" t="s">
        <v>166</v>
      </c>
      <c r="M364" s="14" t="s">
        <v>28</v>
      </c>
      <c r="N364" s="17"/>
      <c r="O364" s="18" t="s">
        <v>247</v>
      </c>
      <c r="P364" s="9"/>
      <c r="Q364" s="19"/>
      <c r="R364" s="19"/>
      <c r="S364" s="209">
        <v>508</v>
      </c>
      <c r="T364" s="19">
        <f t="shared" si="71"/>
        <v>508</v>
      </c>
      <c r="U364" s="14" t="s">
        <v>77</v>
      </c>
      <c r="V364" s="14"/>
      <c r="W364" s="33">
        <v>30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0</v>
      </c>
      <c r="AF364" s="34">
        <v>0</v>
      </c>
      <c r="AG364" s="34">
        <v>0</v>
      </c>
      <c r="AH364" s="34">
        <f t="shared" si="72"/>
        <v>0.76200000000000001</v>
      </c>
      <c r="AI364" s="34">
        <v>0</v>
      </c>
      <c r="AJ364" s="34">
        <f t="shared" si="74"/>
        <v>0.76200000000000001</v>
      </c>
      <c r="AK364" s="22"/>
      <c r="AL364" s="34">
        <v>0</v>
      </c>
      <c r="AM364" s="14"/>
      <c r="AN364" s="14"/>
      <c r="AO364" s="14"/>
      <c r="AP364" s="14"/>
    </row>
    <row r="365" spans="1:42" s="45" customFormat="1" ht="22" customHeight="1">
      <c r="A365" s="14" t="s">
        <v>21</v>
      </c>
      <c r="B365" s="15">
        <v>2024</v>
      </c>
      <c r="C365" s="15" t="s">
        <v>24</v>
      </c>
      <c r="D365" s="14" t="s">
        <v>185</v>
      </c>
      <c r="E365" s="14" t="s">
        <v>79</v>
      </c>
      <c r="F365" s="16" t="s">
        <v>265</v>
      </c>
      <c r="G365" s="14">
        <v>2</v>
      </c>
      <c r="H365" s="14"/>
      <c r="I365" s="14" t="s">
        <v>28</v>
      </c>
      <c r="J365" s="14" t="s">
        <v>11</v>
      </c>
      <c r="K365" s="16" t="s">
        <v>82</v>
      </c>
      <c r="L365" s="14" t="s">
        <v>166</v>
      </c>
      <c r="M365" s="14" t="s">
        <v>28</v>
      </c>
      <c r="N365" s="30"/>
      <c r="O365" s="31" t="s">
        <v>248</v>
      </c>
      <c r="P365" s="9"/>
      <c r="Q365" s="19"/>
      <c r="R365" s="19"/>
      <c r="S365" s="209">
        <v>662</v>
      </c>
      <c r="T365" s="19">
        <f t="shared" si="71"/>
        <v>662</v>
      </c>
      <c r="U365" s="14" t="s">
        <v>77</v>
      </c>
      <c r="V365" s="14"/>
      <c r="W365" s="33">
        <v>30</v>
      </c>
      <c r="X365" s="34">
        <v>0</v>
      </c>
      <c r="Y365" s="34">
        <v>0</v>
      </c>
      <c r="Z365" s="34">
        <v>0</v>
      </c>
      <c r="AA365" s="34">
        <v>0</v>
      </c>
      <c r="AB365" s="34">
        <v>0</v>
      </c>
      <c r="AC365" s="34">
        <v>0</v>
      </c>
      <c r="AD365" s="34">
        <v>0</v>
      </c>
      <c r="AE365" s="34">
        <v>0</v>
      </c>
      <c r="AF365" s="34">
        <v>0</v>
      </c>
      <c r="AG365" s="34">
        <v>0</v>
      </c>
      <c r="AH365" s="34">
        <f t="shared" si="72"/>
        <v>0.99299999999999999</v>
      </c>
      <c r="AI365" s="34">
        <v>0</v>
      </c>
      <c r="AJ365" s="34">
        <f t="shared" si="74"/>
        <v>0.99299999999999999</v>
      </c>
      <c r="AK365" s="22"/>
      <c r="AL365" s="34">
        <v>0</v>
      </c>
      <c r="AM365" s="14"/>
      <c r="AN365" s="14"/>
      <c r="AO365" s="14"/>
      <c r="AP365" s="14"/>
    </row>
    <row r="366" spans="1:42" s="45" customFormat="1" ht="22" customHeight="1">
      <c r="A366" s="14" t="s">
        <v>21</v>
      </c>
      <c r="B366" s="15">
        <v>2024</v>
      </c>
      <c r="C366" s="15" t="s">
        <v>24</v>
      </c>
      <c r="D366" s="14" t="s">
        <v>185</v>
      </c>
      <c r="E366" s="14" t="s">
        <v>79</v>
      </c>
      <c r="F366" s="16" t="s">
        <v>265</v>
      </c>
      <c r="G366" s="14">
        <v>1</v>
      </c>
      <c r="H366" s="14"/>
      <c r="I366" s="14"/>
      <c r="J366" s="14" t="s">
        <v>11</v>
      </c>
      <c r="K366" s="16" t="s">
        <v>82</v>
      </c>
      <c r="L366" s="14" t="s">
        <v>171</v>
      </c>
      <c r="M366" s="14" t="s">
        <v>11</v>
      </c>
      <c r="N366" s="17"/>
      <c r="O366" s="18" t="s">
        <v>253</v>
      </c>
      <c r="P366" s="9"/>
      <c r="Q366" s="19"/>
      <c r="R366" s="19"/>
      <c r="S366" s="209">
        <v>1601</v>
      </c>
      <c r="T366" s="19">
        <f t="shared" si="71"/>
        <v>1601</v>
      </c>
      <c r="U366" s="14" t="s">
        <v>77</v>
      </c>
      <c r="V366" s="14"/>
      <c r="W366" s="33">
        <v>30</v>
      </c>
      <c r="X366" s="34">
        <v>0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f t="shared" si="72"/>
        <v>2.4015</v>
      </c>
      <c r="AI366" s="34">
        <v>0</v>
      </c>
      <c r="AJ366" s="34">
        <f t="shared" si="74"/>
        <v>2.4015</v>
      </c>
      <c r="AK366" s="22"/>
      <c r="AL366" s="34">
        <v>0</v>
      </c>
      <c r="AM366" s="14"/>
      <c r="AN366" s="14"/>
      <c r="AO366" s="14"/>
      <c r="AP366" s="14"/>
    </row>
    <row r="367" spans="1:42" s="45" customFormat="1" ht="22" customHeight="1">
      <c r="A367" s="14" t="s">
        <v>21</v>
      </c>
      <c r="B367" s="15">
        <v>2024</v>
      </c>
      <c r="C367" s="15" t="s">
        <v>24</v>
      </c>
      <c r="D367" s="14" t="s">
        <v>185</v>
      </c>
      <c r="E367" s="14" t="s">
        <v>79</v>
      </c>
      <c r="F367" s="16" t="s">
        <v>265</v>
      </c>
      <c r="G367" s="14">
        <v>2</v>
      </c>
      <c r="H367" s="14"/>
      <c r="I367" s="14"/>
      <c r="J367" s="14" t="s">
        <v>14</v>
      </c>
      <c r="K367" s="16" t="s">
        <v>14</v>
      </c>
      <c r="L367" s="14" t="s">
        <v>209</v>
      </c>
      <c r="M367" s="14" t="s">
        <v>99</v>
      </c>
      <c r="N367" s="30"/>
      <c r="O367" s="31" t="s">
        <v>254</v>
      </c>
      <c r="P367" s="9"/>
      <c r="Q367" s="19"/>
      <c r="R367" s="19"/>
      <c r="S367" s="209">
        <v>523</v>
      </c>
      <c r="T367" s="19">
        <f t="shared" si="71"/>
        <v>523</v>
      </c>
      <c r="U367" s="14" t="s">
        <v>77</v>
      </c>
      <c r="V367" s="14"/>
      <c r="W367" s="33">
        <v>30</v>
      </c>
      <c r="X367" s="34">
        <v>0</v>
      </c>
      <c r="Y367" s="34">
        <v>0</v>
      </c>
      <c r="Z367" s="34">
        <v>0</v>
      </c>
      <c r="AA367" s="34">
        <v>0</v>
      </c>
      <c r="AB367" s="34">
        <v>0</v>
      </c>
      <c r="AC367" s="34">
        <v>0</v>
      </c>
      <c r="AD367" s="34">
        <v>0</v>
      </c>
      <c r="AE367" s="34">
        <v>0</v>
      </c>
      <c r="AF367" s="34">
        <v>0</v>
      </c>
      <c r="AG367" s="34">
        <v>0</v>
      </c>
      <c r="AH367" s="34">
        <f t="shared" si="72"/>
        <v>0.78449999999999998</v>
      </c>
      <c r="AI367" s="34">
        <v>0</v>
      </c>
      <c r="AJ367" s="34">
        <f t="shared" si="74"/>
        <v>0.78449999999999998</v>
      </c>
      <c r="AK367" s="22"/>
      <c r="AL367" s="34">
        <v>0</v>
      </c>
      <c r="AM367" s="14"/>
      <c r="AN367" s="14"/>
      <c r="AO367" s="14"/>
      <c r="AP367" s="14"/>
    </row>
    <row r="368" spans="1:42" s="45" customFormat="1" ht="22" customHeight="1">
      <c r="A368" s="14" t="s">
        <v>21</v>
      </c>
      <c r="B368" s="15">
        <v>2024</v>
      </c>
      <c r="C368" s="15" t="s">
        <v>24</v>
      </c>
      <c r="D368" s="14" t="s">
        <v>185</v>
      </c>
      <c r="E368" s="14" t="s">
        <v>79</v>
      </c>
      <c r="F368" s="16" t="s">
        <v>265</v>
      </c>
      <c r="G368" s="14">
        <v>1</v>
      </c>
      <c r="H368" s="14"/>
      <c r="I368" s="14"/>
      <c r="J368" s="14" t="s">
        <v>14</v>
      </c>
      <c r="K368" s="16" t="s">
        <v>14</v>
      </c>
      <c r="L368" s="14" t="s">
        <v>209</v>
      </c>
      <c r="M368" s="14" t="s">
        <v>99</v>
      </c>
      <c r="N368" s="30"/>
      <c r="O368" s="31" t="s">
        <v>257</v>
      </c>
      <c r="P368" s="9"/>
      <c r="Q368" s="19"/>
      <c r="R368" s="19"/>
      <c r="S368" s="209">
        <v>387</v>
      </c>
      <c r="T368" s="19">
        <f t="shared" si="71"/>
        <v>387</v>
      </c>
      <c r="U368" s="14" t="s">
        <v>77</v>
      </c>
      <c r="V368" s="14"/>
      <c r="W368" s="33">
        <v>30</v>
      </c>
      <c r="X368" s="34">
        <v>0</v>
      </c>
      <c r="Y368" s="34">
        <v>0</v>
      </c>
      <c r="Z368" s="34">
        <v>0</v>
      </c>
      <c r="AA368" s="34">
        <v>0</v>
      </c>
      <c r="AB368" s="34">
        <v>0</v>
      </c>
      <c r="AC368" s="34">
        <v>0</v>
      </c>
      <c r="AD368" s="34">
        <v>0</v>
      </c>
      <c r="AE368" s="34">
        <v>0</v>
      </c>
      <c r="AF368" s="34">
        <v>0</v>
      </c>
      <c r="AG368" s="34">
        <v>0</v>
      </c>
      <c r="AH368" s="34">
        <f t="shared" si="72"/>
        <v>0.58050000000000002</v>
      </c>
      <c r="AI368" s="34">
        <v>0</v>
      </c>
      <c r="AJ368" s="34">
        <f t="shared" si="74"/>
        <v>0.58050000000000002</v>
      </c>
      <c r="AK368" s="22"/>
      <c r="AL368" s="34"/>
      <c r="AM368" s="14"/>
      <c r="AN368" s="14"/>
      <c r="AO368" s="14"/>
      <c r="AP368" s="14"/>
    </row>
    <row r="369" spans="1:42" s="45" customFormat="1" ht="22" customHeight="1">
      <c r="A369" s="14" t="s">
        <v>21</v>
      </c>
      <c r="B369" s="15">
        <v>2024</v>
      </c>
      <c r="C369" s="15" t="s">
        <v>24</v>
      </c>
      <c r="D369" s="14" t="s">
        <v>185</v>
      </c>
      <c r="E369" s="14" t="s">
        <v>79</v>
      </c>
      <c r="F369" s="16" t="s">
        <v>265</v>
      </c>
      <c r="G369" s="14">
        <v>1</v>
      </c>
      <c r="H369" s="14"/>
      <c r="I369" s="14"/>
      <c r="J369" s="14" t="s">
        <v>11</v>
      </c>
      <c r="K369" s="16" t="s">
        <v>82</v>
      </c>
      <c r="L369" s="14" t="s">
        <v>171</v>
      </c>
      <c r="M369" s="14" t="s">
        <v>80</v>
      </c>
      <c r="N369" s="17"/>
      <c r="O369" s="18" t="s">
        <v>259</v>
      </c>
      <c r="P369" s="9"/>
      <c r="Q369" s="19"/>
      <c r="R369" s="19"/>
      <c r="S369" s="209">
        <v>758</v>
      </c>
      <c r="T369" s="19">
        <f t="shared" si="71"/>
        <v>758</v>
      </c>
      <c r="U369" s="14" t="s">
        <v>77</v>
      </c>
      <c r="V369" s="14"/>
      <c r="W369" s="33">
        <v>30</v>
      </c>
      <c r="X369" s="34">
        <v>0</v>
      </c>
      <c r="Y369" s="34">
        <v>0</v>
      </c>
      <c r="Z369" s="34">
        <v>0</v>
      </c>
      <c r="AA369" s="34">
        <v>0</v>
      </c>
      <c r="AB369" s="34">
        <v>0</v>
      </c>
      <c r="AC369" s="34">
        <v>0</v>
      </c>
      <c r="AD369" s="34">
        <v>0</v>
      </c>
      <c r="AE369" s="34">
        <v>0</v>
      </c>
      <c r="AF369" s="34">
        <v>0</v>
      </c>
      <c r="AG369" s="34">
        <v>0</v>
      </c>
      <c r="AH369" s="34">
        <f t="shared" si="72"/>
        <v>1.137</v>
      </c>
      <c r="AI369" s="34">
        <v>0</v>
      </c>
      <c r="AJ369" s="34">
        <f t="shared" si="74"/>
        <v>1.137</v>
      </c>
      <c r="AK369" s="22"/>
      <c r="AL369" s="34">
        <v>0</v>
      </c>
      <c r="AM369" s="14"/>
      <c r="AN369" s="14"/>
      <c r="AO369" s="14"/>
      <c r="AP369" s="14"/>
    </row>
    <row r="370" spans="1:42" s="45" customFormat="1" ht="22" customHeight="1">
      <c r="A370" s="14" t="s">
        <v>21</v>
      </c>
      <c r="B370" s="15">
        <v>2024</v>
      </c>
      <c r="C370" s="15" t="s">
        <v>24</v>
      </c>
      <c r="D370" s="14" t="s">
        <v>185</v>
      </c>
      <c r="E370" s="14" t="s">
        <v>79</v>
      </c>
      <c r="F370" s="16" t="s">
        <v>265</v>
      </c>
      <c r="G370" s="14">
        <v>1</v>
      </c>
      <c r="H370" s="14"/>
      <c r="I370" s="14"/>
      <c r="J370" s="14" t="s">
        <v>11</v>
      </c>
      <c r="K370" s="16" t="s">
        <v>82</v>
      </c>
      <c r="L370" s="14" t="s">
        <v>171</v>
      </c>
      <c r="M370" s="14" t="s">
        <v>78</v>
      </c>
      <c r="N370" s="17"/>
      <c r="O370" s="18" t="s">
        <v>262</v>
      </c>
      <c r="P370" s="9"/>
      <c r="Q370" s="19"/>
      <c r="R370" s="19"/>
      <c r="S370" s="209">
        <v>345</v>
      </c>
      <c r="T370" s="19">
        <f t="shared" si="71"/>
        <v>345</v>
      </c>
      <c r="U370" s="14" t="s">
        <v>77</v>
      </c>
      <c r="V370" s="14"/>
      <c r="W370" s="33">
        <v>30</v>
      </c>
      <c r="X370" s="34">
        <v>0</v>
      </c>
      <c r="Y370" s="34">
        <v>0</v>
      </c>
      <c r="Z370" s="34">
        <v>0</v>
      </c>
      <c r="AA370" s="34">
        <v>0</v>
      </c>
      <c r="AB370" s="34">
        <v>0</v>
      </c>
      <c r="AC370" s="34">
        <v>0</v>
      </c>
      <c r="AD370" s="34">
        <v>0</v>
      </c>
      <c r="AE370" s="34">
        <v>0</v>
      </c>
      <c r="AF370" s="34">
        <v>0</v>
      </c>
      <c r="AG370" s="34">
        <v>0</v>
      </c>
      <c r="AH370" s="34">
        <f t="shared" si="72"/>
        <v>0.51749999999999996</v>
      </c>
      <c r="AI370" s="34">
        <v>0</v>
      </c>
      <c r="AJ370" s="34">
        <f t="shared" si="74"/>
        <v>0.51749999999999996</v>
      </c>
      <c r="AK370" s="22"/>
      <c r="AL370" s="34">
        <v>0</v>
      </c>
      <c r="AM370" s="14"/>
      <c r="AN370" s="14"/>
      <c r="AO370" s="14"/>
      <c r="AP370" s="14"/>
    </row>
    <row r="371" spans="1:42" s="45" customFormat="1" ht="22" customHeight="1">
      <c r="A371" s="14" t="s">
        <v>21</v>
      </c>
      <c r="B371" s="15">
        <v>2024</v>
      </c>
      <c r="C371" s="15" t="s">
        <v>24</v>
      </c>
      <c r="D371" s="14" t="s">
        <v>185</v>
      </c>
      <c r="E371" s="14" t="s">
        <v>79</v>
      </c>
      <c r="F371" s="16" t="s">
        <v>265</v>
      </c>
      <c r="G371" s="14">
        <v>2</v>
      </c>
      <c r="H371" s="14"/>
      <c r="I371" s="14"/>
      <c r="J371" s="14" t="s">
        <v>14</v>
      </c>
      <c r="K371" s="16" t="s">
        <v>14</v>
      </c>
      <c r="L371" s="14" t="s">
        <v>209</v>
      </c>
      <c r="M371" s="14" t="s">
        <v>99</v>
      </c>
      <c r="N371" s="30"/>
      <c r="O371" s="31" t="s">
        <v>263</v>
      </c>
      <c r="P371" s="9"/>
      <c r="Q371" s="19"/>
      <c r="R371" s="19"/>
      <c r="S371" s="209">
        <v>267</v>
      </c>
      <c r="T371" s="19">
        <f t="shared" si="71"/>
        <v>267</v>
      </c>
      <c r="U371" s="14" t="s">
        <v>77</v>
      </c>
      <c r="V371" s="14"/>
      <c r="W371" s="33">
        <v>30</v>
      </c>
      <c r="X371" s="34">
        <v>0</v>
      </c>
      <c r="Y371" s="34">
        <v>0</v>
      </c>
      <c r="Z371" s="34">
        <v>0</v>
      </c>
      <c r="AA371" s="34">
        <v>0</v>
      </c>
      <c r="AB371" s="34">
        <v>0</v>
      </c>
      <c r="AC371" s="34">
        <v>0</v>
      </c>
      <c r="AD371" s="34">
        <v>0</v>
      </c>
      <c r="AE371" s="34">
        <v>0</v>
      </c>
      <c r="AF371" s="34">
        <v>0</v>
      </c>
      <c r="AG371" s="34">
        <v>0</v>
      </c>
      <c r="AH371" s="34">
        <f t="shared" si="72"/>
        <v>0.40050000000000002</v>
      </c>
      <c r="AI371" s="34">
        <v>0</v>
      </c>
      <c r="AJ371" s="34">
        <f t="shared" si="74"/>
        <v>0.40050000000000002</v>
      </c>
      <c r="AK371" s="22"/>
      <c r="AL371" s="34"/>
      <c r="AM371" s="14"/>
      <c r="AN371" s="14"/>
      <c r="AO371" s="14"/>
      <c r="AP371" s="14"/>
    </row>
    <row r="372" spans="1:42" s="45" customFormat="1" ht="22" customHeight="1">
      <c r="A372" s="14" t="s">
        <v>21</v>
      </c>
      <c r="B372" s="15">
        <v>2024</v>
      </c>
      <c r="C372" s="15" t="s">
        <v>24</v>
      </c>
      <c r="D372" s="14" t="s">
        <v>185</v>
      </c>
      <c r="E372" s="14" t="s">
        <v>79</v>
      </c>
      <c r="F372" s="16" t="s">
        <v>265</v>
      </c>
      <c r="G372" s="14">
        <v>2</v>
      </c>
      <c r="H372" s="14"/>
      <c r="I372" s="14"/>
      <c r="J372" s="14" t="s">
        <v>14</v>
      </c>
      <c r="K372" s="16" t="s">
        <v>14</v>
      </c>
      <c r="L372" s="14" t="s">
        <v>209</v>
      </c>
      <c r="M372" s="14" t="s">
        <v>99</v>
      </c>
      <c r="N372" s="30"/>
      <c r="O372" s="31" t="s">
        <v>264</v>
      </c>
      <c r="P372" s="9"/>
      <c r="Q372" s="19"/>
      <c r="R372" s="19"/>
      <c r="S372" s="209">
        <v>346</v>
      </c>
      <c r="T372" s="19">
        <f t="shared" si="71"/>
        <v>346</v>
      </c>
      <c r="U372" s="14" t="s">
        <v>77</v>
      </c>
      <c r="V372" s="14"/>
      <c r="W372" s="33">
        <v>30</v>
      </c>
      <c r="X372" s="34">
        <v>0</v>
      </c>
      <c r="Y372" s="34">
        <v>0</v>
      </c>
      <c r="Z372" s="34">
        <v>0</v>
      </c>
      <c r="AA372" s="34">
        <v>0</v>
      </c>
      <c r="AB372" s="34">
        <v>0</v>
      </c>
      <c r="AC372" s="34">
        <v>0</v>
      </c>
      <c r="AD372" s="34">
        <v>0</v>
      </c>
      <c r="AE372" s="34">
        <v>0</v>
      </c>
      <c r="AF372" s="34">
        <v>0</v>
      </c>
      <c r="AG372" s="34">
        <v>0</v>
      </c>
      <c r="AH372" s="34">
        <f t="shared" si="72"/>
        <v>0.51900000000000002</v>
      </c>
      <c r="AI372" s="34">
        <v>0</v>
      </c>
      <c r="AJ372" s="34">
        <f t="shared" si="74"/>
        <v>0.51900000000000002</v>
      </c>
      <c r="AK372" s="22"/>
      <c r="AL372" s="34"/>
      <c r="AM372" s="14"/>
      <c r="AN372" s="14"/>
      <c r="AO372" s="14"/>
      <c r="AP372" s="14"/>
    </row>
    <row r="373" spans="1:42" s="45" customFormat="1" ht="22" customHeight="1">
      <c r="A373" s="14" t="s">
        <v>21</v>
      </c>
      <c r="B373" s="15">
        <v>2024</v>
      </c>
      <c r="C373" s="15" t="s">
        <v>24</v>
      </c>
      <c r="D373" s="14" t="s">
        <v>185</v>
      </c>
      <c r="E373" s="14" t="s">
        <v>26</v>
      </c>
      <c r="F373" s="16" t="s">
        <v>265</v>
      </c>
      <c r="G373" s="14">
        <v>1</v>
      </c>
      <c r="H373" s="14"/>
      <c r="I373" s="14"/>
      <c r="J373" s="14" t="s">
        <v>11</v>
      </c>
      <c r="K373" s="16" t="s">
        <v>82</v>
      </c>
      <c r="L373" s="14" t="s">
        <v>171</v>
      </c>
      <c r="M373" s="14" t="s">
        <v>78</v>
      </c>
      <c r="N373" s="17"/>
      <c r="O373" s="18" t="s">
        <v>208</v>
      </c>
      <c r="P373" s="9"/>
      <c r="Q373" s="19"/>
      <c r="R373" s="19"/>
      <c r="S373" s="209">
        <v>835</v>
      </c>
      <c r="T373" s="19">
        <f>S373</f>
        <v>835</v>
      </c>
      <c r="U373" s="14" t="s">
        <v>77</v>
      </c>
      <c r="V373" s="14"/>
      <c r="W373" s="33">
        <v>30</v>
      </c>
      <c r="X373" s="34"/>
      <c r="Y373" s="34">
        <v>0</v>
      </c>
      <c r="Z373" s="34">
        <v>0</v>
      </c>
      <c r="AA373" s="34">
        <v>0</v>
      </c>
      <c r="AB373" s="34">
        <v>0</v>
      </c>
      <c r="AC373" s="34">
        <f>+S373*W373*20/1000000</f>
        <v>0.501</v>
      </c>
      <c r="AD373" s="34"/>
      <c r="AE373" s="34">
        <v>0</v>
      </c>
      <c r="AF373" s="34">
        <f>+S373*W373*200/1000000</f>
        <v>5.01</v>
      </c>
      <c r="AG373" s="34">
        <v>0</v>
      </c>
      <c r="AH373" s="34"/>
      <c r="AI373" s="34">
        <v>0</v>
      </c>
      <c r="AJ373" s="34">
        <f t="shared" si="74"/>
        <v>5.5110000000000001</v>
      </c>
      <c r="AK373" s="22"/>
      <c r="AL373" s="34"/>
      <c r="AM373" s="14"/>
      <c r="AN373" s="14"/>
      <c r="AO373" s="14"/>
      <c r="AP373" s="14"/>
    </row>
    <row r="374" spans="1:42" s="45" customFormat="1" ht="22" customHeight="1">
      <c r="A374" s="14" t="s">
        <v>21</v>
      </c>
      <c r="B374" s="15">
        <v>2024</v>
      </c>
      <c r="C374" s="15" t="s">
        <v>24</v>
      </c>
      <c r="D374" s="14" t="s">
        <v>185</v>
      </c>
      <c r="E374" s="14" t="s">
        <v>26</v>
      </c>
      <c r="F374" s="16" t="s">
        <v>265</v>
      </c>
      <c r="G374" s="14">
        <v>1</v>
      </c>
      <c r="H374" s="14"/>
      <c r="I374" s="14"/>
      <c r="J374" s="14" t="s">
        <v>12</v>
      </c>
      <c r="K374" s="16" t="s">
        <v>14</v>
      </c>
      <c r="L374" s="14" t="s">
        <v>209</v>
      </c>
      <c r="M374" s="14" t="s">
        <v>84</v>
      </c>
      <c r="N374" s="17"/>
      <c r="O374" s="18" t="s">
        <v>210</v>
      </c>
      <c r="P374" s="9"/>
      <c r="Q374" s="19"/>
      <c r="R374" s="19"/>
      <c r="S374" s="209">
        <v>882</v>
      </c>
      <c r="T374" s="19">
        <f t="shared" ref="T374:T425" si="75">S374</f>
        <v>882</v>
      </c>
      <c r="U374" s="14" t="s">
        <v>77</v>
      </c>
      <c r="V374" s="14"/>
      <c r="W374" s="33">
        <v>30</v>
      </c>
      <c r="X374" s="34"/>
      <c r="Y374" s="34">
        <v>0</v>
      </c>
      <c r="Z374" s="34">
        <v>0</v>
      </c>
      <c r="AA374" s="34">
        <v>0</v>
      </c>
      <c r="AB374" s="34">
        <v>0</v>
      </c>
      <c r="AC374" s="34">
        <f t="shared" ref="AC374:AC425" si="76">+S374*W374*20/1000000</f>
        <v>0.5292</v>
      </c>
      <c r="AD374" s="34"/>
      <c r="AE374" s="34">
        <v>0</v>
      </c>
      <c r="AF374" s="34">
        <f t="shared" ref="AF374:AF425" si="77">+S374*W374*200/1000000</f>
        <v>5.2919999999999998</v>
      </c>
      <c r="AG374" s="34">
        <v>0</v>
      </c>
      <c r="AH374" s="34"/>
      <c r="AI374" s="34">
        <v>0</v>
      </c>
      <c r="AJ374" s="34">
        <f t="shared" si="74"/>
        <v>5.8212000000000002</v>
      </c>
      <c r="AK374" s="22"/>
      <c r="AL374" s="34"/>
      <c r="AM374" s="14"/>
      <c r="AN374" s="14"/>
      <c r="AO374" s="14"/>
      <c r="AP374" s="14"/>
    </row>
    <row r="375" spans="1:42" s="45" customFormat="1" ht="22" customHeight="1">
      <c r="A375" s="14" t="s">
        <v>21</v>
      </c>
      <c r="B375" s="15">
        <v>2024</v>
      </c>
      <c r="C375" s="15" t="s">
        <v>24</v>
      </c>
      <c r="D375" s="14" t="s">
        <v>185</v>
      </c>
      <c r="E375" s="14" t="s">
        <v>26</v>
      </c>
      <c r="F375" s="16" t="s">
        <v>265</v>
      </c>
      <c r="G375" s="14">
        <v>1</v>
      </c>
      <c r="H375" s="14"/>
      <c r="I375" s="14"/>
      <c r="J375" s="14" t="s">
        <v>11</v>
      </c>
      <c r="K375" s="16" t="s">
        <v>82</v>
      </c>
      <c r="L375" s="14" t="s">
        <v>171</v>
      </c>
      <c r="M375" s="14" t="s">
        <v>11</v>
      </c>
      <c r="N375" s="17"/>
      <c r="O375" s="18" t="s">
        <v>211</v>
      </c>
      <c r="P375" s="9"/>
      <c r="Q375" s="19"/>
      <c r="R375" s="19"/>
      <c r="S375" s="209">
        <v>1691</v>
      </c>
      <c r="T375" s="19">
        <f t="shared" si="75"/>
        <v>1691</v>
      </c>
      <c r="U375" s="14" t="s">
        <v>77</v>
      </c>
      <c r="V375" s="14"/>
      <c r="W375" s="33">
        <v>30</v>
      </c>
      <c r="X375" s="34"/>
      <c r="Y375" s="34">
        <v>0</v>
      </c>
      <c r="Z375" s="34">
        <v>0</v>
      </c>
      <c r="AA375" s="34">
        <v>0</v>
      </c>
      <c r="AB375" s="34">
        <v>0</v>
      </c>
      <c r="AC375" s="34">
        <f t="shared" si="76"/>
        <v>1.0145999999999999</v>
      </c>
      <c r="AD375" s="34"/>
      <c r="AE375" s="34">
        <v>0</v>
      </c>
      <c r="AF375" s="34">
        <f t="shared" si="77"/>
        <v>10.146000000000001</v>
      </c>
      <c r="AG375" s="34">
        <v>0</v>
      </c>
      <c r="AH375" s="34"/>
      <c r="AI375" s="34">
        <v>0</v>
      </c>
      <c r="AJ375" s="34">
        <f t="shared" si="74"/>
        <v>11.160600000000001</v>
      </c>
      <c r="AK375" s="22"/>
      <c r="AL375" s="34"/>
      <c r="AM375" s="14"/>
      <c r="AN375" s="14"/>
      <c r="AO375" s="14"/>
      <c r="AP375" s="14"/>
    </row>
    <row r="376" spans="1:42" s="45" customFormat="1" ht="22" customHeight="1">
      <c r="A376" s="14" t="s">
        <v>21</v>
      </c>
      <c r="B376" s="15">
        <v>2024</v>
      </c>
      <c r="C376" s="15" t="s">
        <v>24</v>
      </c>
      <c r="D376" s="14" t="s">
        <v>185</v>
      </c>
      <c r="E376" s="14" t="s">
        <v>26</v>
      </c>
      <c r="F376" s="16" t="s">
        <v>265</v>
      </c>
      <c r="G376" s="14">
        <v>2</v>
      </c>
      <c r="H376" s="14"/>
      <c r="I376" s="14"/>
      <c r="J376" s="14" t="s">
        <v>11</v>
      </c>
      <c r="K376" s="16" t="s">
        <v>82</v>
      </c>
      <c r="L376" s="14" t="s">
        <v>166</v>
      </c>
      <c r="M376" s="14" t="s">
        <v>82</v>
      </c>
      <c r="N376" s="30"/>
      <c r="O376" s="31" t="s">
        <v>212</v>
      </c>
      <c r="P376" s="9"/>
      <c r="Q376" s="19"/>
      <c r="R376" s="19"/>
      <c r="S376" s="209">
        <v>364</v>
      </c>
      <c r="T376" s="19">
        <f t="shared" si="75"/>
        <v>364</v>
      </c>
      <c r="U376" s="14" t="s">
        <v>77</v>
      </c>
      <c r="V376" s="14"/>
      <c r="W376" s="33">
        <v>30</v>
      </c>
      <c r="X376" s="34"/>
      <c r="Y376" s="34">
        <v>0</v>
      </c>
      <c r="Z376" s="34">
        <v>0</v>
      </c>
      <c r="AA376" s="34">
        <v>0</v>
      </c>
      <c r="AB376" s="34">
        <v>0</v>
      </c>
      <c r="AC376" s="34">
        <f t="shared" si="76"/>
        <v>0.21840000000000001</v>
      </c>
      <c r="AD376" s="34"/>
      <c r="AE376" s="34">
        <v>0</v>
      </c>
      <c r="AF376" s="34">
        <f t="shared" si="77"/>
        <v>2.1840000000000002</v>
      </c>
      <c r="AG376" s="34">
        <v>0</v>
      </c>
      <c r="AH376" s="34"/>
      <c r="AI376" s="34">
        <v>0</v>
      </c>
      <c r="AJ376" s="34">
        <f t="shared" si="74"/>
        <v>2.4024000000000001</v>
      </c>
      <c r="AK376" s="22"/>
      <c r="AL376" s="34"/>
      <c r="AM376" s="14"/>
      <c r="AN376" s="14"/>
      <c r="AO376" s="14"/>
      <c r="AP376" s="14"/>
    </row>
    <row r="377" spans="1:42" s="45" customFormat="1" ht="22" customHeight="1">
      <c r="A377" s="14" t="s">
        <v>21</v>
      </c>
      <c r="B377" s="15">
        <v>2024</v>
      </c>
      <c r="C377" s="15" t="s">
        <v>24</v>
      </c>
      <c r="D377" s="14" t="s">
        <v>185</v>
      </c>
      <c r="E377" s="14" t="s">
        <v>26</v>
      </c>
      <c r="F377" s="16" t="s">
        <v>265</v>
      </c>
      <c r="G377" s="14">
        <v>1</v>
      </c>
      <c r="H377" s="14"/>
      <c r="I377" s="14"/>
      <c r="J377" s="14" t="s">
        <v>12</v>
      </c>
      <c r="K377" s="16" t="s">
        <v>14</v>
      </c>
      <c r="L377" s="14" t="s">
        <v>209</v>
      </c>
      <c r="M377" s="14" t="s">
        <v>84</v>
      </c>
      <c r="N377" s="17"/>
      <c r="O377" s="18" t="s">
        <v>213</v>
      </c>
      <c r="P377" s="9"/>
      <c r="Q377" s="19"/>
      <c r="R377" s="19"/>
      <c r="S377" s="32"/>
      <c r="T377" s="19">
        <f t="shared" si="75"/>
        <v>0</v>
      </c>
      <c r="U377" s="14"/>
      <c r="V377" s="14"/>
      <c r="W377" s="33"/>
      <c r="X377" s="34"/>
      <c r="Y377" s="34">
        <v>0</v>
      </c>
      <c r="Z377" s="34">
        <v>0</v>
      </c>
      <c r="AA377" s="34">
        <v>0</v>
      </c>
      <c r="AB377" s="34">
        <v>0</v>
      </c>
      <c r="AC377" s="34">
        <f t="shared" si="76"/>
        <v>0</v>
      </c>
      <c r="AD377" s="34"/>
      <c r="AE377" s="34">
        <v>0</v>
      </c>
      <c r="AF377" s="34">
        <f t="shared" si="77"/>
        <v>0</v>
      </c>
      <c r="AG377" s="34">
        <v>0</v>
      </c>
      <c r="AH377" s="34"/>
      <c r="AI377" s="34">
        <v>0</v>
      </c>
      <c r="AJ377" s="34">
        <f t="shared" ref="AJ377:AJ383" si="78">SUBTOTAL(9,X377:AI377)</f>
        <v>0</v>
      </c>
      <c r="AK377" s="22"/>
      <c r="AL377" s="34"/>
      <c r="AM377" s="14"/>
      <c r="AN377" s="14"/>
      <c r="AO377" s="14"/>
      <c r="AP377" s="14"/>
    </row>
    <row r="378" spans="1:42" s="45" customFormat="1" ht="22" customHeight="1">
      <c r="A378" s="14" t="s">
        <v>21</v>
      </c>
      <c r="B378" s="15">
        <v>2024</v>
      </c>
      <c r="C378" s="15" t="s">
        <v>24</v>
      </c>
      <c r="D378" s="14" t="s">
        <v>185</v>
      </c>
      <c r="E378" s="14" t="s">
        <v>26</v>
      </c>
      <c r="F378" s="16" t="s">
        <v>265</v>
      </c>
      <c r="G378" s="14">
        <v>1</v>
      </c>
      <c r="H378" s="14"/>
      <c r="I378" s="14"/>
      <c r="J378" s="14" t="s">
        <v>12</v>
      </c>
      <c r="K378" s="16" t="s">
        <v>14</v>
      </c>
      <c r="L378" s="14" t="s">
        <v>209</v>
      </c>
      <c r="M378" s="14" t="s">
        <v>84</v>
      </c>
      <c r="N378" s="17"/>
      <c r="O378" s="18" t="s">
        <v>214</v>
      </c>
      <c r="P378" s="9"/>
      <c r="Q378" s="19"/>
      <c r="R378" s="19"/>
      <c r="S378" s="209">
        <v>1750</v>
      </c>
      <c r="T378" s="19">
        <f t="shared" si="75"/>
        <v>1750</v>
      </c>
      <c r="U378" s="14" t="s">
        <v>77</v>
      </c>
      <c r="V378" s="14"/>
      <c r="W378" s="33">
        <v>30</v>
      </c>
      <c r="X378" s="34"/>
      <c r="Y378" s="34">
        <v>0</v>
      </c>
      <c r="Z378" s="34">
        <v>0</v>
      </c>
      <c r="AA378" s="34">
        <v>0</v>
      </c>
      <c r="AB378" s="34">
        <v>0</v>
      </c>
      <c r="AC378" s="34">
        <f t="shared" si="76"/>
        <v>1.05</v>
      </c>
      <c r="AD378" s="34"/>
      <c r="AE378" s="34">
        <v>0</v>
      </c>
      <c r="AF378" s="34">
        <f t="shared" si="77"/>
        <v>10.5</v>
      </c>
      <c r="AG378" s="34">
        <v>0</v>
      </c>
      <c r="AH378" s="34"/>
      <c r="AI378" s="34">
        <v>0</v>
      </c>
      <c r="AJ378" s="34">
        <f t="shared" si="78"/>
        <v>11.55</v>
      </c>
      <c r="AK378" s="22"/>
      <c r="AL378" s="34"/>
      <c r="AM378" s="14"/>
      <c r="AN378" s="14"/>
      <c r="AO378" s="14"/>
      <c r="AP378" s="14"/>
    </row>
    <row r="379" spans="1:42" s="45" customFormat="1" ht="22" customHeight="1">
      <c r="A379" s="14" t="s">
        <v>21</v>
      </c>
      <c r="B379" s="15">
        <v>2024</v>
      </c>
      <c r="C379" s="15" t="s">
        <v>24</v>
      </c>
      <c r="D379" s="14" t="s">
        <v>185</v>
      </c>
      <c r="E379" s="14" t="s">
        <v>26</v>
      </c>
      <c r="F379" s="16" t="s">
        <v>265</v>
      </c>
      <c r="G379" s="14">
        <v>1</v>
      </c>
      <c r="H379" s="14"/>
      <c r="I379" s="14"/>
      <c r="J379" s="14" t="s">
        <v>13</v>
      </c>
      <c r="K379" s="16"/>
      <c r="L379" s="14" t="s">
        <v>215</v>
      </c>
      <c r="M379" s="14" t="s">
        <v>95</v>
      </c>
      <c r="N379" s="30" t="s">
        <v>266</v>
      </c>
      <c r="O379" s="31" t="s">
        <v>216</v>
      </c>
      <c r="P379" s="9"/>
      <c r="Q379" s="19"/>
      <c r="R379" s="19"/>
      <c r="S379" s="209">
        <v>187</v>
      </c>
      <c r="T379" s="19">
        <f t="shared" si="75"/>
        <v>187</v>
      </c>
      <c r="U379" s="14" t="s">
        <v>77</v>
      </c>
      <c r="V379" s="14"/>
      <c r="W379" s="33">
        <v>30</v>
      </c>
      <c r="X379" s="34">
        <v>0</v>
      </c>
      <c r="Y379" s="34">
        <v>0</v>
      </c>
      <c r="Z379" s="34">
        <v>0</v>
      </c>
      <c r="AA379" s="34">
        <v>0</v>
      </c>
      <c r="AB379" s="34">
        <v>0</v>
      </c>
      <c r="AC379" s="34">
        <f t="shared" si="76"/>
        <v>0.11219999999999999</v>
      </c>
      <c r="AD379" s="34"/>
      <c r="AE379" s="34">
        <v>0</v>
      </c>
      <c r="AF379" s="34">
        <f t="shared" si="77"/>
        <v>1.1220000000000001</v>
      </c>
      <c r="AG379" s="34">
        <v>0</v>
      </c>
      <c r="AH379" s="34">
        <v>0</v>
      </c>
      <c r="AI379" s="34">
        <v>0</v>
      </c>
      <c r="AJ379" s="34">
        <f t="shared" si="78"/>
        <v>1.2342000000000002</v>
      </c>
      <c r="AK379" s="22"/>
      <c r="AL379" s="34"/>
      <c r="AM379" s="14"/>
      <c r="AN379" s="14"/>
      <c r="AO379" s="14"/>
      <c r="AP379" s="14"/>
    </row>
    <row r="380" spans="1:42" s="45" customFormat="1" ht="22" customHeight="1">
      <c r="A380" s="14" t="s">
        <v>21</v>
      </c>
      <c r="B380" s="15">
        <v>2024</v>
      </c>
      <c r="C380" s="15" t="s">
        <v>24</v>
      </c>
      <c r="D380" s="14" t="s">
        <v>185</v>
      </c>
      <c r="E380" s="14" t="s">
        <v>26</v>
      </c>
      <c r="F380" s="16" t="s">
        <v>265</v>
      </c>
      <c r="G380" s="14">
        <v>1</v>
      </c>
      <c r="H380" s="14"/>
      <c r="I380" s="14"/>
      <c r="J380" s="14" t="s">
        <v>13</v>
      </c>
      <c r="K380" s="16"/>
      <c r="L380" s="14" t="s">
        <v>215</v>
      </c>
      <c r="M380" s="14" t="s">
        <v>95</v>
      </c>
      <c r="N380" s="30" t="s">
        <v>266</v>
      </c>
      <c r="O380" s="31" t="s">
        <v>218</v>
      </c>
      <c r="P380" s="9"/>
      <c r="Q380" s="19"/>
      <c r="R380" s="19"/>
      <c r="S380" s="209">
        <v>911</v>
      </c>
      <c r="T380" s="19">
        <f t="shared" si="75"/>
        <v>911</v>
      </c>
      <c r="U380" s="14" t="s">
        <v>77</v>
      </c>
      <c r="V380" s="14"/>
      <c r="W380" s="33">
        <v>30</v>
      </c>
      <c r="X380" s="34">
        <v>0</v>
      </c>
      <c r="Y380" s="34">
        <v>0</v>
      </c>
      <c r="Z380" s="34">
        <v>0</v>
      </c>
      <c r="AA380" s="34">
        <v>0</v>
      </c>
      <c r="AB380" s="34">
        <v>0</v>
      </c>
      <c r="AC380" s="34">
        <f t="shared" si="76"/>
        <v>0.54659999999999997</v>
      </c>
      <c r="AD380" s="34"/>
      <c r="AE380" s="34">
        <v>0</v>
      </c>
      <c r="AF380" s="34">
        <f t="shared" si="77"/>
        <v>5.4660000000000002</v>
      </c>
      <c r="AG380" s="34">
        <v>0</v>
      </c>
      <c r="AH380" s="34">
        <v>0</v>
      </c>
      <c r="AI380" s="34">
        <v>0</v>
      </c>
      <c r="AJ380" s="34">
        <f t="shared" si="78"/>
        <v>6.0125999999999999</v>
      </c>
      <c r="AK380" s="22"/>
      <c r="AL380" s="34"/>
      <c r="AM380" s="14"/>
      <c r="AN380" s="14"/>
      <c r="AO380" s="14"/>
      <c r="AP380" s="14"/>
    </row>
    <row r="381" spans="1:42" s="45" customFormat="1" ht="22" customHeight="1">
      <c r="A381" s="14" t="s">
        <v>21</v>
      </c>
      <c r="B381" s="15">
        <v>2024</v>
      </c>
      <c r="C381" s="15" t="s">
        <v>24</v>
      </c>
      <c r="D381" s="14" t="s">
        <v>185</v>
      </c>
      <c r="E381" s="14" t="s">
        <v>26</v>
      </c>
      <c r="F381" s="16" t="s">
        <v>265</v>
      </c>
      <c r="G381" s="14">
        <v>2</v>
      </c>
      <c r="H381" s="14"/>
      <c r="I381" s="14"/>
      <c r="J381" s="14" t="s">
        <v>13</v>
      </c>
      <c r="K381" s="16"/>
      <c r="L381" s="14" t="s">
        <v>223</v>
      </c>
      <c r="M381" s="14" t="s">
        <v>97</v>
      </c>
      <c r="N381" s="30" t="s">
        <v>267</v>
      </c>
      <c r="O381" s="31" t="s">
        <v>224</v>
      </c>
      <c r="P381" s="9"/>
      <c r="Q381" s="19"/>
      <c r="R381" s="19"/>
      <c r="S381" s="209">
        <v>240</v>
      </c>
      <c r="T381" s="19">
        <f t="shared" si="75"/>
        <v>240</v>
      </c>
      <c r="U381" s="14" t="s">
        <v>77</v>
      </c>
      <c r="V381" s="14"/>
      <c r="W381" s="33">
        <v>30</v>
      </c>
      <c r="X381" s="34"/>
      <c r="Y381" s="34">
        <v>0</v>
      </c>
      <c r="Z381" s="34">
        <v>0</v>
      </c>
      <c r="AA381" s="34">
        <v>0</v>
      </c>
      <c r="AB381" s="34">
        <v>0</v>
      </c>
      <c r="AC381" s="34">
        <f t="shared" si="76"/>
        <v>0.14399999999999999</v>
      </c>
      <c r="AD381" s="34"/>
      <c r="AE381" s="34">
        <v>0</v>
      </c>
      <c r="AF381" s="34">
        <f t="shared" si="77"/>
        <v>1.44</v>
      </c>
      <c r="AG381" s="34">
        <v>0</v>
      </c>
      <c r="AH381" s="34"/>
      <c r="AI381" s="34">
        <v>0</v>
      </c>
      <c r="AJ381" s="34">
        <f t="shared" si="78"/>
        <v>1.5839999999999999</v>
      </c>
      <c r="AK381" s="22"/>
      <c r="AL381" s="34"/>
      <c r="AM381" s="14"/>
      <c r="AN381" s="14"/>
      <c r="AO381" s="14"/>
      <c r="AP381" s="14"/>
    </row>
    <row r="382" spans="1:42" s="45" customFormat="1" ht="22" customHeight="1">
      <c r="A382" s="14" t="s">
        <v>21</v>
      </c>
      <c r="B382" s="15">
        <v>2024</v>
      </c>
      <c r="C382" s="15" t="s">
        <v>24</v>
      </c>
      <c r="D382" s="14" t="s">
        <v>185</v>
      </c>
      <c r="E382" s="14" t="s">
        <v>26</v>
      </c>
      <c r="F382" s="16" t="s">
        <v>265</v>
      </c>
      <c r="G382" s="14">
        <v>2</v>
      </c>
      <c r="H382" s="14"/>
      <c r="I382" s="14"/>
      <c r="J382" s="14" t="s">
        <v>13</v>
      </c>
      <c r="K382" s="16"/>
      <c r="L382" s="14" t="s">
        <v>223</v>
      </c>
      <c r="M382" s="14" t="s">
        <v>94</v>
      </c>
      <c r="N382" s="30" t="s">
        <v>267</v>
      </c>
      <c r="O382" s="37" t="s">
        <v>229</v>
      </c>
      <c r="P382" s="9"/>
      <c r="Q382" s="19"/>
      <c r="R382" s="19"/>
      <c r="S382" s="209">
        <v>367</v>
      </c>
      <c r="T382" s="19">
        <f t="shared" si="75"/>
        <v>367</v>
      </c>
      <c r="U382" s="14" t="s">
        <v>77</v>
      </c>
      <c r="V382" s="14"/>
      <c r="W382" s="33">
        <v>30</v>
      </c>
      <c r="X382" s="34">
        <v>0</v>
      </c>
      <c r="Y382" s="34">
        <v>0</v>
      </c>
      <c r="Z382" s="34">
        <v>0</v>
      </c>
      <c r="AA382" s="34">
        <v>0</v>
      </c>
      <c r="AB382" s="34">
        <v>0</v>
      </c>
      <c r="AC382" s="34">
        <f t="shared" si="76"/>
        <v>0.22020000000000001</v>
      </c>
      <c r="AD382" s="34"/>
      <c r="AE382" s="34">
        <v>0</v>
      </c>
      <c r="AF382" s="34">
        <f t="shared" si="77"/>
        <v>2.202</v>
      </c>
      <c r="AG382" s="34">
        <v>0</v>
      </c>
      <c r="AH382" s="34">
        <v>0</v>
      </c>
      <c r="AI382" s="34">
        <v>0</v>
      </c>
      <c r="AJ382" s="34">
        <f t="shared" si="78"/>
        <v>2.4222000000000001</v>
      </c>
      <c r="AK382" s="22"/>
      <c r="AL382" s="34"/>
      <c r="AM382" s="14"/>
      <c r="AN382" s="14"/>
      <c r="AO382" s="14"/>
      <c r="AP382" s="14"/>
    </row>
    <row r="383" spans="1:42" s="45" customFormat="1" ht="22" customHeight="1">
      <c r="A383" s="14" t="s">
        <v>21</v>
      </c>
      <c r="B383" s="15">
        <v>2024</v>
      </c>
      <c r="C383" s="15" t="s">
        <v>24</v>
      </c>
      <c r="D383" s="14" t="s">
        <v>185</v>
      </c>
      <c r="E383" s="14" t="s">
        <v>26</v>
      </c>
      <c r="F383" s="16" t="s">
        <v>265</v>
      </c>
      <c r="G383" s="14">
        <v>2</v>
      </c>
      <c r="H383" s="14"/>
      <c r="I383" s="14"/>
      <c r="J383" s="14" t="s">
        <v>13</v>
      </c>
      <c r="K383" s="16"/>
      <c r="L383" s="14" t="s">
        <v>223</v>
      </c>
      <c r="M383" s="14" t="s">
        <v>97</v>
      </c>
      <c r="N383" s="30" t="s">
        <v>267</v>
      </c>
      <c r="O383" s="31" t="s">
        <v>238</v>
      </c>
      <c r="P383" s="9"/>
      <c r="Q383" s="19"/>
      <c r="R383" s="19"/>
      <c r="S383" s="209">
        <v>384</v>
      </c>
      <c r="T383" s="19">
        <f t="shared" si="75"/>
        <v>384</v>
      </c>
      <c r="U383" s="14" t="s">
        <v>77</v>
      </c>
      <c r="V383" s="14"/>
      <c r="W383" s="33">
        <v>30</v>
      </c>
      <c r="X383" s="34"/>
      <c r="Y383" s="34">
        <v>0</v>
      </c>
      <c r="Z383" s="34">
        <v>0</v>
      </c>
      <c r="AA383" s="34">
        <v>0</v>
      </c>
      <c r="AB383" s="34">
        <v>0</v>
      </c>
      <c r="AC383" s="34">
        <f t="shared" si="76"/>
        <v>0.23039999999999999</v>
      </c>
      <c r="AD383" s="34"/>
      <c r="AE383" s="34">
        <v>0</v>
      </c>
      <c r="AF383" s="34">
        <f t="shared" si="77"/>
        <v>2.3039999999999998</v>
      </c>
      <c r="AG383" s="34">
        <v>0</v>
      </c>
      <c r="AH383" s="34"/>
      <c r="AI383" s="34">
        <v>0</v>
      </c>
      <c r="AJ383" s="34">
        <f t="shared" si="78"/>
        <v>2.5343999999999998</v>
      </c>
      <c r="AK383" s="22"/>
      <c r="AL383" s="34"/>
      <c r="AM383" s="14"/>
      <c r="AN383" s="14"/>
      <c r="AO383" s="14"/>
      <c r="AP383" s="14"/>
    </row>
    <row r="384" spans="1:42" s="45" customFormat="1" ht="22" customHeight="1">
      <c r="A384" s="14" t="s">
        <v>21</v>
      </c>
      <c r="B384" s="15">
        <v>2024</v>
      </c>
      <c r="C384" s="15" t="s">
        <v>24</v>
      </c>
      <c r="D384" s="14" t="s">
        <v>185</v>
      </c>
      <c r="E384" s="14" t="s">
        <v>26</v>
      </c>
      <c r="F384" s="16" t="s">
        <v>265</v>
      </c>
      <c r="G384" s="14">
        <v>1</v>
      </c>
      <c r="H384" s="14"/>
      <c r="I384" s="14"/>
      <c r="J384" s="14" t="s">
        <v>13</v>
      </c>
      <c r="K384" s="16"/>
      <c r="L384" s="14" t="s">
        <v>223</v>
      </c>
      <c r="M384" s="14" t="s">
        <v>96</v>
      </c>
      <c r="N384" s="30" t="s">
        <v>267</v>
      </c>
      <c r="O384" s="31" t="s">
        <v>245</v>
      </c>
      <c r="P384" s="9"/>
      <c r="Q384" s="19"/>
      <c r="R384" s="19"/>
      <c r="S384" s="209">
        <v>687</v>
      </c>
      <c r="T384" s="19">
        <f t="shared" si="75"/>
        <v>687</v>
      </c>
      <c r="U384" s="14" t="s">
        <v>77</v>
      </c>
      <c r="V384" s="14"/>
      <c r="W384" s="33">
        <v>30</v>
      </c>
      <c r="X384" s="34"/>
      <c r="Y384" s="34">
        <v>0</v>
      </c>
      <c r="Z384" s="34">
        <v>0</v>
      </c>
      <c r="AA384" s="34">
        <v>0</v>
      </c>
      <c r="AB384" s="34">
        <v>0</v>
      </c>
      <c r="AC384" s="34">
        <f t="shared" si="76"/>
        <v>0.41220000000000001</v>
      </c>
      <c r="AD384" s="34"/>
      <c r="AE384" s="34">
        <v>0</v>
      </c>
      <c r="AF384" s="34">
        <f t="shared" si="77"/>
        <v>4.1219999999999999</v>
      </c>
      <c r="AG384" s="34">
        <v>0</v>
      </c>
      <c r="AH384" s="34"/>
      <c r="AI384" s="34">
        <v>0</v>
      </c>
      <c r="AJ384" s="34">
        <f t="shared" ref="AJ384:AJ425" si="79">SUBTOTAL(9,X384:AI384)</f>
        <v>4.5342000000000002</v>
      </c>
      <c r="AK384" s="22"/>
      <c r="AL384" s="34"/>
      <c r="AM384" s="14"/>
      <c r="AN384" s="14"/>
      <c r="AO384" s="14"/>
      <c r="AP384" s="14"/>
    </row>
    <row r="385" spans="1:42" s="45" customFormat="1" ht="22" customHeight="1">
      <c r="A385" s="14" t="s">
        <v>21</v>
      </c>
      <c r="B385" s="15">
        <v>2024</v>
      </c>
      <c r="C385" s="15" t="s">
        <v>24</v>
      </c>
      <c r="D385" s="14" t="s">
        <v>185</v>
      </c>
      <c r="E385" s="14" t="s">
        <v>26</v>
      </c>
      <c r="F385" s="16" t="s">
        <v>265</v>
      </c>
      <c r="G385" s="14">
        <v>2</v>
      </c>
      <c r="H385" s="14"/>
      <c r="I385" s="14"/>
      <c r="J385" s="14" t="s">
        <v>13</v>
      </c>
      <c r="K385" s="16"/>
      <c r="L385" s="14" t="s">
        <v>223</v>
      </c>
      <c r="M385" s="14" t="s">
        <v>93</v>
      </c>
      <c r="N385" s="30" t="s">
        <v>267</v>
      </c>
      <c r="O385" s="31" t="s">
        <v>246</v>
      </c>
      <c r="P385" s="9"/>
      <c r="Q385" s="19"/>
      <c r="R385" s="19"/>
      <c r="S385" s="209">
        <v>259</v>
      </c>
      <c r="T385" s="19">
        <f t="shared" si="75"/>
        <v>259</v>
      </c>
      <c r="U385" s="14" t="s">
        <v>77</v>
      </c>
      <c r="V385" s="14"/>
      <c r="W385" s="33">
        <v>30</v>
      </c>
      <c r="X385" s="34"/>
      <c r="Y385" s="34">
        <v>0</v>
      </c>
      <c r="Z385" s="34">
        <v>0</v>
      </c>
      <c r="AA385" s="34">
        <v>0</v>
      </c>
      <c r="AB385" s="34">
        <v>0</v>
      </c>
      <c r="AC385" s="34">
        <f t="shared" si="76"/>
        <v>0.15540000000000001</v>
      </c>
      <c r="AD385" s="34"/>
      <c r="AE385" s="34">
        <v>0</v>
      </c>
      <c r="AF385" s="34">
        <f t="shared" si="77"/>
        <v>1.554</v>
      </c>
      <c r="AG385" s="34">
        <v>0</v>
      </c>
      <c r="AH385" s="34"/>
      <c r="AI385" s="34">
        <v>0</v>
      </c>
      <c r="AJ385" s="34">
        <f t="shared" si="79"/>
        <v>1.7094</v>
      </c>
      <c r="AK385" s="22"/>
      <c r="AL385" s="34"/>
      <c r="AM385" s="14"/>
      <c r="AN385" s="14"/>
      <c r="AO385" s="14"/>
      <c r="AP385" s="14"/>
    </row>
    <row r="386" spans="1:42" s="45" customFormat="1" ht="22" customHeight="1">
      <c r="A386" s="14" t="s">
        <v>21</v>
      </c>
      <c r="B386" s="15">
        <v>2024</v>
      </c>
      <c r="C386" s="15" t="s">
        <v>24</v>
      </c>
      <c r="D386" s="14" t="s">
        <v>185</v>
      </c>
      <c r="E386" s="14" t="s">
        <v>26</v>
      </c>
      <c r="F386" s="16" t="s">
        <v>265</v>
      </c>
      <c r="G386" s="14">
        <v>1</v>
      </c>
      <c r="H386" s="14"/>
      <c r="I386" s="14"/>
      <c r="J386" s="14" t="s">
        <v>13</v>
      </c>
      <c r="K386" s="16"/>
      <c r="L386" s="14" t="s">
        <v>223</v>
      </c>
      <c r="M386" s="14" t="s">
        <v>93</v>
      </c>
      <c r="N386" s="30" t="s">
        <v>267</v>
      </c>
      <c r="O386" s="31" t="s">
        <v>249</v>
      </c>
      <c r="P386" s="9"/>
      <c r="Q386" s="19"/>
      <c r="R386" s="19"/>
      <c r="S386" s="209">
        <v>513</v>
      </c>
      <c r="T386" s="19">
        <f t="shared" si="75"/>
        <v>513</v>
      </c>
      <c r="U386" s="14" t="s">
        <v>77</v>
      </c>
      <c r="V386" s="14"/>
      <c r="W386" s="33">
        <v>30</v>
      </c>
      <c r="X386" s="34">
        <v>0</v>
      </c>
      <c r="Y386" s="34">
        <v>0</v>
      </c>
      <c r="Z386" s="34">
        <v>0</v>
      </c>
      <c r="AA386" s="34">
        <v>0</v>
      </c>
      <c r="AB386" s="34">
        <v>0</v>
      </c>
      <c r="AC386" s="34">
        <f t="shared" si="76"/>
        <v>0.30780000000000002</v>
      </c>
      <c r="AD386" s="34"/>
      <c r="AE386" s="34">
        <v>0</v>
      </c>
      <c r="AF386" s="34">
        <f t="shared" si="77"/>
        <v>3.0779999999999998</v>
      </c>
      <c r="AG386" s="34">
        <v>0</v>
      </c>
      <c r="AH386" s="34">
        <v>0</v>
      </c>
      <c r="AI386" s="34">
        <v>0</v>
      </c>
      <c r="AJ386" s="34">
        <f t="shared" si="79"/>
        <v>3.3857999999999997</v>
      </c>
      <c r="AK386" s="22"/>
      <c r="AL386" s="34"/>
      <c r="AM386" s="14"/>
      <c r="AN386" s="14"/>
      <c r="AO386" s="14"/>
      <c r="AP386" s="14"/>
    </row>
    <row r="387" spans="1:42" s="45" customFormat="1" ht="22" customHeight="1">
      <c r="A387" s="14" t="s">
        <v>21</v>
      </c>
      <c r="B387" s="15">
        <v>2024</v>
      </c>
      <c r="C387" s="15" t="s">
        <v>24</v>
      </c>
      <c r="D387" s="14" t="s">
        <v>185</v>
      </c>
      <c r="E387" s="14" t="s">
        <v>26</v>
      </c>
      <c r="F387" s="16" t="s">
        <v>265</v>
      </c>
      <c r="G387" s="14">
        <v>1</v>
      </c>
      <c r="H387" s="14"/>
      <c r="I387" s="14"/>
      <c r="J387" s="14" t="s">
        <v>13</v>
      </c>
      <c r="K387" s="16"/>
      <c r="L387" s="14" t="s">
        <v>215</v>
      </c>
      <c r="M387" s="14" t="s">
        <v>95</v>
      </c>
      <c r="N387" s="30" t="s">
        <v>266</v>
      </c>
      <c r="O387" s="31" t="s">
        <v>250</v>
      </c>
      <c r="P387" s="9"/>
      <c r="Q387" s="19"/>
      <c r="R387" s="19"/>
      <c r="S387" s="209">
        <v>512</v>
      </c>
      <c r="T387" s="19">
        <f t="shared" si="75"/>
        <v>512</v>
      </c>
      <c r="U387" s="14" t="s">
        <v>77</v>
      </c>
      <c r="V387" s="14"/>
      <c r="W387" s="33">
        <v>30</v>
      </c>
      <c r="X387" s="34">
        <v>0</v>
      </c>
      <c r="Y387" s="34">
        <v>0</v>
      </c>
      <c r="Z387" s="34">
        <v>0</v>
      </c>
      <c r="AA387" s="34">
        <v>0</v>
      </c>
      <c r="AB387" s="34">
        <v>0</v>
      </c>
      <c r="AC387" s="34">
        <f t="shared" si="76"/>
        <v>0.30719999999999997</v>
      </c>
      <c r="AD387" s="34"/>
      <c r="AE387" s="34">
        <v>0</v>
      </c>
      <c r="AF387" s="34">
        <f t="shared" si="77"/>
        <v>3.0720000000000001</v>
      </c>
      <c r="AG387" s="34">
        <v>0</v>
      </c>
      <c r="AH387" s="34">
        <v>0</v>
      </c>
      <c r="AI387" s="34">
        <v>0</v>
      </c>
      <c r="AJ387" s="34">
        <f t="shared" si="79"/>
        <v>3.3792</v>
      </c>
      <c r="AK387" s="22"/>
      <c r="AL387" s="34"/>
      <c r="AM387" s="14"/>
      <c r="AN387" s="14"/>
      <c r="AO387" s="14"/>
      <c r="AP387" s="14"/>
    </row>
    <row r="388" spans="1:42" s="45" customFormat="1" ht="22" customHeight="1">
      <c r="A388" s="14" t="s">
        <v>21</v>
      </c>
      <c r="B388" s="15">
        <v>2024</v>
      </c>
      <c r="C388" s="15" t="s">
        <v>24</v>
      </c>
      <c r="D388" s="14" t="s">
        <v>185</v>
      </c>
      <c r="E388" s="14" t="s">
        <v>26</v>
      </c>
      <c r="F388" s="16" t="s">
        <v>265</v>
      </c>
      <c r="G388" s="14">
        <v>1</v>
      </c>
      <c r="H388" s="14"/>
      <c r="I388" s="14"/>
      <c r="J388" s="14" t="s">
        <v>13</v>
      </c>
      <c r="K388" s="16"/>
      <c r="L388" s="14" t="s">
        <v>215</v>
      </c>
      <c r="M388" s="14" t="s">
        <v>95</v>
      </c>
      <c r="N388" s="30" t="s">
        <v>266</v>
      </c>
      <c r="O388" s="31" t="s">
        <v>251</v>
      </c>
      <c r="P388" s="9"/>
      <c r="Q388" s="19"/>
      <c r="R388" s="19"/>
      <c r="S388" s="209">
        <v>640</v>
      </c>
      <c r="T388" s="19">
        <f t="shared" si="75"/>
        <v>640</v>
      </c>
      <c r="U388" s="14" t="s">
        <v>77</v>
      </c>
      <c r="V388" s="14"/>
      <c r="W388" s="33">
        <v>30</v>
      </c>
      <c r="X388" s="34">
        <v>0</v>
      </c>
      <c r="Y388" s="34">
        <v>0</v>
      </c>
      <c r="Z388" s="34">
        <v>0</v>
      </c>
      <c r="AA388" s="34">
        <v>0</v>
      </c>
      <c r="AB388" s="34">
        <v>0</v>
      </c>
      <c r="AC388" s="34">
        <f t="shared" si="76"/>
        <v>0.38400000000000001</v>
      </c>
      <c r="AD388" s="34"/>
      <c r="AE388" s="34">
        <v>0</v>
      </c>
      <c r="AF388" s="34">
        <f t="shared" si="77"/>
        <v>3.84</v>
      </c>
      <c r="AG388" s="34">
        <v>0</v>
      </c>
      <c r="AH388" s="34">
        <v>0</v>
      </c>
      <c r="AI388" s="34">
        <v>0</v>
      </c>
      <c r="AJ388" s="34">
        <f t="shared" si="79"/>
        <v>4.2240000000000002</v>
      </c>
      <c r="AK388" s="22"/>
      <c r="AL388" s="34"/>
      <c r="AM388" s="14"/>
      <c r="AN388" s="14"/>
      <c r="AO388" s="14"/>
      <c r="AP388" s="14"/>
    </row>
    <row r="389" spans="1:42" s="45" customFormat="1" ht="22" customHeight="1">
      <c r="A389" s="14" t="s">
        <v>21</v>
      </c>
      <c r="B389" s="15">
        <v>2024</v>
      </c>
      <c r="C389" s="15" t="s">
        <v>24</v>
      </c>
      <c r="D389" s="14" t="s">
        <v>185</v>
      </c>
      <c r="E389" s="14" t="s">
        <v>26</v>
      </c>
      <c r="F389" s="16" t="s">
        <v>265</v>
      </c>
      <c r="G389" s="14">
        <v>2</v>
      </c>
      <c r="H389" s="14"/>
      <c r="I389" s="14"/>
      <c r="J389" s="14" t="s">
        <v>13</v>
      </c>
      <c r="K389" s="16"/>
      <c r="L389" s="14" t="s">
        <v>223</v>
      </c>
      <c r="M389" s="14" t="s">
        <v>94</v>
      </c>
      <c r="N389" s="36" t="s">
        <v>267</v>
      </c>
      <c r="O389" s="37" t="s">
        <v>252</v>
      </c>
      <c r="P389" s="9"/>
      <c r="Q389" s="19"/>
      <c r="R389" s="19"/>
      <c r="S389" s="209">
        <v>374</v>
      </c>
      <c r="T389" s="19">
        <f t="shared" si="75"/>
        <v>374</v>
      </c>
      <c r="U389" s="14" t="s">
        <v>77</v>
      </c>
      <c r="V389" s="14"/>
      <c r="W389" s="33">
        <v>30</v>
      </c>
      <c r="X389" s="34">
        <v>0</v>
      </c>
      <c r="Y389" s="34">
        <v>0</v>
      </c>
      <c r="Z389" s="34">
        <v>0</v>
      </c>
      <c r="AA389" s="34">
        <v>0</v>
      </c>
      <c r="AB389" s="34">
        <v>0</v>
      </c>
      <c r="AC389" s="34">
        <f t="shared" si="76"/>
        <v>0.22439999999999999</v>
      </c>
      <c r="AD389" s="34"/>
      <c r="AE389" s="34">
        <v>0</v>
      </c>
      <c r="AF389" s="34">
        <f t="shared" si="77"/>
        <v>2.2440000000000002</v>
      </c>
      <c r="AG389" s="34">
        <v>0</v>
      </c>
      <c r="AH389" s="34">
        <v>0</v>
      </c>
      <c r="AI389" s="34">
        <v>0</v>
      </c>
      <c r="AJ389" s="34">
        <f t="shared" si="79"/>
        <v>2.4684000000000004</v>
      </c>
      <c r="AK389" s="22"/>
      <c r="AL389" s="34"/>
      <c r="AM389" s="14"/>
      <c r="AN389" s="14"/>
      <c r="AO389" s="14"/>
      <c r="AP389" s="14"/>
    </row>
    <row r="390" spans="1:42" s="45" customFormat="1" ht="22" customHeight="1">
      <c r="A390" s="14" t="s">
        <v>21</v>
      </c>
      <c r="B390" s="15">
        <v>2024</v>
      </c>
      <c r="C390" s="15" t="s">
        <v>24</v>
      </c>
      <c r="D390" s="14" t="s">
        <v>185</v>
      </c>
      <c r="E390" s="14" t="s">
        <v>26</v>
      </c>
      <c r="F390" s="16" t="s">
        <v>265</v>
      </c>
      <c r="G390" s="14">
        <v>1</v>
      </c>
      <c r="H390" s="14"/>
      <c r="I390" s="14"/>
      <c r="J390" s="14" t="s">
        <v>13</v>
      </c>
      <c r="K390" s="16"/>
      <c r="L390" s="14" t="s">
        <v>223</v>
      </c>
      <c r="M390" s="14" t="s">
        <v>96</v>
      </c>
      <c r="N390" s="30" t="s">
        <v>267</v>
      </c>
      <c r="O390" s="31" t="s">
        <v>255</v>
      </c>
      <c r="P390" s="9"/>
      <c r="Q390" s="19"/>
      <c r="R390" s="19"/>
      <c r="S390" s="209">
        <v>243</v>
      </c>
      <c r="T390" s="19">
        <f t="shared" si="75"/>
        <v>243</v>
      </c>
      <c r="U390" s="14" t="s">
        <v>77</v>
      </c>
      <c r="V390" s="14"/>
      <c r="W390" s="33">
        <v>30</v>
      </c>
      <c r="X390" s="34"/>
      <c r="Y390" s="34">
        <v>0</v>
      </c>
      <c r="Z390" s="34">
        <v>0</v>
      </c>
      <c r="AA390" s="34">
        <v>0</v>
      </c>
      <c r="AB390" s="34">
        <v>0</v>
      </c>
      <c r="AC390" s="34">
        <f t="shared" si="76"/>
        <v>0.14580000000000001</v>
      </c>
      <c r="AD390" s="34"/>
      <c r="AE390" s="34">
        <v>0</v>
      </c>
      <c r="AF390" s="34">
        <f t="shared" si="77"/>
        <v>1.458</v>
      </c>
      <c r="AG390" s="34">
        <v>0</v>
      </c>
      <c r="AH390" s="34"/>
      <c r="AI390" s="34">
        <v>0</v>
      </c>
      <c r="AJ390" s="34">
        <f t="shared" si="79"/>
        <v>1.6037999999999999</v>
      </c>
      <c r="AK390" s="22"/>
      <c r="AL390" s="34"/>
      <c r="AM390" s="14"/>
      <c r="AN390" s="14"/>
      <c r="AO390" s="14"/>
      <c r="AP390" s="14"/>
    </row>
    <row r="391" spans="1:42" s="45" customFormat="1" ht="22" customHeight="1">
      <c r="A391" s="14" t="s">
        <v>21</v>
      </c>
      <c r="B391" s="15">
        <v>2024</v>
      </c>
      <c r="C391" s="15" t="s">
        <v>24</v>
      </c>
      <c r="D391" s="14" t="s">
        <v>185</v>
      </c>
      <c r="E391" s="14" t="s">
        <v>26</v>
      </c>
      <c r="F391" s="16" t="s">
        <v>265</v>
      </c>
      <c r="G391" s="14">
        <v>1</v>
      </c>
      <c r="H391" s="14"/>
      <c r="I391" s="14"/>
      <c r="J391" s="14" t="s">
        <v>13</v>
      </c>
      <c r="K391" s="16"/>
      <c r="L391" s="14" t="s">
        <v>223</v>
      </c>
      <c r="M391" s="14" t="s">
        <v>96</v>
      </c>
      <c r="N391" s="30" t="s">
        <v>267</v>
      </c>
      <c r="O391" s="31" t="s">
        <v>258</v>
      </c>
      <c r="P391" s="9"/>
      <c r="Q391" s="19"/>
      <c r="R391" s="19"/>
      <c r="S391" s="209">
        <v>213</v>
      </c>
      <c r="T391" s="19">
        <f t="shared" si="75"/>
        <v>213</v>
      </c>
      <c r="U391" s="14" t="s">
        <v>77</v>
      </c>
      <c r="V391" s="14"/>
      <c r="W391" s="33">
        <v>30</v>
      </c>
      <c r="X391" s="34"/>
      <c r="Y391" s="34">
        <v>0</v>
      </c>
      <c r="Z391" s="34">
        <v>0</v>
      </c>
      <c r="AA391" s="34">
        <v>0</v>
      </c>
      <c r="AB391" s="34">
        <v>0</v>
      </c>
      <c r="AC391" s="34">
        <f t="shared" si="76"/>
        <v>0.1278</v>
      </c>
      <c r="AD391" s="34"/>
      <c r="AE391" s="34">
        <v>0</v>
      </c>
      <c r="AF391" s="34">
        <f t="shared" si="77"/>
        <v>1.278</v>
      </c>
      <c r="AG391" s="34">
        <v>0</v>
      </c>
      <c r="AH391" s="34"/>
      <c r="AI391" s="34">
        <v>0</v>
      </c>
      <c r="AJ391" s="34">
        <f t="shared" si="79"/>
        <v>1.4057999999999999</v>
      </c>
      <c r="AK391" s="22"/>
      <c r="AL391" s="34"/>
      <c r="AM391" s="14"/>
      <c r="AN391" s="14"/>
      <c r="AO391" s="14"/>
      <c r="AP391" s="14"/>
    </row>
    <row r="392" spans="1:42" s="45" customFormat="1" ht="22" customHeight="1">
      <c r="A392" s="14" t="s">
        <v>21</v>
      </c>
      <c r="B392" s="15">
        <v>2024</v>
      </c>
      <c r="C392" s="15" t="s">
        <v>24</v>
      </c>
      <c r="D392" s="14" t="s">
        <v>185</v>
      </c>
      <c r="E392" s="14" t="s">
        <v>26</v>
      </c>
      <c r="F392" s="16" t="s">
        <v>265</v>
      </c>
      <c r="G392" s="14">
        <v>1</v>
      </c>
      <c r="H392" s="14"/>
      <c r="I392" s="14"/>
      <c r="J392" s="14" t="s">
        <v>13</v>
      </c>
      <c r="K392" s="16"/>
      <c r="L392" s="14" t="s">
        <v>223</v>
      </c>
      <c r="M392" s="14" t="s">
        <v>96</v>
      </c>
      <c r="N392" s="30" t="s">
        <v>267</v>
      </c>
      <c r="O392" s="31" t="s">
        <v>260</v>
      </c>
      <c r="P392" s="9"/>
      <c r="Q392" s="19"/>
      <c r="R392" s="19"/>
      <c r="S392" s="209">
        <v>991</v>
      </c>
      <c r="T392" s="19">
        <f t="shared" si="75"/>
        <v>991</v>
      </c>
      <c r="U392" s="14" t="s">
        <v>77</v>
      </c>
      <c r="V392" s="14"/>
      <c r="W392" s="33">
        <v>30</v>
      </c>
      <c r="X392" s="34"/>
      <c r="Y392" s="34">
        <v>0</v>
      </c>
      <c r="Z392" s="34">
        <v>0</v>
      </c>
      <c r="AA392" s="34">
        <v>0</v>
      </c>
      <c r="AB392" s="34">
        <v>0</v>
      </c>
      <c r="AC392" s="34">
        <f t="shared" si="76"/>
        <v>0.59460000000000002</v>
      </c>
      <c r="AD392" s="34"/>
      <c r="AE392" s="34">
        <v>0</v>
      </c>
      <c r="AF392" s="34">
        <f t="shared" si="77"/>
        <v>5.9459999999999997</v>
      </c>
      <c r="AG392" s="34">
        <v>0</v>
      </c>
      <c r="AH392" s="34"/>
      <c r="AI392" s="34">
        <v>0</v>
      </c>
      <c r="AJ392" s="34">
        <f t="shared" si="79"/>
        <v>6.5405999999999995</v>
      </c>
      <c r="AK392" s="22"/>
      <c r="AL392" s="34"/>
      <c r="AM392" s="14"/>
      <c r="AN392" s="14"/>
      <c r="AO392" s="14"/>
      <c r="AP392" s="14"/>
    </row>
    <row r="393" spans="1:42" s="45" customFormat="1" ht="22" customHeight="1">
      <c r="A393" s="14" t="s">
        <v>21</v>
      </c>
      <c r="B393" s="15">
        <v>2024</v>
      </c>
      <c r="C393" s="15" t="s">
        <v>24</v>
      </c>
      <c r="D393" s="14" t="s">
        <v>185</v>
      </c>
      <c r="E393" s="14" t="s">
        <v>26</v>
      </c>
      <c r="F393" s="16" t="s">
        <v>265</v>
      </c>
      <c r="G393" s="14">
        <v>1</v>
      </c>
      <c r="H393" s="14"/>
      <c r="I393" s="14"/>
      <c r="J393" s="14" t="s">
        <v>13</v>
      </c>
      <c r="K393" s="16"/>
      <c r="L393" s="14" t="s">
        <v>223</v>
      </c>
      <c r="M393" s="14" t="s">
        <v>96</v>
      </c>
      <c r="N393" s="30" t="s">
        <v>267</v>
      </c>
      <c r="O393" s="31" t="s">
        <v>261</v>
      </c>
      <c r="P393" s="9"/>
      <c r="Q393" s="19"/>
      <c r="R393" s="19"/>
      <c r="S393" s="209">
        <v>876</v>
      </c>
      <c r="T393" s="19">
        <f t="shared" si="75"/>
        <v>876</v>
      </c>
      <c r="U393" s="14" t="s">
        <v>77</v>
      </c>
      <c r="V393" s="14"/>
      <c r="W393" s="33">
        <v>30</v>
      </c>
      <c r="X393" s="34"/>
      <c r="Y393" s="34">
        <v>0</v>
      </c>
      <c r="Z393" s="34">
        <v>0</v>
      </c>
      <c r="AA393" s="34">
        <v>0</v>
      </c>
      <c r="AB393" s="34">
        <v>0</v>
      </c>
      <c r="AC393" s="34">
        <f t="shared" si="76"/>
        <v>0.52559999999999996</v>
      </c>
      <c r="AD393" s="34"/>
      <c r="AE393" s="34">
        <v>0</v>
      </c>
      <c r="AF393" s="34">
        <f t="shared" si="77"/>
        <v>5.2560000000000002</v>
      </c>
      <c r="AG393" s="34">
        <v>0</v>
      </c>
      <c r="AH393" s="34"/>
      <c r="AI393" s="34">
        <v>0</v>
      </c>
      <c r="AJ393" s="34">
        <f t="shared" si="79"/>
        <v>5.7816000000000001</v>
      </c>
      <c r="AK393" s="22"/>
      <c r="AL393" s="34"/>
      <c r="AM393" s="14"/>
      <c r="AN393" s="14"/>
      <c r="AO393" s="14"/>
      <c r="AP393" s="14"/>
    </row>
    <row r="394" spans="1:42" s="45" customFormat="1" ht="22" customHeight="1">
      <c r="A394" s="14" t="s">
        <v>21</v>
      </c>
      <c r="B394" s="15">
        <v>2024</v>
      </c>
      <c r="C394" s="15" t="s">
        <v>24</v>
      </c>
      <c r="D394" s="14" t="s">
        <v>185</v>
      </c>
      <c r="E394" s="14" t="s">
        <v>26</v>
      </c>
      <c r="F394" s="16" t="s">
        <v>265</v>
      </c>
      <c r="G394" s="14">
        <v>1</v>
      </c>
      <c r="H394" s="14"/>
      <c r="I394" s="14"/>
      <c r="J394" s="14" t="s">
        <v>11</v>
      </c>
      <c r="K394" s="16" t="s">
        <v>82</v>
      </c>
      <c r="L394" s="14" t="s">
        <v>171</v>
      </c>
      <c r="M394" s="14" t="s">
        <v>78</v>
      </c>
      <c r="N394" s="17"/>
      <c r="O394" s="18" t="s">
        <v>217</v>
      </c>
      <c r="P394" s="9"/>
      <c r="Q394" s="19"/>
      <c r="R394" s="19"/>
      <c r="S394" s="209">
        <v>340</v>
      </c>
      <c r="T394" s="19">
        <f t="shared" si="75"/>
        <v>340</v>
      </c>
      <c r="U394" s="14" t="s">
        <v>77</v>
      </c>
      <c r="V394" s="14"/>
      <c r="W394" s="33">
        <v>30</v>
      </c>
      <c r="X394" s="34"/>
      <c r="Y394" s="34">
        <v>0</v>
      </c>
      <c r="Z394" s="34">
        <v>0</v>
      </c>
      <c r="AA394" s="34">
        <v>0</v>
      </c>
      <c r="AB394" s="34">
        <v>0</v>
      </c>
      <c r="AC394" s="34">
        <f t="shared" si="76"/>
        <v>0.20399999999999999</v>
      </c>
      <c r="AD394" s="34"/>
      <c r="AE394" s="34">
        <v>0</v>
      </c>
      <c r="AF394" s="34">
        <f t="shared" si="77"/>
        <v>2.04</v>
      </c>
      <c r="AG394" s="34">
        <v>0</v>
      </c>
      <c r="AH394" s="34"/>
      <c r="AI394" s="34">
        <v>0</v>
      </c>
      <c r="AJ394" s="34">
        <f t="shared" si="79"/>
        <v>2.2440000000000002</v>
      </c>
      <c r="AK394" s="22"/>
      <c r="AL394" s="34"/>
      <c r="AM394" s="14"/>
      <c r="AN394" s="14"/>
      <c r="AO394" s="14"/>
      <c r="AP394" s="14"/>
    </row>
    <row r="395" spans="1:42" s="45" customFormat="1" ht="22" customHeight="1">
      <c r="A395" s="14" t="s">
        <v>21</v>
      </c>
      <c r="B395" s="15">
        <v>2024</v>
      </c>
      <c r="C395" s="15" t="s">
        <v>24</v>
      </c>
      <c r="D395" s="14" t="s">
        <v>185</v>
      </c>
      <c r="E395" s="14" t="s">
        <v>26</v>
      </c>
      <c r="F395" s="16" t="s">
        <v>265</v>
      </c>
      <c r="G395" s="14">
        <v>1</v>
      </c>
      <c r="H395" s="14"/>
      <c r="I395" s="14"/>
      <c r="J395" s="14" t="s">
        <v>11</v>
      </c>
      <c r="K395" s="16" t="s">
        <v>82</v>
      </c>
      <c r="L395" s="14" t="s">
        <v>171</v>
      </c>
      <c r="M395" s="14" t="s">
        <v>78</v>
      </c>
      <c r="N395" s="17"/>
      <c r="O395" s="18" t="s">
        <v>219</v>
      </c>
      <c r="P395" s="9"/>
      <c r="Q395" s="19"/>
      <c r="R395" s="19"/>
      <c r="S395" s="209">
        <v>189</v>
      </c>
      <c r="T395" s="19">
        <f t="shared" si="75"/>
        <v>189</v>
      </c>
      <c r="U395" s="14" t="s">
        <v>77</v>
      </c>
      <c r="V395" s="14"/>
      <c r="W395" s="33">
        <v>30</v>
      </c>
      <c r="X395" s="34"/>
      <c r="Y395" s="34">
        <v>0</v>
      </c>
      <c r="Z395" s="34">
        <v>0</v>
      </c>
      <c r="AA395" s="34">
        <v>0</v>
      </c>
      <c r="AB395" s="34">
        <v>0</v>
      </c>
      <c r="AC395" s="34">
        <f t="shared" si="76"/>
        <v>0.1134</v>
      </c>
      <c r="AD395" s="34"/>
      <c r="AE395" s="34">
        <v>0</v>
      </c>
      <c r="AF395" s="34">
        <f t="shared" si="77"/>
        <v>1.1339999999999999</v>
      </c>
      <c r="AG395" s="34">
        <v>0</v>
      </c>
      <c r="AH395" s="34"/>
      <c r="AI395" s="34">
        <v>0</v>
      </c>
      <c r="AJ395" s="34">
        <f t="shared" si="79"/>
        <v>1.2473999999999998</v>
      </c>
      <c r="AK395" s="22"/>
      <c r="AL395" s="34"/>
      <c r="AM395" s="14"/>
      <c r="AN395" s="14"/>
      <c r="AO395" s="14"/>
      <c r="AP395" s="14"/>
    </row>
    <row r="396" spans="1:42" s="45" customFormat="1" ht="22" customHeight="1">
      <c r="A396" s="14" t="s">
        <v>21</v>
      </c>
      <c r="B396" s="15">
        <v>2024</v>
      </c>
      <c r="C396" s="15" t="s">
        <v>24</v>
      </c>
      <c r="D396" s="14" t="s">
        <v>185</v>
      </c>
      <c r="E396" s="14" t="s">
        <v>26</v>
      </c>
      <c r="F396" s="16" t="s">
        <v>265</v>
      </c>
      <c r="G396" s="14">
        <v>1</v>
      </c>
      <c r="H396" s="14"/>
      <c r="I396" s="14"/>
      <c r="J396" s="14" t="s">
        <v>11</v>
      </c>
      <c r="K396" s="16" t="s">
        <v>82</v>
      </c>
      <c r="L396" s="14" t="s">
        <v>171</v>
      </c>
      <c r="M396" s="14" t="s">
        <v>11</v>
      </c>
      <c r="N396" s="17"/>
      <c r="O396" s="18" t="s">
        <v>220</v>
      </c>
      <c r="P396" s="9"/>
      <c r="Q396" s="19"/>
      <c r="R396" s="19"/>
      <c r="S396" s="209">
        <v>508</v>
      </c>
      <c r="T396" s="19">
        <f t="shared" si="75"/>
        <v>508</v>
      </c>
      <c r="U396" s="14" t="s">
        <v>77</v>
      </c>
      <c r="V396" s="14"/>
      <c r="W396" s="33">
        <v>30</v>
      </c>
      <c r="X396" s="34"/>
      <c r="Y396" s="34">
        <v>0</v>
      </c>
      <c r="Z396" s="34">
        <v>0</v>
      </c>
      <c r="AA396" s="34">
        <v>0</v>
      </c>
      <c r="AB396" s="34">
        <v>0</v>
      </c>
      <c r="AC396" s="34">
        <f t="shared" si="76"/>
        <v>0.30480000000000002</v>
      </c>
      <c r="AD396" s="34"/>
      <c r="AE396" s="34">
        <v>0</v>
      </c>
      <c r="AF396" s="34">
        <f t="shared" si="77"/>
        <v>3.048</v>
      </c>
      <c r="AG396" s="34">
        <v>0</v>
      </c>
      <c r="AH396" s="34"/>
      <c r="AI396" s="34">
        <v>0</v>
      </c>
      <c r="AJ396" s="34">
        <f t="shared" si="79"/>
        <v>3.3528000000000002</v>
      </c>
      <c r="AK396" s="22"/>
      <c r="AL396" s="34"/>
      <c r="AM396" s="14"/>
      <c r="AN396" s="14"/>
      <c r="AO396" s="14"/>
      <c r="AP396" s="14"/>
    </row>
    <row r="397" spans="1:42" s="45" customFormat="1" ht="22" customHeight="1">
      <c r="A397" s="14" t="s">
        <v>21</v>
      </c>
      <c r="B397" s="15">
        <v>2024</v>
      </c>
      <c r="C397" s="15" t="s">
        <v>24</v>
      </c>
      <c r="D397" s="14" t="s">
        <v>185</v>
      </c>
      <c r="E397" s="14" t="s">
        <v>26</v>
      </c>
      <c r="F397" s="16" t="s">
        <v>265</v>
      </c>
      <c r="G397" s="14">
        <v>1</v>
      </c>
      <c r="H397" s="14"/>
      <c r="I397" s="14"/>
      <c r="J397" s="14" t="s">
        <v>11</v>
      </c>
      <c r="K397" s="16" t="s">
        <v>82</v>
      </c>
      <c r="L397" s="14" t="s">
        <v>171</v>
      </c>
      <c r="M397" s="14" t="s">
        <v>11</v>
      </c>
      <c r="N397" s="17"/>
      <c r="O397" s="18" t="s">
        <v>221</v>
      </c>
      <c r="P397" s="9"/>
      <c r="Q397" s="19"/>
      <c r="R397" s="19"/>
      <c r="S397" s="209">
        <v>944</v>
      </c>
      <c r="T397" s="19">
        <f t="shared" si="75"/>
        <v>944</v>
      </c>
      <c r="U397" s="14" t="s">
        <v>77</v>
      </c>
      <c r="V397" s="14"/>
      <c r="W397" s="33">
        <v>30</v>
      </c>
      <c r="X397" s="34"/>
      <c r="Y397" s="34">
        <v>0</v>
      </c>
      <c r="Z397" s="34">
        <v>0</v>
      </c>
      <c r="AA397" s="34">
        <v>0</v>
      </c>
      <c r="AB397" s="34">
        <v>0</v>
      </c>
      <c r="AC397" s="34">
        <f t="shared" si="76"/>
        <v>0.56640000000000001</v>
      </c>
      <c r="AD397" s="34"/>
      <c r="AE397" s="34">
        <v>0</v>
      </c>
      <c r="AF397" s="34">
        <f t="shared" si="77"/>
        <v>5.6639999999999997</v>
      </c>
      <c r="AG397" s="34">
        <v>0</v>
      </c>
      <c r="AH397" s="34"/>
      <c r="AI397" s="34">
        <v>0</v>
      </c>
      <c r="AJ397" s="34">
        <f t="shared" si="79"/>
        <v>6.2303999999999995</v>
      </c>
      <c r="AK397" s="22"/>
      <c r="AL397" s="34"/>
      <c r="AM397" s="14"/>
      <c r="AN397" s="14"/>
      <c r="AO397" s="14"/>
      <c r="AP397" s="14"/>
    </row>
    <row r="398" spans="1:42" s="45" customFormat="1" ht="22" customHeight="1">
      <c r="A398" s="14" t="s">
        <v>21</v>
      </c>
      <c r="B398" s="15">
        <v>2024</v>
      </c>
      <c r="C398" s="15" t="s">
        <v>24</v>
      </c>
      <c r="D398" s="14" t="s">
        <v>185</v>
      </c>
      <c r="E398" s="14" t="s">
        <v>26</v>
      </c>
      <c r="F398" s="16" t="s">
        <v>265</v>
      </c>
      <c r="G398" s="14">
        <v>2</v>
      </c>
      <c r="H398" s="14"/>
      <c r="I398" s="14"/>
      <c r="J398" s="14" t="s">
        <v>14</v>
      </c>
      <c r="K398" s="16" t="s">
        <v>14</v>
      </c>
      <c r="L398" s="14" t="s">
        <v>209</v>
      </c>
      <c r="M398" s="14" t="s">
        <v>99</v>
      </c>
      <c r="N398" s="30"/>
      <c r="O398" s="31" t="s">
        <v>222</v>
      </c>
      <c r="P398" s="9"/>
      <c r="Q398" s="19"/>
      <c r="R398" s="19"/>
      <c r="S398" s="209">
        <v>600</v>
      </c>
      <c r="T398" s="19">
        <f t="shared" si="75"/>
        <v>600</v>
      </c>
      <c r="U398" s="14" t="s">
        <v>77</v>
      </c>
      <c r="V398" s="14"/>
      <c r="W398" s="33">
        <v>30</v>
      </c>
      <c r="X398" s="34"/>
      <c r="Y398" s="34">
        <v>0</v>
      </c>
      <c r="Z398" s="34">
        <v>0</v>
      </c>
      <c r="AA398" s="34">
        <v>0</v>
      </c>
      <c r="AB398" s="34">
        <v>0</v>
      </c>
      <c r="AC398" s="34">
        <f t="shared" si="76"/>
        <v>0.36</v>
      </c>
      <c r="AD398" s="34"/>
      <c r="AE398" s="34">
        <v>0</v>
      </c>
      <c r="AF398" s="34">
        <f t="shared" si="77"/>
        <v>3.6</v>
      </c>
      <c r="AG398" s="34">
        <v>0</v>
      </c>
      <c r="AH398" s="34"/>
      <c r="AI398" s="34">
        <v>0</v>
      </c>
      <c r="AJ398" s="34">
        <f t="shared" si="79"/>
        <v>3.96</v>
      </c>
      <c r="AK398" s="22"/>
      <c r="AL398" s="34"/>
      <c r="AM398" s="14"/>
      <c r="AN398" s="14"/>
      <c r="AO398" s="14"/>
      <c r="AP398" s="14"/>
    </row>
    <row r="399" spans="1:42" s="45" customFormat="1" ht="22" customHeight="1">
      <c r="A399" s="14" t="s">
        <v>21</v>
      </c>
      <c r="B399" s="15">
        <v>2024</v>
      </c>
      <c r="C399" s="15" t="s">
        <v>24</v>
      </c>
      <c r="D399" s="14" t="s">
        <v>185</v>
      </c>
      <c r="E399" s="14" t="s">
        <v>26</v>
      </c>
      <c r="F399" s="16" t="s">
        <v>265</v>
      </c>
      <c r="G399" s="14">
        <v>2</v>
      </c>
      <c r="H399" s="14"/>
      <c r="I399" s="14"/>
      <c r="J399" s="14" t="s">
        <v>12</v>
      </c>
      <c r="K399" s="16" t="s">
        <v>14</v>
      </c>
      <c r="L399" s="14" t="s">
        <v>209</v>
      </c>
      <c r="M399" s="14" t="s">
        <v>84</v>
      </c>
      <c r="N399" s="17"/>
      <c r="O399" s="18" t="s">
        <v>225</v>
      </c>
      <c r="P399" s="9"/>
      <c r="Q399" s="19"/>
      <c r="R399" s="19"/>
      <c r="S399" s="209">
        <v>905</v>
      </c>
      <c r="T399" s="19">
        <f t="shared" si="75"/>
        <v>905</v>
      </c>
      <c r="U399" s="14" t="s">
        <v>77</v>
      </c>
      <c r="V399" s="14"/>
      <c r="W399" s="33">
        <v>30</v>
      </c>
      <c r="X399" s="34"/>
      <c r="Y399" s="34">
        <v>0</v>
      </c>
      <c r="Z399" s="34">
        <v>0</v>
      </c>
      <c r="AA399" s="34">
        <v>0</v>
      </c>
      <c r="AB399" s="34">
        <v>0</v>
      </c>
      <c r="AC399" s="34">
        <f t="shared" si="76"/>
        <v>0.54300000000000004</v>
      </c>
      <c r="AD399" s="34"/>
      <c r="AE399" s="34">
        <v>0</v>
      </c>
      <c r="AF399" s="34">
        <f t="shared" si="77"/>
        <v>5.43</v>
      </c>
      <c r="AG399" s="34">
        <v>0</v>
      </c>
      <c r="AH399" s="34"/>
      <c r="AI399" s="34">
        <v>0</v>
      </c>
      <c r="AJ399" s="34">
        <f t="shared" si="79"/>
        <v>5.9729999999999999</v>
      </c>
      <c r="AK399" s="22"/>
      <c r="AL399" s="34"/>
      <c r="AM399" s="14"/>
      <c r="AN399" s="14"/>
      <c r="AO399" s="14"/>
      <c r="AP399" s="14"/>
    </row>
    <row r="400" spans="1:42" s="45" customFormat="1" ht="22" customHeight="1">
      <c r="A400" s="14" t="s">
        <v>21</v>
      </c>
      <c r="B400" s="15">
        <v>2024</v>
      </c>
      <c r="C400" s="15" t="s">
        <v>24</v>
      </c>
      <c r="D400" s="14" t="s">
        <v>185</v>
      </c>
      <c r="E400" s="14" t="s">
        <v>26</v>
      </c>
      <c r="F400" s="16" t="s">
        <v>265</v>
      </c>
      <c r="G400" s="14">
        <v>1</v>
      </c>
      <c r="H400" s="14"/>
      <c r="I400" s="14"/>
      <c r="J400" s="14" t="s">
        <v>11</v>
      </c>
      <c r="K400" s="16" t="s">
        <v>82</v>
      </c>
      <c r="L400" s="14" t="s">
        <v>171</v>
      </c>
      <c r="M400" s="14" t="s">
        <v>78</v>
      </c>
      <c r="N400" s="17"/>
      <c r="O400" s="18" t="s">
        <v>226</v>
      </c>
      <c r="P400" s="9"/>
      <c r="Q400" s="19"/>
      <c r="R400" s="19"/>
      <c r="S400" s="209">
        <v>310</v>
      </c>
      <c r="T400" s="19">
        <f t="shared" si="75"/>
        <v>310</v>
      </c>
      <c r="U400" s="14" t="s">
        <v>77</v>
      </c>
      <c r="V400" s="14"/>
      <c r="W400" s="33">
        <v>30</v>
      </c>
      <c r="X400" s="34"/>
      <c r="Y400" s="34">
        <v>0</v>
      </c>
      <c r="Z400" s="34">
        <v>0</v>
      </c>
      <c r="AA400" s="34">
        <v>0</v>
      </c>
      <c r="AB400" s="34">
        <v>0</v>
      </c>
      <c r="AC400" s="34">
        <f t="shared" si="76"/>
        <v>0.186</v>
      </c>
      <c r="AD400" s="34"/>
      <c r="AE400" s="34">
        <v>0</v>
      </c>
      <c r="AF400" s="34">
        <f t="shared" si="77"/>
        <v>1.86</v>
      </c>
      <c r="AG400" s="34">
        <v>0</v>
      </c>
      <c r="AH400" s="34"/>
      <c r="AI400" s="34">
        <v>0</v>
      </c>
      <c r="AJ400" s="34">
        <f t="shared" si="79"/>
        <v>2.0460000000000003</v>
      </c>
      <c r="AK400" s="22"/>
      <c r="AL400" s="34"/>
      <c r="AM400" s="14"/>
      <c r="AN400" s="14"/>
      <c r="AO400" s="14"/>
      <c r="AP400" s="14"/>
    </row>
    <row r="401" spans="1:42" s="45" customFormat="1" ht="22" customHeight="1">
      <c r="A401" s="14" t="s">
        <v>21</v>
      </c>
      <c r="B401" s="15">
        <v>2024</v>
      </c>
      <c r="C401" s="15" t="s">
        <v>24</v>
      </c>
      <c r="D401" s="14" t="s">
        <v>185</v>
      </c>
      <c r="E401" s="14" t="s">
        <v>26</v>
      </c>
      <c r="F401" s="16" t="s">
        <v>265</v>
      </c>
      <c r="G401" s="14">
        <v>1</v>
      </c>
      <c r="H401" s="14"/>
      <c r="I401" s="14"/>
      <c r="J401" s="14" t="s">
        <v>12</v>
      </c>
      <c r="K401" s="16" t="s">
        <v>14</v>
      </c>
      <c r="L401" s="14" t="s">
        <v>209</v>
      </c>
      <c r="M401" s="14" t="s">
        <v>84</v>
      </c>
      <c r="N401" s="17"/>
      <c r="O401" s="18" t="s">
        <v>227</v>
      </c>
      <c r="P401" s="9"/>
      <c r="Q401" s="19"/>
      <c r="R401" s="19"/>
      <c r="S401" s="209">
        <v>510</v>
      </c>
      <c r="T401" s="19">
        <f t="shared" si="75"/>
        <v>510</v>
      </c>
      <c r="U401" s="14" t="s">
        <v>77</v>
      </c>
      <c r="V401" s="14"/>
      <c r="W401" s="33">
        <v>30</v>
      </c>
      <c r="X401" s="34"/>
      <c r="Y401" s="34">
        <v>0</v>
      </c>
      <c r="Z401" s="34">
        <v>0</v>
      </c>
      <c r="AA401" s="34">
        <v>0</v>
      </c>
      <c r="AB401" s="34">
        <v>0</v>
      </c>
      <c r="AC401" s="34">
        <f t="shared" si="76"/>
        <v>0.30599999999999999</v>
      </c>
      <c r="AD401" s="34"/>
      <c r="AE401" s="34">
        <v>0</v>
      </c>
      <c r="AF401" s="34">
        <f t="shared" si="77"/>
        <v>3.06</v>
      </c>
      <c r="AG401" s="34">
        <v>0</v>
      </c>
      <c r="AH401" s="34"/>
      <c r="AI401" s="34">
        <v>0</v>
      </c>
      <c r="AJ401" s="34">
        <f t="shared" si="79"/>
        <v>3.3660000000000001</v>
      </c>
      <c r="AK401" s="22"/>
      <c r="AL401" s="34"/>
      <c r="AM401" s="14"/>
      <c r="AN401" s="14"/>
      <c r="AO401" s="14"/>
      <c r="AP401" s="14"/>
    </row>
    <row r="402" spans="1:42" s="45" customFormat="1" ht="22" customHeight="1">
      <c r="A402" s="14" t="s">
        <v>21</v>
      </c>
      <c r="B402" s="15">
        <v>2024</v>
      </c>
      <c r="C402" s="15" t="s">
        <v>24</v>
      </c>
      <c r="D402" s="14" t="s">
        <v>185</v>
      </c>
      <c r="E402" s="14" t="s">
        <v>26</v>
      </c>
      <c r="F402" s="16" t="s">
        <v>265</v>
      </c>
      <c r="G402" s="14">
        <v>1</v>
      </c>
      <c r="H402" s="14"/>
      <c r="I402" s="14"/>
      <c r="J402" s="14" t="s">
        <v>11</v>
      </c>
      <c r="K402" s="16" t="s">
        <v>82</v>
      </c>
      <c r="L402" s="14" t="s">
        <v>171</v>
      </c>
      <c r="M402" s="14" t="s">
        <v>78</v>
      </c>
      <c r="N402" s="17"/>
      <c r="O402" s="18" t="s">
        <v>228</v>
      </c>
      <c r="P402" s="9"/>
      <c r="Q402" s="19"/>
      <c r="R402" s="19"/>
      <c r="S402" s="209">
        <v>750</v>
      </c>
      <c r="T402" s="19">
        <f t="shared" si="75"/>
        <v>750</v>
      </c>
      <c r="U402" s="14" t="s">
        <v>77</v>
      </c>
      <c r="V402" s="14"/>
      <c r="W402" s="33">
        <v>30</v>
      </c>
      <c r="X402" s="34"/>
      <c r="Y402" s="34">
        <v>0</v>
      </c>
      <c r="Z402" s="34">
        <v>0</v>
      </c>
      <c r="AA402" s="34">
        <v>0</v>
      </c>
      <c r="AB402" s="34">
        <v>0</v>
      </c>
      <c r="AC402" s="34">
        <f t="shared" si="76"/>
        <v>0.45</v>
      </c>
      <c r="AD402" s="34"/>
      <c r="AE402" s="34">
        <v>0</v>
      </c>
      <c r="AF402" s="34">
        <f t="shared" si="77"/>
        <v>4.5</v>
      </c>
      <c r="AG402" s="34">
        <v>0</v>
      </c>
      <c r="AH402" s="34"/>
      <c r="AI402" s="34">
        <v>0</v>
      </c>
      <c r="AJ402" s="34">
        <f t="shared" si="79"/>
        <v>4.95</v>
      </c>
      <c r="AK402" s="22"/>
      <c r="AL402" s="34"/>
      <c r="AM402" s="14"/>
      <c r="AN402" s="14"/>
      <c r="AO402" s="14"/>
      <c r="AP402" s="14"/>
    </row>
    <row r="403" spans="1:42" s="45" customFormat="1" ht="22" customHeight="1">
      <c r="A403" s="14" t="s">
        <v>21</v>
      </c>
      <c r="B403" s="15">
        <v>2024</v>
      </c>
      <c r="C403" s="15" t="s">
        <v>24</v>
      </c>
      <c r="D403" s="14" t="s">
        <v>185</v>
      </c>
      <c r="E403" s="14" t="s">
        <v>26</v>
      </c>
      <c r="F403" s="16" t="s">
        <v>265</v>
      </c>
      <c r="G403" s="14">
        <v>2</v>
      </c>
      <c r="H403" s="14"/>
      <c r="I403" s="14"/>
      <c r="J403" s="14" t="s">
        <v>14</v>
      </c>
      <c r="K403" s="16" t="s">
        <v>14</v>
      </c>
      <c r="L403" s="14" t="s">
        <v>209</v>
      </c>
      <c r="M403" s="14" t="s">
        <v>99</v>
      </c>
      <c r="N403" s="30"/>
      <c r="O403" s="31" t="s">
        <v>230</v>
      </c>
      <c r="P403" s="9"/>
      <c r="Q403" s="19"/>
      <c r="R403" s="19"/>
      <c r="S403" s="209">
        <v>181</v>
      </c>
      <c r="T403" s="19">
        <f t="shared" si="75"/>
        <v>181</v>
      </c>
      <c r="U403" s="14" t="s">
        <v>77</v>
      </c>
      <c r="V403" s="14"/>
      <c r="W403" s="33">
        <v>30</v>
      </c>
      <c r="X403" s="34">
        <v>0</v>
      </c>
      <c r="Y403" s="34">
        <v>0</v>
      </c>
      <c r="Z403" s="34">
        <v>0</v>
      </c>
      <c r="AA403" s="34">
        <v>0</v>
      </c>
      <c r="AB403" s="34">
        <v>0</v>
      </c>
      <c r="AC403" s="34">
        <f t="shared" si="76"/>
        <v>0.1086</v>
      </c>
      <c r="AD403" s="34"/>
      <c r="AE403" s="34">
        <v>0</v>
      </c>
      <c r="AF403" s="34">
        <f t="shared" si="77"/>
        <v>1.0860000000000001</v>
      </c>
      <c r="AG403" s="34">
        <v>0</v>
      </c>
      <c r="AH403" s="34">
        <v>0</v>
      </c>
      <c r="AI403" s="34">
        <v>0</v>
      </c>
      <c r="AJ403" s="34">
        <f t="shared" si="79"/>
        <v>1.1946000000000001</v>
      </c>
      <c r="AK403" s="22"/>
      <c r="AL403" s="34"/>
      <c r="AM403" s="14"/>
      <c r="AN403" s="14"/>
      <c r="AO403" s="14"/>
      <c r="AP403" s="14"/>
    </row>
    <row r="404" spans="1:42" s="45" customFormat="1" ht="22" customHeight="1">
      <c r="A404" s="14" t="s">
        <v>21</v>
      </c>
      <c r="B404" s="15">
        <v>2024</v>
      </c>
      <c r="C404" s="15" t="s">
        <v>24</v>
      </c>
      <c r="D404" s="14" t="s">
        <v>185</v>
      </c>
      <c r="E404" s="14" t="s">
        <v>26</v>
      </c>
      <c r="F404" s="16" t="s">
        <v>265</v>
      </c>
      <c r="G404" s="14">
        <v>1</v>
      </c>
      <c r="H404" s="14"/>
      <c r="I404" s="14"/>
      <c r="J404" s="14" t="s">
        <v>14</v>
      </c>
      <c r="K404" s="16" t="s">
        <v>14</v>
      </c>
      <c r="L404" s="14" t="s">
        <v>209</v>
      </c>
      <c r="M404" s="14" t="s">
        <v>99</v>
      </c>
      <c r="N404" s="30"/>
      <c r="O404" s="31" t="s">
        <v>231</v>
      </c>
      <c r="P404" s="9"/>
      <c r="Q404" s="19"/>
      <c r="R404" s="19"/>
      <c r="S404" s="209">
        <v>50</v>
      </c>
      <c r="T404" s="19">
        <f t="shared" si="75"/>
        <v>50</v>
      </c>
      <c r="U404" s="14" t="s">
        <v>77</v>
      </c>
      <c r="V404" s="14"/>
      <c r="W404" s="33">
        <v>30</v>
      </c>
      <c r="X404" s="34"/>
      <c r="Y404" s="34">
        <v>0</v>
      </c>
      <c r="Z404" s="34">
        <v>0</v>
      </c>
      <c r="AA404" s="34">
        <v>0</v>
      </c>
      <c r="AB404" s="34">
        <v>0</v>
      </c>
      <c r="AC404" s="34">
        <f t="shared" si="76"/>
        <v>0.03</v>
      </c>
      <c r="AD404" s="34"/>
      <c r="AE404" s="34">
        <v>0</v>
      </c>
      <c r="AF404" s="34">
        <f t="shared" si="77"/>
        <v>0.3</v>
      </c>
      <c r="AG404" s="34">
        <v>0</v>
      </c>
      <c r="AH404" s="34"/>
      <c r="AI404" s="34">
        <v>0</v>
      </c>
      <c r="AJ404" s="34">
        <f t="shared" si="79"/>
        <v>0.32999999999999996</v>
      </c>
      <c r="AK404" s="22"/>
      <c r="AL404" s="34"/>
      <c r="AM404" s="14"/>
      <c r="AN404" s="14"/>
      <c r="AO404" s="14"/>
      <c r="AP404" s="14"/>
    </row>
    <row r="405" spans="1:42" s="45" customFormat="1" ht="22" customHeight="1">
      <c r="A405" s="14" t="s">
        <v>21</v>
      </c>
      <c r="B405" s="15">
        <v>2024</v>
      </c>
      <c r="C405" s="15" t="s">
        <v>24</v>
      </c>
      <c r="D405" s="14" t="s">
        <v>185</v>
      </c>
      <c r="E405" s="14" t="s">
        <v>26</v>
      </c>
      <c r="F405" s="16" t="s">
        <v>265</v>
      </c>
      <c r="G405" s="14">
        <v>1</v>
      </c>
      <c r="H405" s="14"/>
      <c r="I405" s="14"/>
      <c r="J405" s="14" t="s">
        <v>11</v>
      </c>
      <c r="K405" s="16" t="s">
        <v>82</v>
      </c>
      <c r="L405" s="14" t="s">
        <v>171</v>
      </c>
      <c r="M405" s="14" t="s">
        <v>78</v>
      </c>
      <c r="N405" s="17"/>
      <c r="O405" s="18" t="s">
        <v>232</v>
      </c>
      <c r="P405" s="9"/>
      <c r="Q405" s="19"/>
      <c r="R405" s="19"/>
      <c r="S405" s="209">
        <v>317</v>
      </c>
      <c r="T405" s="19">
        <f t="shared" si="75"/>
        <v>317</v>
      </c>
      <c r="U405" s="14" t="s">
        <v>77</v>
      </c>
      <c r="V405" s="14"/>
      <c r="W405" s="33">
        <v>30</v>
      </c>
      <c r="X405" s="34"/>
      <c r="Y405" s="34">
        <v>0</v>
      </c>
      <c r="Z405" s="34">
        <v>0</v>
      </c>
      <c r="AA405" s="34">
        <v>0</v>
      </c>
      <c r="AB405" s="34">
        <v>0</v>
      </c>
      <c r="AC405" s="34">
        <f t="shared" si="76"/>
        <v>0.19020000000000001</v>
      </c>
      <c r="AD405" s="34"/>
      <c r="AE405" s="34">
        <v>0</v>
      </c>
      <c r="AF405" s="34">
        <f t="shared" si="77"/>
        <v>1.9019999999999999</v>
      </c>
      <c r="AG405" s="34">
        <v>0</v>
      </c>
      <c r="AH405" s="34"/>
      <c r="AI405" s="34">
        <v>0</v>
      </c>
      <c r="AJ405" s="34">
        <f t="shared" si="79"/>
        <v>2.0922000000000001</v>
      </c>
      <c r="AK405" s="22"/>
      <c r="AL405" s="34"/>
      <c r="AM405" s="14"/>
      <c r="AN405" s="14"/>
      <c r="AO405" s="14"/>
      <c r="AP405" s="14"/>
    </row>
    <row r="406" spans="1:42" s="45" customFormat="1" ht="22" customHeight="1">
      <c r="A406" s="14" t="s">
        <v>21</v>
      </c>
      <c r="B406" s="15">
        <v>2024</v>
      </c>
      <c r="C406" s="15" t="s">
        <v>24</v>
      </c>
      <c r="D406" s="14" t="s">
        <v>185</v>
      </c>
      <c r="E406" s="14" t="s">
        <v>26</v>
      </c>
      <c r="F406" s="16" t="s">
        <v>265</v>
      </c>
      <c r="G406" s="14">
        <v>1</v>
      </c>
      <c r="H406" s="14"/>
      <c r="I406" s="14" t="s">
        <v>28</v>
      </c>
      <c r="J406" s="14" t="s">
        <v>11</v>
      </c>
      <c r="K406" s="16" t="s">
        <v>82</v>
      </c>
      <c r="L406" s="14" t="s">
        <v>166</v>
      </c>
      <c r="M406" s="14" t="s">
        <v>28</v>
      </c>
      <c r="N406" s="30"/>
      <c r="O406" s="31" t="s">
        <v>233</v>
      </c>
      <c r="P406" s="9"/>
      <c r="Q406" s="19"/>
      <c r="R406" s="19"/>
      <c r="S406" s="209">
        <v>677</v>
      </c>
      <c r="T406" s="19">
        <f t="shared" si="75"/>
        <v>677</v>
      </c>
      <c r="U406" s="14" t="s">
        <v>77</v>
      </c>
      <c r="V406" s="14"/>
      <c r="W406" s="33">
        <v>30</v>
      </c>
      <c r="X406" s="34"/>
      <c r="Y406" s="34">
        <v>0</v>
      </c>
      <c r="Z406" s="34">
        <v>0</v>
      </c>
      <c r="AA406" s="34">
        <v>0</v>
      </c>
      <c r="AB406" s="34">
        <v>0</v>
      </c>
      <c r="AC406" s="34">
        <f t="shared" si="76"/>
        <v>0.40620000000000001</v>
      </c>
      <c r="AD406" s="34"/>
      <c r="AE406" s="34">
        <v>0</v>
      </c>
      <c r="AF406" s="34">
        <f t="shared" si="77"/>
        <v>4.0620000000000003</v>
      </c>
      <c r="AG406" s="34">
        <v>0</v>
      </c>
      <c r="AH406" s="34"/>
      <c r="AI406" s="34">
        <v>0</v>
      </c>
      <c r="AJ406" s="34">
        <f t="shared" si="79"/>
        <v>4.4682000000000004</v>
      </c>
      <c r="AK406" s="22"/>
      <c r="AL406" s="34"/>
      <c r="AM406" s="14"/>
      <c r="AN406" s="14"/>
      <c r="AO406" s="14"/>
      <c r="AP406" s="14"/>
    </row>
    <row r="407" spans="1:42" s="45" customFormat="1" ht="22" customHeight="1">
      <c r="A407" s="14" t="s">
        <v>21</v>
      </c>
      <c r="B407" s="15">
        <v>2024</v>
      </c>
      <c r="C407" s="15" t="s">
        <v>24</v>
      </c>
      <c r="D407" s="14" t="s">
        <v>185</v>
      </c>
      <c r="E407" s="14" t="s">
        <v>26</v>
      </c>
      <c r="F407" s="16" t="s">
        <v>265</v>
      </c>
      <c r="G407" s="14">
        <v>1</v>
      </c>
      <c r="H407" s="14"/>
      <c r="I407" s="14"/>
      <c r="J407" s="14" t="s">
        <v>12</v>
      </c>
      <c r="K407" s="16" t="s">
        <v>14</v>
      </c>
      <c r="L407" s="14" t="s">
        <v>209</v>
      </c>
      <c r="M407" s="14" t="s">
        <v>84</v>
      </c>
      <c r="N407" s="30"/>
      <c r="O407" s="31" t="s">
        <v>234</v>
      </c>
      <c r="P407" s="9"/>
      <c r="Q407" s="19"/>
      <c r="R407" s="19"/>
      <c r="S407" s="209">
        <v>948</v>
      </c>
      <c r="T407" s="19">
        <f t="shared" si="75"/>
        <v>948</v>
      </c>
      <c r="U407" s="14" t="s">
        <v>77</v>
      </c>
      <c r="V407" s="14"/>
      <c r="W407" s="33">
        <v>30</v>
      </c>
      <c r="X407" s="34"/>
      <c r="Y407" s="34">
        <v>0</v>
      </c>
      <c r="Z407" s="34">
        <v>0</v>
      </c>
      <c r="AA407" s="34">
        <v>0</v>
      </c>
      <c r="AB407" s="34">
        <v>0</v>
      </c>
      <c r="AC407" s="34">
        <f t="shared" si="76"/>
        <v>0.56879999999999997</v>
      </c>
      <c r="AD407" s="34"/>
      <c r="AE407" s="34">
        <v>0</v>
      </c>
      <c r="AF407" s="34">
        <f t="shared" si="77"/>
        <v>5.6879999999999997</v>
      </c>
      <c r="AG407" s="34">
        <v>0</v>
      </c>
      <c r="AH407" s="34"/>
      <c r="AI407" s="34">
        <v>0</v>
      </c>
      <c r="AJ407" s="34">
        <f t="shared" si="79"/>
        <v>6.2568000000000001</v>
      </c>
      <c r="AK407" s="22"/>
      <c r="AL407" s="34"/>
      <c r="AM407" s="14"/>
      <c r="AN407" s="14"/>
      <c r="AO407" s="14"/>
      <c r="AP407" s="14"/>
    </row>
    <row r="408" spans="1:42" s="45" customFormat="1" ht="22" customHeight="1">
      <c r="A408" s="14" t="s">
        <v>21</v>
      </c>
      <c r="B408" s="15">
        <v>2024</v>
      </c>
      <c r="C408" s="15" t="s">
        <v>24</v>
      </c>
      <c r="D408" s="14" t="s">
        <v>185</v>
      </c>
      <c r="E408" s="14" t="s">
        <v>26</v>
      </c>
      <c r="F408" s="16" t="s">
        <v>265</v>
      </c>
      <c r="G408" s="14">
        <v>2</v>
      </c>
      <c r="H408" s="14"/>
      <c r="I408" s="14"/>
      <c r="J408" s="14" t="s">
        <v>14</v>
      </c>
      <c r="K408" s="16" t="s">
        <v>14</v>
      </c>
      <c r="L408" s="14" t="s">
        <v>209</v>
      </c>
      <c r="M408" s="14" t="s">
        <v>99</v>
      </c>
      <c r="N408" s="30"/>
      <c r="O408" s="31" t="s">
        <v>235</v>
      </c>
      <c r="P408" s="9"/>
      <c r="Q408" s="19"/>
      <c r="R408" s="19"/>
      <c r="S408" s="209">
        <v>545</v>
      </c>
      <c r="T408" s="19">
        <f t="shared" si="75"/>
        <v>545</v>
      </c>
      <c r="U408" s="14" t="s">
        <v>77</v>
      </c>
      <c r="V408" s="14"/>
      <c r="W408" s="33">
        <v>30</v>
      </c>
      <c r="X408" s="34"/>
      <c r="Y408" s="34">
        <v>0</v>
      </c>
      <c r="Z408" s="34">
        <v>0</v>
      </c>
      <c r="AA408" s="34">
        <v>0</v>
      </c>
      <c r="AB408" s="34">
        <v>0</v>
      </c>
      <c r="AC408" s="34">
        <f t="shared" si="76"/>
        <v>0.32700000000000001</v>
      </c>
      <c r="AD408" s="34"/>
      <c r="AE408" s="34">
        <v>0</v>
      </c>
      <c r="AF408" s="34">
        <f t="shared" si="77"/>
        <v>3.27</v>
      </c>
      <c r="AG408" s="34">
        <v>0</v>
      </c>
      <c r="AH408" s="34"/>
      <c r="AI408" s="34">
        <v>0</v>
      </c>
      <c r="AJ408" s="34">
        <f t="shared" si="79"/>
        <v>3.597</v>
      </c>
      <c r="AK408" s="22"/>
      <c r="AL408" s="34"/>
      <c r="AM408" s="14"/>
      <c r="AN408" s="14"/>
      <c r="AO408" s="14"/>
      <c r="AP408" s="14"/>
    </row>
    <row r="409" spans="1:42" s="45" customFormat="1" ht="22" customHeight="1">
      <c r="A409" s="14" t="s">
        <v>21</v>
      </c>
      <c r="B409" s="15">
        <v>2024</v>
      </c>
      <c r="C409" s="15" t="s">
        <v>24</v>
      </c>
      <c r="D409" s="14" t="s">
        <v>185</v>
      </c>
      <c r="E409" s="14" t="s">
        <v>26</v>
      </c>
      <c r="F409" s="16" t="s">
        <v>265</v>
      </c>
      <c r="G409" s="14">
        <v>1</v>
      </c>
      <c r="H409" s="14"/>
      <c r="I409" s="14" t="s">
        <v>28</v>
      </c>
      <c r="J409" s="14" t="s">
        <v>11</v>
      </c>
      <c r="K409" s="16" t="s">
        <v>82</v>
      </c>
      <c r="L409" s="14" t="s">
        <v>166</v>
      </c>
      <c r="M409" s="14" t="s">
        <v>28</v>
      </c>
      <c r="N409" s="17"/>
      <c r="O409" s="18" t="s">
        <v>236</v>
      </c>
      <c r="P409" s="9"/>
      <c r="Q409" s="19"/>
      <c r="R409" s="19"/>
      <c r="S409" s="209">
        <v>288</v>
      </c>
      <c r="T409" s="19">
        <f t="shared" si="75"/>
        <v>288</v>
      </c>
      <c r="U409" s="14" t="s">
        <v>77</v>
      </c>
      <c r="V409" s="14"/>
      <c r="W409" s="33">
        <v>30</v>
      </c>
      <c r="X409" s="34"/>
      <c r="Y409" s="34">
        <v>0</v>
      </c>
      <c r="Z409" s="34">
        <v>0</v>
      </c>
      <c r="AA409" s="34">
        <v>0</v>
      </c>
      <c r="AB409" s="34">
        <v>0</v>
      </c>
      <c r="AC409" s="34">
        <f t="shared" si="76"/>
        <v>0.17280000000000001</v>
      </c>
      <c r="AD409" s="34"/>
      <c r="AE409" s="34">
        <v>0</v>
      </c>
      <c r="AF409" s="34">
        <f t="shared" si="77"/>
        <v>1.728</v>
      </c>
      <c r="AG409" s="34">
        <v>0</v>
      </c>
      <c r="AH409" s="34"/>
      <c r="AI409" s="34">
        <v>0</v>
      </c>
      <c r="AJ409" s="34">
        <f t="shared" si="79"/>
        <v>1.9008</v>
      </c>
      <c r="AK409" s="22"/>
      <c r="AL409" s="34"/>
      <c r="AM409" s="14"/>
      <c r="AN409" s="14"/>
      <c r="AO409" s="14"/>
      <c r="AP409" s="14"/>
    </row>
    <row r="410" spans="1:42" s="45" customFormat="1" ht="22" customHeight="1">
      <c r="A410" s="14" t="s">
        <v>21</v>
      </c>
      <c r="B410" s="15">
        <v>2024</v>
      </c>
      <c r="C410" s="15" t="s">
        <v>24</v>
      </c>
      <c r="D410" s="14" t="s">
        <v>185</v>
      </c>
      <c r="E410" s="14" t="s">
        <v>26</v>
      </c>
      <c r="F410" s="16" t="s">
        <v>265</v>
      </c>
      <c r="G410" s="14">
        <v>1</v>
      </c>
      <c r="H410" s="14"/>
      <c r="I410" s="14" t="s">
        <v>28</v>
      </c>
      <c r="J410" s="14" t="s">
        <v>11</v>
      </c>
      <c r="K410" s="16" t="s">
        <v>82</v>
      </c>
      <c r="L410" s="14" t="s">
        <v>166</v>
      </c>
      <c r="M410" s="14" t="s">
        <v>28</v>
      </c>
      <c r="N410" s="17"/>
      <c r="O410" s="18" t="s">
        <v>237</v>
      </c>
      <c r="P410" s="9"/>
      <c r="Q410" s="19"/>
      <c r="R410" s="19"/>
      <c r="S410" s="209">
        <v>1037</v>
      </c>
      <c r="T410" s="19">
        <f t="shared" si="75"/>
        <v>1037</v>
      </c>
      <c r="U410" s="14" t="s">
        <v>77</v>
      </c>
      <c r="V410" s="14"/>
      <c r="W410" s="33">
        <v>30</v>
      </c>
      <c r="X410" s="34"/>
      <c r="Y410" s="34">
        <v>0</v>
      </c>
      <c r="Z410" s="34">
        <v>0</v>
      </c>
      <c r="AA410" s="34">
        <v>0</v>
      </c>
      <c r="AB410" s="34">
        <v>0</v>
      </c>
      <c r="AC410" s="34">
        <f t="shared" si="76"/>
        <v>0.62219999999999998</v>
      </c>
      <c r="AD410" s="34"/>
      <c r="AE410" s="34">
        <v>0</v>
      </c>
      <c r="AF410" s="34">
        <f t="shared" si="77"/>
        <v>6.2220000000000004</v>
      </c>
      <c r="AG410" s="34">
        <v>0</v>
      </c>
      <c r="AH410" s="34"/>
      <c r="AI410" s="34">
        <v>0</v>
      </c>
      <c r="AJ410" s="34">
        <f t="shared" si="79"/>
        <v>6.8442000000000007</v>
      </c>
      <c r="AK410" s="22"/>
      <c r="AL410" s="34"/>
      <c r="AM410" s="14"/>
      <c r="AN410" s="14"/>
      <c r="AO410" s="14"/>
      <c r="AP410" s="14"/>
    </row>
    <row r="411" spans="1:42" s="45" customFormat="1" ht="22" customHeight="1">
      <c r="A411" s="14" t="s">
        <v>21</v>
      </c>
      <c r="B411" s="15">
        <v>2024</v>
      </c>
      <c r="C411" s="15" t="s">
        <v>24</v>
      </c>
      <c r="D411" s="14" t="s">
        <v>185</v>
      </c>
      <c r="E411" s="14" t="s">
        <v>26</v>
      </c>
      <c r="F411" s="16" t="s">
        <v>265</v>
      </c>
      <c r="G411" s="14">
        <v>1</v>
      </c>
      <c r="H411" s="14"/>
      <c r="I411" s="14"/>
      <c r="J411" s="14" t="s">
        <v>11</v>
      </c>
      <c r="K411" s="16" t="s">
        <v>82</v>
      </c>
      <c r="L411" s="14" t="s">
        <v>171</v>
      </c>
      <c r="M411" s="14" t="s">
        <v>78</v>
      </c>
      <c r="N411" s="17"/>
      <c r="O411" s="18" t="s">
        <v>239</v>
      </c>
      <c r="P411" s="9"/>
      <c r="Q411" s="19"/>
      <c r="R411" s="19"/>
      <c r="S411" s="209">
        <v>338</v>
      </c>
      <c r="T411" s="19">
        <f t="shared" si="75"/>
        <v>338</v>
      </c>
      <c r="U411" s="14" t="s">
        <v>77</v>
      </c>
      <c r="V411" s="14"/>
      <c r="W411" s="33">
        <v>30</v>
      </c>
      <c r="X411" s="34"/>
      <c r="Y411" s="34">
        <v>0</v>
      </c>
      <c r="Z411" s="34">
        <v>0</v>
      </c>
      <c r="AA411" s="34">
        <v>0</v>
      </c>
      <c r="AB411" s="34">
        <v>0</v>
      </c>
      <c r="AC411" s="34">
        <f t="shared" si="76"/>
        <v>0.20280000000000001</v>
      </c>
      <c r="AD411" s="34"/>
      <c r="AE411" s="34">
        <v>0</v>
      </c>
      <c r="AF411" s="34">
        <f t="shared" si="77"/>
        <v>2.028</v>
      </c>
      <c r="AG411" s="34">
        <v>0</v>
      </c>
      <c r="AH411" s="34"/>
      <c r="AI411" s="34">
        <v>0</v>
      </c>
      <c r="AJ411" s="34">
        <f t="shared" si="79"/>
        <v>2.2307999999999999</v>
      </c>
      <c r="AK411" s="22"/>
      <c r="AL411" s="34"/>
      <c r="AM411" s="14"/>
      <c r="AN411" s="14"/>
      <c r="AO411" s="14"/>
      <c r="AP411" s="14"/>
    </row>
    <row r="412" spans="1:42" s="45" customFormat="1" ht="22" customHeight="1">
      <c r="A412" s="14" t="s">
        <v>21</v>
      </c>
      <c r="B412" s="15">
        <v>2024</v>
      </c>
      <c r="C412" s="15" t="s">
        <v>24</v>
      </c>
      <c r="D412" s="14" t="s">
        <v>185</v>
      </c>
      <c r="E412" s="14" t="s">
        <v>26</v>
      </c>
      <c r="F412" s="16" t="s">
        <v>265</v>
      </c>
      <c r="G412" s="14">
        <v>2</v>
      </c>
      <c r="H412" s="14"/>
      <c r="I412" s="14" t="s">
        <v>28</v>
      </c>
      <c r="J412" s="14" t="s">
        <v>11</v>
      </c>
      <c r="K412" s="16" t="s">
        <v>82</v>
      </c>
      <c r="L412" s="14" t="s">
        <v>166</v>
      </c>
      <c r="M412" s="14" t="s">
        <v>28</v>
      </c>
      <c r="N412" s="17"/>
      <c r="O412" s="18" t="s">
        <v>240</v>
      </c>
      <c r="P412" s="9"/>
      <c r="Q412" s="19"/>
      <c r="R412" s="19"/>
      <c r="S412" s="209">
        <v>762</v>
      </c>
      <c r="T412" s="19">
        <f t="shared" si="75"/>
        <v>762</v>
      </c>
      <c r="U412" s="14" t="s">
        <v>77</v>
      </c>
      <c r="V412" s="14"/>
      <c r="W412" s="33">
        <v>30</v>
      </c>
      <c r="X412" s="34"/>
      <c r="Y412" s="34">
        <v>0</v>
      </c>
      <c r="Z412" s="34">
        <v>0</v>
      </c>
      <c r="AA412" s="34">
        <v>0</v>
      </c>
      <c r="AB412" s="34">
        <v>0</v>
      </c>
      <c r="AC412" s="34">
        <f t="shared" si="76"/>
        <v>0.4572</v>
      </c>
      <c r="AD412" s="34"/>
      <c r="AE412" s="34">
        <v>0</v>
      </c>
      <c r="AF412" s="34">
        <f t="shared" si="77"/>
        <v>4.5720000000000001</v>
      </c>
      <c r="AG412" s="34">
        <v>0</v>
      </c>
      <c r="AH412" s="34"/>
      <c r="AI412" s="34">
        <v>0</v>
      </c>
      <c r="AJ412" s="34">
        <f t="shared" si="79"/>
        <v>5.0292000000000003</v>
      </c>
      <c r="AK412" s="22"/>
      <c r="AL412" s="34"/>
      <c r="AM412" s="14"/>
      <c r="AN412" s="14"/>
      <c r="AO412" s="14"/>
      <c r="AP412" s="14"/>
    </row>
    <row r="413" spans="1:42" s="45" customFormat="1" ht="22" customHeight="1">
      <c r="A413" s="14" t="s">
        <v>21</v>
      </c>
      <c r="B413" s="15">
        <v>2024</v>
      </c>
      <c r="C413" s="15" t="s">
        <v>24</v>
      </c>
      <c r="D413" s="14" t="s">
        <v>185</v>
      </c>
      <c r="E413" s="14" t="s">
        <v>26</v>
      </c>
      <c r="F413" s="16" t="s">
        <v>265</v>
      </c>
      <c r="G413" s="14">
        <v>1</v>
      </c>
      <c r="H413" s="14"/>
      <c r="I413" s="14"/>
      <c r="J413" s="14" t="s">
        <v>14</v>
      </c>
      <c r="K413" s="16" t="s">
        <v>14</v>
      </c>
      <c r="L413" s="14" t="s">
        <v>209</v>
      </c>
      <c r="M413" s="14" t="s">
        <v>99</v>
      </c>
      <c r="N413" s="30"/>
      <c r="O413" s="31" t="s">
        <v>242</v>
      </c>
      <c r="P413" s="9"/>
      <c r="Q413" s="19"/>
      <c r="R413" s="19"/>
      <c r="S413" s="209">
        <v>188</v>
      </c>
      <c r="T413" s="19">
        <f t="shared" si="75"/>
        <v>188</v>
      </c>
      <c r="U413" s="14" t="s">
        <v>77</v>
      </c>
      <c r="V413" s="14"/>
      <c r="W413" s="33">
        <v>30</v>
      </c>
      <c r="X413" s="34"/>
      <c r="Y413" s="34">
        <v>0</v>
      </c>
      <c r="Z413" s="34">
        <v>0</v>
      </c>
      <c r="AA413" s="34">
        <v>0</v>
      </c>
      <c r="AB413" s="34">
        <v>0</v>
      </c>
      <c r="AC413" s="34">
        <f t="shared" si="76"/>
        <v>0.1128</v>
      </c>
      <c r="AD413" s="34"/>
      <c r="AE413" s="34">
        <v>0</v>
      </c>
      <c r="AF413" s="34">
        <f t="shared" si="77"/>
        <v>1.1279999999999999</v>
      </c>
      <c r="AG413" s="34">
        <v>0</v>
      </c>
      <c r="AH413" s="34"/>
      <c r="AI413" s="34">
        <v>0</v>
      </c>
      <c r="AJ413" s="34">
        <f t="shared" si="79"/>
        <v>1.2407999999999999</v>
      </c>
      <c r="AK413" s="22"/>
      <c r="AL413" s="34"/>
      <c r="AM413" s="14"/>
      <c r="AN413" s="14"/>
      <c r="AO413" s="14"/>
      <c r="AP413" s="14"/>
    </row>
    <row r="414" spans="1:42" s="45" customFormat="1" ht="22" customHeight="1">
      <c r="A414" s="14" t="s">
        <v>21</v>
      </c>
      <c r="B414" s="15">
        <v>2024</v>
      </c>
      <c r="C414" s="15" t="s">
        <v>24</v>
      </c>
      <c r="D414" s="14" t="s">
        <v>185</v>
      </c>
      <c r="E414" s="14" t="s">
        <v>26</v>
      </c>
      <c r="F414" s="16" t="s">
        <v>265</v>
      </c>
      <c r="G414" s="14">
        <v>1</v>
      </c>
      <c r="H414" s="14"/>
      <c r="I414" s="14"/>
      <c r="J414" s="14" t="s">
        <v>12</v>
      </c>
      <c r="K414" s="16" t="s">
        <v>14</v>
      </c>
      <c r="L414" s="14" t="s">
        <v>209</v>
      </c>
      <c r="M414" s="14" t="s">
        <v>84</v>
      </c>
      <c r="N414" s="17"/>
      <c r="O414" s="18" t="s">
        <v>241</v>
      </c>
      <c r="P414" s="9"/>
      <c r="Q414" s="19"/>
      <c r="R414" s="19"/>
      <c r="S414" s="209">
        <v>397</v>
      </c>
      <c r="T414" s="19">
        <f t="shared" si="75"/>
        <v>397</v>
      </c>
      <c r="U414" s="14" t="s">
        <v>77</v>
      </c>
      <c r="V414" s="14"/>
      <c r="W414" s="33">
        <v>30</v>
      </c>
      <c r="X414" s="34"/>
      <c r="Y414" s="34">
        <v>0</v>
      </c>
      <c r="Z414" s="34">
        <v>0</v>
      </c>
      <c r="AA414" s="34">
        <v>0</v>
      </c>
      <c r="AB414" s="34">
        <v>0</v>
      </c>
      <c r="AC414" s="34">
        <f t="shared" si="76"/>
        <v>0.2382</v>
      </c>
      <c r="AD414" s="34"/>
      <c r="AE414" s="34">
        <v>0</v>
      </c>
      <c r="AF414" s="34">
        <f t="shared" si="77"/>
        <v>2.3820000000000001</v>
      </c>
      <c r="AG414" s="34">
        <v>0</v>
      </c>
      <c r="AH414" s="34"/>
      <c r="AI414" s="34">
        <v>0</v>
      </c>
      <c r="AJ414" s="34">
        <f t="shared" si="79"/>
        <v>2.6202000000000001</v>
      </c>
      <c r="AK414" s="22"/>
      <c r="AL414" s="34"/>
      <c r="AM414" s="14"/>
      <c r="AN414" s="14"/>
      <c r="AO414" s="14"/>
      <c r="AP414" s="14"/>
    </row>
    <row r="415" spans="1:42" s="45" customFormat="1" ht="22" customHeight="1">
      <c r="A415" s="14" t="s">
        <v>21</v>
      </c>
      <c r="B415" s="15">
        <v>2024</v>
      </c>
      <c r="C415" s="15" t="s">
        <v>24</v>
      </c>
      <c r="D415" s="14" t="s">
        <v>185</v>
      </c>
      <c r="E415" s="14" t="s">
        <v>26</v>
      </c>
      <c r="F415" s="16" t="s">
        <v>265</v>
      </c>
      <c r="G415" s="14">
        <v>1</v>
      </c>
      <c r="H415" s="14"/>
      <c r="I415" s="14"/>
      <c r="J415" s="14" t="s">
        <v>11</v>
      </c>
      <c r="K415" s="16" t="s">
        <v>82</v>
      </c>
      <c r="L415" s="14" t="s">
        <v>171</v>
      </c>
      <c r="M415" s="14" t="s">
        <v>78</v>
      </c>
      <c r="N415" s="17"/>
      <c r="O415" s="18" t="s">
        <v>243</v>
      </c>
      <c r="P415" s="9"/>
      <c r="Q415" s="19"/>
      <c r="R415" s="19"/>
      <c r="S415" s="209">
        <v>621</v>
      </c>
      <c r="T415" s="19">
        <f t="shared" si="75"/>
        <v>621</v>
      </c>
      <c r="U415" s="14" t="s">
        <v>77</v>
      </c>
      <c r="V415" s="14"/>
      <c r="W415" s="33">
        <v>30</v>
      </c>
      <c r="X415" s="34"/>
      <c r="Y415" s="34">
        <v>0</v>
      </c>
      <c r="Z415" s="34">
        <v>0</v>
      </c>
      <c r="AA415" s="34">
        <v>0</v>
      </c>
      <c r="AB415" s="34">
        <v>0</v>
      </c>
      <c r="AC415" s="34">
        <f t="shared" si="76"/>
        <v>0.37259999999999999</v>
      </c>
      <c r="AD415" s="34"/>
      <c r="AE415" s="34">
        <v>0</v>
      </c>
      <c r="AF415" s="34">
        <f t="shared" si="77"/>
        <v>3.726</v>
      </c>
      <c r="AG415" s="34">
        <v>0</v>
      </c>
      <c r="AH415" s="34"/>
      <c r="AI415" s="34">
        <v>0</v>
      </c>
      <c r="AJ415" s="34">
        <f t="shared" si="79"/>
        <v>4.0986000000000002</v>
      </c>
      <c r="AK415" s="22"/>
      <c r="AL415" s="34"/>
      <c r="AM415" s="14"/>
      <c r="AN415" s="14"/>
      <c r="AO415" s="14"/>
      <c r="AP415" s="14"/>
    </row>
    <row r="416" spans="1:42" s="45" customFormat="1" ht="22" customHeight="1">
      <c r="A416" s="14" t="s">
        <v>21</v>
      </c>
      <c r="B416" s="15">
        <v>2024</v>
      </c>
      <c r="C416" s="15" t="s">
        <v>24</v>
      </c>
      <c r="D416" s="14" t="s">
        <v>185</v>
      </c>
      <c r="E416" s="14" t="s">
        <v>26</v>
      </c>
      <c r="F416" s="16" t="s">
        <v>265</v>
      </c>
      <c r="G416" s="14">
        <v>1</v>
      </c>
      <c r="H416" s="14"/>
      <c r="I416" s="14"/>
      <c r="J416" s="14" t="s">
        <v>11</v>
      </c>
      <c r="K416" s="16" t="s">
        <v>82</v>
      </c>
      <c r="L416" s="14" t="s">
        <v>171</v>
      </c>
      <c r="M416" s="14" t="s">
        <v>11</v>
      </c>
      <c r="N416" s="17"/>
      <c r="O416" s="18" t="s">
        <v>244</v>
      </c>
      <c r="P416" s="9"/>
      <c r="Q416" s="19"/>
      <c r="R416" s="19"/>
      <c r="S416" s="209">
        <v>1320</v>
      </c>
      <c r="T416" s="19">
        <f t="shared" si="75"/>
        <v>1320</v>
      </c>
      <c r="U416" s="14" t="s">
        <v>77</v>
      </c>
      <c r="V416" s="14"/>
      <c r="W416" s="33">
        <v>30</v>
      </c>
      <c r="X416" s="34">
        <v>0</v>
      </c>
      <c r="Y416" s="34">
        <v>0</v>
      </c>
      <c r="Z416" s="34">
        <v>0</v>
      </c>
      <c r="AA416" s="34">
        <v>0</v>
      </c>
      <c r="AB416" s="34">
        <v>0</v>
      </c>
      <c r="AC416" s="34">
        <f t="shared" si="76"/>
        <v>0.79200000000000004</v>
      </c>
      <c r="AD416" s="34"/>
      <c r="AE416" s="34">
        <v>0</v>
      </c>
      <c r="AF416" s="34">
        <f t="shared" si="77"/>
        <v>7.92</v>
      </c>
      <c r="AG416" s="34">
        <v>0</v>
      </c>
      <c r="AH416" s="34">
        <v>0</v>
      </c>
      <c r="AI416" s="34">
        <v>0</v>
      </c>
      <c r="AJ416" s="34">
        <f t="shared" si="79"/>
        <v>8.7119999999999997</v>
      </c>
      <c r="AK416" s="22"/>
      <c r="AL416" s="34"/>
      <c r="AM416" s="14"/>
      <c r="AN416" s="14"/>
      <c r="AO416" s="14"/>
      <c r="AP416" s="14"/>
    </row>
    <row r="417" spans="1:42" s="45" customFormat="1" ht="22" customHeight="1">
      <c r="A417" s="14" t="s">
        <v>21</v>
      </c>
      <c r="B417" s="15">
        <v>2024</v>
      </c>
      <c r="C417" s="15" t="s">
        <v>24</v>
      </c>
      <c r="D417" s="14" t="s">
        <v>185</v>
      </c>
      <c r="E417" s="14" t="s">
        <v>26</v>
      </c>
      <c r="F417" s="16" t="s">
        <v>265</v>
      </c>
      <c r="G417" s="14">
        <v>1</v>
      </c>
      <c r="H417" s="14"/>
      <c r="I417" s="14" t="s">
        <v>28</v>
      </c>
      <c r="J417" s="14" t="s">
        <v>11</v>
      </c>
      <c r="K417" s="16" t="s">
        <v>82</v>
      </c>
      <c r="L417" s="14" t="s">
        <v>166</v>
      </c>
      <c r="M417" s="14" t="s">
        <v>28</v>
      </c>
      <c r="N417" s="17"/>
      <c r="O417" s="18" t="s">
        <v>247</v>
      </c>
      <c r="P417" s="9"/>
      <c r="Q417" s="19"/>
      <c r="R417" s="19"/>
      <c r="S417" s="209">
        <v>423</v>
      </c>
      <c r="T417" s="19">
        <f t="shared" si="75"/>
        <v>423</v>
      </c>
      <c r="U417" s="14" t="s">
        <v>77</v>
      </c>
      <c r="V417" s="14"/>
      <c r="W417" s="33">
        <v>30</v>
      </c>
      <c r="X417" s="34"/>
      <c r="Y417" s="34">
        <v>0</v>
      </c>
      <c r="Z417" s="34">
        <v>0</v>
      </c>
      <c r="AA417" s="34">
        <v>0</v>
      </c>
      <c r="AB417" s="34">
        <v>0</v>
      </c>
      <c r="AC417" s="34">
        <f t="shared" si="76"/>
        <v>0.25380000000000003</v>
      </c>
      <c r="AD417" s="34"/>
      <c r="AE417" s="34">
        <v>0</v>
      </c>
      <c r="AF417" s="34">
        <f t="shared" si="77"/>
        <v>2.5379999999999998</v>
      </c>
      <c r="AG417" s="34">
        <v>0</v>
      </c>
      <c r="AH417" s="34"/>
      <c r="AI417" s="34">
        <v>0</v>
      </c>
      <c r="AJ417" s="34">
        <f t="shared" si="79"/>
        <v>2.7917999999999998</v>
      </c>
      <c r="AK417" s="22"/>
      <c r="AL417" s="34"/>
      <c r="AM417" s="14"/>
      <c r="AN417" s="14"/>
      <c r="AO417" s="14"/>
      <c r="AP417" s="14"/>
    </row>
    <row r="418" spans="1:42" s="45" customFormat="1" ht="22" customHeight="1">
      <c r="A418" s="14" t="s">
        <v>21</v>
      </c>
      <c r="B418" s="15">
        <v>2024</v>
      </c>
      <c r="C418" s="15" t="s">
        <v>24</v>
      </c>
      <c r="D418" s="14" t="s">
        <v>185</v>
      </c>
      <c r="E418" s="14" t="s">
        <v>26</v>
      </c>
      <c r="F418" s="16" t="s">
        <v>265</v>
      </c>
      <c r="G418" s="14">
        <v>2</v>
      </c>
      <c r="H418" s="14"/>
      <c r="I418" s="14" t="s">
        <v>28</v>
      </c>
      <c r="J418" s="14" t="s">
        <v>11</v>
      </c>
      <c r="K418" s="16" t="s">
        <v>82</v>
      </c>
      <c r="L418" s="14" t="s">
        <v>166</v>
      </c>
      <c r="M418" s="14" t="s">
        <v>28</v>
      </c>
      <c r="N418" s="30"/>
      <c r="O418" s="31" t="s">
        <v>248</v>
      </c>
      <c r="P418" s="9"/>
      <c r="Q418" s="19"/>
      <c r="R418" s="19"/>
      <c r="S418" s="209">
        <v>552</v>
      </c>
      <c r="T418" s="19">
        <f t="shared" si="75"/>
        <v>552</v>
      </c>
      <c r="U418" s="14" t="s">
        <v>77</v>
      </c>
      <c r="V418" s="14"/>
      <c r="W418" s="33">
        <v>30</v>
      </c>
      <c r="X418" s="34"/>
      <c r="Y418" s="34">
        <v>0</v>
      </c>
      <c r="Z418" s="34">
        <v>0</v>
      </c>
      <c r="AA418" s="34">
        <v>0</v>
      </c>
      <c r="AB418" s="34">
        <v>0</v>
      </c>
      <c r="AC418" s="34">
        <f t="shared" si="76"/>
        <v>0.33119999999999999</v>
      </c>
      <c r="AD418" s="34"/>
      <c r="AE418" s="34">
        <v>0</v>
      </c>
      <c r="AF418" s="34">
        <f t="shared" si="77"/>
        <v>3.3119999999999998</v>
      </c>
      <c r="AG418" s="34">
        <v>0</v>
      </c>
      <c r="AH418" s="34"/>
      <c r="AI418" s="34">
        <v>0</v>
      </c>
      <c r="AJ418" s="34">
        <f t="shared" si="79"/>
        <v>3.6431999999999998</v>
      </c>
      <c r="AK418" s="22"/>
      <c r="AL418" s="34"/>
      <c r="AM418" s="14"/>
      <c r="AN418" s="14"/>
      <c r="AO418" s="14"/>
      <c r="AP418" s="14"/>
    </row>
    <row r="419" spans="1:42" s="45" customFormat="1" ht="22" customHeight="1">
      <c r="A419" s="14" t="s">
        <v>21</v>
      </c>
      <c r="B419" s="15">
        <v>2024</v>
      </c>
      <c r="C419" s="15" t="s">
        <v>24</v>
      </c>
      <c r="D419" s="14" t="s">
        <v>185</v>
      </c>
      <c r="E419" s="14" t="s">
        <v>26</v>
      </c>
      <c r="F419" s="16" t="s">
        <v>265</v>
      </c>
      <c r="G419" s="14">
        <v>1</v>
      </c>
      <c r="H419" s="14"/>
      <c r="I419" s="14"/>
      <c r="J419" s="14" t="s">
        <v>11</v>
      </c>
      <c r="K419" s="16" t="s">
        <v>82</v>
      </c>
      <c r="L419" s="14" t="s">
        <v>171</v>
      </c>
      <c r="M419" s="14" t="s">
        <v>11</v>
      </c>
      <c r="N419" s="17"/>
      <c r="O419" s="18" t="s">
        <v>253</v>
      </c>
      <c r="P419" s="9"/>
      <c r="Q419" s="19"/>
      <c r="R419" s="19"/>
      <c r="S419" s="209">
        <v>1334</v>
      </c>
      <c r="T419" s="19">
        <f t="shared" si="75"/>
        <v>1334</v>
      </c>
      <c r="U419" s="14" t="s">
        <v>77</v>
      </c>
      <c r="V419" s="14"/>
      <c r="W419" s="33">
        <v>30</v>
      </c>
      <c r="X419" s="34"/>
      <c r="Y419" s="34">
        <v>0</v>
      </c>
      <c r="Z419" s="34">
        <v>0</v>
      </c>
      <c r="AA419" s="34">
        <v>0</v>
      </c>
      <c r="AB419" s="34">
        <v>0</v>
      </c>
      <c r="AC419" s="34">
        <f t="shared" si="76"/>
        <v>0.8004</v>
      </c>
      <c r="AD419" s="34"/>
      <c r="AE419" s="34">
        <v>0</v>
      </c>
      <c r="AF419" s="34">
        <f t="shared" si="77"/>
        <v>8.0039999999999996</v>
      </c>
      <c r="AG419" s="34">
        <v>0</v>
      </c>
      <c r="AH419" s="34"/>
      <c r="AI419" s="34">
        <v>0</v>
      </c>
      <c r="AJ419" s="34">
        <f t="shared" si="79"/>
        <v>8.8043999999999993</v>
      </c>
      <c r="AK419" s="22"/>
      <c r="AL419" s="34"/>
      <c r="AM419" s="14"/>
      <c r="AN419" s="14"/>
      <c r="AO419" s="14"/>
      <c r="AP419" s="14"/>
    </row>
    <row r="420" spans="1:42" s="45" customFormat="1" ht="22" customHeight="1">
      <c r="A420" s="14" t="s">
        <v>21</v>
      </c>
      <c r="B420" s="15">
        <v>2024</v>
      </c>
      <c r="C420" s="15" t="s">
        <v>24</v>
      </c>
      <c r="D420" s="14" t="s">
        <v>185</v>
      </c>
      <c r="E420" s="14" t="s">
        <v>26</v>
      </c>
      <c r="F420" s="16" t="s">
        <v>265</v>
      </c>
      <c r="G420" s="14">
        <v>2</v>
      </c>
      <c r="H420" s="14"/>
      <c r="I420" s="14"/>
      <c r="J420" s="14" t="s">
        <v>14</v>
      </c>
      <c r="K420" s="16" t="s">
        <v>14</v>
      </c>
      <c r="L420" s="14" t="s">
        <v>209</v>
      </c>
      <c r="M420" s="14" t="s">
        <v>99</v>
      </c>
      <c r="N420" s="30"/>
      <c r="O420" s="31" t="s">
        <v>254</v>
      </c>
      <c r="P420" s="9"/>
      <c r="Q420" s="19"/>
      <c r="R420" s="19"/>
      <c r="S420" s="209">
        <v>436</v>
      </c>
      <c r="T420" s="19">
        <f t="shared" si="75"/>
        <v>436</v>
      </c>
      <c r="U420" s="14" t="s">
        <v>77</v>
      </c>
      <c r="V420" s="14"/>
      <c r="W420" s="33">
        <v>30</v>
      </c>
      <c r="X420" s="34"/>
      <c r="Y420" s="34">
        <v>0</v>
      </c>
      <c r="Z420" s="34">
        <v>0</v>
      </c>
      <c r="AA420" s="34">
        <v>0</v>
      </c>
      <c r="AB420" s="34">
        <v>0</v>
      </c>
      <c r="AC420" s="34">
        <f t="shared" si="76"/>
        <v>0.2616</v>
      </c>
      <c r="AD420" s="34"/>
      <c r="AE420" s="34">
        <v>0</v>
      </c>
      <c r="AF420" s="34">
        <f t="shared" si="77"/>
        <v>2.6160000000000001</v>
      </c>
      <c r="AG420" s="34">
        <v>0</v>
      </c>
      <c r="AH420" s="34"/>
      <c r="AI420" s="34">
        <v>0</v>
      </c>
      <c r="AJ420" s="34">
        <f t="shared" si="79"/>
        <v>2.8776000000000002</v>
      </c>
      <c r="AK420" s="22"/>
      <c r="AL420" s="34"/>
      <c r="AM420" s="14"/>
      <c r="AN420" s="14"/>
      <c r="AO420" s="14"/>
      <c r="AP420" s="14"/>
    </row>
    <row r="421" spans="1:42" s="45" customFormat="1" ht="22" customHeight="1">
      <c r="A421" s="14" t="s">
        <v>21</v>
      </c>
      <c r="B421" s="15">
        <v>2024</v>
      </c>
      <c r="C421" s="15" t="s">
        <v>24</v>
      </c>
      <c r="D421" s="14" t="s">
        <v>185</v>
      </c>
      <c r="E421" s="14" t="s">
        <v>26</v>
      </c>
      <c r="F421" s="16" t="s">
        <v>265</v>
      </c>
      <c r="G421" s="14">
        <v>1</v>
      </c>
      <c r="H421" s="14"/>
      <c r="I421" s="14"/>
      <c r="J421" s="14" t="s">
        <v>14</v>
      </c>
      <c r="K421" s="16" t="s">
        <v>14</v>
      </c>
      <c r="L421" s="14" t="s">
        <v>209</v>
      </c>
      <c r="M421" s="14" t="s">
        <v>99</v>
      </c>
      <c r="N421" s="30"/>
      <c r="O421" s="31" t="s">
        <v>257</v>
      </c>
      <c r="P421" s="9"/>
      <c r="Q421" s="19"/>
      <c r="R421" s="19"/>
      <c r="S421" s="209">
        <v>323</v>
      </c>
      <c r="T421" s="19">
        <f t="shared" si="75"/>
        <v>323</v>
      </c>
      <c r="U421" s="14" t="s">
        <v>77</v>
      </c>
      <c r="V421" s="14"/>
      <c r="W421" s="33">
        <v>30</v>
      </c>
      <c r="X421" s="34">
        <v>0</v>
      </c>
      <c r="Y421" s="34">
        <v>0</v>
      </c>
      <c r="Z421" s="34">
        <v>0</v>
      </c>
      <c r="AA421" s="34">
        <v>0</v>
      </c>
      <c r="AB421" s="34">
        <v>0</v>
      </c>
      <c r="AC421" s="34">
        <f t="shared" si="76"/>
        <v>0.1938</v>
      </c>
      <c r="AD421" s="34"/>
      <c r="AE421" s="34">
        <v>0</v>
      </c>
      <c r="AF421" s="34">
        <f t="shared" si="77"/>
        <v>1.9379999999999999</v>
      </c>
      <c r="AG421" s="34">
        <v>0</v>
      </c>
      <c r="AH421" s="34">
        <v>0</v>
      </c>
      <c r="AI421" s="34">
        <v>0</v>
      </c>
      <c r="AJ421" s="34">
        <f t="shared" si="79"/>
        <v>2.1318000000000001</v>
      </c>
      <c r="AK421" s="22"/>
      <c r="AL421" s="34"/>
      <c r="AM421" s="14"/>
      <c r="AN421" s="14"/>
      <c r="AO421" s="14"/>
      <c r="AP421" s="14"/>
    </row>
    <row r="422" spans="1:42" s="45" customFormat="1" ht="22" customHeight="1">
      <c r="A422" s="14" t="s">
        <v>21</v>
      </c>
      <c r="B422" s="15">
        <v>2024</v>
      </c>
      <c r="C422" s="15" t="s">
        <v>24</v>
      </c>
      <c r="D422" s="14" t="s">
        <v>185</v>
      </c>
      <c r="E422" s="14" t="s">
        <v>26</v>
      </c>
      <c r="F422" s="16" t="s">
        <v>265</v>
      </c>
      <c r="G422" s="14">
        <v>1</v>
      </c>
      <c r="H422" s="14"/>
      <c r="I422" s="14"/>
      <c r="J422" s="14" t="s">
        <v>11</v>
      </c>
      <c r="K422" s="16" t="s">
        <v>82</v>
      </c>
      <c r="L422" s="14" t="s">
        <v>171</v>
      </c>
      <c r="M422" s="14" t="s">
        <v>80</v>
      </c>
      <c r="N422" s="17"/>
      <c r="O422" s="18" t="s">
        <v>259</v>
      </c>
      <c r="P422" s="9"/>
      <c r="Q422" s="19"/>
      <c r="R422" s="19"/>
      <c r="S422" s="209">
        <v>631</v>
      </c>
      <c r="T422" s="19">
        <f t="shared" si="75"/>
        <v>631</v>
      </c>
      <c r="U422" s="14" t="s">
        <v>77</v>
      </c>
      <c r="V422" s="14"/>
      <c r="W422" s="33">
        <v>30</v>
      </c>
      <c r="X422" s="34"/>
      <c r="Y422" s="34">
        <v>0</v>
      </c>
      <c r="Z422" s="34">
        <v>0</v>
      </c>
      <c r="AA422" s="34">
        <v>0</v>
      </c>
      <c r="AB422" s="34">
        <v>0</v>
      </c>
      <c r="AC422" s="34">
        <f t="shared" si="76"/>
        <v>0.37859999999999999</v>
      </c>
      <c r="AD422" s="34"/>
      <c r="AE422" s="34">
        <v>0</v>
      </c>
      <c r="AF422" s="34">
        <f t="shared" si="77"/>
        <v>3.786</v>
      </c>
      <c r="AG422" s="34">
        <v>0</v>
      </c>
      <c r="AH422" s="34"/>
      <c r="AI422" s="34">
        <v>0</v>
      </c>
      <c r="AJ422" s="34">
        <f t="shared" si="79"/>
        <v>4.1646000000000001</v>
      </c>
      <c r="AK422" s="22"/>
      <c r="AL422" s="34"/>
      <c r="AM422" s="14"/>
      <c r="AN422" s="14"/>
      <c r="AO422" s="14"/>
      <c r="AP422" s="14"/>
    </row>
    <row r="423" spans="1:42" s="45" customFormat="1" ht="22" customHeight="1">
      <c r="A423" s="14" t="s">
        <v>21</v>
      </c>
      <c r="B423" s="15">
        <v>2024</v>
      </c>
      <c r="C423" s="15" t="s">
        <v>24</v>
      </c>
      <c r="D423" s="14" t="s">
        <v>185</v>
      </c>
      <c r="E423" s="14" t="s">
        <v>26</v>
      </c>
      <c r="F423" s="16" t="s">
        <v>265</v>
      </c>
      <c r="G423" s="14">
        <v>1</v>
      </c>
      <c r="H423" s="14"/>
      <c r="I423" s="14"/>
      <c r="J423" s="14" t="s">
        <v>11</v>
      </c>
      <c r="K423" s="16" t="s">
        <v>82</v>
      </c>
      <c r="L423" s="14" t="s">
        <v>171</v>
      </c>
      <c r="M423" s="14" t="s">
        <v>78</v>
      </c>
      <c r="N423" s="17"/>
      <c r="O423" s="18" t="s">
        <v>262</v>
      </c>
      <c r="P423" s="9"/>
      <c r="Q423" s="19"/>
      <c r="R423" s="19"/>
      <c r="S423" s="209">
        <v>287</v>
      </c>
      <c r="T423" s="19">
        <f t="shared" si="75"/>
        <v>287</v>
      </c>
      <c r="U423" s="14" t="s">
        <v>77</v>
      </c>
      <c r="V423" s="14"/>
      <c r="W423" s="33">
        <v>30</v>
      </c>
      <c r="X423" s="34"/>
      <c r="Y423" s="34">
        <v>0</v>
      </c>
      <c r="Z423" s="34">
        <v>0</v>
      </c>
      <c r="AA423" s="34">
        <v>0</v>
      </c>
      <c r="AB423" s="34">
        <v>0</v>
      </c>
      <c r="AC423" s="34">
        <f t="shared" si="76"/>
        <v>0.17219999999999999</v>
      </c>
      <c r="AD423" s="34"/>
      <c r="AE423" s="34">
        <v>0</v>
      </c>
      <c r="AF423" s="34">
        <f t="shared" si="77"/>
        <v>1.722</v>
      </c>
      <c r="AG423" s="34">
        <v>0</v>
      </c>
      <c r="AH423" s="34"/>
      <c r="AI423" s="34">
        <v>0</v>
      </c>
      <c r="AJ423" s="34">
        <f t="shared" si="79"/>
        <v>1.8941999999999999</v>
      </c>
      <c r="AK423" s="22"/>
      <c r="AL423" s="34"/>
      <c r="AM423" s="14"/>
      <c r="AN423" s="14"/>
      <c r="AO423" s="14"/>
      <c r="AP423" s="14"/>
    </row>
    <row r="424" spans="1:42" s="45" customFormat="1" ht="22" customHeight="1">
      <c r="A424" s="14" t="s">
        <v>21</v>
      </c>
      <c r="B424" s="15">
        <v>2024</v>
      </c>
      <c r="C424" s="15" t="s">
        <v>24</v>
      </c>
      <c r="D424" s="14" t="s">
        <v>185</v>
      </c>
      <c r="E424" s="14" t="s">
        <v>26</v>
      </c>
      <c r="F424" s="16" t="s">
        <v>265</v>
      </c>
      <c r="G424" s="14">
        <v>2</v>
      </c>
      <c r="H424" s="14"/>
      <c r="I424" s="14"/>
      <c r="J424" s="14" t="s">
        <v>14</v>
      </c>
      <c r="K424" s="16" t="s">
        <v>14</v>
      </c>
      <c r="L424" s="14" t="s">
        <v>209</v>
      </c>
      <c r="M424" s="14" t="s">
        <v>99</v>
      </c>
      <c r="N424" s="30"/>
      <c r="O424" s="31" t="s">
        <v>263</v>
      </c>
      <c r="P424" s="9"/>
      <c r="Q424" s="19"/>
      <c r="R424" s="19"/>
      <c r="S424" s="209">
        <v>222</v>
      </c>
      <c r="T424" s="19">
        <f t="shared" si="75"/>
        <v>222</v>
      </c>
      <c r="U424" s="14" t="s">
        <v>77</v>
      </c>
      <c r="V424" s="14"/>
      <c r="W424" s="33">
        <v>30</v>
      </c>
      <c r="X424" s="34">
        <v>0</v>
      </c>
      <c r="Y424" s="34">
        <v>0</v>
      </c>
      <c r="Z424" s="34">
        <v>0</v>
      </c>
      <c r="AA424" s="34">
        <v>0</v>
      </c>
      <c r="AB424" s="34">
        <v>0</v>
      </c>
      <c r="AC424" s="34">
        <f t="shared" si="76"/>
        <v>0.13320000000000001</v>
      </c>
      <c r="AD424" s="34"/>
      <c r="AE424" s="34">
        <v>0</v>
      </c>
      <c r="AF424" s="34">
        <f t="shared" si="77"/>
        <v>1.3320000000000001</v>
      </c>
      <c r="AG424" s="34">
        <v>0</v>
      </c>
      <c r="AH424" s="34">
        <v>0</v>
      </c>
      <c r="AI424" s="34">
        <v>0</v>
      </c>
      <c r="AJ424" s="34">
        <f t="shared" si="79"/>
        <v>1.4652000000000001</v>
      </c>
      <c r="AK424" s="22"/>
      <c r="AL424" s="34"/>
      <c r="AM424" s="14"/>
      <c r="AN424" s="14"/>
      <c r="AO424" s="14"/>
      <c r="AP424" s="14"/>
    </row>
    <row r="425" spans="1:42" s="45" customFormat="1" ht="22" customHeight="1">
      <c r="A425" s="14" t="s">
        <v>21</v>
      </c>
      <c r="B425" s="15">
        <v>2024</v>
      </c>
      <c r="C425" s="15" t="s">
        <v>24</v>
      </c>
      <c r="D425" s="14" t="s">
        <v>185</v>
      </c>
      <c r="E425" s="14" t="s">
        <v>26</v>
      </c>
      <c r="F425" s="16" t="s">
        <v>265</v>
      </c>
      <c r="G425" s="14">
        <v>2</v>
      </c>
      <c r="H425" s="14"/>
      <c r="I425" s="14"/>
      <c r="J425" s="14" t="s">
        <v>14</v>
      </c>
      <c r="K425" s="16" t="s">
        <v>14</v>
      </c>
      <c r="L425" s="14" t="s">
        <v>209</v>
      </c>
      <c r="M425" s="14" t="s">
        <v>99</v>
      </c>
      <c r="N425" s="30"/>
      <c r="O425" s="31" t="s">
        <v>264</v>
      </c>
      <c r="P425" s="9"/>
      <c r="Q425" s="19"/>
      <c r="R425" s="19"/>
      <c r="S425" s="209">
        <v>288</v>
      </c>
      <c r="T425" s="19">
        <f t="shared" si="75"/>
        <v>288</v>
      </c>
      <c r="U425" s="14" t="s">
        <v>77</v>
      </c>
      <c r="V425" s="14"/>
      <c r="W425" s="33">
        <v>30</v>
      </c>
      <c r="X425" s="34">
        <v>0</v>
      </c>
      <c r="Y425" s="34">
        <v>0</v>
      </c>
      <c r="Z425" s="34">
        <v>0</v>
      </c>
      <c r="AA425" s="34">
        <v>0</v>
      </c>
      <c r="AB425" s="34">
        <v>0</v>
      </c>
      <c r="AC425" s="34">
        <f t="shared" si="76"/>
        <v>0.17280000000000001</v>
      </c>
      <c r="AD425" s="34"/>
      <c r="AE425" s="34">
        <v>0</v>
      </c>
      <c r="AF425" s="34">
        <f t="shared" si="77"/>
        <v>1.728</v>
      </c>
      <c r="AG425" s="34">
        <v>0</v>
      </c>
      <c r="AH425" s="34">
        <v>0</v>
      </c>
      <c r="AI425" s="34">
        <v>0</v>
      </c>
      <c r="AJ425" s="34">
        <f t="shared" si="79"/>
        <v>1.9008</v>
      </c>
      <c r="AK425" s="22"/>
      <c r="AL425" s="34"/>
      <c r="AM425" s="14"/>
      <c r="AN425" s="14"/>
      <c r="AO425" s="14"/>
      <c r="AP425" s="14"/>
    </row>
    <row r="426" spans="1:42" s="45" customFormat="1" ht="22" customHeight="1">
      <c r="A426" s="14" t="s">
        <v>17</v>
      </c>
      <c r="B426" s="8">
        <v>2024</v>
      </c>
      <c r="C426" s="8" t="s">
        <v>8</v>
      </c>
      <c r="D426" s="9" t="s">
        <v>185</v>
      </c>
      <c r="E426" s="9" t="s">
        <v>10</v>
      </c>
      <c r="F426" s="9" t="s">
        <v>186</v>
      </c>
      <c r="G426" s="8"/>
      <c r="H426" s="8"/>
      <c r="I426" s="9" t="s">
        <v>116</v>
      </c>
      <c r="J426" s="9" t="s">
        <v>116</v>
      </c>
      <c r="K426" s="9" t="s">
        <v>269</v>
      </c>
      <c r="L426" s="9" t="s">
        <v>270</v>
      </c>
      <c r="M426" s="14" t="s">
        <v>84</v>
      </c>
      <c r="N426" s="9" t="s">
        <v>271</v>
      </c>
      <c r="O426" s="9" t="s">
        <v>272</v>
      </c>
      <c r="P426" s="149" t="s">
        <v>273</v>
      </c>
      <c r="Q426" s="11"/>
      <c r="R426" s="11"/>
      <c r="S426" s="11"/>
      <c r="T426" s="9"/>
      <c r="U426" s="14" t="s">
        <v>77</v>
      </c>
      <c r="V426" s="9"/>
      <c r="W426" s="12">
        <v>30</v>
      </c>
      <c r="X426" s="13"/>
      <c r="Y426" s="13"/>
      <c r="Z426" s="13"/>
      <c r="AA426" s="13"/>
      <c r="AB426" s="13"/>
      <c r="AC426" s="13">
        <f>+S426*W426*20/1000000</f>
        <v>0</v>
      </c>
      <c r="AD426" s="13"/>
      <c r="AE426" s="13"/>
      <c r="AF426" s="13">
        <f>+S426*W426*200/1000000</f>
        <v>0</v>
      </c>
      <c r="AG426" s="13"/>
      <c r="AH426" s="13"/>
      <c r="AI426" s="13"/>
      <c r="AJ426" s="13">
        <f t="shared" ref="AJ426:AJ447" si="80">SUBTOTAL(9,X426:AI426)</f>
        <v>0</v>
      </c>
      <c r="AK426" s="9"/>
      <c r="AL426" s="13"/>
      <c r="AM426" s="9"/>
      <c r="AN426" s="9"/>
      <c r="AO426" s="9"/>
      <c r="AP426" s="14"/>
    </row>
    <row r="427" spans="1:42" s="45" customFormat="1" ht="22" customHeight="1">
      <c r="A427" s="14" t="s">
        <v>17</v>
      </c>
      <c r="B427" s="8">
        <v>2024</v>
      </c>
      <c r="C427" s="8" t="s">
        <v>8</v>
      </c>
      <c r="D427" s="9" t="s">
        <v>185</v>
      </c>
      <c r="E427" s="9" t="s">
        <v>10</v>
      </c>
      <c r="F427" s="9" t="s">
        <v>186</v>
      </c>
      <c r="G427" s="8"/>
      <c r="H427" s="8"/>
      <c r="I427" s="9" t="s">
        <v>116</v>
      </c>
      <c r="J427" s="9" t="s">
        <v>116</v>
      </c>
      <c r="K427" s="9" t="s">
        <v>269</v>
      </c>
      <c r="L427" s="9" t="s">
        <v>270</v>
      </c>
      <c r="M427" s="14" t="s">
        <v>84</v>
      </c>
      <c r="N427" s="9" t="s">
        <v>271</v>
      </c>
      <c r="O427" s="9" t="s">
        <v>272</v>
      </c>
      <c r="P427" s="149" t="s">
        <v>274</v>
      </c>
      <c r="Q427" s="11"/>
      <c r="R427" s="11"/>
      <c r="S427" s="11"/>
      <c r="T427" s="9"/>
      <c r="U427" s="14" t="s">
        <v>77</v>
      </c>
      <c r="V427" s="9"/>
      <c r="W427" s="12">
        <v>30</v>
      </c>
      <c r="X427" s="13"/>
      <c r="Y427" s="13"/>
      <c r="Z427" s="13"/>
      <c r="AA427" s="13"/>
      <c r="AB427" s="13"/>
      <c r="AC427" s="13">
        <f t="shared" ref="AC427:AC447" si="81">+S427*W427*20/1000000</f>
        <v>0</v>
      </c>
      <c r="AD427" s="13"/>
      <c r="AE427" s="13"/>
      <c r="AF427" s="13">
        <f t="shared" ref="AF427:AF447" si="82">+S427*W427*200/1000000</f>
        <v>0</v>
      </c>
      <c r="AG427" s="13"/>
      <c r="AH427" s="13"/>
      <c r="AI427" s="13"/>
      <c r="AJ427" s="13">
        <f t="shared" si="80"/>
        <v>0</v>
      </c>
      <c r="AK427" s="9"/>
      <c r="AL427" s="13"/>
      <c r="AM427" s="9"/>
      <c r="AN427" s="9"/>
      <c r="AO427" s="9"/>
      <c r="AP427" s="14"/>
    </row>
    <row r="428" spans="1:42" s="45" customFormat="1" ht="22" customHeight="1">
      <c r="A428" s="14" t="s">
        <v>17</v>
      </c>
      <c r="B428" s="8">
        <v>2024</v>
      </c>
      <c r="C428" s="8" t="s">
        <v>8</v>
      </c>
      <c r="D428" s="9" t="s">
        <v>185</v>
      </c>
      <c r="E428" s="9" t="s">
        <v>10</v>
      </c>
      <c r="F428" s="9" t="s">
        <v>186</v>
      </c>
      <c r="G428" s="8"/>
      <c r="H428" s="8"/>
      <c r="I428" s="9" t="s">
        <v>116</v>
      </c>
      <c r="J428" s="9" t="s">
        <v>116</v>
      </c>
      <c r="K428" s="9" t="s">
        <v>269</v>
      </c>
      <c r="L428" s="9" t="s">
        <v>270</v>
      </c>
      <c r="M428" s="14" t="s">
        <v>84</v>
      </c>
      <c r="N428" s="9" t="s">
        <v>271</v>
      </c>
      <c r="O428" s="9" t="s">
        <v>272</v>
      </c>
      <c r="P428" s="149" t="s">
        <v>275</v>
      </c>
      <c r="Q428" s="11"/>
      <c r="R428" s="11"/>
      <c r="S428" s="11"/>
      <c r="T428" s="9"/>
      <c r="U428" s="14" t="s">
        <v>77</v>
      </c>
      <c r="V428" s="9"/>
      <c r="W428" s="12">
        <v>30</v>
      </c>
      <c r="X428" s="13"/>
      <c r="Y428" s="13"/>
      <c r="Z428" s="13"/>
      <c r="AA428" s="13"/>
      <c r="AB428" s="13"/>
      <c r="AC428" s="13">
        <f t="shared" si="81"/>
        <v>0</v>
      </c>
      <c r="AD428" s="13"/>
      <c r="AE428" s="13"/>
      <c r="AF428" s="13">
        <f t="shared" si="82"/>
        <v>0</v>
      </c>
      <c r="AG428" s="13"/>
      <c r="AH428" s="13"/>
      <c r="AI428" s="13"/>
      <c r="AJ428" s="13">
        <f t="shared" si="80"/>
        <v>0</v>
      </c>
      <c r="AK428" s="9"/>
      <c r="AL428" s="13"/>
      <c r="AM428" s="9"/>
      <c r="AN428" s="9"/>
      <c r="AO428" s="9"/>
      <c r="AP428" s="14"/>
    </row>
    <row r="429" spans="1:42" s="45" customFormat="1" ht="22" customHeight="1">
      <c r="A429" s="14" t="s">
        <v>17</v>
      </c>
      <c r="B429" s="8">
        <v>2024</v>
      </c>
      <c r="C429" s="8" t="s">
        <v>8</v>
      </c>
      <c r="D429" s="9" t="s">
        <v>185</v>
      </c>
      <c r="E429" s="9" t="s">
        <v>10</v>
      </c>
      <c r="F429" s="9" t="s">
        <v>186</v>
      </c>
      <c r="G429" s="8"/>
      <c r="H429" s="8"/>
      <c r="I429" s="9" t="s">
        <v>116</v>
      </c>
      <c r="J429" s="9" t="s">
        <v>116</v>
      </c>
      <c r="K429" s="9" t="s">
        <v>269</v>
      </c>
      <c r="L429" s="9" t="s">
        <v>270</v>
      </c>
      <c r="M429" s="14" t="s">
        <v>84</v>
      </c>
      <c r="N429" s="9" t="s">
        <v>271</v>
      </c>
      <c r="O429" s="9" t="s">
        <v>272</v>
      </c>
      <c r="P429" s="149" t="s">
        <v>276</v>
      </c>
      <c r="Q429" s="11"/>
      <c r="R429" s="11"/>
      <c r="S429" s="11"/>
      <c r="T429" s="9"/>
      <c r="U429" s="14" t="s">
        <v>77</v>
      </c>
      <c r="V429" s="9"/>
      <c r="W429" s="12">
        <v>30</v>
      </c>
      <c r="X429" s="13"/>
      <c r="Y429" s="13"/>
      <c r="Z429" s="13"/>
      <c r="AA429" s="13"/>
      <c r="AB429" s="13"/>
      <c r="AC429" s="13">
        <f t="shared" si="81"/>
        <v>0</v>
      </c>
      <c r="AD429" s="13"/>
      <c r="AE429" s="13"/>
      <c r="AF429" s="13">
        <f t="shared" si="82"/>
        <v>0</v>
      </c>
      <c r="AG429" s="13"/>
      <c r="AH429" s="13"/>
      <c r="AI429" s="13"/>
      <c r="AJ429" s="13">
        <f t="shared" si="80"/>
        <v>0</v>
      </c>
      <c r="AK429" s="9"/>
      <c r="AL429" s="13"/>
      <c r="AM429" s="9"/>
      <c r="AN429" s="9"/>
      <c r="AO429" s="9"/>
      <c r="AP429" s="14"/>
    </row>
    <row r="430" spans="1:42" s="45" customFormat="1" ht="22" customHeight="1">
      <c r="A430" s="14" t="s">
        <v>17</v>
      </c>
      <c r="B430" s="8">
        <v>2024</v>
      </c>
      <c r="C430" s="8" t="s">
        <v>8</v>
      </c>
      <c r="D430" s="9" t="s">
        <v>185</v>
      </c>
      <c r="E430" s="9" t="s">
        <v>10</v>
      </c>
      <c r="F430" s="9" t="s">
        <v>186</v>
      </c>
      <c r="G430" s="8"/>
      <c r="H430" s="8"/>
      <c r="I430" s="9" t="s">
        <v>116</v>
      </c>
      <c r="J430" s="9" t="s">
        <v>116</v>
      </c>
      <c r="K430" s="9" t="s">
        <v>269</v>
      </c>
      <c r="L430" s="9" t="s">
        <v>270</v>
      </c>
      <c r="M430" s="14" t="s">
        <v>84</v>
      </c>
      <c r="N430" s="9" t="s">
        <v>271</v>
      </c>
      <c r="O430" s="9" t="s">
        <v>272</v>
      </c>
      <c r="P430" s="149" t="s">
        <v>277</v>
      </c>
      <c r="Q430" s="11"/>
      <c r="R430" s="11"/>
      <c r="S430" s="11"/>
      <c r="T430" s="9"/>
      <c r="U430" s="14" t="s">
        <v>77</v>
      </c>
      <c r="V430" s="9"/>
      <c r="W430" s="12">
        <v>30</v>
      </c>
      <c r="X430" s="13"/>
      <c r="Y430" s="13"/>
      <c r="Z430" s="13"/>
      <c r="AA430" s="13"/>
      <c r="AB430" s="13"/>
      <c r="AC430" s="13">
        <f t="shared" si="81"/>
        <v>0</v>
      </c>
      <c r="AD430" s="13"/>
      <c r="AE430" s="13"/>
      <c r="AF430" s="13">
        <f t="shared" si="82"/>
        <v>0</v>
      </c>
      <c r="AG430" s="13"/>
      <c r="AH430" s="13"/>
      <c r="AI430" s="13"/>
      <c r="AJ430" s="13">
        <f t="shared" si="80"/>
        <v>0</v>
      </c>
      <c r="AK430" s="9"/>
      <c r="AL430" s="13"/>
      <c r="AM430" s="9"/>
      <c r="AN430" s="9"/>
      <c r="AO430" s="9"/>
      <c r="AP430" s="14"/>
    </row>
    <row r="431" spans="1:42" s="45" customFormat="1" ht="22" customHeight="1">
      <c r="A431" s="14" t="s">
        <v>17</v>
      </c>
      <c r="B431" s="8">
        <v>2024</v>
      </c>
      <c r="C431" s="8" t="s">
        <v>8</v>
      </c>
      <c r="D431" s="9" t="s">
        <v>185</v>
      </c>
      <c r="E431" s="9" t="s">
        <v>10</v>
      </c>
      <c r="F431" s="9" t="s">
        <v>186</v>
      </c>
      <c r="G431" s="8"/>
      <c r="H431" s="8"/>
      <c r="I431" s="9" t="s">
        <v>116</v>
      </c>
      <c r="J431" s="9" t="s">
        <v>116</v>
      </c>
      <c r="K431" s="9" t="s">
        <v>269</v>
      </c>
      <c r="L431" s="9" t="s">
        <v>270</v>
      </c>
      <c r="M431" s="14" t="s">
        <v>84</v>
      </c>
      <c r="N431" s="9" t="s">
        <v>271</v>
      </c>
      <c r="O431" s="9" t="s">
        <v>272</v>
      </c>
      <c r="P431" s="149" t="s">
        <v>278</v>
      </c>
      <c r="Q431" s="11"/>
      <c r="R431" s="11"/>
      <c r="S431" s="11"/>
      <c r="T431" s="9"/>
      <c r="U431" s="14" t="s">
        <v>77</v>
      </c>
      <c r="V431" s="9"/>
      <c r="W431" s="12">
        <v>30</v>
      </c>
      <c r="X431" s="13"/>
      <c r="Y431" s="13"/>
      <c r="Z431" s="13"/>
      <c r="AA431" s="13"/>
      <c r="AB431" s="13"/>
      <c r="AC431" s="13">
        <f t="shared" si="81"/>
        <v>0</v>
      </c>
      <c r="AD431" s="13"/>
      <c r="AE431" s="13"/>
      <c r="AF431" s="13">
        <f t="shared" si="82"/>
        <v>0</v>
      </c>
      <c r="AG431" s="13"/>
      <c r="AH431" s="13"/>
      <c r="AI431" s="13"/>
      <c r="AJ431" s="13">
        <f t="shared" si="80"/>
        <v>0</v>
      </c>
      <c r="AK431" s="9"/>
      <c r="AL431" s="13"/>
      <c r="AM431" s="9"/>
      <c r="AN431" s="9"/>
      <c r="AO431" s="9"/>
      <c r="AP431" s="14"/>
    </row>
    <row r="432" spans="1:42" s="45" customFormat="1" ht="22" customHeight="1">
      <c r="A432" s="14" t="s">
        <v>17</v>
      </c>
      <c r="B432" s="8">
        <v>2024</v>
      </c>
      <c r="C432" s="8" t="s">
        <v>8</v>
      </c>
      <c r="D432" s="9" t="s">
        <v>185</v>
      </c>
      <c r="E432" s="9" t="s">
        <v>10</v>
      </c>
      <c r="F432" s="9" t="s">
        <v>186</v>
      </c>
      <c r="G432" s="8"/>
      <c r="H432" s="8"/>
      <c r="I432" s="9" t="s">
        <v>116</v>
      </c>
      <c r="J432" s="9" t="s">
        <v>116</v>
      </c>
      <c r="K432" s="9" t="s">
        <v>269</v>
      </c>
      <c r="L432" s="9" t="s">
        <v>270</v>
      </c>
      <c r="M432" s="14" t="s">
        <v>84</v>
      </c>
      <c r="N432" s="9" t="s">
        <v>271</v>
      </c>
      <c r="O432" s="9" t="s">
        <v>272</v>
      </c>
      <c r="P432" s="149" t="s">
        <v>279</v>
      </c>
      <c r="Q432" s="11"/>
      <c r="R432" s="11"/>
      <c r="S432" s="11"/>
      <c r="T432" s="9"/>
      <c r="U432" s="14" t="s">
        <v>77</v>
      </c>
      <c r="V432" s="9"/>
      <c r="W432" s="12">
        <v>30</v>
      </c>
      <c r="X432" s="13"/>
      <c r="Y432" s="13"/>
      <c r="Z432" s="13"/>
      <c r="AA432" s="13"/>
      <c r="AB432" s="13"/>
      <c r="AC432" s="13">
        <f t="shared" si="81"/>
        <v>0</v>
      </c>
      <c r="AD432" s="13"/>
      <c r="AE432" s="13"/>
      <c r="AF432" s="13">
        <f t="shared" si="82"/>
        <v>0</v>
      </c>
      <c r="AG432" s="13"/>
      <c r="AH432" s="13"/>
      <c r="AI432" s="13"/>
      <c r="AJ432" s="13">
        <f t="shared" si="80"/>
        <v>0</v>
      </c>
      <c r="AK432" s="9"/>
      <c r="AL432" s="13"/>
      <c r="AM432" s="9"/>
      <c r="AN432" s="9"/>
      <c r="AO432" s="9"/>
      <c r="AP432" s="14"/>
    </row>
    <row r="433" spans="1:42" s="45" customFormat="1" ht="22" customHeight="1">
      <c r="A433" s="14" t="s">
        <v>17</v>
      </c>
      <c r="B433" s="8">
        <v>2024</v>
      </c>
      <c r="C433" s="8" t="s">
        <v>8</v>
      </c>
      <c r="D433" s="9" t="s">
        <v>185</v>
      </c>
      <c r="E433" s="9" t="s">
        <v>10</v>
      </c>
      <c r="F433" s="9" t="s">
        <v>186</v>
      </c>
      <c r="G433" s="8"/>
      <c r="H433" s="8"/>
      <c r="I433" s="9" t="s">
        <v>116</v>
      </c>
      <c r="J433" s="9" t="s">
        <v>116</v>
      </c>
      <c r="K433" s="9" t="s">
        <v>269</v>
      </c>
      <c r="L433" s="9" t="s">
        <v>270</v>
      </c>
      <c r="M433" s="14" t="s">
        <v>84</v>
      </c>
      <c r="N433" s="9" t="s">
        <v>271</v>
      </c>
      <c r="O433" s="9" t="s">
        <v>272</v>
      </c>
      <c r="P433" s="149" t="s">
        <v>280</v>
      </c>
      <c r="Q433" s="11"/>
      <c r="R433" s="11"/>
      <c r="S433" s="11"/>
      <c r="T433" s="9"/>
      <c r="U433" s="14" t="s">
        <v>77</v>
      </c>
      <c r="V433" s="9"/>
      <c r="W433" s="12">
        <v>30</v>
      </c>
      <c r="X433" s="13"/>
      <c r="Y433" s="13"/>
      <c r="Z433" s="13"/>
      <c r="AA433" s="13"/>
      <c r="AB433" s="13"/>
      <c r="AC433" s="13">
        <f t="shared" si="81"/>
        <v>0</v>
      </c>
      <c r="AD433" s="13"/>
      <c r="AE433" s="13"/>
      <c r="AF433" s="13">
        <f t="shared" si="82"/>
        <v>0</v>
      </c>
      <c r="AG433" s="13"/>
      <c r="AH433" s="13"/>
      <c r="AI433" s="13"/>
      <c r="AJ433" s="13">
        <f t="shared" si="80"/>
        <v>0</v>
      </c>
      <c r="AK433" s="9"/>
      <c r="AL433" s="13"/>
      <c r="AM433" s="9"/>
      <c r="AN433" s="9"/>
      <c r="AO433" s="9"/>
      <c r="AP433" s="14"/>
    </row>
    <row r="434" spans="1:42" s="45" customFormat="1" ht="22" customHeight="1">
      <c r="A434" s="14" t="s">
        <v>17</v>
      </c>
      <c r="B434" s="8">
        <v>2024</v>
      </c>
      <c r="C434" s="8" t="s">
        <v>8</v>
      </c>
      <c r="D434" s="9" t="s">
        <v>185</v>
      </c>
      <c r="E434" s="9" t="s">
        <v>10</v>
      </c>
      <c r="F434" s="9" t="s">
        <v>186</v>
      </c>
      <c r="G434" s="8"/>
      <c r="H434" s="8"/>
      <c r="I434" s="9" t="s">
        <v>116</v>
      </c>
      <c r="J434" s="9" t="s">
        <v>116</v>
      </c>
      <c r="K434" s="9" t="s">
        <v>269</v>
      </c>
      <c r="L434" s="9" t="s">
        <v>270</v>
      </c>
      <c r="M434" s="14" t="s">
        <v>84</v>
      </c>
      <c r="N434" s="9" t="s">
        <v>271</v>
      </c>
      <c r="O434" s="9" t="s">
        <v>272</v>
      </c>
      <c r="P434" s="149" t="s">
        <v>281</v>
      </c>
      <c r="Q434" s="11"/>
      <c r="R434" s="11"/>
      <c r="S434" s="11"/>
      <c r="T434" s="9"/>
      <c r="U434" s="14" t="s">
        <v>77</v>
      </c>
      <c r="V434" s="9"/>
      <c r="W434" s="12">
        <v>30</v>
      </c>
      <c r="X434" s="13"/>
      <c r="Y434" s="13"/>
      <c r="Z434" s="13"/>
      <c r="AA434" s="13"/>
      <c r="AB434" s="13"/>
      <c r="AC434" s="13">
        <f t="shared" si="81"/>
        <v>0</v>
      </c>
      <c r="AD434" s="13"/>
      <c r="AE434" s="13"/>
      <c r="AF434" s="13">
        <f t="shared" si="82"/>
        <v>0</v>
      </c>
      <c r="AG434" s="13"/>
      <c r="AH434" s="13"/>
      <c r="AI434" s="13"/>
      <c r="AJ434" s="13">
        <f t="shared" si="80"/>
        <v>0</v>
      </c>
      <c r="AK434" s="9"/>
      <c r="AL434" s="13"/>
      <c r="AM434" s="9"/>
      <c r="AN434" s="9"/>
      <c r="AO434" s="9"/>
      <c r="AP434" s="14"/>
    </row>
    <row r="435" spans="1:42" s="45" customFormat="1" ht="22" customHeight="1">
      <c r="A435" s="14" t="s">
        <v>17</v>
      </c>
      <c r="B435" s="8">
        <v>2024</v>
      </c>
      <c r="C435" s="8" t="s">
        <v>8</v>
      </c>
      <c r="D435" s="9" t="s">
        <v>185</v>
      </c>
      <c r="E435" s="9" t="s">
        <v>10</v>
      </c>
      <c r="F435" s="9" t="s">
        <v>186</v>
      </c>
      <c r="G435" s="8"/>
      <c r="H435" s="8"/>
      <c r="I435" s="9" t="s">
        <v>116</v>
      </c>
      <c r="J435" s="9" t="s">
        <v>116</v>
      </c>
      <c r="K435" s="9" t="s">
        <v>269</v>
      </c>
      <c r="L435" s="9" t="s">
        <v>270</v>
      </c>
      <c r="M435" s="14" t="s">
        <v>84</v>
      </c>
      <c r="N435" s="9" t="s">
        <v>271</v>
      </c>
      <c r="O435" s="9" t="s">
        <v>272</v>
      </c>
      <c r="P435" s="149" t="s">
        <v>282</v>
      </c>
      <c r="Q435" s="11"/>
      <c r="R435" s="11"/>
      <c r="S435" s="11"/>
      <c r="T435" s="9"/>
      <c r="U435" s="14" t="s">
        <v>77</v>
      </c>
      <c r="V435" s="9"/>
      <c r="W435" s="12">
        <v>30</v>
      </c>
      <c r="X435" s="13"/>
      <c r="Y435" s="13"/>
      <c r="Z435" s="13"/>
      <c r="AA435" s="13"/>
      <c r="AB435" s="13"/>
      <c r="AC435" s="13">
        <f t="shared" si="81"/>
        <v>0</v>
      </c>
      <c r="AD435" s="13"/>
      <c r="AE435" s="13"/>
      <c r="AF435" s="13">
        <f t="shared" si="82"/>
        <v>0</v>
      </c>
      <c r="AG435" s="13"/>
      <c r="AH435" s="13"/>
      <c r="AI435" s="13"/>
      <c r="AJ435" s="13">
        <f t="shared" si="80"/>
        <v>0</v>
      </c>
      <c r="AK435" s="9"/>
      <c r="AL435" s="13"/>
      <c r="AM435" s="9"/>
      <c r="AN435" s="9"/>
      <c r="AO435" s="9"/>
      <c r="AP435" s="14"/>
    </row>
    <row r="436" spans="1:42" s="45" customFormat="1" ht="22" customHeight="1">
      <c r="A436" s="14" t="s">
        <v>17</v>
      </c>
      <c r="B436" s="8">
        <v>2024</v>
      </c>
      <c r="C436" s="8" t="s">
        <v>8</v>
      </c>
      <c r="D436" s="9" t="s">
        <v>185</v>
      </c>
      <c r="E436" s="9" t="s">
        <v>10</v>
      </c>
      <c r="F436" s="9" t="s">
        <v>186</v>
      </c>
      <c r="G436" s="8"/>
      <c r="H436" s="8"/>
      <c r="I436" s="9" t="s">
        <v>116</v>
      </c>
      <c r="J436" s="9" t="s">
        <v>116</v>
      </c>
      <c r="K436" s="9" t="s">
        <v>269</v>
      </c>
      <c r="L436" s="9" t="s">
        <v>270</v>
      </c>
      <c r="M436" s="14" t="s">
        <v>84</v>
      </c>
      <c r="N436" s="9" t="s">
        <v>271</v>
      </c>
      <c r="O436" s="9" t="s">
        <v>272</v>
      </c>
      <c r="P436" s="149" t="s">
        <v>283</v>
      </c>
      <c r="Q436" s="11"/>
      <c r="R436" s="11"/>
      <c r="S436" s="11"/>
      <c r="T436" s="9"/>
      <c r="U436" s="14" t="s">
        <v>77</v>
      </c>
      <c r="V436" s="9"/>
      <c r="W436" s="12">
        <v>30</v>
      </c>
      <c r="X436" s="13"/>
      <c r="Y436" s="13"/>
      <c r="Z436" s="13"/>
      <c r="AA436" s="13"/>
      <c r="AB436" s="13"/>
      <c r="AC436" s="13">
        <f t="shared" si="81"/>
        <v>0</v>
      </c>
      <c r="AD436" s="13"/>
      <c r="AE436" s="13"/>
      <c r="AF436" s="13">
        <f t="shared" si="82"/>
        <v>0</v>
      </c>
      <c r="AG436" s="13"/>
      <c r="AH436" s="13"/>
      <c r="AI436" s="13"/>
      <c r="AJ436" s="13">
        <f t="shared" si="80"/>
        <v>0</v>
      </c>
      <c r="AK436" s="9"/>
      <c r="AL436" s="13"/>
      <c r="AM436" s="9"/>
      <c r="AN436" s="9"/>
      <c r="AO436" s="9"/>
      <c r="AP436" s="14"/>
    </row>
    <row r="437" spans="1:42" s="45" customFormat="1" ht="22" customHeight="1">
      <c r="A437" s="14" t="s">
        <v>17</v>
      </c>
      <c r="B437" s="8">
        <v>2024</v>
      </c>
      <c r="C437" s="8" t="s">
        <v>8</v>
      </c>
      <c r="D437" s="9" t="s">
        <v>185</v>
      </c>
      <c r="E437" s="9" t="s">
        <v>10</v>
      </c>
      <c r="F437" s="9" t="s">
        <v>186</v>
      </c>
      <c r="G437" s="8"/>
      <c r="H437" s="8"/>
      <c r="I437" s="9" t="s">
        <v>116</v>
      </c>
      <c r="J437" s="9" t="s">
        <v>116</v>
      </c>
      <c r="K437" s="9" t="s">
        <v>269</v>
      </c>
      <c r="L437" s="9" t="s">
        <v>270</v>
      </c>
      <c r="M437" s="14" t="s">
        <v>84</v>
      </c>
      <c r="N437" s="9" t="s">
        <v>271</v>
      </c>
      <c r="O437" s="9" t="s">
        <v>272</v>
      </c>
      <c r="P437" s="149" t="s">
        <v>284</v>
      </c>
      <c r="Q437" s="11"/>
      <c r="R437" s="11"/>
      <c r="S437" s="11"/>
      <c r="T437" s="9"/>
      <c r="U437" s="14" t="s">
        <v>77</v>
      </c>
      <c r="V437" s="9"/>
      <c r="W437" s="12">
        <v>30</v>
      </c>
      <c r="X437" s="13"/>
      <c r="Y437" s="13"/>
      <c r="Z437" s="13"/>
      <c r="AA437" s="13"/>
      <c r="AB437" s="13"/>
      <c r="AC437" s="13">
        <f t="shared" si="81"/>
        <v>0</v>
      </c>
      <c r="AD437" s="13"/>
      <c r="AE437" s="13"/>
      <c r="AF437" s="13">
        <f t="shared" si="82"/>
        <v>0</v>
      </c>
      <c r="AG437" s="13"/>
      <c r="AH437" s="13"/>
      <c r="AI437" s="13"/>
      <c r="AJ437" s="13">
        <f t="shared" si="80"/>
        <v>0</v>
      </c>
      <c r="AK437" s="9"/>
      <c r="AL437" s="13"/>
      <c r="AM437" s="9"/>
      <c r="AN437" s="9"/>
      <c r="AO437" s="9"/>
      <c r="AP437" s="14"/>
    </row>
    <row r="438" spans="1:42" s="45" customFormat="1" ht="22" customHeight="1">
      <c r="A438" s="14" t="s">
        <v>17</v>
      </c>
      <c r="B438" s="8">
        <v>2024</v>
      </c>
      <c r="C438" s="8" t="s">
        <v>8</v>
      </c>
      <c r="D438" s="9" t="s">
        <v>185</v>
      </c>
      <c r="E438" s="9" t="s">
        <v>10</v>
      </c>
      <c r="F438" s="9" t="s">
        <v>186</v>
      </c>
      <c r="G438" s="8"/>
      <c r="H438" s="8"/>
      <c r="I438" s="9" t="s">
        <v>116</v>
      </c>
      <c r="J438" s="9" t="s">
        <v>116</v>
      </c>
      <c r="K438" s="9" t="s">
        <v>269</v>
      </c>
      <c r="L438" s="9" t="s">
        <v>270</v>
      </c>
      <c r="M438" s="14" t="s">
        <v>84</v>
      </c>
      <c r="N438" s="9" t="s">
        <v>271</v>
      </c>
      <c r="O438" s="9" t="s">
        <v>272</v>
      </c>
      <c r="P438" s="149" t="s">
        <v>285</v>
      </c>
      <c r="Q438" s="11"/>
      <c r="R438" s="11"/>
      <c r="S438" s="11"/>
      <c r="T438" s="9"/>
      <c r="U438" s="14" t="s">
        <v>77</v>
      </c>
      <c r="V438" s="9"/>
      <c r="W438" s="12">
        <v>30</v>
      </c>
      <c r="X438" s="13"/>
      <c r="Y438" s="13"/>
      <c r="Z438" s="13"/>
      <c r="AA438" s="13"/>
      <c r="AB438" s="13"/>
      <c r="AC438" s="13">
        <f t="shared" si="81"/>
        <v>0</v>
      </c>
      <c r="AD438" s="13"/>
      <c r="AE438" s="13"/>
      <c r="AF438" s="13">
        <f t="shared" si="82"/>
        <v>0</v>
      </c>
      <c r="AG438" s="13"/>
      <c r="AH438" s="13"/>
      <c r="AI438" s="13"/>
      <c r="AJ438" s="13">
        <f t="shared" si="80"/>
        <v>0</v>
      </c>
      <c r="AK438" s="9"/>
      <c r="AL438" s="13"/>
      <c r="AM438" s="9"/>
      <c r="AN438" s="9"/>
      <c r="AO438" s="9"/>
      <c r="AP438" s="14"/>
    </row>
    <row r="439" spans="1:42" s="45" customFormat="1" ht="22" customHeight="1">
      <c r="A439" s="14" t="s">
        <v>17</v>
      </c>
      <c r="B439" s="8">
        <v>2024</v>
      </c>
      <c r="C439" s="8" t="s">
        <v>8</v>
      </c>
      <c r="D439" s="9" t="s">
        <v>185</v>
      </c>
      <c r="E439" s="9" t="s">
        <v>10</v>
      </c>
      <c r="F439" s="9" t="s">
        <v>186</v>
      </c>
      <c r="G439" s="8"/>
      <c r="H439" s="8"/>
      <c r="I439" s="9" t="s">
        <v>116</v>
      </c>
      <c r="J439" s="9" t="s">
        <v>116</v>
      </c>
      <c r="K439" s="9" t="s">
        <v>269</v>
      </c>
      <c r="L439" s="9" t="s">
        <v>270</v>
      </c>
      <c r="M439" s="14" t="s">
        <v>84</v>
      </c>
      <c r="N439" s="9" t="s">
        <v>271</v>
      </c>
      <c r="O439" s="9" t="s">
        <v>272</v>
      </c>
      <c r="P439" s="149" t="s">
        <v>286</v>
      </c>
      <c r="Q439" s="11"/>
      <c r="R439" s="11"/>
      <c r="S439" s="11"/>
      <c r="T439" s="9"/>
      <c r="U439" s="14" t="s">
        <v>77</v>
      </c>
      <c r="V439" s="9"/>
      <c r="W439" s="12">
        <v>30</v>
      </c>
      <c r="X439" s="13"/>
      <c r="Y439" s="13"/>
      <c r="Z439" s="13"/>
      <c r="AA439" s="13"/>
      <c r="AB439" s="13"/>
      <c r="AC439" s="13">
        <f t="shared" si="81"/>
        <v>0</v>
      </c>
      <c r="AD439" s="13"/>
      <c r="AE439" s="13"/>
      <c r="AF439" s="13">
        <f t="shared" si="82"/>
        <v>0</v>
      </c>
      <c r="AG439" s="13"/>
      <c r="AH439" s="13"/>
      <c r="AI439" s="13"/>
      <c r="AJ439" s="13">
        <f t="shared" si="80"/>
        <v>0</v>
      </c>
      <c r="AK439" s="9"/>
      <c r="AL439" s="13"/>
      <c r="AM439" s="9"/>
      <c r="AN439" s="9"/>
      <c r="AO439" s="9"/>
      <c r="AP439" s="14"/>
    </row>
    <row r="440" spans="1:42" s="45" customFormat="1" ht="22" customHeight="1">
      <c r="A440" s="14" t="s">
        <v>17</v>
      </c>
      <c r="B440" s="8">
        <v>2024</v>
      </c>
      <c r="C440" s="8" t="s">
        <v>8</v>
      </c>
      <c r="D440" s="9" t="s">
        <v>185</v>
      </c>
      <c r="E440" s="9" t="s">
        <v>10</v>
      </c>
      <c r="F440" s="9" t="s">
        <v>186</v>
      </c>
      <c r="G440" s="8"/>
      <c r="H440" s="8"/>
      <c r="I440" s="9" t="s">
        <v>116</v>
      </c>
      <c r="J440" s="9" t="s">
        <v>116</v>
      </c>
      <c r="K440" s="9" t="s">
        <v>269</v>
      </c>
      <c r="L440" s="9" t="s">
        <v>270</v>
      </c>
      <c r="M440" s="14" t="s">
        <v>84</v>
      </c>
      <c r="N440" s="9" t="s">
        <v>271</v>
      </c>
      <c r="O440" s="9" t="s">
        <v>272</v>
      </c>
      <c r="P440" s="149" t="s">
        <v>287</v>
      </c>
      <c r="Q440" s="11"/>
      <c r="R440" s="11"/>
      <c r="S440" s="11"/>
      <c r="T440" s="9"/>
      <c r="U440" s="14" t="s">
        <v>77</v>
      </c>
      <c r="V440" s="9"/>
      <c r="W440" s="12">
        <v>30</v>
      </c>
      <c r="X440" s="13"/>
      <c r="Y440" s="13"/>
      <c r="Z440" s="13"/>
      <c r="AA440" s="13"/>
      <c r="AB440" s="13"/>
      <c r="AC440" s="13">
        <f t="shared" si="81"/>
        <v>0</v>
      </c>
      <c r="AD440" s="13"/>
      <c r="AE440" s="13"/>
      <c r="AF440" s="13">
        <f t="shared" si="82"/>
        <v>0</v>
      </c>
      <c r="AG440" s="13"/>
      <c r="AH440" s="13"/>
      <c r="AI440" s="13"/>
      <c r="AJ440" s="13">
        <f t="shared" si="80"/>
        <v>0</v>
      </c>
      <c r="AK440" s="9"/>
      <c r="AL440" s="13"/>
      <c r="AM440" s="9"/>
      <c r="AN440" s="9"/>
      <c r="AO440" s="9"/>
      <c r="AP440" s="14"/>
    </row>
    <row r="441" spans="1:42" s="45" customFormat="1" ht="22" customHeight="1">
      <c r="A441" s="14" t="s">
        <v>17</v>
      </c>
      <c r="B441" s="8">
        <v>2024</v>
      </c>
      <c r="C441" s="8" t="s">
        <v>8</v>
      </c>
      <c r="D441" s="9" t="s">
        <v>185</v>
      </c>
      <c r="E441" s="9" t="s">
        <v>10</v>
      </c>
      <c r="F441" s="9" t="s">
        <v>186</v>
      </c>
      <c r="G441" s="8"/>
      <c r="H441" s="8"/>
      <c r="I441" s="9" t="s">
        <v>116</v>
      </c>
      <c r="J441" s="9" t="s">
        <v>116</v>
      </c>
      <c r="K441" s="9" t="s">
        <v>269</v>
      </c>
      <c r="L441" s="9" t="s">
        <v>270</v>
      </c>
      <c r="M441" s="14" t="s">
        <v>84</v>
      </c>
      <c r="N441" s="9" t="s">
        <v>271</v>
      </c>
      <c r="O441" s="9" t="s">
        <v>272</v>
      </c>
      <c r="P441" s="149" t="s">
        <v>288</v>
      </c>
      <c r="Q441" s="11"/>
      <c r="R441" s="11"/>
      <c r="S441" s="11"/>
      <c r="T441" s="9"/>
      <c r="U441" s="14" t="s">
        <v>77</v>
      </c>
      <c r="V441" s="9"/>
      <c r="W441" s="12">
        <v>30</v>
      </c>
      <c r="X441" s="13"/>
      <c r="Y441" s="13"/>
      <c r="Z441" s="13"/>
      <c r="AA441" s="13"/>
      <c r="AB441" s="13"/>
      <c r="AC441" s="13">
        <f t="shared" si="81"/>
        <v>0</v>
      </c>
      <c r="AD441" s="13"/>
      <c r="AE441" s="13"/>
      <c r="AF441" s="13">
        <f t="shared" si="82"/>
        <v>0</v>
      </c>
      <c r="AG441" s="13"/>
      <c r="AH441" s="13"/>
      <c r="AI441" s="13"/>
      <c r="AJ441" s="13">
        <f t="shared" si="80"/>
        <v>0</v>
      </c>
      <c r="AK441" s="9"/>
      <c r="AL441" s="13"/>
      <c r="AM441" s="9"/>
      <c r="AN441" s="9"/>
      <c r="AO441" s="9"/>
      <c r="AP441" s="14"/>
    </row>
    <row r="442" spans="1:42" s="45" customFormat="1" ht="22" customHeight="1">
      <c r="A442" s="14" t="s">
        <v>17</v>
      </c>
      <c r="B442" s="8">
        <v>2024</v>
      </c>
      <c r="C442" s="8" t="s">
        <v>8</v>
      </c>
      <c r="D442" s="9" t="s">
        <v>185</v>
      </c>
      <c r="E442" s="9" t="s">
        <v>10</v>
      </c>
      <c r="F442" s="9" t="s">
        <v>186</v>
      </c>
      <c r="G442" s="8"/>
      <c r="H442" s="8"/>
      <c r="I442" s="9" t="s">
        <v>116</v>
      </c>
      <c r="J442" s="9" t="s">
        <v>116</v>
      </c>
      <c r="K442" s="9" t="s">
        <v>269</v>
      </c>
      <c r="L442" s="9" t="s">
        <v>270</v>
      </c>
      <c r="M442" s="14" t="s">
        <v>84</v>
      </c>
      <c r="N442" s="9" t="s">
        <v>271</v>
      </c>
      <c r="O442" s="9" t="s">
        <v>272</v>
      </c>
      <c r="P442" s="149" t="s">
        <v>289</v>
      </c>
      <c r="Q442" s="11"/>
      <c r="R442" s="11"/>
      <c r="S442" s="11"/>
      <c r="T442" s="9"/>
      <c r="U442" s="14" t="s">
        <v>77</v>
      </c>
      <c r="V442" s="9"/>
      <c r="W442" s="12">
        <v>30</v>
      </c>
      <c r="X442" s="13"/>
      <c r="Y442" s="13"/>
      <c r="Z442" s="13"/>
      <c r="AA442" s="13"/>
      <c r="AB442" s="13"/>
      <c r="AC442" s="13">
        <f t="shared" si="81"/>
        <v>0</v>
      </c>
      <c r="AD442" s="13"/>
      <c r="AE442" s="13"/>
      <c r="AF442" s="13">
        <f t="shared" si="82"/>
        <v>0</v>
      </c>
      <c r="AG442" s="13"/>
      <c r="AH442" s="13"/>
      <c r="AI442" s="13"/>
      <c r="AJ442" s="13">
        <f t="shared" si="80"/>
        <v>0</v>
      </c>
      <c r="AK442" s="9"/>
      <c r="AL442" s="13"/>
      <c r="AM442" s="9"/>
      <c r="AN442" s="9"/>
      <c r="AO442" s="9"/>
      <c r="AP442" s="14"/>
    </row>
    <row r="443" spans="1:42" s="45" customFormat="1" ht="22" customHeight="1">
      <c r="A443" s="14" t="s">
        <v>17</v>
      </c>
      <c r="B443" s="8">
        <v>2024</v>
      </c>
      <c r="C443" s="8" t="s">
        <v>8</v>
      </c>
      <c r="D443" s="9" t="s">
        <v>185</v>
      </c>
      <c r="E443" s="9" t="s">
        <v>10</v>
      </c>
      <c r="F443" s="9" t="s">
        <v>186</v>
      </c>
      <c r="G443" s="8"/>
      <c r="H443" s="8"/>
      <c r="I443" s="9" t="s">
        <v>116</v>
      </c>
      <c r="J443" s="9" t="s">
        <v>116</v>
      </c>
      <c r="K443" s="9" t="s">
        <v>269</v>
      </c>
      <c r="L443" s="9" t="s">
        <v>270</v>
      </c>
      <c r="M443" s="14" t="s">
        <v>84</v>
      </c>
      <c r="N443" s="9" t="s">
        <v>271</v>
      </c>
      <c r="O443" s="9" t="s">
        <v>290</v>
      </c>
      <c r="P443" s="149" t="s">
        <v>291</v>
      </c>
      <c r="Q443" s="11"/>
      <c r="R443" s="11"/>
      <c r="S443" s="11"/>
      <c r="T443" s="9"/>
      <c r="U443" s="14" t="s">
        <v>77</v>
      </c>
      <c r="V443" s="9"/>
      <c r="W443" s="12">
        <v>30</v>
      </c>
      <c r="X443" s="13"/>
      <c r="Y443" s="13"/>
      <c r="Z443" s="13"/>
      <c r="AA443" s="13"/>
      <c r="AB443" s="13"/>
      <c r="AC443" s="13">
        <f t="shared" si="81"/>
        <v>0</v>
      </c>
      <c r="AD443" s="13"/>
      <c r="AE443" s="13"/>
      <c r="AF443" s="13">
        <f t="shared" si="82"/>
        <v>0</v>
      </c>
      <c r="AG443" s="13"/>
      <c r="AH443" s="13"/>
      <c r="AI443" s="13"/>
      <c r="AJ443" s="13">
        <f t="shared" si="80"/>
        <v>0</v>
      </c>
      <c r="AK443" s="9"/>
      <c r="AL443" s="13"/>
      <c r="AM443" s="9"/>
      <c r="AN443" s="9"/>
      <c r="AO443" s="9"/>
      <c r="AP443" s="14"/>
    </row>
    <row r="444" spans="1:42" s="45" customFormat="1" ht="22" customHeight="1">
      <c r="A444" s="14" t="s">
        <v>17</v>
      </c>
      <c r="B444" s="8">
        <v>2024</v>
      </c>
      <c r="C444" s="8" t="s">
        <v>8</v>
      </c>
      <c r="D444" s="9" t="s">
        <v>185</v>
      </c>
      <c r="E444" s="9" t="s">
        <v>10</v>
      </c>
      <c r="F444" s="9" t="s">
        <v>186</v>
      </c>
      <c r="G444" s="8"/>
      <c r="H444" s="8"/>
      <c r="I444" s="9" t="s">
        <v>116</v>
      </c>
      <c r="J444" s="9" t="s">
        <v>116</v>
      </c>
      <c r="K444" s="9" t="s">
        <v>269</v>
      </c>
      <c r="L444" s="9" t="s">
        <v>270</v>
      </c>
      <c r="M444" s="14" t="s">
        <v>84</v>
      </c>
      <c r="N444" s="9" t="s">
        <v>271</v>
      </c>
      <c r="O444" s="9" t="s">
        <v>290</v>
      </c>
      <c r="P444" s="149" t="s">
        <v>292</v>
      </c>
      <c r="Q444" s="11"/>
      <c r="R444" s="11"/>
      <c r="S444" s="11"/>
      <c r="T444" s="9"/>
      <c r="U444" s="14" t="s">
        <v>77</v>
      </c>
      <c r="V444" s="9"/>
      <c r="W444" s="12">
        <v>30</v>
      </c>
      <c r="X444" s="13"/>
      <c r="Y444" s="13"/>
      <c r="Z444" s="13"/>
      <c r="AA444" s="13"/>
      <c r="AB444" s="13"/>
      <c r="AC444" s="13">
        <f t="shared" si="81"/>
        <v>0</v>
      </c>
      <c r="AD444" s="13"/>
      <c r="AE444" s="13"/>
      <c r="AF444" s="13">
        <f t="shared" si="82"/>
        <v>0</v>
      </c>
      <c r="AG444" s="13"/>
      <c r="AH444" s="13"/>
      <c r="AI444" s="13"/>
      <c r="AJ444" s="13">
        <f t="shared" si="80"/>
        <v>0</v>
      </c>
      <c r="AK444" s="9"/>
      <c r="AL444" s="13"/>
      <c r="AM444" s="9"/>
      <c r="AN444" s="9"/>
      <c r="AO444" s="9"/>
      <c r="AP444" s="14"/>
    </row>
    <row r="445" spans="1:42" s="45" customFormat="1" ht="22" customHeight="1">
      <c r="A445" s="14" t="s">
        <v>17</v>
      </c>
      <c r="B445" s="8">
        <v>2024</v>
      </c>
      <c r="C445" s="8" t="s">
        <v>8</v>
      </c>
      <c r="D445" s="9" t="s">
        <v>185</v>
      </c>
      <c r="E445" s="9" t="s">
        <v>10</v>
      </c>
      <c r="F445" s="9" t="s">
        <v>186</v>
      </c>
      <c r="G445" s="8"/>
      <c r="H445" s="8"/>
      <c r="I445" s="9" t="s">
        <v>116</v>
      </c>
      <c r="J445" s="9" t="s">
        <v>116</v>
      </c>
      <c r="K445" s="9" t="s">
        <v>269</v>
      </c>
      <c r="L445" s="9" t="s">
        <v>270</v>
      </c>
      <c r="M445" s="14" t="s">
        <v>84</v>
      </c>
      <c r="N445" s="9" t="s">
        <v>271</v>
      </c>
      <c r="O445" s="9" t="s">
        <v>290</v>
      </c>
      <c r="P445" s="149" t="s">
        <v>293</v>
      </c>
      <c r="Q445" s="11"/>
      <c r="R445" s="11"/>
      <c r="S445" s="11"/>
      <c r="T445" s="9"/>
      <c r="U445" s="14" t="s">
        <v>77</v>
      </c>
      <c r="V445" s="9"/>
      <c r="W445" s="12">
        <v>30</v>
      </c>
      <c r="X445" s="13"/>
      <c r="Y445" s="13"/>
      <c r="Z445" s="13"/>
      <c r="AA445" s="13"/>
      <c r="AB445" s="13"/>
      <c r="AC445" s="13">
        <f t="shared" si="81"/>
        <v>0</v>
      </c>
      <c r="AD445" s="13"/>
      <c r="AE445" s="13"/>
      <c r="AF445" s="13">
        <f t="shared" si="82"/>
        <v>0</v>
      </c>
      <c r="AG445" s="13"/>
      <c r="AH445" s="13"/>
      <c r="AI445" s="13"/>
      <c r="AJ445" s="13">
        <f t="shared" si="80"/>
        <v>0</v>
      </c>
      <c r="AK445" s="9"/>
      <c r="AL445" s="13"/>
      <c r="AM445" s="9"/>
      <c r="AN445" s="9"/>
      <c r="AO445" s="9"/>
      <c r="AP445" s="14"/>
    </row>
    <row r="446" spans="1:42" s="45" customFormat="1" ht="22" customHeight="1">
      <c r="A446" s="14" t="s">
        <v>17</v>
      </c>
      <c r="B446" s="8">
        <v>2024</v>
      </c>
      <c r="C446" s="8" t="s">
        <v>8</v>
      </c>
      <c r="D446" s="9" t="s">
        <v>185</v>
      </c>
      <c r="E446" s="9" t="s">
        <v>10</v>
      </c>
      <c r="F446" s="9" t="s">
        <v>186</v>
      </c>
      <c r="G446" s="8"/>
      <c r="H446" s="8"/>
      <c r="I446" s="9" t="s">
        <v>116</v>
      </c>
      <c r="J446" s="9" t="s">
        <v>116</v>
      </c>
      <c r="K446" s="9" t="s">
        <v>269</v>
      </c>
      <c r="L446" s="9" t="s">
        <v>270</v>
      </c>
      <c r="M446" s="14" t="s">
        <v>84</v>
      </c>
      <c r="N446" s="9" t="s">
        <v>271</v>
      </c>
      <c r="O446" s="9" t="s">
        <v>290</v>
      </c>
      <c r="P446" s="149" t="s">
        <v>294</v>
      </c>
      <c r="Q446" s="11"/>
      <c r="R446" s="11"/>
      <c r="S446" s="11"/>
      <c r="T446" s="9"/>
      <c r="U446" s="14" t="s">
        <v>77</v>
      </c>
      <c r="V446" s="9"/>
      <c r="W446" s="12">
        <v>30</v>
      </c>
      <c r="X446" s="13"/>
      <c r="Y446" s="13"/>
      <c r="Z446" s="13"/>
      <c r="AA446" s="13"/>
      <c r="AB446" s="13"/>
      <c r="AC446" s="13">
        <f t="shared" si="81"/>
        <v>0</v>
      </c>
      <c r="AD446" s="13"/>
      <c r="AE446" s="13"/>
      <c r="AF446" s="13">
        <f t="shared" si="82"/>
        <v>0</v>
      </c>
      <c r="AG446" s="13"/>
      <c r="AH446" s="13"/>
      <c r="AI446" s="13"/>
      <c r="AJ446" s="13">
        <f t="shared" si="80"/>
        <v>0</v>
      </c>
      <c r="AK446" s="9"/>
      <c r="AL446" s="13"/>
      <c r="AM446" s="9"/>
      <c r="AN446" s="9"/>
      <c r="AO446" s="9"/>
      <c r="AP446" s="14"/>
    </row>
    <row r="447" spans="1:42" s="45" customFormat="1" ht="22" customHeight="1">
      <c r="A447" s="14" t="s">
        <v>17</v>
      </c>
      <c r="B447" s="8">
        <v>2024</v>
      </c>
      <c r="C447" s="8" t="s">
        <v>8</v>
      </c>
      <c r="D447" s="9" t="s">
        <v>185</v>
      </c>
      <c r="E447" s="9" t="s">
        <v>10</v>
      </c>
      <c r="F447" s="9" t="s">
        <v>186</v>
      </c>
      <c r="G447" s="8"/>
      <c r="H447" s="8"/>
      <c r="I447" s="9" t="s">
        <v>116</v>
      </c>
      <c r="J447" s="9" t="s">
        <v>116</v>
      </c>
      <c r="K447" s="9" t="s">
        <v>269</v>
      </c>
      <c r="L447" s="9" t="s">
        <v>270</v>
      </c>
      <c r="M447" s="14" t="s">
        <v>84</v>
      </c>
      <c r="N447" s="9" t="s">
        <v>271</v>
      </c>
      <c r="O447" s="9" t="s">
        <v>290</v>
      </c>
      <c r="P447" s="149" t="s">
        <v>295</v>
      </c>
      <c r="Q447" s="11"/>
      <c r="R447" s="11"/>
      <c r="S447" s="11"/>
      <c r="T447" s="9"/>
      <c r="U447" s="14" t="s">
        <v>77</v>
      </c>
      <c r="V447" s="9"/>
      <c r="W447" s="12">
        <v>30</v>
      </c>
      <c r="X447" s="13"/>
      <c r="Y447" s="13"/>
      <c r="Z447" s="13"/>
      <c r="AA447" s="13"/>
      <c r="AB447" s="13"/>
      <c r="AC447" s="13">
        <f t="shared" si="81"/>
        <v>0</v>
      </c>
      <c r="AD447" s="13"/>
      <c r="AE447" s="13"/>
      <c r="AF447" s="13">
        <f t="shared" si="82"/>
        <v>0</v>
      </c>
      <c r="AG447" s="13"/>
      <c r="AH447" s="13"/>
      <c r="AI447" s="13"/>
      <c r="AJ447" s="13">
        <f t="shared" si="80"/>
        <v>0</v>
      </c>
      <c r="AK447" s="9"/>
      <c r="AL447" s="13"/>
      <c r="AM447" s="9"/>
      <c r="AN447" s="9"/>
      <c r="AO447" s="9"/>
      <c r="AP447" s="14"/>
    </row>
    <row r="448" spans="1:42" s="45" customFormat="1" ht="22" customHeight="1">
      <c r="A448" s="14" t="s">
        <v>17</v>
      </c>
      <c r="B448" s="8">
        <v>2024</v>
      </c>
      <c r="C448" s="8" t="s">
        <v>8</v>
      </c>
      <c r="D448" s="9" t="s">
        <v>185</v>
      </c>
      <c r="E448" s="9" t="s">
        <v>15</v>
      </c>
      <c r="F448" s="9" t="s">
        <v>186</v>
      </c>
      <c r="G448" s="8"/>
      <c r="H448" s="8"/>
      <c r="I448" s="9" t="s">
        <v>116</v>
      </c>
      <c r="J448" s="9" t="s">
        <v>116</v>
      </c>
      <c r="K448" s="9" t="s">
        <v>269</v>
      </c>
      <c r="L448" s="9" t="s">
        <v>270</v>
      </c>
      <c r="M448" s="14" t="s">
        <v>84</v>
      </c>
      <c r="N448" s="9" t="s">
        <v>271</v>
      </c>
      <c r="O448" s="9" t="s">
        <v>272</v>
      </c>
      <c r="P448" s="149" t="s">
        <v>273</v>
      </c>
      <c r="Q448" s="11"/>
      <c r="R448" s="9"/>
      <c r="S448" s="11">
        <f>Q448+R448</f>
        <v>0</v>
      </c>
      <c r="T448" s="9"/>
      <c r="U448" s="14" t="s">
        <v>77</v>
      </c>
      <c r="V448" s="9"/>
      <c r="W448" s="12">
        <v>30</v>
      </c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>
        <f>+S448*W448*50/1000000</f>
        <v>0</v>
      </c>
      <c r="AI448" s="13"/>
      <c r="AJ448" s="13">
        <f t="shared" ref="AJ448:AJ511" si="83">SUBTOTAL(9,X448:AI448)</f>
        <v>0</v>
      </c>
      <c r="AK448" s="9"/>
      <c r="AL448" s="13"/>
      <c r="AM448" s="9"/>
      <c r="AN448" s="9"/>
      <c r="AO448" s="9"/>
      <c r="AP448" s="14"/>
    </row>
    <row r="449" spans="1:42" s="45" customFormat="1" ht="22" customHeight="1">
      <c r="A449" s="14" t="s">
        <v>17</v>
      </c>
      <c r="B449" s="8">
        <v>2024</v>
      </c>
      <c r="C449" s="8" t="s">
        <v>8</v>
      </c>
      <c r="D449" s="9" t="s">
        <v>185</v>
      </c>
      <c r="E449" s="9" t="s">
        <v>15</v>
      </c>
      <c r="F449" s="9" t="s">
        <v>186</v>
      </c>
      <c r="G449" s="8"/>
      <c r="H449" s="8"/>
      <c r="I449" s="9" t="s">
        <v>116</v>
      </c>
      <c r="J449" s="9" t="s">
        <v>116</v>
      </c>
      <c r="K449" s="9" t="s">
        <v>269</v>
      </c>
      <c r="L449" s="9" t="s">
        <v>270</v>
      </c>
      <c r="M449" s="14" t="s">
        <v>84</v>
      </c>
      <c r="N449" s="9" t="s">
        <v>271</v>
      </c>
      <c r="O449" s="9" t="s">
        <v>272</v>
      </c>
      <c r="P449" s="149" t="s">
        <v>274</v>
      </c>
      <c r="Q449" s="11"/>
      <c r="R449" s="9"/>
      <c r="S449" s="11">
        <f t="shared" ref="S449:S469" si="84">Q449+R449</f>
        <v>0</v>
      </c>
      <c r="T449" s="9"/>
      <c r="U449" s="14" t="s">
        <v>77</v>
      </c>
      <c r="V449" s="9"/>
      <c r="W449" s="12">
        <v>30</v>
      </c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>
        <f t="shared" ref="AH449:AH469" si="85">+S449*W449*50/1000000</f>
        <v>0</v>
      </c>
      <c r="AI449" s="13"/>
      <c r="AJ449" s="13">
        <f t="shared" si="83"/>
        <v>0</v>
      </c>
      <c r="AK449" s="9"/>
      <c r="AL449" s="13"/>
      <c r="AM449" s="9"/>
      <c r="AN449" s="9"/>
      <c r="AO449" s="9"/>
      <c r="AP449" s="14"/>
    </row>
    <row r="450" spans="1:42" s="45" customFormat="1" ht="22" customHeight="1">
      <c r="A450" s="14" t="s">
        <v>17</v>
      </c>
      <c r="B450" s="8">
        <v>2024</v>
      </c>
      <c r="C450" s="8" t="s">
        <v>8</v>
      </c>
      <c r="D450" s="9" t="s">
        <v>185</v>
      </c>
      <c r="E450" s="9" t="s">
        <v>15</v>
      </c>
      <c r="F450" s="9" t="s">
        <v>186</v>
      </c>
      <c r="G450" s="8"/>
      <c r="H450" s="8"/>
      <c r="I450" s="9" t="s">
        <v>116</v>
      </c>
      <c r="J450" s="9" t="s">
        <v>116</v>
      </c>
      <c r="K450" s="9" t="s">
        <v>269</v>
      </c>
      <c r="L450" s="9" t="s">
        <v>270</v>
      </c>
      <c r="M450" s="14" t="s">
        <v>84</v>
      </c>
      <c r="N450" s="9" t="s">
        <v>271</v>
      </c>
      <c r="O450" s="9" t="s">
        <v>272</v>
      </c>
      <c r="P450" s="149" t="s">
        <v>275</v>
      </c>
      <c r="Q450" s="11"/>
      <c r="R450" s="9"/>
      <c r="S450" s="11">
        <f t="shared" si="84"/>
        <v>0</v>
      </c>
      <c r="T450" s="9"/>
      <c r="U450" s="14" t="s">
        <v>77</v>
      </c>
      <c r="V450" s="9"/>
      <c r="W450" s="12">
        <v>30</v>
      </c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>
        <f t="shared" si="85"/>
        <v>0</v>
      </c>
      <c r="AI450" s="13"/>
      <c r="AJ450" s="13">
        <f t="shared" si="83"/>
        <v>0</v>
      </c>
      <c r="AK450" s="9"/>
      <c r="AL450" s="13"/>
      <c r="AM450" s="9"/>
      <c r="AN450" s="9"/>
      <c r="AO450" s="9"/>
      <c r="AP450" s="14"/>
    </row>
    <row r="451" spans="1:42" s="45" customFormat="1" ht="22" customHeight="1">
      <c r="A451" s="14" t="s">
        <v>17</v>
      </c>
      <c r="B451" s="8">
        <v>2024</v>
      </c>
      <c r="C451" s="8" t="s">
        <v>8</v>
      </c>
      <c r="D451" s="9" t="s">
        <v>185</v>
      </c>
      <c r="E451" s="9" t="s">
        <v>15</v>
      </c>
      <c r="F451" s="9" t="s">
        <v>186</v>
      </c>
      <c r="G451" s="8"/>
      <c r="H451" s="8"/>
      <c r="I451" s="9" t="s">
        <v>116</v>
      </c>
      <c r="J451" s="9" t="s">
        <v>116</v>
      </c>
      <c r="K451" s="9" t="s">
        <v>269</v>
      </c>
      <c r="L451" s="9" t="s">
        <v>270</v>
      </c>
      <c r="M451" s="14" t="s">
        <v>84</v>
      </c>
      <c r="N451" s="9" t="s">
        <v>271</v>
      </c>
      <c r="O451" s="9" t="s">
        <v>272</v>
      </c>
      <c r="P451" s="149" t="s">
        <v>276</v>
      </c>
      <c r="Q451" s="11"/>
      <c r="R451" s="9"/>
      <c r="S451" s="11">
        <f t="shared" si="84"/>
        <v>0</v>
      </c>
      <c r="T451" s="9"/>
      <c r="U451" s="14" t="s">
        <v>77</v>
      </c>
      <c r="V451" s="9"/>
      <c r="W451" s="12">
        <v>30</v>
      </c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>
        <f t="shared" si="85"/>
        <v>0</v>
      </c>
      <c r="AI451" s="13"/>
      <c r="AJ451" s="13">
        <f t="shared" si="83"/>
        <v>0</v>
      </c>
      <c r="AK451" s="9"/>
      <c r="AL451" s="13"/>
      <c r="AM451" s="9"/>
      <c r="AN451" s="9"/>
      <c r="AO451" s="9"/>
      <c r="AP451" s="14"/>
    </row>
    <row r="452" spans="1:42" s="45" customFormat="1" ht="22" customHeight="1">
      <c r="A452" s="14" t="s">
        <v>17</v>
      </c>
      <c r="B452" s="8">
        <v>2024</v>
      </c>
      <c r="C452" s="8" t="s">
        <v>8</v>
      </c>
      <c r="D452" s="9" t="s">
        <v>185</v>
      </c>
      <c r="E452" s="9" t="s">
        <v>15</v>
      </c>
      <c r="F452" s="9" t="s">
        <v>186</v>
      </c>
      <c r="G452" s="8"/>
      <c r="H452" s="8"/>
      <c r="I452" s="9" t="s">
        <v>116</v>
      </c>
      <c r="J452" s="9" t="s">
        <v>116</v>
      </c>
      <c r="K452" s="9" t="s">
        <v>269</v>
      </c>
      <c r="L452" s="9" t="s">
        <v>270</v>
      </c>
      <c r="M452" s="14" t="s">
        <v>84</v>
      </c>
      <c r="N452" s="9" t="s">
        <v>271</v>
      </c>
      <c r="O452" s="9" t="s">
        <v>272</v>
      </c>
      <c r="P452" s="149" t="s">
        <v>277</v>
      </c>
      <c r="Q452" s="11"/>
      <c r="R452" s="9"/>
      <c r="S452" s="11">
        <f t="shared" si="84"/>
        <v>0</v>
      </c>
      <c r="T452" s="9"/>
      <c r="U452" s="14" t="s">
        <v>77</v>
      </c>
      <c r="V452" s="9"/>
      <c r="W452" s="12">
        <v>30</v>
      </c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>
        <f t="shared" si="85"/>
        <v>0</v>
      </c>
      <c r="AI452" s="13"/>
      <c r="AJ452" s="13">
        <f t="shared" si="83"/>
        <v>0</v>
      </c>
      <c r="AK452" s="9"/>
      <c r="AL452" s="13"/>
      <c r="AM452" s="9"/>
      <c r="AN452" s="9"/>
      <c r="AO452" s="9"/>
      <c r="AP452" s="14"/>
    </row>
    <row r="453" spans="1:42" s="45" customFormat="1" ht="22" customHeight="1">
      <c r="A453" s="14" t="s">
        <v>17</v>
      </c>
      <c r="B453" s="8">
        <v>2024</v>
      </c>
      <c r="C453" s="8" t="s">
        <v>8</v>
      </c>
      <c r="D453" s="9" t="s">
        <v>185</v>
      </c>
      <c r="E453" s="9" t="s">
        <v>15</v>
      </c>
      <c r="F453" s="9" t="s">
        <v>186</v>
      </c>
      <c r="G453" s="8"/>
      <c r="H453" s="8"/>
      <c r="I453" s="9" t="s">
        <v>116</v>
      </c>
      <c r="J453" s="9" t="s">
        <v>116</v>
      </c>
      <c r="K453" s="9" t="s">
        <v>269</v>
      </c>
      <c r="L453" s="9" t="s">
        <v>270</v>
      </c>
      <c r="M453" s="14" t="s">
        <v>84</v>
      </c>
      <c r="N453" s="9" t="s">
        <v>271</v>
      </c>
      <c r="O453" s="9" t="s">
        <v>272</v>
      </c>
      <c r="P453" s="149" t="s">
        <v>278</v>
      </c>
      <c r="Q453" s="11"/>
      <c r="R453" s="9"/>
      <c r="S453" s="11">
        <f t="shared" si="84"/>
        <v>0</v>
      </c>
      <c r="T453" s="9"/>
      <c r="U453" s="14" t="s">
        <v>77</v>
      </c>
      <c r="V453" s="9"/>
      <c r="W453" s="12">
        <v>30</v>
      </c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>
        <f t="shared" si="85"/>
        <v>0</v>
      </c>
      <c r="AI453" s="13"/>
      <c r="AJ453" s="13">
        <f t="shared" si="83"/>
        <v>0</v>
      </c>
      <c r="AK453" s="9"/>
      <c r="AL453" s="13"/>
      <c r="AM453" s="9"/>
      <c r="AN453" s="9"/>
      <c r="AO453" s="9"/>
      <c r="AP453" s="14"/>
    </row>
    <row r="454" spans="1:42" s="45" customFormat="1" ht="22" customHeight="1">
      <c r="A454" s="14" t="s">
        <v>17</v>
      </c>
      <c r="B454" s="8">
        <v>2024</v>
      </c>
      <c r="C454" s="8" t="s">
        <v>8</v>
      </c>
      <c r="D454" s="9" t="s">
        <v>185</v>
      </c>
      <c r="E454" s="9" t="s">
        <v>15</v>
      </c>
      <c r="F454" s="9" t="s">
        <v>186</v>
      </c>
      <c r="G454" s="8"/>
      <c r="H454" s="8"/>
      <c r="I454" s="9" t="s">
        <v>116</v>
      </c>
      <c r="J454" s="9" t="s">
        <v>116</v>
      </c>
      <c r="K454" s="9" t="s">
        <v>269</v>
      </c>
      <c r="L454" s="9" t="s">
        <v>270</v>
      </c>
      <c r="M454" s="14" t="s">
        <v>84</v>
      </c>
      <c r="N454" s="9" t="s">
        <v>271</v>
      </c>
      <c r="O454" s="9" t="s">
        <v>272</v>
      </c>
      <c r="P454" s="149" t="s">
        <v>279</v>
      </c>
      <c r="Q454" s="11"/>
      <c r="R454" s="9"/>
      <c r="S454" s="11">
        <f t="shared" si="84"/>
        <v>0</v>
      </c>
      <c r="T454" s="9"/>
      <c r="U454" s="14" t="s">
        <v>77</v>
      </c>
      <c r="V454" s="9"/>
      <c r="W454" s="12">
        <v>30</v>
      </c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>
        <f t="shared" si="85"/>
        <v>0</v>
      </c>
      <c r="AI454" s="13"/>
      <c r="AJ454" s="13">
        <f t="shared" si="83"/>
        <v>0</v>
      </c>
      <c r="AK454" s="9"/>
      <c r="AL454" s="13"/>
      <c r="AM454" s="9"/>
      <c r="AN454" s="9"/>
      <c r="AO454" s="9"/>
      <c r="AP454" s="14"/>
    </row>
    <row r="455" spans="1:42" s="45" customFormat="1" ht="22" customHeight="1">
      <c r="A455" s="14" t="s">
        <v>17</v>
      </c>
      <c r="B455" s="8">
        <v>2024</v>
      </c>
      <c r="C455" s="8" t="s">
        <v>8</v>
      </c>
      <c r="D455" s="9" t="s">
        <v>185</v>
      </c>
      <c r="E455" s="9" t="s">
        <v>15</v>
      </c>
      <c r="F455" s="9" t="s">
        <v>186</v>
      </c>
      <c r="G455" s="8"/>
      <c r="H455" s="8"/>
      <c r="I455" s="9" t="s">
        <v>116</v>
      </c>
      <c r="J455" s="9" t="s">
        <v>116</v>
      </c>
      <c r="K455" s="9" t="s">
        <v>269</v>
      </c>
      <c r="L455" s="9" t="s">
        <v>270</v>
      </c>
      <c r="M455" s="14" t="s">
        <v>84</v>
      </c>
      <c r="N455" s="9" t="s">
        <v>271</v>
      </c>
      <c r="O455" s="9" t="s">
        <v>272</v>
      </c>
      <c r="P455" s="149" t="s">
        <v>280</v>
      </c>
      <c r="Q455" s="11"/>
      <c r="R455" s="9"/>
      <c r="S455" s="11">
        <f t="shared" si="84"/>
        <v>0</v>
      </c>
      <c r="T455" s="9"/>
      <c r="U455" s="14" t="s">
        <v>77</v>
      </c>
      <c r="V455" s="9"/>
      <c r="W455" s="12">
        <v>30</v>
      </c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>
        <f t="shared" si="85"/>
        <v>0</v>
      </c>
      <c r="AI455" s="13"/>
      <c r="AJ455" s="13">
        <f t="shared" si="83"/>
        <v>0</v>
      </c>
      <c r="AK455" s="9"/>
      <c r="AL455" s="13"/>
      <c r="AM455" s="9"/>
      <c r="AN455" s="9"/>
      <c r="AO455" s="9"/>
      <c r="AP455" s="14"/>
    </row>
    <row r="456" spans="1:42" s="45" customFormat="1" ht="22" customHeight="1">
      <c r="A456" s="14" t="s">
        <v>17</v>
      </c>
      <c r="B456" s="8">
        <v>2024</v>
      </c>
      <c r="C456" s="8" t="s">
        <v>8</v>
      </c>
      <c r="D456" s="9" t="s">
        <v>185</v>
      </c>
      <c r="E456" s="9" t="s">
        <v>15</v>
      </c>
      <c r="F456" s="9" t="s">
        <v>186</v>
      </c>
      <c r="G456" s="8"/>
      <c r="H456" s="8"/>
      <c r="I456" s="9" t="s">
        <v>116</v>
      </c>
      <c r="J456" s="9" t="s">
        <v>116</v>
      </c>
      <c r="K456" s="9" t="s">
        <v>269</v>
      </c>
      <c r="L456" s="9" t="s">
        <v>270</v>
      </c>
      <c r="M456" s="14" t="s">
        <v>84</v>
      </c>
      <c r="N456" s="9" t="s">
        <v>271</v>
      </c>
      <c r="O456" s="9" t="s">
        <v>272</v>
      </c>
      <c r="P456" s="149" t="s">
        <v>281</v>
      </c>
      <c r="Q456" s="11"/>
      <c r="R456" s="9"/>
      <c r="S456" s="11">
        <f t="shared" si="84"/>
        <v>0</v>
      </c>
      <c r="T456" s="9"/>
      <c r="U456" s="14" t="s">
        <v>77</v>
      </c>
      <c r="V456" s="9"/>
      <c r="W456" s="12">
        <v>30</v>
      </c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>
        <f t="shared" si="85"/>
        <v>0</v>
      </c>
      <c r="AI456" s="13"/>
      <c r="AJ456" s="13">
        <f t="shared" si="83"/>
        <v>0</v>
      </c>
      <c r="AK456" s="9"/>
      <c r="AL456" s="13"/>
      <c r="AM456" s="9"/>
      <c r="AN456" s="9"/>
      <c r="AO456" s="9"/>
      <c r="AP456" s="14"/>
    </row>
    <row r="457" spans="1:42" s="45" customFormat="1" ht="22" customHeight="1">
      <c r="A457" s="14" t="s">
        <v>17</v>
      </c>
      <c r="B457" s="8">
        <v>2024</v>
      </c>
      <c r="C457" s="8" t="s">
        <v>8</v>
      </c>
      <c r="D457" s="9" t="s">
        <v>185</v>
      </c>
      <c r="E457" s="9" t="s">
        <v>15</v>
      </c>
      <c r="F457" s="9" t="s">
        <v>186</v>
      </c>
      <c r="G457" s="8"/>
      <c r="H457" s="8"/>
      <c r="I457" s="9" t="s">
        <v>116</v>
      </c>
      <c r="J457" s="9" t="s">
        <v>116</v>
      </c>
      <c r="K457" s="9" t="s">
        <v>269</v>
      </c>
      <c r="L457" s="9" t="s">
        <v>270</v>
      </c>
      <c r="M457" s="14" t="s">
        <v>84</v>
      </c>
      <c r="N457" s="9" t="s">
        <v>271</v>
      </c>
      <c r="O457" s="9" t="s">
        <v>272</v>
      </c>
      <c r="P457" s="149" t="s">
        <v>282</v>
      </c>
      <c r="Q457" s="11"/>
      <c r="R457" s="9"/>
      <c r="S457" s="11">
        <f t="shared" si="84"/>
        <v>0</v>
      </c>
      <c r="T457" s="9"/>
      <c r="U457" s="14" t="s">
        <v>77</v>
      </c>
      <c r="V457" s="9"/>
      <c r="W457" s="12">
        <v>30</v>
      </c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>
        <f t="shared" si="85"/>
        <v>0</v>
      </c>
      <c r="AI457" s="13"/>
      <c r="AJ457" s="13">
        <f t="shared" si="83"/>
        <v>0</v>
      </c>
      <c r="AK457" s="9"/>
      <c r="AL457" s="13"/>
      <c r="AM457" s="9"/>
      <c r="AN457" s="9"/>
      <c r="AO457" s="9"/>
      <c r="AP457" s="14"/>
    </row>
    <row r="458" spans="1:42" s="45" customFormat="1" ht="22" customHeight="1">
      <c r="A458" s="14" t="s">
        <v>17</v>
      </c>
      <c r="B458" s="8">
        <v>2024</v>
      </c>
      <c r="C458" s="8" t="s">
        <v>8</v>
      </c>
      <c r="D458" s="9" t="s">
        <v>185</v>
      </c>
      <c r="E458" s="9" t="s">
        <v>15</v>
      </c>
      <c r="F458" s="9" t="s">
        <v>186</v>
      </c>
      <c r="G458" s="8"/>
      <c r="H458" s="8"/>
      <c r="I458" s="9" t="s">
        <v>116</v>
      </c>
      <c r="J458" s="9" t="s">
        <v>116</v>
      </c>
      <c r="K458" s="9" t="s">
        <v>269</v>
      </c>
      <c r="L458" s="9" t="s">
        <v>270</v>
      </c>
      <c r="M458" s="14" t="s">
        <v>84</v>
      </c>
      <c r="N458" s="9" t="s">
        <v>271</v>
      </c>
      <c r="O458" s="9" t="s">
        <v>272</v>
      </c>
      <c r="P458" s="149" t="s">
        <v>283</v>
      </c>
      <c r="Q458" s="11"/>
      <c r="R458" s="9"/>
      <c r="S458" s="11">
        <f t="shared" si="84"/>
        <v>0</v>
      </c>
      <c r="T458" s="9"/>
      <c r="U458" s="14" t="s">
        <v>77</v>
      </c>
      <c r="V458" s="9"/>
      <c r="W458" s="12">
        <v>30</v>
      </c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>
        <f t="shared" si="85"/>
        <v>0</v>
      </c>
      <c r="AI458" s="13"/>
      <c r="AJ458" s="13">
        <f t="shared" si="83"/>
        <v>0</v>
      </c>
      <c r="AK458" s="9"/>
      <c r="AL458" s="13"/>
      <c r="AM458" s="9"/>
      <c r="AN458" s="9"/>
      <c r="AO458" s="9"/>
      <c r="AP458" s="14"/>
    </row>
    <row r="459" spans="1:42" s="45" customFormat="1" ht="22" customHeight="1">
      <c r="A459" s="14" t="s">
        <v>17</v>
      </c>
      <c r="B459" s="8">
        <v>2024</v>
      </c>
      <c r="C459" s="8" t="s">
        <v>8</v>
      </c>
      <c r="D459" s="9" t="s">
        <v>185</v>
      </c>
      <c r="E459" s="9" t="s">
        <v>15</v>
      </c>
      <c r="F459" s="9" t="s">
        <v>186</v>
      </c>
      <c r="G459" s="8"/>
      <c r="H459" s="8"/>
      <c r="I459" s="9" t="s">
        <v>116</v>
      </c>
      <c r="J459" s="9" t="s">
        <v>116</v>
      </c>
      <c r="K459" s="9" t="s">
        <v>269</v>
      </c>
      <c r="L459" s="9" t="s">
        <v>270</v>
      </c>
      <c r="M459" s="14" t="s">
        <v>84</v>
      </c>
      <c r="N459" s="9" t="s">
        <v>271</v>
      </c>
      <c r="O459" s="9" t="s">
        <v>272</v>
      </c>
      <c r="P459" s="149" t="s">
        <v>284</v>
      </c>
      <c r="Q459" s="11"/>
      <c r="R459" s="9"/>
      <c r="S459" s="11">
        <f t="shared" si="84"/>
        <v>0</v>
      </c>
      <c r="T459" s="9"/>
      <c r="U459" s="14" t="s">
        <v>77</v>
      </c>
      <c r="V459" s="9"/>
      <c r="W459" s="12">
        <v>30</v>
      </c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>
        <f t="shared" si="85"/>
        <v>0</v>
      </c>
      <c r="AI459" s="13"/>
      <c r="AJ459" s="13">
        <f t="shared" si="83"/>
        <v>0</v>
      </c>
      <c r="AK459" s="9"/>
      <c r="AL459" s="13"/>
      <c r="AM459" s="9"/>
      <c r="AN459" s="9"/>
      <c r="AO459" s="9"/>
      <c r="AP459" s="14"/>
    </row>
    <row r="460" spans="1:42" s="45" customFormat="1" ht="22" customHeight="1">
      <c r="A460" s="14" t="s">
        <v>17</v>
      </c>
      <c r="B460" s="8">
        <v>2024</v>
      </c>
      <c r="C460" s="8" t="s">
        <v>8</v>
      </c>
      <c r="D460" s="9" t="s">
        <v>185</v>
      </c>
      <c r="E460" s="9" t="s">
        <v>15</v>
      </c>
      <c r="F460" s="9" t="s">
        <v>186</v>
      </c>
      <c r="G460" s="8"/>
      <c r="H460" s="8"/>
      <c r="I460" s="9" t="s">
        <v>116</v>
      </c>
      <c r="J460" s="9" t="s">
        <v>116</v>
      </c>
      <c r="K460" s="9" t="s">
        <v>269</v>
      </c>
      <c r="L460" s="9" t="s">
        <v>270</v>
      </c>
      <c r="M460" s="14" t="s">
        <v>84</v>
      </c>
      <c r="N460" s="9" t="s">
        <v>271</v>
      </c>
      <c r="O460" s="9" t="s">
        <v>272</v>
      </c>
      <c r="P460" s="149" t="s">
        <v>285</v>
      </c>
      <c r="Q460" s="11"/>
      <c r="R460" s="9"/>
      <c r="S460" s="11">
        <f t="shared" si="84"/>
        <v>0</v>
      </c>
      <c r="T460" s="9"/>
      <c r="U460" s="14" t="s">
        <v>77</v>
      </c>
      <c r="V460" s="9"/>
      <c r="W460" s="12">
        <v>30</v>
      </c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>
        <f t="shared" si="85"/>
        <v>0</v>
      </c>
      <c r="AI460" s="13"/>
      <c r="AJ460" s="13">
        <f t="shared" si="83"/>
        <v>0</v>
      </c>
      <c r="AK460" s="9"/>
      <c r="AL460" s="13"/>
      <c r="AM460" s="9"/>
      <c r="AN460" s="9"/>
      <c r="AO460" s="9"/>
      <c r="AP460" s="14"/>
    </row>
    <row r="461" spans="1:42" s="45" customFormat="1" ht="22" customHeight="1">
      <c r="A461" s="14" t="s">
        <v>17</v>
      </c>
      <c r="B461" s="8">
        <v>2024</v>
      </c>
      <c r="C461" s="8" t="s">
        <v>8</v>
      </c>
      <c r="D461" s="9" t="s">
        <v>185</v>
      </c>
      <c r="E461" s="9" t="s">
        <v>15</v>
      </c>
      <c r="F461" s="9" t="s">
        <v>186</v>
      </c>
      <c r="G461" s="8"/>
      <c r="H461" s="8"/>
      <c r="I461" s="9" t="s">
        <v>116</v>
      </c>
      <c r="J461" s="9" t="s">
        <v>116</v>
      </c>
      <c r="K461" s="9" t="s">
        <v>269</v>
      </c>
      <c r="L461" s="9" t="s">
        <v>270</v>
      </c>
      <c r="M461" s="14" t="s">
        <v>84</v>
      </c>
      <c r="N461" s="9" t="s">
        <v>271</v>
      </c>
      <c r="O461" s="9" t="s">
        <v>272</v>
      </c>
      <c r="P461" s="149" t="s">
        <v>286</v>
      </c>
      <c r="Q461" s="11"/>
      <c r="R461" s="9"/>
      <c r="S461" s="11">
        <f t="shared" si="84"/>
        <v>0</v>
      </c>
      <c r="T461" s="9"/>
      <c r="U461" s="14" t="s">
        <v>77</v>
      </c>
      <c r="V461" s="9"/>
      <c r="W461" s="12">
        <v>30</v>
      </c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>
        <f t="shared" si="85"/>
        <v>0</v>
      </c>
      <c r="AI461" s="13"/>
      <c r="AJ461" s="13">
        <f t="shared" si="83"/>
        <v>0</v>
      </c>
      <c r="AK461" s="9"/>
      <c r="AL461" s="13"/>
      <c r="AM461" s="9"/>
      <c r="AN461" s="9"/>
      <c r="AO461" s="9"/>
      <c r="AP461" s="14"/>
    </row>
    <row r="462" spans="1:42" s="45" customFormat="1" ht="22" customHeight="1">
      <c r="A462" s="14" t="s">
        <v>17</v>
      </c>
      <c r="B462" s="8">
        <v>2024</v>
      </c>
      <c r="C462" s="8" t="s">
        <v>8</v>
      </c>
      <c r="D462" s="9" t="s">
        <v>185</v>
      </c>
      <c r="E462" s="9" t="s">
        <v>15</v>
      </c>
      <c r="F462" s="9" t="s">
        <v>186</v>
      </c>
      <c r="G462" s="8"/>
      <c r="H462" s="8"/>
      <c r="I462" s="9" t="s">
        <v>116</v>
      </c>
      <c r="J462" s="9" t="s">
        <v>116</v>
      </c>
      <c r="K462" s="9" t="s">
        <v>269</v>
      </c>
      <c r="L462" s="9" t="s">
        <v>270</v>
      </c>
      <c r="M462" s="14" t="s">
        <v>84</v>
      </c>
      <c r="N462" s="9" t="s">
        <v>271</v>
      </c>
      <c r="O462" s="9" t="s">
        <v>272</v>
      </c>
      <c r="P462" s="149" t="s">
        <v>287</v>
      </c>
      <c r="Q462" s="11"/>
      <c r="R462" s="9"/>
      <c r="S462" s="11">
        <f t="shared" si="84"/>
        <v>0</v>
      </c>
      <c r="T462" s="9"/>
      <c r="U462" s="14" t="s">
        <v>77</v>
      </c>
      <c r="V462" s="9"/>
      <c r="W462" s="12">
        <v>30</v>
      </c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>
        <f t="shared" si="85"/>
        <v>0</v>
      </c>
      <c r="AI462" s="13"/>
      <c r="AJ462" s="13">
        <f t="shared" si="83"/>
        <v>0</v>
      </c>
      <c r="AK462" s="9"/>
      <c r="AL462" s="13"/>
      <c r="AM462" s="9"/>
      <c r="AN462" s="9"/>
      <c r="AO462" s="9"/>
      <c r="AP462" s="14"/>
    </row>
    <row r="463" spans="1:42" s="45" customFormat="1" ht="22" customHeight="1">
      <c r="A463" s="14" t="s">
        <v>17</v>
      </c>
      <c r="B463" s="8">
        <v>2024</v>
      </c>
      <c r="C463" s="8" t="s">
        <v>8</v>
      </c>
      <c r="D463" s="9" t="s">
        <v>185</v>
      </c>
      <c r="E463" s="9" t="s">
        <v>15</v>
      </c>
      <c r="F463" s="9" t="s">
        <v>186</v>
      </c>
      <c r="G463" s="8"/>
      <c r="H463" s="8"/>
      <c r="I463" s="9" t="s">
        <v>116</v>
      </c>
      <c r="J463" s="9" t="s">
        <v>116</v>
      </c>
      <c r="K463" s="9" t="s">
        <v>269</v>
      </c>
      <c r="L463" s="9" t="s">
        <v>270</v>
      </c>
      <c r="M463" s="14" t="s">
        <v>84</v>
      </c>
      <c r="N463" s="9" t="s">
        <v>271</v>
      </c>
      <c r="O463" s="9" t="s">
        <v>272</v>
      </c>
      <c r="P463" s="149" t="s">
        <v>288</v>
      </c>
      <c r="Q463" s="11"/>
      <c r="R463" s="9"/>
      <c r="S463" s="11">
        <f t="shared" si="84"/>
        <v>0</v>
      </c>
      <c r="T463" s="9"/>
      <c r="U463" s="14" t="s">
        <v>77</v>
      </c>
      <c r="V463" s="9"/>
      <c r="W463" s="12">
        <v>30</v>
      </c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>
        <f t="shared" si="85"/>
        <v>0</v>
      </c>
      <c r="AI463" s="13"/>
      <c r="AJ463" s="13">
        <f t="shared" si="83"/>
        <v>0</v>
      </c>
      <c r="AK463" s="9"/>
      <c r="AL463" s="13"/>
      <c r="AM463" s="9"/>
      <c r="AN463" s="9"/>
      <c r="AO463" s="9"/>
      <c r="AP463" s="14"/>
    </row>
    <row r="464" spans="1:42" s="45" customFormat="1" ht="22" customHeight="1">
      <c r="A464" s="14" t="s">
        <v>17</v>
      </c>
      <c r="B464" s="8">
        <v>2024</v>
      </c>
      <c r="C464" s="8" t="s">
        <v>8</v>
      </c>
      <c r="D464" s="9" t="s">
        <v>185</v>
      </c>
      <c r="E464" s="9" t="s">
        <v>15</v>
      </c>
      <c r="F464" s="9" t="s">
        <v>186</v>
      </c>
      <c r="G464" s="8"/>
      <c r="H464" s="8"/>
      <c r="I464" s="9" t="s">
        <v>116</v>
      </c>
      <c r="J464" s="9" t="s">
        <v>116</v>
      </c>
      <c r="K464" s="9" t="s">
        <v>269</v>
      </c>
      <c r="L464" s="9" t="s">
        <v>270</v>
      </c>
      <c r="M464" s="14" t="s">
        <v>84</v>
      </c>
      <c r="N464" s="9" t="s">
        <v>271</v>
      </c>
      <c r="O464" s="9" t="s">
        <v>272</v>
      </c>
      <c r="P464" s="149" t="s">
        <v>289</v>
      </c>
      <c r="Q464" s="11"/>
      <c r="R464" s="9"/>
      <c r="S464" s="11">
        <f t="shared" si="84"/>
        <v>0</v>
      </c>
      <c r="T464" s="9"/>
      <c r="U464" s="14" t="s">
        <v>77</v>
      </c>
      <c r="V464" s="9"/>
      <c r="W464" s="12">
        <v>30</v>
      </c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>
        <f t="shared" si="85"/>
        <v>0</v>
      </c>
      <c r="AI464" s="13"/>
      <c r="AJ464" s="13">
        <f t="shared" si="83"/>
        <v>0</v>
      </c>
      <c r="AK464" s="9"/>
      <c r="AL464" s="13"/>
      <c r="AM464" s="9"/>
      <c r="AN464" s="9"/>
      <c r="AO464" s="9"/>
      <c r="AP464" s="14"/>
    </row>
    <row r="465" spans="1:42" s="45" customFormat="1" ht="22" customHeight="1">
      <c r="A465" s="14" t="s">
        <v>17</v>
      </c>
      <c r="B465" s="8">
        <v>2024</v>
      </c>
      <c r="C465" s="8" t="s">
        <v>8</v>
      </c>
      <c r="D465" s="9" t="s">
        <v>185</v>
      </c>
      <c r="E465" s="9" t="s">
        <v>15</v>
      </c>
      <c r="F465" s="9" t="s">
        <v>186</v>
      </c>
      <c r="G465" s="8"/>
      <c r="H465" s="8"/>
      <c r="I465" s="9" t="s">
        <v>116</v>
      </c>
      <c r="J465" s="9" t="s">
        <v>116</v>
      </c>
      <c r="K465" s="9" t="s">
        <v>269</v>
      </c>
      <c r="L465" s="9" t="s">
        <v>270</v>
      </c>
      <c r="M465" s="14" t="s">
        <v>84</v>
      </c>
      <c r="N465" s="9" t="s">
        <v>271</v>
      </c>
      <c r="O465" s="9" t="s">
        <v>290</v>
      </c>
      <c r="P465" s="149" t="s">
        <v>291</v>
      </c>
      <c r="Q465" s="11"/>
      <c r="R465" s="9"/>
      <c r="S465" s="11">
        <f t="shared" si="84"/>
        <v>0</v>
      </c>
      <c r="T465" s="9"/>
      <c r="U465" s="14" t="s">
        <v>77</v>
      </c>
      <c r="V465" s="9"/>
      <c r="W465" s="12">
        <v>30</v>
      </c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>
        <f t="shared" si="85"/>
        <v>0</v>
      </c>
      <c r="AI465" s="13"/>
      <c r="AJ465" s="13">
        <f t="shared" si="83"/>
        <v>0</v>
      </c>
      <c r="AK465" s="9"/>
      <c r="AL465" s="13"/>
      <c r="AM465" s="9"/>
      <c r="AN465" s="9"/>
      <c r="AO465" s="9"/>
      <c r="AP465" s="14"/>
    </row>
    <row r="466" spans="1:42" s="45" customFormat="1" ht="22" customHeight="1">
      <c r="A466" s="14" t="s">
        <v>17</v>
      </c>
      <c r="B466" s="8">
        <v>2024</v>
      </c>
      <c r="C466" s="8" t="s">
        <v>8</v>
      </c>
      <c r="D466" s="9" t="s">
        <v>185</v>
      </c>
      <c r="E466" s="9" t="s">
        <v>15</v>
      </c>
      <c r="F466" s="9" t="s">
        <v>186</v>
      </c>
      <c r="G466" s="8"/>
      <c r="H466" s="8"/>
      <c r="I466" s="9" t="s">
        <v>116</v>
      </c>
      <c r="J466" s="9" t="s">
        <v>116</v>
      </c>
      <c r="K466" s="9" t="s">
        <v>269</v>
      </c>
      <c r="L466" s="9" t="s">
        <v>270</v>
      </c>
      <c r="M466" s="14" t="s">
        <v>84</v>
      </c>
      <c r="N466" s="9" t="s">
        <v>271</v>
      </c>
      <c r="O466" s="9" t="s">
        <v>290</v>
      </c>
      <c r="P466" s="149" t="s">
        <v>292</v>
      </c>
      <c r="Q466" s="11"/>
      <c r="R466" s="9"/>
      <c r="S466" s="11">
        <f t="shared" si="84"/>
        <v>0</v>
      </c>
      <c r="T466" s="9"/>
      <c r="U466" s="14" t="s">
        <v>77</v>
      </c>
      <c r="V466" s="9"/>
      <c r="W466" s="12">
        <v>30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>
        <f t="shared" si="85"/>
        <v>0</v>
      </c>
      <c r="AI466" s="13"/>
      <c r="AJ466" s="13">
        <f t="shared" si="83"/>
        <v>0</v>
      </c>
      <c r="AK466" s="9"/>
      <c r="AL466" s="13"/>
      <c r="AM466" s="9"/>
      <c r="AN466" s="9"/>
      <c r="AO466" s="9"/>
      <c r="AP466" s="14"/>
    </row>
    <row r="467" spans="1:42" s="45" customFormat="1" ht="22" customHeight="1">
      <c r="A467" s="14" t="s">
        <v>17</v>
      </c>
      <c r="B467" s="8">
        <v>2024</v>
      </c>
      <c r="C467" s="8" t="s">
        <v>8</v>
      </c>
      <c r="D467" s="9" t="s">
        <v>185</v>
      </c>
      <c r="E467" s="9" t="s">
        <v>15</v>
      </c>
      <c r="F467" s="9" t="s">
        <v>186</v>
      </c>
      <c r="G467" s="8"/>
      <c r="H467" s="8"/>
      <c r="I467" s="9" t="s">
        <v>116</v>
      </c>
      <c r="J467" s="9" t="s">
        <v>116</v>
      </c>
      <c r="K467" s="9" t="s">
        <v>269</v>
      </c>
      <c r="L467" s="9" t="s">
        <v>270</v>
      </c>
      <c r="M467" s="14" t="s">
        <v>84</v>
      </c>
      <c r="N467" s="9" t="s">
        <v>271</v>
      </c>
      <c r="O467" s="9" t="s">
        <v>290</v>
      </c>
      <c r="P467" s="149" t="s">
        <v>293</v>
      </c>
      <c r="Q467" s="11"/>
      <c r="R467" s="9"/>
      <c r="S467" s="11">
        <f t="shared" si="84"/>
        <v>0</v>
      </c>
      <c r="T467" s="9"/>
      <c r="U467" s="14" t="s">
        <v>77</v>
      </c>
      <c r="V467" s="9"/>
      <c r="W467" s="12">
        <v>30</v>
      </c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>
        <f t="shared" si="85"/>
        <v>0</v>
      </c>
      <c r="AI467" s="13"/>
      <c r="AJ467" s="13">
        <f t="shared" si="83"/>
        <v>0</v>
      </c>
      <c r="AK467" s="9"/>
      <c r="AL467" s="13"/>
      <c r="AM467" s="9"/>
      <c r="AN467" s="9"/>
      <c r="AO467" s="9"/>
      <c r="AP467" s="14"/>
    </row>
    <row r="468" spans="1:42" s="45" customFormat="1" ht="22" customHeight="1">
      <c r="A468" s="14" t="s">
        <v>17</v>
      </c>
      <c r="B468" s="8">
        <v>2024</v>
      </c>
      <c r="C468" s="8" t="s">
        <v>8</v>
      </c>
      <c r="D468" s="9" t="s">
        <v>185</v>
      </c>
      <c r="E468" s="9" t="s">
        <v>15</v>
      </c>
      <c r="F468" s="9" t="s">
        <v>186</v>
      </c>
      <c r="G468" s="8"/>
      <c r="H468" s="8"/>
      <c r="I468" s="9" t="s">
        <v>116</v>
      </c>
      <c r="J468" s="9" t="s">
        <v>116</v>
      </c>
      <c r="K468" s="9" t="s">
        <v>269</v>
      </c>
      <c r="L468" s="9" t="s">
        <v>270</v>
      </c>
      <c r="M468" s="14" t="s">
        <v>84</v>
      </c>
      <c r="N468" s="9" t="s">
        <v>271</v>
      </c>
      <c r="O468" s="9" t="s">
        <v>290</v>
      </c>
      <c r="P468" s="149" t="s">
        <v>294</v>
      </c>
      <c r="Q468" s="11"/>
      <c r="R468" s="9"/>
      <c r="S468" s="11">
        <f t="shared" si="84"/>
        <v>0</v>
      </c>
      <c r="T468" s="9"/>
      <c r="U468" s="14" t="s">
        <v>77</v>
      </c>
      <c r="V468" s="9"/>
      <c r="W468" s="12">
        <v>30</v>
      </c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>
        <f t="shared" si="85"/>
        <v>0</v>
      </c>
      <c r="AI468" s="13"/>
      <c r="AJ468" s="13">
        <f t="shared" si="83"/>
        <v>0</v>
      </c>
      <c r="AK468" s="9"/>
      <c r="AL468" s="13"/>
      <c r="AM468" s="9"/>
      <c r="AN468" s="9"/>
      <c r="AO468" s="9"/>
      <c r="AP468" s="14"/>
    </row>
    <row r="469" spans="1:42" s="45" customFormat="1" ht="22" customHeight="1">
      <c r="A469" s="14" t="s">
        <v>17</v>
      </c>
      <c r="B469" s="8">
        <v>2024</v>
      </c>
      <c r="C469" s="8" t="s">
        <v>8</v>
      </c>
      <c r="D469" s="9" t="s">
        <v>185</v>
      </c>
      <c r="E469" s="9" t="s">
        <v>15</v>
      </c>
      <c r="F469" s="9" t="s">
        <v>186</v>
      </c>
      <c r="G469" s="8"/>
      <c r="H469" s="8"/>
      <c r="I469" s="9" t="s">
        <v>116</v>
      </c>
      <c r="J469" s="9" t="s">
        <v>116</v>
      </c>
      <c r="K469" s="9" t="s">
        <v>269</v>
      </c>
      <c r="L469" s="9" t="s">
        <v>270</v>
      </c>
      <c r="M469" s="14" t="s">
        <v>84</v>
      </c>
      <c r="N469" s="9" t="s">
        <v>271</v>
      </c>
      <c r="O469" s="9" t="s">
        <v>290</v>
      </c>
      <c r="P469" s="149" t="s">
        <v>295</v>
      </c>
      <c r="Q469" s="11"/>
      <c r="R469" s="9"/>
      <c r="S469" s="11">
        <f t="shared" si="84"/>
        <v>0</v>
      </c>
      <c r="T469" s="9"/>
      <c r="U469" s="14" t="s">
        <v>77</v>
      </c>
      <c r="V469" s="9"/>
      <c r="W469" s="12">
        <v>30</v>
      </c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>
        <f t="shared" si="85"/>
        <v>0</v>
      </c>
      <c r="AI469" s="13"/>
      <c r="AJ469" s="13">
        <f t="shared" si="83"/>
        <v>0</v>
      </c>
      <c r="AK469" s="9"/>
      <c r="AL469" s="13"/>
      <c r="AM469" s="9"/>
      <c r="AN469" s="9"/>
      <c r="AO469" s="9"/>
      <c r="AP469" s="14"/>
    </row>
    <row r="470" spans="1:42" s="45" customFormat="1" ht="22" customHeight="1">
      <c r="A470" s="14" t="s">
        <v>17</v>
      </c>
      <c r="B470" s="8">
        <v>2024</v>
      </c>
      <c r="C470" s="8" t="s">
        <v>8</v>
      </c>
      <c r="D470" s="9" t="s">
        <v>185</v>
      </c>
      <c r="E470" s="9" t="s">
        <v>10</v>
      </c>
      <c r="F470" s="9" t="s">
        <v>186</v>
      </c>
      <c r="G470" s="8"/>
      <c r="H470" s="8"/>
      <c r="I470" s="9" t="s">
        <v>116</v>
      </c>
      <c r="J470" s="9" t="s">
        <v>116</v>
      </c>
      <c r="K470" s="9" t="s">
        <v>269</v>
      </c>
      <c r="L470" s="9" t="s">
        <v>270</v>
      </c>
      <c r="M470" s="14" t="s">
        <v>84</v>
      </c>
      <c r="N470" s="9" t="s">
        <v>271</v>
      </c>
      <c r="O470" s="9" t="s">
        <v>296</v>
      </c>
      <c r="P470" s="149" t="s">
        <v>297</v>
      </c>
      <c r="Q470" s="11"/>
      <c r="R470" s="11"/>
      <c r="S470" s="11"/>
      <c r="T470" s="9"/>
      <c r="U470" s="14" t="s">
        <v>77</v>
      </c>
      <c r="V470" s="9"/>
      <c r="W470" s="12">
        <v>30</v>
      </c>
      <c r="X470" s="13"/>
      <c r="Y470" s="13"/>
      <c r="Z470" s="13"/>
      <c r="AA470" s="13"/>
      <c r="AB470" s="13"/>
      <c r="AC470" s="13">
        <f t="shared" ref="AC470:AC495" si="86">+S470*W470*20/1000000</f>
        <v>0</v>
      </c>
      <c r="AD470" s="13"/>
      <c r="AE470" s="13"/>
      <c r="AF470" s="13">
        <f t="shared" ref="AF470:AF495" si="87">+S470*W470*200/1000000</f>
        <v>0</v>
      </c>
      <c r="AG470" s="13"/>
      <c r="AH470" s="13"/>
      <c r="AI470" s="13"/>
      <c r="AJ470" s="13">
        <f t="shared" si="83"/>
        <v>0</v>
      </c>
      <c r="AK470" s="9"/>
      <c r="AL470" s="13"/>
      <c r="AM470" s="9"/>
      <c r="AN470" s="9"/>
      <c r="AO470" s="9"/>
      <c r="AP470" s="14"/>
    </row>
    <row r="471" spans="1:42" s="45" customFormat="1" ht="22" customHeight="1">
      <c r="A471" s="14" t="s">
        <v>17</v>
      </c>
      <c r="B471" s="8">
        <v>2024</v>
      </c>
      <c r="C471" s="8" t="s">
        <v>8</v>
      </c>
      <c r="D471" s="9" t="s">
        <v>185</v>
      </c>
      <c r="E471" s="9" t="s">
        <v>10</v>
      </c>
      <c r="F471" s="9" t="s">
        <v>186</v>
      </c>
      <c r="G471" s="8"/>
      <c r="H471" s="8"/>
      <c r="I471" s="9" t="s">
        <v>116</v>
      </c>
      <c r="J471" s="9" t="s">
        <v>116</v>
      </c>
      <c r="K471" s="9" t="s">
        <v>269</v>
      </c>
      <c r="L471" s="9" t="s">
        <v>270</v>
      </c>
      <c r="M471" s="14" t="s">
        <v>84</v>
      </c>
      <c r="N471" s="9" t="s">
        <v>271</v>
      </c>
      <c r="O471" s="9" t="s">
        <v>296</v>
      </c>
      <c r="P471" s="149" t="s">
        <v>298</v>
      </c>
      <c r="Q471" s="11"/>
      <c r="R471" s="11"/>
      <c r="S471" s="11"/>
      <c r="T471" s="9"/>
      <c r="U471" s="14" t="s">
        <v>77</v>
      </c>
      <c r="V471" s="9"/>
      <c r="W471" s="12">
        <v>30</v>
      </c>
      <c r="X471" s="13"/>
      <c r="Y471" s="13"/>
      <c r="Z471" s="13"/>
      <c r="AA471" s="13"/>
      <c r="AB471" s="13"/>
      <c r="AC471" s="13">
        <f t="shared" si="86"/>
        <v>0</v>
      </c>
      <c r="AD471" s="13"/>
      <c r="AE471" s="13"/>
      <c r="AF471" s="13">
        <f t="shared" si="87"/>
        <v>0</v>
      </c>
      <c r="AG471" s="13"/>
      <c r="AH471" s="13"/>
      <c r="AI471" s="13"/>
      <c r="AJ471" s="13">
        <f t="shared" si="83"/>
        <v>0</v>
      </c>
      <c r="AK471" s="9"/>
      <c r="AL471" s="13"/>
      <c r="AM471" s="9"/>
      <c r="AN471" s="9"/>
      <c r="AO471" s="9"/>
      <c r="AP471" s="14"/>
    </row>
    <row r="472" spans="1:42" s="45" customFormat="1" ht="22" customHeight="1">
      <c r="A472" s="14" t="s">
        <v>17</v>
      </c>
      <c r="B472" s="8">
        <v>2024</v>
      </c>
      <c r="C472" s="8" t="s">
        <v>8</v>
      </c>
      <c r="D472" s="9" t="s">
        <v>185</v>
      </c>
      <c r="E472" s="9" t="s">
        <v>10</v>
      </c>
      <c r="F472" s="9" t="s">
        <v>186</v>
      </c>
      <c r="G472" s="8"/>
      <c r="H472" s="8"/>
      <c r="I472" s="9" t="s">
        <v>116</v>
      </c>
      <c r="J472" s="9" t="s">
        <v>116</v>
      </c>
      <c r="K472" s="9" t="s">
        <v>269</v>
      </c>
      <c r="L472" s="9" t="s">
        <v>270</v>
      </c>
      <c r="M472" s="14" t="s">
        <v>84</v>
      </c>
      <c r="N472" s="9" t="s">
        <v>271</v>
      </c>
      <c r="O472" s="9" t="s">
        <v>296</v>
      </c>
      <c r="P472" s="149" t="s">
        <v>299</v>
      </c>
      <c r="Q472" s="11"/>
      <c r="R472" s="11"/>
      <c r="S472" s="11"/>
      <c r="T472" s="9"/>
      <c r="U472" s="14" t="s">
        <v>77</v>
      </c>
      <c r="V472" s="9"/>
      <c r="W472" s="12">
        <v>30</v>
      </c>
      <c r="X472" s="13"/>
      <c r="Y472" s="13"/>
      <c r="Z472" s="13"/>
      <c r="AA472" s="13"/>
      <c r="AB472" s="13"/>
      <c r="AC472" s="13">
        <f t="shared" si="86"/>
        <v>0</v>
      </c>
      <c r="AD472" s="13"/>
      <c r="AE472" s="13"/>
      <c r="AF472" s="13">
        <f t="shared" si="87"/>
        <v>0</v>
      </c>
      <c r="AG472" s="13"/>
      <c r="AH472" s="13"/>
      <c r="AI472" s="13"/>
      <c r="AJ472" s="13">
        <f t="shared" si="83"/>
        <v>0</v>
      </c>
      <c r="AK472" s="9"/>
      <c r="AL472" s="13"/>
      <c r="AM472" s="9"/>
      <c r="AN472" s="9"/>
      <c r="AO472" s="9"/>
      <c r="AP472" s="14"/>
    </row>
    <row r="473" spans="1:42" s="45" customFormat="1" ht="22" customHeight="1">
      <c r="A473" s="14" t="s">
        <v>17</v>
      </c>
      <c r="B473" s="8">
        <v>2024</v>
      </c>
      <c r="C473" s="8" t="s">
        <v>8</v>
      </c>
      <c r="D473" s="9" t="s">
        <v>185</v>
      </c>
      <c r="E473" s="9" t="s">
        <v>10</v>
      </c>
      <c r="F473" s="9" t="s">
        <v>186</v>
      </c>
      <c r="G473" s="8"/>
      <c r="H473" s="8"/>
      <c r="I473" s="9" t="s">
        <v>116</v>
      </c>
      <c r="J473" s="9" t="s">
        <v>116</v>
      </c>
      <c r="K473" s="9" t="s">
        <v>269</v>
      </c>
      <c r="L473" s="9" t="s">
        <v>270</v>
      </c>
      <c r="M473" s="14" t="s">
        <v>84</v>
      </c>
      <c r="N473" s="9" t="s">
        <v>271</v>
      </c>
      <c r="O473" s="9" t="s">
        <v>296</v>
      </c>
      <c r="P473" s="149" t="s">
        <v>300</v>
      </c>
      <c r="Q473" s="11"/>
      <c r="R473" s="11"/>
      <c r="S473" s="11"/>
      <c r="T473" s="9"/>
      <c r="U473" s="14" t="s">
        <v>77</v>
      </c>
      <c r="V473" s="9"/>
      <c r="W473" s="12">
        <v>30</v>
      </c>
      <c r="X473" s="13"/>
      <c r="Y473" s="13"/>
      <c r="Z473" s="13"/>
      <c r="AA473" s="13"/>
      <c r="AB473" s="13"/>
      <c r="AC473" s="13">
        <f t="shared" si="86"/>
        <v>0</v>
      </c>
      <c r="AD473" s="13"/>
      <c r="AE473" s="13"/>
      <c r="AF473" s="13">
        <f t="shared" si="87"/>
        <v>0</v>
      </c>
      <c r="AG473" s="13"/>
      <c r="AH473" s="13"/>
      <c r="AI473" s="13"/>
      <c r="AJ473" s="13">
        <f t="shared" si="83"/>
        <v>0</v>
      </c>
      <c r="AK473" s="9"/>
      <c r="AL473" s="13"/>
      <c r="AM473" s="9"/>
      <c r="AN473" s="9"/>
      <c r="AO473" s="9"/>
      <c r="AP473" s="14"/>
    </row>
    <row r="474" spans="1:42" s="45" customFormat="1" ht="22" customHeight="1">
      <c r="A474" s="14" t="s">
        <v>17</v>
      </c>
      <c r="B474" s="8">
        <v>2024</v>
      </c>
      <c r="C474" s="8" t="s">
        <v>8</v>
      </c>
      <c r="D474" s="9" t="s">
        <v>185</v>
      </c>
      <c r="E474" s="9" t="s">
        <v>10</v>
      </c>
      <c r="F474" s="9" t="s">
        <v>186</v>
      </c>
      <c r="G474" s="8"/>
      <c r="H474" s="8"/>
      <c r="I474" s="9" t="s">
        <v>116</v>
      </c>
      <c r="J474" s="9" t="s">
        <v>116</v>
      </c>
      <c r="K474" s="9" t="s">
        <v>269</v>
      </c>
      <c r="L474" s="9" t="s">
        <v>270</v>
      </c>
      <c r="M474" s="14" t="s">
        <v>84</v>
      </c>
      <c r="N474" s="9" t="s">
        <v>271</v>
      </c>
      <c r="O474" s="9" t="s">
        <v>296</v>
      </c>
      <c r="P474" s="149" t="s">
        <v>301</v>
      </c>
      <c r="Q474" s="11"/>
      <c r="R474" s="11"/>
      <c r="S474" s="11"/>
      <c r="T474" s="9"/>
      <c r="U474" s="14" t="s">
        <v>77</v>
      </c>
      <c r="V474" s="9"/>
      <c r="W474" s="12">
        <v>30</v>
      </c>
      <c r="X474" s="13"/>
      <c r="Y474" s="13"/>
      <c r="Z474" s="13"/>
      <c r="AA474" s="13"/>
      <c r="AB474" s="13"/>
      <c r="AC474" s="13">
        <f t="shared" si="86"/>
        <v>0</v>
      </c>
      <c r="AD474" s="13"/>
      <c r="AE474" s="13"/>
      <c r="AF474" s="13">
        <f t="shared" si="87"/>
        <v>0</v>
      </c>
      <c r="AG474" s="13"/>
      <c r="AH474" s="13"/>
      <c r="AI474" s="13"/>
      <c r="AJ474" s="13">
        <f t="shared" si="83"/>
        <v>0</v>
      </c>
      <c r="AK474" s="9"/>
      <c r="AL474" s="13"/>
      <c r="AM474" s="9"/>
      <c r="AN474" s="9"/>
      <c r="AO474" s="9"/>
      <c r="AP474" s="14"/>
    </row>
    <row r="475" spans="1:42" s="45" customFormat="1" ht="22" customHeight="1">
      <c r="A475" s="14" t="s">
        <v>17</v>
      </c>
      <c r="B475" s="8">
        <v>2024</v>
      </c>
      <c r="C475" s="8" t="s">
        <v>8</v>
      </c>
      <c r="D475" s="9" t="s">
        <v>185</v>
      </c>
      <c r="E475" s="9" t="s">
        <v>10</v>
      </c>
      <c r="F475" s="9" t="s">
        <v>186</v>
      </c>
      <c r="G475" s="8"/>
      <c r="H475" s="8"/>
      <c r="I475" s="9" t="s">
        <v>116</v>
      </c>
      <c r="J475" s="9" t="s">
        <v>116</v>
      </c>
      <c r="K475" s="9" t="s">
        <v>269</v>
      </c>
      <c r="L475" s="9" t="s">
        <v>270</v>
      </c>
      <c r="M475" s="14" t="s">
        <v>84</v>
      </c>
      <c r="N475" s="9" t="s">
        <v>271</v>
      </c>
      <c r="O475" s="9" t="s">
        <v>296</v>
      </c>
      <c r="P475" s="149" t="s">
        <v>302</v>
      </c>
      <c r="Q475" s="11"/>
      <c r="R475" s="11"/>
      <c r="S475" s="11"/>
      <c r="T475" s="9"/>
      <c r="U475" s="14" t="s">
        <v>77</v>
      </c>
      <c r="V475" s="9"/>
      <c r="W475" s="12">
        <v>30</v>
      </c>
      <c r="X475" s="13"/>
      <c r="Y475" s="13"/>
      <c r="Z475" s="13"/>
      <c r="AA475" s="13"/>
      <c r="AB475" s="13"/>
      <c r="AC475" s="13">
        <f t="shared" si="86"/>
        <v>0</v>
      </c>
      <c r="AD475" s="13"/>
      <c r="AE475" s="13"/>
      <c r="AF475" s="13">
        <f t="shared" si="87"/>
        <v>0</v>
      </c>
      <c r="AG475" s="13"/>
      <c r="AH475" s="13"/>
      <c r="AI475" s="13"/>
      <c r="AJ475" s="13">
        <f t="shared" si="83"/>
        <v>0</v>
      </c>
      <c r="AK475" s="9"/>
      <c r="AL475" s="13"/>
      <c r="AM475" s="9"/>
      <c r="AN475" s="9"/>
      <c r="AO475" s="9"/>
      <c r="AP475" s="14"/>
    </row>
    <row r="476" spans="1:42" s="45" customFormat="1" ht="22" customHeight="1">
      <c r="A476" s="14" t="s">
        <v>17</v>
      </c>
      <c r="B476" s="8">
        <v>2024</v>
      </c>
      <c r="C476" s="8" t="s">
        <v>8</v>
      </c>
      <c r="D476" s="9" t="s">
        <v>185</v>
      </c>
      <c r="E476" s="9" t="s">
        <v>10</v>
      </c>
      <c r="F476" s="9" t="s">
        <v>186</v>
      </c>
      <c r="G476" s="8"/>
      <c r="H476" s="8"/>
      <c r="I476" s="9" t="s">
        <v>116</v>
      </c>
      <c r="J476" s="9" t="s">
        <v>116</v>
      </c>
      <c r="K476" s="9" t="s">
        <v>269</v>
      </c>
      <c r="L476" s="9" t="s">
        <v>270</v>
      </c>
      <c r="M476" s="14" t="s">
        <v>84</v>
      </c>
      <c r="N476" s="9" t="s">
        <v>271</v>
      </c>
      <c r="O476" s="9" t="s">
        <v>296</v>
      </c>
      <c r="P476" s="149" t="s">
        <v>303</v>
      </c>
      <c r="Q476" s="11"/>
      <c r="R476" s="11"/>
      <c r="S476" s="11"/>
      <c r="T476" s="9"/>
      <c r="U476" s="14" t="s">
        <v>77</v>
      </c>
      <c r="V476" s="9"/>
      <c r="W476" s="12">
        <v>30</v>
      </c>
      <c r="X476" s="13"/>
      <c r="Y476" s="13"/>
      <c r="Z476" s="13"/>
      <c r="AA476" s="13"/>
      <c r="AB476" s="13"/>
      <c r="AC476" s="13">
        <f t="shared" si="86"/>
        <v>0</v>
      </c>
      <c r="AD476" s="13"/>
      <c r="AE476" s="13"/>
      <c r="AF476" s="13">
        <f t="shared" si="87"/>
        <v>0</v>
      </c>
      <c r="AG476" s="13"/>
      <c r="AH476" s="13"/>
      <c r="AI476" s="13"/>
      <c r="AJ476" s="13">
        <f t="shared" si="83"/>
        <v>0</v>
      </c>
      <c r="AK476" s="9"/>
      <c r="AL476" s="13"/>
      <c r="AM476" s="9"/>
      <c r="AN476" s="9"/>
      <c r="AO476" s="9"/>
      <c r="AP476" s="14"/>
    </row>
    <row r="477" spans="1:42" s="45" customFormat="1" ht="22" customHeight="1">
      <c r="A477" s="14" t="s">
        <v>17</v>
      </c>
      <c r="B477" s="8">
        <v>2024</v>
      </c>
      <c r="C477" s="8" t="s">
        <v>8</v>
      </c>
      <c r="D477" s="9" t="s">
        <v>185</v>
      </c>
      <c r="E477" s="9" t="s">
        <v>10</v>
      </c>
      <c r="F477" s="9" t="s">
        <v>186</v>
      </c>
      <c r="G477" s="8"/>
      <c r="H477" s="8"/>
      <c r="I477" s="9" t="s">
        <v>116</v>
      </c>
      <c r="J477" s="9" t="s">
        <v>116</v>
      </c>
      <c r="K477" s="9" t="s">
        <v>269</v>
      </c>
      <c r="L477" s="9" t="s">
        <v>270</v>
      </c>
      <c r="M477" s="14" t="s">
        <v>84</v>
      </c>
      <c r="N477" s="9" t="s">
        <v>271</v>
      </c>
      <c r="O477" s="9" t="s">
        <v>296</v>
      </c>
      <c r="P477" s="149" t="s">
        <v>304</v>
      </c>
      <c r="Q477" s="11"/>
      <c r="R477" s="11"/>
      <c r="S477" s="11"/>
      <c r="T477" s="9"/>
      <c r="U477" s="14" t="s">
        <v>77</v>
      </c>
      <c r="V477" s="9"/>
      <c r="W477" s="12">
        <v>30</v>
      </c>
      <c r="X477" s="13"/>
      <c r="Y477" s="13"/>
      <c r="Z477" s="13"/>
      <c r="AA477" s="13"/>
      <c r="AB477" s="13"/>
      <c r="AC477" s="13">
        <f t="shared" si="86"/>
        <v>0</v>
      </c>
      <c r="AD477" s="13"/>
      <c r="AE477" s="13"/>
      <c r="AF477" s="13">
        <f t="shared" si="87"/>
        <v>0</v>
      </c>
      <c r="AG477" s="13"/>
      <c r="AH477" s="13"/>
      <c r="AI477" s="13"/>
      <c r="AJ477" s="13">
        <f t="shared" si="83"/>
        <v>0</v>
      </c>
      <c r="AK477" s="9"/>
      <c r="AL477" s="13"/>
      <c r="AM477" s="9"/>
      <c r="AN477" s="9"/>
      <c r="AO477" s="9"/>
      <c r="AP477" s="14"/>
    </row>
    <row r="478" spans="1:42" s="45" customFormat="1" ht="22" customHeight="1">
      <c r="A478" s="14" t="s">
        <v>17</v>
      </c>
      <c r="B478" s="8">
        <v>2024</v>
      </c>
      <c r="C478" s="8" t="s">
        <v>8</v>
      </c>
      <c r="D478" s="9" t="s">
        <v>185</v>
      </c>
      <c r="E478" s="9" t="s">
        <v>10</v>
      </c>
      <c r="F478" s="9" t="s">
        <v>186</v>
      </c>
      <c r="G478" s="8"/>
      <c r="H478" s="8"/>
      <c r="I478" s="9" t="s">
        <v>116</v>
      </c>
      <c r="J478" s="9" t="s">
        <v>116</v>
      </c>
      <c r="K478" s="9" t="s">
        <v>269</v>
      </c>
      <c r="L478" s="9" t="s">
        <v>270</v>
      </c>
      <c r="M478" s="14" t="s">
        <v>84</v>
      </c>
      <c r="N478" s="9" t="s">
        <v>271</v>
      </c>
      <c r="O478" s="9" t="s">
        <v>296</v>
      </c>
      <c r="P478" s="149" t="s">
        <v>305</v>
      </c>
      <c r="Q478" s="11"/>
      <c r="R478" s="11"/>
      <c r="S478" s="11"/>
      <c r="T478" s="9"/>
      <c r="U478" s="14" t="s">
        <v>77</v>
      </c>
      <c r="V478" s="9"/>
      <c r="W478" s="12">
        <v>30</v>
      </c>
      <c r="X478" s="13"/>
      <c r="Y478" s="13"/>
      <c r="Z478" s="13"/>
      <c r="AA478" s="13"/>
      <c r="AB478" s="13"/>
      <c r="AC478" s="13">
        <f t="shared" si="86"/>
        <v>0</v>
      </c>
      <c r="AD478" s="13"/>
      <c r="AE478" s="13"/>
      <c r="AF478" s="13">
        <f t="shared" si="87"/>
        <v>0</v>
      </c>
      <c r="AG478" s="13"/>
      <c r="AH478" s="13"/>
      <c r="AI478" s="13"/>
      <c r="AJ478" s="13">
        <f t="shared" si="83"/>
        <v>0</v>
      </c>
      <c r="AK478" s="9"/>
      <c r="AL478" s="13"/>
      <c r="AM478" s="9"/>
      <c r="AN478" s="9"/>
      <c r="AO478" s="9"/>
      <c r="AP478" s="14"/>
    </row>
    <row r="479" spans="1:42" s="45" customFormat="1" ht="22" customHeight="1">
      <c r="A479" s="14" t="s">
        <v>17</v>
      </c>
      <c r="B479" s="8">
        <v>2024</v>
      </c>
      <c r="C479" s="8" t="s">
        <v>8</v>
      </c>
      <c r="D479" s="9" t="s">
        <v>185</v>
      </c>
      <c r="E479" s="9" t="s">
        <v>10</v>
      </c>
      <c r="F479" s="9" t="s">
        <v>186</v>
      </c>
      <c r="G479" s="8"/>
      <c r="H479" s="8"/>
      <c r="I479" s="9" t="s">
        <v>116</v>
      </c>
      <c r="J479" s="9" t="s">
        <v>116</v>
      </c>
      <c r="K479" s="9" t="s">
        <v>269</v>
      </c>
      <c r="L479" s="9" t="s">
        <v>270</v>
      </c>
      <c r="M479" s="14" t="s">
        <v>84</v>
      </c>
      <c r="N479" s="9" t="s">
        <v>271</v>
      </c>
      <c r="O479" s="9" t="s">
        <v>296</v>
      </c>
      <c r="P479" s="149" t="s">
        <v>306</v>
      </c>
      <c r="Q479" s="11"/>
      <c r="R479" s="11"/>
      <c r="S479" s="11"/>
      <c r="T479" s="9"/>
      <c r="U479" s="14" t="s">
        <v>77</v>
      </c>
      <c r="V479" s="9"/>
      <c r="W479" s="12">
        <v>30</v>
      </c>
      <c r="X479" s="13"/>
      <c r="Y479" s="13"/>
      <c r="Z479" s="13"/>
      <c r="AA479" s="13"/>
      <c r="AB479" s="13"/>
      <c r="AC479" s="13">
        <f t="shared" si="86"/>
        <v>0</v>
      </c>
      <c r="AD479" s="13"/>
      <c r="AE479" s="13"/>
      <c r="AF479" s="13">
        <f t="shared" si="87"/>
        <v>0</v>
      </c>
      <c r="AG479" s="13"/>
      <c r="AH479" s="13"/>
      <c r="AI479" s="13"/>
      <c r="AJ479" s="13">
        <f t="shared" si="83"/>
        <v>0</v>
      </c>
      <c r="AK479" s="9"/>
      <c r="AL479" s="13"/>
      <c r="AM479" s="9"/>
      <c r="AN479" s="9"/>
      <c r="AO479" s="9"/>
      <c r="AP479" s="14"/>
    </row>
    <row r="480" spans="1:42" s="45" customFormat="1" ht="22" customHeight="1">
      <c r="A480" s="14" t="s">
        <v>17</v>
      </c>
      <c r="B480" s="8">
        <v>2024</v>
      </c>
      <c r="C480" s="8" t="s">
        <v>8</v>
      </c>
      <c r="D480" s="9" t="s">
        <v>185</v>
      </c>
      <c r="E480" s="9" t="s">
        <v>10</v>
      </c>
      <c r="F480" s="9" t="s">
        <v>186</v>
      </c>
      <c r="G480" s="8"/>
      <c r="H480" s="8"/>
      <c r="I480" s="9" t="s">
        <v>116</v>
      </c>
      <c r="J480" s="9" t="s">
        <v>116</v>
      </c>
      <c r="K480" s="9" t="s">
        <v>269</v>
      </c>
      <c r="L480" s="9" t="s">
        <v>270</v>
      </c>
      <c r="M480" s="14" t="s">
        <v>84</v>
      </c>
      <c r="N480" s="9" t="s">
        <v>271</v>
      </c>
      <c r="O480" s="9" t="s">
        <v>296</v>
      </c>
      <c r="P480" s="149" t="s">
        <v>307</v>
      </c>
      <c r="Q480" s="11"/>
      <c r="R480" s="11"/>
      <c r="S480" s="11"/>
      <c r="T480" s="9"/>
      <c r="U480" s="14" t="s">
        <v>77</v>
      </c>
      <c r="V480" s="9"/>
      <c r="W480" s="12">
        <v>30</v>
      </c>
      <c r="X480" s="13"/>
      <c r="Y480" s="13"/>
      <c r="Z480" s="13"/>
      <c r="AA480" s="13"/>
      <c r="AB480" s="13"/>
      <c r="AC480" s="13">
        <f t="shared" si="86"/>
        <v>0</v>
      </c>
      <c r="AD480" s="13"/>
      <c r="AE480" s="13"/>
      <c r="AF480" s="13">
        <f t="shared" si="87"/>
        <v>0</v>
      </c>
      <c r="AG480" s="13"/>
      <c r="AH480" s="13"/>
      <c r="AI480" s="13"/>
      <c r="AJ480" s="13">
        <f t="shared" si="83"/>
        <v>0</v>
      </c>
      <c r="AK480" s="9"/>
      <c r="AL480" s="13"/>
      <c r="AM480" s="9"/>
      <c r="AN480" s="9"/>
      <c r="AO480" s="9"/>
      <c r="AP480" s="14"/>
    </row>
    <row r="481" spans="1:42" s="45" customFormat="1" ht="22" customHeight="1">
      <c r="A481" s="14" t="s">
        <v>17</v>
      </c>
      <c r="B481" s="8">
        <v>2024</v>
      </c>
      <c r="C481" s="8" t="s">
        <v>8</v>
      </c>
      <c r="D481" s="9" t="s">
        <v>185</v>
      </c>
      <c r="E481" s="9" t="s">
        <v>10</v>
      </c>
      <c r="F481" s="9" t="s">
        <v>186</v>
      </c>
      <c r="G481" s="8"/>
      <c r="H481" s="8"/>
      <c r="I481" s="9" t="s">
        <v>116</v>
      </c>
      <c r="J481" s="9" t="s">
        <v>116</v>
      </c>
      <c r="K481" s="9" t="s">
        <v>269</v>
      </c>
      <c r="L481" s="9" t="s">
        <v>270</v>
      </c>
      <c r="M481" s="14" t="s">
        <v>84</v>
      </c>
      <c r="N481" s="9" t="s">
        <v>271</v>
      </c>
      <c r="O481" s="9" t="s">
        <v>296</v>
      </c>
      <c r="P481" s="149" t="s">
        <v>308</v>
      </c>
      <c r="Q481" s="11"/>
      <c r="R481" s="11"/>
      <c r="S481" s="11"/>
      <c r="T481" s="9"/>
      <c r="U481" s="14" t="s">
        <v>77</v>
      </c>
      <c r="V481" s="9"/>
      <c r="W481" s="12">
        <v>30</v>
      </c>
      <c r="X481" s="13"/>
      <c r="Y481" s="13"/>
      <c r="Z481" s="13"/>
      <c r="AA481" s="13"/>
      <c r="AB481" s="13"/>
      <c r="AC481" s="13">
        <f t="shared" si="86"/>
        <v>0</v>
      </c>
      <c r="AD481" s="13"/>
      <c r="AE481" s="13"/>
      <c r="AF481" s="13">
        <f t="shared" si="87"/>
        <v>0</v>
      </c>
      <c r="AG481" s="13"/>
      <c r="AH481" s="13"/>
      <c r="AI481" s="13"/>
      <c r="AJ481" s="13">
        <f t="shared" si="83"/>
        <v>0</v>
      </c>
      <c r="AK481" s="9"/>
      <c r="AL481" s="13"/>
      <c r="AM481" s="9"/>
      <c r="AN481" s="9"/>
      <c r="AO481" s="9"/>
      <c r="AP481" s="14"/>
    </row>
    <row r="482" spans="1:42" s="45" customFormat="1" ht="22" customHeight="1">
      <c r="A482" s="14" t="s">
        <v>17</v>
      </c>
      <c r="B482" s="8">
        <v>2024</v>
      </c>
      <c r="C482" s="8" t="s">
        <v>8</v>
      </c>
      <c r="D482" s="9" t="s">
        <v>185</v>
      </c>
      <c r="E482" s="9" t="s">
        <v>10</v>
      </c>
      <c r="F482" s="9" t="s">
        <v>186</v>
      </c>
      <c r="G482" s="8"/>
      <c r="H482" s="8"/>
      <c r="I482" s="9" t="s">
        <v>116</v>
      </c>
      <c r="J482" s="9" t="s">
        <v>116</v>
      </c>
      <c r="K482" s="9" t="s">
        <v>269</v>
      </c>
      <c r="L482" s="9" t="s">
        <v>270</v>
      </c>
      <c r="M482" s="14" t="s">
        <v>84</v>
      </c>
      <c r="N482" s="9" t="s">
        <v>271</v>
      </c>
      <c r="O482" s="9" t="s">
        <v>296</v>
      </c>
      <c r="P482" s="149" t="s">
        <v>309</v>
      </c>
      <c r="Q482" s="11"/>
      <c r="R482" s="11"/>
      <c r="S482" s="11"/>
      <c r="T482" s="9"/>
      <c r="U482" s="14" t="s">
        <v>77</v>
      </c>
      <c r="V482" s="9"/>
      <c r="W482" s="12">
        <v>30</v>
      </c>
      <c r="X482" s="13"/>
      <c r="Y482" s="13"/>
      <c r="Z482" s="13"/>
      <c r="AA482" s="13"/>
      <c r="AB482" s="13"/>
      <c r="AC482" s="13">
        <f t="shared" si="86"/>
        <v>0</v>
      </c>
      <c r="AD482" s="13"/>
      <c r="AE482" s="13"/>
      <c r="AF482" s="13">
        <f t="shared" si="87"/>
        <v>0</v>
      </c>
      <c r="AG482" s="13"/>
      <c r="AH482" s="13"/>
      <c r="AI482" s="13"/>
      <c r="AJ482" s="13">
        <f t="shared" si="83"/>
        <v>0</v>
      </c>
      <c r="AK482" s="9"/>
      <c r="AL482" s="13"/>
      <c r="AM482" s="9"/>
      <c r="AN482" s="9"/>
      <c r="AO482" s="9"/>
      <c r="AP482" s="14"/>
    </row>
    <row r="483" spans="1:42" s="45" customFormat="1" ht="22" customHeight="1">
      <c r="A483" s="14" t="s">
        <v>17</v>
      </c>
      <c r="B483" s="8">
        <v>2024</v>
      </c>
      <c r="C483" s="8" t="s">
        <v>8</v>
      </c>
      <c r="D483" s="9" t="s">
        <v>185</v>
      </c>
      <c r="E483" s="9" t="s">
        <v>10</v>
      </c>
      <c r="F483" s="9" t="s">
        <v>186</v>
      </c>
      <c r="G483" s="8"/>
      <c r="H483" s="8"/>
      <c r="I483" s="9" t="s">
        <v>116</v>
      </c>
      <c r="J483" s="9" t="s">
        <v>116</v>
      </c>
      <c r="K483" s="9" t="s">
        <v>269</v>
      </c>
      <c r="L483" s="9" t="s">
        <v>270</v>
      </c>
      <c r="M483" s="14" t="s">
        <v>84</v>
      </c>
      <c r="N483" s="9" t="s">
        <v>271</v>
      </c>
      <c r="O483" s="9" t="s">
        <v>296</v>
      </c>
      <c r="P483" s="149" t="s">
        <v>310</v>
      </c>
      <c r="Q483" s="11"/>
      <c r="R483" s="11"/>
      <c r="S483" s="11"/>
      <c r="T483" s="9"/>
      <c r="U483" s="14" t="s">
        <v>77</v>
      </c>
      <c r="V483" s="9"/>
      <c r="W483" s="12">
        <v>30</v>
      </c>
      <c r="X483" s="13"/>
      <c r="Y483" s="13"/>
      <c r="Z483" s="13"/>
      <c r="AA483" s="13"/>
      <c r="AB483" s="13"/>
      <c r="AC483" s="13">
        <f t="shared" si="86"/>
        <v>0</v>
      </c>
      <c r="AD483" s="13"/>
      <c r="AE483" s="13"/>
      <c r="AF483" s="13">
        <f t="shared" si="87"/>
        <v>0</v>
      </c>
      <c r="AG483" s="13"/>
      <c r="AH483" s="13"/>
      <c r="AI483" s="13"/>
      <c r="AJ483" s="13">
        <f t="shared" si="83"/>
        <v>0</v>
      </c>
      <c r="AK483" s="9"/>
      <c r="AL483" s="13"/>
      <c r="AM483" s="9"/>
      <c r="AN483" s="9"/>
      <c r="AO483" s="9"/>
      <c r="AP483" s="14"/>
    </row>
    <row r="484" spans="1:42" s="45" customFormat="1" ht="22" customHeight="1">
      <c r="A484" s="14" t="s">
        <v>17</v>
      </c>
      <c r="B484" s="8">
        <v>2024</v>
      </c>
      <c r="C484" s="8" t="s">
        <v>8</v>
      </c>
      <c r="D484" s="9" t="s">
        <v>185</v>
      </c>
      <c r="E484" s="9" t="s">
        <v>10</v>
      </c>
      <c r="F484" s="9" t="s">
        <v>186</v>
      </c>
      <c r="G484" s="8"/>
      <c r="H484" s="8"/>
      <c r="I484" s="9" t="s">
        <v>116</v>
      </c>
      <c r="J484" s="9" t="s">
        <v>116</v>
      </c>
      <c r="K484" s="9" t="s">
        <v>269</v>
      </c>
      <c r="L484" s="9" t="s">
        <v>270</v>
      </c>
      <c r="M484" s="14" t="s">
        <v>84</v>
      </c>
      <c r="N484" s="9" t="s">
        <v>271</v>
      </c>
      <c r="O484" s="9" t="s">
        <v>296</v>
      </c>
      <c r="P484" s="149" t="s">
        <v>311</v>
      </c>
      <c r="Q484" s="11"/>
      <c r="R484" s="11"/>
      <c r="S484" s="11"/>
      <c r="T484" s="9"/>
      <c r="U484" s="14" t="s">
        <v>77</v>
      </c>
      <c r="V484" s="9"/>
      <c r="W484" s="12">
        <v>30</v>
      </c>
      <c r="X484" s="13"/>
      <c r="Y484" s="13"/>
      <c r="Z484" s="13"/>
      <c r="AA484" s="13"/>
      <c r="AB484" s="13"/>
      <c r="AC484" s="13">
        <f t="shared" si="86"/>
        <v>0</v>
      </c>
      <c r="AD484" s="13"/>
      <c r="AE484" s="13"/>
      <c r="AF484" s="13">
        <f t="shared" si="87"/>
        <v>0</v>
      </c>
      <c r="AG484" s="13"/>
      <c r="AH484" s="13"/>
      <c r="AI484" s="13"/>
      <c r="AJ484" s="13">
        <f t="shared" si="83"/>
        <v>0</v>
      </c>
      <c r="AK484" s="9"/>
      <c r="AL484" s="13"/>
      <c r="AM484" s="9"/>
      <c r="AN484" s="9"/>
      <c r="AO484" s="9"/>
      <c r="AP484" s="14"/>
    </row>
    <row r="485" spans="1:42" s="45" customFormat="1" ht="22" customHeight="1">
      <c r="A485" s="14" t="s">
        <v>17</v>
      </c>
      <c r="B485" s="8">
        <v>2024</v>
      </c>
      <c r="C485" s="8" t="s">
        <v>8</v>
      </c>
      <c r="D485" s="9" t="s">
        <v>185</v>
      </c>
      <c r="E485" s="9" t="s">
        <v>10</v>
      </c>
      <c r="F485" s="9" t="s">
        <v>186</v>
      </c>
      <c r="G485" s="8"/>
      <c r="H485" s="8"/>
      <c r="I485" s="9" t="s">
        <v>116</v>
      </c>
      <c r="J485" s="9" t="s">
        <v>116</v>
      </c>
      <c r="K485" s="9" t="s">
        <v>269</v>
      </c>
      <c r="L485" s="9" t="s">
        <v>270</v>
      </c>
      <c r="M485" s="14" t="s">
        <v>84</v>
      </c>
      <c r="N485" s="9" t="s">
        <v>271</v>
      </c>
      <c r="O485" s="9" t="s">
        <v>296</v>
      </c>
      <c r="P485" s="149" t="s">
        <v>312</v>
      </c>
      <c r="Q485" s="11"/>
      <c r="R485" s="11"/>
      <c r="S485" s="11"/>
      <c r="T485" s="9"/>
      <c r="U485" s="14" t="s">
        <v>77</v>
      </c>
      <c r="V485" s="9"/>
      <c r="W485" s="12">
        <v>30</v>
      </c>
      <c r="X485" s="13"/>
      <c r="Y485" s="13"/>
      <c r="Z485" s="13"/>
      <c r="AA485" s="13"/>
      <c r="AB485" s="13"/>
      <c r="AC485" s="13">
        <f t="shared" si="86"/>
        <v>0</v>
      </c>
      <c r="AD485" s="13"/>
      <c r="AE485" s="13"/>
      <c r="AF485" s="13">
        <f t="shared" si="87"/>
        <v>0</v>
      </c>
      <c r="AG485" s="13"/>
      <c r="AH485" s="13"/>
      <c r="AI485" s="13"/>
      <c r="AJ485" s="13">
        <f t="shared" si="83"/>
        <v>0</v>
      </c>
      <c r="AK485" s="9"/>
      <c r="AL485" s="13"/>
      <c r="AM485" s="9"/>
      <c r="AN485" s="9"/>
      <c r="AO485" s="9"/>
      <c r="AP485" s="14"/>
    </row>
    <row r="486" spans="1:42" s="45" customFormat="1" ht="22" customHeight="1">
      <c r="A486" s="14" t="s">
        <v>17</v>
      </c>
      <c r="B486" s="8">
        <v>2024</v>
      </c>
      <c r="C486" s="8" t="s">
        <v>8</v>
      </c>
      <c r="D486" s="9" t="s">
        <v>185</v>
      </c>
      <c r="E486" s="9" t="s">
        <v>10</v>
      </c>
      <c r="F486" s="9" t="s">
        <v>186</v>
      </c>
      <c r="G486" s="8"/>
      <c r="H486" s="8"/>
      <c r="I486" s="9" t="s">
        <v>116</v>
      </c>
      <c r="J486" s="9" t="s">
        <v>116</v>
      </c>
      <c r="K486" s="9" t="s">
        <v>269</v>
      </c>
      <c r="L486" s="9" t="s">
        <v>270</v>
      </c>
      <c r="M486" s="14" t="s">
        <v>84</v>
      </c>
      <c r="N486" s="9" t="s">
        <v>271</v>
      </c>
      <c r="O486" s="9" t="s">
        <v>296</v>
      </c>
      <c r="P486" s="149" t="s">
        <v>313</v>
      </c>
      <c r="Q486" s="11"/>
      <c r="R486" s="11"/>
      <c r="S486" s="11"/>
      <c r="T486" s="9"/>
      <c r="U486" s="14" t="s">
        <v>77</v>
      </c>
      <c r="V486" s="9"/>
      <c r="W486" s="12">
        <v>30</v>
      </c>
      <c r="X486" s="13"/>
      <c r="Y486" s="13"/>
      <c r="Z486" s="13"/>
      <c r="AA486" s="13"/>
      <c r="AB486" s="13"/>
      <c r="AC486" s="13">
        <f t="shared" si="86"/>
        <v>0</v>
      </c>
      <c r="AD486" s="13"/>
      <c r="AE486" s="13"/>
      <c r="AF486" s="13">
        <f t="shared" si="87"/>
        <v>0</v>
      </c>
      <c r="AG486" s="13"/>
      <c r="AH486" s="13"/>
      <c r="AI486" s="13"/>
      <c r="AJ486" s="13">
        <f t="shared" si="83"/>
        <v>0</v>
      </c>
      <c r="AK486" s="9"/>
      <c r="AL486" s="13"/>
      <c r="AM486" s="9"/>
      <c r="AN486" s="9"/>
      <c r="AO486" s="9"/>
      <c r="AP486" s="14"/>
    </row>
    <row r="487" spans="1:42" s="45" customFormat="1" ht="22" customHeight="1">
      <c r="A487" s="14" t="s">
        <v>17</v>
      </c>
      <c r="B487" s="8">
        <v>2024</v>
      </c>
      <c r="C487" s="8" t="s">
        <v>8</v>
      </c>
      <c r="D487" s="9" t="s">
        <v>185</v>
      </c>
      <c r="E487" s="9" t="s">
        <v>10</v>
      </c>
      <c r="F487" s="9" t="s">
        <v>186</v>
      </c>
      <c r="G487" s="8"/>
      <c r="H487" s="8"/>
      <c r="I487" s="9" t="s">
        <v>116</v>
      </c>
      <c r="J487" s="9" t="s">
        <v>116</v>
      </c>
      <c r="K487" s="9" t="s">
        <v>269</v>
      </c>
      <c r="L487" s="9" t="s">
        <v>270</v>
      </c>
      <c r="M487" s="14" t="s">
        <v>84</v>
      </c>
      <c r="N487" s="9" t="s">
        <v>271</v>
      </c>
      <c r="O487" s="9" t="s">
        <v>296</v>
      </c>
      <c r="P487" s="149" t="s">
        <v>314</v>
      </c>
      <c r="Q487" s="11"/>
      <c r="R487" s="11"/>
      <c r="S487" s="11"/>
      <c r="T487" s="9"/>
      <c r="U487" s="14" t="s">
        <v>77</v>
      </c>
      <c r="V487" s="9"/>
      <c r="W487" s="12">
        <v>30</v>
      </c>
      <c r="X487" s="13"/>
      <c r="Y487" s="13"/>
      <c r="Z487" s="13"/>
      <c r="AA487" s="13"/>
      <c r="AB487" s="13"/>
      <c r="AC487" s="13">
        <f t="shared" si="86"/>
        <v>0</v>
      </c>
      <c r="AD487" s="13"/>
      <c r="AE487" s="13"/>
      <c r="AF487" s="13">
        <f t="shared" si="87"/>
        <v>0</v>
      </c>
      <c r="AG487" s="13"/>
      <c r="AH487" s="13"/>
      <c r="AI487" s="13"/>
      <c r="AJ487" s="13">
        <f t="shared" si="83"/>
        <v>0</v>
      </c>
      <c r="AK487" s="9"/>
      <c r="AL487" s="13"/>
      <c r="AM487" s="9"/>
      <c r="AN487" s="9"/>
      <c r="AO487" s="9"/>
      <c r="AP487" s="14"/>
    </row>
    <row r="488" spans="1:42" s="45" customFormat="1" ht="22" customHeight="1">
      <c r="A488" s="14" t="s">
        <v>17</v>
      </c>
      <c r="B488" s="8">
        <v>2024</v>
      </c>
      <c r="C488" s="8" t="s">
        <v>8</v>
      </c>
      <c r="D488" s="9" t="s">
        <v>185</v>
      </c>
      <c r="E488" s="9" t="s">
        <v>10</v>
      </c>
      <c r="F488" s="9" t="s">
        <v>186</v>
      </c>
      <c r="G488" s="8"/>
      <c r="H488" s="8"/>
      <c r="I488" s="9" t="s">
        <v>116</v>
      </c>
      <c r="J488" s="9" t="s">
        <v>116</v>
      </c>
      <c r="K488" s="9" t="s">
        <v>269</v>
      </c>
      <c r="L488" s="9" t="s">
        <v>270</v>
      </c>
      <c r="M488" s="14" t="s">
        <v>84</v>
      </c>
      <c r="N488" s="9" t="s">
        <v>271</v>
      </c>
      <c r="O488" s="9" t="s">
        <v>296</v>
      </c>
      <c r="P488" s="149" t="s">
        <v>315</v>
      </c>
      <c r="Q488" s="11"/>
      <c r="R488" s="11"/>
      <c r="S488" s="11"/>
      <c r="T488" s="9"/>
      <c r="U488" s="14" t="s">
        <v>77</v>
      </c>
      <c r="V488" s="9"/>
      <c r="W488" s="12">
        <v>30</v>
      </c>
      <c r="X488" s="13"/>
      <c r="Y488" s="13"/>
      <c r="Z488" s="13"/>
      <c r="AA488" s="13"/>
      <c r="AB488" s="13"/>
      <c r="AC488" s="13">
        <f t="shared" si="86"/>
        <v>0</v>
      </c>
      <c r="AD488" s="13"/>
      <c r="AE488" s="13"/>
      <c r="AF488" s="13">
        <f t="shared" si="87"/>
        <v>0</v>
      </c>
      <c r="AG488" s="13"/>
      <c r="AH488" s="13"/>
      <c r="AI488" s="13"/>
      <c r="AJ488" s="13">
        <f t="shared" si="83"/>
        <v>0</v>
      </c>
      <c r="AK488" s="9"/>
      <c r="AL488" s="13"/>
      <c r="AM488" s="9"/>
      <c r="AN488" s="9"/>
      <c r="AO488" s="9"/>
      <c r="AP488" s="14"/>
    </row>
    <row r="489" spans="1:42" s="45" customFormat="1" ht="22" customHeight="1">
      <c r="A489" s="14" t="s">
        <v>17</v>
      </c>
      <c r="B489" s="8">
        <v>2024</v>
      </c>
      <c r="C489" s="8" t="s">
        <v>8</v>
      </c>
      <c r="D489" s="9" t="s">
        <v>185</v>
      </c>
      <c r="E489" s="9" t="s">
        <v>10</v>
      </c>
      <c r="F489" s="9" t="s">
        <v>186</v>
      </c>
      <c r="G489" s="8"/>
      <c r="H489" s="8"/>
      <c r="I489" s="9" t="s">
        <v>116</v>
      </c>
      <c r="J489" s="9" t="s">
        <v>116</v>
      </c>
      <c r="K489" s="9" t="s">
        <v>269</v>
      </c>
      <c r="L489" s="9" t="s">
        <v>270</v>
      </c>
      <c r="M489" s="14" t="s">
        <v>84</v>
      </c>
      <c r="N489" s="9" t="s">
        <v>271</v>
      </c>
      <c r="O489" s="9" t="s">
        <v>296</v>
      </c>
      <c r="P489" s="149" t="s">
        <v>316</v>
      </c>
      <c r="Q489" s="11"/>
      <c r="R489" s="11"/>
      <c r="S489" s="11"/>
      <c r="T489" s="9"/>
      <c r="U489" s="14" t="s">
        <v>77</v>
      </c>
      <c r="V489" s="9"/>
      <c r="W489" s="12">
        <v>30</v>
      </c>
      <c r="X489" s="13"/>
      <c r="Y489" s="13"/>
      <c r="Z489" s="13"/>
      <c r="AA489" s="13"/>
      <c r="AB489" s="13"/>
      <c r="AC489" s="13">
        <f t="shared" si="86"/>
        <v>0</v>
      </c>
      <c r="AD489" s="13"/>
      <c r="AE489" s="13"/>
      <c r="AF489" s="13">
        <f t="shared" si="87"/>
        <v>0</v>
      </c>
      <c r="AG489" s="13"/>
      <c r="AH489" s="13"/>
      <c r="AI489" s="13"/>
      <c r="AJ489" s="13">
        <f t="shared" si="83"/>
        <v>0</v>
      </c>
      <c r="AK489" s="9"/>
      <c r="AL489" s="13"/>
      <c r="AM489" s="9"/>
      <c r="AN489" s="9"/>
      <c r="AO489" s="9"/>
      <c r="AP489" s="14"/>
    </row>
    <row r="490" spans="1:42" s="45" customFormat="1" ht="22" customHeight="1">
      <c r="A490" s="14" t="s">
        <v>17</v>
      </c>
      <c r="B490" s="8">
        <v>2024</v>
      </c>
      <c r="C490" s="8" t="s">
        <v>8</v>
      </c>
      <c r="D490" s="9" t="s">
        <v>185</v>
      </c>
      <c r="E490" s="9" t="s">
        <v>10</v>
      </c>
      <c r="F490" s="9" t="s">
        <v>186</v>
      </c>
      <c r="G490" s="8"/>
      <c r="H490" s="8"/>
      <c r="I490" s="9" t="s">
        <v>116</v>
      </c>
      <c r="J490" s="9" t="s">
        <v>116</v>
      </c>
      <c r="K490" s="9" t="s">
        <v>269</v>
      </c>
      <c r="L490" s="9" t="s">
        <v>270</v>
      </c>
      <c r="M490" s="14" t="s">
        <v>84</v>
      </c>
      <c r="N490" s="9" t="s">
        <v>271</v>
      </c>
      <c r="O490" s="9" t="s">
        <v>296</v>
      </c>
      <c r="P490" s="149" t="s">
        <v>317</v>
      </c>
      <c r="Q490" s="11"/>
      <c r="R490" s="11"/>
      <c r="S490" s="11"/>
      <c r="T490" s="9"/>
      <c r="U490" s="14" t="s">
        <v>77</v>
      </c>
      <c r="V490" s="9"/>
      <c r="W490" s="12">
        <v>30</v>
      </c>
      <c r="X490" s="13"/>
      <c r="Y490" s="13"/>
      <c r="Z490" s="13"/>
      <c r="AA490" s="13"/>
      <c r="AB490" s="13"/>
      <c r="AC490" s="13">
        <f t="shared" si="86"/>
        <v>0</v>
      </c>
      <c r="AD490" s="13"/>
      <c r="AE490" s="13"/>
      <c r="AF490" s="13">
        <f t="shared" si="87"/>
        <v>0</v>
      </c>
      <c r="AG490" s="13"/>
      <c r="AH490" s="13"/>
      <c r="AI490" s="13"/>
      <c r="AJ490" s="13">
        <f t="shared" si="83"/>
        <v>0</v>
      </c>
      <c r="AK490" s="9"/>
      <c r="AL490" s="13"/>
      <c r="AM490" s="9"/>
      <c r="AN490" s="9"/>
      <c r="AO490" s="9"/>
      <c r="AP490" s="14"/>
    </row>
    <row r="491" spans="1:42" s="45" customFormat="1" ht="22" customHeight="1">
      <c r="A491" s="14" t="s">
        <v>17</v>
      </c>
      <c r="B491" s="8">
        <v>2024</v>
      </c>
      <c r="C491" s="8" t="s">
        <v>8</v>
      </c>
      <c r="D491" s="9" t="s">
        <v>185</v>
      </c>
      <c r="E491" s="9" t="s">
        <v>10</v>
      </c>
      <c r="F491" s="9" t="s">
        <v>186</v>
      </c>
      <c r="G491" s="8"/>
      <c r="H491" s="8"/>
      <c r="I491" s="9" t="s">
        <v>116</v>
      </c>
      <c r="J491" s="9" t="s">
        <v>116</v>
      </c>
      <c r="K491" s="9" t="s">
        <v>269</v>
      </c>
      <c r="L491" s="9" t="s">
        <v>270</v>
      </c>
      <c r="M491" s="14" t="s">
        <v>84</v>
      </c>
      <c r="N491" s="9" t="s">
        <v>271</v>
      </c>
      <c r="O491" s="9" t="s">
        <v>318</v>
      </c>
      <c r="P491" s="149" t="s">
        <v>319</v>
      </c>
      <c r="Q491" s="11"/>
      <c r="R491" s="11"/>
      <c r="S491" s="11"/>
      <c r="T491" s="9"/>
      <c r="U491" s="14" t="s">
        <v>77</v>
      </c>
      <c r="V491" s="9"/>
      <c r="W491" s="12">
        <v>30</v>
      </c>
      <c r="X491" s="13"/>
      <c r="Y491" s="13"/>
      <c r="Z491" s="13"/>
      <c r="AA491" s="13"/>
      <c r="AB491" s="13"/>
      <c r="AC491" s="13">
        <f t="shared" si="86"/>
        <v>0</v>
      </c>
      <c r="AD491" s="13"/>
      <c r="AE491" s="13"/>
      <c r="AF491" s="13">
        <f t="shared" si="87"/>
        <v>0</v>
      </c>
      <c r="AG491" s="13"/>
      <c r="AH491" s="13"/>
      <c r="AI491" s="13"/>
      <c r="AJ491" s="13">
        <f t="shared" si="83"/>
        <v>0</v>
      </c>
      <c r="AK491" s="9"/>
      <c r="AL491" s="13"/>
      <c r="AM491" s="9"/>
      <c r="AN491" s="9"/>
      <c r="AO491" s="9"/>
      <c r="AP491" s="14"/>
    </row>
    <row r="492" spans="1:42" s="45" customFormat="1" ht="22" customHeight="1">
      <c r="A492" s="14" t="s">
        <v>17</v>
      </c>
      <c r="B492" s="8">
        <v>2024</v>
      </c>
      <c r="C492" s="8" t="s">
        <v>8</v>
      </c>
      <c r="D492" s="9" t="s">
        <v>185</v>
      </c>
      <c r="E492" s="9" t="s">
        <v>10</v>
      </c>
      <c r="F492" s="9" t="s">
        <v>186</v>
      </c>
      <c r="G492" s="8"/>
      <c r="H492" s="8"/>
      <c r="I492" s="9" t="s">
        <v>116</v>
      </c>
      <c r="J492" s="9" t="s">
        <v>116</v>
      </c>
      <c r="K492" s="9" t="s">
        <v>269</v>
      </c>
      <c r="L492" s="9" t="s">
        <v>270</v>
      </c>
      <c r="M492" s="14" t="s">
        <v>84</v>
      </c>
      <c r="N492" s="9" t="s">
        <v>271</v>
      </c>
      <c r="O492" s="9" t="s">
        <v>318</v>
      </c>
      <c r="P492" s="149" t="s">
        <v>320</v>
      </c>
      <c r="Q492" s="11"/>
      <c r="R492" s="11"/>
      <c r="S492" s="11"/>
      <c r="T492" s="9"/>
      <c r="U492" s="14" t="s">
        <v>77</v>
      </c>
      <c r="V492" s="9"/>
      <c r="W492" s="12">
        <v>30</v>
      </c>
      <c r="X492" s="13"/>
      <c r="Y492" s="13"/>
      <c r="Z492" s="13"/>
      <c r="AA492" s="13"/>
      <c r="AB492" s="13"/>
      <c r="AC492" s="13">
        <f t="shared" si="86"/>
        <v>0</v>
      </c>
      <c r="AD492" s="13"/>
      <c r="AE492" s="13"/>
      <c r="AF492" s="13">
        <f t="shared" si="87"/>
        <v>0</v>
      </c>
      <c r="AG492" s="13"/>
      <c r="AH492" s="13"/>
      <c r="AI492" s="13"/>
      <c r="AJ492" s="13">
        <f t="shared" si="83"/>
        <v>0</v>
      </c>
      <c r="AK492" s="9"/>
      <c r="AL492" s="13"/>
      <c r="AM492" s="9"/>
      <c r="AN492" s="9"/>
      <c r="AO492" s="9"/>
      <c r="AP492" s="14"/>
    </row>
    <row r="493" spans="1:42" s="45" customFormat="1" ht="22" customHeight="1">
      <c r="A493" s="14" t="s">
        <v>17</v>
      </c>
      <c r="B493" s="8">
        <v>2024</v>
      </c>
      <c r="C493" s="8" t="s">
        <v>8</v>
      </c>
      <c r="D493" s="9" t="s">
        <v>185</v>
      </c>
      <c r="E493" s="9" t="s">
        <v>10</v>
      </c>
      <c r="F493" s="9" t="s">
        <v>186</v>
      </c>
      <c r="G493" s="8"/>
      <c r="H493" s="8"/>
      <c r="I493" s="9" t="s">
        <v>116</v>
      </c>
      <c r="J493" s="9" t="s">
        <v>116</v>
      </c>
      <c r="K493" s="9" t="s">
        <v>269</v>
      </c>
      <c r="L493" s="9" t="s">
        <v>270</v>
      </c>
      <c r="M493" s="14" t="s">
        <v>84</v>
      </c>
      <c r="N493" s="9" t="s">
        <v>271</v>
      </c>
      <c r="O493" s="9" t="s">
        <v>318</v>
      </c>
      <c r="P493" s="149" t="s">
        <v>321</v>
      </c>
      <c r="Q493" s="11"/>
      <c r="R493" s="11"/>
      <c r="S493" s="11"/>
      <c r="T493" s="9"/>
      <c r="U493" s="14" t="s">
        <v>77</v>
      </c>
      <c r="V493" s="9"/>
      <c r="W493" s="12">
        <v>30</v>
      </c>
      <c r="X493" s="13"/>
      <c r="Y493" s="13"/>
      <c r="Z493" s="13"/>
      <c r="AA493" s="13"/>
      <c r="AB493" s="13"/>
      <c r="AC493" s="13">
        <f t="shared" si="86"/>
        <v>0</v>
      </c>
      <c r="AD493" s="13"/>
      <c r="AE493" s="13"/>
      <c r="AF493" s="13">
        <f t="shared" si="87"/>
        <v>0</v>
      </c>
      <c r="AG493" s="13"/>
      <c r="AH493" s="13"/>
      <c r="AI493" s="13"/>
      <c r="AJ493" s="13">
        <f t="shared" si="83"/>
        <v>0</v>
      </c>
      <c r="AK493" s="9"/>
      <c r="AL493" s="13"/>
      <c r="AM493" s="9"/>
      <c r="AN493" s="9"/>
      <c r="AO493" s="9"/>
      <c r="AP493" s="14"/>
    </row>
    <row r="494" spans="1:42" s="45" customFormat="1" ht="22" customHeight="1">
      <c r="A494" s="14" t="s">
        <v>17</v>
      </c>
      <c r="B494" s="8">
        <v>2024</v>
      </c>
      <c r="C494" s="8" t="s">
        <v>8</v>
      </c>
      <c r="D494" s="9" t="s">
        <v>185</v>
      </c>
      <c r="E494" s="9" t="s">
        <v>10</v>
      </c>
      <c r="F494" s="9" t="s">
        <v>186</v>
      </c>
      <c r="G494" s="8"/>
      <c r="H494" s="8"/>
      <c r="I494" s="9" t="s">
        <v>116</v>
      </c>
      <c r="J494" s="9" t="s">
        <v>116</v>
      </c>
      <c r="K494" s="9" t="s">
        <v>269</v>
      </c>
      <c r="L494" s="9" t="s">
        <v>270</v>
      </c>
      <c r="M494" s="14" t="s">
        <v>84</v>
      </c>
      <c r="N494" s="9" t="s">
        <v>271</v>
      </c>
      <c r="O494" s="9" t="s">
        <v>318</v>
      </c>
      <c r="P494" s="149" t="s">
        <v>322</v>
      </c>
      <c r="Q494" s="11"/>
      <c r="R494" s="11"/>
      <c r="S494" s="11"/>
      <c r="T494" s="9"/>
      <c r="U494" s="14" t="s">
        <v>77</v>
      </c>
      <c r="V494" s="9"/>
      <c r="W494" s="12">
        <v>30</v>
      </c>
      <c r="X494" s="13"/>
      <c r="Y494" s="13"/>
      <c r="Z494" s="13"/>
      <c r="AA494" s="13"/>
      <c r="AB494" s="13"/>
      <c r="AC494" s="13">
        <f t="shared" si="86"/>
        <v>0</v>
      </c>
      <c r="AD494" s="13"/>
      <c r="AE494" s="13"/>
      <c r="AF494" s="13">
        <f t="shared" si="87"/>
        <v>0</v>
      </c>
      <c r="AG494" s="13"/>
      <c r="AH494" s="13"/>
      <c r="AI494" s="13"/>
      <c r="AJ494" s="13">
        <f t="shared" si="83"/>
        <v>0</v>
      </c>
      <c r="AK494" s="9"/>
      <c r="AL494" s="13"/>
      <c r="AM494" s="9"/>
      <c r="AN494" s="9"/>
      <c r="AO494" s="9"/>
      <c r="AP494" s="14"/>
    </row>
    <row r="495" spans="1:42" s="45" customFormat="1" ht="22" customHeight="1">
      <c r="A495" s="14" t="s">
        <v>17</v>
      </c>
      <c r="B495" s="8">
        <v>2024</v>
      </c>
      <c r="C495" s="8" t="s">
        <v>8</v>
      </c>
      <c r="D495" s="9" t="s">
        <v>185</v>
      </c>
      <c r="E495" s="9" t="s">
        <v>10</v>
      </c>
      <c r="F495" s="9" t="s">
        <v>186</v>
      </c>
      <c r="G495" s="8"/>
      <c r="H495" s="8"/>
      <c r="I495" s="9" t="s">
        <v>116</v>
      </c>
      <c r="J495" s="9" t="s">
        <v>116</v>
      </c>
      <c r="K495" s="9" t="s">
        <v>269</v>
      </c>
      <c r="L495" s="9" t="s">
        <v>270</v>
      </c>
      <c r="M495" s="14" t="s">
        <v>84</v>
      </c>
      <c r="N495" s="9" t="s">
        <v>271</v>
      </c>
      <c r="O495" s="9" t="s">
        <v>318</v>
      </c>
      <c r="P495" s="149" t="s">
        <v>323</v>
      </c>
      <c r="Q495" s="11"/>
      <c r="R495" s="11"/>
      <c r="S495" s="11"/>
      <c r="T495" s="9"/>
      <c r="U495" s="14" t="s">
        <v>77</v>
      </c>
      <c r="V495" s="9"/>
      <c r="W495" s="12">
        <v>30</v>
      </c>
      <c r="X495" s="13"/>
      <c r="Y495" s="13"/>
      <c r="Z495" s="13"/>
      <c r="AA495" s="13"/>
      <c r="AB495" s="13"/>
      <c r="AC495" s="13">
        <f t="shared" si="86"/>
        <v>0</v>
      </c>
      <c r="AD495" s="13"/>
      <c r="AE495" s="13"/>
      <c r="AF495" s="13">
        <f t="shared" si="87"/>
        <v>0</v>
      </c>
      <c r="AG495" s="13"/>
      <c r="AH495" s="13"/>
      <c r="AI495" s="13"/>
      <c r="AJ495" s="13">
        <f t="shared" si="83"/>
        <v>0</v>
      </c>
      <c r="AK495" s="9"/>
      <c r="AL495" s="13"/>
      <c r="AM495" s="9"/>
      <c r="AN495" s="9"/>
      <c r="AO495" s="9"/>
      <c r="AP495" s="14"/>
    </row>
    <row r="496" spans="1:42" s="45" customFormat="1" ht="22" customHeight="1">
      <c r="A496" s="14" t="s">
        <v>17</v>
      </c>
      <c r="B496" s="8">
        <v>2024</v>
      </c>
      <c r="C496" s="8" t="s">
        <v>8</v>
      </c>
      <c r="D496" s="9" t="s">
        <v>185</v>
      </c>
      <c r="E496" s="9" t="s">
        <v>15</v>
      </c>
      <c r="F496" s="9" t="s">
        <v>186</v>
      </c>
      <c r="G496" s="8"/>
      <c r="H496" s="8"/>
      <c r="I496" s="9" t="s">
        <v>116</v>
      </c>
      <c r="J496" s="9" t="s">
        <v>116</v>
      </c>
      <c r="K496" s="9" t="s">
        <v>269</v>
      </c>
      <c r="L496" s="9" t="s">
        <v>270</v>
      </c>
      <c r="M496" s="14" t="s">
        <v>84</v>
      </c>
      <c r="N496" s="9" t="s">
        <v>271</v>
      </c>
      <c r="O496" s="9" t="s">
        <v>296</v>
      </c>
      <c r="P496" s="149" t="s">
        <v>297</v>
      </c>
      <c r="Q496" s="11"/>
      <c r="R496" s="11"/>
      <c r="S496" s="11">
        <f t="shared" ref="S496:S559" si="88">Q496+R496</f>
        <v>0</v>
      </c>
      <c r="T496" s="9"/>
      <c r="U496" s="14" t="s">
        <v>77</v>
      </c>
      <c r="V496" s="9"/>
      <c r="W496" s="12">
        <v>30</v>
      </c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>
        <f t="shared" ref="AH496:AH559" si="89">+S496*W496*50/1000000</f>
        <v>0</v>
      </c>
      <c r="AI496" s="13"/>
      <c r="AJ496" s="13">
        <f t="shared" si="83"/>
        <v>0</v>
      </c>
      <c r="AK496" s="9"/>
      <c r="AL496" s="13"/>
      <c r="AM496" s="9"/>
      <c r="AN496" s="9"/>
      <c r="AO496" s="9"/>
      <c r="AP496" s="14"/>
    </row>
    <row r="497" spans="1:42" s="45" customFormat="1" ht="22" customHeight="1">
      <c r="A497" s="14" t="s">
        <v>17</v>
      </c>
      <c r="B497" s="8">
        <v>2024</v>
      </c>
      <c r="C497" s="8" t="s">
        <v>8</v>
      </c>
      <c r="D497" s="9" t="s">
        <v>185</v>
      </c>
      <c r="E497" s="9" t="s">
        <v>15</v>
      </c>
      <c r="F497" s="9" t="s">
        <v>186</v>
      </c>
      <c r="G497" s="8"/>
      <c r="H497" s="8"/>
      <c r="I497" s="9" t="s">
        <v>116</v>
      </c>
      <c r="J497" s="9" t="s">
        <v>116</v>
      </c>
      <c r="K497" s="9" t="s">
        <v>269</v>
      </c>
      <c r="L497" s="9" t="s">
        <v>270</v>
      </c>
      <c r="M497" s="14" t="s">
        <v>84</v>
      </c>
      <c r="N497" s="9" t="s">
        <v>271</v>
      </c>
      <c r="O497" s="9" t="s">
        <v>296</v>
      </c>
      <c r="P497" s="149" t="s">
        <v>298</v>
      </c>
      <c r="Q497" s="11"/>
      <c r="R497" s="11"/>
      <c r="S497" s="11">
        <f t="shared" si="88"/>
        <v>0</v>
      </c>
      <c r="T497" s="9"/>
      <c r="U497" s="14" t="s">
        <v>77</v>
      </c>
      <c r="V497" s="9"/>
      <c r="W497" s="12">
        <v>30</v>
      </c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>
        <f t="shared" si="89"/>
        <v>0</v>
      </c>
      <c r="AI497" s="13"/>
      <c r="AJ497" s="13">
        <f t="shared" si="83"/>
        <v>0</v>
      </c>
      <c r="AK497" s="9"/>
      <c r="AL497" s="13"/>
      <c r="AM497" s="9"/>
      <c r="AN497" s="9"/>
      <c r="AO497" s="9"/>
      <c r="AP497" s="14"/>
    </row>
    <row r="498" spans="1:42" s="45" customFormat="1" ht="22" customHeight="1">
      <c r="A498" s="14" t="s">
        <v>17</v>
      </c>
      <c r="B498" s="8">
        <v>2024</v>
      </c>
      <c r="C498" s="8" t="s">
        <v>8</v>
      </c>
      <c r="D498" s="9" t="s">
        <v>185</v>
      </c>
      <c r="E498" s="9" t="s">
        <v>15</v>
      </c>
      <c r="F498" s="9" t="s">
        <v>186</v>
      </c>
      <c r="G498" s="8"/>
      <c r="H498" s="8"/>
      <c r="I498" s="9" t="s">
        <v>116</v>
      </c>
      <c r="J498" s="9" t="s">
        <v>116</v>
      </c>
      <c r="K498" s="9" t="s">
        <v>269</v>
      </c>
      <c r="L498" s="9" t="s">
        <v>270</v>
      </c>
      <c r="M498" s="14" t="s">
        <v>84</v>
      </c>
      <c r="N498" s="9" t="s">
        <v>271</v>
      </c>
      <c r="O498" s="9" t="s">
        <v>296</v>
      </c>
      <c r="P498" s="149" t="s">
        <v>299</v>
      </c>
      <c r="Q498" s="11"/>
      <c r="R498" s="11"/>
      <c r="S498" s="11">
        <f t="shared" si="88"/>
        <v>0</v>
      </c>
      <c r="T498" s="9"/>
      <c r="U498" s="14" t="s">
        <v>77</v>
      </c>
      <c r="V498" s="9"/>
      <c r="W498" s="12">
        <v>30</v>
      </c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>
        <f t="shared" si="89"/>
        <v>0</v>
      </c>
      <c r="AI498" s="13"/>
      <c r="AJ498" s="13">
        <f t="shared" si="83"/>
        <v>0</v>
      </c>
      <c r="AK498" s="9"/>
      <c r="AL498" s="13"/>
      <c r="AM498" s="9"/>
      <c r="AN498" s="9"/>
      <c r="AO498" s="9"/>
      <c r="AP498" s="14"/>
    </row>
    <row r="499" spans="1:42" s="45" customFormat="1" ht="22" customHeight="1">
      <c r="A499" s="14" t="s">
        <v>17</v>
      </c>
      <c r="B499" s="8">
        <v>2024</v>
      </c>
      <c r="C499" s="8" t="s">
        <v>8</v>
      </c>
      <c r="D499" s="9" t="s">
        <v>185</v>
      </c>
      <c r="E499" s="9" t="s">
        <v>15</v>
      </c>
      <c r="F499" s="9" t="s">
        <v>186</v>
      </c>
      <c r="G499" s="8"/>
      <c r="H499" s="8"/>
      <c r="I499" s="9" t="s">
        <v>116</v>
      </c>
      <c r="J499" s="9" t="s">
        <v>116</v>
      </c>
      <c r="K499" s="9" t="s">
        <v>269</v>
      </c>
      <c r="L499" s="9" t="s">
        <v>270</v>
      </c>
      <c r="M499" s="14" t="s">
        <v>84</v>
      </c>
      <c r="N499" s="9" t="s">
        <v>271</v>
      </c>
      <c r="O499" s="9" t="s">
        <v>296</v>
      </c>
      <c r="P499" s="149" t="s">
        <v>300</v>
      </c>
      <c r="Q499" s="11"/>
      <c r="R499" s="11"/>
      <c r="S499" s="11">
        <f t="shared" si="88"/>
        <v>0</v>
      </c>
      <c r="T499" s="9"/>
      <c r="U499" s="14" t="s">
        <v>77</v>
      </c>
      <c r="V499" s="9"/>
      <c r="W499" s="12">
        <v>30</v>
      </c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>
        <f t="shared" si="89"/>
        <v>0</v>
      </c>
      <c r="AI499" s="13"/>
      <c r="AJ499" s="13">
        <f t="shared" si="83"/>
        <v>0</v>
      </c>
      <c r="AK499" s="9"/>
      <c r="AL499" s="13"/>
      <c r="AM499" s="9"/>
      <c r="AN499" s="9"/>
      <c r="AO499" s="9"/>
      <c r="AP499" s="14"/>
    </row>
    <row r="500" spans="1:42" s="45" customFormat="1" ht="22" customHeight="1">
      <c r="A500" s="14" t="s">
        <v>17</v>
      </c>
      <c r="B500" s="8">
        <v>2024</v>
      </c>
      <c r="C500" s="8" t="s">
        <v>8</v>
      </c>
      <c r="D500" s="9" t="s">
        <v>185</v>
      </c>
      <c r="E500" s="9" t="s">
        <v>15</v>
      </c>
      <c r="F500" s="9" t="s">
        <v>186</v>
      </c>
      <c r="G500" s="8"/>
      <c r="H500" s="8"/>
      <c r="I500" s="9" t="s">
        <v>116</v>
      </c>
      <c r="J500" s="9" t="s">
        <v>116</v>
      </c>
      <c r="K500" s="9" t="s">
        <v>269</v>
      </c>
      <c r="L500" s="9" t="s">
        <v>270</v>
      </c>
      <c r="M500" s="14" t="s">
        <v>84</v>
      </c>
      <c r="N500" s="9" t="s">
        <v>271</v>
      </c>
      <c r="O500" s="9" t="s">
        <v>296</v>
      </c>
      <c r="P500" s="149" t="s">
        <v>301</v>
      </c>
      <c r="Q500" s="11"/>
      <c r="R500" s="11"/>
      <c r="S500" s="11">
        <f t="shared" si="88"/>
        <v>0</v>
      </c>
      <c r="T500" s="9"/>
      <c r="U500" s="14" t="s">
        <v>77</v>
      </c>
      <c r="V500" s="9"/>
      <c r="W500" s="12">
        <v>30</v>
      </c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>
        <f t="shared" si="89"/>
        <v>0</v>
      </c>
      <c r="AI500" s="13"/>
      <c r="AJ500" s="13">
        <f t="shared" si="83"/>
        <v>0</v>
      </c>
      <c r="AK500" s="9"/>
      <c r="AL500" s="13"/>
      <c r="AM500" s="9"/>
      <c r="AN500" s="9"/>
      <c r="AO500" s="9"/>
      <c r="AP500" s="14"/>
    </row>
    <row r="501" spans="1:42" s="45" customFormat="1" ht="22" customHeight="1">
      <c r="A501" s="14" t="s">
        <v>17</v>
      </c>
      <c r="B501" s="8">
        <v>2024</v>
      </c>
      <c r="C501" s="8" t="s">
        <v>8</v>
      </c>
      <c r="D501" s="9" t="s">
        <v>185</v>
      </c>
      <c r="E501" s="9" t="s">
        <v>15</v>
      </c>
      <c r="F501" s="9" t="s">
        <v>186</v>
      </c>
      <c r="G501" s="8"/>
      <c r="H501" s="8"/>
      <c r="I501" s="9" t="s">
        <v>116</v>
      </c>
      <c r="J501" s="9" t="s">
        <v>116</v>
      </c>
      <c r="K501" s="9" t="s">
        <v>269</v>
      </c>
      <c r="L501" s="9" t="s">
        <v>270</v>
      </c>
      <c r="M501" s="14" t="s">
        <v>84</v>
      </c>
      <c r="N501" s="9" t="s">
        <v>271</v>
      </c>
      <c r="O501" s="9" t="s">
        <v>296</v>
      </c>
      <c r="P501" s="149" t="s">
        <v>302</v>
      </c>
      <c r="Q501" s="11"/>
      <c r="R501" s="11"/>
      <c r="S501" s="11">
        <f t="shared" si="88"/>
        <v>0</v>
      </c>
      <c r="T501" s="9"/>
      <c r="U501" s="14" t="s">
        <v>77</v>
      </c>
      <c r="V501" s="9"/>
      <c r="W501" s="12">
        <v>30</v>
      </c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>
        <f t="shared" si="89"/>
        <v>0</v>
      </c>
      <c r="AI501" s="13"/>
      <c r="AJ501" s="13">
        <f t="shared" si="83"/>
        <v>0</v>
      </c>
      <c r="AK501" s="9"/>
      <c r="AL501" s="13"/>
      <c r="AM501" s="9"/>
      <c r="AN501" s="9"/>
      <c r="AO501" s="9"/>
      <c r="AP501" s="14"/>
    </row>
    <row r="502" spans="1:42" s="45" customFormat="1" ht="22" customHeight="1">
      <c r="A502" s="14" t="s">
        <v>17</v>
      </c>
      <c r="B502" s="8">
        <v>2024</v>
      </c>
      <c r="C502" s="8" t="s">
        <v>8</v>
      </c>
      <c r="D502" s="9" t="s">
        <v>185</v>
      </c>
      <c r="E502" s="9" t="s">
        <v>15</v>
      </c>
      <c r="F502" s="9" t="s">
        <v>186</v>
      </c>
      <c r="G502" s="8"/>
      <c r="H502" s="8"/>
      <c r="I502" s="9" t="s">
        <v>116</v>
      </c>
      <c r="J502" s="9" t="s">
        <v>116</v>
      </c>
      <c r="K502" s="9" t="s">
        <v>269</v>
      </c>
      <c r="L502" s="9" t="s">
        <v>270</v>
      </c>
      <c r="M502" s="14" t="s">
        <v>84</v>
      </c>
      <c r="N502" s="9" t="s">
        <v>271</v>
      </c>
      <c r="O502" s="9" t="s">
        <v>296</v>
      </c>
      <c r="P502" s="149" t="s">
        <v>303</v>
      </c>
      <c r="Q502" s="11"/>
      <c r="R502" s="11"/>
      <c r="S502" s="11">
        <f t="shared" si="88"/>
        <v>0</v>
      </c>
      <c r="T502" s="9"/>
      <c r="U502" s="14" t="s">
        <v>77</v>
      </c>
      <c r="V502" s="9"/>
      <c r="W502" s="12">
        <v>30</v>
      </c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>
        <f t="shared" si="89"/>
        <v>0</v>
      </c>
      <c r="AI502" s="13"/>
      <c r="AJ502" s="13">
        <f t="shared" si="83"/>
        <v>0</v>
      </c>
      <c r="AK502" s="9"/>
      <c r="AL502" s="13"/>
      <c r="AM502" s="9"/>
      <c r="AN502" s="9"/>
      <c r="AO502" s="9"/>
      <c r="AP502" s="14"/>
    </row>
    <row r="503" spans="1:42" s="45" customFormat="1" ht="22" customHeight="1">
      <c r="A503" s="14" t="s">
        <v>17</v>
      </c>
      <c r="B503" s="8">
        <v>2024</v>
      </c>
      <c r="C503" s="8" t="s">
        <v>8</v>
      </c>
      <c r="D503" s="9" t="s">
        <v>185</v>
      </c>
      <c r="E503" s="9" t="s">
        <v>15</v>
      </c>
      <c r="F503" s="9" t="s">
        <v>186</v>
      </c>
      <c r="G503" s="8"/>
      <c r="H503" s="8"/>
      <c r="I503" s="9" t="s">
        <v>116</v>
      </c>
      <c r="J503" s="9" t="s">
        <v>116</v>
      </c>
      <c r="K503" s="9" t="s">
        <v>269</v>
      </c>
      <c r="L503" s="9" t="s">
        <v>270</v>
      </c>
      <c r="M503" s="14" t="s">
        <v>84</v>
      </c>
      <c r="N503" s="9" t="s">
        <v>271</v>
      </c>
      <c r="O503" s="9" t="s">
        <v>296</v>
      </c>
      <c r="P503" s="149" t="s">
        <v>304</v>
      </c>
      <c r="Q503" s="11"/>
      <c r="R503" s="11"/>
      <c r="S503" s="11">
        <f t="shared" si="88"/>
        <v>0</v>
      </c>
      <c r="T503" s="9"/>
      <c r="U503" s="14" t="s">
        <v>77</v>
      </c>
      <c r="V503" s="9"/>
      <c r="W503" s="12">
        <v>30</v>
      </c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>
        <f t="shared" si="89"/>
        <v>0</v>
      </c>
      <c r="AI503" s="13"/>
      <c r="AJ503" s="13">
        <f t="shared" si="83"/>
        <v>0</v>
      </c>
      <c r="AK503" s="9"/>
      <c r="AL503" s="13"/>
      <c r="AM503" s="9"/>
      <c r="AN503" s="9"/>
      <c r="AO503" s="9"/>
      <c r="AP503" s="14"/>
    </row>
    <row r="504" spans="1:42" s="45" customFormat="1" ht="22" customHeight="1">
      <c r="A504" s="14" t="s">
        <v>17</v>
      </c>
      <c r="B504" s="8">
        <v>2024</v>
      </c>
      <c r="C504" s="8" t="s">
        <v>8</v>
      </c>
      <c r="D504" s="9" t="s">
        <v>185</v>
      </c>
      <c r="E504" s="9" t="s">
        <v>15</v>
      </c>
      <c r="F504" s="9" t="s">
        <v>186</v>
      </c>
      <c r="G504" s="8"/>
      <c r="H504" s="8"/>
      <c r="I504" s="9" t="s">
        <v>116</v>
      </c>
      <c r="J504" s="9" t="s">
        <v>116</v>
      </c>
      <c r="K504" s="9" t="s">
        <v>269</v>
      </c>
      <c r="L504" s="9" t="s">
        <v>270</v>
      </c>
      <c r="M504" s="14" t="s">
        <v>84</v>
      </c>
      <c r="N504" s="9" t="s">
        <v>271</v>
      </c>
      <c r="O504" s="9" t="s">
        <v>296</v>
      </c>
      <c r="P504" s="149" t="s">
        <v>305</v>
      </c>
      <c r="Q504" s="11"/>
      <c r="R504" s="11"/>
      <c r="S504" s="11">
        <f t="shared" si="88"/>
        <v>0</v>
      </c>
      <c r="T504" s="9"/>
      <c r="U504" s="14" t="s">
        <v>77</v>
      </c>
      <c r="V504" s="9"/>
      <c r="W504" s="12">
        <v>30</v>
      </c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>
        <f t="shared" si="89"/>
        <v>0</v>
      </c>
      <c r="AI504" s="13"/>
      <c r="AJ504" s="13">
        <f t="shared" si="83"/>
        <v>0</v>
      </c>
      <c r="AK504" s="9"/>
      <c r="AL504" s="13"/>
      <c r="AM504" s="9"/>
      <c r="AN504" s="9"/>
      <c r="AO504" s="9"/>
      <c r="AP504" s="14"/>
    </row>
    <row r="505" spans="1:42" s="45" customFormat="1" ht="22" customHeight="1">
      <c r="A505" s="14" t="s">
        <v>17</v>
      </c>
      <c r="B505" s="8">
        <v>2024</v>
      </c>
      <c r="C505" s="8" t="s">
        <v>8</v>
      </c>
      <c r="D505" s="9" t="s">
        <v>185</v>
      </c>
      <c r="E505" s="9" t="s">
        <v>15</v>
      </c>
      <c r="F505" s="9" t="s">
        <v>186</v>
      </c>
      <c r="G505" s="8"/>
      <c r="H505" s="8"/>
      <c r="I505" s="9" t="s">
        <v>116</v>
      </c>
      <c r="J505" s="9" t="s">
        <v>116</v>
      </c>
      <c r="K505" s="9" t="s">
        <v>269</v>
      </c>
      <c r="L505" s="9" t="s">
        <v>270</v>
      </c>
      <c r="M505" s="14" t="s">
        <v>84</v>
      </c>
      <c r="N505" s="9" t="s">
        <v>271</v>
      </c>
      <c r="O505" s="9" t="s">
        <v>296</v>
      </c>
      <c r="P505" s="149" t="s">
        <v>306</v>
      </c>
      <c r="Q505" s="11"/>
      <c r="R505" s="11"/>
      <c r="S505" s="11">
        <f t="shared" si="88"/>
        <v>0</v>
      </c>
      <c r="T505" s="9"/>
      <c r="U505" s="14" t="s">
        <v>77</v>
      </c>
      <c r="V505" s="9"/>
      <c r="W505" s="12">
        <v>30</v>
      </c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>
        <f t="shared" si="89"/>
        <v>0</v>
      </c>
      <c r="AI505" s="13"/>
      <c r="AJ505" s="13">
        <f t="shared" si="83"/>
        <v>0</v>
      </c>
      <c r="AK505" s="9"/>
      <c r="AL505" s="13"/>
      <c r="AM505" s="9"/>
      <c r="AN505" s="9"/>
      <c r="AO505" s="9"/>
      <c r="AP505" s="14"/>
    </row>
    <row r="506" spans="1:42" s="45" customFormat="1" ht="22" customHeight="1">
      <c r="A506" s="14" t="s">
        <v>17</v>
      </c>
      <c r="B506" s="8">
        <v>2024</v>
      </c>
      <c r="C506" s="8" t="s">
        <v>8</v>
      </c>
      <c r="D506" s="9" t="s">
        <v>185</v>
      </c>
      <c r="E506" s="9" t="s">
        <v>15</v>
      </c>
      <c r="F506" s="9" t="s">
        <v>186</v>
      </c>
      <c r="G506" s="8"/>
      <c r="H506" s="8"/>
      <c r="I506" s="9" t="s">
        <v>116</v>
      </c>
      <c r="J506" s="9" t="s">
        <v>116</v>
      </c>
      <c r="K506" s="9" t="s">
        <v>269</v>
      </c>
      <c r="L506" s="9" t="s">
        <v>270</v>
      </c>
      <c r="M506" s="14" t="s">
        <v>84</v>
      </c>
      <c r="N506" s="9" t="s">
        <v>271</v>
      </c>
      <c r="O506" s="9" t="s">
        <v>296</v>
      </c>
      <c r="P506" s="149" t="s">
        <v>307</v>
      </c>
      <c r="Q506" s="11"/>
      <c r="R506" s="11"/>
      <c r="S506" s="11">
        <f t="shared" si="88"/>
        <v>0</v>
      </c>
      <c r="T506" s="9"/>
      <c r="U506" s="14" t="s">
        <v>77</v>
      </c>
      <c r="V506" s="9"/>
      <c r="W506" s="12">
        <v>30</v>
      </c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>
        <f t="shared" si="89"/>
        <v>0</v>
      </c>
      <c r="AI506" s="13"/>
      <c r="AJ506" s="13">
        <f t="shared" si="83"/>
        <v>0</v>
      </c>
      <c r="AK506" s="9"/>
      <c r="AL506" s="13"/>
      <c r="AM506" s="9"/>
      <c r="AN506" s="9"/>
      <c r="AO506" s="9"/>
      <c r="AP506" s="14"/>
    </row>
    <row r="507" spans="1:42" s="45" customFormat="1" ht="22" customHeight="1">
      <c r="A507" s="14" t="s">
        <v>17</v>
      </c>
      <c r="B507" s="8">
        <v>2024</v>
      </c>
      <c r="C507" s="8" t="s">
        <v>8</v>
      </c>
      <c r="D507" s="9" t="s">
        <v>185</v>
      </c>
      <c r="E507" s="9" t="s">
        <v>15</v>
      </c>
      <c r="F507" s="9" t="s">
        <v>186</v>
      </c>
      <c r="G507" s="8"/>
      <c r="H507" s="8"/>
      <c r="I507" s="9" t="s">
        <v>116</v>
      </c>
      <c r="J507" s="9" t="s">
        <v>116</v>
      </c>
      <c r="K507" s="9" t="s">
        <v>269</v>
      </c>
      <c r="L507" s="9" t="s">
        <v>270</v>
      </c>
      <c r="M507" s="14" t="s">
        <v>84</v>
      </c>
      <c r="N507" s="9" t="s">
        <v>271</v>
      </c>
      <c r="O507" s="9" t="s">
        <v>296</v>
      </c>
      <c r="P507" s="149" t="s">
        <v>308</v>
      </c>
      <c r="Q507" s="11"/>
      <c r="R507" s="11"/>
      <c r="S507" s="11">
        <f t="shared" si="88"/>
        <v>0</v>
      </c>
      <c r="T507" s="9"/>
      <c r="U507" s="14" t="s">
        <v>77</v>
      </c>
      <c r="V507" s="9"/>
      <c r="W507" s="12">
        <v>30</v>
      </c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>
        <f t="shared" si="89"/>
        <v>0</v>
      </c>
      <c r="AI507" s="13"/>
      <c r="AJ507" s="13">
        <f t="shared" si="83"/>
        <v>0</v>
      </c>
      <c r="AK507" s="9"/>
      <c r="AL507" s="13"/>
      <c r="AM507" s="9"/>
      <c r="AN507" s="9"/>
      <c r="AO507" s="9"/>
      <c r="AP507" s="14"/>
    </row>
    <row r="508" spans="1:42" s="45" customFormat="1" ht="22" customHeight="1">
      <c r="A508" s="14" t="s">
        <v>17</v>
      </c>
      <c r="B508" s="8">
        <v>2024</v>
      </c>
      <c r="C508" s="8" t="s">
        <v>8</v>
      </c>
      <c r="D508" s="9" t="s">
        <v>185</v>
      </c>
      <c r="E508" s="9" t="s">
        <v>15</v>
      </c>
      <c r="F508" s="9" t="s">
        <v>186</v>
      </c>
      <c r="G508" s="8"/>
      <c r="H508" s="8"/>
      <c r="I508" s="9" t="s">
        <v>116</v>
      </c>
      <c r="J508" s="9" t="s">
        <v>116</v>
      </c>
      <c r="K508" s="9" t="s">
        <v>269</v>
      </c>
      <c r="L508" s="9" t="s">
        <v>270</v>
      </c>
      <c r="M508" s="14" t="s">
        <v>84</v>
      </c>
      <c r="N508" s="9" t="s">
        <v>271</v>
      </c>
      <c r="O508" s="9" t="s">
        <v>296</v>
      </c>
      <c r="P508" s="149" t="s">
        <v>309</v>
      </c>
      <c r="Q508" s="11"/>
      <c r="R508" s="11"/>
      <c r="S508" s="11">
        <f t="shared" si="88"/>
        <v>0</v>
      </c>
      <c r="T508" s="9"/>
      <c r="U508" s="14" t="s">
        <v>77</v>
      </c>
      <c r="V508" s="9"/>
      <c r="W508" s="12">
        <v>30</v>
      </c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>
        <f t="shared" si="89"/>
        <v>0</v>
      </c>
      <c r="AI508" s="13"/>
      <c r="AJ508" s="13">
        <f t="shared" si="83"/>
        <v>0</v>
      </c>
      <c r="AK508" s="9"/>
      <c r="AL508" s="13"/>
      <c r="AM508" s="9"/>
      <c r="AN508" s="9"/>
      <c r="AO508" s="9"/>
      <c r="AP508" s="14"/>
    </row>
    <row r="509" spans="1:42" s="45" customFormat="1" ht="22" customHeight="1">
      <c r="A509" s="14" t="s">
        <v>17</v>
      </c>
      <c r="B509" s="8">
        <v>2024</v>
      </c>
      <c r="C509" s="8" t="s">
        <v>8</v>
      </c>
      <c r="D509" s="9" t="s">
        <v>185</v>
      </c>
      <c r="E509" s="9" t="s">
        <v>15</v>
      </c>
      <c r="F509" s="9" t="s">
        <v>186</v>
      </c>
      <c r="G509" s="8"/>
      <c r="H509" s="8"/>
      <c r="I509" s="9" t="s">
        <v>116</v>
      </c>
      <c r="J509" s="9" t="s">
        <v>116</v>
      </c>
      <c r="K509" s="9" t="s">
        <v>269</v>
      </c>
      <c r="L509" s="9" t="s">
        <v>270</v>
      </c>
      <c r="M509" s="14" t="s">
        <v>84</v>
      </c>
      <c r="N509" s="9" t="s">
        <v>271</v>
      </c>
      <c r="O509" s="9" t="s">
        <v>296</v>
      </c>
      <c r="P509" s="149" t="s">
        <v>310</v>
      </c>
      <c r="Q509" s="11"/>
      <c r="R509" s="11"/>
      <c r="S509" s="11">
        <f t="shared" si="88"/>
        <v>0</v>
      </c>
      <c r="T509" s="9"/>
      <c r="U509" s="14" t="s">
        <v>77</v>
      </c>
      <c r="V509" s="9"/>
      <c r="W509" s="12">
        <v>30</v>
      </c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>
        <f t="shared" si="89"/>
        <v>0</v>
      </c>
      <c r="AI509" s="13"/>
      <c r="AJ509" s="13">
        <f t="shared" si="83"/>
        <v>0</v>
      </c>
      <c r="AK509" s="9"/>
      <c r="AL509" s="13"/>
      <c r="AM509" s="9"/>
      <c r="AN509" s="9"/>
      <c r="AO509" s="9"/>
      <c r="AP509" s="14"/>
    </row>
    <row r="510" spans="1:42" s="45" customFormat="1" ht="22" customHeight="1">
      <c r="A510" s="14" t="s">
        <v>17</v>
      </c>
      <c r="B510" s="8">
        <v>2024</v>
      </c>
      <c r="C510" s="8" t="s">
        <v>8</v>
      </c>
      <c r="D510" s="9" t="s">
        <v>185</v>
      </c>
      <c r="E510" s="9" t="s">
        <v>15</v>
      </c>
      <c r="F510" s="9" t="s">
        <v>186</v>
      </c>
      <c r="G510" s="8"/>
      <c r="H510" s="8"/>
      <c r="I510" s="9" t="s">
        <v>116</v>
      </c>
      <c r="J510" s="9" t="s">
        <v>116</v>
      </c>
      <c r="K510" s="9" t="s">
        <v>269</v>
      </c>
      <c r="L510" s="9" t="s">
        <v>270</v>
      </c>
      <c r="M510" s="14" t="s">
        <v>84</v>
      </c>
      <c r="N510" s="9" t="s">
        <v>271</v>
      </c>
      <c r="O510" s="9" t="s">
        <v>296</v>
      </c>
      <c r="P510" s="149" t="s">
        <v>311</v>
      </c>
      <c r="Q510" s="11"/>
      <c r="R510" s="11"/>
      <c r="S510" s="11">
        <f t="shared" si="88"/>
        <v>0</v>
      </c>
      <c r="T510" s="9"/>
      <c r="U510" s="14" t="s">
        <v>77</v>
      </c>
      <c r="V510" s="9"/>
      <c r="W510" s="12">
        <v>30</v>
      </c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>
        <f t="shared" si="89"/>
        <v>0</v>
      </c>
      <c r="AI510" s="13"/>
      <c r="AJ510" s="13">
        <f t="shared" si="83"/>
        <v>0</v>
      </c>
      <c r="AK510" s="9"/>
      <c r="AL510" s="13"/>
      <c r="AM510" s="9"/>
      <c r="AN510" s="9"/>
      <c r="AO510" s="9"/>
      <c r="AP510" s="14"/>
    </row>
    <row r="511" spans="1:42" s="45" customFormat="1" ht="22" customHeight="1">
      <c r="A511" s="14" t="s">
        <v>17</v>
      </c>
      <c r="B511" s="8">
        <v>2024</v>
      </c>
      <c r="C511" s="8" t="s">
        <v>8</v>
      </c>
      <c r="D511" s="9" t="s">
        <v>185</v>
      </c>
      <c r="E511" s="9" t="s">
        <v>15</v>
      </c>
      <c r="F511" s="9" t="s">
        <v>186</v>
      </c>
      <c r="G511" s="8"/>
      <c r="H511" s="8"/>
      <c r="I511" s="9" t="s">
        <v>116</v>
      </c>
      <c r="J511" s="9" t="s">
        <v>116</v>
      </c>
      <c r="K511" s="9" t="s">
        <v>269</v>
      </c>
      <c r="L511" s="9" t="s">
        <v>270</v>
      </c>
      <c r="M511" s="14" t="s">
        <v>84</v>
      </c>
      <c r="N511" s="9" t="s">
        <v>271</v>
      </c>
      <c r="O511" s="9" t="s">
        <v>296</v>
      </c>
      <c r="P511" s="149" t="s">
        <v>312</v>
      </c>
      <c r="Q511" s="11"/>
      <c r="R511" s="11"/>
      <c r="S511" s="11">
        <f t="shared" si="88"/>
        <v>0</v>
      </c>
      <c r="T511" s="9"/>
      <c r="U511" s="14" t="s">
        <v>77</v>
      </c>
      <c r="V511" s="9"/>
      <c r="W511" s="12">
        <v>30</v>
      </c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>
        <f t="shared" si="89"/>
        <v>0</v>
      </c>
      <c r="AI511" s="13"/>
      <c r="AJ511" s="13">
        <f t="shared" si="83"/>
        <v>0</v>
      </c>
      <c r="AK511" s="9"/>
      <c r="AL511" s="13"/>
      <c r="AM511" s="9"/>
      <c r="AN511" s="9"/>
      <c r="AO511" s="9"/>
      <c r="AP511" s="14"/>
    </row>
    <row r="512" spans="1:42" s="45" customFormat="1" ht="22" customHeight="1">
      <c r="A512" s="14" t="s">
        <v>17</v>
      </c>
      <c r="B512" s="8">
        <v>2024</v>
      </c>
      <c r="C512" s="8" t="s">
        <v>8</v>
      </c>
      <c r="D512" s="9" t="s">
        <v>185</v>
      </c>
      <c r="E512" s="9" t="s">
        <v>15</v>
      </c>
      <c r="F512" s="9" t="s">
        <v>186</v>
      </c>
      <c r="G512" s="8"/>
      <c r="H512" s="8"/>
      <c r="I512" s="9" t="s">
        <v>116</v>
      </c>
      <c r="J512" s="9" t="s">
        <v>116</v>
      </c>
      <c r="K512" s="9" t="s">
        <v>269</v>
      </c>
      <c r="L512" s="9" t="s">
        <v>270</v>
      </c>
      <c r="M512" s="14" t="s">
        <v>84</v>
      </c>
      <c r="N512" s="9" t="s">
        <v>271</v>
      </c>
      <c r="O512" s="9" t="s">
        <v>296</v>
      </c>
      <c r="P512" s="149" t="s">
        <v>313</v>
      </c>
      <c r="Q512" s="11"/>
      <c r="R512" s="11"/>
      <c r="S512" s="11">
        <f t="shared" si="88"/>
        <v>0</v>
      </c>
      <c r="T512" s="9"/>
      <c r="U512" s="14" t="s">
        <v>77</v>
      </c>
      <c r="V512" s="9"/>
      <c r="W512" s="12">
        <v>30</v>
      </c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>
        <f t="shared" si="89"/>
        <v>0</v>
      </c>
      <c r="AI512" s="13"/>
      <c r="AJ512" s="13">
        <f t="shared" ref="AJ512:AJ575" si="90">SUBTOTAL(9,X512:AI512)</f>
        <v>0</v>
      </c>
      <c r="AK512" s="9"/>
      <c r="AL512" s="13"/>
      <c r="AM512" s="9"/>
      <c r="AN512" s="9"/>
      <c r="AO512" s="9"/>
      <c r="AP512" s="14"/>
    </row>
    <row r="513" spans="1:42" s="45" customFormat="1" ht="22" customHeight="1">
      <c r="A513" s="14" t="s">
        <v>17</v>
      </c>
      <c r="B513" s="8">
        <v>2024</v>
      </c>
      <c r="C513" s="8" t="s">
        <v>8</v>
      </c>
      <c r="D513" s="9" t="s">
        <v>185</v>
      </c>
      <c r="E513" s="9" t="s">
        <v>15</v>
      </c>
      <c r="F513" s="9" t="s">
        <v>186</v>
      </c>
      <c r="G513" s="8"/>
      <c r="H513" s="8"/>
      <c r="I513" s="9" t="s">
        <v>116</v>
      </c>
      <c r="J513" s="9" t="s">
        <v>116</v>
      </c>
      <c r="K513" s="9" t="s">
        <v>269</v>
      </c>
      <c r="L513" s="9" t="s">
        <v>270</v>
      </c>
      <c r="M513" s="14" t="s">
        <v>84</v>
      </c>
      <c r="N513" s="9" t="s">
        <v>271</v>
      </c>
      <c r="O513" s="9" t="s">
        <v>296</v>
      </c>
      <c r="P513" s="149" t="s">
        <v>314</v>
      </c>
      <c r="Q513" s="11"/>
      <c r="R513" s="11"/>
      <c r="S513" s="11">
        <f t="shared" si="88"/>
        <v>0</v>
      </c>
      <c r="T513" s="9"/>
      <c r="U513" s="14" t="s">
        <v>77</v>
      </c>
      <c r="V513" s="9"/>
      <c r="W513" s="12">
        <v>30</v>
      </c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>
        <f t="shared" si="89"/>
        <v>0</v>
      </c>
      <c r="AI513" s="13"/>
      <c r="AJ513" s="13">
        <f t="shared" si="90"/>
        <v>0</v>
      </c>
      <c r="AK513" s="9"/>
      <c r="AL513" s="13"/>
      <c r="AM513" s="9"/>
      <c r="AN513" s="9"/>
      <c r="AO513" s="9"/>
      <c r="AP513" s="14"/>
    </row>
    <row r="514" spans="1:42" s="45" customFormat="1" ht="22" customHeight="1">
      <c r="A514" s="14" t="s">
        <v>17</v>
      </c>
      <c r="B514" s="8">
        <v>2024</v>
      </c>
      <c r="C514" s="8" t="s">
        <v>8</v>
      </c>
      <c r="D514" s="9" t="s">
        <v>185</v>
      </c>
      <c r="E514" s="9" t="s">
        <v>15</v>
      </c>
      <c r="F514" s="9" t="s">
        <v>186</v>
      </c>
      <c r="G514" s="8"/>
      <c r="H514" s="8"/>
      <c r="I514" s="9" t="s">
        <v>116</v>
      </c>
      <c r="J514" s="9" t="s">
        <v>116</v>
      </c>
      <c r="K514" s="9" t="s">
        <v>269</v>
      </c>
      <c r="L514" s="9" t="s">
        <v>270</v>
      </c>
      <c r="M514" s="14" t="s">
        <v>84</v>
      </c>
      <c r="N514" s="9" t="s">
        <v>271</v>
      </c>
      <c r="O514" s="9" t="s">
        <v>296</v>
      </c>
      <c r="P514" s="149" t="s">
        <v>315</v>
      </c>
      <c r="Q514" s="11"/>
      <c r="R514" s="11"/>
      <c r="S514" s="11">
        <f t="shared" si="88"/>
        <v>0</v>
      </c>
      <c r="T514" s="9"/>
      <c r="U514" s="14" t="s">
        <v>77</v>
      </c>
      <c r="V514" s="9"/>
      <c r="W514" s="12">
        <v>30</v>
      </c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>
        <f t="shared" si="89"/>
        <v>0</v>
      </c>
      <c r="AI514" s="13"/>
      <c r="AJ514" s="13">
        <f t="shared" si="90"/>
        <v>0</v>
      </c>
      <c r="AK514" s="9"/>
      <c r="AL514" s="13"/>
      <c r="AM514" s="9"/>
      <c r="AN514" s="9"/>
      <c r="AO514" s="9"/>
      <c r="AP514" s="14"/>
    </row>
    <row r="515" spans="1:42" s="45" customFormat="1" ht="22" customHeight="1">
      <c r="A515" s="14" t="s">
        <v>17</v>
      </c>
      <c r="B515" s="8">
        <v>2024</v>
      </c>
      <c r="C515" s="8" t="s">
        <v>8</v>
      </c>
      <c r="D515" s="9" t="s">
        <v>185</v>
      </c>
      <c r="E515" s="9" t="s">
        <v>15</v>
      </c>
      <c r="F515" s="9" t="s">
        <v>186</v>
      </c>
      <c r="G515" s="8"/>
      <c r="H515" s="8"/>
      <c r="I515" s="9" t="s">
        <v>116</v>
      </c>
      <c r="J515" s="9" t="s">
        <v>116</v>
      </c>
      <c r="K515" s="9" t="s">
        <v>269</v>
      </c>
      <c r="L515" s="9" t="s">
        <v>270</v>
      </c>
      <c r="M515" s="14" t="s">
        <v>84</v>
      </c>
      <c r="N515" s="9" t="s">
        <v>271</v>
      </c>
      <c r="O515" s="9" t="s">
        <v>296</v>
      </c>
      <c r="P515" s="149" t="s">
        <v>316</v>
      </c>
      <c r="Q515" s="11"/>
      <c r="R515" s="11"/>
      <c r="S515" s="11">
        <f t="shared" si="88"/>
        <v>0</v>
      </c>
      <c r="T515" s="9"/>
      <c r="U515" s="14" t="s">
        <v>77</v>
      </c>
      <c r="V515" s="9"/>
      <c r="W515" s="12">
        <v>30</v>
      </c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>
        <f t="shared" si="89"/>
        <v>0</v>
      </c>
      <c r="AI515" s="13"/>
      <c r="AJ515" s="13">
        <f t="shared" si="90"/>
        <v>0</v>
      </c>
      <c r="AK515" s="9"/>
      <c r="AL515" s="13"/>
      <c r="AM515" s="9"/>
      <c r="AN515" s="9"/>
      <c r="AO515" s="9"/>
      <c r="AP515" s="14"/>
    </row>
    <row r="516" spans="1:42" s="45" customFormat="1" ht="22" customHeight="1">
      <c r="A516" s="14" t="s">
        <v>17</v>
      </c>
      <c r="B516" s="8">
        <v>2024</v>
      </c>
      <c r="C516" s="8" t="s">
        <v>8</v>
      </c>
      <c r="D516" s="9" t="s">
        <v>185</v>
      </c>
      <c r="E516" s="9" t="s">
        <v>15</v>
      </c>
      <c r="F516" s="9" t="s">
        <v>186</v>
      </c>
      <c r="G516" s="8"/>
      <c r="H516" s="8"/>
      <c r="I516" s="9" t="s">
        <v>116</v>
      </c>
      <c r="J516" s="9" t="s">
        <v>116</v>
      </c>
      <c r="K516" s="9" t="s">
        <v>269</v>
      </c>
      <c r="L516" s="9" t="s">
        <v>270</v>
      </c>
      <c r="M516" s="14" t="s">
        <v>84</v>
      </c>
      <c r="N516" s="9" t="s">
        <v>271</v>
      </c>
      <c r="O516" s="9" t="s">
        <v>296</v>
      </c>
      <c r="P516" s="149" t="s">
        <v>317</v>
      </c>
      <c r="Q516" s="11"/>
      <c r="R516" s="11"/>
      <c r="S516" s="11">
        <f t="shared" si="88"/>
        <v>0</v>
      </c>
      <c r="T516" s="9"/>
      <c r="U516" s="14" t="s">
        <v>77</v>
      </c>
      <c r="V516" s="9"/>
      <c r="W516" s="12">
        <v>30</v>
      </c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>
        <f t="shared" si="89"/>
        <v>0</v>
      </c>
      <c r="AI516" s="13"/>
      <c r="AJ516" s="13">
        <f t="shared" si="90"/>
        <v>0</v>
      </c>
      <c r="AK516" s="9"/>
      <c r="AL516" s="13"/>
      <c r="AM516" s="9"/>
      <c r="AN516" s="9"/>
      <c r="AO516" s="9"/>
      <c r="AP516" s="14"/>
    </row>
    <row r="517" spans="1:42" s="45" customFormat="1" ht="22" customHeight="1">
      <c r="A517" s="14" t="s">
        <v>17</v>
      </c>
      <c r="B517" s="8">
        <v>2024</v>
      </c>
      <c r="C517" s="8" t="s">
        <v>8</v>
      </c>
      <c r="D517" s="9" t="s">
        <v>185</v>
      </c>
      <c r="E517" s="9" t="s">
        <v>15</v>
      </c>
      <c r="F517" s="9" t="s">
        <v>186</v>
      </c>
      <c r="G517" s="8"/>
      <c r="H517" s="8"/>
      <c r="I517" s="9" t="s">
        <v>116</v>
      </c>
      <c r="J517" s="9" t="s">
        <v>116</v>
      </c>
      <c r="K517" s="9" t="s">
        <v>269</v>
      </c>
      <c r="L517" s="9" t="s">
        <v>270</v>
      </c>
      <c r="M517" s="14" t="s">
        <v>84</v>
      </c>
      <c r="N517" s="9" t="s">
        <v>271</v>
      </c>
      <c r="O517" s="9" t="s">
        <v>318</v>
      </c>
      <c r="P517" s="149" t="s">
        <v>319</v>
      </c>
      <c r="Q517" s="11"/>
      <c r="R517" s="11"/>
      <c r="S517" s="11">
        <f t="shared" si="88"/>
        <v>0</v>
      </c>
      <c r="T517" s="9"/>
      <c r="U517" s="14" t="s">
        <v>77</v>
      </c>
      <c r="V517" s="9"/>
      <c r="W517" s="12">
        <v>30</v>
      </c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>
        <f t="shared" si="89"/>
        <v>0</v>
      </c>
      <c r="AI517" s="13"/>
      <c r="AJ517" s="13">
        <f t="shared" si="90"/>
        <v>0</v>
      </c>
      <c r="AK517" s="9"/>
      <c r="AL517" s="13"/>
      <c r="AM517" s="9"/>
      <c r="AN517" s="9"/>
      <c r="AO517" s="9"/>
      <c r="AP517" s="14"/>
    </row>
    <row r="518" spans="1:42" s="45" customFormat="1" ht="22" customHeight="1">
      <c r="A518" s="14" t="s">
        <v>17</v>
      </c>
      <c r="B518" s="8">
        <v>2024</v>
      </c>
      <c r="C518" s="8" t="s">
        <v>8</v>
      </c>
      <c r="D518" s="9" t="s">
        <v>185</v>
      </c>
      <c r="E518" s="9" t="s">
        <v>15</v>
      </c>
      <c r="F518" s="9" t="s">
        <v>186</v>
      </c>
      <c r="G518" s="8"/>
      <c r="H518" s="8"/>
      <c r="I518" s="9" t="s">
        <v>116</v>
      </c>
      <c r="J518" s="9" t="s">
        <v>116</v>
      </c>
      <c r="K518" s="9" t="s">
        <v>269</v>
      </c>
      <c r="L518" s="9" t="s">
        <v>270</v>
      </c>
      <c r="M518" s="14" t="s">
        <v>84</v>
      </c>
      <c r="N518" s="9" t="s">
        <v>271</v>
      </c>
      <c r="O518" s="9" t="s">
        <v>318</v>
      </c>
      <c r="P518" s="149" t="s">
        <v>320</v>
      </c>
      <c r="Q518" s="11"/>
      <c r="R518" s="11"/>
      <c r="S518" s="11">
        <f t="shared" si="88"/>
        <v>0</v>
      </c>
      <c r="T518" s="9"/>
      <c r="U518" s="14" t="s">
        <v>77</v>
      </c>
      <c r="V518" s="9"/>
      <c r="W518" s="12">
        <v>30</v>
      </c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>
        <f t="shared" si="89"/>
        <v>0</v>
      </c>
      <c r="AI518" s="13"/>
      <c r="AJ518" s="13">
        <f t="shared" si="90"/>
        <v>0</v>
      </c>
      <c r="AK518" s="9"/>
      <c r="AL518" s="13"/>
      <c r="AM518" s="9"/>
      <c r="AN518" s="9"/>
      <c r="AO518" s="9"/>
      <c r="AP518" s="14"/>
    </row>
    <row r="519" spans="1:42" s="45" customFormat="1" ht="22" customHeight="1">
      <c r="A519" s="14" t="s">
        <v>17</v>
      </c>
      <c r="B519" s="8">
        <v>2024</v>
      </c>
      <c r="C519" s="8" t="s">
        <v>8</v>
      </c>
      <c r="D519" s="9" t="s">
        <v>185</v>
      </c>
      <c r="E519" s="9" t="s">
        <v>15</v>
      </c>
      <c r="F519" s="9" t="s">
        <v>186</v>
      </c>
      <c r="G519" s="8"/>
      <c r="H519" s="8"/>
      <c r="I519" s="9" t="s">
        <v>116</v>
      </c>
      <c r="J519" s="9" t="s">
        <v>116</v>
      </c>
      <c r="K519" s="9" t="s">
        <v>269</v>
      </c>
      <c r="L519" s="9" t="s">
        <v>270</v>
      </c>
      <c r="M519" s="14" t="s">
        <v>84</v>
      </c>
      <c r="N519" s="9" t="s">
        <v>271</v>
      </c>
      <c r="O519" s="9" t="s">
        <v>318</v>
      </c>
      <c r="P519" s="149" t="s">
        <v>321</v>
      </c>
      <c r="Q519" s="11"/>
      <c r="R519" s="11"/>
      <c r="S519" s="11">
        <f t="shared" si="88"/>
        <v>0</v>
      </c>
      <c r="T519" s="9"/>
      <c r="U519" s="14" t="s">
        <v>77</v>
      </c>
      <c r="V519" s="9"/>
      <c r="W519" s="12">
        <v>30</v>
      </c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>
        <f t="shared" si="89"/>
        <v>0</v>
      </c>
      <c r="AI519" s="13"/>
      <c r="AJ519" s="13">
        <f t="shared" si="90"/>
        <v>0</v>
      </c>
      <c r="AK519" s="9"/>
      <c r="AL519" s="13"/>
      <c r="AM519" s="9"/>
      <c r="AN519" s="9"/>
      <c r="AO519" s="9"/>
      <c r="AP519" s="14"/>
    </row>
    <row r="520" spans="1:42" s="45" customFormat="1" ht="22" customHeight="1">
      <c r="A520" s="14" t="s">
        <v>17</v>
      </c>
      <c r="B520" s="8">
        <v>2024</v>
      </c>
      <c r="C520" s="8" t="s">
        <v>8</v>
      </c>
      <c r="D520" s="9" t="s">
        <v>185</v>
      </c>
      <c r="E520" s="9" t="s">
        <v>15</v>
      </c>
      <c r="F520" s="9" t="s">
        <v>186</v>
      </c>
      <c r="G520" s="8"/>
      <c r="H520" s="8"/>
      <c r="I520" s="9" t="s">
        <v>116</v>
      </c>
      <c r="J520" s="9" t="s">
        <v>116</v>
      </c>
      <c r="K520" s="9" t="s">
        <v>269</v>
      </c>
      <c r="L520" s="9" t="s">
        <v>270</v>
      </c>
      <c r="M520" s="14" t="s">
        <v>84</v>
      </c>
      <c r="N520" s="9" t="s">
        <v>271</v>
      </c>
      <c r="O520" s="9" t="s">
        <v>318</v>
      </c>
      <c r="P520" s="149" t="s">
        <v>322</v>
      </c>
      <c r="Q520" s="11"/>
      <c r="R520" s="11"/>
      <c r="S520" s="11">
        <f t="shared" si="88"/>
        <v>0</v>
      </c>
      <c r="T520" s="9"/>
      <c r="U520" s="14" t="s">
        <v>77</v>
      </c>
      <c r="V520" s="9"/>
      <c r="W520" s="12">
        <v>30</v>
      </c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>
        <f t="shared" si="89"/>
        <v>0</v>
      </c>
      <c r="AI520" s="13"/>
      <c r="AJ520" s="13">
        <f t="shared" si="90"/>
        <v>0</v>
      </c>
      <c r="AK520" s="9"/>
      <c r="AL520" s="13"/>
      <c r="AM520" s="9"/>
      <c r="AN520" s="9"/>
      <c r="AO520" s="9"/>
      <c r="AP520" s="14"/>
    </row>
    <row r="521" spans="1:42" s="45" customFormat="1" ht="22" customHeight="1">
      <c r="A521" s="14" t="s">
        <v>17</v>
      </c>
      <c r="B521" s="8">
        <v>2024</v>
      </c>
      <c r="C521" s="8" t="s">
        <v>8</v>
      </c>
      <c r="D521" s="9" t="s">
        <v>185</v>
      </c>
      <c r="E521" s="9" t="s">
        <v>15</v>
      </c>
      <c r="F521" s="9" t="s">
        <v>186</v>
      </c>
      <c r="G521" s="8"/>
      <c r="H521" s="8"/>
      <c r="I521" s="9" t="s">
        <v>116</v>
      </c>
      <c r="J521" s="9" t="s">
        <v>116</v>
      </c>
      <c r="K521" s="9" t="s">
        <v>269</v>
      </c>
      <c r="L521" s="9" t="s">
        <v>270</v>
      </c>
      <c r="M521" s="14" t="s">
        <v>84</v>
      </c>
      <c r="N521" s="9" t="s">
        <v>271</v>
      </c>
      <c r="O521" s="9" t="s">
        <v>318</v>
      </c>
      <c r="P521" s="149" t="s">
        <v>323</v>
      </c>
      <c r="Q521" s="11"/>
      <c r="R521" s="11"/>
      <c r="S521" s="11">
        <f t="shared" si="88"/>
        <v>0</v>
      </c>
      <c r="T521" s="9"/>
      <c r="U521" s="14" t="s">
        <v>77</v>
      </c>
      <c r="V521" s="9"/>
      <c r="W521" s="12">
        <v>30</v>
      </c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>
        <f t="shared" si="89"/>
        <v>0</v>
      </c>
      <c r="AI521" s="13"/>
      <c r="AJ521" s="13">
        <f t="shared" si="90"/>
        <v>0</v>
      </c>
      <c r="AK521" s="9"/>
      <c r="AL521" s="13"/>
      <c r="AM521" s="9"/>
      <c r="AN521" s="9"/>
      <c r="AO521" s="9"/>
      <c r="AP521" s="14"/>
    </row>
    <row r="522" spans="1:42" s="45" customFormat="1" ht="22" customHeight="1">
      <c r="A522" s="14" t="s">
        <v>17</v>
      </c>
      <c r="B522" s="8">
        <v>2024</v>
      </c>
      <c r="C522" s="8" t="s">
        <v>8</v>
      </c>
      <c r="D522" s="9" t="s">
        <v>185</v>
      </c>
      <c r="E522" s="9" t="s">
        <v>15</v>
      </c>
      <c r="F522" s="9" t="s">
        <v>186</v>
      </c>
      <c r="G522" s="8"/>
      <c r="H522" s="8"/>
      <c r="I522" s="9" t="s">
        <v>28</v>
      </c>
      <c r="J522" s="9" t="s">
        <v>11</v>
      </c>
      <c r="K522" s="9" t="s">
        <v>82</v>
      </c>
      <c r="L522" s="9" t="s">
        <v>166</v>
      </c>
      <c r="M522" s="9" t="s">
        <v>28</v>
      </c>
      <c r="N522" s="9" t="s">
        <v>271</v>
      </c>
      <c r="O522" s="9" t="s">
        <v>324</v>
      </c>
      <c r="P522" s="149" t="s">
        <v>325</v>
      </c>
      <c r="Q522" s="11">
        <v>192</v>
      </c>
      <c r="R522" s="11"/>
      <c r="S522" s="11">
        <f t="shared" si="88"/>
        <v>192</v>
      </c>
      <c r="T522" s="9"/>
      <c r="U522" s="14" t="s">
        <v>77</v>
      </c>
      <c r="V522" s="9"/>
      <c r="W522" s="12">
        <v>30</v>
      </c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>
        <f t="shared" si="89"/>
        <v>0.28799999999999998</v>
      </c>
      <c r="AI522" s="13"/>
      <c r="AJ522" s="13">
        <f t="shared" si="90"/>
        <v>0.28799999999999998</v>
      </c>
      <c r="AK522" s="9"/>
      <c r="AL522" s="13"/>
      <c r="AM522" s="9"/>
      <c r="AN522" s="9"/>
      <c r="AO522" s="9"/>
      <c r="AP522" s="14"/>
    </row>
    <row r="523" spans="1:42" s="45" customFormat="1" ht="22" customHeight="1">
      <c r="A523" s="14" t="s">
        <v>17</v>
      </c>
      <c r="B523" s="8">
        <v>2024</v>
      </c>
      <c r="C523" s="8" t="s">
        <v>8</v>
      </c>
      <c r="D523" s="9" t="s">
        <v>185</v>
      </c>
      <c r="E523" s="9" t="s">
        <v>15</v>
      </c>
      <c r="F523" s="9" t="s">
        <v>186</v>
      </c>
      <c r="G523" s="8"/>
      <c r="H523" s="8"/>
      <c r="I523" s="9" t="s">
        <v>28</v>
      </c>
      <c r="J523" s="9" t="s">
        <v>11</v>
      </c>
      <c r="K523" s="9" t="s">
        <v>82</v>
      </c>
      <c r="L523" s="9" t="s">
        <v>166</v>
      </c>
      <c r="M523" s="9" t="s">
        <v>28</v>
      </c>
      <c r="N523" s="9" t="s">
        <v>271</v>
      </c>
      <c r="O523" s="9" t="s">
        <v>324</v>
      </c>
      <c r="P523" s="149" t="s">
        <v>324</v>
      </c>
      <c r="Q523" s="11">
        <v>168</v>
      </c>
      <c r="R523" s="11"/>
      <c r="S523" s="11">
        <f t="shared" si="88"/>
        <v>168</v>
      </c>
      <c r="T523" s="9"/>
      <c r="U523" s="14" t="s">
        <v>77</v>
      </c>
      <c r="V523" s="9"/>
      <c r="W523" s="12">
        <v>30</v>
      </c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>
        <f t="shared" si="89"/>
        <v>0.252</v>
      </c>
      <c r="AI523" s="13"/>
      <c r="AJ523" s="13">
        <f t="shared" si="90"/>
        <v>0.252</v>
      </c>
      <c r="AK523" s="9"/>
      <c r="AL523" s="13"/>
      <c r="AM523" s="9"/>
      <c r="AN523" s="9"/>
      <c r="AO523" s="9"/>
      <c r="AP523" s="14"/>
    </row>
    <row r="524" spans="1:42" s="45" customFormat="1" ht="22" customHeight="1">
      <c r="A524" s="14" t="s">
        <v>17</v>
      </c>
      <c r="B524" s="8">
        <v>2024</v>
      </c>
      <c r="C524" s="8" t="s">
        <v>8</v>
      </c>
      <c r="D524" s="9" t="s">
        <v>185</v>
      </c>
      <c r="E524" s="9" t="s">
        <v>15</v>
      </c>
      <c r="F524" s="9" t="s">
        <v>186</v>
      </c>
      <c r="G524" s="8"/>
      <c r="H524" s="8"/>
      <c r="I524" s="9" t="s">
        <v>28</v>
      </c>
      <c r="J524" s="9" t="s">
        <v>11</v>
      </c>
      <c r="K524" s="9" t="s">
        <v>82</v>
      </c>
      <c r="L524" s="9" t="s">
        <v>166</v>
      </c>
      <c r="M524" s="9" t="s">
        <v>28</v>
      </c>
      <c r="N524" s="9" t="s">
        <v>271</v>
      </c>
      <c r="O524" s="9" t="s">
        <v>324</v>
      </c>
      <c r="P524" s="149" t="s">
        <v>326</v>
      </c>
      <c r="Q524" s="11">
        <v>186</v>
      </c>
      <c r="R524" s="11"/>
      <c r="S524" s="11">
        <f t="shared" si="88"/>
        <v>186</v>
      </c>
      <c r="T524" s="9"/>
      <c r="U524" s="14" t="s">
        <v>77</v>
      </c>
      <c r="V524" s="9"/>
      <c r="W524" s="12">
        <v>30</v>
      </c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>
        <f t="shared" si="89"/>
        <v>0.27900000000000003</v>
      </c>
      <c r="AI524" s="13"/>
      <c r="AJ524" s="13">
        <f t="shared" si="90"/>
        <v>0.27900000000000003</v>
      </c>
      <c r="AK524" s="9"/>
      <c r="AL524" s="13"/>
      <c r="AM524" s="9"/>
      <c r="AN524" s="9"/>
      <c r="AO524" s="9"/>
      <c r="AP524" s="14"/>
    </row>
    <row r="525" spans="1:42" s="45" customFormat="1" ht="22" customHeight="1">
      <c r="A525" s="14" t="s">
        <v>17</v>
      </c>
      <c r="B525" s="8">
        <v>2024</v>
      </c>
      <c r="C525" s="8" t="s">
        <v>8</v>
      </c>
      <c r="D525" s="9" t="s">
        <v>185</v>
      </c>
      <c r="E525" s="9" t="s">
        <v>15</v>
      </c>
      <c r="F525" s="9" t="s">
        <v>186</v>
      </c>
      <c r="G525" s="8"/>
      <c r="H525" s="8"/>
      <c r="I525" s="9" t="s">
        <v>28</v>
      </c>
      <c r="J525" s="9" t="s">
        <v>11</v>
      </c>
      <c r="K525" s="9" t="s">
        <v>82</v>
      </c>
      <c r="L525" s="9" t="s">
        <v>166</v>
      </c>
      <c r="M525" s="9" t="s">
        <v>28</v>
      </c>
      <c r="N525" s="9" t="s">
        <v>271</v>
      </c>
      <c r="O525" s="9" t="s">
        <v>324</v>
      </c>
      <c r="P525" s="149" t="s">
        <v>327</v>
      </c>
      <c r="Q525" s="11">
        <v>179</v>
      </c>
      <c r="R525" s="11"/>
      <c r="S525" s="11">
        <f t="shared" si="88"/>
        <v>179</v>
      </c>
      <c r="T525" s="9"/>
      <c r="U525" s="14" t="s">
        <v>77</v>
      </c>
      <c r="V525" s="9"/>
      <c r="W525" s="12">
        <v>30</v>
      </c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>
        <f t="shared" si="89"/>
        <v>0.26850000000000002</v>
      </c>
      <c r="AI525" s="13"/>
      <c r="AJ525" s="13">
        <f t="shared" si="90"/>
        <v>0.26850000000000002</v>
      </c>
      <c r="AK525" s="9"/>
      <c r="AL525" s="13"/>
      <c r="AM525" s="9"/>
      <c r="AN525" s="9"/>
      <c r="AO525" s="9"/>
      <c r="AP525" s="14"/>
    </row>
    <row r="526" spans="1:42" s="45" customFormat="1" ht="22" customHeight="1">
      <c r="A526" s="14" t="s">
        <v>17</v>
      </c>
      <c r="B526" s="8">
        <v>2024</v>
      </c>
      <c r="C526" s="8" t="s">
        <v>8</v>
      </c>
      <c r="D526" s="9" t="s">
        <v>185</v>
      </c>
      <c r="E526" s="9" t="s">
        <v>15</v>
      </c>
      <c r="F526" s="9" t="s">
        <v>186</v>
      </c>
      <c r="G526" s="8"/>
      <c r="H526" s="8"/>
      <c r="I526" s="9" t="s">
        <v>28</v>
      </c>
      <c r="J526" s="9" t="s">
        <v>11</v>
      </c>
      <c r="K526" s="9" t="s">
        <v>82</v>
      </c>
      <c r="L526" s="9" t="s">
        <v>166</v>
      </c>
      <c r="M526" s="9" t="s">
        <v>28</v>
      </c>
      <c r="N526" s="9" t="s">
        <v>271</v>
      </c>
      <c r="O526" s="9" t="s">
        <v>324</v>
      </c>
      <c r="P526" s="149" t="s">
        <v>328</v>
      </c>
      <c r="Q526" s="11">
        <v>164</v>
      </c>
      <c r="R526" s="11"/>
      <c r="S526" s="11">
        <f t="shared" si="88"/>
        <v>164</v>
      </c>
      <c r="T526" s="9"/>
      <c r="U526" s="14" t="s">
        <v>77</v>
      </c>
      <c r="V526" s="9"/>
      <c r="W526" s="12">
        <v>30</v>
      </c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>
        <f t="shared" si="89"/>
        <v>0.246</v>
      </c>
      <c r="AI526" s="13"/>
      <c r="AJ526" s="13">
        <f t="shared" si="90"/>
        <v>0.246</v>
      </c>
      <c r="AK526" s="9"/>
      <c r="AL526" s="13"/>
      <c r="AM526" s="9"/>
      <c r="AN526" s="9"/>
      <c r="AO526" s="9"/>
      <c r="AP526" s="14"/>
    </row>
    <row r="527" spans="1:42" s="45" customFormat="1" ht="22" customHeight="1">
      <c r="A527" s="14" t="s">
        <v>17</v>
      </c>
      <c r="B527" s="8">
        <v>2024</v>
      </c>
      <c r="C527" s="8" t="s">
        <v>8</v>
      </c>
      <c r="D527" s="9" t="s">
        <v>185</v>
      </c>
      <c r="E527" s="9" t="s">
        <v>15</v>
      </c>
      <c r="F527" s="9" t="s">
        <v>186</v>
      </c>
      <c r="G527" s="8"/>
      <c r="H527" s="8"/>
      <c r="I527" s="9" t="s">
        <v>28</v>
      </c>
      <c r="J527" s="9" t="s">
        <v>11</v>
      </c>
      <c r="K527" s="9" t="s">
        <v>82</v>
      </c>
      <c r="L527" s="9" t="s">
        <v>166</v>
      </c>
      <c r="M527" s="9" t="s">
        <v>28</v>
      </c>
      <c r="N527" s="9" t="s">
        <v>271</v>
      </c>
      <c r="O527" s="9" t="s">
        <v>324</v>
      </c>
      <c r="P527" s="149" t="s">
        <v>329</v>
      </c>
      <c r="Q527" s="11">
        <v>174</v>
      </c>
      <c r="R527" s="11"/>
      <c r="S527" s="11">
        <f t="shared" si="88"/>
        <v>174</v>
      </c>
      <c r="T527" s="9"/>
      <c r="U527" s="14" t="s">
        <v>77</v>
      </c>
      <c r="V527" s="9"/>
      <c r="W527" s="12">
        <v>30</v>
      </c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>
        <f t="shared" si="89"/>
        <v>0.26100000000000001</v>
      </c>
      <c r="AI527" s="13"/>
      <c r="AJ527" s="13">
        <f t="shared" si="90"/>
        <v>0.26100000000000001</v>
      </c>
      <c r="AK527" s="9"/>
      <c r="AL527" s="13"/>
      <c r="AM527" s="9"/>
      <c r="AN527" s="9"/>
      <c r="AO527" s="9"/>
      <c r="AP527" s="14"/>
    </row>
    <row r="528" spans="1:42" s="45" customFormat="1" ht="22" customHeight="1">
      <c r="A528" s="14" t="s">
        <v>17</v>
      </c>
      <c r="B528" s="8">
        <v>2024</v>
      </c>
      <c r="C528" s="8" t="s">
        <v>8</v>
      </c>
      <c r="D528" s="9" t="s">
        <v>185</v>
      </c>
      <c r="E528" s="9" t="s">
        <v>15</v>
      </c>
      <c r="F528" s="9" t="s">
        <v>186</v>
      </c>
      <c r="G528" s="8"/>
      <c r="H528" s="8"/>
      <c r="I528" s="9" t="s">
        <v>28</v>
      </c>
      <c r="J528" s="9" t="s">
        <v>11</v>
      </c>
      <c r="K528" s="9" t="s">
        <v>82</v>
      </c>
      <c r="L528" s="9" t="s">
        <v>166</v>
      </c>
      <c r="M528" s="9" t="s">
        <v>28</v>
      </c>
      <c r="N528" s="9" t="s">
        <v>271</v>
      </c>
      <c r="O528" s="9" t="s">
        <v>324</v>
      </c>
      <c r="P528" s="149" t="s">
        <v>330</v>
      </c>
      <c r="Q528" s="11">
        <v>168</v>
      </c>
      <c r="R528" s="11"/>
      <c r="S528" s="11">
        <f t="shared" si="88"/>
        <v>168</v>
      </c>
      <c r="T528" s="9"/>
      <c r="U528" s="14" t="s">
        <v>77</v>
      </c>
      <c r="V528" s="9"/>
      <c r="W528" s="12">
        <v>30</v>
      </c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>
        <f t="shared" si="89"/>
        <v>0.252</v>
      </c>
      <c r="AI528" s="13"/>
      <c r="AJ528" s="13">
        <f t="shared" si="90"/>
        <v>0.252</v>
      </c>
      <c r="AK528" s="9"/>
      <c r="AL528" s="13"/>
      <c r="AM528" s="9"/>
      <c r="AN528" s="9"/>
      <c r="AO528" s="9"/>
      <c r="AP528" s="14"/>
    </row>
    <row r="529" spans="1:42" s="45" customFormat="1" ht="22" customHeight="1">
      <c r="A529" s="14" t="s">
        <v>17</v>
      </c>
      <c r="B529" s="8">
        <v>2024</v>
      </c>
      <c r="C529" s="8" t="s">
        <v>8</v>
      </c>
      <c r="D529" s="9" t="s">
        <v>185</v>
      </c>
      <c r="E529" s="9" t="s">
        <v>15</v>
      </c>
      <c r="F529" s="9" t="s">
        <v>186</v>
      </c>
      <c r="G529" s="8"/>
      <c r="H529" s="8"/>
      <c r="I529" s="9" t="s">
        <v>28</v>
      </c>
      <c r="J529" s="9" t="s">
        <v>11</v>
      </c>
      <c r="K529" s="9" t="s">
        <v>82</v>
      </c>
      <c r="L529" s="9" t="s">
        <v>166</v>
      </c>
      <c r="M529" s="9" t="s">
        <v>28</v>
      </c>
      <c r="N529" s="9" t="s">
        <v>271</v>
      </c>
      <c r="O529" s="9" t="s">
        <v>324</v>
      </c>
      <c r="P529" s="149" t="s">
        <v>331</v>
      </c>
      <c r="Q529" s="11">
        <v>320</v>
      </c>
      <c r="R529" s="11"/>
      <c r="S529" s="11">
        <f t="shared" si="88"/>
        <v>320</v>
      </c>
      <c r="T529" s="9"/>
      <c r="U529" s="14" t="s">
        <v>77</v>
      </c>
      <c r="V529" s="9"/>
      <c r="W529" s="12">
        <v>30</v>
      </c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>
        <f t="shared" si="89"/>
        <v>0.48</v>
      </c>
      <c r="AI529" s="13"/>
      <c r="AJ529" s="13">
        <f t="shared" si="90"/>
        <v>0.48</v>
      </c>
      <c r="AK529" s="9"/>
      <c r="AL529" s="13"/>
      <c r="AM529" s="9"/>
      <c r="AN529" s="9"/>
      <c r="AO529" s="9"/>
      <c r="AP529" s="14"/>
    </row>
    <row r="530" spans="1:42" s="45" customFormat="1" ht="22" customHeight="1">
      <c r="A530" s="14" t="s">
        <v>17</v>
      </c>
      <c r="B530" s="8">
        <v>2024</v>
      </c>
      <c r="C530" s="8" t="s">
        <v>8</v>
      </c>
      <c r="D530" s="9" t="s">
        <v>185</v>
      </c>
      <c r="E530" s="9" t="s">
        <v>15</v>
      </c>
      <c r="F530" s="9" t="s">
        <v>186</v>
      </c>
      <c r="G530" s="8"/>
      <c r="H530" s="8"/>
      <c r="I530" s="9" t="s">
        <v>28</v>
      </c>
      <c r="J530" s="9" t="s">
        <v>11</v>
      </c>
      <c r="K530" s="9" t="s">
        <v>82</v>
      </c>
      <c r="L530" s="9" t="s">
        <v>166</v>
      </c>
      <c r="M530" s="9" t="s">
        <v>28</v>
      </c>
      <c r="N530" s="9" t="s">
        <v>271</v>
      </c>
      <c r="O530" s="9" t="s">
        <v>324</v>
      </c>
      <c r="P530" s="149" t="s">
        <v>332</v>
      </c>
      <c r="Q530" s="11">
        <v>180</v>
      </c>
      <c r="R530" s="11"/>
      <c r="S530" s="11">
        <f t="shared" si="88"/>
        <v>180</v>
      </c>
      <c r="T530" s="9"/>
      <c r="U530" s="14" t="s">
        <v>77</v>
      </c>
      <c r="V530" s="9"/>
      <c r="W530" s="12">
        <v>30</v>
      </c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>
        <f t="shared" si="89"/>
        <v>0.27</v>
      </c>
      <c r="AI530" s="13"/>
      <c r="AJ530" s="13">
        <f t="shared" si="90"/>
        <v>0.27</v>
      </c>
      <c r="AK530" s="9"/>
      <c r="AL530" s="13"/>
      <c r="AM530" s="9"/>
      <c r="AN530" s="9"/>
      <c r="AO530" s="9"/>
      <c r="AP530" s="14"/>
    </row>
    <row r="531" spans="1:42" s="45" customFormat="1" ht="22" customHeight="1">
      <c r="A531" s="14" t="s">
        <v>17</v>
      </c>
      <c r="B531" s="8">
        <v>2024</v>
      </c>
      <c r="C531" s="8" t="s">
        <v>8</v>
      </c>
      <c r="D531" s="9" t="s">
        <v>185</v>
      </c>
      <c r="E531" s="9" t="s">
        <v>15</v>
      </c>
      <c r="F531" s="9" t="s">
        <v>186</v>
      </c>
      <c r="G531" s="8"/>
      <c r="H531" s="8"/>
      <c r="I531" s="9" t="s">
        <v>28</v>
      </c>
      <c r="J531" s="9" t="s">
        <v>11</v>
      </c>
      <c r="K531" s="9" t="s">
        <v>82</v>
      </c>
      <c r="L531" s="9" t="s">
        <v>166</v>
      </c>
      <c r="M531" s="9" t="s">
        <v>28</v>
      </c>
      <c r="N531" s="9" t="s">
        <v>271</v>
      </c>
      <c r="O531" s="9" t="s">
        <v>324</v>
      </c>
      <c r="P531" s="149" t="s">
        <v>333</v>
      </c>
      <c r="Q531" s="11">
        <v>193</v>
      </c>
      <c r="R531" s="11"/>
      <c r="S531" s="11">
        <f t="shared" si="88"/>
        <v>193</v>
      </c>
      <c r="T531" s="9"/>
      <c r="U531" s="14" t="s">
        <v>77</v>
      </c>
      <c r="V531" s="9"/>
      <c r="W531" s="12">
        <v>30</v>
      </c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>
        <f t="shared" si="89"/>
        <v>0.28949999999999998</v>
      </c>
      <c r="AI531" s="13"/>
      <c r="AJ531" s="13">
        <f t="shared" si="90"/>
        <v>0.28949999999999998</v>
      </c>
      <c r="AK531" s="9"/>
      <c r="AL531" s="13"/>
      <c r="AM531" s="9"/>
      <c r="AN531" s="9"/>
      <c r="AO531" s="9"/>
      <c r="AP531" s="14"/>
    </row>
    <row r="532" spans="1:42" s="45" customFormat="1" ht="22" customHeight="1">
      <c r="A532" s="14" t="s">
        <v>17</v>
      </c>
      <c r="B532" s="8">
        <v>2024</v>
      </c>
      <c r="C532" s="8" t="s">
        <v>8</v>
      </c>
      <c r="D532" s="9" t="s">
        <v>185</v>
      </c>
      <c r="E532" s="9" t="s">
        <v>15</v>
      </c>
      <c r="F532" s="9" t="s">
        <v>186</v>
      </c>
      <c r="G532" s="8"/>
      <c r="H532" s="8"/>
      <c r="I532" s="9" t="s">
        <v>28</v>
      </c>
      <c r="J532" s="9" t="s">
        <v>11</v>
      </c>
      <c r="K532" s="9" t="s">
        <v>82</v>
      </c>
      <c r="L532" s="9" t="s">
        <v>166</v>
      </c>
      <c r="M532" s="9" t="s">
        <v>28</v>
      </c>
      <c r="N532" s="9" t="s">
        <v>271</v>
      </c>
      <c r="O532" s="9" t="s">
        <v>324</v>
      </c>
      <c r="P532" s="149" t="s">
        <v>334</v>
      </c>
      <c r="Q532" s="11">
        <v>173</v>
      </c>
      <c r="R532" s="11"/>
      <c r="S532" s="11">
        <f t="shared" si="88"/>
        <v>173</v>
      </c>
      <c r="T532" s="9"/>
      <c r="U532" s="14" t="s">
        <v>77</v>
      </c>
      <c r="V532" s="9"/>
      <c r="W532" s="12">
        <v>30</v>
      </c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>
        <f t="shared" si="89"/>
        <v>0.25950000000000001</v>
      </c>
      <c r="AI532" s="13"/>
      <c r="AJ532" s="13">
        <f t="shared" si="90"/>
        <v>0.25950000000000001</v>
      </c>
      <c r="AK532" s="9"/>
      <c r="AL532" s="13"/>
      <c r="AM532" s="9"/>
      <c r="AN532" s="9"/>
      <c r="AO532" s="9"/>
      <c r="AP532" s="14"/>
    </row>
    <row r="533" spans="1:42" s="45" customFormat="1" ht="22" customHeight="1">
      <c r="A533" s="14" t="s">
        <v>17</v>
      </c>
      <c r="B533" s="8">
        <v>2024</v>
      </c>
      <c r="C533" s="8" t="s">
        <v>8</v>
      </c>
      <c r="D533" s="9" t="s">
        <v>185</v>
      </c>
      <c r="E533" s="9" t="s">
        <v>15</v>
      </c>
      <c r="F533" s="9" t="s">
        <v>186</v>
      </c>
      <c r="G533" s="8"/>
      <c r="H533" s="8"/>
      <c r="I533" s="9" t="s">
        <v>28</v>
      </c>
      <c r="J533" s="9" t="s">
        <v>11</v>
      </c>
      <c r="K533" s="9" t="s">
        <v>82</v>
      </c>
      <c r="L533" s="9" t="s">
        <v>166</v>
      </c>
      <c r="M533" s="9" t="s">
        <v>28</v>
      </c>
      <c r="N533" s="9" t="s">
        <v>271</v>
      </c>
      <c r="O533" s="9" t="s">
        <v>324</v>
      </c>
      <c r="P533" s="149" t="s">
        <v>335</v>
      </c>
      <c r="Q533" s="11">
        <v>173</v>
      </c>
      <c r="R533" s="11"/>
      <c r="S533" s="11">
        <f t="shared" si="88"/>
        <v>173</v>
      </c>
      <c r="T533" s="9"/>
      <c r="U533" s="14" t="s">
        <v>77</v>
      </c>
      <c r="V533" s="9"/>
      <c r="W533" s="12">
        <v>30</v>
      </c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>
        <f t="shared" si="89"/>
        <v>0.25950000000000001</v>
      </c>
      <c r="AI533" s="13"/>
      <c r="AJ533" s="13">
        <f t="shared" si="90"/>
        <v>0.25950000000000001</v>
      </c>
      <c r="AK533" s="9"/>
      <c r="AL533" s="13"/>
      <c r="AM533" s="9"/>
      <c r="AN533" s="9"/>
      <c r="AO533" s="9"/>
      <c r="AP533" s="14"/>
    </row>
    <row r="534" spans="1:42" s="45" customFormat="1" ht="22" customHeight="1">
      <c r="A534" s="14" t="s">
        <v>17</v>
      </c>
      <c r="B534" s="8">
        <v>2024</v>
      </c>
      <c r="C534" s="8" t="s">
        <v>8</v>
      </c>
      <c r="D534" s="9" t="s">
        <v>185</v>
      </c>
      <c r="E534" s="9" t="s">
        <v>15</v>
      </c>
      <c r="F534" s="9" t="s">
        <v>186</v>
      </c>
      <c r="G534" s="8"/>
      <c r="H534" s="8"/>
      <c r="I534" s="9" t="s">
        <v>28</v>
      </c>
      <c r="J534" s="9" t="s">
        <v>11</v>
      </c>
      <c r="K534" s="9" t="s">
        <v>82</v>
      </c>
      <c r="L534" s="9" t="s">
        <v>166</v>
      </c>
      <c r="M534" s="9" t="s">
        <v>11</v>
      </c>
      <c r="N534" s="9" t="s">
        <v>266</v>
      </c>
      <c r="O534" s="9" t="s">
        <v>336</v>
      </c>
      <c r="P534" s="149" t="s">
        <v>337</v>
      </c>
      <c r="Q534" s="11">
        <v>103</v>
      </c>
      <c r="R534" s="11"/>
      <c r="S534" s="11">
        <f t="shared" si="88"/>
        <v>103</v>
      </c>
      <c r="T534" s="9"/>
      <c r="U534" s="14" t="s">
        <v>77</v>
      </c>
      <c r="V534" s="9"/>
      <c r="W534" s="12">
        <v>30</v>
      </c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>
        <f t="shared" si="89"/>
        <v>0.1545</v>
      </c>
      <c r="AI534" s="13"/>
      <c r="AJ534" s="13">
        <f t="shared" si="90"/>
        <v>0.1545</v>
      </c>
      <c r="AK534" s="9"/>
      <c r="AL534" s="13"/>
      <c r="AM534" s="9"/>
      <c r="AN534" s="9"/>
      <c r="AO534" s="9"/>
      <c r="AP534" s="14"/>
    </row>
    <row r="535" spans="1:42" s="45" customFormat="1" ht="22" customHeight="1">
      <c r="A535" s="14" t="s">
        <v>17</v>
      </c>
      <c r="B535" s="8">
        <v>2024</v>
      </c>
      <c r="C535" s="8" t="s">
        <v>8</v>
      </c>
      <c r="D535" s="9" t="s">
        <v>185</v>
      </c>
      <c r="E535" s="9" t="s">
        <v>15</v>
      </c>
      <c r="F535" s="9" t="s">
        <v>186</v>
      </c>
      <c r="G535" s="8"/>
      <c r="H535" s="8"/>
      <c r="I535" s="9" t="s">
        <v>28</v>
      </c>
      <c r="J535" s="9" t="s">
        <v>11</v>
      </c>
      <c r="K535" s="9" t="s">
        <v>82</v>
      </c>
      <c r="L535" s="9" t="s">
        <v>166</v>
      </c>
      <c r="M535" s="9" t="s">
        <v>11</v>
      </c>
      <c r="N535" s="9" t="s">
        <v>266</v>
      </c>
      <c r="O535" s="9" t="s">
        <v>336</v>
      </c>
      <c r="P535" s="149" t="s">
        <v>326</v>
      </c>
      <c r="Q535" s="11">
        <v>367</v>
      </c>
      <c r="R535" s="11"/>
      <c r="S535" s="11">
        <f t="shared" si="88"/>
        <v>367</v>
      </c>
      <c r="T535" s="9"/>
      <c r="U535" s="14" t="s">
        <v>77</v>
      </c>
      <c r="V535" s="9"/>
      <c r="W535" s="12">
        <v>30</v>
      </c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>
        <f t="shared" si="89"/>
        <v>0.55049999999999999</v>
      </c>
      <c r="AI535" s="13"/>
      <c r="AJ535" s="13">
        <f t="shared" si="90"/>
        <v>0.55049999999999999</v>
      </c>
      <c r="AK535" s="9"/>
      <c r="AL535" s="13"/>
      <c r="AM535" s="9"/>
      <c r="AN535" s="9"/>
      <c r="AO535" s="9"/>
      <c r="AP535" s="14"/>
    </row>
    <row r="536" spans="1:42" s="45" customFormat="1" ht="22" customHeight="1">
      <c r="A536" s="14" t="s">
        <v>17</v>
      </c>
      <c r="B536" s="8">
        <v>2024</v>
      </c>
      <c r="C536" s="8" t="s">
        <v>8</v>
      </c>
      <c r="D536" s="9" t="s">
        <v>185</v>
      </c>
      <c r="E536" s="9" t="s">
        <v>15</v>
      </c>
      <c r="F536" s="9" t="s">
        <v>186</v>
      </c>
      <c r="G536" s="8"/>
      <c r="H536" s="8"/>
      <c r="I536" s="9" t="s">
        <v>28</v>
      </c>
      <c r="J536" s="9" t="s">
        <v>11</v>
      </c>
      <c r="K536" s="9" t="s">
        <v>82</v>
      </c>
      <c r="L536" s="9" t="s">
        <v>166</v>
      </c>
      <c r="M536" s="9" t="s">
        <v>11</v>
      </c>
      <c r="N536" s="9" t="s">
        <v>266</v>
      </c>
      <c r="O536" s="9" t="s">
        <v>336</v>
      </c>
      <c r="P536" s="149" t="s">
        <v>338</v>
      </c>
      <c r="Q536" s="11">
        <v>578</v>
      </c>
      <c r="R536" s="11"/>
      <c r="S536" s="11">
        <f t="shared" si="88"/>
        <v>578</v>
      </c>
      <c r="T536" s="9"/>
      <c r="U536" s="14" t="s">
        <v>77</v>
      </c>
      <c r="V536" s="9"/>
      <c r="W536" s="12">
        <v>30</v>
      </c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>
        <f t="shared" si="89"/>
        <v>0.86699999999999999</v>
      </c>
      <c r="AI536" s="13"/>
      <c r="AJ536" s="13">
        <f t="shared" si="90"/>
        <v>0.86699999999999999</v>
      </c>
      <c r="AK536" s="9"/>
      <c r="AL536" s="13"/>
      <c r="AM536" s="9"/>
      <c r="AN536" s="9"/>
      <c r="AO536" s="9"/>
      <c r="AP536" s="14"/>
    </row>
    <row r="537" spans="1:42" s="45" customFormat="1" ht="22" customHeight="1">
      <c r="A537" s="14" t="s">
        <v>17</v>
      </c>
      <c r="B537" s="8">
        <v>2024</v>
      </c>
      <c r="C537" s="8" t="s">
        <v>8</v>
      </c>
      <c r="D537" s="9" t="s">
        <v>185</v>
      </c>
      <c r="E537" s="9" t="s">
        <v>15</v>
      </c>
      <c r="F537" s="9" t="s">
        <v>186</v>
      </c>
      <c r="G537" s="8"/>
      <c r="H537" s="8"/>
      <c r="I537" s="9" t="s">
        <v>28</v>
      </c>
      <c r="J537" s="9" t="s">
        <v>11</v>
      </c>
      <c r="K537" s="9" t="s">
        <v>82</v>
      </c>
      <c r="L537" s="9" t="s">
        <v>166</v>
      </c>
      <c r="M537" s="9" t="s">
        <v>11</v>
      </c>
      <c r="N537" s="9" t="s">
        <v>266</v>
      </c>
      <c r="O537" s="9" t="s">
        <v>336</v>
      </c>
      <c r="P537" s="149" t="s">
        <v>339</v>
      </c>
      <c r="Q537" s="11">
        <v>501</v>
      </c>
      <c r="R537" s="11"/>
      <c r="S537" s="11">
        <f t="shared" si="88"/>
        <v>501</v>
      </c>
      <c r="T537" s="9"/>
      <c r="U537" s="14" t="s">
        <v>77</v>
      </c>
      <c r="V537" s="9"/>
      <c r="W537" s="12">
        <v>30</v>
      </c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>
        <f t="shared" si="89"/>
        <v>0.75149999999999995</v>
      </c>
      <c r="AI537" s="13"/>
      <c r="AJ537" s="13">
        <f t="shared" si="90"/>
        <v>0.75149999999999995</v>
      </c>
      <c r="AK537" s="9"/>
      <c r="AL537" s="13"/>
      <c r="AM537" s="9"/>
      <c r="AN537" s="9"/>
      <c r="AO537" s="9"/>
      <c r="AP537" s="14"/>
    </row>
    <row r="538" spans="1:42" s="45" customFormat="1" ht="22" customHeight="1">
      <c r="A538" s="14" t="s">
        <v>17</v>
      </c>
      <c r="B538" s="8">
        <v>2024</v>
      </c>
      <c r="C538" s="8" t="s">
        <v>8</v>
      </c>
      <c r="D538" s="9" t="s">
        <v>185</v>
      </c>
      <c r="E538" s="9" t="s">
        <v>15</v>
      </c>
      <c r="F538" s="9" t="s">
        <v>186</v>
      </c>
      <c r="G538" s="8"/>
      <c r="H538" s="8"/>
      <c r="I538" s="9" t="s">
        <v>28</v>
      </c>
      <c r="J538" s="9" t="s">
        <v>11</v>
      </c>
      <c r="K538" s="9" t="s">
        <v>82</v>
      </c>
      <c r="L538" s="9" t="s">
        <v>166</v>
      </c>
      <c r="M538" s="9" t="s">
        <v>11</v>
      </c>
      <c r="N538" s="9" t="s">
        <v>266</v>
      </c>
      <c r="O538" s="9" t="s">
        <v>336</v>
      </c>
      <c r="P538" s="149" t="s">
        <v>340</v>
      </c>
      <c r="Q538" s="11">
        <v>392</v>
      </c>
      <c r="R538" s="11"/>
      <c r="S538" s="11">
        <f t="shared" si="88"/>
        <v>392</v>
      </c>
      <c r="T538" s="9"/>
      <c r="U538" s="14" t="s">
        <v>77</v>
      </c>
      <c r="V538" s="9"/>
      <c r="W538" s="12">
        <v>30</v>
      </c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>
        <f t="shared" si="89"/>
        <v>0.58799999999999997</v>
      </c>
      <c r="AI538" s="13"/>
      <c r="AJ538" s="13">
        <f t="shared" si="90"/>
        <v>0.58799999999999997</v>
      </c>
      <c r="AK538" s="9"/>
      <c r="AL538" s="13"/>
      <c r="AM538" s="9"/>
      <c r="AN538" s="9"/>
      <c r="AO538" s="9"/>
      <c r="AP538" s="14"/>
    </row>
    <row r="539" spans="1:42" s="45" customFormat="1" ht="22" customHeight="1">
      <c r="A539" s="14" t="s">
        <v>17</v>
      </c>
      <c r="B539" s="8">
        <v>2024</v>
      </c>
      <c r="C539" s="8" t="s">
        <v>8</v>
      </c>
      <c r="D539" s="9" t="s">
        <v>185</v>
      </c>
      <c r="E539" s="9" t="s">
        <v>15</v>
      </c>
      <c r="F539" s="9" t="s">
        <v>186</v>
      </c>
      <c r="G539" s="8"/>
      <c r="H539" s="8"/>
      <c r="I539" s="9" t="s">
        <v>28</v>
      </c>
      <c r="J539" s="9" t="s">
        <v>11</v>
      </c>
      <c r="K539" s="9" t="s">
        <v>82</v>
      </c>
      <c r="L539" s="9" t="s">
        <v>166</v>
      </c>
      <c r="M539" s="9" t="s">
        <v>11</v>
      </c>
      <c r="N539" s="9" t="s">
        <v>266</v>
      </c>
      <c r="O539" s="9" t="s">
        <v>336</v>
      </c>
      <c r="P539" s="149" t="s">
        <v>341</v>
      </c>
      <c r="Q539" s="11">
        <v>556</v>
      </c>
      <c r="R539" s="11"/>
      <c r="S539" s="11">
        <f t="shared" si="88"/>
        <v>556</v>
      </c>
      <c r="T539" s="9"/>
      <c r="U539" s="14" t="s">
        <v>77</v>
      </c>
      <c r="V539" s="9"/>
      <c r="W539" s="12">
        <v>30</v>
      </c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>
        <f t="shared" si="89"/>
        <v>0.83399999999999996</v>
      </c>
      <c r="AI539" s="13"/>
      <c r="AJ539" s="13">
        <f t="shared" si="90"/>
        <v>0.83399999999999996</v>
      </c>
      <c r="AK539" s="9"/>
      <c r="AL539" s="13"/>
      <c r="AM539" s="9"/>
      <c r="AN539" s="9"/>
      <c r="AO539" s="9"/>
      <c r="AP539" s="14"/>
    </row>
    <row r="540" spans="1:42" s="45" customFormat="1" ht="22" customHeight="1">
      <c r="A540" s="14" t="s">
        <v>17</v>
      </c>
      <c r="B540" s="8">
        <v>2024</v>
      </c>
      <c r="C540" s="8" t="s">
        <v>8</v>
      </c>
      <c r="D540" s="9" t="s">
        <v>185</v>
      </c>
      <c r="E540" s="9" t="s">
        <v>15</v>
      </c>
      <c r="F540" s="9" t="s">
        <v>186</v>
      </c>
      <c r="G540" s="8"/>
      <c r="H540" s="8"/>
      <c r="I540" s="9" t="s">
        <v>28</v>
      </c>
      <c r="J540" s="9" t="s">
        <v>11</v>
      </c>
      <c r="K540" s="9" t="s">
        <v>82</v>
      </c>
      <c r="L540" s="9" t="s">
        <v>166</v>
      </c>
      <c r="M540" s="9" t="s">
        <v>28</v>
      </c>
      <c r="N540" s="9" t="s">
        <v>266</v>
      </c>
      <c r="O540" s="9" t="s">
        <v>342</v>
      </c>
      <c r="P540" s="149" t="s">
        <v>343</v>
      </c>
      <c r="Q540" s="11">
        <v>234</v>
      </c>
      <c r="R540" s="11"/>
      <c r="S540" s="11">
        <f t="shared" si="88"/>
        <v>234</v>
      </c>
      <c r="T540" s="9"/>
      <c r="U540" s="14" t="s">
        <v>77</v>
      </c>
      <c r="V540" s="9"/>
      <c r="W540" s="12">
        <v>30</v>
      </c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>
        <f t="shared" si="89"/>
        <v>0.35099999999999998</v>
      </c>
      <c r="AI540" s="13"/>
      <c r="AJ540" s="13">
        <f t="shared" si="90"/>
        <v>0.35099999999999998</v>
      </c>
      <c r="AK540" s="9"/>
      <c r="AL540" s="13"/>
      <c r="AM540" s="9"/>
      <c r="AN540" s="9"/>
      <c r="AO540" s="9"/>
      <c r="AP540" s="14"/>
    </row>
    <row r="541" spans="1:42" s="45" customFormat="1" ht="22" customHeight="1">
      <c r="A541" s="14" t="s">
        <v>17</v>
      </c>
      <c r="B541" s="8">
        <v>2024</v>
      </c>
      <c r="C541" s="8" t="s">
        <v>8</v>
      </c>
      <c r="D541" s="9" t="s">
        <v>185</v>
      </c>
      <c r="E541" s="9" t="s">
        <v>15</v>
      </c>
      <c r="F541" s="9" t="s">
        <v>186</v>
      </c>
      <c r="G541" s="8"/>
      <c r="H541" s="8"/>
      <c r="I541" s="9" t="s">
        <v>28</v>
      </c>
      <c r="J541" s="9" t="s">
        <v>11</v>
      </c>
      <c r="K541" s="9" t="s">
        <v>82</v>
      </c>
      <c r="L541" s="9" t="s">
        <v>166</v>
      </c>
      <c r="M541" s="9" t="s">
        <v>28</v>
      </c>
      <c r="N541" s="9" t="s">
        <v>266</v>
      </c>
      <c r="O541" s="9" t="s">
        <v>342</v>
      </c>
      <c r="P541" s="149" t="s">
        <v>344</v>
      </c>
      <c r="Q541" s="11">
        <v>104</v>
      </c>
      <c r="R541" s="11"/>
      <c r="S541" s="11">
        <f t="shared" si="88"/>
        <v>104</v>
      </c>
      <c r="T541" s="9"/>
      <c r="U541" s="14" t="s">
        <v>77</v>
      </c>
      <c r="V541" s="9"/>
      <c r="W541" s="12">
        <v>30</v>
      </c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>
        <f t="shared" si="89"/>
        <v>0.156</v>
      </c>
      <c r="AI541" s="13"/>
      <c r="AJ541" s="13">
        <f t="shared" si="90"/>
        <v>0.156</v>
      </c>
      <c r="AK541" s="9"/>
      <c r="AL541" s="13"/>
      <c r="AM541" s="9"/>
      <c r="AN541" s="9"/>
      <c r="AO541" s="9"/>
      <c r="AP541" s="14"/>
    </row>
    <row r="542" spans="1:42" s="45" customFormat="1" ht="22" customHeight="1">
      <c r="A542" s="14" t="s">
        <v>17</v>
      </c>
      <c r="B542" s="8">
        <v>2024</v>
      </c>
      <c r="C542" s="8" t="s">
        <v>8</v>
      </c>
      <c r="D542" s="9" t="s">
        <v>185</v>
      </c>
      <c r="E542" s="9" t="s">
        <v>15</v>
      </c>
      <c r="F542" s="9" t="s">
        <v>186</v>
      </c>
      <c r="G542" s="8"/>
      <c r="H542" s="8"/>
      <c r="I542" s="9" t="s">
        <v>28</v>
      </c>
      <c r="J542" s="9" t="s">
        <v>11</v>
      </c>
      <c r="K542" s="9" t="s">
        <v>82</v>
      </c>
      <c r="L542" s="9" t="s">
        <v>166</v>
      </c>
      <c r="M542" s="9" t="s">
        <v>28</v>
      </c>
      <c r="N542" s="9" t="s">
        <v>266</v>
      </c>
      <c r="O542" s="9" t="s">
        <v>342</v>
      </c>
      <c r="P542" s="149" t="s">
        <v>193</v>
      </c>
      <c r="Q542" s="11">
        <v>471</v>
      </c>
      <c r="R542" s="11"/>
      <c r="S542" s="11">
        <f t="shared" si="88"/>
        <v>471</v>
      </c>
      <c r="T542" s="9"/>
      <c r="U542" s="14" t="s">
        <v>77</v>
      </c>
      <c r="V542" s="9"/>
      <c r="W542" s="12">
        <v>30</v>
      </c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>
        <f t="shared" si="89"/>
        <v>0.70650000000000002</v>
      </c>
      <c r="AI542" s="13"/>
      <c r="AJ542" s="13">
        <f t="shared" si="90"/>
        <v>0.70650000000000002</v>
      </c>
      <c r="AK542" s="9"/>
      <c r="AL542" s="13"/>
      <c r="AM542" s="9"/>
      <c r="AN542" s="9"/>
      <c r="AO542" s="9"/>
      <c r="AP542" s="14"/>
    </row>
    <row r="543" spans="1:42" s="45" customFormat="1" ht="22" customHeight="1">
      <c r="A543" s="14" t="s">
        <v>17</v>
      </c>
      <c r="B543" s="8">
        <v>2024</v>
      </c>
      <c r="C543" s="8" t="s">
        <v>8</v>
      </c>
      <c r="D543" s="9" t="s">
        <v>185</v>
      </c>
      <c r="E543" s="9" t="s">
        <v>15</v>
      </c>
      <c r="F543" s="9" t="s">
        <v>186</v>
      </c>
      <c r="G543" s="8"/>
      <c r="H543" s="8"/>
      <c r="I543" s="9" t="s">
        <v>28</v>
      </c>
      <c r="J543" s="9" t="s">
        <v>11</v>
      </c>
      <c r="K543" s="9" t="s">
        <v>82</v>
      </c>
      <c r="L543" s="9" t="s">
        <v>166</v>
      </c>
      <c r="M543" s="9" t="s">
        <v>28</v>
      </c>
      <c r="N543" s="9" t="s">
        <v>266</v>
      </c>
      <c r="O543" s="9" t="s">
        <v>342</v>
      </c>
      <c r="P543" s="149" t="s">
        <v>345</v>
      </c>
      <c r="Q543" s="11">
        <v>215</v>
      </c>
      <c r="R543" s="11"/>
      <c r="S543" s="11">
        <f t="shared" si="88"/>
        <v>215</v>
      </c>
      <c r="T543" s="9"/>
      <c r="U543" s="14" t="s">
        <v>77</v>
      </c>
      <c r="V543" s="9"/>
      <c r="W543" s="12">
        <v>30</v>
      </c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>
        <f t="shared" si="89"/>
        <v>0.32250000000000001</v>
      </c>
      <c r="AI543" s="13"/>
      <c r="AJ543" s="13">
        <f t="shared" si="90"/>
        <v>0.32250000000000001</v>
      </c>
      <c r="AK543" s="9"/>
      <c r="AL543" s="13"/>
      <c r="AM543" s="9"/>
      <c r="AN543" s="9"/>
      <c r="AO543" s="9"/>
      <c r="AP543" s="14"/>
    </row>
    <row r="544" spans="1:42" s="45" customFormat="1" ht="22" customHeight="1">
      <c r="A544" s="14" t="s">
        <v>17</v>
      </c>
      <c r="B544" s="8">
        <v>2024</v>
      </c>
      <c r="C544" s="8" t="s">
        <v>8</v>
      </c>
      <c r="D544" s="9" t="s">
        <v>185</v>
      </c>
      <c r="E544" s="9" t="s">
        <v>15</v>
      </c>
      <c r="F544" s="9" t="s">
        <v>186</v>
      </c>
      <c r="G544" s="8"/>
      <c r="H544" s="8"/>
      <c r="I544" s="9" t="s">
        <v>28</v>
      </c>
      <c r="J544" s="9" t="s">
        <v>11</v>
      </c>
      <c r="K544" s="9" t="s">
        <v>82</v>
      </c>
      <c r="L544" s="9" t="s">
        <v>166</v>
      </c>
      <c r="M544" s="9" t="s">
        <v>28</v>
      </c>
      <c r="N544" s="9" t="s">
        <v>266</v>
      </c>
      <c r="O544" s="9" t="s">
        <v>342</v>
      </c>
      <c r="P544" s="149" t="s">
        <v>346</v>
      </c>
      <c r="Q544" s="11">
        <v>199</v>
      </c>
      <c r="R544" s="11"/>
      <c r="S544" s="11">
        <f t="shared" si="88"/>
        <v>199</v>
      </c>
      <c r="T544" s="9"/>
      <c r="U544" s="14" t="s">
        <v>77</v>
      </c>
      <c r="V544" s="9"/>
      <c r="W544" s="12">
        <v>30</v>
      </c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>
        <f t="shared" si="89"/>
        <v>0.29849999999999999</v>
      </c>
      <c r="AI544" s="13"/>
      <c r="AJ544" s="13">
        <f t="shared" si="90"/>
        <v>0.29849999999999999</v>
      </c>
      <c r="AK544" s="9"/>
      <c r="AL544" s="13"/>
      <c r="AM544" s="9"/>
      <c r="AN544" s="9"/>
      <c r="AO544" s="9"/>
      <c r="AP544" s="14"/>
    </row>
    <row r="545" spans="1:42" s="45" customFormat="1" ht="22" customHeight="1">
      <c r="A545" s="14" t="s">
        <v>17</v>
      </c>
      <c r="B545" s="8">
        <v>2024</v>
      </c>
      <c r="C545" s="8" t="s">
        <v>8</v>
      </c>
      <c r="D545" s="9" t="s">
        <v>185</v>
      </c>
      <c r="E545" s="9" t="s">
        <v>15</v>
      </c>
      <c r="F545" s="9" t="s">
        <v>186</v>
      </c>
      <c r="G545" s="8"/>
      <c r="H545" s="8"/>
      <c r="I545" s="9" t="s">
        <v>28</v>
      </c>
      <c r="J545" s="9" t="s">
        <v>11</v>
      </c>
      <c r="K545" s="9" t="s">
        <v>82</v>
      </c>
      <c r="L545" s="9" t="s">
        <v>166</v>
      </c>
      <c r="M545" s="9" t="s">
        <v>28</v>
      </c>
      <c r="N545" s="9" t="s">
        <v>266</v>
      </c>
      <c r="O545" s="9" t="s">
        <v>342</v>
      </c>
      <c r="P545" s="149" t="s">
        <v>347</v>
      </c>
      <c r="Q545" s="11">
        <v>194</v>
      </c>
      <c r="R545" s="11"/>
      <c r="S545" s="11">
        <f t="shared" si="88"/>
        <v>194</v>
      </c>
      <c r="T545" s="9"/>
      <c r="U545" s="14" t="s">
        <v>77</v>
      </c>
      <c r="V545" s="9"/>
      <c r="W545" s="12">
        <v>30</v>
      </c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>
        <f t="shared" si="89"/>
        <v>0.29099999999999998</v>
      </c>
      <c r="AI545" s="13"/>
      <c r="AJ545" s="13">
        <f t="shared" si="90"/>
        <v>0.29099999999999998</v>
      </c>
      <c r="AK545" s="9"/>
      <c r="AL545" s="13"/>
      <c r="AM545" s="9"/>
      <c r="AN545" s="9"/>
      <c r="AO545" s="9"/>
      <c r="AP545" s="14"/>
    </row>
    <row r="546" spans="1:42" s="45" customFormat="1" ht="22" customHeight="1">
      <c r="A546" s="14" t="s">
        <v>17</v>
      </c>
      <c r="B546" s="8">
        <v>2024</v>
      </c>
      <c r="C546" s="8" t="s">
        <v>8</v>
      </c>
      <c r="D546" s="9" t="s">
        <v>185</v>
      </c>
      <c r="E546" s="9" t="s">
        <v>15</v>
      </c>
      <c r="F546" s="9" t="s">
        <v>186</v>
      </c>
      <c r="G546" s="8"/>
      <c r="H546" s="8"/>
      <c r="I546" s="9" t="s">
        <v>28</v>
      </c>
      <c r="J546" s="9" t="s">
        <v>11</v>
      </c>
      <c r="K546" s="9" t="s">
        <v>82</v>
      </c>
      <c r="L546" s="9" t="s">
        <v>166</v>
      </c>
      <c r="M546" s="9" t="s">
        <v>28</v>
      </c>
      <c r="N546" s="9" t="s">
        <v>266</v>
      </c>
      <c r="O546" s="9" t="s">
        <v>342</v>
      </c>
      <c r="P546" s="149" t="s">
        <v>348</v>
      </c>
      <c r="Q546" s="11">
        <v>230</v>
      </c>
      <c r="R546" s="11"/>
      <c r="S546" s="11">
        <f t="shared" si="88"/>
        <v>230</v>
      </c>
      <c r="T546" s="9"/>
      <c r="U546" s="14" t="s">
        <v>77</v>
      </c>
      <c r="V546" s="9"/>
      <c r="W546" s="12">
        <v>30</v>
      </c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>
        <f t="shared" si="89"/>
        <v>0.34499999999999997</v>
      </c>
      <c r="AI546" s="13"/>
      <c r="AJ546" s="13">
        <f t="shared" si="90"/>
        <v>0.34499999999999997</v>
      </c>
      <c r="AK546" s="9"/>
      <c r="AL546" s="13"/>
      <c r="AM546" s="9"/>
      <c r="AN546" s="9"/>
      <c r="AO546" s="9"/>
      <c r="AP546" s="14"/>
    </row>
    <row r="547" spans="1:42" s="45" customFormat="1" ht="22" customHeight="1">
      <c r="A547" s="14" t="s">
        <v>17</v>
      </c>
      <c r="B547" s="8">
        <v>2024</v>
      </c>
      <c r="C547" s="8" t="s">
        <v>8</v>
      </c>
      <c r="D547" s="9" t="s">
        <v>185</v>
      </c>
      <c r="E547" s="9" t="s">
        <v>15</v>
      </c>
      <c r="F547" s="9" t="s">
        <v>186</v>
      </c>
      <c r="G547" s="8"/>
      <c r="H547" s="8"/>
      <c r="I547" s="9" t="s">
        <v>28</v>
      </c>
      <c r="J547" s="9" t="s">
        <v>11</v>
      </c>
      <c r="K547" s="9" t="s">
        <v>82</v>
      </c>
      <c r="L547" s="9" t="s">
        <v>166</v>
      </c>
      <c r="M547" s="9" t="s">
        <v>28</v>
      </c>
      <c r="N547" s="9" t="s">
        <v>266</v>
      </c>
      <c r="O547" s="9" t="s">
        <v>342</v>
      </c>
      <c r="P547" s="149" t="s">
        <v>349</v>
      </c>
      <c r="Q547" s="11">
        <v>151</v>
      </c>
      <c r="R547" s="11"/>
      <c r="S547" s="11">
        <f t="shared" si="88"/>
        <v>151</v>
      </c>
      <c r="T547" s="9"/>
      <c r="U547" s="14" t="s">
        <v>77</v>
      </c>
      <c r="V547" s="9"/>
      <c r="W547" s="12">
        <v>30</v>
      </c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>
        <f t="shared" si="89"/>
        <v>0.22650000000000001</v>
      </c>
      <c r="AI547" s="13"/>
      <c r="AJ547" s="13">
        <f t="shared" si="90"/>
        <v>0.22650000000000001</v>
      </c>
      <c r="AK547" s="9"/>
      <c r="AL547" s="13"/>
      <c r="AM547" s="9"/>
      <c r="AN547" s="9"/>
      <c r="AO547" s="9"/>
      <c r="AP547" s="14"/>
    </row>
    <row r="548" spans="1:42" s="45" customFormat="1" ht="22" customHeight="1">
      <c r="A548" s="14" t="s">
        <v>17</v>
      </c>
      <c r="B548" s="8">
        <v>2024</v>
      </c>
      <c r="C548" s="8" t="s">
        <v>8</v>
      </c>
      <c r="D548" s="9" t="s">
        <v>185</v>
      </c>
      <c r="E548" s="9" t="s">
        <v>15</v>
      </c>
      <c r="F548" s="9" t="s">
        <v>186</v>
      </c>
      <c r="G548" s="8"/>
      <c r="H548" s="8"/>
      <c r="I548" s="9" t="s">
        <v>28</v>
      </c>
      <c r="J548" s="9" t="s">
        <v>11</v>
      </c>
      <c r="K548" s="9" t="s">
        <v>82</v>
      </c>
      <c r="L548" s="9" t="s">
        <v>166</v>
      </c>
      <c r="M548" s="9" t="s">
        <v>28</v>
      </c>
      <c r="N548" s="9" t="s">
        <v>266</v>
      </c>
      <c r="O548" s="9" t="s">
        <v>342</v>
      </c>
      <c r="P548" s="149" t="s">
        <v>350</v>
      </c>
      <c r="Q548" s="11">
        <v>523</v>
      </c>
      <c r="R548" s="11"/>
      <c r="S548" s="11">
        <f t="shared" si="88"/>
        <v>523</v>
      </c>
      <c r="T548" s="9"/>
      <c r="U548" s="14" t="s">
        <v>77</v>
      </c>
      <c r="V548" s="9"/>
      <c r="W548" s="12">
        <v>30</v>
      </c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>
        <f t="shared" si="89"/>
        <v>0.78449999999999998</v>
      </c>
      <c r="AI548" s="13"/>
      <c r="AJ548" s="13">
        <f t="shared" si="90"/>
        <v>0.78449999999999998</v>
      </c>
      <c r="AK548" s="9"/>
      <c r="AL548" s="13"/>
      <c r="AM548" s="9"/>
      <c r="AN548" s="9"/>
      <c r="AO548" s="9"/>
      <c r="AP548" s="14"/>
    </row>
    <row r="549" spans="1:42" s="45" customFormat="1" ht="22" customHeight="1">
      <c r="A549" s="14" t="s">
        <v>17</v>
      </c>
      <c r="B549" s="8">
        <v>2024</v>
      </c>
      <c r="C549" s="8" t="s">
        <v>8</v>
      </c>
      <c r="D549" s="9" t="s">
        <v>185</v>
      </c>
      <c r="E549" s="9" t="s">
        <v>15</v>
      </c>
      <c r="F549" s="9" t="s">
        <v>186</v>
      </c>
      <c r="G549" s="8"/>
      <c r="H549" s="8"/>
      <c r="I549" s="9" t="s">
        <v>28</v>
      </c>
      <c r="J549" s="9" t="s">
        <v>11</v>
      </c>
      <c r="K549" s="9" t="s">
        <v>82</v>
      </c>
      <c r="L549" s="9" t="s">
        <v>166</v>
      </c>
      <c r="M549" s="9" t="s">
        <v>28</v>
      </c>
      <c r="N549" s="9" t="s">
        <v>266</v>
      </c>
      <c r="O549" s="9" t="s">
        <v>351</v>
      </c>
      <c r="P549" s="149" t="s">
        <v>352</v>
      </c>
      <c r="Q549" s="11">
        <v>163</v>
      </c>
      <c r="R549" s="11"/>
      <c r="S549" s="11">
        <f t="shared" si="88"/>
        <v>163</v>
      </c>
      <c r="T549" s="9"/>
      <c r="U549" s="14" t="s">
        <v>77</v>
      </c>
      <c r="V549" s="9"/>
      <c r="W549" s="12">
        <v>30</v>
      </c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>
        <f t="shared" si="89"/>
        <v>0.2445</v>
      </c>
      <c r="AI549" s="13"/>
      <c r="AJ549" s="13">
        <f t="shared" si="90"/>
        <v>0.2445</v>
      </c>
      <c r="AK549" s="9"/>
      <c r="AL549" s="13"/>
      <c r="AM549" s="9"/>
      <c r="AN549" s="9"/>
      <c r="AO549" s="9"/>
      <c r="AP549" s="14"/>
    </row>
    <row r="550" spans="1:42" s="45" customFormat="1" ht="22" customHeight="1">
      <c r="A550" s="14" t="s">
        <v>17</v>
      </c>
      <c r="B550" s="8">
        <v>2024</v>
      </c>
      <c r="C550" s="8" t="s">
        <v>8</v>
      </c>
      <c r="D550" s="9" t="s">
        <v>185</v>
      </c>
      <c r="E550" s="9" t="s">
        <v>15</v>
      </c>
      <c r="F550" s="9" t="s">
        <v>186</v>
      </c>
      <c r="G550" s="8"/>
      <c r="H550" s="8"/>
      <c r="I550" s="9" t="s">
        <v>28</v>
      </c>
      <c r="J550" s="9" t="s">
        <v>11</v>
      </c>
      <c r="K550" s="9" t="s">
        <v>82</v>
      </c>
      <c r="L550" s="9" t="s">
        <v>166</v>
      </c>
      <c r="M550" s="9" t="s">
        <v>28</v>
      </c>
      <c r="N550" s="9" t="s">
        <v>266</v>
      </c>
      <c r="O550" s="9" t="s">
        <v>351</v>
      </c>
      <c r="P550" s="149" t="s">
        <v>353</v>
      </c>
      <c r="Q550" s="11">
        <v>187</v>
      </c>
      <c r="R550" s="11"/>
      <c r="S550" s="11">
        <f t="shared" si="88"/>
        <v>187</v>
      </c>
      <c r="T550" s="9"/>
      <c r="U550" s="14" t="s">
        <v>77</v>
      </c>
      <c r="V550" s="9"/>
      <c r="W550" s="12">
        <v>30</v>
      </c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>
        <f t="shared" si="89"/>
        <v>0.28050000000000003</v>
      </c>
      <c r="AI550" s="13"/>
      <c r="AJ550" s="13">
        <f t="shared" si="90"/>
        <v>0.28050000000000003</v>
      </c>
      <c r="AK550" s="9"/>
      <c r="AL550" s="13"/>
      <c r="AM550" s="9"/>
      <c r="AN550" s="9"/>
      <c r="AO550" s="9"/>
      <c r="AP550" s="14"/>
    </row>
    <row r="551" spans="1:42" s="45" customFormat="1" ht="22" customHeight="1">
      <c r="A551" s="14" t="s">
        <v>17</v>
      </c>
      <c r="B551" s="8">
        <v>2024</v>
      </c>
      <c r="C551" s="8" t="s">
        <v>8</v>
      </c>
      <c r="D551" s="9" t="s">
        <v>185</v>
      </c>
      <c r="E551" s="9" t="s">
        <v>15</v>
      </c>
      <c r="F551" s="9" t="s">
        <v>186</v>
      </c>
      <c r="G551" s="8"/>
      <c r="H551" s="8"/>
      <c r="I551" s="9" t="s">
        <v>28</v>
      </c>
      <c r="J551" s="9" t="s">
        <v>11</v>
      </c>
      <c r="K551" s="9" t="s">
        <v>82</v>
      </c>
      <c r="L551" s="9" t="s">
        <v>166</v>
      </c>
      <c r="M551" s="9" t="s">
        <v>28</v>
      </c>
      <c r="N551" s="9" t="s">
        <v>266</v>
      </c>
      <c r="O551" s="9" t="s">
        <v>351</v>
      </c>
      <c r="P551" s="149" t="s">
        <v>354</v>
      </c>
      <c r="Q551" s="11">
        <v>127</v>
      </c>
      <c r="R551" s="11"/>
      <c r="S551" s="11">
        <f t="shared" si="88"/>
        <v>127</v>
      </c>
      <c r="T551" s="9"/>
      <c r="U551" s="14" t="s">
        <v>77</v>
      </c>
      <c r="V551" s="9"/>
      <c r="W551" s="12">
        <v>30</v>
      </c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>
        <f t="shared" si="89"/>
        <v>0.1905</v>
      </c>
      <c r="AI551" s="13"/>
      <c r="AJ551" s="13">
        <f t="shared" si="90"/>
        <v>0.1905</v>
      </c>
      <c r="AK551" s="9"/>
      <c r="AL551" s="13"/>
      <c r="AM551" s="9"/>
      <c r="AN551" s="9"/>
      <c r="AO551" s="9"/>
      <c r="AP551" s="14"/>
    </row>
    <row r="552" spans="1:42" s="45" customFormat="1" ht="22" customHeight="1">
      <c r="A552" s="14" t="s">
        <v>17</v>
      </c>
      <c r="B552" s="8">
        <v>2024</v>
      </c>
      <c r="C552" s="8" t="s">
        <v>8</v>
      </c>
      <c r="D552" s="9" t="s">
        <v>185</v>
      </c>
      <c r="E552" s="9" t="s">
        <v>15</v>
      </c>
      <c r="F552" s="9" t="s">
        <v>186</v>
      </c>
      <c r="G552" s="8"/>
      <c r="H552" s="8"/>
      <c r="I552" s="9" t="s">
        <v>28</v>
      </c>
      <c r="J552" s="9" t="s">
        <v>11</v>
      </c>
      <c r="K552" s="9" t="s">
        <v>82</v>
      </c>
      <c r="L552" s="9" t="s">
        <v>166</v>
      </c>
      <c r="M552" s="9" t="s">
        <v>28</v>
      </c>
      <c r="N552" s="9" t="s">
        <v>266</v>
      </c>
      <c r="O552" s="9" t="s">
        <v>351</v>
      </c>
      <c r="P552" s="149" t="s">
        <v>355</v>
      </c>
      <c r="Q552" s="11">
        <v>190</v>
      </c>
      <c r="R552" s="11"/>
      <c r="S552" s="11">
        <f t="shared" si="88"/>
        <v>190</v>
      </c>
      <c r="T552" s="9"/>
      <c r="U552" s="14" t="s">
        <v>77</v>
      </c>
      <c r="V552" s="9"/>
      <c r="W552" s="12">
        <v>30</v>
      </c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>
        <f t="shared" si="89"/>
        <v>0.28499999999999998</v>
      </c>
      <c r="AI552" s="13"/>
      <c r="AJ552" s="13">
        <f t="shared" si="90"/>
        <v>0.28499999999999998</v>
      </c>
      <c r="AK552" s="9"/>
      <c r="AL552" s="13"/>
      <c r="AM552" s="9"/>
      <c r="AN552" s="9"/>
      <c r="AO552" s="9"/>
      <c r="AP552" s="14"/>
    </row>
    <row r="553" spans="1:42" s="45" customFormat="1" ht="22" customHeight="1">
      <c r="A553" s="14" t="s">
        <v>17</v>
      </c>
      <c r="B553" s="8">
        <v>2024</v>
      </c>
      <c r="C553" s="8" t="s">
        <v>8</v>
      </c>
      <c r="D553" s="9" t="s">
        <v>185</v>
      </c>
      <c r="E553" s="9" t="s">
        <v>15</v>
      </c>
      <c r="F553" s="9" t="s">
        <v>186</v>
      </c>
      <c r="G553" s="8"/>
      <c r="H553" s="8"/>
      <c r="I553" s="9" t="s">
        <v>28</v>
      </c>
      <c r="J553" s="9" t="s">
        <v>11</v>
      </c>
      <c r="K553" s="9" t="s">
        <v>82</v>
      </c>
      <c r="L553" s="9" t="s">
        <v>166</v>
      </c>
      <c r="M553" s="9" t="s">
        <v>28</v>
      </c>
      <c r="N553" s="9" t="s">
        <v>266</v>
      </c>
      <c r="O553" s="9" t="s">
        <v>351</v>
      </c>
      <c r="P553" s="149" t="s">
        <v>356</v>
      </c>
      <c r="Q553" s="11">
        <v>278</v>
      </c>
      <c r="R553" s="11"/>
      <c r="S553" s="11">
        <f t="shared" si="88"/>
        <v>278</v>
      </c>
      <c r="T553" s="9"/>
      <c r="U553" s="14" t="s">
        <v>77</v>
      </c>
      <c r="V553" s="9"/>
      <c r="W553" s="12">
        <v>30</v>
      </c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>
        <f t="shared" si="89"/>
        <v>0.41699999999999998</v>
      </c>
      <c r="AI553" s="13"/>
      <c r="AJ553" s="13">
        <f t="shared" si="90"/>
        <v>0.41699999999999998</v>
      </c>
      <c r="AK553" s="9"/>
      <c r="AL553" s="13"/>
      <c r="AM553" s="9"/>
      <c r="AN553" s="9"/>
      <c r="AO553" s="9"/>
      <c r="AP553" s="14"/>
    </row>
    <row r="554" spans="1:42" s="45" customFormat="1" ht="22" customHeight="1">
      <c r="A554" s="14" t="s">
        <v>17</v>
      </c>
      <c r="B554" s="8">
        <v>2024</v>
      </c>
      <c r="C554" s="8" t="s">
        <v>8</v>
      </c>
      <c r="D554" s="9" t="s">
        <v>185</v>
      </c>
      <c r="E554" s="9" t="s">
        <v>15</v>
      </c>
      <c r="F554" s="9" t="s">
        <v>186</v>
      </c>
      <c r="G554" s="8"/>
      <c r="H554" s="8"/>
      <c r="I554" s="9" t="s">
        <v>28</v>
      </c>
      <c r="J554" s="9" t="s">
        <v>11</v>
      </c>
      <c r="K554" s="9" t="s">
        <v>82</v>
      </c>
      <c r="L554" s="9" t="s">
        <v>166</v>
      </c>
      <c r="M554" s="9" t="s">
        <v>28</v>
      </c>
      <c r="N554" s="9" t="s">
        <v>266</v>
      </c>
      <c r="O554" s="9" t="s">
        <v>357</v>
      </c>
      <c r="P554" s="149" t="s">
        <v>358</v>
      </c>
      <c r="Q554" s="11">
        <v>205</v>
      </c>
      <c r="R554" s="11"/>
      <c r="S554" s="11">
        <f t="shared" si="88"/>
        <v>205</v>
      </c>
      <c r="T554" s="9"/>
      <c r="U554" s="14" t="s">
        <v>77</v>
      </c>
      <c r="V554" s="9"/>
      <c r="W554" s="12">
        <v>30</v>
      </c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>
        <f t="shared" si="89"/>
        <v>0.3075</v>
      </c>
      <c r="AI554" s="13"/>
      <c r="AJ554" s="13">
        <f t="shared" si="90"/>
        <v>0.3075</v>
      </c>
      <c r="AK554" s="9"/>
      <c r="AL554" s="13"/>
      <c r="AM554" s="9"/>
      <c r="AN554" s="9"/>
      <c r="AO554" s="9"/>
      <c r="AP554" s="14"/>
    </row>
    <row r="555" spans="1:42" s="45" customFormat="1" ht="22" customHeight="1">
      <c r="A555" s="14" t="s">
        <v>17</v>
      </c>
      <c r="B555" s="8">
        <v>2024</v>
      </c>
      <c r="C555" s="8" t="s">
        <v>8</v>
      </c>
      <c r="D555" s="9" t="s">
        <v>185</v>
      </c>
      <c r="E555" s="9" t="s">
        <v>15</v>
      </c>
      <c r="F555" s="9" t="s">
        <v>186</v>
      </c>
      <c r="G555" s="8"/>
      <c r="H555" s="8"/>
      <c r="I555" s="9" t="s">
        <v>28</v>
      </c>
      <c r="J555" s="9" t="s">
        <v>11</v>
      </c>
      <c r="K555" s="9" t="s">
        <v>82</v>
      </c>
      <c r="L555" s="9" t="s">
        <v>166</v>
      </c>
      <c r="M555" s="9" t="s">
        <v>28</v>
      </c>
      <c r="N555" s="9" t="s">
        <v>266</v>
      </c>
      <c r="O555" s="9" t="s">
        <v>357</v>
      </c>
      <c r="P555" s="149" t="s">
        <v>359</v>
      </c>
      <c r="Q555" s="11">
        <v>395</v>
      </c>
      <c r="R555" s="11"/>
      <c r="S555" s="11">
        <f t="shared" si="88"/>
        <v>395</v>
      </c>
      <c r="T555" s="9"/>
      <c r="U555" s="14" t="s">
        <v>77</v>
      </c>
      <c r="V555" s="9"/>
      <c r="W555" s="12">
        <v>30</v>
      </c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>
        <f t="shared" si="89"/>
        <v>0.59250000000000003</v>
      </c>
      <c r="AI555" s="13"/>
      <c r="AJ555" s="13">
        <f t="shared" si="90"/>
        <v>0.59250000000000003</v>
      </c>
      <c r="AK555" s="9"/>
      <c r="AL555" s="13"/>
      <c r="AM555" s="9"/>
      <c r="AN555" s="9"/>
      <c r="AO555" s="9"/>
      <c r="AP555" s="14"/>
    </row>
    <row r="556" spans="1:42" s="45" customFormat="1" ht="22" customHeight="1">
      <c r="A556" s="14" t="s">
        <v>17</v>
      </c>
      <c r="B556" s="8">
        <v>2024</v>
      </c>
      <c r="C556" s="8" t="s">
        <v>8</v>
      </c>
      <c r="D556" s="9" t="s">
        <v>185</v>
      </c>
      <c r="E556" s="9" t="s">
        <v>15</v>
      </c>
      <c r="F556" s="9" t="s">
        <v>186</v>
      </c>
      <c r="G556" s="8"/>
      <c r="H556" s="8"/>
      <c r="I556" s="9" t="s">
        <v>28</v>
      </c>
      <c r="J556" s="9" t="s">
        <v>11</v>
      </c>
      <c r="K556" s="9" t="s">
        <v>82</v>
      </c>
      <c r="L556" s="9" t="s">
        <v>166</v>
      </c>
      <c r="M556" s="9" t="s">
        <v>28</v>
      </c>
      <c r="N556" s="9" t="s">
        <v>266</v>
      </c>
      <c r="O556" s="9" t="s">
        <v>357</v>
      </c>
      <c r="P556" s="149" t="s">
        <v>360</v>
      </c>
      <c r="Q556" s="11">
        <v>239</v>
      </c>
      <c r="R556" s="11"/>
      <c r="S556" s="11">
        <f t="shared" si="88"/>
        <v>239</v>
      </c>
      <c r="T556" s="9"/>
      <c r="U556" s="14" t="s">
        <v>77</v>
      </c>
      <c r="V556" s="9"/>
      <c r="W556" s="12">
        <v>30</v>
      </c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>
        <f t="shared" si="89"/>
        <v>0.35849999999999999</v>
      </c>
      <c r="AI556" s="13"/>
      <c r="AJ556" s="13">
        <f t="shared" si="90"/>
        <v>0.35849999999999999</v>
      </c>
      <c r="AK556" s="9"/>
      <c r="AL556" s="13"/>
      <c r="AM556" s="9"/>
      <c r="AN556" s="9"/>
      <c r="AO556" s="9"/>
      <c r="AP556" s="14"/>
    </row>
    <row r="557" spans="1:42" s="45" customFormat="1" ht="22" customHeight="1">
      <c r="A557" s="14" t="s">
        <v>17</v>
      </c>
      <c r="B557" s="8">
        <v>2024</v>
      </c>
      <c r="C557" s="8" t="s">
        <v>8</v>
      </c>
      <c r="D557" s="9" t="s">
        <v>185</v>
      </c>
      <c r="E557" s="9" t="s">
        <v>15</v>
      </c>
      <c r="F557" s="9" t="s">
        <v>186</v>
      </c>
      <c r="G557" s="8"/>
      <c r="H557" s="8"/>
      <c r="I557" s="9" t="s">
        <v>28</v>
      </c>
      <c r="J557" s="9" t="s">
        <v>11</v>
      </c>
      <c r="K557" s="9" t="s">
        <v>82</v>
      </c>
      <c r="L557" s="9" t="s">
        <v>166</v>
      </c>
      <c r="M557" s="9" t="s">
        <v>28</v>
      </c>
      <c r="N557" s="9" t="s">
        <v>266</v>
      </c>
      <c r="O557" s="9" t="s">
        <v>357</v>
      </c>
      <c r="P557" s="149" t="s">
        <v>361</v>
      </c>
      <c r="Q557" s="11">
        <v>263</v>
      </c>
      <c r="R557" s="11"/>
      <c r="S557" s="11">
        <f t="shared" si="88"/>
        <v>263</v>
      </c>
      <c r="T557" s="9"/>
      <c r="U557" s="14" t="s">
        <v>77</v>
      </c>
      <c r="V557" s="9"/>
      <c r="W557" s="12">
        <v>30</v>
      </c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>
        <f t="shared" si="89"/>
        <v>0.39450000000000002</v>
      </c>
      <c r="AI557" s="13"/>
      <c r="AJ557" s="13">
        <f t="shared" si="90"/>
        <v>0.39450000000000002</v>
      </c>
      <c r="AK557" s="9"/>
      <c r="AL557" s="13"/>
      <c r="AM557" s="9"/>
      <c r="AN557" s="9"/>
      <c r="AO557" s="9"/>
      <c r="AP557" s="14"/>
    </row>
    <row r="558" spans="1:42" s="45" customFormat="1" ht="22" customHeight="1">
      <c r="A558" s="14" t="s">
        <v>17</v>
      </c>
      <c r="B558" s="8">
        <v>2024</v>
      </c>
      <c r="C558" s="8" t="s">
        <v>8</v>
      </c>
      <c r="D558" s="9" t="s">
        <v>185</v>
      </c>
      <c r="E558" s="9" t="s">
        <v>15</v>
      </c>
      <c r="F558" s="9" t="s">
        <v>186</v>
      </c>
      <c r="G558" s="8"/>
      <c r="H558" s="8"/>
      <c r="I558" s="9" t="s">
        <v>28</v>
      </c>
      <c r="J558" s="9" t="s">
        <v>11</v>
      </c>
      <c r="K558" s="9" t="s">
        <v>82</v>
      </c>
      <c r="L558" s="9" t="s">
        <v>166</v>
      </c>
      <c r="M558" s="9" t="s">
        <v>28</v>
      </c>
      <c r="N558" s="9" t="s">
        <v>266</v>
      </c>
      <c r="O558" s="9" t="s">
        <v>357</v>
      </c>
      <c r="P558" s="149" t="s">
        <v>362</v>
      </c>
      <c r="Q558" s="11">
        <v>301</v>
      </c>
      <c r="R558" s="11"/>
      <c r="S558" s="11">
        <f t="shared" si="88"/>
        <v>301</v>
      </c>
      <c r="T558" s="9"/>
      <c r="U558" s="14" t="s">
        <v>77</v>
      </c>
      <c r="V558" s="9"/>
      <c r="W558" s="12">
        <v>30</v>
      </c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>
        <f t="shared" si="89"/>
        <v>0.45150000000000001</v>
      </c>
      <c r="AI558" s="13"/>
      <c r="AJ558" s="13">
        <f t="shared" si="90"/>
        <v>0.45150000000000001</v>
      </c>
      <c r="AK558" s="9"/>
      <c r="AL558" s="13"/>
      <c r="AM558" s="9"/>
      <c r="AN558" s="9"/>
      <c r="AO558" s="9"/>
      <c r="AP558" s="14"/>
    </row>
    <row r="559" spans="1:42" s="45" customFormat="1" ht="22" customHeight="1">
      <c r="A559" s="14" t="s">
        <v>17</v>
      </c>
      <c r="B559" s="8">
        <v>2024</v>
      </c>
      <c r="C559" s="8" t="s">
        <v>8</v>
      </c>
      <c r="D559" s="9" t="s">
        <v>185</v>
      </c>
      <c r="E559" s="9" t="s">
        <v>15</v>
      </c>
      <c r="F559" s="9" t="s">
        <v>186</v>
      </c>
      <c r="G559" s="8"/>
      <c r="H559" s="8"/>
      <c r="I559" s="9" t="s">
        <v>28</v>
      </c>
      <c r="J559" s="9" t="s">
        <v>11</v>
      </c>
      <c r="K559" s="9" t="s">
        <v>82</v>
      </c>
      <c r="L559" s="9" t="s">
        <v>166</v>
      </c>
      <c r="M559" s="9" t="s">
        <v>28</v>
      </c>
      <c r="N559" s="9" t="s">
        <v>266</v>
      </c>
      <c r="O559" s="9" t="s">
        <v>357</v>
      </c>
      <c r="P559" s="149" t="s">
        <v>363</v>
      </c>
      <c r="Q559" s="11">
        <v>146</v>
      </c>
      <c r="R559" s="11"/>
      <c r="S559" s="11">
        <f t="shared" si="88"/>
        <v>146</v>
      </c>
      <c r="T559" s="9"/>
      <c r="U559" s="14" t="s">
        <v>77</v>
      </c>
      <c r="V559" s="9"/>
      <c r="W559" s="12">
        <v>30</v>
      </c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>
        <f t="shared" si="89"/>
        <v>0.219</v>
      </c>
      <c r="AI559" s="13"/>
      <c r="AJ559" s="13">
        <f t="shared" si="90"/>
        <v>0.219</v>
      </c>
      <c r="AK559" s="9"/>
      <c r="AL559" s="13"/>
      <c r="AM559" s="9"/>
      <c r="AN559" s="9"/>
      <c r="AO559" s="9"/>
      <c r="AP559" s="14"/>
    </row>
    <row r="560" spans="1:42" s="45" customFormat="1" ht="22" customHeight="1">
      <c r="A560" s="14" t="s">
        <v>17</v>
      </c>
      <c r="B560" s="8">
        <v>2024</v>
      </c>
      <c r="C560" s="8" t="s">
        <v>8</v>
      </c>
      <c r="D560" s="9" t="s">
        <v>185</v>
      </c>
      <c r="E560" s="9" t="s">
        <v>15</v>
      </c>
      <c r="F560" s="9" t="s">
        <v>186</v>
      </c>
      <c r="G560" s="8"/>
      <c r="H560" s="8"/>
      <c r="I560" s="9" t="s">
        <v>28</v>
      </c>
      <c r="J560" s="9" t="s">
        <v>11</v>
      </c>
      <c r="K560" s="9" t="s">
        <v>82</v>
      </c>
      <c r="L560" s="9" t="s">
        <v>166</v>
      </c>
      <c r="M560" s="9" t="s">
        <v>28</v>
      </c>
      <c r="N560" s="9" t="s">
        <v>266</v>
      </c>
      <c r="O560" s="9" t="s">
        <v>357</v>
      </c>
      <c r="P560" s="149" t="s">
        <v>364</v>
      </c>
      <c r="Q560" s="11">
        <v>469</v>
      </c>
      <c r="R560" s="11"/>
      <c r="S560" s="11">
        <f t="shared" ref="S560:S623" si="91">Q560+R560</f>
        <v>469</v>
      </c>
      <c r="T560" s="9"/>
      <c r="U560" s="14" t="s">
        <v>77</v>
      </c>
      <c r="V560" s="9"/>
      <c r="W560" s="12">
        <v>30</v>
      </c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>
        <f t="shared" ref="AH560:AH572" si="92">+S560*W560*50/1000000</f>
        <v>0.70350000000000001</v>
      </c>
      <c r="AI560" s="13"/>
      <c r="AJ560" s="13">
        <f t="shared" si="90"/>
        <v>0.70350000000000001</v>
      </c>
      <c r="AK560" s="9"/>
      <c r="AL560" s="13"/>
      <c r="AM560" s="9"/>
      <c r="AN560" s="9"/>
      <c r="AO560" s="9"/>
      <c r="AP560" s="14"/>
    </row>
    <row r="561" spans="1:42" s="45" customFormat="1" ht="22" customHeight="1">
      <c r="A561" s="14" t="s">
        <v>17</v>
      </c>
      <c r="B561" s="8">
        <v>2024</v>
      </c>
      <c r="C561" s="8" t="s">
        <v>8</v>
      </c>
      <c r="D561" s="9" t="s">
        <v>185</v>
      </c>
      <c r="E561" s="9" t="s">
        <v>15</v>
      </c>
      <c r="F561" s="9" t="s">
        <v>186</v>
      </c>
      <c r="G561" s="8"/>
      <c r="H561" s="8"/>
      <c r="I561" s="9" t="s">
        <v>28</v>
      </c>
      <c r="J561" s="9" t="s">
        <v>11</v>
      </c>
      <c r="K561" s="9" t="s">
        <v>82</v>
      </c>
      <c r="L561" s="9" t="s">
        <v>166</v>
      </c>
      <c r="M561" s="9" t="s">
        <v>28</v>
      </c>
      <c r="N561" s="9" t="s">
        <v>266</v>
      </c>
      <c r="O561" s="9" t="s">
        <v>365</v>
      </c>
      <c r="P561" s="149" t="s">
        <v>366</v>
      </c>
      <c r="Q561" s="11">
        <v>233</v>
      </c>
      <c r="R561" s="11"/>
      <c r="S561" s="11">
        <f t="shared" si="91"/>
        <v>233</v>
      </c>
      <c r="T561" s="9"/>
      <c r="U561" s="14" t="s">
        <v>77</v>
      </c>
      <c r="V561" s="9"/>
      <c r="W561" s="12">
        <v>30</v>
      </c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>
        <f t="shared" si="92"/>
        <v>0.34949999999999998</v>
      </c>
      <c r="AI561" s="13"/>
      <c r="AJ561" s="13">
        <f t="shared" si="90"/>
        <v>0.34949999999999998</v>
      </c>
      <c r="AK561" s="9"/>
      <c r="AL561" s="13"/>
      <c r="AM561" s="9"/>
      <c r="AN561" s="9"/>
      <c r="AO561" s="9"/>
      <c r="AP561" s="14"/>
    </row>
    <row r="562" spans="1:42" s="45" customFormat="1" ht="22" customHeight="1">
      <c r="A562" s="14" t="s">
        <v>17</v>
      </c>
      <c r="B562" s="8">
        <v>2024</v>
      </c>
      <c r="C562" s="8" t="s">
        <v>8</v>
      </c>
      <c r="D562" s="9" t="s">
        <v>185</v>
      </c>
      <c r="E562" s="9" t="s">
        <v>15</v>
      </c>
      <c r="F562" s="9" t="s">
        <v>186</v>
      </c>
      <c r="G562" s="8"/>
      <c r="H562" s="8"/>
      <c r="I562" s="9" t="s">
        <v>28</v>
      </c>
      <c r="J562" s="9" t="s">
        <v>11</v>
      </c>
      <c r="K562" s="9" t="s">
        <v>82</v>
      </c>
      <c r="L562" s="9" t="s">
        <v>166</v>
      </c>
      <c r="M562" s="9" t="s">
        <v>28</v>
      </c>
      <c r="N562" s="9" t="s">
        <v>266</v>
      </c>
      <c r="O562" s="9" t="s">
        <v>365</v>
      </c>
      <c r="P562" s="149" t="s">
        <v>367</v>
      </c>
      <c r="Q562" s="11">
        <v>207</v>
      </c>
      <c r="R562" s="11"/>
      <c r="S562" s="11">
        <f t="shared" si="91"/>
        <v>207</v>
      </c>
      <c r="T562" s="9"/>
      <c r="U562" s="14" t="s">
        <v>77</v>
      </c>
      <c r="V562" s="9"/>
      <c r="W562" s="12">
        <v>30</v>
      </c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>
        <f t="shared" si="92"/>
        <v>0.3105</v>
      </c>
      <c r="AI562" s="13"/>
      <c r="AJ562" s="13">
        <f t="shared" si="90"/>
        <v>0.3105</v>
      </c>
      <c r="AK562" s="9"/>
      <c r="AL562" s="13"/>
      <c r="AM562" s="9"/>
      <c r="AN562" s="9"/>
      <c r="AO562" s="9"/>
      <c r="AP562" s="14"/>
    </row>
    <row r="563" spans="1:42" s="45" customFormat="1" ht="22" customHeight="1">
      <c r="A563" s="14" t="s">
        <v>17</v>
      </c>
      <c r="B563" s="8">
        <v>2024</v>
      </c>
      <c r="C563" s="8" t="s">
        <v>8</v>
      </c>
      <c r="D563" s="9" t="s">
        <v>185</v>
      </c>
      <c r="E563" s="9" t="s">
        <v>15</v>
      </c>
      <c r="F563" s="9" t="s">
        <v>186</v>
      </c>
      <c r="G563" s="8"/>
      <c r="H563" s="8"/>
      <c r="I563" s="9" t="s">
        <v>28</v>
      </c>
      <c r="J563" s="9" t="s">
        <v>11</v>
      </c>
      <c r="K563" s="9" t="s">
        <v>82</v>
      </c>
      <c r="L563" s="9" t="s">
        <v>166</v>
      </c>
      <c r="M563" s="9" t="s">
        <v>28</v>
      </c>
      <c r="N563" s="9" t="s">
        <v>266</v>
      </c>
      <c r="O563" s="9" t="s">
        <v>365</v>
      </c>
      <c r="P563" s="149" t="s">
        <v>368</v>
      </c>
      <c r="Q563" s="11">
        <v>159</v>
      </c>
      <c r="R563" s="11"/>
      <c r="S563" s="11">
        <f t="shared" si="91"/>
        <v>159</v>
      </c>
      <c r="T563" s="9"/>
      <c r="U563" s="14" t="s">
        <v>77</v>
      </c>
      <c r="V563" s="9"/>
      <c r="W563" s="12">
        <v>30</v>
      </c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>
        <f t="shared" si="92"/>
        <v>0.23849999999999999</v>
      </c>
      <c r="AI563" s="13"/>
      <c r="AJ563" s="13">
        <f t="shared" si="90"/>
        <v>0.23849999999999999</v>
      </c>
      <c r="AK563" s="9"/>
      <c r="AL563" s="13"/>
      <c r="AM563" s="9"/>
      <c r="AN563" s="9"/>
      <c r="AO563" s="9"/>
      <c r="AP563" s="14"/>
    </row>
    <row r="564" spans="1:42" s="45" customFormat="1" ht="22" customHeight="1">
      <c r="A564" s="14" t="s">
        <v>17</v>
      </c>
      <c r="B564" s="8">
        <v>2024</v>
      </c>
      <c r="C564" s="8" t="s">
        <v>8</v>
      </c>
      <c r="D564" s="9" t="s">
        <v>185</v>
      </c>
      <c r="E564" s="9" t="s">
        <v>15</v>
      </c>
      <c r="F564" s="9" t="s">
        <v>186</v>
      </c>
      <c r="G564" s="8"/>
      <c r="H564" s="8"/>
      <c r="I564" s="9" t="s">
        <v>28</v>
      </c>
      <c r="J564" s="9" t="s">
        <v>11</v>
      </c>
      <c r="K564" s="9" t="s">
        <v>82</v>
      </c>
      <c r="L564" s="9" t="s">
        <v>166</v>
      </c>
      <c r="M564" s="9" t="s">
        <v>28</v>
      </c>
      <c r="N564" s="9" t="s">
        <v>266</v>
      </c>
      <c r="O564" s="9" t="s">
        <v>365</v>
      </c>
      <c r="P564" s="149" t="s">
        <v>369</v>
      </c>
      <c r="Q564" s="11">
        <v>163</v>
      </c>
      <c r="R564" s="11"/>
      <c r="S564" s="11">
        <f t="shared" si="91"/>
        <v>163</v>
      </c>
      <c r="T564" s="9"/>
      <c r="U564" s="14" t="s">
        <v>77</v>
      </c>
      <c r="V564" s="9"/>
      <c r="W564" s="12">
        <v>30</v>
      </c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>
        <f t="shared" si="92"/>
        <v>0.2445</v>
      </c>
      <c r="AI564" s="13"/>
      <c r="AJ564" s="13">
        <f t="shared" si="90"/>
        <v>0.2445</v>
      </c>
      <c r="AK564" s="9"/>
      <c r="AL564" s="13"/>
      <c r="AM564" s="9"/>
      <c r="AN564" s="9"/>
      <c r="AO564" s="9"/>
      <c r="AP564" s="14"/>
    </row>
    <row r="565" spans="1:42" s="45" customFormat="1" ht="22" customHeight="1">
      <c r="A565" s="14" t="s">
        <v>17</v>
      </c>
      <c r="B565" s="8">
        <v>2024</v>
      </c>
      <c r="C565" s="8" t="s">
        <v>8</v>
      </c>
      <c r="D565" s="9" t="s">
        <v>185</v>
      </c>
      <c r="E565" s="9" t="s">
        <v>15</v>
      </c>
      <c r="F565" s="9" t="s">
        <v>186</v>
      </c>
      <c r="G565" s="8"/>
      <c r="H565" s="8"/>
      <c r="I565" s="9" t="s">
        <v>28</v>
      </c>
      <c r="J565" s="9" t="s">
        <v>11</v>
      </c>
      <c r="K565" s="9" t="s">
        <v>82</v>
      </c>
      <c r="L565" s="9" t="s">
        <v>166</v>
      </c>
      <c r="M565" s="9" t="s">
        <v>28</v>
      </c>
      <c r="N565" s="9" t="s">
        <v>266</v>
      </c>
      <c r="O565" s="9" t="s">
        <v>365</v>
      </c>
      <c r="P565" s="149" t="s">
        <v>370</v>
      </c>
      <c r="Q565" s="11">
        <v>164</v>
      </c>
      <c r="R565" s="11"/>
      <c r="S565" s="11">
        <f t="shared" si="91"/>
        <v>164</v>
      </c>
      <c r="T565" s="9"/>
      <c r="U565" s="14" t="s">
        <v>77</v>
      </c>
      <c r="V565" s="9"/>
      <c r="W565" s="12">
        <v>30</v>
      </c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>
        <f t="shared" si="92"/>
        <v>0.246</v>
      </c>
      <c r="AI565" s="13"/>
      <c r="AJ565" s="13">
        <f t="shared" si="90"/>
        <v>0.246</v>
      </c>
      <c r="AK565" s="9"/>
      <c r="AL565" s="13"/>
      <c r="AM565" s="9"/>
      <c r="AN565" s="9"/>
      <c r="AO565" s="9"/>
      <c r="AP565" s="14"/>
    </row>
    <row r="566" spans="1:42" s="45" customFormat="1" ht="22" customHeight="1">
      <c r="A566" s="14" t="s">
        <v>17</v>
      </c>
      <c r="B566" s="8">
        <v>2024</v>
      </c>
      <c r="C566" s="8" t="s">
        <v>8</v>
      </c>
      <c r="D566" s="9" t="s">
        <v>185</v>
      </c>
      <c r="E566" s="9" t="s">
        <v>15</v>
      </c>
      <c r="F566" s="9" t="s">
        <v>186</v>
      </c>
      <c r="G566" s="8"/>
      <c r="H566" s="8"/>
      <c r="I566" s="9" t="s">
        <v>28</v>
      </c>
      <c r="J566" s="9" t="s">
        <v>11</v>
      </c>
      <c r="K566" s="9" t="s">
        <v>82</v>
      </c>
      <c r="L566" s="9" t="s">
        <v>166</v>
      </c>
      <c r="M566" s="9" t="s">
        <v>28</v>
      </c>
      <c r="N566" s="9" t="s">
        <v>266</v>
      </c>
      <c r="O566" s="9" t="s">
        <v>365</v>
      </c>
      <c r="P566" s="149" t="s">
        <v>371</v>
      </c>
      <c r="Q566" s="11">
        <v>251</v>
      </c>
      <c r="R566" s="11"/>
      <c r="S566" s="11">
        <f t="shared" si="91"/>
        <v>251</v>
      </c>
      <c r="T566" s="9"/>
      <c r="U566" s="14" t="s">
        <v>77</v>
      </c>
      <c r="V566" s="9"/>
      <c r="W566" s="12">
        <v>30</v>
      </c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>
        <f t="shared" si="92"/>
        <v>0.3765</v>
      </c>
      <c r="AI566" s="13"/>
      <c r="AJ566" s="13">
        <f t="shared" si="90"/>
        <v>0.3765</v>
      </c>
      <c r="AK566" s="9"/>
      <c r="AL566" s="13"/>
      <c r="AM566" s="9"/>
      <c r="AN566" s="9"/>
      <c r="AO566" s="9"/>
      <c r="AP566" s="14"/>
    </row>
    <row r="567" spans="1:42" s="45" customFormat="1" ht="22" customHeight="1">
      <c r="A567" s="14" t="s">
        <v>17</v>
      </c>
      <c r="B567" s="8">
        <v>2024</v>
      </c>
      <c r="C567" s="8" t="s">
        <v>8</v>
      </c>
      <c r="D567" s="9" t="s">
        <v>185</v>
      </c>
      <c r="E567" s="9" t="s">
        <v>15</v>
      </c>
      <c r="F567" s="9" t="s">
        <v>186</v>
      </c>
      <c r="G567" s="8"/>
      <c r="H567" s="8"/>
      <c r="I567" s="9" t="s">
        <v>28</v>
      </c>
      <c r="J567" s="9" t="s">
        <v>11</v>
      </c>
      <c r="K567" s="9" t="s">
        <v>82</v>
      </c>
      <c r="L567" s="9" t="s">
        <v>166</v>
      </c>
      <c r="M567" s="9" t="s">
        <v>28</v>
      </c>
      <c r="N567" s="9" t="s">
        <v>266</v>
      </c>
      <c r="O567" s="9" t="s">
        <v>365</v>
      </c>
      <c r="P567" s="149" t="s">
        <v>372</v>
      </c>
      <c r="Q567" s="11">
        <v>204</v>
      </c>
      <c r="R567" s="11"/>
      <c r="S567" s="11">
        <f t="shared" si="91"/>
        <v>204</v>
      </c>
      <c r="T567" s="9"/>
      <c r="U567" s="14" t="s">
        <v>77</v>
      </c>
      <c r="V567" s="9"/>
      <c r="W567" s="12">
        <v>30</v>
      </c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>
        <f t="shared" si="92"/>
        <v>0.30599999999999999</v>
      </c>
      <c r="AI567" s="13"/>
      <c r="AJ567" s="13">
        <f t="shared" si="90"/>
        <v>0.30599999999999999</v>
      </c>
      <c r="AK567" s="9"/>
      <c r="AL567" s="13"/>
      <c r="AM567" s="9"/>
      <c r="AN567" s="9"/>
      <c r="AO567" s="9"/>
      <c r="AP567" s="14"/>
    </row>
    <row r="568" spans="1:42" s="45" customFormat="1" ht="22" customHeight="1">
      <c r="A568" s="14" t="s">
        <v>17</v>
      </c>
      <c r="B568" s="8">
        <v>2024</v>
      </c>
      <c r="C568" s="8" t="s">
        <v>8</v>
      </c>
      <c r="D568" s="9" t="s">
        <v>185</v>
      </c>
      <c r="E568" s="9" t="s">
        <v>15</v>
      </c>
      <c r="F568" s="9" t="s">
        <v>186</v>
      </c>
      <c r="G568" s="8"/>
      <c r="H568" s="8"/>
      <c r="I568" s="9" t="s">
        <v>28</v>
      </c>
      <c r="J568" s="9" t="s">
        <v>11</v>
      </c>
      <c r="K568" s="9" t="s">
        <v>82</v>
      </c>
      <c r="L568" s="9" t="s">
        <v>166</v>
      </c>
      <c r="M568" s="9" t="s">
        <v>28</v>
      </c>
      <c r="N568" s="9" t="s">
        <v>266</v>
      </c>
      <c r="O568" s="9" t="s">
        <v>339</v>
      </c>
      <c r="P568" s="149" t="s">
        <v>373</v>
      </c>
      <c r="Q568" s="11">
        <v>193</v>
      </c>
      <c r="R568" s="11"/>
      <c r="S568" s="11">
        <f t="shared" si="91"/>
        <v>193</v>
      </c>
      <c r="T568" s="9"/>
      <c r="U568" s="14" t="s">
        <v>77</v>
      </c>
      <c r="V568" s="9"/>
      <c r="W568" s="12">
        <v>30</v>
      </c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>
        <f t="shared" si="92"/>
        <v>0.28949999999999998</v>
      </c>
      <c r="AI568" s="13"/>
      <c r="AJ568" s="13">
        <f t="shared" si="90"/>
        <v>0.28949999999999998</v>
      </c>
      <c r="AK568" s="9"/>
      <c r="AL568" s="13"/>
      <c r="AM568" s="9"/>
      <c r="AN568" s="9"/>
      <c r="AO568" s="9"/>
      <c r="AP568" s="14"/>
    </row>
    <row r="569" spans="1:42" s="45" customFormat="1" ht="22" customHeight="1">
      <c r="A569" s="14" t="s">
        <v>17</v>
      </c>
      <c r="B569" s="8">
        <v>2024</v>
      </c>
      <c r="C569" s="8" t="s">
        <v>8</v>
      </c>
      <c r="D569" s="9" t="s">
        <v>185</v>
      </c>
      <c r="E569" s="9" t="s">
        <v>15</v>
      </c>
      <c r="F569" s="9" t="s">
        <v>186</v>
      </c>
      <c r="G569" s="8"/>
      <c r="H569" s="8"/>
      <c r="I569" s="9" t="s">
        <v>28</v>
      </c>
      <c r="J569" s="9" t="s">
        <v>11</v>
      </c>
      <c r="K569" s="9" t="s">
        <v>82</v>
      </c>
      <c r="L569" s="9" t="s">
        <v>166</v>
      </c>
      <c r="M569" s="9" t="s">
        <v>28</v>
      </c>
      <c r="N569" s="9" t="s">
        <v>266</v>
      </c>
      <c r="O569" s="9" t="s">
        <v>339</v>
      </c>
      <c r="P569" s="149" t="s">
        <v>374</v>
      </c>
      <c r="Q569" s="11">
        <v>356</v>
      </c>
      <c r="R569" s="11"/>
      <c r="S569" s="11">
        <f t="shared" si="91"/>
        <v>356</v>
      </c>
      <c r="T569" s="9"/>
      <c r="U569" s="14" t="s">
        <v>77</v>
      </c>
      <c r="V569" s="9"/>
      <c r="W569" s="12">
        <v>30</v>
      </c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>
        <f t="shared" si="92"/>
        <v>0.53400000000000003</v>
      </c>
      <c r="AI569" s="13"/>
      <c r="AJ569" s="13">
        <f t="shared" si="90"/>
        <v>0.53400000000000003</v>
      </c>
      <c r="AK569" s="9"/>
      <c r="AL569" s="13"/>
      <c r="AM569" s="9"/>
      <c r="AN569" s="9"/>
      <c r="AO569" s="9"/>
      <c r="AP569" s="14"/>
    </row>
    <row r="570" spans="1:42" s="45" customFormat="1" ht="22" customHeight="1">
      <c r="A570" s="14" t="s">
        <v>17</v>
      </c>
      <c r="B570" s="8">
        <v>2024</v>
      </c>
      <c r="C570" s="8" t="s">
        <v>8</v>
      </c>
      <c r="D570" s="9" t="s">
        <v>185</v>
      </c>
      <c r="E570" s="9" t="s">
        <v>15</v>
      </c>
      <c r="F570" s="9" t="s">
        <v>186</v>
      </c>
      <c r="G570" s="8"/>
      <c r="H570" s="8"/>
      <c r="I570" s="9" t="s">
        <v>28</v>
      </c>
      <c r="J570" s="9" t="s">
        <v>11</v>
      </c>
      <c r="K570" s="9" t="s">
        <v>82</v>
      </c>
      <c r="L570" s="9" t="s">
        <v>166</v>
      </c>
      <c r="M570" s="9" t="s">
        <v>28</v>
      </c>
      <c r="N570" s="9" t="s">
        <v>266</v>
      </c>
      <c r="O570" s="9" t="s">
        <v>339</v>
      </c>
      <c r="P570" s="149" t="s">
        <v>375</v>
      </c>
      <c r="Q570" s="11">
        <v>203</v>
      </c>
      <c r="R570" s="11"/>
      <c r="S570" s="11">
        <f t="shared" si="91"/>
        <v>203</v>
      </c>
      <c r="T570" s="9"/>
      <c r="U570" s="14" t="s">
        <v>77</v>
      </c>
      <c r="V570" s="9"/>
      <c r="W570" s="12">
        <v>30</v>
      </c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>
        <f t="shared" si="92"/>
        <v>0.30449999999999999</v>
      </c>
      <c r="AI570" s="13"/>
      <c r="AJ570" s="13">
        <f t="shared" si="90"/>
        <v>0.30449999999999999</v>
      </c>
      <c r="AK570" s="9"/>
      <c r="AL570" s="13"/>
      <c r="AM570" s="9"/>
      <c r="AN570" s="9"/>
      <c r="AO570" s="9"/>
      <c r="AP570" s="14"/>
    </row>
    <row r="571" spans="1:42" s="45" customFormat="1" ht="22" customHeight="1">
      <c r="A571" s="14" t="s">
        <v>17</v>
      </c>
      <c r="B571" s="8">
        <v>2024</v>
      </c>
      <c r="C571" s="8" t="s">
        <v>8</v>
      </c>
      <c r="D571" s="9" t="s">
        <v>185</v>
      </c>
      <c r="E571" s="9" t="s">
        <v>15</v>
      </c>
      <c r="F571" s="9" t="s">
        <v>186</v>
      </c>
      <c r="G571" s="8"/>
      <c r="H571" s="8"/>
      <c r="I571" s="9" t="s">
        <v>28</v>
      </c>
      <c r="J571" s="9" t="s">
        <v>11</v>
      </c>
      <c r="K571" s="9" t="s">
        <v>82</v>
      </c>
      <c r="L571" s="9" t="s">
        <v>166</v>
      </c>
      <c r="M571" s="9" t="s">
        <v>28</v>
      </c>
      <c r="N571" s="9" t="s">
        <v>266</v>
      </c>
      <c r="O571" s="9" t="s">
        <v>339</v>
      </c>
      <c r="P571" s="149" t="s">
        <v>339</v>
      </c>
      <c r="Q571" s="11">
        <v>379</v>
      </c>
      <c r="R571" s="11"/>
      <c r="S571" s="11">
        <f t="shared" si="91"/>
        <v>379</v>
      </c>
      <c r="T571" s="9"/>
      <c r="U571" s="14" t="s">
        <v>77</v>
      </c>
      <c r="V571" s="9"/>
      <c r="W571" s="12">
        <v>30</v>
      </c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>
        <f t="shared" si="92"/>
        <v>0.56850000000000001</v>
      </c>
      <c r="AI571" s="13"/>
      <c r="AJ571" s="13">
        <f t="shared" si="90"/>
        <v>0.56850000000000001</v>
      </c>
      <c r="AK571" s="9"/>
      <c r="AL571" s="13"/>
      <c r="AM571" s="9"/>
      <c r="AN571" s="9"/>
      <c r="AO571" s="9"/>
      <c r="AP571" s="14"/>
    </row>
    <row r="572" spans="1:42" s="45" customFormat="1" ht="22" customHeight="1">
      <c r="A572" s="14" t="s">
        <v>17</v>
      </c>
      <c r="B572" s="8">
        <v>2024</v>
      </c>
      <c r="C572" s="8" t="s">
        <v>8</v>
      </c>
      <c r="D572" s="9" t="s">
        <v>185</v>
      </c>
      <c r="E572" s="9" t="s">
        <v>15</v>
      </c>
      <c r="F572" s="9" t="s">
        <v>186</v>
      </c>
      <c r="G572" s="8"/>
      <c r="H572" s="8"/>
      <c r="I572" s="9" t="s">
        <v>28</v>
      </c>
      <c r="J572" s="9" t="s">
        <v>11</v>
      </c>
      <c r="K572" s="9" t="s">
        <v>82</v>
      </c>
      <c r="L572" s="9" t="s">
        <v>166</v>
      </c>
      <c r="M572" s="9" t="s">
        <v>28</v>
      </c>
      <c r="N572" s="9" t="s">
        <v>266</v>
      </c>
      <c r="O572" s="9" t="s">
        <v>339</v>
      </c>
      <c r="P572" s="149" t="s">
        <v>376</v>
      </c>
      <c r="Q572" s="11">
        <v>31</v>
      </c>
      <c r="R572" s="11"/>
      <c r="S572" s="11">
        <f t="shared" si="91"/>
        <v>31</v>
      </c>
      <c r="T572" s="9"/>
      <c r="U572" s="14" t="s">
        <v>77</v>
      </c>
      <c r="V572" s="9"/>
      <c r="W572" s="12">
        <v>30</v>
      </c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>
        <f t="shared" si="92"/>
        <v>4.65E-2</v>
      </c>
      <c r="AI572" s="13"/>
      <c r="AJ572" s="13">
        <f t="shared" si="90"/>
        <v>4.65E-2</v>
      </c>
      <c r="AK572" s="9"/>
      <c r="AL572" s="13"/>
      <c r="AM572" s="9"/>
      <c r="AN572" s="9"/>
      <c r="AO572" s="9"/>
      <c r="AP572" s="14"/>
    </row>
    <row r="573" spans="1:42" s="45" customFormat="1" ht="22" customHeight="1">
      <c r="A573" s="14" t="s">
        <v>17</v>
      </c>
      <c r="B573" s="8">
        <v>2024</v>
      </c>
      <c r="C573" s="8" t="s">
        <v>8</v>
      </c>
      <c r="D573" s="9" t="s">
        <v>185</v>
      </c>
      <c r="E573" s="9" t="s">
        <v>10</v>
      </c>
      <c r="F573" s="9" t="s">
        <v>186</v>
      </c>
      <c r="G573" s="8"/>
      <c r="H573" s="8"/>
      <c r="I573" s="9" t="s">
        <v>28</v>
      </c>
      <c r="J573" s="9" t="s">
        <v>11</v>
      </c>
      <c r="K573" s="9" t="s">
        <v>82</v>
      </c>
      <c r="L573" s="9" t="s">
        <v>166</v>
      </c>
      <c r="M573" s="9" t="s">
        <v>28</v>
      </c>
      <c r="N573" s="9" t="s">
        <v>271</v>
      </c>
      <c r="O573" s="9" t="s">
        <v>324</v>
      </c>
      <c r="P573" s="149" t="s">
        <v>325</v>
      </c>
      <c r="Q573" s="11"/>
      <c r="R573" s="11">
        <v>157</v>
      </c>
      <c r="S573" s="11">
        <f t="shared" si="91"/>
        <v>157</v>
      </c>
      <c r="T573" s="9"/>
      <c r="U573" s="14" t="s">
        <v>77</v>
      </c>
      <c r="V573" s="9"/>
      <c r="W573" s="12">
        <v>30</v>
      </c>
      <c r="X573" s="13"/>
      <c r="Y573" s="13"/>
      <c r="Z573" s="13"/>
      <c r="AA573" s="13"/>
      <c r="AB573" s="13"/>
      <c r="AC573" s="13">
        <f t="shared" ref="AC573:AC636" si="93">+S573*W573*20/1000000</f>
        <v>9.4200000000000006E-2</v>
      </c>
      <c r="AD573" s="13"/>
      <c r="AE573" s="13"/>
      <c r="AF573" s="13">
        <f t="shared" ref="AF573:AF636" si="94">+S573*W573*200/1000000</f>
        <v>0.94199999999999995</v>
      </c>
      <c r="AG573" s="13"/>
      <c r="AH573" s="13"/>
      <c r="AI573" s="13"/>
      <c r="AJ573" s="13">
        <f t="shared" si="90"/>
        <v>1.0362</v>
      </c>
      <c r="AK573" s="9"/>
      <c r="AL573" s="13"/>
      <c r="AM573" s="9"/>
      <c r="AN573" s="9"/>
      <c r="AO573" s="9"/>
      <c r="AP573" s="14"/>
    </row>
    <row r="574" spans="1:42" s="45" customFormat="1" ht="22" customHeight="1">
      <c r="A574" s="14" t="s">
        <v>17</v>
      </c>
      <c r="B574" s="8">
        <v>2024</v>
      </c>
      <c r="C574" s="8" t="s">
        <v>8</v>
      </c>
      <c r="D574" s="9" t="s">
        <v>185</v>
      </c>
      <c r="E574" s="9" t="s">
        <v>10</v>
      </c>
      <c r="F574" s="9" t="s">
        <v>186</v>
      </c>
      <c r="G574" s="8"/>
      <c r="H574" s="8"/>
      <c r="I574" s="9" t="s">
        <v>28</v>
      </c>
      <c r="J574" s="9" t="s">
        <v>11</v>
      </c>
      <c r="K574" s="9" t="s">
        <v>82</v>
      </c>
      <c r="L574" s="9" t="s">
        <v>166</v>
      </c>
      <c r="M574" s="9" t="s">
        <v>28</v>
      </c>
      <c r="N574" s="9" t="s">
        <v>271</v>
      </c>
      <c r="O574" s="9" t="s">
        <v>324</v>
      </c>
      <c r="P574" s="149" t="s">
        <v>324</v>
      </c>
      <c r="Q574" s="11"/>
      <c r="R574" s="11">
        <v>164</v>
      </c>
      <c r="S574" s="11">
        <f t="shared" si="91"/>
        <v>164</v>
      </c>
      <c r="T574" s="9"/>
      <c r="U574" s="14" t="s">
        <v>77</v>
      </c>
      <c r="V574" s="9"/>
      <c r="W574" s="12">
        <v>30</v>
      </c>
      <c r="X574" s="13"/>
      <c r="Y574" s="13"/>
      <c r="Z574" s="13"/>
      <c r="AA574" s="13"/>
      <c r="AB574" s="13"/>
      <c r="AC574" s="13">
        <f t="shared" si="93"/>
        <v>9.8400000000000001E-2</v>
      </c>
      <c r="AD574" s="13"/>
      <c r="AE574" s="13"/>
      <c r="AF574" s="13">
        <f t="shared" si="94"/>
        <v>0.98399999999999999</v>
      </c>
      <c r="AG574" s="13"/>
      <c r="AH574" s="13"/>
      <c r="AI574" s="13"/>
      <c r="AJ574" s="13">
        <f t="shared" si="90"/>
        <v>1.0824</v>
      </c>
      <c r="AK574" s="9"/>
      <c r="AL574" s="13"/>
      <c r="AM574" s="9"/>
      <c r="AN574" s="9"/>
      <c r="AO574" s="9"/>
      <c r="AP574" s="14"/>
    </row>
    <row r="575" spans="1:42" s="45" customFormat="1" ht="22" customHeight="1">
      <c r="A575" s="14" t="s">
        <v>17</v>
      </c>
      <c r="B575" s="8">
        <v>2024</v>
      </c>
      <c r="C575" s="8" t="s">
        <v>8</v>
      </c>
      <c r="D575" s="9" t="s">
        <v>185</v>
      </c>
      <c r="E575" s="9" t="s">
        <v>10</v>
      </c>
      <c r="F575" s="9" t="s">
        <v>186</v>
      </c>
      <c r="G575" s="8"/>
      <c r="H575" s="8"/>
      <c r="I575" s="9" t="s">
        <v>28</v>
      </c>
      <c r="J575" s="9" t="s">
        <v>11</v>
      </c>
      <c r="K575" s="9" t="s">
        <v>82</v>
      </c>
      <c r="L575" s="9" t="s">
        <v>166</v>
      </c>
      <c r="M575" s="9" t="s">
        <v>28</v>
      </c>
      <c r="N575" s="9" t="s">
        <v>271</v>
      </c>
      <c r="O575" s="9" t="s">
        <v>324</v>
      </c>
      <c r="P575" s="149" t="s">
        <v>326</v>
      </c>
      <c r="Q575" s="11"/>
      <c r="R575" s="11">
        <v>102</v>
      </c>
      <c r="S575" s="11">
        <f t="shared" si="91"/>
        <v>102</v>
      </c>
      <c r="T575" s="9"/>
      <c r="U575" s="14" t="s">
        <v>77</v>
      </c>
      <c r="V575" s="9"/>
      <c r="W575" s="12">
        <v>30</v>
      </c>
      <c r="X575" s="13"/>
      <c r="Y575" s="13"/>
      <c r="Z575" s="13"/>
      <c r="AA575" s="13"/>
      <c r="AB575" s="13"/>
      <c r="AC575" s="13">
        <f t="shared" si="93"/>
        <v>6.1199999999999997E-2</v>
      </c>
      <c r="AD575" s="13"/>
      <c r="AE575" s="13"/>
      <c r="AF575" s="13">
        <f t="shared" si="94"/>
        <v>0.61199999999999999</v>
      </c>
      <c r="AG575" s="13"/>
      <c r="AH575" s="13"/>
      <c r="AI575" s="13"/>
      <c r="AJ575" s="13">
        <f t="shared" si="90"/>
        <v>0.67320000000000002</v>
      </c>
      <c r="AK575" s="9"/>
      <c r="AL575" s="13"/>
      <c r="AM575" s="9"/>
      <c r="AN575" s="9"/>
      <c r="AO575" s="9"/>
      <c r="AP575" s="14"/>
    </row>
    <row r="576" spans="1:42" s="45" customFormat="1" ht="22" customHeight="1">
      <c r="A576" s="14" t="s">
        <v>17</v>
      </c>
      <c r="B576" s="8">
        <v>2024</v>
      </c>
      <c r="C576" s="8" t="s">
        <v>8</v>
      </c>
      <c r="D576" s="9" t="s">
        <v>185</v>
      </c>
      <c r="E576" s="9" t="s">
        <v>10</v>
      </c>
      <c r="F576" s="9" t="s">
        <v>186</v>
      </c>
      <c r="G576" s="8"/>
      <c r="H576" s="8"/>
      <c r="I576" s="9" t="s">
        <v>28</v>
      </c>
      <c r="J576" s="9" t="s">
        <v>11</v>
      </c>
      <c r="K576" s="9" t="s">
        <v>82</v>
      </c>
      <c r="L576" s="9" t="s">
        <v>166</v>
      </c>
      <c r="M576" s="9" t="s">
        <v>28</v>
      </c>
      <c r="N576" s="9" t="s">
        <v>271</v>
      </c>
      <c r="O576" s="9" t="s">
        <v>324</v>
      </c>
      <c r="P576" s="149" t="s">
        <v>327</v>
      </c>
      <c r="Q576" s="11"/>
      <c r="R576" s="11">
        <v>153</v>
      </c>
      <c r="S576" s="11">
        <f t="shared" si="91"/>
        <v>153</v>
      </c>
      <c r="T576" s="9"/>
      <c r="U576" s="14" t="s">
        <v>77</v>
      </c>
      <c r="V576" s="9"/>
      <c r="W576" s="12">
        <v>30</v>
      </c>
      <c r="X576" s="13"/>
      <c r="Y576" s="13"/>
      <c r="Z576" s="13"/>
      <c r="AA576" s="13"/>
      <c r="AB576" s="13"/>
      <c r="AC576" s="13">
        <f t="shared" si="93"/>
        <v>9.1800000000000007E-2</v>
      </c>
      <c r="AD576" s="13"/>
      <c r="AE576" s="13"/>
      <c r="AF576" s="13">
        <f t="shared" si="94"/>
        <v>0.91800000000000004</v>
      </c>
      <c r="AG576" s="13"/>
      <c r="AH576" s="13"/>
      <c r="AI576" s="13"/>
      <c r="AJ576" s="13">
        <f t="shared" ref="AJ576:AJ639" si="95">SUBTOTAL(9,X576:AI576)</f>
        <v>1.0098</v>
      </c>
      <c r="AK576" s="9"/>
      <c r="AL576" s="13"/>
      <c r="AM576" s="9"/>
      <c r="AN576" s="9"/>
      <c r="AO576" s="9"/>
      <c r="AP576" s="14"/>
    </row>
    <row r="577" spans="1:42" s="45" customFormat="1" ht="22" customHeight="1">
      <c r="A577" s="14" t="s">
        <v>17</v>
      </c>
      <c r="B577" s="8">
        <v>2024</v>
      </c>
      <c r="C577" s="8" t="s">
        <v>8</v>
      </c>
      <c r="D577" s="9" t="s">
        <v>185</v>
      </c>
      <c r="E577" s="9" t="s">
        <v>10</v>
      </c>
      <c r="F577" s="9" t="s">
        <v>186</v>
      </c>
      <c r="G577" s="8"/>
      <c r="H577" s="8"/>
      <c r="I577" s="9" t="s">
        <v>28</v>
      </c>
      <c r="J577" s="9" t="s">
        <v>11</v>
      </c>
      <c r="K577" s="9" t="s">
        <v>82</v>
      </c>
      <c r="L577" s="9" t="s">
        <v>166</v>
      </c>
      <c r="M577" s="9" t="s">
        <v>28</v>
      </c>
      <c r="N577" s="9" t="s">
        <v>271</v>
      </c>
      <c r="O577" s="9" t="s">
        <v>324</v>
      </c>
      <c r="P577" s="149" t="s">
        <v>328</v>
      </c>
      <c r="Q577" s="11"/>
      <c r="R577" s="11">
        <v>118</v>
      </c>
      <c r="S577" s="11">
        <f t="shared" si="91"/>
        <v>118</v>
      </c>
      <c r="T577" s="9"/>
      <c r="U577" s="14" t="s">
        <v>77</v>
      </c>
      <c r="V577" s="9"/>
      <c r="W577" s="12">
        <v>30</v>
      </c>
      <c r="X577" s="13"/>
      <c r="Y577" s="13"/>
      <c r="Z577" s="13"/>
      <c r="AA577" s="13"/>
      <c r="AB577" s="13"/>
      <c r="AC577" s="13">
        <f t="shared" si="93"/>
        <v>7.0800000000000002E-2</v>
      </c>
      <c r="AD577" s="13"/>
      <c r="AE577" s="13"/>
      <c r="AF577" s="13">
        <f t="shared" si="94"/>
        <v>0.70799999999999996</v>
      </c>
      <c r="AG577" s="13"/>
      <c r="AH577" s="13"/>
      <c r="AI577" s="13"/>
      <c r="AJ577" s="13">
        <f t="shared" si="95"/>
        <v>0.77879999999999994</v>
      </c>
      <c r="AK577" s="9"/>
      <c r="AL577" s="13"/>
      <c r="AM577" s="9"/>
      <c r="AN577" s="9"/>
      <c r="AO577" s="9"/>
      <c r="AP577" s="14"/>
    </row>
    <row r="578" spans="1:42" s="45" customFormat="1" ht="22" customHeight="1">
      <c r="A578" s="14" t="s">
        <v>17</v>
      </c>
      <c r="B578" s="8">
        <v>2024</v>
      </c>
      <c r="C578" s="8" t="s">
        <v>8</v>
      </c>
      <c r="D578" s="9" t="s">
        <v>185</v>
      </c>
      <c r="E578" s="9" t="s">
        <v>10</v>
      </c>
      <c r="F578" s="9" t="s">
        <v>186</v>
      </c>
      <c r="G578" s="8"/>
      <c r="H578" s="8"/>
      <c r="I578" s="9" t="s">
        <v>28</v>
      </c>
      <c r="J578" s="9" t="s">
        <v>11</v>
      </c>
      <c r="K578" s="9" t="s">
        <v>82</v>
      </c>
      <c r="L578" s="9" t="s">
        <v>166</v>
      </c>
      <c r="M578" s="9" t="s">
        <v>28</v>
      </c>
      <c r="N578" s="9" t="s">
        <v>271</v>
      </c>
      <c r="O578" s="9" t="s">
        <v>324</v>
      </c>
      <c r="P578" s="149" t="s">
        <v>329</v>
      </c>
      <c r="Q578" s="11"/>
      <c r="R578" s="11">
        <v>142</v>
      </c>
      <c r="S578" s="11">
        <f t="shared" si="91"/>
        <v>142</v>
      </c>
      <c r="T578" s="9"/>
      <c r="U578" s="14" t="s">
        <v>77</v>
      </c>
      <c r="V578" s="9"/>
      <c r="W578" s="12">
        <v>30</v>
      </c>
      <c r="X578" s="13"/>
      <c r="Y578" s="13"/>
      <c r="Z578" s="13"/>
      <c r="AA578" s="13"/>
      <c r="AB578" s="13"/>
      <c r="AC578" s="13">
        <f t="shared" si="93"/>
        <v>8.5199999999999998E-2</v>
      </c>
      <c r="AD578" s="13"/>
      <c r="AE578" s="13"/>
      <c r="AF578" s="13">
        <f t="shared" si="94"/>
        <v>0.85199999999999998</v>
      </c>
      <c r="AG578" s="13"/>
      <c r="AH578" s="13"/>
      <c r="AI578" s="13"/>
      <c r="AJ578" s="13">
        <f t="shared" si="95"/>
        <v>0.93720000000000003</v>
      </c>
      <c r="AK578" s="9"/>
      <c r="AL578" s="13"/>
      <c r="AM578" s="9"/>
      <c r="AN578" s="9"/>
      <c r="AO578" s="9"/>
      <c r="AP578" s="14"/>
    </row>
    <row r="579" spans="1:42" s="45" customFormat="1" ht="22" customHeight="1">
      <c r="A579" s="14" t="s">
        <v>17</v>
      </c>
      <c r="B579" s="8">
        <v>2024</v>
      </c>
      <c r="C579" s="8" t="s">
        <v>8</v>
      </c>
      <c r="D579" s="9" t="s">
        <v>185</v>
      </c>
      <c r="E579" s="9" t="s">
        <v>10</v>
      </c>
      <c r="F579" s="9" t="s">
        <v>186</v>
      </c>
      <c r="G579" s="8"/>
      <c r="H579" s="8"/>
      <c r="I579" s="9" t="s">
        <v>28</v>
      </c>
      <c r="J579" s="9" t="s">
        <v>11</v>
      </c>
      <c r="K579" s="9" t="s">
        <v>82</v>
      </c>
      <c r="L579" s="9" t="s">
        <v>166</v>
      </c>
      <c r="M579" s="9" t="s">
        <v>28</v>
      </c>
      <c r="N579" s="9" t="s">
        <v>271</v>
      </c>
      <c r="O579" s="9" t="s">
        <v>324</v>
      </c>
      <c r="P579" s="149" t="s">
        <v>330</v>
      </c>
      <c r="Q579" s="11"/>
      <c r="R579" s="11">
        <v>137</v>
      </c>
      <c r="S579" s="11">
        <f t="shared" si="91"/>
        <v>137</v>
      </c>
      <c r="T579" s="9"/>
      <c r="U579" s="14" t="s">
        <v>77</v>
      </c>
      <c r="V579" s="9"/>
      <c r="W579" s="12">
        <v>30</v>
      </c>
      <c r="X579" s="13"/>
      <c r="Y579" s="13"/>
      <c r="Z579" s="13"/>
      <c r="AA579" s="13"/>
      <c r="AB579" s="13"/>
      <c r="AC579" s="13">
        <f t="shared" si="93"/>
        <v>8.2199999999999995E-2</v>
      </c>
      <c r="AD579" s="13"/>
      <c r="AE579" s="13"/>
      <c r="AF579" s="13">
        <f t="shared" si="94"/>
        <v>0.82199999999999995</v>
      </c>
      <c r="AG579" s="13"/>
      <c r="AH579" s="13"/>
      <c r="AI579" s="13"/>
      <c r="AJ579" s="13">
        <f t="shared" si="95"/>
        <v>0.90419999999999989</v>
      </c>
      <c r="AK579" s="9"/>
      <c r="AL579" s="13"/>
      <c r="AM579" s="9"/>
      <c r="AN579" s="9"/>
      <c r="AO579" s="9"/>
      <c r="AP579" s="14"/>
    </row>
    <row r="580" spans="1:42" s="45" customFormat="1" ht="22" customHeight="1">
      <c r="A580" s="14" t="s">
        <v>17</v>
      </c>
      <c r="B580" s="8">
        <v>2024</v>
      </c>
      <c r="C580" s="8" t="s">
        <v>8</v>
      </c>
      <c r="D580" s="9" t="s">
        <v>185</v>
      </c>
      <c r="E580" s="9" t="s">
        <v>10</v>
      </c>
      <c r="F580" s="9" t="s">
        <v>186</v>
      </c>
      <c r="G580" s="8"/>
      <c r="H580" s="8"/>
      <c r="I580" s="9" t="s">
        <v>28</v>
      </c>
      <c r="J580" s="9" t="s">
        <v>11</v>
      </c>
      <c r="K580" s="9" t="s">
        <v>82</v>
      </c>
      <c r="L580" s="9" t="s">
        <v>166</v>
      </c>
      <c r="M580" s="9" t="s">
        <v>28</v>
      </c>
      <c r="N580" s="9" t="s">
        <v>271</v>
      </c>
      <c r="O580" s="9" t="s">
        <v>324</v>
      </c>
      <c r="P580" s="149" t="s">
        <v>331</v>
      </c>
      <c r="Q580" s="11"/>
      <c r="R580" s="11">
        <v>220</v>
      </c>
      <c r="S580" s="11">
        <f t="shared" si="91"/>
        <v>220</v>
      </c>
      <c r="T580" s="9"/>
      <c r="U580" s="14" t="s">
        <v>77</v>
      </c>
      <c r="V580" s="9"/>
      <c r="W580" s="12">
        <v>30</v>
      </c>
      <c r="X580" s="13"/>
      <c r="Y580" s="13"/>
      <c r="Z580" s="13"/>
      <c r="AA580" s="13"/>
      <c r="AB580" s="13"/>
      <c r="AC580" s="13">
        <f t="shared" si="93"/>
        <v>0.13200000000000001</v>
      </c>
      <c r="AD580" s="13"/>
      <c r="AE580" s="13"/>
      <c r="AF580" s="13">
        <f t="shared" si="94"/>
        <v>1.32</v>
      </c>
      <c r="AG580" s="13"/>
      <c r="AH580" s="13"/>
      <c r="AI580" s="13"/>
      <c r="AJ580" s="13">
        <f t="shared" si="95"/>
        <v>1.452</v>
      </c>
      <c r="AK580" s="9"/>
      <c r="AL580" s="13"/>
      <c r="AM580" s="9"/>
      <c r="AN580" s="9"/>
      <c r="AO580" s="9"/>
      <c r="AP580" s="14"/>
    </row>
    <row r="581" spans="1:42" s="45" customFormat="1" ht="22" customHeight="1">
      <c r="A581" s="14" t="s">
        <v>17</v>
      </c>
      <c r="B581" s="8">
        <v>2024</v>
      </c>
      <c r="C581" s="8" t="s">
        <v>8</v>
      </c>
      <c r="D581" s="9" t="s">
        <v>185</v>
      </c>
      <c r="E581" s="9" t="s">
        <v>10</v>
      </c>
      <c r="F581" s="9" t="s">
        <v>186</v>
      </c>
      <c r="G581" s="8"/>
      <c r="H581" s="8"/>
      <c r="I581" s="9" t="s">
        <v>28</v>
      </c>
      <c r="J581" s="9" t="s">
        <v>11</v>
      </c>
      <c r="K581" s="9" t="s">
        <v>82</v>
      </c>
      <c r="L581" s="9" t="s">
        <v>166</v>
      </c>
      <c r="M581" s="9" t="s">
        <v>28</v>
      </c>
      <c r="N581" s="9" t="s">
        <v>271</v>
      </c>
      <c r="O581" s="9" t="s">
        <v>324</v>
      </c>
      <c r="P581" s="149" t="s">
        <v>332</v>
      </c>
      <c r="Q581" s="11"/>
      <c r="R581" s="11">
        <v>110</v>
      </c>
      <c r="S581" s="11">
        <f t="shared" si="91"/>
        <v>110</v>
      </c>
      <c r="T581" s="9"/>
      <c r="U581" s="14" t="s">
        <v>77</v>
      </c>
      <c r="V581" s="9"/>
      <c r="W581" s="12">
        <v>30</v>
      </c>
      <c r="X581" s="13"/>
      <c r="Y581" s="13"/>
      <c r="Z581" s="13"/>
      <c r="AA581" s="13"/>
      <c r="AB581" s="13"/>
      <c r="AC581" s="13">
        <f t="shared" si="93"/>
        <v>6.6000000000000003E-2</v>
      </c>
      <c r="AD581" s="13"/>
      <c r="AE581" s="13"/>
      <c r="AF581" s="13">
        <f t="shared" si="94"/>
        <v>0.66</v>
      </c>
      <c r="AG581" s="13"/>
      <c r="AH581" s="13"/>
      <c r="AI581" s="13"/>
      <c r="AJ581" s="13">
        <f t="shared" si="95"/>
        <v>0.72599999999999998</v>
      </c>
      <c r="AK581" s="9"/>
      <c r="AL581" s="13"/>
      <c r="AM581" s="9"/>
      <c r="AN581" s="9"/>
      <c r="AO581" s="9"/>
      <c r="AP581" s="14"/>
    </row>
    <row r="582" spans="1:42" s="45" customFormat="1" ht="22" customHeight="1">
      <c r="A582" s="14" t="s">
        <v>17</v>
      </c>
      <c r="B582" s="8">
        <v>2024</v>
      </c>
      <c r="C582" s="8" t="s">
        <v>8</v>
      </c>
      <c r="D582" s="9" t="s">
        <v>185</v>
      </c>
      <c r="E582" s="9" t="s">
        <v>10</v>
      </c>
      <c r="F582" s="9" t="s">
        <v>186</v>
      </c>
      <c r="G582" s="8"/>
      <c r="H582" s="8"/>
      <c r="I582" s="9" t="s">
        <v>28</v>
      </c>
      <c r="J582" s="9" t="s">
        <v>11</v>
      </c>
      <c r="K582" s="9" t="s">
        <v>82</v>
      </c>
      <c r="L582" s="9" t="s">
        <v>166</v>
      </c>
      <c r="M582" s="9" t="s">
        <v>28</v>
      </c>
      <c r="N582" s="9" t="s">
        <v>271</v>
      </c>
      <c r="O582" s="9" t="s">
        <v>324</v>
      </c>
      <c r="P582" s="149" t="s">
        <v>333</v>
      </c>
      <c r="Q582" s="11"/>
      <c r="R582" s="11">
        <v>129</v>
      </c>
      <c r="S582" s="11">
        <f t="shared" si="91"/>
        <v>129</v>
      </c>
      <c r="T582" s="9"/>
      <c r="U582" s="14" t="s">
        <v>77</v>
      </c>
      <c r="V582" s="9"/>
      <c r="W582" s="12">
        <v>30</v>
      </c>
      <c r="X582" s="13"/>
      <c r="Y582" s="13"/>
      <c r="Z582" s="13"/>
      <c r="AA582" s="13"/>
      <c r="AB582" s="13"/>
      <c r="AC582" s="13">
        <f t="shared" si="93"/>
        <v>7.7399999999999997E-2</v>
      </c>
      <c r="AD582" s="13"/>
      <c r="AE582" s="13"/>
      <c r="AF582" s="13">
        <f t="shared" si="94"/>
        <v>0.77400000000000002</v>
      </c>
      <c r="AG582" s="13"/>
      <c r="AH582" s="13"/>
      <c r="AI582" s="13"/>
      <c r="AJ582" s="13">
        <f t="shared" si="95"/>
        <v>0.85140000000000005</v>
      </c>
      <c r="AK582" s="9"/>
      <c r="AL582" s="13"/>
      <c r="AM582" s="9"/>
      <c r="AN582" s="9"/>
      <c r="AO582" s="9"/>
      <c r="AP582" s="14"/>
    </row>
    <row r="583" spans="1:42" s="45" customFormat="1" ht="22" customHeight="1">
      <c r="A583" s="14" t="s">
        <v>17</v>
      </c>
      <c r="B583" s="8">
        <v>2024</v>
      </c>
      <c r="C583" s="8" t="s">
        <v>8</v>
      </c>
      <c r="D583" s="9" t="s">
        <v>185</v>
      </c>
      <c r="E583" s="9" t="s">
        <v>10</v>
      </c>
      <c r="F583" s="9" t="s">
        <v>186</v>
      </c>
      <c r="G583" s="8"/>
      <c r="H583" s="8"/>
      <c r="I583" s="9" t="s">
        <v>28</v>
      </c>
      <c r="J583" s="9" t="s">
        <v>11</v>
      </c>
      <c r="K583" s="9" t="s">
        <v>82</v>
      </c>
      <c r="L583" s="9" t="s">
        <v>166</v>
      </c>
      <c r="M583" s="9" t="s">
        <v>28</v>
      </c>
      <c r="N583" s="9" t="s">
        <v>271</v>
      </c>
      <c r="O583" s="9" t="s">
        <v>324</v>
      </c>
      <c r="P583" s="149" t="s">
        <v>334</v>
      </c>
      <c r="Q583" s="11"/>
      <c r="R583" s="11">
        <v>187</v>
      </c>
      <c r="S583" s="11">
        <f t="shared" si="91"/>
        <v>187</v>
      </c>
      <c r="T583" s="9"/>
      <c r="U583" s="14" t="s">
        <v>77</v>
      </c>
      <c r="V583" s="9"/>
      <c r="W583" s="12">
        <v>30</v>
      </c>
      <c r="X583" s="13"/>
      <c r="Y583" s="13"/>
      <c r="Z583" s="13"/>
      <c r="AA583" s="13"/>
      <c r="AB583" s="13"/>
      <c r="AC583" s="13">
        <f t="shared" si="93"/>
        <v>0.11219999999999999</v>
      </c>
      <c r="AD583" s="13"/>
      <c r="AE583" s="13"/>
      <c r="AF583" s="13">
        <f t="shared" si="94"/>
        <v>1.1220000000000001</v>
      </c>
      <c r="AG583" s="13"/>
      <c r="AH583" s="13"/>
      <c r="AI583" s="13"/>
      <c r="AJ583" s="13">
        <f t="shared" si="95"/>
        <v>1.2342000000000002</v>
      </c>
      <c r="AK583" s="9"/>
      <c r="AL583" s="13"/>
      <c r="AM583" s="9"/>
      <c r="AN583" s="9"/>
      <c r="AO583" s="9"/>
      <c r="AP583" s="14"/>
    </row>
    <row r="584" spans="1:42" s="45" customFormat="1" ht="22" customHeight="1">
      <c r="A584" s="14" t="s">
        <v>17</v>
      </c>
      <c r="B584" s="8">
        <v>2024</v>
      </c>
      <c r="C584" s="8" t="s">
        <v>8</v>
      </c>
      <c r="D584" s="9" t="s">
        <v>185</v>
      </c>
      <c r="E584" s="9" t="s">
        <v>10</v>
      </c>
      <c r="F584" s="9" t="s">
        <v>186</v>
      </c>
      <c r="G584" s="8"/>
      <c r="H584" s="8"/>
      <c r="I584" s="9" t="s">
        <v>28</v>
      </c>
      <c r="J584" s="9" t="s">
        <v>11</v>
      </c>
      <c r="K584" s="9" t="s">
        <v>82</v>
      </c>
      <c r="L584" s="9" t="s">
        <v>166</v>
      </c>
      <c r="M584" s="9" t="s">
        <v>28</v>
      </c>
      <c r="N584" s="9" t="s">
        <v>271</v>
      </c>
      <c r="O584" s="9" t="s">
        <v>324</v>
      </c>
      <c r="P584" s="149" t="s">
        <v>335</v>
      </c>
      <c r="Q584" s="11"/>
      <c r="R584" s="11">
        <v>151</v>
      </c>
      <c r="S584" s="11">
        <f t="shared" si="91"/>
        <v>151</v>
      </c>
      <c r="T584" s="9"/>
      <c r="U584" s="14" t="s">
        <v>77</v>
      </c>
      <c r="V584" s="9"/>
      <c r="W584" s="12">
        <v>30</v>
      </c>
      <c r="X584" s="13"/>
      <c r="Y584" s="13"/>
      <c r="Z584" s="13"/>
      <c r="AA584" s="13"/>
      <c r="AB584" s="13"/>
      <c r="AC584" s="13">
        <f t="shared" si="93"/>
        <v>9.06E-2</v>
      </c>
      <c r="AD584" s="13"/>
      <c r="AE584" s="13"/>
      <c r="AF584" s="13">
        <f t="shared" si="94"/>
        <v>0.90600000000000003</v>
      </c>
      <c r="AG584" s="13"/>
      <c r="AH584" s="13"/>
      <c r="AI584" s="13"/>
      <c r="AJ584" s="13">
        <f t="shared" si="95"/>
        <v>0.99660000000000004</v>
      </c>
      <c r="AK584" s="9"/>
      <c r="AL584" s="13"/>
      <c r="AM584" s="9"/>
      <c r="AN584" s="9"/>
      <c r="AO584" s="9"/>
      <c r="AP584" s="14"/>
    </row>
    <row r="585" spans="1:42" s="45" customFormat="1" ht="22" customHeight="1">
      <c r="A585" s="14" t="s">
        <v>17</v>
      </c>
      <c r="B585" s="8">
        <v>2024</v>
      </c>
      <c r="C585" s="8" t="s">
        <v>8</v>
      </c>
      <c r="D585" s="9" t="s">
        <v>185</v>
      </c>
      <c r="E585" s="9" t="s">
        <v>10</v>
      </c>
      <c r="F585" s="9" t="s">
        <v>186</v>
      </c>
      <c r="G585" s="8"/>
      <c r="H585" s="8"/>
      <c r="I585" s="9" t="s">
        <v>28</v>
      </c>
      <c r="J585" s="9" t="s">
        <v>11</v>
      </c>
      <c r="K585" s="9" t="s">
        <v>82</v>
      </c>
      <c r="L585" s="9" t="s">
        <v>166</v>
      </c>
      <c r="M585" s="9" t="s">
        <v>11</v>
      </c>
      <c r="N585" s="9" t="s">
        <v>266</v>
      </c>
      <c r="O585" s="9" t="s">
        <v>336</v>
      </c>
      <c r="P585" s="149" t="s">
        <v>337</v>
      </c>
      <c r="Q585" s="11"/>
      <c r="R585" s="11">
        <v>75</v>
      </c>
      <c r="S585" s="11">
        <f t="shared" si="91"/>
        <v>75</v>
      </c>
      <c r="T585" s="9"/>
      <c r="U585" s="14" t="s">
        <v>77</v>
      </c>
      <c r="V585" s="9"/>
      <c r="W585" s="12">
        <v>30</v>
      </c>
      <c r="X585" s="13"/>
      <c r="Y585" s="13"/>
      <c r="Z585" s="13"/>
      <c r="AA585" s="13"/>
      <c r="AB585" s="13"/>
      <c r="AC585" s="13">
        <f t="shared" si="93"/>
        <v>4.4999999999999998E-2</v>
      </c>
      <c r="AD585" s="13"/>
      <c r="AE585" s="13"/>
      <c r="AF585" s="13">
        <f t="shared" si="94"/>
        <v>0.45</v>
      </c>
      <c r="AG585" s="13"/>
      <c r="AH585" s="13"/>
      <c r="AI585" s="13"/>
      <c r="AJ585" s="13">
        <f t="shared" si="95"/>
        <v>0.495</v>
      </c>
      <c r="AK585" s="9"/>
      <c r="AL585" s="13"/>
      <c r="AM585" s="9"/>
      <c r="AN585" s="9"/>
      <c r="AO585" s="9"/>
      <c r="AP585" s="14"/>
    </row>
    <row r="586" spans="1:42" s="45" customFormat="1" ht="22" customHeight="1">
      <c r="A586" s="14" t="s">
        <v>17</v>
      </c>
      <c r="B586" s="8">
        <v>2024</v>
      </c>
      <c r="C586" s="8" t="s">
        <v>8</v>
      </c>
      <c r="D586" s="9" t="s">
        <v>185</v>
      </c>
      <c r="E586" s="9" t="s">
        <v>10</v>
      </c>
      <c r="F586" s="9" t="s">
        <v>186</v>
      </c>
      <c r="G586" s="8"/>
      <c r="H586" s="8"/>
      <c r="I586" s="9" t="s">
        <v>28</v>
      </c>
      <c r="J586" s="9" t="s">
        <v>11</v>
      </c>
      <c r="K586" s="9" t="s">
        <v>82</v>
      </c>
      <c r="L586" s="9" t="s">
        <v>166</v>
      </c>
      <c r="M586" s="9" t="s">
        <v>11</v>
      </c>
      <c r="N586" s="9" t="s">
        <v>266</v>
      </c>
      <c r="O586" s="9" t="s">
        <v>336</v>
      </c>
      <c r="P586" s="149" t="s">
        <v>326</v>
      </c>
      <c r="Q586" s="11"/>
      <c r="R586" s="11">
        <v>228</v>
      </c>
      <c r="S586" s="11">
        <f t="shared" si="91"/>
        <v>228</v>
      </c>
      <c r="T586" s="9"/>
      <c r="U586" s="14" t="s">
        <v>77</v>
      </c>
      <c r="V586" s="9"/>
      <c r="W586" s="12">
        <v>30</v>
      </c>
      <c r="X586" s="13"/>
      <c r="Y586" s="13"/>
      <c r="Z586" s="13"/>
      <c r="AA586" s="13"/>
      <c r="AB586" s="13"/>
      <c r="AC586" s="13">
        <f t="shared" si="93"/>
        <v>0.1368</v>
      </c>
      <c r="AD586" s="13"/>
      <c r="AE586" s="13"/>
      <c r="AF586" s="13">
        <f t="shared" si="94"/>
        <v>1.3680000000000001</v>
      </c>
      <c r="AG586" s="13"/>
      <c r="AH586" s="13"/>
      <c r="AI586" s="13"/>
      <c r="AJ586" s="13">
        <f t="shared" si="95"/>
        <v>1.5048000000000001</v>
      </c>
      <c r="AK586" s="9"/>
      <c r="AL586" s="13"/>
      <c r="AM586" s="9"/>
      <c r="AN586" s="9"/>
      <c r="AO586" s="9"/>
      <c r="AP586" s="14"/>
    </row>
    <row r="587" spans="1:42" s="45" customFormat="1" ht="22" customHeight="1">
      <c r="A587" s="14" t="s">
        <v>17</v>
      </c>
      <c r="B587" s="8">
        <v>2024</v>
      </c>
      <c r="C587" s="8" t="s">
        <v>8</v>
      </c>
      <c r="D587" s="9" t="s">
        <v>185</v>
      </c>
      <c r="E587" s="9" t="s">
        <v>10</v>
      </c>
      <c r="F587" s="9" t="s">
        <v>186</v>
      </c>
      <c r="G587" s="8"/>
      <c r="H587" s="8"/>
      <c r="I587" s="9" t="s">
        <v>28</v>
      </c>
      <c r="J587" s="9" t="s">
        <v>11</v>
      </c>
      <c r="K587" s="9" t="s">
        <v>82</v>
      </c>
      <c r="L587" s="9" t="s">
        <v>166</v>
      </c>
      <c r="M587" s="9" t="s">
        <v>11</v>
      </c>
      <c r="N587" s="9" t="s">
        <v>266</v>
      </c>
      <c r="O587" s="9" t="s">
        <v>336</v>
      </c>
      <c r="P587" s="149" t="s">
        <v>338</v>
      </c>
      <c r="Q587" s="11"/>
      <c r="R587" s="11">
        <v>323</v>
      </c>
      <c r="S587" s="11">
        <f t="shared" si="91"/>
        <v>323</v>
      </c>
      <c r="T587" s="9"/>
      <c r="U587" s="14" t="s">
        <v>77</v>
      </c>
      <c r="V587" s="9"/>
      <c r="W587" s="12">
        <v>30</v>
      </c>
      <c r="X587" s="13"/>
      <c r="Y587" s="13"/>
      <c r="Z587" s="13"/>
      <c r="AA587" s="13"/>
      <c r="AB587" s="13"/>
      <c r="AC587" s="13">
        <f t="shared" si="93"/>
        <v>0.1938</v>
      </c>
      <c r="AD587" s="13"/>
      <c r="AE587" s="13"/>
      <c r="AF587" s="13">
        <f t="shared" si="94"/>
        <v>1.9379999999999999</v>
      </c>
      <c r="AG587" s="13"/>
      <c r="AH587" s="13"/>
      <c r="AI587" s="13"/>
      <c r="AJ587" s="13">
        <f t="shared" si="95"/>
        <v>2.1318000000000001</v>
      </c>
      <c r="AK587" s="9"/>
      <c r="AL587" s="13"/>
      <c r="AM587" s="9"/>
      <c r="AN587" s="9"/>
      <c r="AO587" s="9"/>
      <c r="AP587" s="14"/>
    </row>
    <row r="588" spans="1:42" s="45" customFormat="1" ht="22" customHeight="1">
      <c r="A588" s="14" t="s">
        <v>17</v>
      </c>
      <c r="B588" s="8">
        <v>2024</v>
      </c>
      <c r="C588" s="8" t="s">
        <v>8</v>
      </c>
      <c r="D588" s="9" t="s">
        <v>185</v>
      </c>
      <c r="E588" s="9" t="s">
        <v>10</v>
      </c>
      <c r="F588" s="9" t="s">
        <v>186</v>
      </c>
      <c r="G588" s="8"/>
      <c r="H588" s="8"/>
      <c r="I588" s="9" t="s">
        <v>28</v>
      </c>
      <c r="J588" s="9" t="s">
        <v>11</v>
      </c>
      <c r="K588" s="9" t="s">
        <v>82</v>
      </c>
      <c r="L588" s="9" t="s">
        <v>166</v>
      </c>
      <c r="M588" s="9" t="s">
        <v>11</v>
      </c>
      <c r="N588" s="9" t="s">
        <v>266</v>
      </c>
      <c r="O588" s="9" t="s">
        <v>336</v>
      </c>
      <c r="P588" s="149" t="s">
        <v>339</v>
      </c>
      <c r="Q588" s="11"/>
      <c r="R588" s="11">
        <v>314</v>
      </c>
      <c r="S588" s="11">
        <f t="shared" si="91"/>
        <v>314</v>
      </c>
      <c r="T588" s="9"/>
      <c r="U588" s="14" t="s">
        <v>77</v>
      </c>
      <c r="V588" s="9"/>
      <c r="W588" s="12">
        <v>30</v>
      </c>
      <c r="X588" s="13"/>
      <c r="Y588" s="13"/>
      <c r="Z588" s="13"/>
      <c r="AA588" s="13"/>
      <c r="AB588" s="13"/>
      <c r="AC588" s="13">
        <f t="shared" si="93"/>
        <v>0.18840000000000001</v>
      </c>
      <c r="AD588" s="13"/>
      <c r="AE588" s="13"/>
      <c r="AF588" s="13">
        <f t="shared" si="94"/>
        <v>1.8839999999999999</v>
      </c>
      <c r="AG588" s="13"/>
      <c r="AH588" s="13"/>
      <c r="AI588" s="13"/>
      <c r="AJ588" s="13">
        <f t="shared" si="95"/>
        <v>2.0724</v>
      </c>
      <c r="AK588" s="9"/>
      <c r="AL588" s="13"/>
      <c r="AM588" s="9"/>
      <c r="AN588" s="9"/>
      <c r="AO588" s="9"/>
      <c r="AP588" s="14"/>
    </row>
    <row r="589" spans="1:42" s="45" customFormat="1" ht="22" customHeight="1">
      <c r="A589" s="14" t="s">
        <v>17</v>
      </c>
      <c r="B589" s="8">
        <v>2024</v>
      </c>
      <c r="C589" s="8" t="s">
        <v>8</v>
      </c>
      <c r="D589" s="9" t="s">
        <v>185</v>
      </c>
      <c r="E589" s="9" t="s">
        <v>10</v>
      </c>
      <c r="F589" s="9" t="s">
        <v>186</v>
      </c>
      <c r="G589" s="8"/>
      <c r="H589" s="8"/>
      <c r="I589" s="9" t="s">
        <v>28</v>
      </c>
      <c r="J589" s="9" t="s">
        <v>11</v>
      </c>
      <c r="K589" s="9" t="s">
        <v>82</v>
      </c>
      <c r="L589" s="9" t="s">
        <v>166</v>
      </c>
      <c r="M589" s="9" t="s">
        <v>11</v>
      </c>
      <c r="N589" s="9" t="s">
        <v>266</v>
      </c>
      <c r="O589" s="9" t="s">
        <v>336</v>
      </c>
      <c r="P589" s="149" t="s">
        <v>340</v>
      </c>
      <c r="Q589" s="11"/>
      <c r="R589" s="11">
        <v>241</v>
      </c>
      <c r="S589" s="11">
        <f t="shared" si="91"/>
        <v>241</v>
      </c>
      <c r="T589" s="9"/>
      <c r="U589" s="14" t="s">
        <v>77</v>
      </c>
      <c r="V589" s="9"/>
      <c r="W589" s="12">
        <v>30</v>
      </c>
      <c r="X589" s="13"/>
      <c r="Y589" s="13"/>
      <c r="Z589" s="13"/>
      <c r="AA589" s="13"/>
      <c r="AB589" s="13"/>
      <c r="AC589" s="13">
        <f t="shared" si="93"/>
        <v>0.14460000000000001</v>
      </c>
      <c r="AD589" s="13"/>
      <c r="AE589" s="13"/>
      <c r="AF589" s="13">
        <f t="shared" si="94"/>
        <v>1.446</v>
      </c>
      <c r="AG589" s="13"/>
      <c r="AH589" s="13"/>
      <c r="AI589" s="13"/>
      <c r="AJ589" s="13">
        <f t="shared" si="95"/>
        <v>1.5906</v>
      </c>
      <c r="AK589" s="9"/>
      <c r="AL589" s="13"/>
      <c r="AM589" s="9"/>
      <c r="AN589" s="9"/>
      <c r="AO589" s="9"/>
      <c r="AP589" s="14"/>
    </row>
    <row r="590" spans="1:42" s="45" customFormat="1" ht="22" customHeight="1">
      <c r="A590" s="14" t="s">
        <v>17</v>
      </c>
      <c r="B590" s="8">
        <v>2024</v>
      </c>
      <c r="C590" s="8" t="s">
        <v>8</v>
      </c>
      <c r="D590" s="9" t="s">
        <v>185</v>
      </c>
      <c r="E590" s="9" t="s">
        <v>10</v>
      </c>
      <c r="F590" s="9" t="s">
        <v>186</v>
      </c>
      <c r="G590" s="8"/>
      <c r="H590" s="8"/>
      <c r="I590" s="9" t="s">
        <v>28</v>
      </c>
      <c r="J590" s="9" t="s">
        <v>11</v>
      </c>
      <c r="K590" s="9" t="s">
        <v>82</v>
      </c>
      <c r="L590" s="9" t="s">
        <v>166</v>
      </c>
      <c r="M590" s="9" t="s">
        <v>11</v>
      </c>
      <c r="N590" s="9" t="s">
        <v>266</v>
      </c>
      <c r="O590" s="9" t="s">
        <v>336</v>
      </c>
      <c r="P590" s="149" t="s">
        <v>341</v>
      </c>
      <c r="Q590" s="11"/>
      <c r="R590" s="11">
        <v>343</v>
      </c>
      <c r="S590" s="11">
        <f t="shared" si="91"/>
        <v>343</v>
      </c>
      <c r="T590" s="9"/>
      <c r="U590" s="14" t="s">
        <v>77</v>
      </c>
      <c r="V590" s="9"/>
      <c r="W590" s="12">
        <v>30</v>
      </c>
      <c r="X590" s="13"/>
      <c r="Y590" s="13"/>
      <c r="Z590" s="13"/>
      <c r="AA590" s="13"/>
      <c r="AB590" s="13"/>
      <c r="AC590" s="13">
        <f t="shared" si="93"/>
        <v>0.20580000000000001</v>
      </c>
      <c r="AD590" s="13"/>
      <c r="AE590" s="13"/>
      <c r="AF590" s="13">
        <f t="shared" si="94"/>
        <v>2.0579999999999998</v>
      </c>
      <c r="AG590" s="13"/>
      <c r="AH590" s="13"/>
      <c r="AI590" s="13"/>
      <c r="AJ590" s="13">
        <f t="shared" si="95"/>
        <v>2.2637999999999998</v>
      </c>
      <c r="AK590" s="9"/>
      <c r="AL590" s="13"/>
      <c r="AM590" s="9"/>
      <c r="AN590" s="9"/>
      <c r="AO590" s="9"/>
      <c r="AP590" s="14"/>
    </row>
    <row r="591" spans="1:42" s="45" customFormat="1" ht="22" customHeight="1">
      <c r="A591" s="14" t="s">
        <v>17</v>
      </c>
      <c r="B591" s="8">
        <v>2024</v>
      </c>
      <c r="C591" s="8" t="s">
        <v>8</v>
      </c>
      <c r="D591" s="9" t="s">
        <v>185</v>
      </c>
      <c r="E591" s="9" t="s">
        <v>10</v>
      </c>
      <c r="F591" s="9" t="s">
        <v>186</v>
      </c>
      <c r="G591" s="8"/>
      <c r="H591" s="8"/>
      <c r="I591" s="9" t="s">
        <v>28</v>
      </c>
      <c r="J591" s="9" t="s">
        <v>11</v>
      </c>
      <c r="K591" s="9" t="s">
        <v>82</v>
      </c>
      <c r="L591" s="9" t="s">
        <v>166</v>
      </c>
      <c r="M591" s="9" t="s">
        <v>28</v>
      </c>
      <c r="N591" s="9" t="s">
        <v>266</v>
      </c>
      <c r="O591" s="9" t="s">
        <v>342</v>
      </c>
      <c r="P591" s="149" t="s">
        <v>343</v>
      </c>
      <c r="Q591" s="11"/>
      <c r="R591" s="40">
        <v>159</v>
      </c>
      <c r="S591" s="11">
        <f t="shared" si="91"/>
        <v>159</v>
      </c>
      <c r="T591" s="9"/>
      <c r="U591" s="14" t="s">
        <v>77</v>
      </c>
      <c r="V591" s="9"/>
      <c r="W591" s="12">
        <v>30</v>
      </c>
      <c r="X591" s="13"/>
      <c r="Y591" s="13"/>
      <c r="Z591" s="13"/>
      <c r="AA591" s="13"/>
      <c r="AB591" s="13"/>
      <c r="AC591" s="13">
        <f t="shared" si="93"/>
        <v>9.5399999999999999E-2</v>
      </c>
      <c r="AD591" s="13"/>
      <c r="AE591" s="13"/>
      <c r="AF591" s="13">
        <f t="shared" si="94"/>
        <v>0.95399999999999996</v>
      </c>
      <c r="AG591" s="13"/>
      <c r="AH591" s="13"/>
      <c r="AI591" s="13"/>
      <c r="AJ591" s="13">
        <f t="shared" si="95"/>
        <v>1.0493999999999999</v>
      </c>
      <c r="AK591" s="9"/>
      <c r="AL591" s="13"/>
      <c r="AM591" s="9"/>
      <c r="AN591" s="9"/>
      <c r="AO591" s="9"/>
      <c r="AP591" s="14"/>
    </row>
    <row r="592" spans="1:42" s="45" customFormat="1" ht="22" customHeight="1">
      <c r="A592" s="14" t="s">
        <v>17</v>
      </c>
      <c r="B592" s="8">
        <v>2024</v>
      </c>
      <c r="C592" s="8" t="s">
        <v>8</v>
      </c>
      <c r="D592" s="9" t="s">
        <v>185</v>
      </c>
      <c r="E592" s="9" t="s">
        <v>10</v>
      </c>
      <c r="F592" s="9" t="s">
        <v>186</v>
      </c>
      <c r="G592" s="8"/>
      <c r="H592" s="8"/>
      <c r="I592" s="9" t="s">
        <v>28</v>
      </c>
      <c r="J592" s="9" t="s">
        <v>11</v>
      </c>
      <c r="K592" s="9" t="s">
        <v>82</v>
      </c>
      <c r="L592" s="9" t="s">
        <v>166</v>
      </c>
      <c r="M592" s="9" t="s">
        <v>28</v>
      </c>
      <c r="N592" s="9" t="s">
        <v>266</v>
      </c>
      <c r="O592" s="9" t="s">
        <v>342</v>
      </c>
      <c r="P592" s="149" t="s">
        <v>344</v>
      </c>
      <c r="Q592" s="11"/>
      <c r="R592" s="40">
        <v>114</v>
      </c>
      <c r="S592" s="11">
        <f t="shared" si="91"/>
        <v>114</v>
      </c>
      <c r="T592" s="9"/>
      <c r="U592" s="14" t="s">
        <v>77</v>
      </c>
      <c r="V592" s="9"/>
      <c r="W592" s="12">
        <v>30</v>
      </c>
      <c r="X592" s="13"/>
      <c r="Y592" s="13"/>
      <c r="Z592" s="13"/>
      <c r="AA592" s="13"/>
      <c r="AB592" s="13"/>
      <c r="AC592" s="13">
        <f t="shared" si="93"/>
        <v>6.8400000000000002E-2</v>
      </c>
      <c r="AD592" s="13"/>
      <c r="AE592" s="13"/>
      <c r="AF592" s="13">
        <f t="shared" si="94"/>
        <v>0.68400000000000005</v>
      </c>
      <c r="AG592" s="13"/>
      <c r="AH592" s="13"/>
      <c r="AI592" s="13"/>
      <c r="AJ592" s="13">
        <f t="shared" si="95"/>
        <v>0.75240000000000007</v>
      </c>
      <c r="AK592" s="9"/>
      <c r="AL592" s="13"/>
      <c r="AM592" s="9"/>
      <c r="AN592" s="9"/>
      <c r="AO592" s="9"/>
      <c r="AP592" s="14"/>
    </row>
    <row r="593" spans="1:42" s="45" customFormat="1" ht="22" customHeight="1">
      <c r="A593" s="14" t="s">
        <v>17</v>
      </c>
      <c r="B593" s="8">
        <v>2024</v>
      </c>
      <c r="C593" s="8" t="s">
        <v>8</v>
      </c>
      <c r="D593" s="9" t="s">
        <v>185</v>
      </c>
      <c r="E593" s="9" t="s">
        <v>10</v>
      </c>
      <c r="F593" s="9" t="s">
        <v>186</v>
      </c>
      <c r="G593" s="8"/>
      <c r="H593" s="8"/>
      <c r="I593" s="9" t="s">
        <v>28</v>
      </c>
      <c r="J593" s="9" t="s">
        <v>11</v>
      </c>
      <c r="K593" s="9" t="s">
        <v>82</v>
      </c>
      <c r="L593" s="9" t="s">
        <v>166</v>
      </c>
      <c r="M593" s="9" t="s">
        <v>28</v>
      </c>
      <c r="N593" s="9" t="s">
        <v>266</v>
      </c>
      <c r="O593" s="9" t="s">
        <v>342</v>
      </c>
      <c r="P593" s="149" t="s">
        <v>193</v>
      </c>
      <c r="Q593" s="11"/>
      <c r="R593" s="40">
        <v>301</v>
      </c>
      <c r="S593" s="11">
        <f t="shared" si="91"/>
        <v>301</v>
      </c>
      <c r="T593" s="9"/>
      <c r="U593" s="14" t="s">
        <v>77</v>
      </c>
      <c r="V593" s="9"/>
      <c r="W593" s="12">
        <v>30</v>
      </c>
      <c r="X593" s="13"/>
      <c r="Y593" s="13"/>
      <c r="Z593" s="13"/>
      <c r="AA593" s="13"/>
      <c r="AB593" s="13"/>
      <c r="AC593" s="13">
        <f t="shared" si="93"/>
        <v>0.18060000000000001</v>
      </c>
      <c r="AD593" s="13"/>
      <c r="AE593" s="13"/>
      <c r="AF593" s="13">
        <f t="shared" si="94"/>
        <v>1.806</v>
      </c>
      <c r="AG593" s="13"/>
      <c r="AH593" s="13"/>
      <c r="AI593" s="13"/>
      <c r="AJ593" s="13">
        <f t="shared" si="95"/>
        <v>1.9866000000000001</v>
      </c>
      <c r="AK593" s="9"/>
      <c r="AL593" s="13"/>
      <c r="AM593" s="9"/>
      <c r="AN593" s="9"/>
      <c r="AO593" s="9"/>
      <c r="AP593" s="14"/>
    </row>
    <row r="594" spans="1:42" s="45" customFormat="1" ht="22" customHeight="1">
      <c r="A594" s="14" t="s">
        <v>17</v>
      </c>
      <c r="B594" s="8">
        <v>2024</v>
      </c>
      <c r="C594" s="8" t="s">
        <v>8</v>
      </c>
      <c r="D594" s="9" t="s">
        <v>185</v>
      </c>
      <c r="E594" s="9" t="s">
        <v>10</v>
      </c>
      <c r="F594" s="9" t="s">
        <v>186</v>
      </c>
      <c r="G594" s="8"/>
      <c r="H594" s="8"/>
      <c r="I594" s="9" t="s">
        <v>28</v>
      </c>
      <c r="J594" s="9" t="s">
        <v>11</v>
      </c>
      <c r="K594" s="9" t="s">
        <v>82</v>
      </c>
      <c r="L594" s="9" t="s">
        <v>166</v>
      </c>
      <c r="M594" s="9" t="s">
        <v>28</v>
      </c>
      <c r="N594" s="9" t="s">
        <v>266</v>
      </c>
      <c r="O594" s="9" t="s">
        <v>342</v>
      </c>
      <c r="P594" s="149" t="s">
        <v>345</v>
      </c>
      <c r="Q594" s="11"/>
      <c r="R594" s="40">
        <v>119</v>
      </c>
      <c r="S594" s="11">
        <f t="shared" si="91"/>
        <v>119</v>
      </c>
      <c r="T594" s="9"/>
      <c r="U594" s="14" t="s">
        <v>77</v>
      </c>
      <c r="V594" s="9"/>
      <c r="W594" s="12">
        <v>30</v>
      </c>
      <c r="X594" s="13"/>
      <c r="Y594" s="13"/>
      <c r="Z594" s="13"/>
      <c r="AA594" s="13"/>
      <c r="AB594" s="13"/>
      <c r="AC594" s="13">
        <f t="shared" si="93"/>
        <v>7.1400000000000005E-2</v>
      </c>
      <c r="AD594" s="13"/>
      <c r="AE594" s="13"/>
      <c r="AF594" s="13">
        <f t="shared" si="94"/>
        <v>0.71399999999999997</v>
      </c>
      <c r="AG594" s="13"/>
      <c r="AH594" s="13"/>
      <c r="AI594" s="13"/>
      <c r="AJ594" s="13">
        <f t="shared" si="95"/>
        <v>0.78539999999999999</v>
      </c>
      <c r="AK594" s="9"/>
      <c r="AL594" s="13"/>
      <c r="AM594" s="9"/>
      <c r="AN594" s="9"/>
      <c r="AO594" s="9"/>
      <c r="AP594" s="14"/>
    </row>
    <row r="595" spans="1:42" s="45" customFormat="1" ht="22" customHeight="1">
      <c r="A595" s="14" t="s">
        <v>17</v>
      </c>
      <c r="B595" s="8">
        <v>2024</v>
      </c>
      <c r="C595" s="8" t="s">
        <v>8</v>
      </c>
      <c r="D595" s="9" t="s">
        <v>185</v>
      </c>
      <c r="E595" s="9" t="s">
        <v>10</v>
      </c>
      <c r="F595" s="9" t="s">
        <v>186</v>
      </c>
      <c r="G595" s="8"/>
      <c r="H595" s="8"/>
      <c r="I595" s="9" t="s">
        <v>28</v>
      </c>
      <c r="J595" s="9" t="s">
        <v>11</v>
      </c>
      <c r="K595" s="9" t="s">
        <v>82</v>
      </c>
      <c r="L595" s="9" t="s">
        <v>166</v>
      </c>
      <c r="M595" s="9" t="s">
        <v>28</v>
      </c>
      <c r="N595" s="9" t="s">
        <v>266</v>
      </c>
      <c r="O595" s="9" t="s">
        <v>342</v>
      </c>
      <c r="P595" s="149" t="s">
        <v>346</v>
      </c>
      <c r="Q595" s="11"/>
      <c r="R595" s="40">
        <v>166</v>
      </c>
      <c r="S595" s="11">
        <f t="shared" si="91"/>
        <v>166</v>
      </c>
      <c r="T595" s="9"/>
      <c r="U595" s="14" t="s">
        <v>77</v>
      </c>
      <c r="V595" s="9"/>
      <c r="W595" s="12">
        <v>30</v>
      </c>
      <c r="X595" s="13"/>
      <c r="Y595" s="13"/>
      <c r="Z595" s="13"/>
      <c r="AA595" s="13"/>
      <c r="AB595" s="13"/>
      <c r="AC595" s="13">
        <f t="shared" si="93"/>
        <v>9.9599999999999994E-2</v>
      </c>
      <c r="AD595" s="13"/>
      <c r="AE595" s="13"/>
      <c r="AF595" s="13">
        <f t="shared" si="94"/>
        <v>0.996</v>
      </c>
      <c r="AG595" s="13"/>
      <c r="AH595" s="13"/>
      <c r="AI595" s="13"/>
      <c r="AJ595" s="13">
        <f t="shared" si="95"/>
        <v>1.0955999999999999</v>
      </c>
      <c r="AK595" s="9"/>
      <c r="AL595" s="13"/>
      <c r="AM595" s="9"/>
      <c r="AN595" s="9"/>
      <c r="AO595" s="9"/>
      <c r="AP595" s="14"/>
    </row>
    <row r="596" spans="1:42" s="45" customFormat="1" ht="22" customHeight="1">
      <c r="A596" s="14" t="s">
        <v>17</v>
      </c>
      <c r="B596" s="8">
        <v>2024</v>
      </c>
      <c r="C596" s="8" t="s">
        <v>8</v>
      </c>
      <c r="D596" s="9" t="s">
        <v>185</v>
      </c>
      <c r="E596" s="9" t="s">
        <v>10</v>
      </c>
      <c r="F596" s="9" t="s">
        <v>186</v>
      </c>
      <c r="G596" s="8"/>
      <c r="H596" s="8"/>
      <c r="I596" s="9" t="s">
        <v>28</v>
      </c>
      <c r="J596" s="9" t="s">
        <v>11</v>
      </c>
      <c r="K596" s="9" t="s">
        <v>82</v>
      </c>
      <c r="L596" s="9" t="s">
        <v>166</v>
      </c>
      <c r="M596" s="9" t="s">
        <v>28</v>
      </c>
      <c r="N596" s="9" t="s">
        <v>266</v>
      </c>
      <c r="O596" s="9" t="s">
        <v>342</v>
      </c>
      <c r="P596" s="149" t="s">
        <v>347</v>
      </c>
      <c r="Q596" s="11"/>
      <c r="R596" s="40">
        <v>130</v>
      </c>
      <c r="S596" s="11">
        <f t="shared" si="91"/>
        <v>130</v>
      </c>
      <c r="T596" s="9"/>
      <c r="U596" s="14" t="s">
        <v>77</v>
      </c>
      <c r="V596" s="9"/>
      <c r="W596" s="12">
        <v>30</v>
      </c>
      <c r="X596" s="13"/>
      <c r="Y596" s="13"/>
      <c r="Z596" s="13"/>
      <c r="AA596" s="13"/>
      <c r="AB596" s="13"/>
      <c r="AC596" s="13">
        <f t="shared" si="93"/>
        <v>7.8E-2</v>
      </c>
      <c r="AD596" s="13"/>
      <c r="AE596" s="13"/>
      <c r="AF596" s="13">
        <f t="shared" si="94"/>
        <v>0.78</v>
      </c>
      <c r="AG596" s="13"/>
      <c r="AH596" s="13"/>
      <c r="AI596" s="13"/>
      <c r="AJ596" s="13">
        <f t="shared" si="95"/>
        <v>0.85799999999999998</v>
      </c>
      <c r="AK596" s="9"/>
      <c r="AL596" s="13"/>
      <c r="AM596" s="9"/>
      <c r="AN596" s="9"/>
      <c r="AO596" s="9"/>
      <c r="AP596" s="14"/>
    </row>
    <row r="597" spans="1:42" s="45" customFormat="1" ht="22" customHeight="1">
      <c r="A597" s="14" t="s">
        <v>17</v>
      </c>
      <c r="B597" s="8">
        <v>2024</v>
      </c>
      <c r="C597" s="8" t="s">
        <v>8</v>
      </c>
      <c r="D597" s="9" t="s">
        <v>185</v>
      </c>
      <c r="E597" s="9" t="s">
        <v>10</v>
      </c>
      <c r="F597" s="9" t="s">
        <v>186</v>
      </c>
      <c r="G597" s="8"/>
      <c r="H597" s="8"/>
      <c r="I597" s="9" t="s">
        <v>28</v>
      </c>
      <c r="J597" s="9" t="s">
        <v>11</v>
      </c>
      <c r="K597" s="9" t="s">
        <v>82</v>
      </c>
      <c r="L597" s="9" t="s">
        <v>166</v>
      </c>
      <c r="M597" s="9" t="s">
        <v>28</v>
      </c>
      <c r="N597" s="9" t="s">
        <v>266</v>
      </c>
      <c r="O597" s="9" t="s">
        <v>342</v>
      </c>
      <c r="P597" s="149" t="s">
        <v>348</v>
      </c>
      <c r="Q597" s="11"/>
      <c r="R597" s="40">
        <v>146</v>
      </c>
      <c r="S597" s="11">
        <f t="shared" si="91"/>
        <v>146</v>
      </c>
      <c r="T597" s="9"/>
      <c r="U597" s="14" t="s">
        <v>77</v>
      </c>
      <c r="V597" s="9"/>
      <c r="W597" s="12">
        <v>30</v>
      </c>
      <c r="X597" s="13"/>
      <c r="Y597" s="13"/>
      <c r="Z597" s="13"/>
      <c r="AA597" s="13"/>
      <c r="AB597" s="13"/>
      <c r="AC597" s="13">
        <f t="shared" si="93"/>
        <v>8.7599999999999997E-2</v>
      </c>
      <c r="AD597" s="13"/>
      <c r="AE597" s="13"/>
      <c r="AF597" s="13">
        <f t="shared" si="94"/>
        <v>0.876</v>
      </c>
      <c r="AG597" s="13"/>
      <c r="AH597" s="13"/>
      <c r="AI597" s="13"/>
      <c r="AJ597" s="13">
        <f t="shared" si="95"/>
        <v>0.96360000000000001</v>
      </c>
      <c r="AK597" s="9"/>
      <c r="AL597" s="13"/>
      <c r="AM597" s="9"/>
      <c r="AN597" s="9"/>
      <c r="AO597" s="9"/>
      <c r="AP597" s="14"/>
    </row>
    <row r="598" spans="1:42" s="45" customFormat="1" ht="22" customHeight="1">
      <c r="A598" s="14" t="s">
        <v>17</v>
      </c>
      <c r="B598" s="8">
        <v>2024</v>
      </c>
      <c r="C598" s="8" t="s">
        <v>8</v>
      </c>
      <c r="D598" s="9" t="s">
        <v>185</v>
      </c>
      <c r="E598" s="9" t="s">
        <v>10</v>
      </c>
      <c r="F598" s="9" t="s">
        <v>186</v>
      </c>
      <c r="G598" s="8"/>
      <c r="H598" s="8"/>
      <c r="I598" s="9" t="s">
        <v>28</v>
      </c>
      <c r="J598" s="9" t="s">
        <v>11</v>
      </c>
      <c r="K598" s="9" t="s">
        <v>82</v>
      </c>
      <c r="L598" s="9" t="s">
        <v>166</v>
      </c>
      <c r="M598" s="9" t="s">
        <v>28</v>
      </c>
      <c r="N598" s="9" t="s">
        <v>266</v>
      </c>
      <c r="O598" s="9" t="s">
        <v>342</v>
      </c>
      <c r="P598" s="149" t="s">
        <v>349</v>
      </c>
      <c r="Q598" s="11"/>
      <c r="R598" s="40">
        <v>129</v>
      </c>
      <c r="S598" s="11">
        <f t="shared" si="91"/>
        <v>129</v>
      </c>
      <c r="T598" s="9"/>
      <c r="U598" s="14" t="s">
        <v>77</v>
      </c>
      <c r="V598" s="9"/>
      <c r="W598" s="12">
        <v>30</v>
      </c>
      <c r="X598" s="13"/>
      <c r="Y598" s="13"/>
      <c r="Z598" s="13"/>
      <c r="AA598" s="13"/>
      <c r="AB598" s="13"/>
      <c r="AC598" s="13">
        <f t="shared" si="93"/>
        <v>7.7399999999999997E-2</v>
      </c>
      <c r="AD598" s="13"/>
      <c r="AE598" s="13"/>
      <c r="AF598" s="13">
        <f t="shared" si="94"/>
        <v>0.77400000000000002</v>
      </c>
      <c r="AG598" s="13"/>
      <c r="AH598" s="13"/>
      <c r="AI598" s="13"/>
      <c r="AJ598" s="13">
        <f t="shared" si="95"/>
        <v>0.85140000000000005</v>
      </c>
      <c r="AK598" s="9"/>
      <c r="AL598" s="13"/>
      <c r="AM598" s="9"/>
      <c r="AN598" s="9"/>
      <c r="AO598" s="9"/>
      <c r="AP598" s="14"/>
    </row>
    <row r="599" spans="1:42" s="45" customFormat="1" ht="22" customHeight="1">
      <c r="A599" s="14" t="s">
        <v>17</v>
      </c>
      <c r="B599" s="8">
        <v>2024</v>
      </c>
      <c r="C599" s="8" t="s">
        <v>8</v>
      </c>
      <c r="D599" s="9" t="s">
        <v>185</v>
      </c>
      <c r="E599" s="9" t="s">
        <v>10</v>
      </c>
      <c r="F599" s="9" t="s">
        <v>186</v>
      </c>
      <c r="G599" s="8"/>
      <c r="H599" s="8"/>
      <c r="I599" s="9" t="s">
        <v>28</v>
      </c>
      <c r="J599" s="9" t="s">
        <v>11</v>
      </c>
      <c r="K599" s="9" t="s">
        <v>82</v>
      </c>
      <c r="L599" s="9" t="s">
        <v>166</v>
      </c>
      <c r="M599" s="9" t="s">
        <v>28</v>
      </c>
      <c r="N599" s="9" t="s">
        <v>266</v>
      </c>
      <c r="O599" s="9" t="s">
        <v>342</v>
      </c>
      <c r="P599" s="149" t="s">
        <v>350</v>
      </c>
      <c r="Q599" s="11"/>
      <c r="R599" s="40">
        <v>353</v>
      </c>
      <c r="S599" s="11">
        <f t="shared" si="91"/>
        <v>353</v>
      </c>
      <c r="T599" s="9"/>
      <c r="U599" s="14" t="s">
        <v>77</v>
      </c>
      <c r="V599" s="9"/>
      <c r="W599" s="12">
        <v>30</v>
      </c>
      <c r="X599" s="13"/>
      <c r="Y599" s="13"/>
      <c r="Z599" s="13"/>
      <c r="AA599" s="13"/>
      <c r="AB599" s="13"/>
      <c r="AC599" s="13">
        <f t="shared" si="93"/>
        <v>0.21179999999999999</v>
      </c>
      <c r="AD599" s="13"/>
      <c r="AE599" s="13"/>
      <c r="AF599" s="13">
        <f t="shared" si="94"/>
        <v>2.1179999999999999</v>
      </c>
      <c r="AG599" s="13"/>
      <c r="AH599" s="13"/>
      <c r="AI599" s="13"/>
      <c r="AJ599" s="13">
        <f t="shared" si="95"/>
        <v>2.3297999999999996</v>
      </c>
      <c r="AK599" s="9"/>
      <c r="AL599" s="13"/>
      <c r="AM599" s="9"/>
      <c r="AN599" s="9"/>
      <c r="AO599" s="9"/>
      <c r="AP599" s="14"/>
    </row>
    <row r="600" spans="1:42" s="45" customFormat="1" ht="22" customHeight="1">
      <c r="A600" s="14" t="s">
        <v>17</v>
      </c>
      <c r="B600" s="8">
        <v>2024</v>
      </c>
      <c r="C600" s="8" t="s">
        <v>8</v>
      </c>
      <c r="D600" s="9" t="s">
        <v>185</v>
      </c>
      <c r="E600" s="9" t="s">
        <v>10</v>
      </c>
      <c r="F600" s="9" t="s">
        <v>186</v>
      </c>
      <c r="G600" s="8"/>
      <c r="H600" s="8"/>
      <c r="I600" s="9" t="s">
        <v>28</v>
      </c>
      <c r="J600" s="9" t="s">
        <v>11</v>
      </c>
      <c r="K600" s="9" t="s">
        <v>82</v>
      </c>
      <c r="L600" s="9" t="s">
        <v>166</v>
      </c>
      <c r="M600" s="9" t="s">
        <v>28</v>
      </c>
      <c r="N600" s="9" t="s">
        <v>266</v>
      </c>
      <c r="O600" s="9" t="s">
        <v>351</v>
      </c>
      <c r="P600" s="149" t="s">
        <v>352</v>
      </c>
      <c r="Q600" s="11"/>
      <c r="R600" s="40">
        <v>141</v>
      </c>
      <c r="S600" s="11">
        <f t="shared" si="91"/>
        <v>141</v>
      </c>
      <c r="T600" s="9"/>
      <c r="U600" s="14" t="s">
        <v>77</v>
      </c>
      <c r="V600" s="9"/>
      <c r="W600" s="12">
        <v>30</v>
      </c>
      <c r="X600" s="13"/>
      <c r="Y600" s="13"/>
      <c r="Z600" s="13"/>
      <c r="AA600" s="13"/>
      <c r="AB600" s="13"/>
      <c r="AC600" s="13">
        <f t="shared" si="93"/>
        <v>8.4599999999999995E-2</v>
      </c>
      <c r="AD600" s="13"/>
      <c r="AE600" s="13"/>
      <c r="AF600" s="13">
        <f t="shared" si="94"/>
        <v>0.84599999999999997</v>
      </c>
      <c r="AG600" s="13"/>
      <c r="AH600" s="13"/>
      <c r="AI600" s="13"/>
      <c r="AJ600" s="13">
        <f t="shared" si="95"/>
        <v>0.93059999999999998</v>
      </c>
      <c r="AK600" s="9"/>
      <c r="AL600" s="13"/>
      <c r="AM600" s="9"/>
      <c r="AN600" s="9"/>
      <c r="AO600" s="9"/>
      <c r="AP600" s="14"/>
    </row>
    <row r="601" spans="1:42" s="45" customFormat="1" ht="22" customHeight="1">
      <c r="A601" s="14" t="s">
        <v>17</v>
      </c>
      <c r="B601" s="8">
        <v>2024</v>
      </c>
      <c r="C601" s="8" t="s">
        <v>8</v>
      </c>
      <c r="D601" s="9" t="s">
        <v>185</v>
      </c>
      <c r="E601" s="9" t="s">
        <v>10</v>
      </c>
      <c r="F601" s="9" t="s">
        <v>186</v>
      </c>
      <c r="G601" s="8"/>
      <c r="H601" s="8"/>
      <c r="I601" s="9" t="s">
        <v>28</v>
      </c>
      <c r="J601" s="9" t="s">
        <v>11</v>
      </c>
      <c r="K601" s="9" t="s">
        <v>82</v>
      </c>
      <c r="L601" s="9" t="s">
        <v>166</v>
      </c>
      <c r="M601" s="9" t="s">
        <v>28</v>
      </c>
      <c r="N601" s="9" t="s">
        <v>266</v>
      </c>
      <c r="O601" s="9" t="s">
        <v>351</v>
      </c>
      <c r="P601" s="149" t="s">
        <v>353</v>
      </c>
      <c r="Q601" s="11"/>
      <c r="R601" s="40">
        <v>194</v>
      </c>
      <c r="S601" s="11">
        <f t="shared" si="91"/>
        <v>194</v>
      </c>
      <c r="T601" s="9"/>
      <c r="U601" s="14" t="s">
        <v>77</v>
      </c>
      <c r="V601" s="9"/>
      <c r="W601" s="12">
        <v>30</v>
      </c>
      <c r="X601" s="13"/>
      <c r="Y601" s="13"/>
      <c r="Z601" s="13"/>
      <c r="AA601" s="13"/>
      <c r="AB601" s="13"/>
      <c r="AC601" s="13">
        <f t="shared" si="93"/>
        <v>0.1164</v>
      </c>
      <c r="AD601" s="13"/>
      <c r="AE601" s="13"/>
      <c r="AF601" s="13">
        <f t="shared" si="94"/>
        <v>1.1639999999999999</v>
      </c>
      <c r="AG601" s="13"/>
      <c r="AH601" s="13"/>
      <c r="AI601" s="13"/>
      <c r="AJ601" s="13">
        <f t="shared" si="95"/>
        <v>1.2804</v>
      </c>
      <c r="AK601" s="9"/>
      <c r="AL601" s="13"/>
      <c r="AM601" s="9"/>
      <c r="AN601" s="9"/>
      <c r="AO601" s="9"/>
      <c r="AP601" s="14"/>
    </row>
    <row r="602" spans="1:42" s="45" customFormat="1" ht="22" customHeight="1">
      <c r="A602" s="14" t="s">
        <v>17</v>
      </c>
      <c r="B602" s="8">
        <v>2024</v>
      </c>
      <c r="C602" s="8" t="s">
        <v>8</v>
      </c>
      <c r="D602" s="9" t="s">
        <v>185</v>
      </c>
      <c r="E602" s="9" t="s">
        <v>10</v>
      </c>
      <c r="F602" s="9" t="s">
        <v>186</v>
      </c>
      <c r="G602" s="8"/>
      <c r="H602" s="8"/>
      <c r="I602" s="9" t="s">
        <v>28</v>
      </c>
      <c r="J602" s="9" t="s">
        <v>11</v>
      </c>
      <c r="K602" s="9" t="s">
        <v>82</v>
      </c>
      <c r="L602" s="9" t="s">
        <v>166</v>
      </c>
      <c r="M602" s="9" t="s">
        <v>28</v>
      </c>
      <c r="N602" s="9" t="s">
        <v>266</v>
      </c>
      <c r="O602" s="9" t="s">
        <v>351</v>
      </c>
      <c r="P602" s="149" t="s">
        <v>354</v>
      </c>
      <c r="Q602" s="11"/>
      <c r="R602" s="40">
        <v>69</v>
      </c>
      <c r="S602" s="11">
        <f t="shared" si="91"/>
        <v>69</v>
      </c>
      <c r="T602" s="9"/>
      <c r="U602" s="14" t="s">
        <v>77</v>
      </c>
      <c r="V602" s="9"/>
      <c r="W602" s="12">
        <v>30</v>
      </c>
      <c r="X602" s="13"/>
      <c r="Y602" s="13"/>
      <c r="Z602" s="13"/>
      <c r="AA602" s="13"/>
      <c r="AB602" s="13"/>
      <c r="AC602" s="13">
        <f t="shared" si="93"/>
        <v>4.1399999999999999E-2</v>
      </c>
      <c r="AD602" s="13"/>
      <c r="AE602" s="13"/>
      <c r="AF602" s="13">
        <f t="shared" si="94"/>
        <v>0.41399999999999998</v>
      </c>
      <c r="AG602" s="13"/>
      <c r="AH602" s="13"/>
      <c r="AI602" s="13"/>
      <c r="AJ602" s="13">
        <f t="shared" si="95"/>
        <v>0.45539999999999997</v>
      </c>
      <c r="AK602" s="9"/>
      <c r="AL602" s="13"/>
      <c r="AM602" s="9"/>
      <c r="AN602" s="9"/>
      <c r="AO602" s="9"/>
      <c r="AP602" s="14"/>
    </row>
    <row r="603" spans="1:42" s="45" customFormat="1" ht="22" customHeight="1">
      <c r="A603" s="14" t="s">
        <v>17</v>
      </c>
      <c r="B603" s="8">
        <v>2024</v>
      </c>
      <c r="C603" s="8" t="s">
        <v>8</v>
      </c>
      <c r="D603" s="9" t="s">
        <v>185</v>
      </c>
      <c r="E603" s="9" t="s">
        <v>10</v>
      </c>
      <c r="F603" s="9" t="s">
        <v>186</v>
      </c>
      <c r="G603" s="8"/>
      <c r="H603" s="8"/>
      <c r="I603" s="9" t="s">
        <v>28</v>
      </c>
      <c r="J603" s="9" t="s">
        <v>11</v>
      </c>
      <c r="K603" s="9" t="s">
        <v>82</v>
      </c>
      <c r="L603" s="9" t="s">
        <v>166</v>
      </c>
      <c r="M603" s="9" t="s">
        <v>28</v>
      </c>
      <c r="N603" s="9" t="s">
        <v>266</v>
      </c>
      <c r="O603" s="9" t="s">
        <v>351</v>
      </c>
      <c r="P603" s="149" t="s">
        <v>355</v>
      </c>
      <c r="Q603" s="11"/>
      <c r="R603" s="40">
        <v>131</v>
      </c>
      <c r="S603" s="11">
        <f t="shared" si="91"/>
        <v>131</v>
      </c>
      <c r="T603" s="9"/>
      <c r="U603" s="14" t="s">
        <v>77</v>
      </c>
      <c r="V603" s="9"/>
      <c r="W603" s="12">
        <v>30</v>
      </c>
      <c r="X603" s="13"/>
      <c r="Y603" s="13"/>
      <c r="Z603" s="13"/>
      <c r="AA603" s="13"/>
      <c r="AB603" s="13"/>
      <c r="AC603" s="13">
        <f t="shared" si="93"/>
        <v>7.8600000000000003E-2</v>
      </c>
      <c r="AD603" s="13"/>
      <c r="AE603" s="13"/>
      <c r="AF603" s="13">
        <f t="shared" si="94"/>
        <v>0.78600000000000003</v>
      </c>
      <c r="AG603" s="13"/>
      <c r="AH603" s="13"/>
      <c r="AI603" s="13"/>
      <c r="AJ603" s="13">
        <f t="shared" si="95"/>
        <v>0.86460000000000004</v>
      </c>
      <c r="AK603" s="9"/>
      <c r="AL603" s="13"/>
      <c r="AM603" s="9"/>
      <c r="AN603" s="9"/>
      <c r="AO603" s="9"/>
      <c r="AP603" s="14"/>
    </row>
    <row r="604" spans="1:42" s="45" customFormat="1" ht="22" customHeight="1">
      <c r="A604" s="14" t="s">
        <v>17</v>
      </c>
      <c r="B604" s="8">
        <v>2024</v>
      </c>
      <c r="C604" s="8" t="s">
        <v>8</v>
      </c>
      <c r="D604" s="9" t="s">
        <v>185</v>
      </c>
      <c r="E604" s="9" t="s">
        <v>10</v>
      </c>
      <c r="F604" s="9" t="s">
        <v>186</v>
      </c>
      <c r="G604" s="8"/>
      <c r="H604" s="8"/>
      <c r="I604" s="9" t="s">
        <v>28</v>
      </c>
      <c r="J604" s="9" t="s">
        <v>11</v>
      </c>
      <c r="K604" s="9" t="s">
        <v>82</v>
      </c>
      <c r="L604" s="9" t="s">
        <v>166</v>
      </c>
      <c r="M604" s="9" t="s">
        <v>28</v>
      </c>
      <c r="N604" s="9" t="s">
        <v>266</v>
      </c>
      <c r="O604" s="9" t="s">
        <v>351</v>
      </c>
      <c r="P604" s="149" t="s">
        <v>356</v>
      </c>
      <c r="Q604" s="11"/>
      <c r="R604" s="40">
        <v>128</v>
      </c>
      <c r="S604" s="11">
        <f t="shared" si="91"/>
        <v>128</v>
      </c>
      <c r="T604" s="9"/>
      <c r="U604" s="14" t="s">
        <v>77</v>
      </c>
      <c r="V604" s="9"/>
      <c r="W604" s="12">
        <v>30</v>
      </c>
      <c r="X604" s="13"/>
      <c r="Y604" s="13"/>
      <c r="Z604" s="13"/>
      <c r="AA604" s="13"/>
      <c r="AB604" s="13"/>
      <c r="AC604" s="13">
        <f t="shared" si="93"/>
        <v>7.6799999999999993E-2</v>
      </c>
      <c r="AD604" s="13"/>
      <c r="AE604" s="13"/>
      <c r="AF604" s="13">
        <f t="shared" si="94"/>
        <v>0.76800000000000002</v>
      </c>
      <c r="AG604" s="13"/>
      <c r="AH604" s="13"/>
      <c r="AI604" s="13"/>
      <c r="AJ604" s="13">
        <f t="shared" si="95"/>
        <v>0.8448</v>
      </c>
      <c r="AK604" s="9"/>
      <c r="AL604" s="13"/>
      <c r="AM604" s="9"/>
      <c r="AN604" s="9"/>
      <c r="AO604" s="9"/>
      <c r="AP604" s="14"/>
    </row>
    <row r="605" spans="1:42" s="45" customFormat="1" ht="22" customHeight="1">
      <c r="A605" s="14" t="s">
        <v>17</v>
      </c>
      <c r="B605" s="8">
        <v>2024</v>
      </c>
      <c r="C605" s="8" t="s">
        <v>8</v>
      </c>
      <c r="D605" s="9" t="s">
        <v>185</v>
      </c>
      <c r="E605" s="9" t="s">
        <v>10</v>
      </c>
      <c r="F605" s="9" t="s">
        <v>186</v>
      </c>
      <c r="G605" s="8"/>
      <c r="H605" s="8"/>
      <c r="I605" s="9" t="s">
        <v>28</v>
      </c>
      <c r="J605" s="9" t="s">
        <v>11</v>
      </c>
      <c r="K605" s="9" t="s">
        <v>82</v>
      </c>
      <c r="L605" s="9" t="s">
        <v>166</v>
      </c>
      <c r="M605" s="9" t="s">
        <v>28</v>
      </c>
      <c r="N605" s="9" t="s">
        <v>266</v>
      </c>
      <c r="O605" s="9" t="s">
        <v>357</v>
      </c>
      <c r="P605" s="149" t="s">
        <v>358</v>
      </c>
      <c r="Q605" s="11"/>
      <c r="R605" s="40">
        <v>96</v>
      </c>
      <c r="S605" s="11">
        <f t="shared" si="91"/>
        <v>96</v>
      </c>
      <c r="T605" s="9"/>
      <c r="U605" s="14" t="s">
        <v>77</v>
      </c>
      <c r="V605" s="9"/>
      <c r="W605" s="12">
        <v>30</v>
      </c>
      <c r="X605" s="13"/>
      <c r="Y605" s="13"/>
      <c r="Z605" s="13"/>
      <c r="AA605" s="13"/>
      <c r="AB605" s="13"/>
      <c r="AC605" s="13">
        <f t="shared" si="93"/>
        <v>5.7599999999999998E-2</v>
      </c>
      <c r="AD605" s="13"/>
      <c r="AE605" s="13"/>
      <c r="AF605" s="13">
        <f t="shared" si="94"/>
        <v>0.57599999999999996</v>
      </c>
      <c r="AG605" s="13"/>
      <c r="AH605" s="13"/>
      <c r="AI605" s="13"/>
      <c r="AJ605" s="13">
        <f t="shared" si="95"/>
        <v>0.63359999999999994</v>
      </c>
      <c r="AK605" s="9"/>
      <c r="AL605" s="13"/>
      <c r="AM605" s="9"/>
      <c r="AN605" s="9"/>
      <c r="AO605" s="9"/>
      <c r="AP605" s="14"/>
    </row>
    <row r="606" spans="1:42" s="45" customFormat="1" ht="22" customHeight="1">
      <c r="A606" s="14" t="s">
        <v>17</v>
      </c>
      <c r="B606" s="8">
        <v>2024</v>
      </c>
      <c r="C606" s="8" t="s">
        <v>8</v>
      </c>
      <c r="D606" s="9" t="s">
        <v>185</v>
      </c>
      <c r="E606" s="9" t="s">
        <v>10</v>
      </c>
      <c r="F606" s="9" t="s">
        <v>186</v>
      </c>
      <c r="G606" s="8"/>
      <c r="H606" s="8"/>
      <c r="I606" s="9" t="s">
        <v>28</v>
      </c>
      <c r="J606" s="9" t="s">
        <v>11</v>
      </c>
      <c r="K606" s="9" t="s">
        <v>82</v>
      </c>
      <c r="L606" s="9" t="s">
        <v>166</v>
      </c>
      <c r="M606" s="9" t="s">
        <v>28</v>
      </c>
      <c r="N606" s="9" t="s">
        <v>266</v>
      </c>
      <c r="O606" s="9" t="s">
        <v>357</v>
      </c>
      <c r="P606" s="149" t="s">
        <v>359</v>
      </c>
      <c r="Q606" s="11"/>
      <c r="R606" s="40">
        <v>340</v>
      </c>
      <c r="S606" s="11">
        <f t="shared" si="91"/>
        <v>340</v>
      </c>
      <c r="T606" s="9"/>
      <c r="U606" s="14" t="s">
        <v>77</v>
      </c>
      <c r="V606" s="9"/>
      <c r="W606" s="12">
        <v>30</v>
      </c>
      <c r="X606" s="13"/>
      <c r="Y606" s="13"/>
      <c r="Z606" s="13"/>
      <c r="AA606" s="13"/>
      <c r="AB606" s="13"/>
      <c r="AC606" s="13">
        <f t="shared" si="93"/>
        <v>0.20399999999999999</v>
      </c>
      <c r="AD606" s="13"/>
      <c r="AE606" s="13"/>
      <c r="AF606" s="13">
        <f t="shared" si="94"/>
        <v>2.04</v>
      </c>
      <c r="AG606" s="13"/>
      <c r="AH606" s="13"/>
      <c r="AI606" s="13"/>
      <c r="AJ606" s="13">
        <f t="shared" si="95"/>
        <v>2.2440000000000002</v>
      </c>
      <c r="AK606" s="9"/>
      <c r="AL606" s="13"/>
      <c r="AM606" s="9"/>
      <c r="AN606" s="9"/>
      <c r="AO606" s="9"/>
      <c r="AP606" s="14"/>
    </row>
    <row r="607" spans="1:42" s="45" customFormat="1" ht="22" customHeight="1">
      <c r="A607" s="14" t="s">
        <v>17</v>
      </c>
      <c r="B607" s="8">
        <v>2024</v>
      </c>
      <c r="C607" s="8" t="s">
        <v>8</v>
      </c>
      <c r="D607" s="9" t="s">
        <v>185</v>
      </c>
      <c r="E607" s="9" t="s">
        <v>10</v>
      </c>
      <c r="F607" s="9" t="s">
        <v>186</v>
      </c>
      <c r="G607" s="8"/>
      <c r="H607" s="8"/>
      <c r="I607" s="9" t="s">
        <v>28</v>
      </c>
      <c r="J607" s="9" t="s">
        <v>11</v>
      </c>
      <c r="K607" s="9" t="s">
        <v>82</v>
      </c>
      <c r="L607" s="9" t="s">
        <v>166</v>
      </c>
      <c r="M607" s="9" t="s">
        <v>28</v>
      </c>
      <c r="N607" s="9" t="s">
        <v>266</v>
      </c>
      <c r="O607" s="9" t="s">
        <v>357</v>
      </c>
      <c r="P607" s="149" t="s">
        <v>360</v>
      </c>
      <c r="Q607" s="11"/>
      <c r="R607" s="40">
        <v>120</v>
      </c>
      <c r="S607" s="11">
        <f t="shared" si="91"/>
        <v>120</v>
      </c>
      <c r="T607" s="9"/>
      <c r="U607" s="14" t="s">
        <v>77</v>
      </c>
      <c r="V607" s="9"/>
      <c r="W607" s="12">
        <v>30</v>
      </c>
      <c r="X607" s="13"/>
      <c r="Y607" s="13"/>
      <c r="Z607" s="13"/>
      <c r="AA607" s="13"/>
      <c r="AB607" s="13"/>
      <c r="AC607" s="13">
        <f t="shared" si="93"/>
        <v>7.1999999999999995E-2</v>
      </c>
      <c r="AD607" s="13"/>
      <c r="AE607" s="13"/>
      <c r="AF607" s="13">
        <f t="shared" si="94"/>
        <v>0.72</v>
      </c>
      <c r="AG607" s="13"/>
      <c r="AH607" s="13"/>
      <c r="AI607" s="13"/>
      <c r="AJ607" s="13">
        <f t="shared" si="95"/>
        <v>0.79199999999999993</v>
      </c>
      <c r="AK607" s="9"/>
      <c r="AL607" s="13"/>
      <c r="AM607" s="9"/>
      <c r="AN607" s="9"/>
      <c r="AO607" s="9"/>
      <c r="AP607" s="14"/>
    </row>
    <row r="608" spans="1:42" s="45" customFormat="1" ht="22" customHeight="1">
      <c r="A608" s="14" t="s">
        <v>17</v>
      </c>
      <c r="B608" s="8">
        <v>2024</v>
      </c>
      <c r="C608" s="8" t="s">
        <v>8</v>
      </c>
      <c r="D608" s="9" t="s">
        <v>185</v>
      </c>
      <c r="E608" s="9" t="s">
        <v>10</v>
      </c>
      <c r="F608" s="9" t="s">
        <v>186</v>
      </c>
      <c r="G608" s="8"/>
      <c r="H608" s="8"/>
      <c r="I608" s="9" t="s">
        <v>28</v>
      </c>
      <c r="J608" s="9" t="s">
        <v>11</v>
      </c>
      <c r="K608" s="9" t="s">
        <v>82</v>
      </c>
      <c r="L608" s="9" t="s">
        <v>166</v>
      </c>
      <c r="M608" s="9" t="s">
        <v>28</v>
      </c>
      <c r="N608" s="9" t="s">
        <v>266</v>
      </c>
      <c r="O608" s="9" t="s">
        <v>357</v>
      </c>
      <c r="P608" s="149" t="s">
        <v>361</v>
      </c>
      <c r="Q608" s="11"/>
      <c r="R608" s="40">
        <v>173</v>
      </c>
      <c r="S608" s="11">
        <f t="shared" si="91"/>
        <v>173</v>
      </c>
      <c r="T608" s="9"/>
      <c r="U608" s="14" t="s">
        <v>77</v>
      </c>
      <c r="V608" s="9"/>
      <c r="W608" s="12">
        <v>30</v>
      </c>
      <c r="X608" s="13"/>
      <c r="Y608" s="13"/>
      <c r="Z608" s="13"/>
      <c r="AA608" s="13"/>
      <c r="AB608" s="13"/>
      <c r="AC608" s="13">
        <f t="shared" si="93"/>
        <v>0.1038</v>
      </c>
      <c r="AD608" s="13"/>
      <c r="AE608" s="13"/>
      <c r="AF608" s="13">
        <f t="shared" si="94"/>
        <v>1.038</v>
      </c>
      <c r="AG608" s="13"/>
      <c r="AH608" s="13"/>
      <c r="AI608" s="13"/>
      <c r="AJ608" s="13">
        <f t="shared" si="95"/>
        <v>1.1417999999999999</v>
      </c>
      <c r="AK608" s="9"/>
      <c r="AL608" s="13"/>
      <c r="AM608" s="9"/>
      <c r="AN608" s="9"/>
      <c r="AO608" s="9"/>
      <c r="AP608" s="14"/>
    </row>
    <row r="609" spans="1:42" s="45" customFormat="1" ht="22" customHeight="1">
      <c r="A609" s="14" t="s">
        <v>17</v>
      </c>
      <c r="B609" s="8">
        <v>2024</v>
      </c>
      <c r="C609" s="8" t="s">
        <v>8</v>
      </c>
      <c r="D609" s="9" t="s">
        <v>185</v>
      </c>
      <c r="E609" s="9" t="s">
        <v>10</v>
      </c>
      <c r="F609" s="9" t="s">
        <v>186</v>
      </c>
      <c r="G609" s="8"/>
      <c r="H609" s="8"/>
      <c r="I609" s="9" t="s">
        <v>28</v>
      </c>
      <c r="J609" s="9" t="s">
        <v>11</v>
      </c>
      <c r="K609" s="9" t="s">
        <v>82</v>
      </c>
      <c r="L609" s="9" t="s">
        <v>166</v>
      </c>
      <c r="M609" s="9" t="s">
        <v>28</v>
      </c>
      <c r="N609" s="9" t="s">
        <v>266</v>
      </c>
      <c r="O609" s="9" t="s">
        <v>357</v>
      </c>
      <c r="P609" s="149" t="s">
        <v>362</v>
      </c>
      <c r="Q609" s="11"/>
      <c r="R609" s="40">
        <v>180</v>
      </c>
      <c r="S609" s="11">
        <f t="shared" si="91"/>
        <v>180</v>
      </c>
      <c r="T609" s="9"/>
      <c r="U609" s="14" t="s">
        <v>77</v>
      </c>
      <c r="V609" s="9"/>
      <c r="W609" s="12">
        <v>30</v>
      </c>
      <c r="X609" s="13"/>
      <c r="Y609" s="13"/>
      <c r="Z609" s="13"/>
      <c r="AA609" s="13"/>
      <c r="AB609" s="13"/>
      <c r="AC609" s="13">
        <f t="shared" si="93"/>
        <v>0.108</v>
      </c>
      <c r="AD609" s="13"/>
      <c r="AE609" s="13"/>
      <c r="AF609" s="13">
        <f t="shared" si="94"/>
        <v>1.08</v>
      </c>
      <c r="AG609" s="13"/>
      <c r="AH609" s="13"/>
      <c r="AI609" s="13"/>
      <c r="AJ609" s="13">
        <f t="shared" si="95"/>
        <v>1.1880000000000002</v>
      </c>
      <c r="AK609" s="9"/>
      <c r="AL609" s="13"/>
      <c r="AM609" s="9"/>
      <c r="AN609" s="9"/>
      <c r="AO609" s="9"/>
      <c r="AP609" s="14"/>
    </row>
    <row r="610" spans="1:42" s="45" customFormat="1" ht="22" customHeight="1">
      <c r="A610" s="14" t="s">
        <v>17</v>
      </c>
      <c r="B610" s="8">
        <v>2024</v>
      </c>
      <c r="C610" s="8" t="s">
        <v>8</v>
      </c>
      <c r="D610" s="9" t="s">
        <v>185</v>
      </c>
      <c r="E610" s="9" t="s">
        <v>10</v>
      </c>
      <c r="F610" s="9" t="s">
        <v>186</v>
      </c>
      <c r="G610" s="8"/>
      <c r="H610" s="8"/>
      <c r="I610" s="9" t="s">
        <v>28</v>
      </c>
      <c r="J610" s="9" t="s">
        <v>11</v>
      </c>
      <c r="K610" s="9" t="s">
        <v>82</v>
      </c>
      <c r="L610" s="9" t="s">
        <v>166</v>
      </c>
      <c r="M610" s="9" t="s">
        <v>28</v>
      </c>
      <c r="N610" s="9" t="s">
        <v>266</v>
      </c>
      <c r="O610" s="9" t="s">
        <v>357</v>
      </c>
      <c r="P610" s="149" t="s">
        <v>363</v>
      </c>
      <c r="Q610" s="11"/>
      <c r="R610" s="40">
        <v>82</v>
      </c>
      <c r="S610" s="11">
        <f t="shared" si="91"/>
        <v>82</v>
      </c>
      <c r="T610" s="9"/>
      <c r="U610" s="14" t="s">
        <v>77</v>
      </c>
      <c r="V610" s="9"/>
      <c r="W610" s="12">
        <v>30</v>
      </c>
      <c r="X610" s="13"/>
      <c r="Y610" s="13"/>
      <c r="Z610" s="13"/>
      <c r="AA610" s="13"/>
      <c r="AB610" s="13"/>
      <c r="AC610" s="13">
        <f t="shared" si="93"/>
        <v>4.9200000000000001E-2</v>
      </c>
      <c r="AD610" s="13"/>
      <c r="AE610" s="13"/>
      <c r="AF610" s="13">
        <f t="shared" si="94"/>
        <v>0.49199999999999999</v>
      </c>
      <c r="AG610" s="13"/>
      <c r="AH610" s="13"/>
      <c r="AI610" s="13"/>
      <c r="AJ610" s="13">
        <f t="shared" si="95"/>
        <v>0.54120000000000001</v>
      </c>
      <c r="AK610" s="9"/>
      <c r="AL610" s="13"/>
      <c r="AM610" s="9"/>
      <c r="AN610" s="9"/>
      <c r="AO610" s="9"/>
      <c r="AP610" s="14"/>
    </row>
    <row r="611" spans="1:42" s="45" customFormat="1" ht="22" customHeight="1">
      <c r="A611" s="14" t="s">
        <v>17</v>
      </c>
      <c r="B611" s="8">
        <v>2024</v>
      </c>
      <c r="C611" s="8" t="s">
        <v>8</v>
      </c>
      <c r="D611" s="9" t="s">
        <v>185</v>
      </c>
      <c r="E611" s="9" t="s">
        <v>10</v>
      </c>
      <c r="F611" s="9" t="s">
        <v>186</v>
      </c>
      <c r="G611" s="8"/>
      <c r="H611" s="8"/>
      <c r="I611" s="9" t="s">
        <v>28</v>
      </c>
      <c r="J611" s="9" t="s">
        <v>11</v>
      </c>
      <c r="K611" s="9" t="s">
        <v>82</v>
      </c>
      <c r="L611" s="9" t="s">
        <v>166</v>
      </c>
      <c r="M611" s="9" t="s">
        <v>28</v>
      </c>
      <c r="N611" s="9" t="s">
        <v>266</v>
      </c>
      <c r="O611" s="9" t="s">
        <v>357</v>
      </c>
      <c r="P611" s="149" t="s">
        <v>364</v>
      </c>
      <c r="Q611" s="11"/>
      <c r="R611" s="40">
        <v>294</v>
      </c>
      <c r="S611" s="11">
        <f t="shared" si="91"/>
        <v>294</v>
      </c>
      <c r="T611" s="9"/>
      <c r="U611" s="14" t="s">
        <v>77</v>
      </c>
      <c r="V611" s="9"/>
      <c r="W611" s="12">
        <v>30</v>
      </c>
      <c r="X611" s="13"/>
      <c r="Y611" s="13"/>
      <c r="Z611" s="13"/>
      <c r="AA611" s="13"/>
      <c r="AB611" s="13"/>
      <c r="AC611" s="13">
        <f t="shared" si="93"/>
        <v>0.1764</v>
      </c>
      <c r="AD611" s="13"/>
      <c r="AE611" s="13"/>
      <c r="AF611" s="13">
        <f t="shared" si="94"/>
        <v>1.764</v>
      </c>
      <c r="AG611" s="13"/>
      <c r="AH611" s="13"/>
      <c r="AI611" s="13"/>
      <c r="AJ611" s="13">
        <f t="shared" si="95"/>
        <v>1.9403999999999999</v>
      </c>
      <c r="AK611" s="9"/>
      <c r="AL611" s="13"/>
      <c r="AM611" s="9"/>
      <c r="AN611" s="9"/>
      <c r="AO611" s="9"/>
      <c r="AP611" s="14"/>
    </row>
    <row r="612" spans="1:42" s="45" customFormat="1" ht="22" customHeight="1">
      <c r="A612" s="14" t="s">
        <v>17</v>
      </c>
      <c r="B612" s="8">
        <v>2024</v>
      </c>
      <c r="C612" s="8" t="s">
        <v>8</v>
      </c>
      <c r="D612" s="9" t="s">
        <v>185</v>
      </c>
      <c r="E612" s="9" t="s">
        <v>10</v>
      </c>
      <c r="F612" s="9" t="s">
        <v>186</v>
      </c>
      <c r="G612" s="8"/>
      <c r="H612" s="8"/>
      <c r="I612" s="9" t="s">
        <v>28</v>
      </c>
      <c r="J612" s="9" t="s">
        <v>11</v>
      </c>
      <c r="K612" s="9" t="s">
        <v>82</v>
      </c>
      <c r="L612" s="9" t="s">
        <v>166</v>
      </c>
      <c r="M612" s="9" t="s">
        <v>28</v>
      </c>
      <c r="N612" s="9" t="s">
        <v>266</v>
      </c>
      <c r="O612" s="9" t="s">
        <v>365</v>
      </c>
      <c r="P612" s="149" t="s">
        <v>366</v>
      </c>
      <c r="Q612" s="11"/>
      <c r="R612" s="40">
        <v>101</v>
      </c>
      <c r="S612" s="11">
        <f t="shared" si="91"/>
        <v>101</v>
      </c>
      <c r="T612" s="9"/>
      <c r="U612" s="14" t="s">
        <v>77</v>
      </c>
      <c r="V612" s="9"/>
      <c r="W612" s="12">
        <v>30</v>
      </c>
      <c r="X612" s="13"/>
      <c r="Y612" s="13"/>
      <c r="Z612" s="13"/>
      <c r="AA612" s="13"/>
      <c r="AB612" s="13"/>
      <c r="AC612" s="13">
        <f t="shared" si="93"/>
        <v>6.0600000000000001E-2</v>
      </c>
      <c r="AD612" s="13"/>
      <c r="AE612" s="13"/>
      <c r="AF612" s="13">
        <f t="shared" si="94"/>
        <v>0.60599999999999998</v>
      </c>
      <c r="AG612" s="13"/>
      <c r="AH612" s="13"/>
      <c r="AI612" s="13"/>
      <c r="AJ612" s="13">
        <f t="shared" si="95"/>
        <v>0.66659999999999997</v>
      </c>
      <c r="AK612" s="9"/>
      <c r="AL612" s="13"/>
      <c r="AM612" s="9"/>
      <c r="AN612" s="9"/>
      <c r="AO612" s="9"/>
      <c r="AP612" s="14"/>
    </row>
    <row r="613" spans="1:42" s="45" customFormat="1" ht="22" customHeight="1">
      <c r="A613" s="14" t="s">
        <v>17</v>
      </c>
      <c r="B613" s="8">
        <v>2024</v>
      </c>
      <c r="C613" s="8" t="s">
        <v>8</v>
      </c>
      <c r="D613" s="9" t="s">
        <v>185</v>
      </c>
      <c r="E613" s="9" t="s">
        <v>10</v>
      </c>
      <c r="F613" s="9" t="s">
        <v>186</v>
      </c>
      <c r="G613" s="8"/>
      <c r="H613" s="8"/>
      <c r="I613" s="9" t="s">
        <v>28</v>
      </c>
      <c r="J613" s="9" t="s">
        <v>11</v>
      </c>
      <c r="K613" s="9" t="s">
        <v>82</v>
      </c>
      <c r="L613" s="9" t="s">
        <v>166</v>
      </c>
      <c r="M613" s="9" t="s">
        <v>28</v>
      </c>
      <c r="N613" s="9" t="s">
        <v>266</v>
      </c>
      <c r="O613" s="9" t="s">
        <v>365</v>
      </c>
      <c r="P613" s="149" t="s">
        <v>367</v>
      </c>
      <c r="Q613" s="11"/>
      <c r="R613" s="40">
        <v>110</v>
      </c>
      <c r="S613" s="11">
        <f t="shared" si="91"/>
        <v>110</v>
      </c>
      <c r="T613" s="9"/>
      <c r="U613" s="14" t="s">
        <v>77</v>
      </c>
      <c r="V613" s="9"/>
      <c r="W613" s="12">
        <v>30</v>
      </c>
      <c r="X613" s="13"/>
      <c r="Y613" s="13"/>
      <c r="Z613" s="13"/>
      <c r="AA613" s="13"/>
      <c r="AB613" s="13"/>
      <c r="AC613" s="13">
        <f t="shared" si="93"/>
        <v>6.6000000000000003E-2</v>
      </c>
      <c r="AD613" s="13"/>
      <c r="AE613" s="13"/>
      <c r="AF613" s="13">
        <f t="shared" si="94"/>
        <v>0.66</v>
      </c>
      <c r="AG613" s="13"/>
      <c r="AH613" s="13"/>
      <c r="AI613" s="13"/>
      <c r="AJ613" s="13">
        <f t="shared" si="95"/>
        <v>0.72599999999999998</v>
      </c>
      <c r="AK613" s="9"/>
      <c r="AL613" s="13"/>
      <c r="AM613" s="9"/>
      <c r="AN613" s="9"/>
      <c r="AO613" s="9"/>
      <c r="AP613" s="14"/>
    </row>
    <row r="614" spans="1:42" s="45" customFormat="1" ht="22" customHeight="1">
      <c r="A614" s="14" t="s">
        <v>17</v>
      </c>
      <c r="B614" s="8">
        <v>2024</v>
      </c>
      <c r="C614" s="8" t="s">
        <v>8</v>
      </c>
      <c r="D614" s="9" t="s">
        <v>185</v>
      </c>
      <c r="E614" s="9" t="s">
        <v>10</v>
      </c>
      <c r="F614" s="9" t="s">
        <v>186</v>
      </c>
      <c r="G614" s="8"/>
      <c r="H614" s="8"/>
      <c r="I614" s="9" t="s">
        <v>28</v>
      </c>
      <c r="J614" s="9" t="s">
        <v>11</v>
      </c>
      <c r="K614" s="9" t="s">
        <v>82</v>
      </c>
      <c r="L614" s="9" t="s">
        <v>166</v>
      </c>
      <c r="M614" s="9" t="s">
        <v>28</v>
      </c>
      <c r="N614" s="9" t="s">
        <v>266</v>
      </c>
      <c r="O614" s="9" t="s">
        <v>365</v>
      </c>
      <c r="P614" s="149" t="s">
        <v>368</v>
      </c>
      <c r="Q614" s="11"/>
      <c r="R614" s="40">
        <v>87</v>
      </c>
      <c r="S614" s="11">
        <f t="shared" si="91"/>
        <v>87</v>
      </c>
      <c r="T614" s="9"/>
      <c r="U614" s="14" t="s">
        <v>77</v>
      </c>
      <c r="V614" s="9"/>
      <c r="W614" s="12">
        <v>30</v>
      </c>
      <c r="X614" s="13"/>
      <c r="Y614" s="13"/>
      <c r="Z614" s="13"/>
      <c r="AA614" s="13"/>
      <c r="AB614" s="13"/>
      <c r="AC614" s="13">
        <f t="shared" si="93"/>
        <v>5.2200000000000003E-2</v>
      </c>
      <c r="AD614" s="13"/>
      <c r="AE614" s="13"/>
      <c r="AF614" s="13">
        <f t="shared" si="94"/>
        <v>0.52200000000000002</v>
      </c>
      <c r="AG614" s="13"/>
      <c r="AH614" s="13"/>
      <c r="AI614" s="13"/>
      <c r="AJ614" s="13">
        <f t="shared" si="95"/>
        <v>0.57420000000000004</v>
      </c>
      <c r="AK614" s="9"/>
      <c r="AL614" s="13"/>
      <c r="AM614" s="9"/>
      <c r="AN614" s="9"/>
      <c r="AO614" s="9"/>
      <c r="AP614" s="14"/>
    </row>
    <row r="615" spans="1:42" s="45" customFormat="1" ht="22" customHeight="1">
      <c r="A615" s="14" t="s">
        <v>17</v>
      </c>
      <c r="B615" s="8">
        <v>2024</v>
      </c>
      <c r="C615" s="8" t="s">
        <v>8</v>
      </c>
      <c r="D615" s="9" t="s">
        <v>185</v>
      </c>
      <c r="E615" s="9" t="s">
        <v>10</v>
      </c>
      <c r="F615" s="9" t="s">
        <v>186</v>
      </c>
      <c r="G615" s="8"/>
      <c r="H615" s="8"/>
      <c r="I615" s="9" t="s">
        <v>28</v>
      </c>
      <c r="J615" s="9" t="s">
        <v>11</v>
      </c>
      <c r="K615" s="9" t="s">
        <v>82</v>
      </c>
      <c r="L615" s="9" t="s">
        <v>166</v>
      </c>
      <c r="M615" s="9" t="s">
        <v>28</v>
      </c>
      <c r="N615" s="9" t="s">
        <v>266</v>
      </c>
      <c r="O615" s="9" t="s">
        <v>365</v>
      </c>
      <c r="P615" s="149" t="s">
        <v>369</v>
      </c>
      <c r="Q615" s="11"/>
      <c r="R615" s="40">
        <v>82</v>
      </c>
      <c r="S615" s="11">
        <f t="shared" si="91"/>
        <v>82</v>
      </c>
      <c r="T615" s="9"/>
      <c r="U615" s="14" t="s">
        <v>77</v>
      </c>
      <c r="V615" s="9"/>
      <c r="W615" s="12">
        <v>30</v>
      </c>
      <c r="X615" s="13"/>
      <c r="Y615" s="13"/>
      <c r="Z615" s="13"/>
      <c r="AA615" s="13"/>
      <c r="AB615" s="13"/>
      <c r="AC615" s="13">
        <f t="shared" si="93"/>
        <v>4.9200000000000001E-2</v>
      </c>
      <c r="AD615" s="13"/>
      <c r="AE615" s="13"/>
      <c r="AF615" s="13">
        <f t="shared" si="94"/>
        <v>0.49199999999999999</v>
      </c>
      <c r="AG615" s="13"/>
      <c r="AH615" s="13"/>
      <c r="AI615" s="13"/>
      <c r="AJ615" s="13">
        <f t="shared" si="95"/>
        <v>0.54120000000000001</v>
      </c>
      <c r="AK615" s="9"/>
      <c r="AL615" s="13"/>
      <c r="AM615" s="9"/>
      <c r="AN615" s="9"/>
      <c r="AO615" s="9"/>
      <c r="AP615" s="14"/>
    </row>
    <row r="616" spans="1:42" s="45" customFormat="1" ht="22" customHeight="1">
      <c r="A616" s="14" t="s">
        <v>17</v>
      </c>
      <c r="B616" s="8">
        <v>2024</v>
      </c>
      <c r="C616" s="8" t="s">
        <v>8</v>
      </c>
      <c r="D616" s="9" t="s">
        <v>185</v>
      </c>
      <c r="E616" s="9" t="s">
        <v>10</v>
      </c>
      <c r="F616" s="9" t="s">
        <v>186</v>
      </c>
      <c r="G616" s="8"/>
      <c r="H616" s="8"/>
      <c r="I616" s="9" t="s">
        <v>28</v>
      </c>
      <c r="J616" s="9" t="s">
        <v>11</v>
      </c>
      <c r="K616" s="9" t="s">
        <v>82</v>
      </c>
      <c r="L616" s="9" t="s">
        <v>166</v>
      </c>
      <c r="M616" s="9" t="s">
        <v>28</v>
      </c>
      <c r="N616" s="9" t="s">
        <v>266</v>
      </c>
      <c r="O616" s="9" t="s">
        <v>365</v>
      </c>
      <c r="P616" s="149" t="s">
        <v>370</v>
      </c>
      <c r="Q616" s="11"/>
      <c r="R616" s="40">
        <v>95</v>
      </c>
      <c r="S616" s="11">
        <f t="shared" si="91"/>
        <v>95</v>
      </c>
      <c r="T616" s="9"/>
      <c r="U616" s="14" t="s">
        <v>77</v>
      </c>
      <c r="V616" s="9"/>
      <c r="W616" s="12">
        <v>30</v>
      </c>
      <c r="X616" s="13"/>
      <c r="Y616" s="13"/>
      <c r="Z616" s="13"/>
      <c r="AA616" s="13"/>
      <c r="AB616" s="13"/>
      <c r="AC616" s="13">
        <f t="shared" si="93"/>
        <v>5.7000000000000002E-2</v>
      </c>
      <c r="AD616" s="13"/>
      <c r="AE616" s="13"/>
      <c r="AF616" s="13">
        <f t="shared" si="94"/>
        <v>0.56999999999999995</v>
      </c>
      <c r="AG616" s="13"/>
      <c r="AH616" s="13"/>
      <c r="AI616" s="13"/>
      <c r="AJ616" s="13">
        <f t="shared" si="95"/>
        <v>0.627</v>
      </c>
      <c r="AK616" s="9"/>
      <c r="AL616" s="13"/>
      <c r="AM616" s="9"/>
      <c r="AN616" s="9"/>
      <c r="AO616" s="9"/>
      <c r="AP616" s="14"/>
    </row>
    <row r="617" spans="1:42" s="45" customFormat="1" ht="22" customHeight="1">
      <c r="A617" s="14" t="s">
        <v>17</v>
      </c>
      <c r="B617" s="8">
        <v>2024</v>
      </c>
      <c r="C617" s="8" t="s">
        <v>8</v>
      </c>
      <c r="D617" s="9" t="s">
        <v>185</v>
      </c>
      <c r="E617" s="9" t="s">
        <v>10</v>
      </c>
      <c r="F617" s="9" t="s">
        <v>186</v>
      </c>
      <c r="G617" s="8"/>
      <c r="H617" s="8"/>
      <c r="I617" s="9" t="s">
        <v>28</v>
      </c>
      <c r="J617" s="9" t="s">
        <v>11</v>
      </c>
      <c r="K617" s="9" t="s">
        <v>82</v>
      </c>
      <c r="L617" s="9" t="s">
        <v>166</v>
      </c>
      <c r="M617" s="9" t="s">
        <v>28</v>
      </c>
      <c r="N617" s="9" t="s">
        <v>266</v>
      </c>
      <c r="O617" s="9" t="s">
        <v>365</v>
      </c>
      <c r="P617" s="149" t="s">
        <v>371</v>
      </c>
      <c r="Q617" s="11"/>
      <c r="R617" s="40">
        <v>231</v>
      </c>
      <c r="S617" s="11">
        <f t="shared" si="91"/>
        <v>231</v>
      </c>
      <c r="T617" s="9"/>
      <c r="U617" s="14" t="s">
        <v>77</v>
      </c>
      <c r="V617" s="9"/>
      <c r="W617" s="12">
        <v>30</v>
      </c>
      <c r="X617" s="13"/>
      <c r="Y617" s="13"/>
      <c r="Z617" s="13"/>
      <c r="AA617" s="13"/>
      <c r="AB617" s="13"/>
      <c r="AC617" s="13">
        <f t="shared" si="93"/>
        <v>0.1386</v>
      </c>
      <c r="AD617" s="13"/>
      <c r="AE617" s="13"/>
      <c r="AF617" s="13">
        <f t="shared" si="94"/>
        <v>1.3859999999999999</v>
      </c>
      <c r="AG617" s="13"/>
      <c r="AH617" s="13"/>
      <c r="AI617" s="13"/>
      <c r="AJ617" s="13">
        <f t="shared" si="95"/>
        <v>1.5246</v>
      </c>
      <c r="AK617" s="9"/>
      <c r="AL617" s="13"/>
      <c r="AM617" s="9"/>
      <c r="AN617" s="9"/>
      <c r="AO617" s="9"/>
      <c r="AP617" s="14"/>
    </row>
    <row r="618" spans="1:42" s="45" customFormat="1" ht="22" customHeight="1">
      <c r="A618" s="14" t="s">
        <v>17</v>
      </c>
      <c r="B618" s="8">
        <v>2024</v>
      </c>
      <c r="C618" s="8" t="s">
        <v>8</v>
      </c>
      <c r="D618" s="9" t="s">
        <v>185</v>
      </c>
      <c r="E618" s="9" t="s">
        <v>10</v>
      </c>
      <c r="F618" s="9" t="s">
        <v>186</v>
      </c>
      <c r="G618" s="8"/>
      <c r="H618" s="8"/>
      <c r="I618" s="9" t="s">
        <v>28</v>
      </c>
      <c r="J618" s="9" t="s">
        <v>11</v>
      </c>
      <c r="K618" s="9" t="s">
        <v>82</v>
      </c>
      <c r="L618" s="9" t="s">
        <v>166</v>
      </c>
      <c r="M618" s="9" t="s">
        <v>28</v>
      </c>
      <c r="N618" s="9" t="s">
        <v>266</v>
      </c>
      <c r="O618" s="9" t="s">
        <v>365</v>
      </c>
      <c r="P618" s="149" t="s">
        <v>372</v>
      </c>
      <c r="Q618" s="11"/>
      <c r="R618" s="40">
        <v>143</v>
      </c>
      <c r="S618" s="11">
        <f t="shared" si="91"/>
        <v>143</v>
      </c>
      <c r="T618" s="9"/>
      <c r="U618" s="14" t="s">
        <v>77</v>
      </c>
      <c r="V618" s="9"/>
      <c r="W618" s="12">
        <v>30</v>
      </c>
      <c r="X618" s="13"/>
      <c r="Y618" s="13"/>
      <c r="Z618" s="13"/>
      <c r="AA618" s="13"/>
      <c r="AB618" s="13"/>
      <c r="AC618" s="13">
        <f t="shared" si="93"/>
        <v>8.5800000000000001E-2</v>
      </c>
      <c r="AD618" s="13"/>
      <c r="AE618" s="13"/>
      <c r="AF618" s="13">
        <f t="shared" si="94"/>
        <v>0.85799999999999998</v>
      </c>
      <c r="AG618" s="13"/>
      <c r="AH618" s="13"/>
      <c r="AI618" s="13"/>
      <c r="AJ618" s="13">
        <f t="shared" si="95"/>
        <v>0.94379999999999997</v>
      </c>
      <c r="AK618" s="9"/>
      <c r="AL618" s="13"/>
      <c r="AM618" s="9"/>
      <c r="AN618" s="9"/>
      <c r="AO618" s="9"/>
      <c r="AP618" s="14"/>
    </row>
    <row r="619" spans="1:42" s="45" customFormat="1" ht="22" customHeight="1">
      <c r="A619" s="14" t="s">
        <v>17</v>
      </c>
      <c r="B619" s="8">
        <v>2024</v>
      </c>
      <c r="C619" s="8" t="s">
        <v>8</v>
      </c>
      <c r="D619" s="9" t="s">
        <v>185</v>
      </c>
      <c r="E619" s="9" t="s">
        <v>10</v>
      </c>
      <c r="F619" s="9" t="s">
        <v>186</v>
      </c>
      <c r="G619" s="8"/>
      <c r="H619" s="8"/>
      <c r="I619" s="9" t="s">
        <v>28</v>
      </c>
      <c r="J619" s="9" t="s">
        <v>11</v>
      </c>
      <c r="K619" s="9" t="s">
        <v>82</v>
      </c>
      <c r="L619" s="9" t="s">
        <v>166</v>
      </c>
      <c r="M619" s="9" t="s">
        <v>28</v>
      </c>
      <c r="N619" s="9" t="s">
        <v>266</v>
      </c>
      <c r="O619" s="9" t="s">
        <v>339</v>
      </c>
      <c r="P619" s="149" t="s">
        <v>373</v>
      </c>
      <c r="Q619" s="11"/>
      <c r="R619" s="40">
        <v>116</v>
      </c>
      <c r="S619" s="11">
        <f t="shared" si="91"/>
        <v>116</v>
      </c>
      <c r="T619" s="9"/>
      <c r="U619" s="14" t="s">
        <v>77</v>
      </c>
      <c r="V619" s="9"/>
      <c r="W619" s="12">
        <v>30</v>
      </c>
      <c r="X619" s="13"/>
      <c r="Y619" s="13"/>
      <c r="Z619" s="13"/>
      <c r="AA619" s="13"/>
      <c r="AB619" s="13"/>
      <c r="AC619" s="13">
        <f t="shared" si="93"/>
        <v>6.9599999999999995E-2</v>
      </c>
      <c r="AD619" s="13"/>
      <c r="AE619" s="13"/>
      <c r="AF619" s="13">
        <f t="shared" si="94"/>
        <v>0.69599999999999995</v>
      </c>
      <c r="AG619" s="13"/>
      <c r="AH619" s="13"/>
      <c r="AI619" s="13"/>
      <c r="AJ619" s="13">
        <f t="shared" si="95"/>
        <v>0.76559999999999995</v>
      </c>
      <c r="AK619" s="9"/>
      <c r="AL619" s="13"/>
      <c r="AM619" s="9"/>
      <c r="AN619" s="9"/>
      <c r="AO619" s="9"/>
      <c r="AP619" s="14"/>
    </row>
    <row r="620" spans="1:42" s="45" customFormat="1" ht="22" customHeight="1">
      <c r="A620" s="14" t="s">
        <v>17</v>
      </c>
      <c r="B620" s="8">
        <v>2024</v>
      </c>
      <c r="C620" s="8" t="s">
        <v>8</v>
      </c>
      <c r="D620" s="9" t="s">
        <v>185</v>
      </c>
      <c r="E620" s="9" t="s">
        <v>10</v>
      </c>
      <c r="F620" s="9" t="s">
        <v>186</v>
      </c>
      <c r="G620" s="8"/>
      <c r="H620" s="8"/>
      <c r="I620" s="9" t="s">
        <v>28</v>
      </c>
      <c r="J620" s="9" t="s">
        <v>11</v>
      </c>
      <c r="K620" s="9" t="s">
        <v>82</v>
      </c>
      <c r="L620" s="9" t="s">
        <v>166</v>
      </c>
      <c r="M620" s="9" t="s">
        <v>28</v>
      </c>
      <c r="N620" s="9" t="s">
        <v>266</v>
      </c>
      <c r="O620" s="9" t="s">
        <v>339</v>
      </c>
      <c r="P620" s="149" t="s">
        <v>374</v>
      </c>
      <c r="Q620" s="11"/>
      <c r="R620" s="40">
        <v>180</v>
      </c>
      <c r="S620" s="11">
        <f t="shared" si="91"/>
        <v>180</v>
      </c>
      <c r="T620" s="9"/>
      <c r="U620" s="14" t="s">
        <v>77</v>
      </c>
      <c r="V620" s="9"/>
      <c r="W620" s="12">
        <v>30</v>
      </c>
      <c r="X620" s="13"/>
      <c r="Y620" s="13"/>
      <c r="Z620" s="13"/>
      <c r="AA620" s="13"/>
      <c r="AB620" s="13"/>
      <c r="AC620" s="13">
        <f t="shared" si="93"/>
        <v>0.108</v>
      </c>
      <c r="AD620" s="13"/>
      <c r="AE620" s="13"/>
      <c r="AF620" s="13">
        <f t="shared" si="94"/>
        <v>1.08</v>
      </c>
      <c r="AG620" s="13"/>
      <c r="AH620" s="13"/>
      <c r="AI620" s="13"/>
      <c r="AJ620" s="13">
        <f t="shared" si="95"/>
        <v>1.1880000000000002</v>
      </c>
      <c r="AK620" s="9"/>
      <c r="AL620" s="13"/>
      <c r="AM620" s="9"/>
      <c r="AN620" s="9"/>
      <c r="AO620" s="9"/>
      <c r="AP620" s="14"/>
    </row>
    <row r="621" spans="1:42" s="45" customFormat="1" ht="22" customHeight="1">
      <c r="A621" s="14" t="s">
        <v>17</v>
      </c>
      <c r="B621" s="8">
        <v>2024</v>
      </c>
      <c r="C621" s="8" t="s">
        <v>8</v>
      </c>
      <c r="D621" s="9" t="s">
        <v>185</v>
      </c>
      <c r="E621" s="9" t="s">
        <v>10</v>
      </c>
      <c r="F621" s="9" t="s">
        <v>186</v>
      </c>
      <c r="G621" s="8"/>
      <c r="H621" s="8"/>
      <c r="I621" s="9" t="s">
        <v>28</v>
      </c>
      <c r="J621" s="9" t="s">
        <v>11</v>
      </c>
      <c r="K621" s="9" t="s">
        <v>82</v>
      </c>
      <c r="L621" s="9" t="s">
        <v>166</v>
      </c>
      <c r="M621" s="9" t="s">
        <v>28</v>
      </c>
      <c r="N621" s="9" t="s">
        <v>266</v>
      </c>
      <c r="O621" s="9" t="s">
        <v>339</v>
      </c>
      <c r="P621" s="149" t="s">
        <v>375</v>
      </c>
      <c r="Q621" s="11"/>
      <c r="R621" s="40">
        <v>111</v>
      </c>
      <c r="S621" s="11">
        <f t="shared" si="91"/>
        <v>111</v>
      </c>
      <c r="T621" s="9"/>
      <c r="U621" s="14" t="s">
        <v>77</v>
      </c>
      <c r="V621" s="9"/>
      <c r="W621" s="12">
        <v>30</v>
      </c>
      <c r="X621" s="13"/>
      <c r="Y621" s="13"/>
      <c r="Z621" s="13"/>
      <c r="AA621" s="13"/>
      <c r="AB621" s="13"/>
      <c r="AC621" s="13">
        <f t="shared" si="93"/>
        <v>6.6600000000000006E-2</v>
      </c>
      <c r="AD621" s="13"/>
      <c r="AE621" s="13"/>
      <c r="AF621" s="13">
        <f t="shared" si="94"/>
        <v>0.66600000000000004</v>
      </c>
      <c r="AG621" s="13"/>
      <c r="AH621" s="13"/>
      <c r="AI621" s="13"/>
      <c r="AJ621" s="13">
        <f t="shared" si="95"/>
        <v>0.73260000000000003</v>
      </c>
      <c r="AK621" s="9"/>
      <c r="AL621" s="13"/>
      <c r="AM621" s="9"/>
      <c r="AN621" s="9"/>
      <c r="AO621" s="9"/>
      <c r="AP621" s="14"/>
    </row>
    <row r="622" spans="1:42" s="45" customFormat="1" ht="22" customHeight="1">
      <c r="A622" s="14" t="s">
        <v>17</v>
      </c>
      <c r="B622" s="8">
        <v>2024</v>
      </c>
      <c r="C622" s="8" t="s">
        <v>8</v>
      </c>
      <c r="D622" s="9" t="s">
        <v>185</v>
      </c>
      <c r="E622" s="9" t="s">
        <v>10</v>
      </c>
      <c r="F622" s="9" t="s">
        <v>186</v>
      </c>
      <c r="G622" s="8"/>
      <c r="H622" s="8"/>
      <c r="I622" s="9" t="s">
        <v>28</v>
      </c>
      <c r="J622" s="9" t="s">
        <v>11</v>
      </c>
      <c r="K622" s="9" t="s">
        <v>82</v>
      </c>
      <c r="L622" s="9" t="s">
        <v>166</v>
      </c>
      <c r="M622" s="9" t="s">
        <v>28</v>
      </c>
      <c r="N622" s="9" t="s">
        <v>266</v>
      </c>
      <c r="O622" s="9" t="s">
        <v>339</v>
      </c>
      <c r="P622" s="149" t="s">
        <v>339</v>
      </c>
      <c r="Q622" s="11"/>
      <c r="R622" s="40">
        <v>318</v>
      </c>
      <c r="S622" s="11">
        <f t="shared" si="91"/>
        <v>318</v>
      </c>
      <c r="T622" s="9"/>
      <c r="U622" s="14" t="s">
        <v>77</v>
      </c>
      <c r="V622" s="9"/>
      <c r="W622" s="12">
        <v>30</v>
      </c>
      <c r="X622" s="13"/>
      <c r="Y622" s="13"/>
      <c r="Z622" s="13"/>
      <c r="AA622" s="13"/>
      <c r="AB622" s="13"/>
      <c r="AC622" s="13">
        <f t="shared" si="93"/>
        <v>0.1908</v>
      </c>
      <c r="AD622" s="13"/>
      <c r="AE622" s="13"/>
      <c r="AF622" s="13">
        <f t="shared" si="94"/>
        <v>1.9079999999999999</v>
      </c>
      <c r="AG622" s="13"/>
      <c r="AH622" s="13"/>
      <c r="AI622" s="13"/>
      <c r="AJ622" s="13">
        <f t="shared" si="95"/>
        <v>2.0987999999999998</v>
      </c>
      <c r="AK622" s="9"/>
      <c r="AL622" s="13"/>
      <c r="AM622" s="9"/>
      <c r="AN622" s="9"/>
      <c r="AO622" s="9"/>
      <c r="AP622" s="14"/>
    </row>
    <row r="623" spans="1:42" s="45" customFormat="1" ht="22" customHeight="1">
      <c r="A623" s="14" t="s">
        <v>17</v>
      </c>
      <c r="B623" s="8">
        <v>2024</v>
      </c>
      <c r="C623" s="8" t="s">
        <v>8</v>
      </c>
      <c r="D623" s="9" t="s">
        <v>185</v>
      </c>
      <c r="E623" s="9" t="s">
        <v>10</v>
      </c>
      <c r="F623" s="9" t="s">
        <v>186</v>
      </c>
      <c r="G623" s="8"/>
      <c r="H623" s="8"/>
      <c r="I623" s="9" t="s">
        <v>28</v>
      </c>
      <c r="J623" s="9" t="s">
        <v>11</v>
      </c>
      <c r="K623" s="9" t="s">
        <v>82</v>
      </c>
      <c r="L623" s="9" t="s">
        <v>166</v>
      </c>
      <c r="M623" s="9" t="s">
        <v>28</v>
      </c>
      <c r="N623" s="9" t="s">
        <v>266</v>
      </c>
      <c r="O623" s="9" t="s">
        <v>339</v>
      </c>
      <c r="P623" s="149" t="s">
        <v>376</v>
      </c>
      <c r="Q623" s="11"/>
      <c r="R623" s="40">
        <v>54</v>
      </c>
      <c r="S623" s="11">
        <f t="shared" si="91"/>
        <v>54</v>
      </c>
      <c r="T623" s="9"/>
      <c r="U623" s="14" t="s">
        <v>77</v>
      </c>
      <c r="V623" s="9"/>
      <c r="W623" s="12">
        <v>30</v>
      </c>
      <c r="X623" s="13"/>
      <c r="Y623" s="13"/>
      <c r="Z623" s="13"/>
      <c r="AA623" s="13"/>
      <c r="AB623" s="13"/>
      <c r="AC623" s="13">
        <f t="shared" si="93"/>
        <v>3.2399999999999998E-2</v>
      </c>
      <c r="AD623" s="13"/>
      <c r="AE623" s="13"/>
      <c r="AF623" s="13">
        <f t="shared" si="94"/>
        <v>0.32400000000000001</v>
      </c>
      <c r="AG623" s="13"/>
      <c r="AH623" s="13"/>
      <c r="AI623" s="13"/>
      <c r="AJ623" s="13">
        <f t="shared" si="95"/>
        <v>0.35639999999999999</v>
      </c>
      <c r="AK623" s="9"/>
      <c r="AL623" s="13"/>
      <c r="AM623" s="9"/>
      <c r="AN623" s="9"/>
      <c r="AO623" s="9"/>
      <c r="AP623" s="14"/>
    </row>
    <row r="624" spans="1:42" s="45" customFormat="1" ht="22" customHeight="1">
      <c r="A624" s="14" t="s">
        <v>17</v>
      </c>
      <c r="B624" s="8">
        <v>2024</v>
      </c>
      <c r="C624" s="8" t="s">
        <v>8</v>
      </c>
      <c r="D624" s="9" t="s">
        <v>185</v>
      </c>
      <c r="E624" s="9" t="s">
        <v>10</v>
      </c>
      <c r="F624" s="9" t="s">
        <v>186</v>
      </c>
      <c r="G624" s="8"/>
      <c r="H624" s="8"/>
      <c r="I624" s="9" t="s">
        <v>78</v>
      </c>
      <c r="J624" s="9" t="s">
        <v>11</v>
      </c>
      <c r="K624" s="9" t="s">
        <v>82</v>
      </c>
      <c r="L624" s="9" t="s">
        <v>171</v>
      </c>
      <c r="M624" s="9" t="s">
        <v>78</v>
      </c>
      <c r="N624" s="9" t="s">
        <v>377</v>
      </c>
      <c r="O624" s="9" t="s">
        <v>217</v>
      </c>
      <c r="P624" s="149" t="s">
        <v>378</v>
      </c>
      <c r="Q624" s="11"/>
      <c r="R624" s="11"/>
      <c r="S624" s="11">
        <f t="shared" ref="S624:S656" si="96">Q624+R624</f>
        <v>0</v>
      </c>
      <c r="T624" s="9"/>
      <c r="U624" s="14" t="s">
        <v>77</v>
      </c>
      <c r="V624" s="9"/>
      <c r="W624" s="12"/>
      <c r="X624" s="13"/>
      <c r="Y624" s="13"/>
      <c r="Z624" s="13"/>
      <c r="AA624" s="13"/>
      <c r="AB624" s="13"/>
      <c r="AC624" s="13">
        <f t="shared" si="93"/>
        <v>0</v>
      </c>
      <c r="AD624" s="13"/>
      <c r="AE624" s="13"/>
      <c r="AF624" s="13">
        <f t="shared" si="94"/>
        <v>0</v>
      </c>
      <c r="AG624" s="13"/>
      <c r="AH624" s="13"/>
      <c r="AI624" s="13"/>
      <c r="AJ624" s="13">
        <f t="shared" si="95"/>
        <v>0</v>
      </c>
      <c r="AK624" s="9"/>
      <c r="AL624" s="13"/>
      <c r="AM624" s="9"/>
      <c r="AN624" s="9"/>
      <c r="AO624" s="9"/>
      <c r="AP624" s="14"/>
    </row>
    <row r="625" spans="1:42" s="45" customFormat="1" ht="22" customHeight="1">
      <c r="A625" s="14" t="s">
        <v>17</v>
      </c>
      <c r="B625" s="8">
        <v>2024</v>
      </c>
      <c r="C625" s="8" t="s">
        <v>8</v>
      </c>
      <c r="D625" s="9" t="s">
        <v>185</v>
      </c>
      <c r="E625" s="9" t="s">
        <v>10</v>
      </c>
      <c r="F625" s="9" t="s">
        <v>186</v>
      </c>
      <c r="G625" s="8"/>
      <c r="H625" s="8"/>
      <c r="I625" s="9" t="s">
        <v>78</v>
      </c>
      <c r="J625" s="9" t="s">
        <v>11</v>
      </c>
      <c r="K625" s="9" t="s">
        <v>82</v>
      </c>
      <c r="L625" s="9" t="s">
        <v>171</v>
      </c>
      <c r="M625" s="9" t="s">
        <v>78</v>
      </c>
      <c r="N625" s="9" t="s">
        <v>377</v>
      </c>
      <c r="O625" s="9" t="s">
        <v>217</v>
      </c>
      <c r="P625" s="149" t="s">
        <v>379</v>
      </c>
      <c r="Q625" s="11"/>
      <c r="R625" s="11">
        <v>282</v>
      </c>
      <c r="S625" s="11">
        <f t="shared" si="96"/>
        <v>282</v>
      </c>
      <c r="T625" s="9"/>
      <c r="U625" s="14" t="s">
        <v>77</v>
      </c>
      <c r="V625" s="9"/>
      <c r="W625" s="12">
        <v>30</v>
      </c>
      <c r="X625" s="13"/>
      <c r="Y625" s="13"/>
      <c r="Z625" s="13"/>
      <c r="AA625" s="13"/>
      <c r="AB625" s="13"/>
      <c r="AC625" s="13">
        <f t="shared" si="93"/>
        <v>0.16919999999999999</v>
      </c>
      <c r="AD625" s="13"/>
      <c r="AE625" s="13"/>
      <c r="AF625" s="13">
        <f t="shared" si="94"/>
        <v>1.6919999999999999</v>
      </c>
      <c r="AG625" s="13"/>
      <c r="AH625" s="13"/>
      <c r="AI625" s="13"/>
      <c r="AJ625" s="13">
        <f t="shared" si="95"/>
        <v>1.8612</v>
      </c>
      <c r="AK625" s="9"/>
      <c r="AL625" s="13"/>
      <c r="AM625" s="9"/>
      <c r="AN625" s="9"/>
      <c r="AO625" s="9"/>
      <c r="AP625" s="14"/>
    </row>
    <row r="626" spans="1:42" s="45" customFormat="1" ht="22" customHeight="1">
      <c r="A626" s="14" t="s">
        <v>17</v>
      </c>
      <c r="B626" s="8">
        <v>2024</v>
      </c>
      <c r="C626" s="8" t="s">
        <v>8</v>
      </c>
      <c r="D626" s="9" t="s">
        <v>185</v>
      </c>
      <c r="E626" s="9" t="s">
        <v>10</v>
      </c>
      <c r="F626" s="9" t="s">
        <v>186</v>
      </c>
      <c r="G626" s="8"/>
      <c r="H626" s="8"/>
      <c r="I626" s="9" t="s">
        <v>78</v>
      </c>
      <c r="J626" s="9" t="s">
        <v>11</v>
      </c>
      <c r="K626" s="9" t="s">
        <v>82</v>
      </c>
      <c r="L626" s="9" t="s">
        <v>171</v>
      </c>
      <c r="M626" s="9" t="s">
        <v>78</v>
      </c>
      <c r="N626" s="9" t="s">
        <v>377</v>
      </c>
      <c r="O626" s="9" t="s">
        <v>217</v>
      </c>
      <c r="P626" s="149" t="s">
        <v>217</v>
      </c>
      <c r="Q626" s="11"/>
      <c r="R626" s="11">
        <v>425</v>
      </c>
      <c r="S626" s="11">
        <f t="shared" si="96"/>
        <v>425</v>
      </c>
      <c r="T626" s="9"/>
      <c r="U626" s="14" t="s">
        <v>77</v>
      </c>
      <c r="V626" s="9"/>
      <c r="W626" s="12">
        <v>30</v>
      </c>
      <c r="X626" s="13"/>
      <c r="Y626" s="13"/>
      <c r="Z626" s="13"/>
      <c r="AA626" s="13"/>
      <c r="AB626" s="13"/>
      <c r="AC626" s="13">
        <f t="shared" si="93"/>
        <v>0.255</v>
      </c>
      <c r="AD626" s="13"/>
      <c r="AE626" s="13"/>
      <c r="AF626" s="13">
        <f t="shared" si="94"/>
        <v>2.5499999999999998</v>
      </c>
      <c r="AG626" s="13"/>
      <c r="AH626" s="13"/>
      <c r="AI626" s="13"/>
      <c r="AJ626" s="13">
        <f t="shared" si="95"/>
        <v>2.8049999999999997</v>
      </c>
      <c r="AK626" s="9"/>
      <c r="AL626" s="13"/>
      <c r="AM626" s="9"/>
      <c r="AN626" s="9"/>
      <c r="AO626" s="9"/>
      <c r="AP626" s="14"/>
    </row>
    <row r="627" spans="1:42" s="45" customFormat="1" ht="22" customHeight="1">
      <c r="A627" s="14" t="s">
        <v>17</v>
      </c>
      <c r="B627" s="8">
        <v>2024</v>
      </c>
      <c r="C627" s="8" t="s">
        <v>8</v>
      </c>
      <c r="D627" s="9" t="s">
        <v>185</v>
      </c>
      <c r="E627" s="9" t="s">
        <v>10</v>
      </c>
      <c r="F627" s="9" t="s">
        <v>186</v>
      </c>
      <c r="G627" s="8"/>
      <c r="H627" s="8"/>
      <c r="I627" s="9" t="s">
        <v>78</v>
      </c>
      <c r="J627" s="9" t="s">
        <v>11</v>
      </c>
      <c r="K627" s="9" t="s">
        <v>82</v>
      </c>
      <c r="L627" s="9" t="s">
        <v>171</v>
      </c>
      <c r="M627" s="9" t="s">
        <v>78</v>
      </c>
      <c r="N627" s="9" t="s">
        <v>377</v>
      </c>
      <c r="O627" s="9" t="s">
        <v>217</v>
      </c>
      <c r="P627" s="149" t="s">
        <v>380</v>
      </c>
      <c r="Q627" s="11"/>
      <c r="R627" s="11"/>
      <c r="S627" s="11">
        <f t="shared" si="96"/>
        <v>0</v>
      </c>
      <c r="T627" s="9"/>
      <c r="U627" s="14" t="s">
        <v>77</v>
      </c>
      <c r="V627" s="9"/>
      <c r="W627" s="12"/>
      <c r="X627" s="13"/>
      <c r="Y627" s="13"/>
      <c r="Z627" s="13"/>
      <c r="AA627" s="13"/>
      <c r="AB627" s="13"/>
      <c r="AC627" s="13">
        <f t="shared" si="93"/>
        <v>0</v>
      </c>
      <c r="AD627" s="13"/>
      <c r="AE627" s="13"/>
      <c r="AF627" s="13">
        <f t="shared" si="94"/>
        <v>0</v>
      </c>
      <c r="AG627" s="13"/>
      <c r="AH627" s="13"/>
      <c r="AI627" s="13"/>
      <c r="AJ627" s="13">
        <f t="shared" si="95"/>
        <v>0</v>
      </c>
      <c r="AK627" s="9"/>
      <c r="AL627" s="13"/>
      <c r="AM627" s="9"/>
      <c r="AN627" s="9"/>
      <c r="AO627" s="9"/>
      <c r="AP627" s="14"/>
    </row>
    <row r="628" spans="1:42" s="45" customFormat="1" ht="22" customHeight="1">
      <c r="A628" s="14" t="s">
        <v>17</v>
      </c>
      <c r="B628" s="8">
        <v>2024</v>
      </c>
      <c r="C628" s="8" t="s">
        <v>8</v>
      </c>
      <c r="D628" s="9" t="s">
        <v>185</v>
      </c>
      <c r="E628" s="9" t="s">
        <v>10</v>
      </c>
      <c r="F628" s="9" t="s">
        <v>186</v>
      </c>
      <c r="G628" s="8"/>
      <c r="H628" s="8"/>
      <c r="I628" s="9" t="s">
        <v>78</v>
      </c>
      <c r="J628" s="9" t="s">
        <v>11</v>
      </c>
      <c r="K628" s="9" t="s">
        <v>82</v>
      </c>
      <c r="L628" s="9" t="s">
        <v>171</v>
      </c>
      <c r="M628" s="9" t="s">
        <v>78</v>
      </c>
      <c r="N628" s="9" t="s">
        <v>377</v>
      </c>
      <c r="O628" s="9" t="s">
        <v>217</v>
      </c>
      <c r="P628" s="149" t="s">
        <v>381</v>
      </c>
      <c r="Q628" s="11"/>
      <c r="R628" s="11"/>
      <c r="S628" s="11">
        <f t="shared" si="96"/>
        <v>0</v>
      </c>
      <c r="T628" s="9"/>
      <c r="U628" s="14" t="s">
        <v>77</v>
      </c>
      <c r="V628" s="9"/>
      <c r="W628" s="12"/>
      <c r="X628" s="13"/>
      <c r="Y628" s="13"/>
      <c r="Z628" s="13"/>
      <c r="AA628" s="13"/>
      <c r="AB628" s="13"/>
      <c r="AC628" s="13">
        <f t="shared" si="93"/>
        <v>0</v>
      </c>
      <c r="AD628" s="13"/>
      <c r="AE628" s="13"/>
      <c r="AF628" s="13">
        <f t="shared" si="94"/>
        <v>0</v>
      </c>
      <c r="AG628" s="13"/>
      <c r="AH628" s="13"/>
      <c r="AI628" s="13"/>
      <c r="AJ628" s="13">
        <f t="shared" si="95"/>
        <v>0</v>
      </c>
      <c r="AK628" s="9"/>
      <c r="AL628" s="13"/>
      <c r="AM628" s="9"/>
      <c r="AN628" s="9"/>
      <c r="AO628" s="9"/>
      <c r="AP628" s="14"/>
    </row>
    <row r="629" spans="1:42" s="45" customFormat="1" ht="22" customHeight="1">
      <c r="A629" s="14" t="s">
        <v>17</v>
      </c>
      <c r="B629" s="8">
        <v>2024</v>
      </c>
      <c r="C629" s="8" t="s">
        <v>8</v>
      </c>
      <c r="D629" s="9" t="s">
        <v>185</v>
      </c>
      <c r="E629" s="9" t="s">
        <v>10</v>
      </c>
      <c r="F629" s="9" t="s">
        <v>186</v>
      </c>
      <c r="G629" s="8"/>
      <c r="H629" s="8"/>
      <c r="I629" s="9" t="s">
        <v>78</v>
      </c>
      <c r="J629" s="9" t="s">
        <v>11</v>
      </c>
      <c r="K629" s="9" t="s">
        <v>82</v>
      </c>
      <c r="L629" s="9" t="s">
        <v>171</v>
      </c>
      <c r="M629" s="9" t="s">
        <v>78</v>
      </c>
      <c r="N629" s="9" t="s">
        <v>377</v>
      </c>
      <c r="O629" s="9" t="s">
        <v>192</v>
      </c>
      <c r="P629" s="149" t="s">
        <v>382</v>
      </c>
      <c r="Q629" s="11"/>
      <c r="R629" s="11">
        <v>420</v>
      </c>
      <c r="S629" s="11">
        <f t="shared" si="96"/>
        <v>420</v>
      </c>
      <c r="T629" s="9"/>
      <c r="U629" s="14" t="s">
        <v>77</v>
      </c>
      <c r="V629" s="9"/>
      <c r="W629" s="12">
        <v>30</v>
      </c>
      <c r="X629" s="13"/>
      <c r="Y629" s="13"/>
      <c r="Z629" s="13"/>
      <c r="AA629" s="13"/>
      <c r="AB629" s="13"/>
      <c r="AC629" s="13">
        <f t="shared" si="93"/>
        <v>0.252</v>
      </c>
      <c r="AD629" s="13"/>
      <c r="AE629" s="13"/>
      <c r="AF629" s="13">
        <f t="shared" si="94"/>
        <v>2.52</v>
      </c>
      <c r="AG629" s="13"/>
      <c r="AH629" s="13"/>
      <c r="AI629" s="13"/>
      <c r="AJ629" s="13">
        <f t="shared" si="95"/>
        <v>2.7720000000000002</v>
      </c>
      <c r="AK629" s="9"/>
      <c r="AL629" s="13"/>
      <c r="AM629" s="9"/>
      <c r="AN629" s="9"/>
      <c r="AO629" s="9"/>
      <c r="AP629" s="14"/>
    </row>
    <row r="630" spans="1:42" s="45" customFormat="1" ht="22" customHeight="1">
      <c r="A630" s="14" t="s">
        <v>17</v>
      </c>
      <c r="B630" s="8">
        <v>2024</v>
      </c>
      <c r="C630" s="8" t="s">
        <v>8</v>
      </c>
      <c r="D630" s="9" t="s">
        <v>185</v>
      </c>
      <c r="E630" s="9" t="s">
        <v>10</v>
      </c>
      <c r="F630" s="9" t="s">
        <v>186</v>
      </c>
      <c r="G630" s="8"/>
      <c r="H630" s="8"/>
      <c r="I630" s="9" t="s">
        <v>78</v>
      </c>
      <c r="J630" s="9" t="s">
        <v>11</v>
      </c>
      <c r="K630" s="9" t="s">
        <v>82</v>
      </c>
      <c r="L630" s="9" t="s">
        <v>171</v>
      </c>
      <c r="M630" s="9" t="s">
        <v>78</v>
      </c>
      <c r="N630" s="9" t="s">
        <v>377</v>
      </c>
      <c r="O630" s="9" t="s">
        <v>192</v>
      </c>
      <c r="P630" s="149" t="s">
        <v>192</v>
      </c>
      <c r="Q630" s="11"/>
      <c r="R630" s="11">
        <v>965</v>
      </c>
      <c r="S630" s="11">
        <f t="shared" si="96"/>
        <v>965</v>
      </c>
      <c r="T630" s="9"/>
      <c r="U630" s="14" t="s">
        <v>77</v>
      </c>
      <c r="V630" s="9"/>
      <c r="W630" s="12">
        <v>30</v>
      </c>
      <c r="X630" s="13"/>
      <c r="Y630" s="13"/>
      <c r="Z630" s="13"/>
      <c r="AA630" s="13"/>
      <c r="AB630" s="13"/>
      <c r="AC630" s="13">
        <f t="shared" si="93"/>
        <v>0.57899999999999996</v>
      </c>
      <c r="AD630" s="13"/>
      <c r="AE630" s="13"/>
      <c r="AF630" s="13">
        <f t="shared" si="94"/>
        <v>5.79</v>
      </c>
      <c r="AG630" s="13"/>
      <c r="AH630" s="13"/>
      <c r="AI630" s="13"/>
      <c r="AJ630" s="13">
        <f t="shared" si="95"/>
        <v>6.3689999999999998</v>
      </c>
      <c r="AK630" s="9"/>
      <c r="AL630" s="13"/>
      <c r="AM630" s="9"/>
      <c r="AN630" s="9"/>
      <c r="AO630" s="9"/>
      <c r="AP630" s="14"/>
    </row>
    <row r="631" spans="1:42" s="45" customFormat="1" ht="22" customHeight="1">
      <c r="A631" s="14" t="s">
        <v>17</v>
      </c>
      <c r="B631" s="8">
        <v>2024</v>
      </c>
      <c r="C631" s="8" t="s">
        <v>8</v>
      </c>
      <c r="D631" s="9" t="s">
        <v>185</v>
      </c>
      <c r="E631" s="9" t="s">
        <v>10</v>
      </c>
      <c r="F631" s="9" t="s">
        <v>186</v>
      </c>
      <c r="G631" s="8"/>
      <c r="H631" s="8"/>
      <c r="I631" s="9" t="s">
        <v>78</v>
      </c>
      <c r="J631" s="9" t="s">
        <v>11</v>
      </c>
      <c r="K631" s="9" t="s">
        <v>82</v>
      </c>
      <c r="L631" s="9" t="s">
        <v>171</v>
      </c>
      <c r="M631" s="9" t="s">
        <v>78</v>
      </c>
      <c r="N631" s="9" t="s">
        <v>377</v>
      </c>
      <c r="O631" s="9" t="s">
        <v>192</v>
      </c>
      <c r="P631" s="149" t="s">
        <v>383</v>
      </c>
      <c r="Q631" s="11"/>
      <c r="R631" s="11"/>
      <c r="S631" s="11">
        <f t="shared" si="96"/>
        <v>0</v>
      </c>
      <c r="T631" s="9"/>
      <c r="U631" s="14" t="s">
        <v>77</v>
      </c>
      <c r="V631" s="9"/>
      <c r="W631" s="12"/>
      <c r="X631" s="13"/>
      <c r="Y631" s="13"/>
      <c r="Z631" s="13"/>
      <c r="AA631" s="13"/>
      <c r="AB631" s="13"/>
      <c r="AC631" s="13">
        <f t="shared" si="93"/>
        <v>0</v>
      </c>
      <c r="AD631" s="13"/>
      <c r="AE631" s="13"/>
      <c r="AF631" s="13">
        <f t="shared" si="94"/>
        <v>0</v>
      </c>
      <c r="AG631" s="13"/>
      <c r="AH631" s="13"/>
      <c r="AI631" s="13"/>
      <c r="AJ631" s="13">
        <f t="shared" si="95"/>
        <v>0</v>
      </c>
      <c r="AK631" s="9"/>
      <c r="AL631" s="13"/>
      <c r="AM631" s="9"/>
      <c r="AN631" s="9"/>
      <c r="AO631" s="9"/>
      <c r="AP631" s="14"/>
    </row>
    <row r="632" spans="1:42" s="45" customFormat="1" ht="22" customHeight="1">
      <c r="A632" s="14" t="s">
        <v>17</v>
      </c>
      <c r="B632" s="8">
        <v>2024</v>
      </c>
      <c r="C632" s="8" t="s">
        <v>8</v>
      </c>
      <c r="D632" s="9" t="s">
        <v>185</v>
      </c>
      <c r="E632" s="9" t="s">
        <v>10</v>
      </c>
      <c r="F632" s="9" t="s">
        <v>186</v>
      </c>
      <c r="G632" s="8"/>
      <c r="H632" s="8"/>
      <c r="I632" s="9" t="s">
        <v>78</v>
      </c>
      <c r="J632" s="9" t="s">
        <v>11</v>
      </c>
      <c r="K632" s="9" t="s">
        <v>82</v>
      </c>
      <c r="L632" s="9" t="s">
        <v>171</v>
      </c>
      <c r="M632" s="9" t="s">
        <v>78</v>
      </c>
      <c r="N632" s="9" t="s">
        <v>377</v>
      </c>
      <c r="O632" s="9" t="s">
        <v>192</v>
      </c>
      <c r="P632" s="149" t="s">
        <v>384</v>
      </c>
      <c r="Q632" s="11"/>
      <c r="R632" s="11"/>
      <c r="S632" s="11">
        <f t="shared" si="96"/>
        <v>0</v>
      </c>
      <c r="T632" s="9"/>
      <c r="U632" s="14" t="s">
        <v>77</v>
      </c>
      <c r="V632" s="9"/>
      <c r="W632" s="12"/>
      <c r="X632" s="13"/>
      <c r="Y632" s="13"/>
      <c r="Z632" s="13"/>
      <c r="AA632" s="13"/>
      <c r="AB632" s="13"/>
      <c r="AC632" s="13">
        <f t="shared" si="93"/>
        <v>0</v>
      </c>
      <c r="AD632" s="13"/>
      <c r="AE632" s="13"/>
      <c r="AF632" s="13">
        <f t="shared" si="94"/>
        <v>0</v>
      </c>
      <c r="AG632" s="13"/>
      <c r="AH632" s="13"/>
      <c r="AI632" s="13"/>
      <c r="AJ632" s="13">
        <f t="shared" si="95"/>
        <v>0</v>
      </c>
      <c r="AK632" s="9"/>
      <c r="AL632" s="13"/>
      <c r="AM632" s="9"/>
      <c r="AN632" s="9"/>
      <c r="AO632" s="9"/>
      <c r="AP632" s="14"/>
    </row>
    <row r="633" spans="1:42" s="45" customFormat="1" ht="22" customHeight="1">
      <c r="A633" s="14" t="s">
        <v>17</v>
      </c>
      <c r="B633" s="8">
        <v>2024</v>
      </c>
      <c r="C633" s="8" t="s">
        <v>8</v>
      </c>
      <c r="D633" s="9" t="s">
        <v>185</v>
      </c>
      <c r="E633" s="9" t="s">
        <v>10</v>
      </c>
      <c r="F633" s="9" t="s">
        <v>186</v>
      </c>
      <c r="G633" s="8"/>
      <c r="H633" s="8"/>
      <c r="I633" s="9" t="s">
        <v>78</v>
      </c>
      <c r="J633" s="9" t="s">
        <v>11</v>
      </c>
      <c r="K633" s="9" t="s">
        <v>82</v>
      </c>
      <c r="L633" s="9" t="s">
        <v>171</v>
      </c>
      <c r="M633" s="9" t="s">
        <v>78</v>
      </c>
      <c r="N633" s="9" t="s">
        <v>377</v>
      </c>
      <c r="O633" s="9" t="s">
        <v>192</v>
      </c>
      <c r="P633" s="149" t="s">
        <v>385</v>
      </c>
      <c r="Q633" s="11"/>
      <c r="R633" s="11"/>
      <c r="S633" s="11">
        <f t="shared" si="96"/>
        <v>0</v>
      </c>
      <c r="T633" s="9"/>
      <c r="U633" s="14" t="s">
        <v>77</v>
      </c>
      <c r="V633" s="9"/>
      <c r="W633" s="12"/>
      <c r="X633" s="13"/>
      <c r="Y633" s="13"/>
      <c r="Z633" s="13"/>
      <c r="AA633" s="13"/>
      <c r="AB633" s="13"/>
      <c r="AC633" s="13">
        <f t="shared" si="93"/>
        <v>0</v>
      </c>
      <c r="AD633" s="13"/>
      <c r="AE633" s="13"/>
      <c r="AF633" s="13">
        <f t="shared" si="94"/>
        <v>0</v>
      </c>
      <c r="AG633" s="13"/>
      <c r="AH633" s="13"/>
      <c r="AI633" s="13"/>
      <c r="AJ633" s="13">
        <f t="shared" si="95"/>
        <v>0</v>
      </c>
      <c r="AK633" s="9"/>
      <c r="AL633" s="13"/>
      <c r="AM633" s="9"/>
      <c r="AN633" s="9"/>
      <c r="AO633" s="9"/>
      <c r="AP633" s="14"/>
    </row>
    <row r="634" spans="1:42" s="45" customFormat="1" ht="22" customHeight="1">
      <c r="A634" s="14" t="s">
        <v>17</v>
      </c>
      <c r="B634" s="8">
        <v>2024</v>
      </c>
      <c r="C634" s="8" t="s">
        <v>8</v>
      </c>
      <c r="D634" s="9" t="s">
        <v>185</v>
      </c>
      <c r="E634" s="9" t="s">
        <v>10</v>
      </c>
      <c r="F634" s="9" t="s">
        <v>186</v>
      </c>
      <c r="G634" s="8"/>
      <c r="H634" s="8"/>
      <c r="I634" s="9" t="s">
        <v>78</v>
      </c>
      <c r="J634" s="9" t="s">
        <v>11</v>
      </c>
      <c r="K634" s="9" t="s">
        <v>82</v>
      </c>
      <c r="L634" s="9" t="s">
        <v>171</v>
      </c>
      <c r="M634" s="9" t="s">
        <v>78</v>
      </c>
      <c r="N634" s="9" t="s">
        <v>377</v>
      </c>
      <c r="O634" s="9" t="s">
        <v>192</v>
      </c>
      <c r="P634" s="149" t="s">
        <v>386</v>
      </c>
      <c r="Q634" s="11"/>
      <c r="R634" s="11"/>
      <c r="S634" s="11">
        <f t="shared" si="96"/>
        <v>0</v>
      </c>
      <c r="T634" s="9"/>
      <c r="U634" s="14" t="s">
        <v>77</v>
      </c>
      <c r="V634" s="9"/>
      <c r="W634" s="12"/>
      <c r="X634" s="13"/>
      <c r="Y634" s="13"/>
      <c r="Z634" s="13"/>
      <c r="AA634" s="13"/>
      <c r="AB634" s="13"/>
      <c r="AC634" s="13">
        <f t="shared" si="93"/>
        <v>0</v>
      </c>
      <c r="AD634" s="13"/>
      <c r="AE634" s="13"/>
      <c r="AF634" s="13">
        <f t="shared" si="94"/>
        <v>0</v>
      </c>
      <c r="AG634" s="13"/>
      <c r="AH634" s="13"/>
      <c r="AI634" s="13"/>
      <c r="AJ634" s="13">
        <f t="shared" si="95"/>
        <v>0</v>
      </c>
      <c r="AK634" s="9"/>
      <c r="AL634" s="13"/>
      <c r="AM634" s="9"/>
      <c r="AN634" s="9"/>
      <c r="AO634" s="9"/>
      <c r="AP634" s="14"/>
    </row>
    <row r="635" spans="1:42" s="45" customFormat="1" ht="22" customHeight="1">
      <c r="A635" s="14" t="s">
        <v>17</v>
      </c>
      <c r="B635" s="8">
        <v>2024</v>
      </c>
      <c r="C635" s="8" t="s">
        <v>8</v>
      </c>
      <c r="D635" s="9" t="s">
        <v>185</v>
      </c>
      <c r="E635" s="9" t="s">
        <v>10</v>
      </c>
      <c r="F635" s="9" t="s">
        <v>186</v>
      </c>
      <c r="G635" s="8"/>
      <c r="H635" s="8"/>
      <c r="I635" s="9" t="s">
        <v>78</v>
      </c>
      <c r="J635" s="9" t="s">
        <v>11</v>
      </c>
      <c r="K635" s="9" t="s">
        <v>82</v>
      </c>
      <c r="L635" s="9" t="s">
        <v>171</v>
      </c>
      <c r="M635" s="9" t="s">
        <v>78</v>
      </c>
      <c r="N635" s="9" t="s">
        <v>377</v>
      </c>
      <c r="O635" s="9" t="s">
        <v>192</v>
      </c>
      <c r="P635" s="149" t="s">
        <v>387</v>
      </c>
      <c r="Q635" s="11"/>
      <c r="R635" s="11"/>
      <c r="S635" s="11">
        <f t="shared" si="96"/>
        <v>0</v>
      </c>
      <c r="T635" s="9"/>
      <c r="U635" s="14" t="s">
        <v>77</v>
      </c>
      <c r="V635" s="9"/>
      <c r="W635" s="12"/>
      <c r="X635" s="13"/>
      <c r="Y635" s="13"/>
      <c r="Z635" s="13"/>
      <c r="AA635" s="13"/>
      <c r="AB635" s="13"/>
      <c r="AC635" s="13">
        <f t="shared" si="93"/>
        <v>0</v>
      </c>
      <c r="AD635" s="13"/>
      <c r="AE635" s="13"/>
      <c r="AF635" s="13">
        <f t="shared" si="94"/>
        <v>0</v>
      </c>
      <c r="AG635" s="13"/>
      <c r="AH635" s="13"/>
      <c r="AI635" s="13"/>
      <c r="AJ635" s="13">
        <f t="shared" si="95"/>
        <v>0</v>
      </c>
      <c r="AK635" s="9"/>
      <c r="AL635" s="13"/>
      <c r="AM635" s="9"/>
      <c r="AN635" s="9"/>
      <c r="AO635" s="9"/>
      <c r="AP635" s="14"/>
    </row>
    <row r="636" spans="1:42" s="45" customFormat="1" ht="22" customHeight="1">
      <c r="A636" s="14" t="s">
        <v>17</v>
      </c>
      <c r="B636" s="8">
        <v>2024</v>
      </c>
      <c r="C636" s="8" t="s">
        <v>8</v>
      </c>
      <c r="D636" s="9" t="s">
        <v>185</v>
      </c>
      <c r="E636" s="9" t="s">
        <v>10</v>
      </c>
      <c r="F636" s="9" t="s">
        <v>186</v>
      </c>
      <c r="G636" s="8"/>
      <c r="H636" s="8"/>
      <c r="I636" s="9" t="s">
        <v>78</v>
      </c>
      <c r="J636" s="9" t="s">
        <v>11</v>
      </c>
      <c r="K636" s="9" t="s">
        <v>82</v>
      </c>
      <c r="L636" s="9" t="s">
        <v>171</v>
      </c>
      <c r="M636" s="9" t="s">
        <v>78</v>
      </c>
      <c r="N636" s="9" t="s">
        <v>377</v>
      </c>
      <c r="O636" s="9" t="s">
        <v>388</v>
      </c>
      <c r="P636" s="149" t="s">
        <v>389</v>
      </c>
      <c r="Q636" s="11"/>
      <c r="R636" s="11"/>
      <c r="S636" s="11">
        <f t="shared" si="96"/>
        <v>0</v>
      </c>
      <c r="T636" s="9"/>
      <c r="U636" s="14" t="s">
        <v>77</v>
      </c>
      <c r="V636" s="9"/>
      <c r="W636" s="12"/>
      <c r="X636" s="13"/>
      <c r="Y636" s="13"/>
      <c r="Z636" s="13"/>
      <c r="AA636" s="13"/>
      <c r="AB636" s="13"/>
      <c r="AC636" s="13">
        <f t="shared" si="93"/>
        <v>0</v>
      </c>
      <c r="AD636" s="13"/>
      <c r="AE636" s="13"/>
      <c r="AF636" s="13">
        <f t="shared" si="94"/>
        <v>0</v>
      </c>
      <c r="AG636" s="13"/>
      <c r="AH636" s="13"/>
      <c r="AI636" s="13"/>
      <c r="AJ636" s="13">
        <f t="shared" si="95"/>
        <v>0</v>
      </c>
      <c r="AK636" s="9"/>
      <c r="AL636" s="13"/>
      <c r="AM636" s="9"/>
      <c r="AN636" s="9"/>
      <c r="AO636" s="9"/>
      <c r="AP636" s="14"/>
    </row>
    <row r="637" spans="1:42" s="45" customFormat="1" ht="22" customHeight="1">
      <c r="A637" s="14" t="s">
        <v>17</v>
      </c>
      <c r="B637" s="8">
        <v>2024</v>
      </c>
      <c r="C637" s="8" t="s">
        <v>8</v>
      </c>
      <c r="D637" s="9" t="s">
        <v>185</v>
      </c>
      <c r="E637" s="9" t="s">
        <v>10</v>
      </c>
      <c r="F637" s="9" t="s">
        <v>186</v>
      </c>
      <c r="G637" s="8"/>
      <c r="H637" s="8"/>
      <c r="I637" s="9" t="s">
        <v>78</v>
      </c>
      <c r="J637" s="9" t="s">
        <v>11</v>
      </c>
      <c r="K637" s="9" t="s">
        <v>82</v>
      </c>
      <c r="L637" s="9" t="s">
        <v>171</v>
      </c>
      <c r="M637" s="9" t="s">
        <v>78</v>
      </c>
      <c r="N637" s="9" t="s">
        <v>377</v>
      </c>
      <c r="O637" s="9" t="s">
        <v>388</v>
      </c>
      <c r="P637" s="149" t="s">
        <v>390</v>
      </c>
      <c r="Q637" s="11"/>
      <c r="R637" s="11">
        <v>471</v>
      </c>
      <c r="S637" s="11">
        <f t="shared" si="96"/>
        <v>471</v>
      </c>
      <c r="T637" s="9"/>
      <c r="U637" s="14" t="s">
        <v>77</v>
      </c>
      <c r="V637" s="9"/>
      <c r="W637" s="12">
        <v>30</v>
      </c>
      <c r="X637" s="13"/>
      <c r="Y637" s="13"/>
      <c r="Z637" s="13"/>
      <c r="AA637" s="13"/>
      <c r="AB637" s="13"/>
      <c r="AC637" s="13">
        <f t="shared" ref="AC637:AC640" si="97">+S637*W637*20/1000000</f>
        <v>0.28260000000000002</v>
      </c>
      <c r="AD637" s="13"/>
      <c r="AE637" s="13"/>
      <c r="AF637" s="13">
        <f t="shared" ref="AF637:AF640" si="98">+S637*W637*200/1000000</f>
        <v>2.8260000000000001</v>
      </c>
      <c r="AG637" s="13"/>
      <c r="AH637" s="13"/>
      <c r="AI637" s="13"/>
      <c r="AJ637" s="13">
        <f t="shared" si="95"/>
        <v>3.1086</v>
      </c>
      <c r="AK637" s="9"/>
      <c r="AL637" s="13"/>
      <c r="AM637" s="9"/>
      <c r="AN637" s="9"/>
      <c r="AO637" s="9"/>
      <c r="AP637" s="14"/>
    </row>
    <row r="638" spans="1:42" s="45" customFormat="1" ht="22" customHeight="1">
      <c r="A638" s="14" t="s">
        <v>17</v>
      </c>
      <c r="B638" s="8">
        <v>2024</v>
      </c>
      <c r="C638" s="8" t="s">
        <v>8</v>
      </c>
      <c r="D638" s="9" t="s">
        <v>185</v>
      </c>
      <c r="E638" s="9" t="s">
        <v>10</v>
      </c>
      <c r="F638" s="9" t="s">
        <v>186</v>
      </c>
      <c r="G638" s="8"/>
      <c r="H638" s="8"/>
      <c r="I638" s="9" t="s">
        <v>78</v>
      </c>
      <c r="J638" s="9" t="s">
        <v>11</v>
      </c>
      <c r="K638" s="9" t="s">
        <v>82</v>
      </c>
      <c r="L638" s="9" t="s">
        <v>171</v>
      </c>
      <c r="M638" s="9" t="s">
        <v>78</v>
      </c>
      <c r="N638" s="9" t="s">
        <v>377</v>
      </c>
      <c r="O638" s="9" t="s">
        <v>388</v>
      </c>
      <c r="P638" s="149" t="s">
        <v>388</v>
      </c>
      <c r="Q638" s="11"/>
      <c r="R638" s="11">
        <v>0</v>
      </c>
      <c r="S638" s="11">
        <f t="shared" si="96"/>
        <v>0</v>
      </c>
      <c r="T638" s="9"/>
      <c r="U638" s="14" t="s">
        <v>77</v>
      </c>
      <c r="V638" s="9"/>
      <c r="W638" s="12"/>
      <c r="X638" s="13"/>
      <c r="Y638" s="13"/>
      <c r="Z638" s="13"/>
      <c r="AA638" s="13"/>
      <c r="AB638" s="13"/>
      <c r="AC638" s="13">
        <f t="shared" si="97"/>
        <v>0</v>
      </c>
      <c r="AD638" s="13"/>
      <c r="AE638" s="13"/>
      <c r="AF638" s="13">
        <f t="shared" si="98"/>
        <v>0</v>
      </c>
      <c r="AG638" s="13"/>
      <c r="AH638" s="13"/>
      <c r="AI638" s="13"/>
      <c r="AJ638" s="13">
        <f t="shared" si="95"/>
        <v>0</v>
      </c>
      <c r="AK638" s="9"/>
      <c r="AL638" s="13"/>
      <c r="AM638" s="9"/>
      <c r="AN638" s="9"/>
      <c r="AO638" s="9"/>
      <c r="AP638" s="14"/>
    </row>
    <row r="639" spans="1:42" s="45" customFormat="1" ht="22" customHeight="1">
      <c r="A639" s="14" t="s">
        <v>17</v>
      </c>
      <c r="B639" s="8">
        <v>2024</v>
      </c>
      <c r="C639" s="8" t="s">
        <v>8</v>
      </c>
      <c r="D639" s="9" t="s">
        <v>185</v>
      </c>
      <c r="E639" s="9" t="s">
        <v>10</v>
      </c>
      <c r="F639" s="9" t="s">
        <v>186</v>
      </c>
      <c r="G639" s="8"/>
      <c r="H639" s="8"/>
      <c r="I639" s="9" t="s">
        <v>78</v>
      </c>
      <c r="J639" s="9" t="s">
        <v>11</v>
      </c>
      <c r="K639" s="9" t="s">
        <v>82</v>
      </c>
      <c r="L639" s="9" t="s">
        <v>171</v>
      </c>
      <c r="M639" s="9" t="s">
        <v>78</v>
      </c>
      <c r="N639" s="9" t="s">
        <v>377</v>
      </c>
      <c r="O639" s="9" t="s">
        <v>388</v>
      </c>
      <c r="P639" s="149" t="s">
        <v>391</v>
      </c>
      <c r="Q639" s="11"/>
      <c r="R639" s="11"/>
      <c r="S639" s="11">
        <f t="shared" si="96"/>
        <v>0</v>
      </c>
      <c r="T639" s="9"/>
      <c r="U639" s="14" t="s">
        <v>77</v>
      </c>
      <c r="V639" s="9"/>
      <c r="W639" s="12"/>
      <c r="X639" s="13"/>
      <c r="Y639" s="13"/>
      <c r="Z639" s="13"/>
      <c r="AA639" s="13"/>
      <c r="AB639" s="13"/>
      <c r="AC639" s="13">
        <f t="shared" si="97"/>
        <v>0</v>
      </c>
      <c r="AD639" s="13"/>
      <c r="AE639" s="13"/>
      <c r="AF639" s="13">
        <f t="shared" si="98"/>
        <v>0</v>
      </c>
      <c r="AG639" s="13"/>
      <c r="AH639" s="13"/>
      <c r="AI639" s="13"/>
      <c r="AJ639" s="13">
        <f t="shared" si="95"/>
        <v>0</v>
      </c>
      <c r="AK639" s="9"/>
      <c r="AL639" s="13"/>
      <c r="AM639" s="9"/>
      <c r="AN639" s="9"/>
      <c r="AO639" s="9"/>
      <c r="AP639" s="14"/>
    </row>
    <row r="640" spans="1:42" s="45" customFormat="1" ht="22" customHeight="1">
      <c r="A640" s="14" t="s">
        <v>17</v>
      </c>
      <c r="B640" s="8">
        <v>2024</v>
      </c>
      <c r="C640" s="8" t="s">
        <v>8</v>
      </c>
      <c r="D640" s="9" t="s">
        <v>185</v>
      </c>
      <c r="E640" s="9" t="s">
        <v>10</v>
      </c>
      <c r="F640" s="9" t="s">
        <v>186</v>
      </c>
      <c r="G640" s="8"/>
      <c r="H640" s="8"/>
      <c r="I640" s="9" t="s">
        <v>78</v>
      </c>
      <c r="J640" s="9" t="s">
        <v>11</v>
      </c>
      <c r="K640" s="9" t="s">
        <v>82</v>
      </c>
      <c r="L640" s="9" t="s">
        <v>171</v>
      </c>
      <c r="M640" s="9" t="s">
        <v>78</v>
      </c>
      <c r="N640" s="9" t="s">
        <v>377</v>
      </c>
      <c r="O640" s="9" t="s">
        <v>388</v>
      </c>
      <c r="P640" s="149" t="s">
        <v>392</v>
      </c>
      <c r="Q640" s="11"/>
      <c r="R640" s="11">
        <v>305</v>
      </c>
      <c r="S640" s="11">
        <f t="shared" si="96"/>
        <v>305</v>
      </c>
      <c r="T640" s="9"/>
      <c r="U640" s="14" t="s">
        <v>77</v>
      </c>
      <c r="V640" s="9"/>
      <c r="W640" s="12">
        <v>30</v>
      </c>
      <c r="X640" s="13"/>
      <c r="Y640" s="13"/>
      <c r="Z640" s="13"/>
      <c r="AA640" s="13"/>
      <c r="AB640" s="13"/>
      <c r="AC640" s="13">
        <f t="shared" si="97"/>
        <v>0.183</v>
      </c>
      <c r="AD640" s="13"/>
      <c r="AE640" s="13"/>
      <c r="AF640" s="13">
        <f t="shared" si="98"/>
        <v>1.83</v>
      </c>
      <c r="AG640" s="13"/>
      <c r="AH640" s="13"/>
      <c r="AI640" s="13"/>
      <c r="AJ640" s="13">
        <f t="shared" ref="AJ640:AJ703" si="99">SUBTOTAL(9,X640:AI640)</f>
        <v>2.0129999999999999</v>
      </c>
      <c r="AK640" s="9"/>
      <c r="AL640" s="13"/>
      <c r="AM640" s="9"/>
      <c r="AN640" s="9"/>
      <c r="AO640" s="9"/>
      <c r="AP640" s="14"/>
    </row>
    <row r="641" spans="1:42" s="45" customFormat="1" ht="22" customHeight="1">
      <c r="A641" s="14" t="s">
        <v>17</v>
      </c>
      <c r="B641" s="8">
        <v>2024</v>
      </c>
      <c r="C641" s="8" t="s">
        <v>8</v>
      </c>
      <c r="D641" s="9" t="s">
        <v>185</v>
      </c>
      <c r="E641" s="9" t="s">
        <v>15</v>
      </c>
      <c r="F641" s="9" t="s">
        <v>186</v>
      </c>
      <c r="G641" s="8"/>
      <c r="H641" s="8"/>
      <c r="I641" s="9" t="s">
        <v>78</v>
      </c>
      <c r="J641" s="9" t="s">
        <v>11</v>
      </c>
      <c r="K641" s="9" t="s">
        <v>82</v>
      </c>
      <c r="L641" s="9" t="s">
        <v>171</v>
      </c>
      <c r="M641" s="9" t="s">
        <v>78</v>
      </c>
      <c r="N641" s="9" t="s">
        <v>377</v>
      </c>
      <c r="O641" s="9" t="s">
        <v>217</v>
      </c>
      <c r="P641" s="149" t="s">
        <v>378</v>
      </c>
      <c r="Q641" s="11"/>
      <c r="R641" s="11"/>
      <c r="S641" s="11">
        <f t="shared" si="96"/>
        <v>0</v>
      </c>
      <c r="T641" s="9"/>
      <c r="U641" s="14" t="s">
        <v>77</v>
      </c>
      <c r="V641" s="9"/>
      <c r="W641" s="12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>
        <f t="shared" ref="AH641:AH656" si="100">+S641*W641*50/1000000</f>
        <v>0</v>
      </c>
      <c r="AI641" s="13"/>
      <c r="AJ641" s="13">
        <f t="shared" si="99"/>
        <v>0</v>
      </c>
      <c r="AK641" s="9"/>
      <c r="AL641" s="13"/>
      <c r="AM641" s="9"/>
      <c r="AN641" s="9"/>
      <c r="AO641" s="9"/>
      <c r="AP641" s="14"/>
    </row>
    <row r="642" spans="1:42" s="45" customFormat="1" ht="22" customHeight="1">
      <c r="A642" s="14" t="s">
        <v>17</v>
      </c>
      <c r="B642" s="8">
        <v>2024</v>
      </c>
      <c r="C642" s="8" t="s">
        <v>8</v>
      </c>
      <c r="D642" s="9" t="s">
        <v>185</v>
      </c>
      <c r="E642" s="9" t="s">
        <v>15</v>
      </c>
      <c r="F642" s="9" t="s">
        <v>186</v>
      </c>
      <c r="G642" s="8"/>
      <c r="H642" s="8"/>
      <c r="I642" s="9" t="s">
        <v>78</v>
      </c>
      <c r="J642" s="9" t="s">
        <v>11</v>
      </c>
      <c r="K642" s="9" t="s">
        <v>82</v>
      </c>
      <c r="L642" s="9" t="s">
        <v>171</v>
      </c>
      <c r="M642" s="9" t="s">
        <v>78</v>
      </c>
      <c r="N642" s="9" t="s">
        <v>377</v>
      </c>
      <c r="O642" s="9" t="s">
        <v>217</v>
      </c>
      <c r="P642" s="149" t="s">
        <v>379</v>
      </c>
      <c r="Q642" s="11">
        <v>280</v>
      </c>
      <c r="R642" s="11">
        <v>217</v>
      </c>
      <c r="S642" s="11">
        <f t="shared" si="96"/>
        <v>497</v>
      </c>
      <c r="T642" s="9"/>
      <c r="U642" s="14" t="s">
        <v>77</v>
      </c>
      <c r="V642" s="9"/>
      <c r="W642" s="12">
        <v>30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>
        <f t="shared" si="100"/>
        <v>0.74550000000000005</v>
      </c>
      <c r="AI642" s="13"/>
      <c r="AJ642" s="13">
        <f t="shared" si="99"/>
        <v>0.74550000000000005</v>
      </c>
      <c r="AK642" s="9"/>
      <c r="AL642" s="13"/>
      <c r="AM642" s="9"/>
      <c r="AN642" s="9"/>
      <c r="AO642" s="9"/>
      <c r="AP642" s="14"/>
    </row>
    <row r="643" spans="1:42" s="45" customFormat="1" ht="22" customHeight="1">
      <c r="A643" s="14" t="s">
        <v>17</v>
      </c>
      <c r="B643" s="8">
        <v>2024</v>
      </c>
      <c r="C643" s="8" t="s">
        <v>8</v>
      </c>
      <c r="D643" s="9" t="s">
        <v>185</v>
      </c>
      <c r="E643" s="9" t="s">
        <v>15</v>
      </c>
      <c r="F643" s="9" t="s">
        <v>186</v>
      </c>
      <c r="G643" s="8"/>
      <c r="H643" s="8"/>
      <c r="I643" s="9" t="s">
        <v>78</v>
      </c>
      <c r="J643" s="9" t="s">
        <v>11</v>
      </c>
      <c r="K643" s="9" t="s">
        <v>82</v>
      </c>
      <c r="L643" s="9" t="s">
        <v>171</v>
      </c>
      <c r="M643" s="9" t="s">
        <v>78</v>
      </c>
      <c r="N643" s="9" t="s">
        <v>377</v>
      </c>
      <c r="O643" s="9" t="s">
        <v>217</v>
      </c>
      <c r="P643" s="149" t="s">
        <v>217</v>
      </c>
      <c r="Q643" s="11">
        <v>350</v>
      </c>
      <c r="R643" s="11">
        <v>317</v>
      </c>
      <c r="S643" s="11">
        <f t="shared" si="96"/>
        <v>667</v>
      </c>
      <c r="T643" s="9"/>
      <c r="U643" s="14" t="s">
        <v>77</v>
      </c>
      <c r="V643" s="9"/>
      <c r="W643" s="12">
        <v>30</v>
      </c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>
        <f t="shared" si="100"/>
        <v>1.0004999999999999</v>
      </c>
      <c r="AI643" s="13"/>
      <c r="AJ643" s="13">
        <f t="shared" si="99"/>
        <v>1.0004999999999999</v>
      </c>
      <c r="AK643" s="9"/>
      <c r="AL643" s="13"/>
      <c r="AM643" s="9"/>
      <c r="AN643" s="9"/>
      <c r="AO643" s="9"/>
      <c r="AP643" s="14"/>
    </row>
    <row r="644" spans="1:42" s="45" customFormat="1" ht="22" customHeight="1">
      <c r="A644" s="14" t="s">
        <v>17</v>
      </c>
      <c r="B644" s="8">
        <v>2024</v>
      </c>
      <c r="C644" s="8" t="s">
        <v>8</v>
      </c>
      <c r="D644" s="9" t="s">
        <v>185</v>
      </c>
      <c r="E644" s="9" t="s">
        <v>15</v>
      </c>
      <c r="F644" s="9" t="s">
        <v>186</v>
      </c>
      <c r="G644" s="8"/>
      <c r="H644" s="8"/>
      <c r="I644" s="9" t="s">
        <v>78</v>
      </c>
      <c r="J644" s="9" t="s">
        <v>11</v>
      </c>
      <c r="K644" s="9" t="s">
        <v>82</v>
      </c>
      <c r="L644" s="9" t="s">
        <v>171</v>
      </c>
      <c r="M644" s="9" t="s">
        <v>78</v>
      </c>
      <c r="N644" s="9" t="s">
        <v>377</v>
      </c>
      <c r="O644" s="9" t="s">
        <v>217</v>
      </c>
      <c r="P644" s="149" t="s">
        <v>380</v>
      </c>
      <c r="Q644" s="11"/>
      <c r="R644" s="11"/>
      <c r="S644" s="11">
        <f t="shared" si="96"/>
        <v>0</v>
      </c>
      <c r="T644" s="9"/>
      <c r="U644" s="14" t="s">
        <v>77</v>
      </c>
      <c r="V644" s="9"/>
      <c r="W644" s="12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>
        <f t="shared" si="100"/>
        <v>0</v>
      </c>
      <c r="AI644" s="13"/>
      <c r="AJ644" s="13">
        <f t="shared" si="99"/>
        <v>0</v>
      </c>
      <c r="AK644" s="9"/>
      <c r="AL644" s="13"/>
      <c r="AM644" s="9"/>
      <c r="AN644" s="9"/>
      <c r="AO644" s="9"/>
      <c r="AP644" s="14"/>
    </row>
    <row r="645" spans="1:42" s="45" customFormat="1" ht="22" customHeight="1">
      <c r="A645" s="14" t="s">
        <v>17</v>
      </c>
      <c r="B645" s="8">
        <v>2024</v>
      </c>
      <c r="C645" s="8" t="s">
        <v>8</v>
      </c>
      <c r="D645" s="9" t="s">
        <v>185</v>
      </c>
      <c r="E645" s="9" t="s">
        <v>15</v>
      </c>
      <c r="F645" s="9" t="s">
        <v>186</v>
      </c>
      <c r="G645" s="8"/>
      <c r="H645" s="8"/>
      <c r="I645" s="9" t="s">
        <v>78</v>
      </c>
      <c r="J645" s="9" t="s">
        <v>11</v>
      </c>
      <c r="K645" s="9" t="s">
        <v>82</v>
      </c>
      <c r="L645" s="9" t="s">
        <v>171</v>
      </c>
      <c r="M645" s="9" t="s">
        <v>78</v>
      </c>
      <c r="N645" s="9" t="s">
        <v>377</v>
      </c>
      <c r="O645" s="9" t="s">
        <v>217</v>
      </c>
      <c r="P645" s="149" t="s">
        <v>381</v>
      </c>
      <c r="Q645" s="11"/>
      <c r="R645" s="11"/>
      <c r="S645" s="11">
        <f t="shared" si="96"/>
        <v>0</v>
      </c>
      <c r="T645" s="9"/>
      <c r="U645" s="14" t="s">
        <v>77</v>
      </c>
      <c r="V645" s="9"/>
      <c r="W645" s="12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>
        <f t="shared" si="100"/>
        <v>0</v>
      </c>
      <c r="AI645" s="13"/>
      <c r="AJ645" s="13">
        <f t="shared" si="99"/>
        <v>0</v>
      </c>
      <c r="AK645" s="9"/>
      <c r="AL645" s="13"/>
      <c r="AM645" s="9"/>
      <c r="AN645" s="9"/>
      <c r="AO645" s="9"/>
      <c r="AP645" s="14"/>
    </row>
    <row r="646" spans="1:42" s="45" customFormat="1" ht="22" customHeight="1">
      <c r="A646" s="14" t="s">
        <v>17</v>
      </c>
      <c r="B646" s="8">
        <v>2024</v>
      </c>
      <c r="C646" s="8" t="s">
        <v>8</v>
      </c>
      <c r="D646" s="9" t="s">
        <v>185</v>
      </c>
      <c r="E646" s="9" t="s">
        <v>15</v>
      </c>
      <c r="F646" s="9" t="s">
        <v>186</v>
      </c>
      <c r="G646" s="8"/>
      <c r="H646" s="8"/>
      <c r="I646" s="9" t="s">
        <v>78</v>
      </c>
      <c r="J646" s="9" t="s">
        <v>11</v>
      </c>
      <c r="K646" s="9" t="s">
        <v>82</v>
      </c>
      <c r="L646" s="9" t="s">
        <v>171</v>
      </c>
      <c r="M646" s="9" t="s">
        <v>78</v>
      </c>
      <c r="N646" s="9" t="s">
        <v>377</v>
      </c>
      <c r="O646" s="9" t="s">
        <v>192</v>
      </c>
      <c r="P646" s="149" t="s">
        <v>382</v>
      </c>
      <c r="Q646" s="11">
        <v>640</v>
      </c>
      <c r="R646" s="11">
        <v>374</v>
      </c>
      <c r="S646" s="11">
        <f t="shared" si="96"/>
        <v>1014</v>
      </c>
      <c r="T646" s="9"/>
      <c r="U646" s="14" t="s">
        <v>77</v>
      </c>
      <c r="V646" s="9"/>
      <c r="W646" s="12">
        <v>30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>
        <f t="shared" si="100"/>
        <v>1.5209999999999999</v>
      </c>
      <c r="AI646" s="13"/>
      <c r="AJ646" s="13">
        <f t="shared" si="99"/>
        <v>1.5209999999999999</v>
      </c>
      <c r="AK646" s="9"/>
      <c r="AL646" s="13"/>
      <c r="AM646" s="9"/>
      <c r="AN646" s="9"/>
      <c r="AO646" s="9"/>
      <c r="AP646" s="14"/>
    </row>
    <row r="647" spans="1:42" s="45" customFormat="1" ht="22" customHeight="1">
      <c r="A647" s="14" t="s">
        <v>17</v>
      </c>
      <c r="B647" s="8">
        <v>2024</v>
      </c>
      <c r="C647" s="8" t="s">
        <v>8</v>
      </c>
      <c r="D647" s="9" t="s">
        <v>185</v>
      </c>
      <c r="E647" s="9" t="s">
        <v>15</v>
      </c>
      <c r="F647" s="9" t="s">
        <v>186</v>
      </c>
      <c r="G647" s="8"/>
      <c r="H647" s="8"/>
      <c r="I647" s="9" t="s">
        <v>78</v>
      </c>
      <c r="J647" s="9" t="s">
        <v>11</v>
      </c>
      <c r="K647" s="9" t="s">
        <v>82</v>
      </c>
      <c r="L647" s="9" t="s">
        <v>171</v>
      </c>
      <c r="M647" s="9" t="s">
        <v>78</v>
      </c>
      <c r="N647" s="9" t="s">
        <v>377</v>
      </c>
      <c r="O647" s="9" t="s">
        <v>192</v>
      </c>
      <c r="P647" s="149" t="s">
        <v>192</v>
      </c>
      <c r="Q647" s="11">
        <v>887</v>
      </c>
      <c r="R647" s="11">
        <v>672</v>
      </c>
      <c r="S647" s="11">
        <f t="shared" si="96"/>
        <v>1559</v>
      </c>
      <c r="T647" s="9"/>
      <c r="U647" s="14" t="s">
        <v>77</v>
      </c>
      <c r="V647" s="9"/>
      <c r="W647" s="12">
        <v>30</v>
      </c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>
        <f t="shared" si="100"/>
        <v>2.3384999999999998</v>
      </c>
      <c r="AI647" s="13"/>
      <c r="AJ647" s="13">
        <f t="shared" si="99"/>
        <v>2.3384999999999998</v>
      </c>
      <c r="AK647" s="9"/>
      <c r="AL647" s="13"/>
      <c r="AM647" s="9"/>
      <c r="AN647" s="9"/>
      <c r="AO647" s="9"/>
      <c r="AP647" s="14"/>
    </row>
    <row r="648" spans="1:42" s="45" customFormat="1" ht="22" customHeight="1">
      <c r="A648" s="14" t="s">
        <v>17</v>
      </c>
      <c r="B648" s="8">
        <v>2024</v>
      </c>
      <c r="C648" s="8" t="s">
        <v>8</v>
      </c>
      <c r="D648" s="9" t="s">
        <v>185</v>
      </c>
      <c r="E648" s="9" t="s">
        <v>15</v>
      </c>
      <c r="F648" s="9" t="s">
        <v>186</v>
      </c>
      <c r="G648" s="8"/>
      <c r="H648" s="8"/>
      <c r="I648" s="9" t="s">
        <v>78</v>
      </c>
      <c r="J648" s="9" t="s">
        <v>11</v>
      </c>
      <c r="K648" s="9" t="s">
        <v>82</v>
      </c>
      <c r="L648" s="9" t="s">
        <v>171</v>
      </c>
      <c r="M648" s="9" t="s">
        <v>78</v>
      </c>
      <c r="N648" s="9" t="s">
        <v>377</v>
      </c>
      <c r="O648" s="9" t="s">
        <v>192</v>
      </c>
      <c r="P648" s="149" t="s">
        <v>383</v>
      </c>
      <c r="Q648" s="11"/>
      <c r="R648" s="11"/>
      <c r="S648" s="11">
        <f t="shared" si="96"/>
        <v>0</v>
      </c>
      <c r="T648" s="9"/>
      <c r="U648" s="14" t="s">
        <v>77</v>
      </c>
      <c r="V648" s="9"/>
      <c r="W648" s="12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>
        <f t="shared" si="100"/>
        <v>0</v>
      </c>
      <c r="AI648" s="13"/>
      <c r="AJ648" s="13">
        <f t="shared" si="99"/>
        <v>0</v>
      </c>
      <c r="AK648" s="9"/>
      <c r="AL648" s="13"/>
      <c r="AM648" s="9"/>
      <c r="AN648" s="9"/>
      <c r="AO648" s="9"/>
      <c r="AP648" s="14"/>
    </row>
    <row r="649" spans="1:42" s="45" customFormat="1" ht="22" customHeight="1">
      <c r="A649" s="14" t="s">
        <v>17</v>
      </c>
      <c r="B649" s="8">
        <v>2024</v>
      </c>
      <c r="C649" s="8" t="s">
        <v>8</v>
      </c>
      <c r="D649" s="9" t="s">
        <v>185</v>
      </c>
      <c r="E649" s="9" t="s">
        <v>15</v>
      </c>
      <c r="F649" s="9" t="s">
        <v>186</v>
      </c>
      <c r="G649" s="8"/>
      <c r="H649" s="8"/>
      <c r="I649" s="9" t="s">
        <v>78</v>
      </c>
      <c r="J649" s="9" t="s">
        <v>11</v>
      </c>
      <c r="K649" s="9" t="s">
        <v>82</v>
      </c>
      <c r="L649" s="9" t="s">
        <v>171</v>
      </c>
      <c r="M649" s="9" t="s">
        <v>78</v>
      </c>
      <c r="N649" s="9" t="s">
        <v>377</v>
      </c>
      <c r="O649" s="9" t="s">
        <v>192</v>
      </c>
      <c r="P649" s="149" t="s">
        <v>384</v>
      </c>
      <c r="Q649" s="11"/>
      <c r="R649" s="11"/>
      <c r="S649" s="11">
        <f t="shared" si="96"/>
        <v>0</v>
      </c>
      <c r="T649" s="9"/>
      <c r="U649" s="14" t="s">
        <v>77</v>
      </c>
      <c r="V649" s="9"/>
      <c r="W649" s="12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>
        <f t="shared" si="100"/>
        <v>0</v>
      </c>
      <c r="AI649" s="13"/>
      <c r="AJ649" s="13">
        <f t="shared" si="99"/>
        <v>0</v>
      </c>
      <c r="AK649" s="9"/>
      <c r="AL649" s="13"/>
      <c r="AM649" s="9"/>
      <c r="AN649" s="9"/>
      <c r="AO649" s="9"/>
      <c r="AP649" s="14"/>
    </row>
    <row r="650" spans="1:42" s="45" customFormat="1" ht="22" customHeight="1">
      <c r="A650" s="14" t="s">
        <v>17</v>
      </c>
      <c r="B650" s="8">
        <v>2024</v>
      </c>
      <c r="C650" s="8" t="s">
        <v>8</v>
      </c>
      <c r="D650" s="9" t="s">
        <v>185</v>
      </c>
      <c r="E650" s="9" t="s">
        <v>15</v>
      </c>
      <c r="F650" s="9" t="s">
        <v>186</v>
      </c>
      <c r="G650" s="8"/>
      <c r="H650" s="8"/>
      <c r="I650" s="9" t="s">
        <v>78</v>
      </c>
      <c r="J650" s="9" t="s">
        <v>11</v>
      </c>
      <c r="K650" s="9" t="s">
        <v>82</v>
      </c>
      <c r="L650" s="9" t="s">
        <v>171</v>
      </c>
      <c r="M650" s="9" t="s">
        <v>78</v>
      </c>
      <c r="N650" s="9" t="s">
        <v>377</v>
      </c>
      <c r="O650" s="9" t="s">
        <v>192</v>
      </c>
      <c r="P650" s="149" t="s">
        <v>385</v>
      </c>
      <c r="Q650" s="11"/>
      <c r="R650" s="11"/>
      <c r="S650" s="11">
        <f t="shared" si="96"/>
        <v>0</v>
      </c>
      <c r="T650" s="9"/>
      <c r="U650" s="14" t="s">
        <v>77</v>
      </c>
      <c r="V650" s="9"/>
      <c r="W650" s="12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>
        <f t="shared" si="100"/>
        <v>0</v>
      </c>
      <c r="AI650" s="13"/>
      <c r="AJ650" s="13">
        <f t="shared" si="99"/>
        <v>0</v>
      </c>
      <c r="AK650" s="9"/>
      <c r="AL650" s="13"/>
      <c r="AM650" s="9"/>
      <c r="AN650" s="9"/>
      <c r="AO650" s="9"/>
      <c r="AP650" s="14"/>
    </row>
    <row r="651" spans="1:42" s="45" customFormat="1" ht="22" customHeight="1">
      <c r="A651" s="14" t="s">
        <v>17</v>
      </c>
      <c r="B651" s="8">
        <v>2024</v>
      </c>
      <c r="C651" s="8" t="s">
        <v>8</v>
      </c>
      <c r="D651" s="9" t="s">
        <v>185</v>
      </c>
      <c r="E651" s="9" t="s">
        <v>15</v>
      </c>
      <c r="F651" s="9" t="s">
        <v>186</v>
      </c>
      <c r="G651" s="8"/>
      <c r="H651" s="8"/>
      <c r="I651" s="9" t="s">
        <v>78</v>
      </c>
      <c r="J651" s="9" t="s">
        <v>11</v>
      </c>
      <c r="K651" s="9" t="s">
        <v>82</v>
      </c>
      <c r="L651" s="9" t="s">
        <v>171</v>
      </c>
      <c r="M651" s="9" t="s">
        <v>78</v>
      </c>
      <c r="N651" s="9" t="s">
        <v>377</v>
      </c>
      <c r="O651" s="9" t="s">
        <v>192</v>
      </c>
      <c r="P651" s="149" t="s">
        <v>386</v>
      </c>
      <c r="Q651" s="11"/>
      <c r="R651" s="11"/>
      <c r="S651" s="11">
        <f t="shared" si="96"/>
        <v>0</v>
      </c>
      <c r="T651" s="9"/>
      <c r="U651" s="14" t="s">
        <v>77</v>
      </c>
      <c r="V651" s="9"/>
      <c r="W651" s="12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>
        <f t="shared" si="100"/>
        <v>0</v>
      </c>
      <c r="AI651" s="13"/>
      <c r="AJ651" s="13">
        <f t="shared" si="99"/>
        <v>0</v>
      </c>
      <c r="AK651" s="9"/>
      <c r="AL651" s="13"/>
      <c r="AM651" s="9"/>
      <c r="AN651" s="9"/>
      <c r="AO651" s="9"/>
      <c r="AP651" s="14"/>
    </row>
    <row r="652" spans="1:42" s="45" customFormat="1" ht="22" customHeight="1">
      <c r="A652" s="14" t="s">
        <v>17</v>
      </c>
      <c r="B652" s="8">
        <v>2024</v>
      </c>
      <c r="C652" s="8" t="s">
        <v>8</v>
      </c>
      <c r="D652" s="9" t="s">
        <v>185</v>
      </c>
      <c r="E652" s="9" t="s">
        <v>15</v>
      </c>
      <c r="F652" s="9" t="s">
        <v>186</v>
      </c>
      <c r="G652" s="8"/>
      <c r="H652" s="8"/>
      <c r="I652" s="9" t="s">
        <v>78</v>
      </c>
      <c r="J652" s="9" t="s">
        <v>11</v>
      </c>
      <c r="K652" s="9" t="s">
        <v>82</v>
      </c>
      <c r="L652" s="9" t="s">
        <v>171</v>
      </c>
      <c r="M652" s="9" t="s">
        <v>78</v>
      </c>
      <c r="N652" s="9" t="s">
        <v>377</v>
      </c>
      <c r="O652" s="9" t="s">
        <v>192</v>
      </c>
      <c r="P652" s="149" t="s">
        <v>387</v>
      </c>
      <c r="Q652" s="11"/>
      <c r="R652" s="11"/>
      <c r="S652" s="11">
        <f t="shared" si="96"/>
        <v>0</v>
      </c>
      <c r="T652" s="9"/>
      <c r="U652" s="14" t="s">
        <v>77</v>
      </c>
      <c r="V652" s="9"/>
      <c r="W652" s="12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>
        <f t="shared" si="100"/>
        <v>0</v>
      </c>
      <c r="AI652" s="13"/>
      <c r="AJ652" s="13">
        <f t="shared" si="99"/>
        <v>0</v>
      </c>
      <c r="AK652" s="9"/>
      <c r="AL652" s="13"/>
      <c r="AM652" s="9"/>
      <c r="AN652" s="9"/>
      <c r="AO652" s="9"/>
      <c r="AP652" s="14"/>
    </row>
    <row r="653" spans="1:42" s="45" customFormat="1" ht="22" customHeight="1">
      <c r="A653" s="14" t="s">
        <v>17</v>
      </c>
      <c r="B653" s="8">
        <v>2024</v>
      </c>
      <c r="C653" s="8" t="s">
        <v>8</v>
      </c>
      <c r="D653" s="9" t="s">
        <v>185</v>
      </c>
      <c r="E653" s="9" t="s">
        <v>15</v>
      </c>
      <c r="F653" s="9" t="s">
        <v>186</v>
      </c>
      <c r="G653" s="8"/>
      <c r="H653" s="8"/>
      <c r="I653" s="9" t="s">
        <v>78</v>
      </c>
      <c r="J653" s="9" t="s">
        <v>11</v>
      </c>
      <c r="K653" s="9" t="s">
        <v>82</v>
      </c>
      <c r="L653" s="9" t="s">
        <v>171</v>
      </c>
      <c r="M653" s="9" t="s">
        <v>78</v>
      </c>
      <c r="N653" s="9" t="s">
        <v>377</v>
      </c>
      <c r="O653" s="9" t="s">
        <v>388</v>
      </c>
      <c r="P653" s="149" t="s">
        <v>389</v>
      </c>
      <c r="Q653" s="11"/>
      <c r="R653" s="11"/>
      <c r="S653" s="11">
        <f t="shared" si="96"/>
        <v>0</v>
      </c>
      <c r="T653" s="9"/>
      <c r="U653" s="14" t="s">
        <v>77</v>
      </c>
      <c r="V653" s="9"/>
      <c r="W653" s="12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>
        <f t="shared" si="100"/>
        <v>0</v>
      </c>
      <c r="AI653" s="13"/>
      <c r="AJ653" s="13">
        <f t="shared" si="99"/>
        <v>0</v>
      </c>
      <c r="AK653" s="9"/>
      <c r="AL653" s="13"/>
      <c r="AM653" s="9"/>
      <c r="AN653" s="9"/>
      <c r="AO653" s="9"/>
      <c r="AP653" s="14"/>
    </row>
    <row r="654" spans="1:42" s="45" customFormat="1" ht="22" customHeight="1">
      <c r="A654" s="14" t="s">
        <v>17</v>
      </c>
      <c r="B654" s="8">
        <v>2024</v>
      </c>
      <c r="C654" s="8" t="s">
        <v>8</v>
      </c>
      <c r="D654" s="9" t="s">
        <v>185</v>
      </c>
      <c r="E654" s="9" t="s">
        <v>15</v>
      </c>
      <c r="F654" s="9" t="s">
        <v>186</v>
      </c>
      <c r="G654" s="8"/>
      <c r="H654" s="8"/>
      <c r="I654" s="9" t="s">
        <v>78</v>
      </c>
      <c r="J654" s="9" t="s">
        <v>11</v>
      </c>
      <c r="K654" s="9" t="s">
        <v>82</v>
      </c>
      <c r="L654" s="9" t="s">
        <v>171</v>
      </c>
      <c r="M654" s="9" t="s">
        <v>78</v>
      </c>
      <c r="N654" s="9" t="s">
        <v>377</v>
      </c>
      <c r="O654" s="9" t="s">
        <v>388</v>
      </c>
      <c r="P654" s="149" t="s">
        <v>390</v>
      </c>
      <c r="Q654" s="11">
        <v>280</v>
      </c>
      <c r="R654" s="11">
        <v>238</v>
      </c>
      <c r="S654" s="11">
        <f t="shared" si="96"/>
        <v>518</v>
      </c>
      <c r="T654" s="9"/>
      <c r="U654" s="14" t="s">
        <v>77</v>
      </c>
      <c r="V654" s="9"/>
      <c r="W654" s="12">
        <v>30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>
        <f t="shared" si="100"/>
        <v>0.77700000000000002</v>
      </c>
      <c r="AI654" s="13"/>
      <c r="AJ654" s="13">
        <f t="shared" si="99"/>
        <v>0.77700000000000002</v>
      </c>
      <c r="AK654" s="9"/>
      <c r="AL654" s="13"/>
      <c r="AM654" s="9"/>
      <c r="AN654" s="9"/>
      <c r="AO654" s="9"/>
      <c r="AP654" s="14"/>
    </row>
    <row r="655" spans="1:42" s="45" customFormat="1" ht="22" customHeight="1">
      <c r="A655" s="14" t="s">
        <v>17</v>
      </c>
      <c r="B655" s="8">
        <v>2024</v>
      </c>
      <c r="C655" s="8" t="s">
        <v>8</v>
      </c>
      <c r="D655" s="9" t="s">
        <v>185</v>
      </c>
      <c r="E655" s="9" t="s">
        <v>15</v>
      </c>
      <c r="F655" s="9" t="s">
        <v>186</v>
      </c>
      <c r="G655" s="8"/>
      <c r="H655" s="8"/>
      <c r="I655" s="9" t="s">
        <v>78</v>
      </c>
      <c r="J655" s="9" t="s">
        <v>11</v>
      </c>
      <c r="K655" s="9" t="s">
        <v>82</v>
      </c>
      <c r="L655" s="9" t="s">
        <v>171</v>
      </c>
      <c r="M655" s="9" t="s">
        <v>78</v>
      </c>
      <c r="N655" s="9" t="s">
        <v>377</v>
      </c>
      <c r="O655" s="9" t="s">
        <v>388</v>
      </c>
      <c r="P655" s="149" t="s">
        <v>388</v>
      </c>
      <c r="Q655" s="11"/>
      <c r="R655" s="11"/>
      <c r="S655" s="11">
        <f t="shared" si="96"/>
        <v>0</v>
      </c>
      <c r="T655" s="9"/>
      <c r="U655" s="14" t="s">
        <v>77</v>
      </c>
      <c r="V655" s="9"/>
      <c r="W655" s="12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>
        <f t="shared" si="100"/>
        <v>0</v>
      </c>
      <c r="AI655" s="13"/>
      <c r="AJ655" s="13">
        <f t="shared" si="99"/>
        <v>0</v>
      </c>
      <c r="AK655" s="9"/>
      <c r="AL655" s="13"/>
      <c r="AM655" s="9"/>
      <c r="AN655" s="9"/>
      <c r="AO655" s="9"/>
      <c r="AP655" s="14"/>
    </row>
    <row r="656" spans="1:42" s="45" customFormat="1" ht="22" customHeight="1">
      <c r="A656" s="14" t="s">
        <v>17</v>
      </c>
      <c r="B656" s="8">
        <v>2024</v>
      </c>
      <c r="C656" s="8" t="s">
        <v>8</v>
      </c>
      <c r="D656" s="9" t="s">
        <v>185</v>
      </c>
      <c r="E656" s="9" t="s">
        <v>15</v>
      </c>
      <c r="F656" s="9" t="s">
        <v>186</v>
      </c>
      <c r="G656" s="8"/>
      <c r="H656" s="8"/>
      <c r="I656" s="9" t="s">
        <v>78</v>
      </c>
      <c r="J656" s="9" t="s">
        <v>11</v>
      </c>
      <c r="K656" s="9" t="s">
        <v>82</v>
      </c>
      <c r="L656" s="9" t="s">
        <v>171</v>
      </c>
      <c r="M656" s="9" t="s">
        <v>78</v>
      </c>
      <c r="N656" s="9" t="s">
        <v>377</v>
      </c>
      <c r="O656" s="9" t="s">
        <v>388</v>
      </c>
      <c r="P656" s="149" t="s">
        <v>392</v>
      </c>
      <c r="Q656" s="11">
        <v>154</v>
      </c>
      <c r="R656" s="11">
        <v>110</v>
      </c>
      <c r="S656" s="11">
        <f t="shared" si="96"/>
        <v>264</v>
      </c>
      <c r="T656" s="9"/>
      <c r="U656" s="14" t="s">
        <v>77</v>
      </c>
      <c r="V656" s="9"/>
      <c r="W656" s="12">
        <v>30</v>
      </c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>
        <f t="shared" si="100"/>
        <v>0.39600000000000002</v>
      </c>
      <c r="AI656" s="13"/>
      <c r="AJ656" s="13">
        <f t="shared" si="99"/>
        <v>0.39600000000000002</v>
      </c>
      <c r="AK656" s="9"/>
      <c r="AL656" s="13"/>
      <c r="AM656" s="9"/>
      <c r="AN656" s="9"/>
      <c r="AO656" s="9"/>
      <c r="AP656" s="14"/>
    </row>
    <row r="657" spans="1:42" s="45" customFormat="1" ht="22" customHeight="1">
      <c r="A657" s="14" t="s">
        <v>17</v>
      </c>
      <c r="B657" s="8">
        <v>2024</v>
      </c>
      <c r="C657" s="8" t="s">
        <v>8</v>
      </c>
      <c r="D657" s="9" t="s">
        <v>185</v>
      </c>
      <c r="E657" s="9" t="s">
        <v>10</v>
      </c>
      <c r="F657" s="9" t="s">
        <v>186</v>
      </c>
      <c r="G657" s="8"/>
      <c r="H657" s="8"/>
      <c r="I657" s="9" t="s">
        <v>14</v>
      </c>
      <c r="J657" s="14" t="s">
        <v>14</v>
      </c>
      <c r="K657" s="10" t="s">
        <v>14</v>
      </c>
      <c r="L657" s="9" t="s">
        <v>209</v>
      </c>
      <c r="M657" s="9" t="s">
        <v>99</v>
      </c>
      <c r="N657" s="9" t="s">
        <v>377</v>
      </c>
      <c r="O657" s="9" t="s">
        <v>393</v>
      </c>
      <c r="P657" s="149" t="s">
        <v>394</v>
      </c>
      <c r="Q657" s="41"/>
      <c r="R657" s="41">
        <v>535</v>
      </c>
      <c r="S657" s="11">
        <f t="shared" ref="S657:S666" si="101">R657</f>
        <v>535</v>
      </c>
      <c r="T657" s="9"/>
      <c r="U657" s="14" t="s">
        <v>77</v>
      </c>
      <c r="V657" s="9"/>
      <c r="W657" s="12">
        <v>30</v>
      </c>
      <c r="X657" s="13"/>
      <c r="Y657" s="13"/>
      <c r="Z657" s="13"/>
      <c r="AA657" s="13"/>
      <c r="AB657" s="13"/>
      <c r="AC657" s="13">
        <f t="shared" ref="AC657:AC665" si="102">+S657*W657*20/1000000</f>
        <v>0.32100000000000001</v>
      </c>
      <c r="AD657" s="34"/>
      <c r="AE657" s="13"/>
      <c r="AF657" s="13">
        <f t="shared" ref="AF657:AF665" si="103">+S657*W657*200/1000000</f>
        <v>3.21</v>
      </c>
      <c r="AG657" s="13"/>
      <c r="AH657" s="34"/>
      <c r="AI657" s="13"/>
      <c r="AJ657" s="13">
        <f t="shared" si="99"/>
        <v>3.5310000000000001</v>
      </c>
      <c r="AK657" s="9"/>
      <c r="AL657" s="13"/>
      <c r="AM657" s="9"/>
      <c r="AN657" s="9"/>
      <c r="AO657" s="9"/>
      <c r="AP657" s="14"/>
    </row>
    <row r="658" spans="1:42" s="45" customFormat="1" ht="22" customHeight="1">
      <c r="A658" s="14" t="s">
        <v>17</v>
      </c>
      <c r="B658" s="8">
        <v>2024</v>
      </c>
      <c r="C658" s="8" t="s">
        <v>8</v>
      </c>
      <c r="D658" s="9" t="s">
        <v>185</v>
      </c>
      <c r="E658" s="9" t="s">
        <v>10</v>
      </c>
      <c r="F658" s="9" t="s">
        <v>186</v>
      </c>
      <c r="G658" s="8"/>
      <c r="H658" s="8"/>
      <c r="I658" s="9" t="s">
        <v>14</v>
      </c>
      <c r="J658" s="14" t="s">
        <v>14</v>
      </c>
      <c r="K658" s="10" t="s">
        <v>14</v>
      </c>
      <c r="L658" s="9" t="s">
        <v>209</v>
      </c>
      <c r="M658" s="9" t="s">
        <v>99</v>
      </c>
      <c r="N658" s="9" t="s">
        <v>377</v>
      </c>
      <c r="O658" s="9" t="s">
        <v>393</v>
      </c>
      <c r="P658" s="149" t="s">
        <v>395</v>
      </c>
      <c r="Q658" s="41"/>
      <c r="R658" s="41">
        <v>270</v>
      </c>
      <c r="S658" s="11">
        <f t="shared" si="101"/>
        <v>270</v>
      </c>
      <c r="T658" s="9"/>
      <c r="U658" s="14" t="s">
        <v>77</v>
      </c>
      <c r="V658" s="9"/>
      <c r="W658" s="12">
        <v>30</v>
      </c>
      <c r="X658" s="13"/>
      <c r="Y658" s="13"/>
      <c r="Z658" s="13"/>
      <c r="AA658" s="13"/>
      <c r="AB658" s="13"/>
      <c r="AC658" s="13">
        <f t="shared" si="102"/>
        <v>0.16200000000000001</v>
      </c>
      <c r="AD658" s="34"/>
      <c r="AE658" s="13"/>
      <c r="AF658" s="13">
        <f t="shared" si="103"/>
        <v>1.62</v>
      </c>
      <c r="AG658" s="13"/>
      <c r="AH658" s="34"/>
      <c r="AI658" s="13"/>
      <c r="AJ658" s="13">
        <f t="shared" si="99"/>
        <v>1.782</v>
      </c>
      <c r="AK658" s="9"/>
      <c r="AL658" s="13"/>
      <c r="AM658" s="9"/>
      <c r="AN658" s="9"/>
      <c r="AO658" s="9"/>
      <c r="AP658" s="14"/>
    </row>
    <row r="659" spans="1:42" s="45" customFormat="1" ht="22" customHeight="1">
      <c r="A659" s="14" t="s">
        <v>17</v>
      </c>
      <c r="B659" s="8">
        <v>2024</v>
      </c>
      <c r="C659" s="8" t="s">
        <v>8</v>
      </c>
      <c r="D659" s="9" t="s">
        <v>185</v>
      </c>
      <c r="E659" s="9" t="s">
        <v>10</v>
      </c>
      <c r="F659" s="9" t="s">
        <v>186</v>
      </c>
      <c r="G659" s="8"/>
      <c r="H659" s="8"/>
      <c r="I659" s="9" t="s">
        <v>14</v>
      </c>
      <c r="J659" s="14" t="s">
        <v>14</v>
      </c>
      <c r="K659" s="10" t="s">
        <v>14</v>
      </c>
      <c r="L659" s="9" t="s">
        <v>209</v>
      </c>
      <c r="M659" s="9" t="s">
        <v>99</v>
      </c>
      <c r="N659" s="9" t="s">
        <v>377</v>
      </c>
      <c r="O659" s="9" t="s">
        <v>393</v>
      </c>
      <c r="P659" s="149" t="s">
        <v>396</v>
      </c>
      <c r="Q659" s="41"/>
      <c r="R659" s="41">
        <v>300</v>
      </c>
      <c r="S659" s="11">
        <f t="shared" si="101"/>
        <v>300</v>
      </c>
      <c r="T659" s="9"/>
      <c r="U659" s="14" t="s">
        <v>77</v>
      </c>
      <c r="V659" s="9"/>
      <c r="W659" s="12">
        <v>30</v>
      </c>
      <c r="X659" s="13"/>
      <c r="Y659" s="13"/>
      <c r="Z659" s="13"/>
      <c r="AA659" s="13"/>
      <c r="AB659" s="13"/>
      <c r="AC659" s="13">
        <f t="shared" si="102"/>
        <v>0.18</v>
      </c>
      <c r="AD659" s="34"/>
      <c r="AE659" s="13"/>
      <c r="AF659" s="13">
        <f t="shared" si="103"/>
        <v>1.8</v>
      </c>
      <c r="AG659" s="13"/>
      <c r="AH659" s="34"/>
      <c r="AI659" s="13"/>
      <c r="AJ659" s="13">
        <f t="shared" si="99"/>
        <v>1.98</v>
      </c>
      <c r="AK659" s="9"/>
      <c r="AL659" s="13"/>
      <c r="AM659" s="9"/>
      <c r="AN659" s="9"/>
      <c r="AO659" s="9"/>
      <c r="AP659" s="14"/>
    </row>
    <row r="660" spans="1:42" s="45" customFormat="1" ht="22" customHeight="1">
      <c r="A660" s="14" t="s">
        <v>17</v>
      </c>
      <c r="B660" s="8">
        <v>2024</v>
      </c>
      <c r="C660" s="8" t="s">
        <v>8</v>
      </c>
      <c r="D660" s="9" t="s">
        <v>185</v>
      </c>
      <c r="E660" s="9" t="s">
        <v>10</v>
      </c>
      <c r="F660" s="9" t="s">
        <v>186</v>
      </c>
      <c r="G660" s="8"/>
      <c r="H660" s="8"/>
      <c r="I660" s="9" t="s">
        <v>14</v>
      </c>
      <c r="J660" s="14" t="s">
        <v>14</v>
      </c>
      <c r="K660" s="10" t="s">
        <v>14</v>
      </c>
      <c r="L660" s="9" t="s">
        <v>209</v>
      </c>
      <c r="M660" s="9" t="s">
        <v>99</v>
      </c>
      <c r="N660" s="9" t="s">
        <v>377</v>
      </c>
      <c r="O660" s="9" t="s">
        <v>393</v>
      </c>
      <c r="P660" s="149" t="s">
        <v>397</v>
      </c>
      <c r="Q660" s="41"/>
      <c r="R660" s="41">
        <v>385</v>
      </c>
      <c r="S660" s="11">
        <f t="shared" si="101"/>
        <v>385</v>
      </c>
      <c r="T660" s="9"/>
      <c r="U660" s="14" t="s">
        <v>77</v>
      </c>
      <c r="V660" s="9"/>
      <c r="W660" s="12">
        <v>30</v>
      </c>
      <c r="X660" s="13"/>
      <c r="Y660" s="13"/>
      <c r="Z660" s="13"/>
      <c r="AA660" s="13"/>
      <c r="AB660" s="13"/>
      <c r="AC660" s="13">
        <f t="shared" si="102"/>
        <v>0.23100000000000001</v>
      </c>
      <c r="AD660" s="34"/>
      <c r="AE660" s="13"/>
      <c r="AF660" s="13">
        <f t="shared" si="103"/>
        <v>2.31</v>
      </c>
      <c r="AG660" s="13"/>
      <c r="AH660" s="34"/>
      <c r="AI660" s="13"/>
      <c r="AJ660" s="13">
        <f t="shared" si="99"/>
        <v>2.5409999999999999</v>
      </c>
      <c r="AK660" s="9"/>
      <c r="AL660" s="13"/>
      <c r="AM660" s="9"/>
      <c r="AN660" s="9"/>
      <c r="AO660" s="9"/>
      <c r="AP660" s="14"/>
    </row>
    <row r="661" spans="1:42" s="45" customFormat="1" ht="22" customHeight="1">
      <c r="A661" s="14" t="s">
        <v>17</v>
      </c>
      <c r="B661" s="8">
        <v>2024</v>
      </c>
      <c r="C661" s="8" t="s">
        <v>8</v>
      </c>
      <c r="D661" s="9" t="s">
        <v>185</v>
      </c>
      <c r="E661" s="9" t="s">
        <v>10</v>
      </c>
      <c r="F661" s="9" t="s">
        <v>186</v>
      </c>
      <c r="G661" s="8"/>
      <c r="H661" s="8"/>
      <c r="I661" s="9" t="s">
        <v>14</v>
      </c>
      <c r="J661" s="14" t="s">
        <v>14</v>
      </c>
      <c r="K661" s="10" t="s">
        <v>14</v>
      </c>
      <c r="L661" s="9" t="s">
        <v>209</v>
      </c>
      <c r="M661" s="9" t="s">
        <v>99</v>
      </c>
      <c r="N661" s="9" t="s">
        <v>377</v>
      </c>
      <c r="O661" s="9" t="s">
        <v>393</v>
      </c>
      <c r="P661" s="149" t="s">
        <v>398</v>
      </c>
      <c r="Q661" s="41"/>
      <c r="R661" s="41">
        <v>150</v>
      </c>
      <c r="S661" s="11">
        <f t="shared" si="101"/>
        <v>150</v>
      </c>
      <c r="T661" s="9"/>
      <c r="U661" s="14" t="s">
        <v>77</v>
      </c>
      <c r="V661" s="9"/>
      <c r="W661" s="12">
        <v>30</v>
      </c>
      <c r="X661" s="13"/>
      <c r="Y661" s="13"/>
      <c r="Z661" s="13"/>
      <c r="AA661" s="13"/>
      <c r="AB661" s="13"/>
      <c r="AC661" s="13">
        <f t="shared" si="102"/>
        <v>0.09</v>
      </c>
      <c r="AD661" s="34"/>
      <c r="AE661" s="13"/>
      <c r="AF661" s="13">
        <f t="shared" si="103"/>
        <v>0.9</v>
      </c>
      <c r="AG661" s="13"/>
      <c r="AH661" s="34"/>
      <c r="AI661" s="13"/>
      <c r="AJ661" s="13">
        <f t="shared" si="99"/>
        <v>0.99</v>
      </c>
      <c r="AK661" s="9"/>
      <c r="AL661" s="13"/>
      <c r="AM661" s="9"/>
      <c r="AN661" s="9"/>
      <c r="AO661" s="9"/>
      <c r="AP661" s="14"/>
    </row>
    <row r="662" spans="1:42" s="45" customFormat="1" ht="22" customHeight="1">
      <c r="A662" s="14" t="s">
        <v>17</v>
      </c>
      <c r="B662" s="8">
        <v>2024</v>
      </c>
      <c r="C662" s="8" t="s">
        <v>8</v>
      </c>
      <c r="D662" s="9" t="s">
        <v>185</v>
      </c>
      <c r="E662" s="9" t="s">
        <v>10</v>
      </c>
      <c r="F662" s="9" t="s">
        <v>186</v>
      </c>
      <c r="G662" s="8"/>
      <c r="H662" s="8"/>
      <c r="I662" s="9" t="s">
        <v>14</v>
      </c>
      <c r="J662" s="14" t="s">
        <v>14</v>
      </c>
      <c r="K662" s="10" t="s">
        <v>14</v>
      </c>
      <c r="L662" s="9" t="s">
        <v>209</v>
      </c>
      <c r="M662" s="9" t="s">
        <v>99</v>
      </c>
      <c r="N662" s="9" t="s">
        <v>377</v>
      </c>
      <c r="O662" s="9" t="s">
        <v>399</v>
      </c>
      <c r="P662" s="149" t="s">
        <v>400</v>
      </c>
      <c r="Q662" s="41"/>
      <c r="R662" s="41">
        <v>325</v>
      </c>
      <c r="S662" s="11">
        <f t="shared" si="101"/>
        <v>325</v>
      </c>
      <c r="T662" s="9"/>
      <c r="U662" s="14" t="s">
        <v>77</v>
      </c>
      <c r="V662" s="9"/>
      <c r="W662" s="12">
        <v>30</v>
      </c>
      <c r="X662" s="13"/>
      <c r="Y662" s="13"/>
      <c r="Z662" s="13"/>
      <c r="AA662" s="13"/>
      <c r="AB662" s="13"/>
      <c r="AC662" s="13">
        <f t="shared" si="102"/>
        <v>0.19500000000000001</v>
      </c>
      <c r="AD662" s="34"/>
      <c r="AE662" s="13"/>
      <c r="AF662" s="13">
        <f t="shared" si="103"/>
        <v>1.95</v>
      </c>
      <c r="AG662" s="13"/>
      <c r="AH662" s="34"/>
      <c r="AI662" s="13"/>
      <c r="AJ662" s="13">
        <f t="shared" si="99"/>
        <v>2.145</v>
      </c>
      <c r="AK662" s="9"/>
      <c r="AL662" s="13"/>
      <c r="AM662" s="9"/>
      <c r="AN662" s="9"/>
      <c r="AO662" s="9"/>
      <c r="AP662" s="14"/>
    </row>
    <row r="663" spans="1:42" s="45" customFormat="1" ht="22" customHeight="1">
      <c r="A663" s="14" t="s">
        <v>17</v>
      </c>
      <c r="B663" s="8">
        <v>2024</v>
      </c>
      <c r="C663" s="8" t="s">
        <v>8</v>
      </c>
      <c r="D663" s="9" t="s">
        <v>185</v>
      </c>
      <c r="E663" s="9" t="s">
        <v>10</v>
      </c>
      <c r="F663" s="9" t="s">
        <v>186</v>
      </c>
      <c r="G663" s="8"/>
      <c r="H663" s="8"/>
      <c r="I663" s="9" t="s">
        <v>14</v>
      </c>
      <c r="J663" s="14" t="s">
        <v>14</v>
      </c>
      <c r="K663" s="10" t="s">
        <v>14</v>
      </c>
      <c r="L663" s="9" t="s">
        <v>209</v>
      </c>
      <c r="M663" s="9" t="s">
        <v>99</v>
      </c>
      <c r="N663" s="9" t="s">
        <v>377</v>
      </c>
      <c r="O663" s="9" t="s">
        <v>399</v>
      </c>
      <c r="P663" s="149" t="s">
        <v>401</v>
      </c>
      <c r="Q663" s="41"/>
      <c r="R663" s="41">
        <v>465</v>
      </c>
      <c r="S663" s="11">
        <f t="shared" si="101"/>
        <v>465</v>
      </c>
      <c r="T663" s="9"/>
      <c r="U663" s="14" t="s">
        <v>77</v>
      </c>
      <c r="V663" s="9"/>
      <c r="W663" s="12">
        <v>30</v>
      </c>
      <c r="X663" s="13"/>
      <c r="Y663" s="13"/>
      <c r="Z663" s="13"/>
      <c r="AA663" s="13"/>
      <c r="AB663" s="13"/>
      <c r="AC663" s="13">
        <f t="shared" si="102"/>
        <v>0.27900000000000003</v>
      </c>
      <c r="AD663" s="34"/>
      <c r="AE663" s="13"/>
      <c r="AF663" s="13">
        <f t="shared" si="103"/>
        <v>2.79</v>
      </c>
      <c r="AG663" s="13"/>
      <c r="AH663" s="34"/>
      <c r="AI663" s="13"/>
      <c r="AJ663" s="13">
        <f t="shared" si="99"/>
        <v>3.069</v>
      </c>
      <c r="AK663" s="9"/>
      <c r="AL663" s="13"/>
      <c r="AM663" s="9"/>
      <c r="AN663" s="9"/>
      <c r="AO663" s="9"/>
      <c r="AP663" s="14"/>
    </row>
    <row r="664" spans="1:42" s="45" customFormat="1" ht="22" customHeight="1">
      <c r="A664" s="14" t="s">
        <v>17</v>
      </c>
      <c r="B664" s="8">
        <v>2024</v>
      </c>
      <c r="C664" s="8" t="s">
        <v>8</v>
      </c>
      <c r="D664" s="9" t="s">
        <v>185</v>
      </c>
      <c r="E664" s="9" t="s">
        <v>10</v>
      </c>
      <c r="F664" s="9" t="s">
        <v>186</v>
      </c>
      <c r="G664" s="8"/>
      <c r="H664" s="8"/>
      <c r="I664" s="9" t="s">
        <v>14</v>
      </c>
      <c r="J664" s="14" t="s">
        <v>14</v>
      </c>
      <c r="K664" s="10" t="s">
        <v>14</v>
      </c>
      <c r="L664" s="9" t="s">
        <v>209</v>
      </c>
      <c r="M664" s="9" t="s">
        <v>99</v>
      </c>
      <c r="N664" s="9" t="s">
        <v>377</v>
      </c>
      <c r="O664" s="9" t="s">
        <v>399</v>
      </c>
      <c r="P664" s="149" t="s">
        <v>402</v>
      </c>
      <c r="Q664" s="41"/>
      <c r="R664" s="41">
        <v>90</v>
      </c>
      <c r="S664" s="11">
        <f t="shared" si="101"/>
        <v>90</v>
      </c>
      <c r="T664" s="9"/>
      <c r="U664" s="14" t="s">
        <v>77</v>
      </c>
      <c r="V664" s="9"/>
      <c r="W664" s="12">
        <v>30</v>
      </c>
      <c r="X664" s="13"/>
      <c r="Y664" s="13"/>
      <c r="Z664" s="13"/>
      <c r="AA664" s="13"/>
      <c r="AB664" s="13"/>
      <c r="AC664" s="13">
        <f t="shared" si="102"/>
        <v>5.3999999999999999E-2</v>
      </c>
      <c r="AD664" s="34"/>
      <c r="AE664" s="13"/>
      <c r="AF664" s="13">
        <f t="shared" si="103"/>
        <v>0.54</v>
      </c>
      <c r="AG664" s="13"/>
      <c r="AH664" s="34"/>
      <c r="AI664" s="13"/>
      <c r="AJ664" s="13">
        <f t="shared" si="99"/>
        <v>0.59400000000000008</v>
      </c>
      <c r="AK664" s="9"/>
      <c r="AL664" s="13"/>
      <c r="AM664" s="9"/>
      <c r="AN664" s="9"/>
      <c r="AO664" s="9"/>
      <c r="AP664" s="14"/>
    </row>
    <row r="665" spans="1:42" s="45" customFormat="1" ht="22" customHeight="1">
      <c r="A665" s="14" t="s">
        <v>17</v>
      </c>
      <c r="B665" s="8">
        <v>2024</v>
      </c>
      <c r="C665" s="8" t="s">
        <v>8</v>
      </c>
      <c r="D665" s="9" t="s">
        <v>185</v>
      </c>
      <c r="E665" s="9" t="s">
        <v>10</v>
      </c>
      <c r="F665" s="9" t="s">
        <v>186</v>
      </c>
      <c r="G665" s="8"/>
      <c r="H665" s="8"/>
      <c r="I665" s="9" t="s">
        <v>14</v>
      </c>
      <c r="J665" s="14" t="s">
        <v>14</v>
      </c>
      <c r="K665" s="10" t="s">
        <v>14</v>
      </c>
      <c r="L665" s="9" t="s">
        <v>209</v>
      </c>
      <c r="M665" s="9" t="s">
        <v>99</v>
      </c>
      <c r="N665" s="9" t="s">
        <v>377</v>
      </c>
      <c r="O665" s="9" t="s">
        <v>403</v>
      </c>
      <c r="P665" s="149" t="s">
        <v>404</v>
      </c>
      <c r="Q665" s="41"/>
      <c r="R665" s="41">
        <v>225</v>
      </c>
      <c r="S665" s="11">
        <f t="shared" si="101"/>
        <v>225</v>
      </c>
      <c r="T665" s="9"/>
      <c r="U665" s="14" t="s">
        <v>77</v>
      </c>
      <c r="V665" s="9"/>
      <c r="W665" s="12">
        <v>30</v>
      </c>
      <c r="X665" s="13"/>
      <c r="Y665" s="13"/>
      <c r="Z665" s="13"/>
      <c r="AA665" s="13"/>
      <c r="AB665" s="13"/>
      <c r="AC665" s="13">
        <f t="shared" si="102"/>
        <v>0.13500000000000001</v>
      </c>
      <c r="AD665" s="34"/>
      <c r="AE665" s="13"/>
      <c r="AF665" s="13">
        <f t="shared" si="103"/>
        <v>1.35</v>
      </c>
      <c r="AG665" s="13"/>
      <c r="AH665" s="34"/>
      <c r="AI665" s="13"/>
      <c r="AJ665" s="13">
        <f t="shared" si="99"/>
        <v>1.4850000000000001</v>
      </c>
      <c r="AK665" s="9"/>
      <c r="AL665" s="13"/>
      <c r="AM665" s="9"/>
      <c r="AN665" s="9"/>
      <c r="AO665" s="9"/>
      <c r="AP665" s="14"/>
    </row>
    <row r="666" spans="1:42" s="45" customFormat="1" ht="22" customHeight="1">
      <c r="A666" s="14" t="s">
        <v>17</v>
      </c>
      <c r="B666" s="8">
        <v>2024</v>
      </c>
      <c r="C666" s="8" t="s">
        <v>8</v>
      </c>
      <c r="D666" s="9" t="s">
        <v>185</v>
      </c>
      <c r="E666" s="9" t="s">
        <v>10</v>
      </c>
      <c r="F666" s="9" t="s">
        <v>186</v>
      </c>
      <c r="G666" s="8"/>
      <c r="H666" s="8"/>
      <c r="I666" s="9" t="s">
        <v>14</v>
      </c>
      <c r="J666" s="14" t="s">
        <v>14</v>
      </c>
      <c r="K666" s="10" t="s">
        <v>14</v>
      </c>
      <c r="L666" s="9" t="s">
        <v>209</v>
      </c>
      <c r="M666" s="9" t="s">
        <v>99</v>
      </c>
      <c r="N666" s="9" t="s">
        <v>377</v>
      </c>
      <c r="O666" s="9" t="s">
        <v>403</v>
      </c>
      <c r="P666" s="149" t="s">
        <v>405</v>
      </c>
      <c r="Q666" s="11"/>
      <c r="R666" s="11">
        <v>135</v>
      </c>
      <c r="S666" s="11">
        <f t="shared" si="101"/>
        <v>135</v>
      </c>
      <c r="T666" s="9"/>
      <c r="U666" s="14" t="s">
        <v>77</v>
      </c>
      <c r="V666" s="9"/>
      <c r="W666" s="12">
        <v>30</v>
      </c>
      <c r="X666" s="13"/>
      <c r="Y666" s="13"/>
      <c r="Z666" s="13"/>
      <c r="AA666" s="13"/>
      <c r="AB666" s="13"/>
      <c r="AC666" s="13">
        <f>+S666*W666*20/1000000</f>
        <v>8.1000000000000003E-2</v>
      </c>
      <c r="AD666" s="13"/>
      <c r="AE666" s="13"/>
      <c r="AF666" s="13">
        <f>+S666*W666*200/1000000</f>
        <v>0.81</v>
      </c>
      <c r="AG666" s="13"/>
      <c r="AH666" s="13"/>
      <c r="AI666" s="13"/>
      <c r="AJ666" s="13">
        <f t="shared" si="99"/>
        <v>0.89100000000000001</v>
      </c>
      <c r="AK666" s="9"/>
      <c r="AL666" s="13"/>
      <c r="AM666" s="9"/>
      <c r="AN666" s="9"/>
      <c r="AO666" s="9"/>
      <c r="AP666" s="14"/>
    </row>
    <row r="667" spans="1:42" s="45" customFormat="1" ht="22" customHeight="1">
      <c r="A667" s="14" t="s">
        <v>17</v>
      </c>
      <c r="B667" s="8">
        <v>2024</v>
      </c>
      <c r="C667" s="8" t="s">
        <v>8</v>
      </c>
      <c r="D667" s="9" t="s">
        <v>185</v>
      </c>
      <c r="E667" s="9" t="s">
        <v>15</v>
      </c>
      <c r="F667" s="9" t="s">
        <v>186</v>
      </c>
      <c r="G667" s="8"/>
      <c r="H667" s="8"/>
      <c r="I667" s="9" t="s">
        <v>14</v>
      </c>
      <c r="J667" s="14" t="s">
        <v>14</v>
      </c>
      <c r="K667" s="10" t="s">
        <v>14</v>
      </c>
      <c r="L667" s="9" t="s">
        <v>209</v>
      </c>
      <c r="M667" s="9" t="s">
        <v>99</v>
      </c>
      <c r="N667" s="9" t="s">
        <v>377</v>
      </c>
      <c r="O667" s="9" t="s">
        <v>393</v>
      </c>
      <c r="P667" s="149" t="s">
        <v>394</v>
      </c>
      <c r="Q667" s="11">
        <v>685</v>
      </c>
      <c r="R667" s="11"/>
      <c r="S667" s="11">
        <f t="shared" ref="S667:S676" si="104">Q667</f>
        <v>685</v>
      </c>
      <c r="T667" s="9"/>
      <c r="U667" s="14" t="s">
        <v>77</v>
      </c>
      <c r="V667" s="9"/>
      <c r="W667" s="12">
        <v>30</v>
      </c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>
        <f t="shared" ref="AH667:AH676" si="105">+S667*W667*50/1000000</f>
        <v>1.0275000000000001</v>
      </c>
      <c r="AI667" s="13"/>
      <c r="AJ667" s="13">
        <f t="shared" si="99"/>
        <v>1.0275000000000001</v>
      </c>
      <c r="AK667" s="9"/>
      <c r="AL667" s="13"/>
      <c r="AM667" s="9"/>
      <c r="AN667" s="9"/>
      <c r="AO667" s="9"/>
      <c r="AP667" s="14"/>
    </row>
    <row r="668" spans="1:42" s="45" customFormat="1" ht="22" customHeight="1">
      <c r="A668" s="14" t="s">
        <v>17</v>
      </c>
      <c r="B668" s="8">
        <v>2024</v>
      </c>
      <c r="C668" s="8" t="s">
        <v>8</v>
      </c>
      <c r="D668" s="9" t="s">
        <v>185</v>
      </c>
      <c r="E668" s="9" t="s">
        <v>15</v>
      </c>
      <c r="F668" s="9" t="s">
        <v>186</v>
      </c>
      <c r="G668" s="8"/>
      <c r="H668" s="8"/>
      <c r="I668" s="9" t="s">
        <v>14</v>
      </c>
      <c r="J668" s="14" t="s">
        <v>14</v>
      </c>
      <c r="K668" s="10" t="s">
        <v>14</v>
      </c>
      <c r="L668" s="9" t="s">
        <v>209</v>
      </c>
      <c r="M668" s="9" t="s">
        <v>99</v>
      </c>
      <c r="N668" s="9" t="s">
        <v>377</v>
      </c>
      <c r="O668" s="9" t="s">
        <v>393</v>
      </c>
      <c r="P668" s="149" t="s">
        <v>395</v>
      </c>
      <c r="Q668" s="11">
        <v>725</v>
      </c>
      <c r="R668" s="11"/>
      <c r="S668" s="11">
        <f t="shared" si="104"/>
        <v>725</v>
      </c>
      <c r="T668" s="9"/>
      <c r="U668" s="14" t="s">
        <v>77</v>
      </c>
      <c r="V668" s="9"/>
      <c r="W668" s="12">
        <v>30</v>
      </c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>
        <f t="shared" si="105"/>
        <v>1.0874999999999999</v>
      </c>
      <c r="AI668" s="13"/>
      <c r="AJ668" s="13">
        <f t="shared" si="99"/>
        <v>1.0874999999999999</v>
      </c>
      <c r="AK668" s="9"/>
      <c r="AL668" s="13"/>
      <c r="AM668" s="9"/>
      <c r="AN668" s="9"/>
      <c r="AO668" s="9"/>
      <c r="AP668" s="14"/>
    </row>
    <row r="669" spans="1:42" s="45" customFormat="1" ht="22" customHeight="1">
      <c r="A669" s="14" t="s">
        <v>17</v>
      </c>
      <c r="B669" s="8">
        <v>2024</v>
      </c>
      <c r="C669" s="8" t="s">
        <v>8</v>
      </c>
      <c r="D669" s="9" t="s">
        <v>185</v>
      </c>
      <c r="E669" s="9" t="s">
        <v>15</v>
      </c>
      <c r="F669" s="9" t="s">
        <v>186</v>
      </c>
      <c r="G669" s="8"/>
      <c r="H669" s="8"/>
      <c r="I669" s="9" t="s">
        <v>14</v>
      </c>
      <c r="J669" s="14" t="s">
        <v>14</v>
      </c>
      <c r="K669" s="10" t="s">
        <v>14</v>
      </c>
      <c r="L669" s="9" t="s">
        <v>209</v>
      </c>
      <c r="M669" s="9" t="s">
        <v>99</v>
      </c>
      <c r="N669" s="9" t="s">
        <v>377</v>
      </c>
      <c r="O669" s="9" t="s">
        <v>393</v>
      </c>
      <c r="P669" s="149" t="s">
        <v>396</v>
      </c>
      <c r="Q669" s="11">
        <v>580</v>
      </c>
      <c r="R669" s="11"/>
      <c r="S669" s="11">
        <f t="shared" si="104"/>
        <v>580</v>
      </c>
      <c r="T669" s="9"/>
      <c r="U669" s="14" t="s">
        <v>77</v>
      </c>
      <c r="V669" s="9"/>
      <c r="W669" s="12">
        <v>30</v>
      </c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>
        <f t="shared" si="105"/>
        <v>0.87</v>
      </c>
      <c r="AI669" s="13"/>
      <c r="AJ669" s="13">
        <f t="shared" si="99"/>
        <v>0.87</v>
      </c>
      <c r="AK669" s="9"/>
      <c r="AL669" s="13"/>
      <c r="AM669" s="9"/>
      <c r="AN669" s="9"/>
      <c r="AO669" s="9"/>
      <c r="AP669" s="14"/>
    </row>
    <row r="670" spans="1:42" s="45" customFormat="1" ht="22" customHeight="1">
      <c r="A670" s="14" t="s">
        <v>17</v>
      </c>
      <c r="B670" s="8">
        <v>2024</v>
      </c>
      <c r="C670" s="8" t="s">
        <v>8</v>
      </c>
      <c r="D670" s="9" t="s">
        <v>185</v>
      </c>
      <c r="E670" s="9" t="s">
        <v>15</v>
      </c>
      <c r="F670" s="9" t="s">
        <v>186</v>
      </c>
      <c r="G670" s="8"/>
      <c r="H670" s="8"/>
      <c r="I670" s="9" t="s">
        <v>14</v>
      </c>
      <c r="J670" s="14" t="s">
        <v>14</v>
      </c>
      <c r="K670" s="10" t="s">
        <v>14</v>
      </c>
      <c r="L670" s="9" t="s">
        <v>209</v>
      </c>
      <c r="M670" s="9" t="s">
        <v>99</v>
      </c>
      <c r="N670" s="9" t="s">
        <v>377</v>
      </c>
      <c r="O670" s="9" t="s">
        <v>393</v>
      </c>
      <c r="P670" s="149" t="s">
        <v>397</v>
      </c>
      <c r="Q670" s="11">
        <v>795</v>
      </c>
      <c r="R670" s="11"/>
      <c r="S670" s="11">
        <f t="shared" si="104"/>
        <v>795</v>
      </c>
      <c r="T670" s="9"/>
      <c r="U670" s="14" t="s">
        <v>77</v>
      </c>
      <c r="V670" s="9"/>
      <c r="W670" s="12">
        <v>30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>
        <f t="shared" si="105"/>
        <v>1.1924999999999999</v>
      </c>
      <c r="AI670" s="13"/>
      <c r="AJ670" s="13">
        <f t="shared" si="99"/>
        <v>1.1924999999999999</v>
      </c>
      <c r="AK670" s="9"/>
      <c r="AL670" s="13"/>
      <c r="AM670" s="9"/>
      <c r="AN670" s="9"/>
      <c r="AO670" s="9"/>
      <c r="AP670" s="14"/>
    </row>
    <row r="671" spans="1:42" s="45" customFormat="1" ht="22" customHeight="1">
      <c r="A671" s="14" t="s">
        <v>17</v>
      </c>
      <c r="B671" s="8">
        <v>2024</v>
      </c>
      <c r="C671" s="8" t="s">
        <v>8</v>
      </c>
      <c r="D671" s="9" t="s">
        <v>185</v>
      </c>
      <c r="E671" s="9" t="s">
        <v>15</v>
      </c>
      <c r="F671" s="9" t="s">
        <v>186</v>
      </c>
      <c r="G671" s="8"/>
      <c r="H671" s="8"/>
      <c r="I671" s="9" t="s">
        <v>14</v>
      </c>
      <c r="J671" s="14" t="s">
        <v>14</v>
      </c>
      <c r="K671" s="10" t="s">
        <v>14</v>
      </c>
      <c r="L671" s="9" t="s">
        <v>209</v>
      </c>
      <c r="M671" s="9" t="s">
        <v>99</v>
      </c>
      <c r="N671" s="9" t="s">
        <v>377</v>
      </c>
      <c r="O671" s="9" t="s">
        <v>393</v>
      </c>
      <c r="P671" s="149" t="s">
        <v>398</v>
      </c>
      <c r="Q671" s="11">
        <v>670</v>
      </c>
      <c r="R671" s="11"/>
      <c r="S671" s="11">
        <f t="shared" si="104"/>
        <v>670</v>
      </c>
      <c r="T671" s="9"/>
      <c r="U671" s="14" t="s">
        <v>77</v>
      </c>
      <c r="V671" s="9"/>
      <c r="W671" s="12">
        <v>30</v>
      </c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>
        <f t="shared" si="105"/>
        <v>1.0049999999999999</v>
      </c>
      <c r="AI671" s="13"/>
      <c r="AJ671" s="13">
        <f t="shared" si="99"/>
        <v>1.0049999999999999</v>
      </c>
      <c r="AK671" s="9"/>
      <c r="AL671" s="13"/>
      <c r="AM671" s="9"/>
      <c r="AN671" s="9"/>
      <c r="AO671" s="9"/>
      <c r="AP671" s="14"/>
    </row>
    <row r="672" spans="1:42" s="45" customFormat="1" ht="22" customHeight="1">
      <c r="A672" s="14" t="s">
        <v>17</v>
      </c>
      <c r="B672" s="8">
        <v>2024</v>
      </c>
      <c r="C672" s="8" t="s">
        <v>8</v>
      </c>
      <c r="D672" s="9" t="s">
        <v>185</v>
      </c>
      <c r="E672" s="9" t="s">
        <v>15</v>
      </c>
      <c r="F672" s="9" t="s">
        <v>186</v>
      </c>
      <c r="G672" s="8"/>
      <c r="H672" s="8"/>
      <c r="I672" s="9" t="s">
        <v>14</v>
      </c>
      <c r="J672" s="14" t="s">
        <v>14</v>
      </c>
      <c r="K672" s="10" t="s">
        <v>14</v>
      </c>
      <c r="L672" s="9" t="s">
        <v>209</v>
      </c>
      <c r="M672" s="9" t="s">
        <v>99</v>
      </c>
      <c r="N672" s="9" t="s">
        <v>377</v>
      </c>
      <c r="O672" s="9" t="s">
        <v>399</v>
      </c>
      <c r="P672" s="149" t="s">
        <v>400</v>
      </c>
      <c r="Q672" s="11">
        <v>625</v>
      </c>
      <c r="R672" s="11"/>
      <c r="S672" s="11">
        <f t="shared" si="104"/>
        <v>625</v>
      </c>
      <c r="T672" s="9"/>
      <c r="U672" s="14" t="s">
        <v>77</v>
      </c>
      <c r="V672" s="9"/>
      <c r="W672" s="12">
        <v>30</v>
      </c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>
        <f t="shared" si="105"/>
        <v>0.9375</v>
      </c>
      <c r="AI672" s="13"/>
      <c r="AJ672" s="13">
        <f t="shared" si="99"/>
        <v>0.9375</v>
      </c>
      <c r="AK672" s="9"/>
      <c r="AL672" s="13"/>
      <c r="AM672" s="9"/>
      <c r="AN672" s="9"/>
      <c r="AO672" s="9"/>
      <c r="AP672" s="14"/>
    </row>
    <row r="673" spans="1:42" s="45" customFormat="1" ht="22" customHeight="1">
      <c r="A673" s="14" t="s">
        <v>17</v>
      </c>
      <c r="B673" s="8">
        <v>2024</v>
      </c>
      <c r="C673" s="8" t="s">
        <v>8</v>
      </c>
      <c r="D673" s="9" t="s">
        <v>185</v>
      </c>
      <c r="E673" s="9" t="s">
        <v>15</v>
      </c>
      <c r="F673" s="9" t="s">
        <v>186</v>
      </c>
      <c r="G673" s="8"/>
      <c r="H673" s="8"/>
      <c r="I673" s="9" t="s">
        <v>14</v>
      </c>
      <c r="J673" s="14" t="s">
        <v>14</v>
      </c>
      <c r="K673" s="10" t="s">
        <v>14</v>
      </c>
      <c r="L673" s="9" t="s">
        <v>209</v>
      </c>
      <c r="M673" s="9" t="s">
        <v>99</v>
      </c>
      <c r="N673" s="9" t="s">
        <v>377</v>
      </c>
      <c r="O673" s="9" t="s">
        <v>399</v>
      </c>
      <c r="P673" s="149" t="s">
        <v>401</v>
      </c>
      <c r="Q673" s="11">
        <v>1100</v>
      </c>
      <c r="R673" s="11"/>
      <c r="S673" s="11">
        <f t="shared" si="104"/>
        <v>1100</v>
      </c>
      <c r="T673" s="9"/>
      <c r="U673" s="14" t="s">
        <v>77</v>
      </c>
      <c r="V673" s="9"/>
      <c r="W673" s="12">
        <v>30</v>
      </c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>
        <f t="shared" si="105"/>
        <v>1.65</v>
      </c>
      <c r="AI673" s="13"/>
      <c r="AJ673" s="13">
        <f t="shared" si="99"/>
        <v>1.65</v>
      </c>
      <c r="AK673" s="9"/>
      <c r="AL673" s="13"/>
      <c r="AM673" s="9"/>
      <c r="AN673" s="9"/>
      <c r="AO673" s="9"/>
      <c r="AP673" s="14"/>
    </row>
    <row r="674" spans="1:42" s="45" customFormat="1" ht="22" customHeight="1">
      <c r="A674" s="14" t="s">
        <v>17</v>
      </c>
      <c r="B674" s="8">
        <v>2024</v>
      </c>
      <c r="C674" s="8" t="s">
        <v>8</v>
      </c>
      <c r="D674" s="9" t="s">
        <v>185</v>
      </c>
      <c r="E674" s="9" t="s">
        <v>15</v>
      </c>
      <c r="F674" s="9" t="s">
        <v>186</v>
      </c>
      <c r="G674" s="8"/>
      <c r="H674" s="8"/>
      <c r="I674" s="9" t="s">
        <v>14</v>
      </c>
      <c r="J674" s="14" t="s">
        <v>14</v>
      </c>
      <c r="K674" s="10" t="s">
        <v>14</v>
      </c>
      <c r="L674" s="9" t="s">
        <v>209</v>
      </c>
      <c r="M674" s="9" t="s">
        <v>99</v>
      </c>
      <c r="N674" s="9" t="s">
        <v>377</v>
      </c>
      <c r="O674" s="9" t="s">
        <v>399</v>
      </c>
      <c r="P674" s="149" t="s">
        <v>402</v>
      </c>
      <c r="Q674" s="11">
        <v>230</v>
      </c>
      <c r="R674" s="11"/>
      <c r="S674" s="11">
        <f t="shared" si="104"/>
        <v>230</v>
      </c>
      <c r="T674" s="9"/>
      <c r="U674" s="14" t="s">
        <v>77</v>
      </c>
      <c r="V674" s="9"/>
      <c r="W674" s="12">
        <v>30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>
        <f t="shared" si="105"/>
        <v>0.34499999999999997</v>
      </c>
      <c r="AI674" s="13"/>
      <c r="AJ674" s="13">
        <f t="shared" si="99"/>
        <v>0.34499999999999997</v>
      </c>
      <c r="AK674" s="9"/>
      <c r="AL674" s="13"/>
      <c r="AM674" s="9"/>
      <c r="AN674" s="9"/>
      <c r="AO674" s="9"/>
      <c r="AP674" s="14"/>
    </row>
    <row r="675" spans="1:42" s="45" customFormat="1" ht="22" customHeight="1">
      <c r="A675" s="14" t="s">
        <v>17</v>
      </c>
      <c r="B675" s="8">
        <v>2024</v>
      </c>
      <c r="C675" s="8" t="s">
        <v>8</v>
      </c>
      <c r="D675" s="9" t="s">
        <v>185</v>
      </c>
      <c r="E675" s="9" t="s">
        <v>15</v>
      </c>
      <c r="F675" s="9" t="s">
        <v>186</v>
      </c>
      <c r="G675" s="8"/>
      <c r="H675" s="8"/>
      <c r="I675" s="9" t="s">
        <v>14</v>
      </c>
      <c r="J675" s="14" t="s">
        <v>14</v>
      </c>
      <c r="K675" s="10" t="s">
        <v>14</v>
      </c>
      <c r="L675" s="9" t="s">
        <v>209</v>
      </c>
      <c r="M675" s="9" t="s">
        <v>99</v>
      </c>
      <c r="N675" s="9" t="s">
        <v>377</v>
      </c>
      <c r="O675" s="9" t="s">
        <v>403</v>
      </c>
      <c r="P675" s="149" t="s">
        <v>404</v>
      </c>
      <c r="Q675" s="11">
        <v>450</v>
      </c>
      <c r="R675" s="11"/>
      <c r="S675" s="11">
        <f t="shared" si="104"/>
        <v>450</v>
      </c>
      <c r="T675" s="9"/>
      <c r="U675" s="14" t="s">
        <v>77</v>
      </c>
      <c r="V675" s="9"/>
      <c r="W675" s="12">
        <v>30</v>
      </c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>
        <f t="shared" si="105"/>
        <v>0.67500000000000004</v>
      </c>
      <c r="AI675" s="13"/>
      <c r="AJ675" s="13">
        <f t="shared" si="99"/>
        <v>0.67500000000000004</v>
      </c>
      <c r="AK675" s="9"/>
      <c r="AL675" s="13"/>
      <c r="AM675" s="9"/>
      <c r="AN675" s="9"/>
      <c r="AO675" s="9"/>
      <c r="AP675" s="14"/>
    </row>
    <row r="676" spans="1:42" s="45" customFormat="1" ht="22" customHeight="1">
      <c r="A676" s="14" t="s">
        <v>17</v>
      </c>
      <c r="B676" s="8">
        <v>2024</v>
      </c>
      <c r="C676" s="8" t="s">
        <v>8</v>
      </c>
      <c r="D676" s="9" t="s">
        <v>185</v>
      </c>
      <c r="E676" s="9" t="s">
        <v>15</v>
      </c>
      <c r="F676" s="9" t="s">
        <v>186</v>
      </c>
      <c r="G676" s="8"/>
      <c r="H676" s="8"/>
      <c r="I676" s="9" t="s">
        <v>14</v>
      </c>
      <c r="J676" s="14" t="s">
        <v>14</v>
      </c>
      <c r="K676" s="10" t="s">
        <v>14</v>
      </c>
      <c r="L676" s="9" t="s">
        <v>209</v>
      </c>
      <c r="M676" s="9" t="s">
        <v>99</v>
      </c>
      <c r="N676" s="9" t="s">
        <v>377</v>
      </c>
      <c r="O676" s="9" t="s">
        <v>403</v>
      </c>
      <c r="P676" s="149" t="s">
        <v>405</v>
      </c>
      <c r="Q676" s="11">
        <v>220</v>
      </c>
      <c r="R676" s="11"/>
      <c r="S676" s="11">
        <f t="shared" si="104"/>
        <v>220</v>
      </c>
      <c r="T676" s="9"/>
      <c r="U676" s="14" t="s">
        <v>77</v>
      </c>
      <c r="V676" s="9"/>
      <c r="W676" s="12">
        <v>30</v>
      </c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>
        <f t="shared" si="105"/>
        <v>0.33</v>
      </c>
      <c r="AI676" s="13"/>
      <c r="AJ676" s="13">
        <f t="shared" si="99"/>
        <v>0.33</v>
      </c>
      <c r="AK676" s="9"/>
      <c r="AL676" s="13"/>
      <c r="AM676" s="9"/>
      <c r="AN676" s="9"/>
      <c r="AO676" s="9"/>
      <c r="AP676" s="14"/>
    </row>
    <row r="677" spans="1:42" s="45" customFormat="1" ht="22" customHeight="1">
      <c r="A677" s="14" t="s">
        <v>17</v>
      </c>
      <c r="B677" s="8">
        <v>2024</v>
      </c>
      <c r="C677" s="8" t="s">
        <v>8</v>
      </c>
      <c r="D677" s="9" t="s">
        <v>185</v>
      </c>
      <c r="E677" s="9" t="s">
        <v>15</v>
      </c>
      <c r="F677" s="9" t="s">
        <v>186</v>
      </c>
      <c r="G677" s="8"/>
      <c r="H677" s="8"/>
      <c r="I677" s="9" t="s">
        <v>13</v>
      </c>
      <c r="J677" s="9" t="s">
        <v>13</v>
      </c>
      <c r="K677" s="9"/>
      <c r="L677" s="9" t="s">
        <v>178</v>
      </c>
      <c r="M677" s="9" t="s">
        <v>13</v>
      </c>
      <c r="N677" s="9" t="s">
        <v>406</v>
      </c>
      <c r="O677" s="9" t="s">
        <v>407</v>
      </c>
      <c r="P677" s="9" t="s">
        <v>408</v>
      </c>
      <c r="Q677" s="41">
        <v>573</v>
      </c>
      <c r="R677" s="41"/>
      <c r="S677" s="41">
        <v>573</v>
      </c>
      <c r="T677" s="9"/>
      <c r="U677" s="14" t="s">
        <v>77</v>
      </c>
      <c r="V677" s="9"/>
      <c r="W677" s="210">
        <v>30</v>
      </c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>
        <f>S677*W677*50/1000000</f>
        <v>0.85950000000000004</v>
      </c>
      <c r="AI677" s="34"/>
      <c r="AJ677" s="34">
        <f t="shared" si="99"/>
        <v>0.85950000000000004</v>
      </c>
      <c r="AK677" s="9"/>
      <c r="AL677" s="34"/>
      <c r="AM677" s="9"/>
      <c r="AN677" s="9"/>
      <c r="AO677" s="9"/>
      <c r="AP677" s="14"/>
    </row>
    <row r="678" spans="1:42" s="45" customFormat="1" ht="22" customHeight="1">
      <c r="A678" s="14" t="s">
        <v>17</v>
      </c>
      <c r="B678" s="8">
        <v>2024</v>
      </c>
      <c r="C678" s="8" t="s">
        <v>8</v>
      </c>
      <c r="D678" s="9" t="s">
        <v>185</v>
      </c>
      <c r="E678" s="9" t="s">
        <v>15</v>
      </c>
      <c r="F678" s="9" t="s">
        <v>186</v>
      </c>
      <c r="G678" s="8"/>
      <c r="H678" s="8"/>
      <c r="I678" s="9" t="s">
        <v>13</v>
      </c>
      <c r="J678" s="9" t="s">
        <v>13</v>
      </c>
      <c r="K678" s="9"/>
      <c r="L678" s="9" t="s">
        <v>178</v>
      </c>
      <c r="M678" s="9" t="s">
        <v>13</v>
      </c>
      <c r="N678" s="9" t="s">
        <v>406</v>
      </c>
      <c r="O678" s="9" t="s">
        <v>407</v>
      </c>
      <c r="P678" s="9" t="s">
        <v>409</v>
      </c>
      <c r="Q678" s="41">
        <v>270</v>
      </c>
      <c r="R678" s="41"/>
      <c r="S678" s="41">
        <v>270</v>
      </c>
      <c r="T678" s="9"/>
      <c r="U678" s="14" t="s">
        <v>77</v>
      </c>
      <c r="V678" s="9"/>
      <c r="W678" s="210">
        <v>30</v>
      </c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>
        <f t="shared" ref="AH678:AH699" si="106">S678*W678*50/1000000</f>
        <v>0.40500000000000003</v>
      </c>
      <c r="AI678" s="34"/>
      <c r="AJ678" s="34">
        <f t="shared" si="99"/>
        <v>0.40500000000000003</v>
      </c>
      <c r="AK678" s="9"/>
      <c r="AL678" s="34"/>
      <c r="AM678" s="9"/>
      <c r="AN678" s="9"/>
      <c r="AO678" s="9"/>
      <c r="AP678" s="14"/>
    </row>
    <row r="679" spans="1:42" s="45" customFormat="1" ht="22" customHeight="1">
      <c r="A679" s="14" t="s">
        <v>17</v>
      </c>
      <c r="B679" s="8">
        <v>2024</v>
      </c>
      <c r="C679" s="8" t="s">
        <v>8</v>
      </c>
      <c r="D679" s="9" t="s">
        <v>185</v>
      </c>
      <c r="E679" s="9" t="s">
        <v>15</v>
      </c>
      <c r="F679" s="9" t="s">
        <v>186</v>
      </c>
      <c r="G679" s="8"/>
      <c r="H679" s="8"/>
      <c r="I679" s="9" t="s">
        <v>13</v>
      </c>
      <c r="J679" s="9" t="s">
        <v>13</v>
      </c>
      <c r="K679" s="9"/>
      <c r="L679" s="9" t="s">
        <v>178</v>
      </c>
      <c r="M679" s="9" t="s">
        <v>13</v>
      </c>
      <c r="N679" s="9" t="s">
        <v>406</v>
      </c>
      <c r="O679" s="9" t="s">
        <v>407</v>
      </c>
      <c r="P679" s="9" t="s">
        <v>410</v>
      </c>
      <c r="Q679" s="41">
        <v>162</v>
      </c>
      <c r="R679" s="41"/>
      <c r="S679" s="41">
        <v>162</v>
      </c>
      <c r="T679" s="9"/>
      <c r="U679" s="14" t="s">
        <v>77</v>
      </c>
      <c r="V679" s="9"/>
      <c r="W679" s="210">
        <v>30</v>
      </c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>
        <f t="shared" si="106"/>
        <v>0.24299999999999999</v>
      </c>
      <c r="AI679" s="34"/>
      <c r="AJ679" s="34">
        <f t="shared" si="99"/>
        <v>0.24299999999999999</v>
      </c>
      <c r="AK679" s="9"/>
      <c r="AL679" s="34"/>
      <c r="AM679" s="9"/>
      <c r="AN679" s="9"/>
      <c r="AO679" s="9"/>
      <c r="AP679" s="14"/>
    </row>
    <row r="680" spans="1:42" s="45" customFormat="1" ht="22" customHeight="1">
      <c r="A680" s="14" t="s">
        <v>17</v>
      </c>
      <c r="B680" s="8">
        <v>2024</v>
      </c>
      <c r="C680" s="8" t="s">
        <v>8</v>
      </c>
      <c r="D680" s="9" t="s">
        <v>185</v>
      </c>
      <c r="E680" s="9" t="s">
        <v>15</v>
      </c>
      <c r="F680" s="9" t="s">
        <v>186</v>
      </c>
      <c r="G680" s="8"/>
      <c r="H680" s="8"/>
      <c r="I680" s="9" t="s">
        <v>13</v>
      </c>
      <c r="J680" s="9" t="s">
        <v>13</v>
      </c>
      <c r="K680" s="9"/>
      <c r="L680" s="9" t="s">
        <v>178</v>
      </c>
      <c r="M680" s="9" t="s">
        <v>13</v>
      </c>
      <c r="N680" s="9" t="s">
        <v>406</v>
      </c>
      <c r="O680" s="9" t="s">
        <v>407</v>
      </c>
      <c r="P680" s="9" t="s">
        <v>411</v>
      </c>
      <c r="Q680" s="41">
        <v>145</v>
      </c>
      <c r="R680" s="41"/>
      <c r="S680" s="41">
        <v>145</v>
      </c>
      <c r="T680" s="9"/>
      <c r="U680" s="14" t="s">
        <v>77</v>
      </c>
      <c r="V680" s="9"/>
      <c r="W680" s="210">
        <v>30</v>
      </c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>
        <f t="shared" si="106"/>
        <v>0.2175</v>
      </c>
      <c r="AI680" s="34"/>
      <c r="AJ680" s="34">
        <f t="shared" si="99"/>
        <v>0.2175</v>
      </c>
      <c r="AK680" s="9"/>
      <c r="AL680" s="34"/>
      <c r="AM680" s="9"/>
      <c r="AN680" s="9"/>
      <c r="AO680" s="9"/>
      <c r="AP680" s="14"/>
    </row>
    <row r="681" spans="1:42" s="45" customFormat="1" ht="22" customHeight="1">
      <c r="A681" s="14" t="s">
        <v>17</v>
      </c>
      <c r="B681" s="8">
        <v>2024</v>
      </c>
      <c r="C681" s="8" t="s">
        <v>8</v>
      </c>
      <c r="D681" s="9" t="s">
        <v>185</v>
      </c>
      <c r="E681" s="9" t="s">
        <v>15</v>
      </c>
      <c r="F681" s="9" t="s">
        <v>186</v>
      </c>
      <c r="G681" s="8"/>
      <c r="H681" s="8"/>
      <c r="I681" s="9" t="s">
        <v>13</v>
      </c>
      <c r="J681" s="9" t="s">
        <v>13</v>
      </c>
      <c r="K681" s="9"/>
      <c r="L681" s="9" t="s">
        <v>178</v>
      </c>
      <c r="M681" s="9" t="s">
        <v>13</v>
      </c>
      <c r="N681" s="9" t="s">
        <v>406</v>
      </c>
      <c r="O681" s="14" t="s">
        <v>412</v>
      </c>
      <c r="P681" s="9" t="s">
        <v>413</v>
      </c>
      <c r="Q681" s="41">
        <v>125</v>
      </c>
      <c r="R681" s="41"/>
      <c r="S681" s="41">
        <v>125</v>
      </c>
      <c r="T681" s="9"/>
      <c r="U681" s="14" t="s">
        <v>77</v>
      </c>
      <c r="V681" s="9"/>
      <c r="W681" s="210">
        <v>30</v>
      </c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>
        <f t="shared" si="106"/>
        <v>0.1875</v>
      </c>
      <c r="AI681" s="34"/>
      <c r="AJ681" s="34">
        <f t="shared" si="99"/>
        <v>0.1875</v>
      </c>
      <c r="AK681" s="9"/>
      <c r="AL681" s="34"/>
      <c r="AM681" s="9"/>
      <c r="AN681" s="9"/>
      <c r="AO681" s="9"/>
      <c r="AP681" s="14"/>
    </row>
    <row r="682" spans="1:42" s="45" customFormat="1" ht="22" customHeight="1">
      <c r="A682" s="14" t="s">
        <v>17</v>
      </c>
      <c r="B682" s="8">
        <v>2024</v>
      </c>
      <c r="C682" s="8" t="s">
        <v>8</v>
      </c>
      <c r="D682" s="9" t="s">
        <v>185</v>
      </c>
      <c r="E682" s="9" t="s">
        <v>15</v>
      </c>
      <c r="F682" s="9" t="s">
        <v>186</v>
      </c>
      <c r="G682" s="8"/>
      <c r="H682" s="8"/>
      <c r="I682" s="9" t="s">
        <v>13</v>
      </c>
      <c r="J682" s="9" t="s">
        <v>13</v>
      </c>
      <c r="K682" s="9"/>
      <c r="L682" s="9" t="s">
        <v>178</v>
      </c>
      <c r="M682" s="9" t="s">
        <v>13</v>
      </c>
      <c r="N682" s="9" t="s">
        <v>406</v>
      </c>
      <c r="O682" s="14" t="s">
        <v>412</v>
      </c>
      <c r="P682" s="9" t="s">
        <v>414</v>
      </c>
      <c r="Q682" s="41">
        <v>41</v>
      </c>
      <c r="R682" s="41"/>
      <c r="S682" s="41">
        <v>41</v>
      </c>
      <c r="T682" s="9"/>
      <c r="U682" s="14" t="s">
        <v>77</v>
      </c>
      <c r="V682" s="9"/>
      <c r="W682" s="210">
        <v>30</v>
      </c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>
        <f t="shared" si="106"/>
        <v>6.1499999999999999E-2</v>
      </c>
      <c r="AI682" s="34"/>
      <c r="AJ682" s="34">
        <f t="shared" si="99"/>
        <v>6.1499999999999999E-2</v>
      </c>
      <c r="AK682" s="9"/>
      <c r="AL682" s="34"/>
      <c r="AM682" s="9"/>
      <c r="AN682" s="9"/>
      <c r="AO682" s="9"/>
      <c r="AP682" s="14"/>
    </row>
    <row r="683" spans="1:42" s="45" customFormat="1" ht="22" customHeight="1">
      <c r="A683" s="14" t="s">
        <v>17</v>
      </c>
      <c r="B683" s="8">
        <v>2024</v>
      </c>
      <c r="C683" s="8" t="s">
        <v>8</v>
      </c>
      <c r="D683" s="9" t="s">
        <v>185</v>
      </c>
      <c r="E683" s="9" t="s">
        <v>15</v>
      </c>
      <c r="F683" s="9" t="s">
        <v>186</v>
      </c>
      <c r="G683" s="8"/>
      <c r="H683" s="8"/>
      <c r="I683" s="9" t="s">
        <v>13</v>
      </c>
      <c r="J683" s="9" t="s">
        <v>13</v>
      </c>
      <c r="K683" s="9"/>
      <c r="L683" s="9" t="s">
        <v>178</v>
      </c>
      <c r="M683" s="9" t="s">
        <v>13</v>
      </c>
      <c r="N683" s="9" t="s">
        <v>406</v>
      </c>
      <c r="O683" s="14" t="s">
        <v>412</v>
      </c>
      <c r="P683" s="9" t="s">
        <v>415</v>
      </c>
      <c r="Q683" s="41">
        <v>50</v>
      </c>
      <c r="R683" s="41"/>
      <c r="S683" s="41">
        <v>50</v>
      </c>
      <c r="T683" s="9"/>
      <c r="U683" s="14" t="s">
        <v>77</v>
      </c>
      <c r="V683" s="9"/>
      <c r="W683" s="210">
        <v>30</v>
      </c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>
        <f t="shared" si="106"/>
        <v>7.4999999999999997E-2</v>
      </c>
      <c r="AI683" s="34"/>
      <c r="AJ683" s="34">
        <f t="shared" si="99"/>
        <v>7.4999999999999997E-2</v>
      </c>
      <c r="AK683" s="9"/>
      <c r="AL683" s="34"/>
      <c r="AM683" s="9"/>
      <c r="AN683" s="9"/>
      <c r="AO683" s="9"/>
      <c r="AP683" s="14"/>
    </row>
    <row r="684" spans="1:42" s="45" customFormat="1" ht="22" customHeight="1">
      <c r="A684" s="14" t="s">
        <v>17</v>
      </c>
      <c r="B684" s="8">
        <v>2024</v>
      </c>
      <c r="C684" s="8" t="s">
        <v>8</v>
      </c>
      <c r="D684" s="9" t="s">
        <v>185</v>
      </c>
      <c r="E684" s="9" t="s">
        <v>15</v>
      </c>
      <c r="F684" s="9" t="s">
        <v>186</v>
      </c>
      <c r="G684" s="8"/>
      <c r="H684" s="8"/>
      <c r="I684" s="9" t="s">
        <v>13</v>
      </c>
      <c r="J684" s="9" t="s">
        <v>13</v>
      </c>
      <c r="K684" s="9"/>
      <c r="L684" s="9" t="s">
        <v>178</v>
      </c>
      <c r="M684" s="9" t="s">
        <v>13</v>
      </c>
      <c r="N684" s="9" t="s">
        <v>406</v>
      </c>
      <c r="O684" s="14" t="s">
        <v>412</v>
      </c>
      <c r="P684" s="9" t="s">
        <v>416</v>
      </c>
      <c r="Q684" s="41">
        <v>71</v>
      </c>
      <c r="R684" s="41"/>
      <c r="S684" s="41">
        <v>71</v>
      </c>
      <c r="T684" s="9"/>
      <c r="U684" s="14" t="s">
        <v>77</v>
      </c>
      <c r="V684" s="9"/>
      <c r="W684" s="210">
        <v>30</v>
      </c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>
        <f t="shared" si="106"/>
        <v>0.1065</v>
      </c>
      <c r="AI684" s="34"/>
      <c r="AJ684" s="34">
        <f t="shared" si="99"/>
        <v>0.1065</v>
      </c>
      <c r="AK684" s="9"/>
      <c r="AL684" s="34"/>
      <c r="AM684" s="9"/>
      <c r="AN684" s="9"/>
      <c r="AO684" s="9"/>
      <c r="AP684" s="14"/>
    </row>
    <row r="685" spans="1:42" s="45" customFormat="1" ht="22" customHeight="1">
      <c r="A685" s="14" t="s">
        <v>17</v>
      </c>
      <c r="B685" s="8">
        <v>2024</v>
      </c>
      <c r="C685" s="8" t="s">
        <v>8</v>
      </c>
      <c r="D685" s="9" t="s">
        <v>185</v>
      </c>
      <c r="E685" s="9" t="s">
        <v>15</v>
      </c>
      <c r="F685" s="9" t="s">
        <v>186</v>
      </c>
      <c r="G685" s="8"/>
      <c r="H685" s="8"/>
      <c r="I685" s="9" t="s">
        <v>13</v>
      </c>
      <c r="J685" s="9" t="s">
        <v>13</v>
      </c>
      <c r="K685" s="9"/>
      <c r="L685" s="9" t="s">
        <v>178</v>
      </c>
      <c r="M685" s="9" t="s">
        <v>13</v>
      </c>
      <c r="N685" s="9" t="s">
        <v>406</v>
      </c>
      <c r="O685" s="14" t="s">
        <v>412</v>
      </c>
      <c r="P685" s="9" t="s">
        <v>417</v>
      </c>
      <c r="Q685" s="41">
        <v>39</v>
      </c>
      <c r="R685" s="41"/>
      <c r="S685" s="41">
        <v>39</v>
      </c>
      <c r="T685" s="9"/>
      <c r="U685" s="14" t="s">
        <v>77</v>
      </c>
      <c r="V685" s="9"/>
      <c r="W685" s="210">
        <v>30</v>
      </c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>
        <f t="shared" si="106"/>
        <v>5.8500000000000003E-2</v>
      </c>
      <c r="AI685" s="34"/>
      <c r="AJ685" s="34">
        <f t="shared" si="99"/>
        <v>5.8500000000000003E-2</v>
      </c>
      <c r="AK685" s="9"/>
      <c r="AL685" s="34"/>
      <c r="AM685" s="9"/>
      <c r="AN685" s="9"/>
      <c r="AO685" s="9"/>
      <c r="AP685" s="14"/>
    </row>
    <row r="686" spans="1:42" s="45" customFormat="1" ht="22" customHeight="1">
      <c r="A686" s="14" t="s">
        <v>17</v>
      </c>
      <c r="B686" s="8">
        <v>2024</v>
      </c>
      <c r="C686" s="8" t="s">
        <v>8</v>
      </c>
      <c r="D686" s="9" t="s">
        <v>185</v>
      </c>
      <c r="E686" s="9" t="s">
        <v>15</v>
      </c>
      <c r="F686" s="9" t="s">
        <v>186</v>
      </c>
      <c r="G686" s="8"/>
      <c r="H686" s="8"/>
      <c r="I686" s="9" t="s">
        <v>13</v>
      </c>
      <c r="J686" s="9" t="s">
        <v>13</v>
      </c>
      <c r="K686" s="9"/>
      <c r="L686" s="9" t="s">
        <v>178</v>
      </c>
      <c r="M686" s="9" t="s">
        <v>13</v>
      </c>
      <c r="N686" s="9" t="s">
        <v>406</v>
      </c>
      <c r="O686" s="14" t="s">
        <v>412</v>
      </c>
      <c r="P686" s="9" t="s">
        <v>418</v>
      </c>
      <c r="Q686" s="41">
        <v>25</v>
      </c>
      <c r="R686" s="41"/>
      <c r="S686" s="41">
        <v>25</v>
      </c>
      <c r="T686" s="9"/>
      <c r="U686" s="14" t="s">
        <v>77</v>
      </c>
      <c r="V686" s="9"/>
      <c r="W686" s="210">
        <v>30</v>
      </c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>
        <f t="shared" si="106"/>
        <v>3.7499999999999999E-2</v>
      </c>
      <c r="AI686" s="34"/>
      <c r="AJ686" s="34">
        <f t="shared" si="99"/>
        <v>3.7499999999999999E-2</v>
      </c>
      <c r="AK686" s="9"/>
      <c r="AL686" s="34"/>
      <c r="AM686" s="9"/>
      <c r="AN686" s="9"/>
      <c r="AO686" s="9"/>
      <c r="AP686" s="14"/>
    </row>
    <row r="687" spans="1:42" s="45" customFormat="1" ht="22" customHeight="1">
      <c r="A687" s="14" t="s">
        <v>17</v>
      </c>
      <c r="B687" s="8">
        <v>2024</v>
      </c>
      <c r="C687" s="8" t="s">
        <v>8</v>
      </c>
      <c r="D687" s="9" t="s">
        <v>185</v>
      </c>
      <c r="E687" s="9" t="s">
        <v>15</v>
      </c>
      <c r="F687" s="9" t="s">
        <v>186</v>
      </c>
      <c r="G687" s="8"/>
      <c r="H687" s="8"/>
      <c r="I687" s="9" t="s">
        <v>13</v>
      </c>
      <c r="J687" s="9" t="s">
        <v>13</v>
      </c>
      <c r="K687" s="9"/>
      <c r="L687" s="9" t="s">
        <v>178</v>
      </c>
      <c r="M687" s="9" t="s">
        <v>13</v>
      </c>
      <c r="N687" s="9" t="s">
        <v>406</v>
      </c>
      <c r="O687" s="14" t="s">
        <v>412</v>
      </c>
      <c r="P687" s="9" t="s">
        <v>419</v>
      </c>
      <c r="Q687" s="41">
        <v>70</v>
      </c>
      <c r="R687" s="41"/>
      <c r="S687" s="41">
        <v>70</v>
      </c>
      <c r="T687" s="9"/>
      <c r="U687" s="14" t="s">
        <v>77</v>
      </c>
      <c r="V687" s="9"/>
      <c r="W687" s="210">
        <v>30</v>
      </c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>
        <f t="shared" si="106"/>
        <v>0.105</v>
      </c>
      <c r="AI687" s="34"/>
      <c r="AJ687" s="34">
        <f t="shared" si="99"/>
        <v>0.105</v>
      </c>
      <c r="AK687" s="9"/>
      <c r="AL687" s="34"/>
      <c r="AM687" s="9"/>
      <c r="AN687" s="9"/>
      <c r="AO687" s="9"/>
      <c r="AP687" s="14"/>
    </row>
    <row r="688" spans="1:42" s="45" customFormat="1" ht="22" customHeight="1">
      <c r="A688" s="14" t="s">
        <v>17</v>
      </c>
      <c r="B688" s="8">
        <v>2024</v>
      </c>
      <c r="C688" s="8" t="s">
        <v>8</v>
      </c>
      <c r="D688" s="9" t="s">
        <v>185</v>
      </c>
      <c r="E688" s="9" t="s">
        <v>15</v>
      </c>
      <c r="F688" s="9" t="s">
        <v>186</v>
      </c>
      <c r="G688" s="8"/>
      <c r="H688" s="8"/>
      <c r="I688" s="9" t="s">
        <v>13</v>
      </c>
      <c r="J688" s="9" t="s">
        <v>13</v>
      </c>
      <c r="K688" s="9"/>
      <c r="L688" s="9" t="s">
        <v>178</v>
      </c>
      <c r="M688" s="9" t="s">
        <v>13</v>
      </c>
      <c r="N688" s="9" t="s">
        <v>406</v>
      </c>
      <c r="O688" s="14" t="s">
        <v>412</v>
      </c>
      <c r="P688" s="9" t="s">
        <v>412</v>
      </c>
      <c r="Q688" s="41">
        <v>53</v>
      </c>
      <c r="R688" s="41"/>
      <c r="S688" s="41">
        <v>53</v>
      </c>
      <c r="T688" s="9"/>
      <c r="U688" s="14" t="s">
        <v>77</v>
      </c>
      <c r="V688" s="9"/>
      <c r="W688" s="210">
        <v>30</v>
      </c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>
        <f t="shared" si="106"/>
        <v>7.9500000000000001E-2</v>
      </c>
      <c r="AI688" s="34"/>
      <c r="AJ688" s="34">
        <f t="shared" si="99"/>
        <v>7.9500000000000001E-2</v>
      </c>
      <c r="AK688" s="9"/>
      <c r="AL688" s="34"/>
      <c r="AM688" s="9"/>
      <c r="AN688" s="9"/>
      <c r="AO688" s="9"/>
      <c r="AP688" s="14"/>
    </row>
    <row r="689" spans="1:42" s="45" customFormat="1" ht="22" customHeight="1">
      <c r="A689" s="14" t="s">
        <v>17</v>
      </c>
      <c r="B689" s="8">
        <v>2024</v>
      </c>
      <c r="C689" s="8" t="s">
        <v>8</v>
      </c>
      <c r="D689" s="9" t="s">
        <v>185</v>
      </c>
      <c r="E689" s="9" t="s">
        <v>15</v>
      </c>
      <c r="F689" s="9" t="s">
        <v>186</v>
      </c>
      <c r="G689" s="8"/>
      <c r="H689" s="8"/>
      <c r="I689" s="9" t="s">
        <v>13</v>
      </c>
      <c r="J689" s="9" t="s">
        <v>13</v>
      </c>
      <c r="K689" s="9"/>
      <c r="L689" s="9" t="s">
        <v>215</v>
      </c>
      <c r="M689" s="9" t="s">
        <v>92</v>
      </c>
      <c r="N689" s="9" t="s">
        <v>406</v>
      </c>
      <c r="O689" s="9" t="s">
        <v>420</v>
      </c>
      <c r="P689" s="9" t="s">
        <v>420</v>
      </c>
      <c r="Q689" s="41">
        <v>212</v>
      </c>
      <c r="R689" s="41"/>
      <c r="S689" s="41">
        <v>212</v>
      </c>
      <c r="T689" s="9"/>
      <c r="U689" s="14" t="s">
        <v>77</v>
      </c>
      <c r="V689" s="9"/>
      <c r="W689" s="210">
        <v>30</v>
      </c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>
        <f t="shared" si="106"/>
        <v>0.318</v>
      </c>
      <c r="AI689" s="34"/>
      <c r="AJ689" s="34">
        <f t="shared" si="99"/>
        <v>0.318</v>
      </c>
      <c r="AK689" s="9"/>
      <c r="AL689" s="34"/>
      <c r="AM689" s="9"/>
      <c r="AN689" s="9"/>
      <c r="AO689" s="9"/>
      <c r="AP689" s="14"/>
    </row>
    <row r="690" spans="1:42" s="45" customFormat="1" ht="22" customHeight="1">
      <c r="A690" s="14" t="s">
        <v>17</v>
      </c>
      <c r="B690" s="8">
        <v>2024</v>
      </c>
      <c r="C690" s="8" t="s">
        <v>8</v>
      </c>
      <c r="D690" s="9" t="s">
        <v>185</v>
      </c>
      <c r="E690" s="9" t="s">
        <v>15</v>
      </c>
      <c r="F690" s="9" t="s">
        <v>186</v>
      </c>
      <c r="G690" s="8"/>
      <c r="H690" s="8"/>
      <c r="I690" s="9" t="s">
        <v>13</v>
      </c>
      <c r="J690" s="9" t="s">
        <v>13</v>
      </c>
      <c r="K690" s="9"/>
      <c r="L690" s="9" t="s">
        <v>215</v>
      </c>
      <c r="M690" s="9" t="s">
        <v>92</v>
      </c>
      <c r="N690" s="9" t="s">
        <v>406</v>
      </c>
      <c r="O690" s="9" t="s">
        <v>420</v>
      </c>
      <c r="P690" s="9" t="s">
        <v>421</v>
      </c>
      <c r="Q690" s="41">
        <v>187</v>
      </c>
      <c r="R690" s="41"/>
      <c r="S690" s="41">
        <v>187</v>
      </c>
      <c r="T690" s="9"/>
      <c r="U690" s="14" t="s">
        <v>77</v>
      </c>
      <c r="V690" s="9"/>
      <c r="W690" s="210">
        <v>30</v>
      </c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>
        <f t="shared" si="106"/>
        <v>0.28050000000000003</v>
      </c>
      <c r="AI690" s="34"/>
      <c r="AJ690" s="34">
        <f t="shared" si="99"/>
        <v>0.28050000000000003</v>
      </c>
      <c r="AK690" s="9"/>
      <c r="AL690" s="34"/>
      <c r="AM690" s="9"/>
      <c r="AN690" s="9"/>
      <c r="AO690" s="9"/>
      <c r="AP690" s="14"/>
    </row>
    <row r="691" spans="1:42" s="45" customFormat="1" ht="22" customHeight="1">
      <c r="A691" s="14" t="s">
        <v>17</v>
      </c>
      <c r="B691" s="8">
        <v>2024</v>
      </c>
      <c r="C691" s="8" t="s">
        <v>8</v>
      </c>
      <c r="D691" s="9" t="s">
        <v>185</v>
      </c>
      <c r="E691" s="9" t="s">
        <v>15</v>
      </c>
      <c r="F691" s="9" t="s">
        <v>186</v>
      </c>
      <c r="G691" s="8"/>
      <c r="H691" s="8"/>
      <c r="I691" s="9" t="s">
        <v>13</v>
      </c>
      <c r="J691" s="9" t="s">
        <v>13</v>
      </c>
      <c r="K691" s="9"/>
      <c r="L691" s="9" t="s">
        <v>215</v>
      </c>
      <c r="M691" s="9" t="s">
        <v>92</v>
      </c>
      <c r="N691" s="9" t="s">
        <v>406</v>
      </c>
      <c r="O691" s="14" t="s">
        <v>422</v>
      </c>
      <c r="P691" s="9" t="s">
        <v>423</v>
      </c>
      <c r="Q691" s="41">
        <v>344</v>
      </c>
      <c r="R691" s="41"/>
      <c r="S691" s="41">
        <v>344</v>
      </c>
      <c r="T691" s="9"/>
      <c r="U691" s="14" t="s">
        <v>77</v>
      </c>
      <c r="V691" s="9"/>
      <c r="W691" s="210">
        <v>30</v>
      </c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>
        <f t="shared" si="106"/>
        <v>0.51600000000000001</v>
      </c>
      <c r="AI691" s="34"/>
      <c r="AJ691" s="34">
        <f t="shared" si="99"/>
        <v>0.51600000000000001</v>
      </c>
      <c r="AK691" s="9"/>
      <c r="AL691" s="34"/>
      <c r="AM691" s="9"/>
      <c r="AN691" s="9"/>
      <c r="AO691" s="9"/>
      <c r="AP691" s="14"/>
    </row>
    <row r="692" spans="1:42" s="45" customFormat="1" ht="22" customHeight="1">
      <c r="A692" s="14" t="s">
        <v>17</v>
      </c>
      <c r="B692" s="8">
        <v>2024</v>
      </c>
      <c r="C692" s="8" t="s">
        <v>8</v>
      </c>
      <c r="D692" s="9" t="s">
        <v>185</v>
      </c>
      <c r="E692" s="9" t="s">
        <v>15</v>
      </c>
      <c r="F692" s="9" t="s">
        <v>186</v>
      </c>
      <c r="G692" s="8"/>
      <c r="H692" s="8"/>
      <c r="I692" s="9" t="s">
        <v>13</v>
      </c>
      <c r="J692" s="9" t="s">
        <v>13</v>
      </c>
      <c r="K692" s="9"/>
      <c r="L692" s="9" t="s">
        <v>215</v>
      </c>
      <c r="M692" s="9" t="s">
        <v>92</v>
      </c>
      <c r="N692" s="9" t="s">
        <v>406</v>
      </c>
      <c r="O692" s="14" t="s">
        <v>422</v>
      </c>
      <c r="P692" s="9" t="s">
        <v>422</v>
      </c>
      <c r="Q692" s="41">
        <v>363</v>
      </c>
      <c r="R692" s="41"/>
      <c r="S692" s="41">
        <v>363</v>
      </c>
      <c r="T692" s="9"/>
      <c r="U692" s="14" t="s">
        <v>77</v>
      </c>
      <c r="V692" s="9"/>
      <c r="W692" s="210">
        <v>30</v>
      </c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>
        <f t="shared" si="106"/>
        <v>0.54449999999999998</v>
      </c>
      <c r="AI692" s="34"/>
      <c r="AJ692" s="34">
        <f t="shared" si="99"/>
        <v>0.54449999999999998</v>
      </c>
      <c r="AK692" s="9"/>
      <c r="AL692" s="34"/>
      <c r="AM692" s="9"/>
      <c r="AN692" s="9"/>
      <c r="AO692" s="9"/>
      <c r="AP692" s="14"/>
    </row>
    <row r="693" spans="1:42" s="45" customFormat="1" ht="22" customHeight="1">
      <c r="A693" s="14" t="s">
        <v>17</v>
      </c>
      <c r="B693" s="8">
        <v>2024</v>
      </c>
      <c r="C693" s="8" t="s">
        <v>8</v>
      </c>
      <c r="D693" s="9" t="s">
        <v>185</v>
      </c>
      <c r="E693" s="9" t="s">
        <v>15</v>
      </c>
      <c r="F693" s="9" t="s">
        <v>186</v>
      </c>
      <c r="G693" s="8"/>
      <c r="H693" s="8"/>
      <c r="I693" s="9" t="s">
        <v>13</v>
      </c>
      <c r="J693" s="9" t="s">
        <v>13</v>
      </c>
      <c r="K693" s="9"/>
      <c r="L693" s="9" t="s">
        <v>215</v>
      </c>
      <c r="M693" s="9" t="s">
        <v>92</v>
      </c>
      <c r="N693" s="9" t="s">
        <v>406</v>
      </c>
      <c r="O693" s="14" t="s">
        <v>422</v>
      </c>
      <c r="P693" s="9" t="s">
        <v>424</v>
      </c>
      <c r="Q693" s="41">
        <v>194</v>
      </c>
      <c r="R693" s="41"/>
      <c r="S693" s="41">
        <v>194</v>
      </c>
      <c r="T693" s="9"/>
      <c r="U693" s="14" t="s">
        <v>77</v>
      </c>
      <c r="V693" s="9"/>
      <c r="W693" s="210">
        <v>30</v>
      </c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>
        <f t="shared" si="106"/>
        <v>0.29099999999999998</v>
      </c>
      <c r="AI693" s="34"/>
      <c r="AJ693" s="34">
        <f t="shared" si="99"/>
        <v>0.29099999999999998</v>
      </c>
      <c r="AK693" s="9"/>
      <c r="AL693" s="34"/>
      <c r="AM693" s="9"/>
      <c r="AN693" s="9"/>
      <c r="AO693" s="9"/>
      <c r="AP693" s="14"/>
    </row>
    <row r="694" spans="1:42" s="45" customFormat="1" ht="22" customHeight="1">
      <c r="A694" s="14" t="s">
        <v>17</v>
      </c>
      <c r="B694" s="8">
        <v>2024</v>
      </c>
      <c r="C694" s="8" t="s">
        <v>8</v>
      </c>
      <c r="D694" s="9" t="s">
        <v>185</v>
      </c>
      <c r="E694" s="9" t="s">
        <v>15</v>
      </c>
      <c r="F694" s="9" t="s">
        <v>186</v>
      </c>
      <c r="G694" s="8"/>
      <c r="H694" s="8"/>
      <c r="I694" s="9" t="s">
        <v>13</v>
      </c>
      <c r="J694" s="9" t="s">
        <v>13</v>
      </c>
      <c r="K694" s="9"/>
      <c r="L694" s="9" t="s">
        <v>215</v>
      </c>
      <c r="M694" s="9" t="s">
        <v>92</v>
      </c>
      <c r="N694" s="9" t="s">
        <v>406</v>
      </c>
      <c r="O694" s="14" t="s">
        <v>422</v>
      </c>
      <c r="P694" s="9" t="s">
        <v>425</v>
      </c>
      <c r="Q694" s="41">
        <v>202</v>
      </c>
      <c r="R694" s="41"/>
      <c r="S694" s="41">
        <v>202</v>
      </c>
      <c r="T694" s="9"/>
      <c r="U694" s="14" t="s">
        <v>77</v>
      </c>
      <c r="V694" s="9"/>
      <c r="W694" s="210">
        <v>30</v>
      </c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>
        <f t="shared" si="106"/>
        <v>0.30299999999999999</v>
      </c>
      <c r="AI694" s="34"/>
      <c r="AJ694" s="34">
        <f t="shared" si="99"/>
        <v>0.30299999999999999</v>
      </c>
      <c r="AK694" s="9"/>
      <c r="AL694" s="34"/>
      <c r="AM694" s="9"/>
      <c r="AN694" s="9"/>
      <c r="AO694" s="9"/>
      <c r="AP694" s="14"/>
    </row>
    <row r="695" spans="1:42" s="45" customFormat="1" ht="22" customHeight="1">
      <c r="A695" s="14" t="s">
        <v>17</v>
      </c>
      <c r="B695" s="8">
        <v>2024</v>
      </c>
      <c r="C695" s="8" t="s">
        <v>8</v>
      </c>
      <c r="D695" s="9" t="s">
        <v>185</v>
      </c>
      <c r="E695" s="9" t="s">
        <v>15</v>
      </c>
      <c r="F695" s="9" t="s">
        <v>186</v>
      </c>
      <c r="G695" s="8"/>
      <c r="H695" s="8"/>
      <c r="I695" s="9" t="s">
        <v>13</v>
      </c>
      <c r="J695" s="9" t="s">
        <v>13</v>
      </c>
      <c r="K695" s="9"/>
      <c r="L695" s="9" t="s">
        <v>215</v>
      </c>
      <c r="M695" s="9" t="s">
        <v>92</v>
      </c>
      <c r="N695" s="9" t="s">
        <v>406</v>
      </c>
      <c r="O695" s="9" t="s">
        <v>426</v>
      </c>
      <c r="P695" s="9" t="s">
        <v>426</v>
      </c>
      <c r="Q695" s="41">
        <v>368</v>
      </c>
      <c r="R695" s="41"/>
      <c r="S695" s="41">
        <v>368</v>
      </c>
      <c r="T695" s="9"/>
      <c r="U695" s="14" t="s">
        <v>77</v>
      </c>
      <c r="V695" s="9"/>
      <c r="W695" s="210">
        <v>30</v>
      </c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>
        <f t="shared" si="106"/>
        <v>0.55200000000000005</v>
      </c>
      <c r="AI695" s="34"/>
      <c r="AJ695" s="34">
        <f t="shared" si="99"/>
        <v>0.55200000000000005</v>
      </c>
      <c r="AK695" s="9"/>
      <c r="AL695" s="34"/>
      <c r="AM695" s="9"/>
      <c r="AN695" s="9"/>
      <c r="AO695" s="9"/>
      <c r="AP695" s="14"/>
    </row>
    <row r="696" spans="1:42" s="45" customFormat="1" ht="22" customHeight="1">
      <c r="A696" s="14" t="s">
        <v>17</v>
      </c>
      <c r="B696" s="8">
        <v>2024</v>
      </c>
      <c r="C696" s="8" t="s">
        <v>8</v>
      </c>
      <c r="D696" s="9" t="s">
        <v>185</v>
      </c>
      <c r="E696" s="9" t="s">
        <v>15</v>
      </c>
      <c r="F696" s="9" t="s">
        <v>186</v>
      </c>
      <c r="G696" s="8"/>
      <c r="H696" s="8"/>
      <c r="I696" s="9" t="s">
        <v>13</v>
      </c>
      <c r="J696" s="9" t="s">
        <v>13</v>
      </c>
      <c r="K696" s="9"/>
      <c r="L696" s="9" t="s">
        <v>215</v>
      </c>
      <c r="M696" s="9" t="s">
        <v>92</v>
      </c>
      <c r="N696" s="9" t="s">
        <v>406</v>
      </c>
      <c r="O696" s="9" t="s">
        <v>426</v>
      </c>
      <c r="P696" s="9" t="s">
        <v>427</v>
      </c>
      <c r="Q696" s="41">
        <v>78</v>
      </c>
      <c r="R696" s="41"/>
      <c r="S696" s="41">
        <v>78</v>
      </c>
      <c r="T696" s="9"/>
      <c r="U696" s="14" t="s">
        <v>77</v>
      </c>
      <c r="V696" s="9"/>
      <c r="W696" s="210">
        <v>30</v>
      </c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>
        <f t="shared" si="106"/>
        <v>0.11700000000000001</v>
      </c>
      <c r="AI696" s="34"/>
      <c r="AJ696" s="34">
        <f t="shared" si="99"/>
        <v>0.11700000000000001</v>
      </c>
      <c r="AK696" s="9"/>
      <c r="AL696" s="34"/>
      <c r="AM696" s="9"/>
      <c r="AN696" s="9"/>
      <c r="AO696" s="9"/>
      <c r="AP696" s="14"/>
    </row>
    <row r="697" spans="1:42" s="45" customFormat="1" ht="22" customHeight="1">
      <c r="A697" s="14" t="s">
        <v>17</v>
      </c>
      <c r="B697" s="8">
        <v>2024</v>
      </c>
      <c r="C697" s="8" t="s">
        <v>8</v>
      </c>
      <c r="D697" s="9" t="s">
        <v>185</v>
      </c>
      <c r="E697" s="9" t="s">
        <v>15</v>
      </c>
      <c r="F697" s="9" t="s">
        <v>186</v>
      </c>
      <c r="G697" s="8"/>
      <c r="H697" s="8"/>
      <c r="I697" s="9" t="s">
        <v>13</v>
      </c>
      <c r="J697" s="9" t="s">
        <v>13</v>
      </c>
      <c r="K697" s="9"/>
      <c r="L697" s="9" t="s">
        <v>215</v>
      </c>
      <c r="M697" s="9" t="s">
        <v>92</v>
      </c>
      <c r="N697" s="9" t="s">
        <v>406</v>
      </c>
      <c r="O697" s="9" t="s">
        <v>428</v>
      </c>
      <c r="P697" s="9" t="s">
        <v>429</v>
      </c>
      <c r="Q697" s="41">
        <v>283</v>
      </c>
      <c r="R697" s="41"/>
      <c r="S697" s="41">
        <v>283</v>
      </c>
      <c r="T697" s="9"/>
      <c r="U697" s="14" t="s">
        <v>77</v>
      </c>
      <c r="V697" s="9"/>
      <c r="W697" s="210">
        <v>30</v>
      </c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>
        <f t="shared" si="106"/>
        <v>0.42449999999999999</v>
      </c>
      <c r="AI697" s="34"/>
      <c r="AJ697" s="34">
        <f t="shared" si="99"/>
        <v>0.42449999999999999</v>
      </c>
      <c r="AK697" s="9"/>
      <c r="AL697" s="34"/>
      <c r="AM697" s="9"/>
      <c r="AN697" s="9"/>
      <c r="AO697" s="9"/>
      <c r="AP697" s="14"/>
    </row>
    <row r="698" spans="1:42" s="45" customFormat="1" ht="22" customHeight="1">
      <c r="A698" s="14" t="s">
        <v>17</v>
      </c>
      <c r="B698" s="8">
        <v>2024</v>
      </c>
      <c r="C698" s="8" t="s">
        <v>8</v>
      </c>
      <c r="D698" s="9" t="s">
        <v>185</v>
      </c>
      <c r="E698" s="9" t="s">
        <v>15</v>
      </c>
      <c r="F698" s="9" t="s">
        <v>186</v>
      </c>
      <c r="G698" s="8"/>
      <c r="H698" s="8"/>
      <c r="I698" s="9" t="s">
        <v>13</v>
      </c>
      <c r="J698" s="9" t="s">
        <v>13</v>
      </c>
      <c r="K698" s="9"/>
      <c r="L698" s="9" t="s">
        <v>215</v>
      </c>
      <c r="M698" s="9" t="s">
        <v>92</v>
      </c>
      <c r="N698" s="9" t="s">
        <v>406</v>
      </c>
      <c r="O698" s="9" t="s">
        <v>428</v>
      </c>
      <c r="P698" s="9" t="s">
        <v>428</v>
      </c>
      <c r="Q698" s="41">
        <v>286</v>
      </c>
      <c r="R698" s="41"/>
      <c r="S698" s="41">
        <v>286</v>
      </c>
      <c r="T698" s="9"/>
      <c r="U698" s="14" t="s">
        <v>77</v>
      </c>
      <c r="V698" s="9"/>
      <c r="W698" s="210">
        <v>30</v>
      </c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>
        <f t="shared" si="106"/>
        <v>0.42899999999999999</v>
      </c>
      <c r="AI698" s="34"/>
      <c r="AJ698" s="34">
        <f t="shared" si="99"/>
        <v>0.42899999999999999</v>
      </c>
      <c r="AK698" s="9"/>
      <c r="AL698" s="34"/>
      <c r="AM698" s="9"/>
      <c r="AN698" s="9"/>
      <c r="AO698" s="9"/>
      <c r="AP698" s="14"/>
    </row>
    <row r="699" spans="1:42" s="45" customFormat="1" ht="22" customHeight="1">
      <c r="A699" s="14" t="s">
        <v>17</v>
      </c>
      <c r="B699" s="8">
        <v>2024</v>
      </c>
      <c r="C699" s="8" t="s">
        <v>8</v>
      </c>
      <c r="D699" s="9" t="s">
        <v>185</v>
      </c>
      <c r="E699" s="9" t="s">
        <v>15</v>
      </c>
      <c r="F699" s="9" t="s">
        <v>186</v>
      </c>
      <c r="G699" s="8"/>
      <c r="H699" s="8"/>
      <c r="I699" s="9" t="s">
        <v>13</v>
      </c>
      <c r="J699" s="9" t="s">
        <v>13</v>
      </c>
      <c r="K699" s="9"/>
      <c r="L699" s="9" t="s">
        <v>215</v>
      </c>
      <c r="M699" s="9" t="s">
        <v>92</v>
      </c>
      <c r="N699" s="9" t="s">
        <v>406</v>
      </c>
      <c r="O699" s="9" t="s">
        <v>428</v>
      </c>
      <c r="P699" s="9" t="s">
        <v>430</v>
      </c>
      <c r="Q699" s="41">
        <v>182</v>
      </c>
      <c r="R699" s="41"/>
      <c r="S699" s="41">
        <v>182</v>
      </c>
      <c r="T699" s="9"/>
      <c r="U699" s="14" t="s">
        <v>77</v>
      </c>
      <c r="V699" s="9"/>
      <c r="W699" s="210">
        <v>30</v>
      </c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>
        <f t="shared" si="106"/>
        <v>0.27300000000000002</v>
      </c>
      <c r="AI699" s="34"/>
      <c r="AJ699" s="34">
        <f t="shared" si="99"/>
        <v>0.27300000000000002</v>
      </c>
      <c r="AK699" s="9"/>
      <c r="AL699" s="34"/>
      <c r="AM699" s="9"/>
      <c r="AN699" s="9"/>
      <c r="AO699" s="9"/>
      <c r="AP699" s="14"/>
    </row>
    <row r="700" spans="1:42" s="45" customFormat="1" ht="22" customHeight="1">
      <c r="A700" s="14" t="s">
        <v>17</v>
      </c>
      <c r="B700" s="8">
        <v>2024</v>
      </c>
      <c r="C700" s="8" t="s">
        <v>8</v>
      </c>
      <c r="D700" s="9" t="s">
        <v>185</v>
      </c>
      <c r="E700" s="9" t="s">
        <v>10</v>
      </c>
      <c r="F700" s="9" t="s">
        <v>186</v>
      </c>
      <c r="G700" s="8"/>
      <c r="H700" s="8"/>
      <c r="I700" s="9" t="s">
        <v>13</v>
      </c>
      <c r="J700" s="9" t="s">
        <v>13</v>
      </c>
      <c r="K700" s="9"/>
      <c r="L700" s="9" t="s">
        <v>178</v>
      </c>
      <c r="M700" s="9" t="s">
        <v>13</v>
      </c>
      <c r="N700" s="9" t="s">
        <v>406</v>
      </c>
      <c r="O700" s="9" t="s">
        <v>407</v>
      </c>
      <c r="P700" s="9" t="s">
        <v>408</v>
      </c>
      <c r="Q700" s="41"/>
      <c r="R700" s="41">
        <v>700</v>
      </c>
      <c r="S700" s="41">
        <v>700</v>
      </c>
      <c r="T700" s="9"/>
      <c r="U700" s="14" t="s">
        <v>77</v>
      </c>
      <c r="V700" s="9"/>
      <c r="W700" s="210">
        <v>30</v>
      </c>
      <c r="X700" s="34"/>
      <c r="Y700" s="34"/>
      <c r="Z700" s="34"/>
      <c r="AA700" s="34"/>
      <c r="AB700" s="34"/>
      <c r="AC700" s="34">
        <f t="shared" ref="AC700:AC722" si="107">+S700*W700*20/1000000</f>
        <v>0.42</v>
      </c>
      <c r="AD700" s="34"/>
      <c r="AE700" s="34"/>
      <c r="AF700" s="34">
        <f t="shared" ref="AF700:AF709" si="108">+S700*W700*200/1000000</f>
        <v>4.2</v>
      </c>
      <c r="AG700" s="34"/>
      <c r="AH700" s="34"/>
      <c r="AI700" s="34"/>
      <c r="AJ700" s="34">
        <f t="shared" si="99"/>
        <v>4.62</v>
      </c>
      <c r="AK700" s="9"/>
      <c r="AL700" s="34"/>
      <c r="AM700" s="9"/>
      <c r="AN700" s="9"/>
      <c r="AO700" s="9"/>
      <c r="AP700" s="14"/>
    </row>
    <row r="701" spans="1:42" s="45" customFormat="1" ht="22" customHeight="1">
      <c r="A701" s="14" t="s">
        <v>17</v>
      </c>
      <c r="B701" s="8">
        <v>2024</v>
      </c>
      <c r="C701" s="8" t="s">
        <v>8</v>
      </c>
      <c r="D701" s="9" t="s">
        <v>185</v>
      </c>
      <c r="E701" s="9" t="s">
        <v>10</v>
      </c>
      <c r="F701" s="9" t="s">
        <v>186</v>
      </c>
      <c r="G701" s="8"/>
      <c r="H701" s="8"/>
      <c r="I701" s="9" t="s">
        <v>13</v>
      </c>
      <c r="J701" s="9" t="s">
        <v>13</v>
      </c>
      <c r="K701" s="9"/>
      <c r="L701" s="9" t="s">
        <v>178</v>
      </c>
      <c r="M701" s="9" t="s">
        <v>13</v>
      </c>
      <c r="N701" s="9" t="s">
        <v>406</v>
      </c>
      <c r="O701" s="9" t="s">
        <v>407</v>
      </c>
      <c r="P701" s="9" t="s">
        <v>409</v>
      </c>
      <c r="Q701" s="41"/>
      <c r="R701" s="41">
        <v>350</v>
      </c>
      <c r="S701" s="41">
        <v>350</v>
      </c>
      <c r="T701" s="9"/>
      <c r="U701" s="14" t="s">
        <v>77</v>
      </c>
      <c r="V701" s="9"/>
      <c r="W701" s="210">
        <v>30</v>
      </c>
      <c r="X701" s="34"/>
      <c r="Y701" s="34"/>
      <c r="Z701" s="34"/>
      <c r="AA701" s="34"/>
      <c r="AB701" s="34"/>
      <c r="AC701" s="34">
        <f t="shared" si="107"/>
        <v>0.21</v>
      </c>
      <c r="AD701" s="34"/>
      <c r="AE701" s="34"/>
      <c r="AF701" s="34">
        <f t="shared" si="108"/>
        <v>2.1</v>
      </c>
      <c r="AG701" s="34"/>
      <c r="AH701" s="34"/>
      <c r="AI701" s="34"/>
      <c r="AJ701" s="34">
        <f t="shared" si="99"/>
        <v>2.31</v>
      </c>
      <c r="AK701" s="9"/>
      <c r="AL701" s="34"/>
      <c r="AM701" s="9"/>
      <c r="AN701" s="9"/>
      <c r="AO701" s="9"/>
      <c r="AP701" s="14"/>
    </row>
    <row r="702" spans="1:42" s="45" customFormat="1" ht="22" customHeight="1">
      <c r="A702" s="14" t="s">
        <v>17</v>
      </c>
      <c r="B702" s="8">
        <v>2024</v>
      </c>
      <c r="C702" s="8" t="s">
        <v>8</v>
      </c>
      <c r="D702" s="9" t="s">
        <v>185</v>
      </c>
      <c r="E702" s="9" t="s">
        <v>10</v>
      </c>
      <c r="F702" s="9" t="s">
        <v>186</v>
      </c>
      <c r="G702" s="8"/>
      <c r="H702" s="8"/>
      <c r="I702" s="9" t="s">
        <v>13</v>
      </c>
      <c r="J702" s="9" t="s">
        <v>13</v>
      </c>
      <c r="K702" s="9"/>
      <c r="L702" s="9" t="s">
        <v>178</v>
      </c>
      <c r="M702" s="9" t="s">
        <v>13</v>
      </c>
      <c r="N702" s="9" t="s">
        <v>406</v>
      </c>
      <c r="O702" s="9" t="s">
        <v>407</v>
      </c>
      <c r="P702" s="9" t="s">
        <v>410</v>
      </c>
      <c r="Q702" s="41"/>
      <c r="R702" s="41">
        <v>185</v>
      </c>
      <c r="S702" s="41">
        <v>185</v>
      </c>
      <c r="T702" s="9"/>
      <c r="U702" s="14" t="s">
        <v>77</v>
      </c>
      <c r="V702" s="9"/>
      <c r="W702" s="210">
        <v>30</v>
      </c>
      <c r="X702" s="34"/>
      <c r="Y702" s="34"/>
      <c r="Z702" s="34"/>
      <c r="AA702" s="34"/>
      <c r="AB702" s="34"/>
      <c r="AC702" s="34">
        <f t="shared" si="107"/>
        <v>0.111</v>
      </c>
      <c r="AD702" s="34"/>
      <c r="AE702" s="34"/>
      <c r="AF702" s="34">
        <f t="shared" si="108"/>
        <v>1.1100000000000001</v>
      </c>
      <c r="AG702" s="34"/>
      <c r="AH702" s="34"/>
      <c r="AI702" s="34"/>
      <c r="AJ702" s="34">
        <f t="shared" si="99"/>
        <v>1.2210000000000001</v>
      </c>
      <c r="AK702" s="9"/>
      <c r="AL702" s="34"/>
      <c r="AM702" s="9"/>
      <c r="AN702" s="9"/>
      <c r="AO702" s="9"/>
      <c r="AP702" s="14"/>
    </row>
    <row r="703" spans="1:42" s="45" customFormat="1" ht="22" customHeight="1">
      <c r="A703" s="14" t="s">
        <v>17</v>
      </c>
      <c r="B703" s="8">
        <v>2024</v>
      </c>
      <c r="C703" s="8" t="s">
        <v>8</v>
      </c>
      <c r="D703" s="9" t="s">
        <v>185</v>
      </c>
      <c r="E703" s="9" t="s">
        <v>10</v>
      </c>
      <c r="F703" s="9" t="s">
        <v>186</v>
      </c>
      <c r="G703" s="8"/>
      <c r="H703" s="8"/>
      <c r="I703" s="9" t="s">
        <v>13</v>
      </c>
      <c r="J703" s="9" t="s">
        <v>13</v>
      </c>
      <c r="K703" s="9"/>
      <c r="L703" s="9" t="s">
        <v>178</v>
      </c>
      <c r="M703" s="9" t="s">
        <v>13</v>
      </c>
      <c r="N703" s="9" t="s">
        <v>406</v>
      </c>
      <c r="O703" s="9" t="s">
        <v>407</v>
      </c>
      <c r="P703" s="9" t="s">
        <v>411</v>
      </c>
      <c r="Q703" s="41"/>
      <c r="R703" s="41">
        <v>170</v>
      </c>
      <c r="S703" s="41">
        <v>170</v>
      </c>
      <c r="T703" s="9"/>
      <c r="U703" s="14" t="s">
        <v>77</v>
      </c>
      <c r="V703" s="9"/>
      <c r="W703" s="210">
        <v>30</v>
      </c>
      <c r="X703" s="34"/>
      <c r="Y703" s="34"/>
      <c r="Z703" s="34"/>
      <c r="AA703" s="34"/>
      <c r="AB703" s="34"/>
      <c r="AC703" s="34">
        <f t="shared" si="107"/>
        <v>0.10199999999999999</v>
      </c>
      <c r="AD703" s="34"/>
      <c r="AE703" s="34"/>
      <c r="AF703" s="34">
        <f t="shared" si="108"/>
        <v>1.02</v>
      </c>
      <c r="AG703" s="34"/>
      <c r="AH703" s="34"/>
      <c r="AI703" s="34"/>
      <c r="AJ703" s="34">
        <f t="shared" si="99"/>
        <v>1.1220000000000001</v>
      </c>
      <c r="AK703" s="9"/>
      <c r="AL703" s="34"/>
      <c r="AM703" s="9"/>
      <c r="AN703" s="9"/>
      <c r="AO703" s="9"/>
      <c r="AP703" s="14"/>
    </row>
    <row r="704" spans="1:42" s="45" customFormat="1" ht="22" customHeight="1">
      <c r="A704" s="14" t="s">
        <v>17</v>
      </c>
      <c r="B704" s="8">
        <v>2024</v>
      </c>
      <c r="C704" s="8" t="s">
        <v>8</v>
      </c>
      <c r="D704" s="9" t="s">
        <v>185</v>
      </c>
      <c r="E704" s="9" t="s">
        <v>10</v>
      </c>
      <c r="F704" s="9" t="s">
        <v>186</v>
      </c>
      <c r="G704" s="8"/>
      <c r="H704" s="8"/>
      <c r="I704" s="9" t="s">
        <v>13</v>
      </c>
      <c r="J704" s="9" t="s">
        <v>13</v>
      </c>
      <c r="K704" s="9"/>
      <c r="L704" s="9" t="s">
        <v>178</v>
      </c>
      <c r="M704" s="9" t="s">
        <v>13</v>
      </c>
      <c r="N704" s="9" t="s">
        <v>406</v>
      </c>
      <c r="O704" s="9" t="s">
        <v>412</v>
      </c>
      <c r="P704" s="9" t="s">
        <v>413</v>
      </c>
      <c r="Q704" s="41"/>
      <c r="R704" s="41">
        <v>150</v>
      </c>
      <c r="S704" s="41">
        <v>150</v>
      </c>
      <c r="T704" s="9"/>
      <c r="U704" s="14" t="s">
        <v>77</v>
      </c>
      <c r="V704" s="9"/>
      <c r="W704" s="210">
        <v>30</v>
      </c>
      <c r="X704" s="34"/>
      <c r="Y704" s="34"/>
      <c r="Z704" s="34"/>
      <c r="AA704" s="34"/>
      <c r="AB704" s="34"/>
      <c r="AC704" s="34">
        <f t="shared" si="107"/>
        <v>0.09</v>
      </c>
      <c r="AD704" s="34"/>
      <c r="AE704" s="34"/>
      <c r="AF704" s="34">
        <f t="shared" si="108"/>
        <v>0.9</v>
      </c>
      <c r="AG704" s="34"/>
      <c r="AH704" s="34"/>
      <c r="AI704" s="34"/>
      <c r="AJ704" s="34">
        <f t="shared" ref="AJ704:AJ767" si="109">SUBTOTAL(9,X704:AI704)</f>
        <v>0.99</v>
      </c>
      <c r="AK704" s="9"/>
      <c r="AL704" s="34"/>
      <c r="AM704" s="9"/>
      <c r="AN704" s="9"/>
      <c r="AO704" s="9"/>
      <c r="AP704" s="14"/>
    </row>
    <row r="705" spans="1:42" s="45" customFormat="1" ht="22" customHeight="1">
      <c r="A705" s="14" t="s">
        <v>17</v>
      </c>
      <c r="B705" s="8">
        <v>2024</v>
      </c>
      <c r="C705" s="8" t="s">
        <v>8</v>
      </c>
      <c r="D705" s="9" t="s">
        <v>185</v>
      </c>
      <c r="E705" s="9" t="s">
        <v>10</v>
      </c>
      <c r="F705" s="9" t="s">
        <v>186</v>
      </c>
      <c r="G705" s="8"/>
      <c r="H705" s="8"/>
      <c r="I705" s="9" t="s">
        <v>13</v>
      </c>
      <c r="J705" s="9" t="s">
        <v>13</v>
      </c>
      <c r="K705" s="9"/>
      <c r="L705" s="9" t="s">
        <v>178</v>
      </c>
      <c r="M705" s="9" t="s">
        <v>13</v>
      </c>
      <c r="N705" s="9" t="s">
        <v>406</v>
      </c>
      <c r="O705" s="9" t="s">
        <v>412</v>
      </c>
      <c r="P705" s="9" t="s">
        <v>414</v>
      </c>
      <c r="Q705" s="41"/>
      <c r="R705" s="41">
        <v>45</v>
      </c>
      <c r="S705" s="41">
        <v>45</v>
      </c>
      <c r="T705" s="9"/>
      <c r="U705" s="14" t="s">
        <v>77</v>
      </c>
      <c r="V705" s="9"/>
      <c r="W705" s="210">
        <v>30</v>
      </c>
      <c r="X705" s="34"/>
      <c r="Y705" s="34"/>
      <c r="Z705" s="34"/>
      <c r="AA705" s="34"/>
      <c r="AB705" s="34"/>
      <c r="AC705" s="34">
        <f t="shared" si="107"/>
        <v>2.7E-2</v>
      </c>
      <c r="AD705" s="34"/>
      <c r="AE705" s="34"/>
      <c r="AF705" s="34">
        <f t="shared" si="108"/>
        <v>0.27</v>
      </c>
      <c r="AG705" s="34"/>
      <c r="AH705" s="34"/>
      <c r="AI705" s="34"/>
      <c r="AJ705" s="34">
        <f t="shared" si="109"/>
        <v>0.29700000000000004</v>
      </c>
      <c r="AK705" s="9"/>
      <c r="AL705" s="34"/>
      <c r="AM705" s="9"/>
      <c r="AN705" s="9"/>
      <c r="AO705" s="9"/>
      <c r="AP705" s="14"/>
    </row>
    <row r="706" spans="1:42" s="45" customFormat="1" ht="22" customHeight="1">
      <c r="A706" s="14" t="s">
        <v>17</v>
      </c>
      <c r="B706" s="8">
        <v>2024</v>
      </c>
      <c r="C706" s="8" t="s">
        <v>8</v>
      </c>
      <c r="D706" s="9" t="s">
        <v>185</v>
      </c>
      <c r="E706" s="9" t="s">
        <v>10</v>
      </c>
      <c r="F706" s="9" t="s">
        <v>186</v>
      </c>
      <c r="G706" s="8"/>
      <c r="H706" s="8"/>
      <c r="I706" s="9" t="s">
        <v>13</v>
      </c>
      <c r="J706" s="9" t="s">
        <v>13</v>
      </c>
      <c r="K706" s="9"/>
      <c r="L706" s="9" t="s">
        <v>178</v>
      </c>
      <c r="M706" s="9" t="s">
        <v>13</v>
      </c>
      <c r="N706" s="9" t="s">
        <v>406</v>
      </c>
      <c r="O706" s="9" t="s">
        <v>412</v>
      </c>
      <c r="P706" s="9" t="s">
        <v>415</v>
      </c>
      <c r="Q706" s="41"/>
      <c r="R706" s="41">
        <v>50</v>
      </c>
      <c r="S706" s="41">
        <v>50</v>
      </c>
      <c r="T706" s="9"/>
      <c r="U706" s="14" t="s">
        <v>77</v>
      </c>
      <c r="V706" s="9"/>
      <c r="W706" s="210">
        <v>30</v>
      </c>
      <c r="X706" s="34"/>
      <c r="Y706" s="34"/>
      <c r="Z706" s="34"/>
      <c r="AA706" s="34"/>
      <c r="AB706" s="34"/>
      <c r="AC706" s="34">
        <f t="shared" si="107"/>
        <v>0.03</v>
      </c>
      <c r="AD706" s="34"/>
      <c r="AE706" s="34"/>
      <c r="AF706" s="34">
        <f t="shared" si="108"/>
        <v>0.3</v>
      </c>
      <c r="AG706" s="34"/>
      <c r="AH706" s="34"/>
      <c r="AI706" s="34"/>
      <c r="AJ706" s="34">
        <f t="shared" si="109"/>
        <v>0.32999999999999996</v>
      </c>
      <c r="AK706" s="9"/>
      <c r="AL706" s="34"/>
      <c r="AM706" s="9"/>
      <c r="AN706" s="9"/>
      <c r="AO706" s="9"/>
      <c r="AP706" s="14"/>
    </row>
    <row r="707" spans="1:42" s="45" customFormat="1" ht="22" customHeight="1">
      <c r="A707" s="14" t="s">
        <v>17</v>
      </c>
      <c r="B707" s="8">
        <v>2024</v>
      </c>
      <c r="C707" s="8" t="s">
        <v>8</v>
      </c>
      <c r="D707" s="9" t="s">
        <v>185</v>
      </c>
      <c r="E707" s="9" t="s">
        <v>10</v>
      </c>
      <c r="F707" s="9" t="s">
        <v>186</v>
      </c>
      <c r="G707" s="8"/>
      <c r="H707" s="8"/>
      <c r="I707" s="9" t="s">
        <v>13</v>
      </c>
      <c r="J707" s="9" t="s">
        <v>13</v>
      </c>
      <c r="K707" s="9"/>
      <c r="L707" s="9" t="s">
        <v>178</v>
      </c>
      <c r="M707" s="9" t="s">
        <v>13</v>
      </c>
      <c r="N707" s="9" t="s">
        <v>406</v>
      </c>
      <c r="O707" s="9" t="s">
        <v>412</v>
      </c>
      <c r="P707" s="9" t="s">
        <v>416</v>
      </c>
      <c r="Q707" s="41"/>
      <c r="R707" s="41">
        <v>75</v>
      </c>
      <c r="S707" s="41">
        <v>75</v>
      </c>
      <c r="T707" s="9"/>
      <c r="U707" s="14" t="s">
        <v>77</v>
      </c>
      <c r="V707" s="9"/>
      <c r="W707" s="210">
        <v>30</v>
      </c>
      <c r="X707" s="34"/>
      <c r="Y707" s="34"/>
      <c r="Z707" s="34"/>
      <c r="AA707" s="34"/>
      <c r="AB707" s="34"/>
      <c r="AC707" s="34">
        <f t="shared" si="107"/>
        <v>4.4999999999999998E-2</v>
      </c>
      <c r="AD707" s="34"/>
      <c r="AE707" s="34"/>
      <c r="AF707" s="34">
        <f t="shared" si="108"/>
        <v>0.45</v>
      </c>
      <c r="AG707" s="34"/>
      <c r="AH707" s="34"/>
      <c r="AI707" s="34"/>
      <c r="AJ707" s="34">
        <f t="shared" si="109"/>
        <v>0.495</v>
      </c>
      <c r="AK707" s="9"/>
      <c r="AL707" s="34"/>
      <c r="AM707" s="9"/>
      <c r="AN707" s="9"/>
      <c r="AO707" s="9"/>
      <c r="AP707" s="14"/>
    </row>
    <row r="708" spans="1:42" s="45" customFormat="1" ht="22" customHeight="1">
      <c r="A708" s="14" t="s">
        <v>17</v>
      </c>
      <c r="B708" s="8">
        <v>2024</v>
      </c>
      <c r="C708" s="8" t="s">
        <v>8</v>
      </c>
      <c r="D708" s="9" t="s">
        <v>185</v>
      </c>
      <c r="E708" s="9" t="s">
        <v>10</v>
      </c>
      <c r="F708" s="9" t="s">
        <v>186</v>
      </c>
      <c r="G708" s="8"/>
      <c r="H708" s="8"/>
      <c r="I708" s="9" t="s">
        <v>13</v>
      </c>
      <c r="J708" s="9" t="s">
        <v>13</v>
      </c>
      <c r="K708" s="9"/>
      <c r="L708" s="9" t="s">
        <v>178</v>
      </c>
      <c r="M708" s="9" t="s">
        <v>13</v>
      </c>
      <c r="N708" s="9" t="s">
        <v>406</v>
      </c>
      <c r="O708" s="9" t="s">
        <v>412</v>
      </c>
      <c r="P708" s="9" t="s">
        <v>417</v>
      </c>
      <c r="Q708" s="41"/>
      <c r="R708" s="41">
        <v>40</v>
      </c>
      <c r="S708" s="41">
        <v>40</v>
      </c>
      <c r="T708" s="9"/>
      <c r="U708" s="14" t="s">
        <v>77</v>
      </c>
      <c r="V708" s="9"/>
      <c r="W708" s="210">
        <v>30</v>
      </c>
      <c r="X708" s="34"/>
      <c r="Y708" s="34"/>
      <c r="Z708" s="34"/>
      <c r="AA708" s="34"/>
      <c r="AB708" s="34"/>
      <c r="AC708" s="34">
        <f t="shared" si="107"/>
        <v>2.4E-2</v>
      </c>
      <c r="AD708" s="34"/>
      <c r="AE708" s="34"/>
      <c r="AF708" s="34">
        <f t="shared" si="108"/>
        <v>0.24</v>
      </c>
      <c r="AG708" s="34"/>
      <c r="AH708" s="34"/>
      <c r="AI708" s="34"/>
      <c r="AJ708" s="34">
        <f t="shared" si="109"/>
        <v>0.26400000000000001</v>
      </c>
      <c r="AK708" s="9"/>
      <c r="AL708" s="34"/>
      <c r="AM708" s="9"/>
      <c r="AN708" s="9"/>
      <c r="AO708" s="9"/>
      <c r="AP708" s="14"/>
    </row>
    <row r="709" spans="1:42" s="45" customFormat="1" ht="22" customHeight="1">
      <c r="A709" s="14" t="s">
        <v>17</v>
      </c>
      <c r="B709" s="8">
        <v>2024</v>
      </c>
      <c r="C709" s="8" t="s">
        <v>8</v>
      </c>
      <c r="D709" s="9" t="s">
        <v>185</v>
      </c>
      <c r="E709" s="9" t="s">
        <v>10</v>
      </c>
      <c r="F709" s="9" t="s">
        <v>186</v>
      </c>
      <c r="G709" s="8"/>
      <c r="H709" s="8"/>
      <c r="I709" s="9" t="s">
        <v>13</v>
      </c>
      <c r="J709" s="9" t="s">
        <v>13</v>
      </c>
      <c r="K709" s="9"/>
      <c r="L709" s="9" t="s">
        <v>178</v>
      </c>
      <c r="M709" s="9" t="s">
        <v>13</v>
      </c>
      <c r="N709" s="9" t="s">
        <v>406</v>
      </c>
      <c r="O709" s="9" t="s">
        <v>412</v>
      </c>
      <c r="P709" s="9" t="s">
        <v>418</v>
      </c>
      <c r="Q709" s="41"/>
      <c r="R709" s="41">
        <v>25</v>
      </c>
      <c r="S709" s="41">
        <v>25</v>
      </c>
      <c r="T709" s="9"/>
      <c r="U709" s="14" t="s">
        <v>77</v>
      </c>
      <c r="V709" s="9"/>
      <c r="W709" s="210">
        <v>30</v>
      </c>
      <c r="X709" s="34"/>
      <c r="Y709" s="34"/>
      <c r="Z709" s="34"/>
      <c r="AA709" s="34"/>
      <c r="AB709" s="34"/>
      <c r="AC709" s="34">
        <f t="shared" si="107"/>
        <v>1.4999999999999999E-2</v>
      </c>
      <c r="AD709" s="34"/>
      <c r="AE709" s="34"/>
      <c r="AF709" s="34">
        <f t="shared" si="108"/>
        <v>0.15</v>
      </c>
      <c r="AG709" s="34"/>
      <c r="AH709" s="34"/>
      <c r="AI709" s="34"/>
      <c r="AJ709" s="34">
        <f t="shared" si="109"/>
        <v>0.16499999999999998</v>
      </c>
      <c r="AK709" s="9"/>
      <c r="AL709" s="34"/>
      <c r="AM709" s="9"/>
      <c r="AN709" s="9"/>
      <c r="AO709" s="9"/>
      <c r="AP709" s="14"/>
    </row>
    <row r="710" spans="1:42" s="45" customFormat="1" ht="22" customHeight="1">
      <c r="A710" s="14" t="s">
        <v>17</v>
      </c>
      <c r="B710" s="8">
        <v>2024</v>
      </c>
      <c r="C710" s="8" t="s">
        <v>8</v>
      </c>
      <c r="D710" s="9" t="s">
        <v>185</v>
      </c>
      <c r="E710" s="9" t="s">
        <v>10</v>
      </c>
      <c r="F710" s="9" t="s">
        <v>186</v>
      </c>
      <c r="G710" s="8"/>
      <c r="H710" s="8"/>
      <c r="I710" s="9" t="s">
        <v>13</v>
      </c>
      <c r="J710" s="9" t="s">
        <v>13</v>
      </c>
      <c r="K710" s="9"/>
      <c r="L710" s="9" t="s">
        <v>178</v>
      </c>
      <c r="M710" s="9" t="s">
        <v>13</v>
      </c>
      <c r="N710" s="9" t="s">
        <v>406</v>
      </c>
      <c r="O710" s="9" t="s">
        <v>412</v>
      </c>
      <c r="P710" s="9" t="s">
        <v>419</v>
      </c>
      <c r="Q710" s="41"/>
      <c r="R710" s="41">
        <v>75</v>
      </c>
      <c r="S710" s="41">
        <v>75</v>
      </c>
      <c r="T710" s="9"/>
      <c r="U710" s="14" t="s">
        <v>77</v>
      </c>
      <c r="V710" s="9"/>
      <c r="W710" s="210">
        <v>30</v>
      </c>
      <c r="X710" s="34"/>
      <c r="Y710" s="34"/>
      <c r="Z710" s="34"/>
      <c r="AA710" s="34"/>
      <c r="AB710" s="34"/>
      <c r="AC710" s="34">
        <f t="shared" si="107"/>
        <v>4.4999999999999998E-2</v>
      </c>
      <c r="AD710" s="34"/>
      <c r="AE710" s="34"/>
      <c r="AF710" s="34">
        <f t="shared" ref="AF710:AF722" si="110">+S710*W710*200/1000000</f>
        <v>0.45</v>
      </c>
      <c r="AG710" s="34"/>
      <c r="AH710" s="34"/>
      <c r="AI710" s="34"/>
      <c r="AJ710" s="34">
        <f t="shared" si="109"/>
        <v>0.495</v>
      </c>
      <c r="AK710" s="9"/>
      <c r="AL710" s="34"/>
      <c r="AM710" s="9"/>
      <c r="AN710" s="9"/>
      <c r="AO710" s="9"/>
      <c r="AP710" s="14"/>
    </row>
    <row r="711" spans="1:42" s="45" customFormat="1" ht="22" customHeight="1">
      <c r="A711" s="14" t="s">
        <v>17</v>
      </c>
      <c r="B711" s="8">
        <v>2024</v>
      </c>
      <c r="C711" s="8" t="s">
        <v>8</v>
      </c>
      <c r="D711" s="9" t="s">
        <v>185</v>
      </c>
      <c r="E711" s="9" t="s">
        <v>10</v>
      </c>
      <c r="F711" s="9" t="s">
        <v>186</v>
      </c>
      <c r="G711" s="8"/>
      <c r="H711" s="8"/>
      <c r="I711" s="9" t="s">
        <v>13</v>
      </c>
      <c r="J711" s="9" t="s">
        <v>13</v>
      </c>
      <c r="K711" s="9"/>
      <c r="L711" s="9" t="s">
        <v>178</v>
      </c>
      <c r="M711" s="9" t="s">
        <v>13</v>
      </c>
      <c r="N711" s="9" t="s">
        <v>406</v>
      </c>
      <c r="O711" s="9" t="s">
        <v>412</v>
      </c>
      <c r="P711" s="9" t="s">
        <v>412</v>
      </c>
      <c r="Q711" s="41"/>
      <c r="R711" s="41">
        <v>55</v>
      </c>
      <c r="S711" s="41">
        <v>55</v>
      </c>
      <c r="T711" s="9"/>
      <c r="U711" s="14" t="s">
        <v>77</v>
      </c>
      <c r="V711" s="9"/>
      <c r="W711" s="210">
        <v>30</v>
      </c>
      <c r="X711" s="34"/>
      <c r="Y711" s="34"/>
      <c r="Z711" s="34"/>
      <c r="AA711" s="34"/>
      <c r="AB711" s="34"/>
      <c r="AC711" s="34">
        <f t="shared" si="107"/>
        <v>3.3000000000000002E-2</v>
      </c>
      <c r="AD711" s="34"/>
      <c r="AE711" s="34"/>
      <c r="AF711" s="34">
        <f t="shared" si="110"/>
        <v>0.33</v>
      </c>
      <c r="AG711" s="34"/>
      <c r="AH711" s="34"/>
      <c r="AI711" s="34"/>
      <c r="AJ711" s="34">
        <f t="shared" si="109"/>
        <v>0.36299999999999999</v>
      </c>
      <c r="AK711" s="9"/>
      <c r="AL711" s="34"/>
      <c r="AM711" s="9"/>
      <c r="AN711" s="9"/>
      <c r="AO711" s="9"/>
      <c r="AP711" s="14"/>
    </row>
    <row r="712" spans="1:42" s="45" customFormat="1" ht="22" customHeight="1">
      <c r="A712" s="14" t="s">
        <v>17</v>
      </c>
      <c r="B712" s="8">
        <v>2024</v>
      </c>
      <c r="C712" s="8" t="s">
        <v>8</v>
      </c>
      <c r="D712" s="9" t="s">
        <v>185</v>
      </c>
      <c r="E712" s="9" t="s">
        <v>10</v>
      </c>
      <c r="F712" s="9" t="s">
        <v>186</v>
      </c>
      <c r="G712" s="8"/>
      <c r="H712" s="8"/>
      <c r="I712" s="9" t="s">
        <v>13</v>
      </c>
      <c r="J712" s="9" t="s">
        <v>13</v>
      </c>
      <c r="K712" s="9"/>
      <c r="L712" s="9" t="s">
        <v>215</v>
      </c>
      <c r="M712" s="9" t="s">
        <v>92</v>
      </c>
      <c r="N712" s="9" t="s">
        <v>406</v>
      </c>
      <c r="O712" s="14" t="s">
        <v>426</v>
      </c>
      <c r="P712" s="9" t="s">
        <v>426</v>
      </c>
      <c r="Q712" s="41"/>
      <c r="R712" s="41">
        <v>365</v>
      </c>
      <c r="S712" s="41">
        <v>433.26599999999996</v>
      </c>
      <c r="T712" s="9"/>
      <c r="U712" s="14" t="s">
        <v>77</v>
      </c>
      <c r="V712" s="9"/>
      <c r="W712" s="210">
        <v>30</v>
      </c>
      <c r="X712" s="34"/>
      <c r="Y712" s="34"/>
      <c r="Z712" s="34"/>
      <c r="AA712" s="34"/>
      <c r="AB712" s="34"/>
      <c r="AC712" s="34">
        <f t="shared" si="107"/>
        <v>0.25995959999999996</v>
      </c>
      <c r="AD712" s="34"/>
      <c r="AE712" s="34"/>
      <c r="AF712" s="34">
        <f t="shared" si="110"/>
        <v>2.599596</v>
      </c>
      <c r="AG712" s="34"/>
      <c r="AH712" s="34"/>
      <c r="AI712" s="34"/>
      <c r="AJ712" s="34">
        <f t="shared" si="109"/>
        <v>2.8595556000000002</v>
      </c>
      <c r="AK712" s="9"/>
      <c r="AL712" s="34"/>
      <c r="AM712" s="9"/>
      <c r="AN712" s="9"/>
      <c r="AO712" s="9"/>
      <c r="AP712" s="14"/>
    </row>
    <row r="713" spans="1:42" s="45" customFormat="1" ht="22" customHeight="1">
      <c r="A713" s="14" t="s">
        <v>17</v>
      </c>
      <c r="B713" s="8">
        <v>2024</v>
      </c>
      <c r="C713" s="8" t="s">
        <v>8</v>
      </c>
      <c r="D713" s="9" t="s">
        <v>185</v>
      </c>
      <c r="E713" s="9" t="s">
        <v>10</v>
      </c>
      <c r="F713" s="9" t="s">
        <v>186</v>
      </c>
      <c r="G713" s="8"/>
      <c r="H713" s="8"/>
      <c r="I713" s="9" t="s">
        <v>13</v>
      </c>
      <c r="J713" s="9" t="s">
        <v>13</v>
      </c>
      <c r="K713" s="9"/>
      <c r="L713" s="9" t="s">
        <v>215</v>
      </c>
      <c r="M713" s="9" t="s">
        <v>92</v>
      </c>
      <c r="N713" s="9" t="s">
        <v>406</v>
      </c>
      <c r="O713" s="14" t="s">
        <v>426</v>
      </c>
      <c r="P713" s="9" t="s">
        <v>427</v>
      </c>
      <c r="Q713" s="41"/>
      <c r="R713" s="41">
        <v>75</v>
      </c>
      <c r="S713" s="41">
        <v>347.774</v>
      </c>
      <c r="T713" s="9"/>
      <c r="U713" s="14" t="s">
        <v>77</v>
      </c>
      <c r="V713" s="9"/>
      <c r="W713" s="210">
        <v>30</v>
      </c>
      <c r="X713" s="34"/>
      <c r="Y713" s="34"/>
      <c r="Z713" s="34"/>
      <c r="AA713" s="34"/>
      <c r="AB713" s="34"/>
      <c r="AC713" s="34">
        <f t="shared" si="107"/>
        <v>0.2086644</v>
      </c>
      <c r="AD713" s="34"/>
      <c r="AE713" s="34"/>
      <c r="AF713" s="34">
        <f t="shared" si="110"/>
        <v>2.0866439999999997</v>
      </c>
      <c r="AG713" s="34"/>
      <c r="AH713" s="34"/>
      <c r="AI713" s="34"/>
      <c r="AJ713" s="34">
        <f t="shared" si="109"/>
        <v>2.2953083999999997</v>
      </c>
      <c r="AK713" s="9"/>
      <c r="AL713" s="34"/>
      <c r="AM713" s="9"/>
      <c r="AN713" s="9"/>
      <c r="AO713" s="9"/>
      <c r="AP713" s="14"/>
    </row>
    <row r="714" spans="1:42" s="45" customFormat="1" ht="22" customHeight="1">
      <c r="A714" s="14" t="s">
        <v>17</v>
      </c>
      <c r="B714" s="8">
        <v>2024</v>
      </c>
      <c r="C714" s="8" t="s">
        <v>8</v>
      </c>
      <c r="D714" s="9" t="s">
        <v>185</v>
      </c>
      <c r="E714" s="9" t="s">
        <v>10</v>
      </c>
      <c r="F714" s="9" t="s">
        <v>186</v>
      </c>
      <c r="G714" s="8"/>
      <c r="H714" s="8"/>
      <c r="I714" s="9" t="s">
        <v>13</v>
      </c>
      <c r="J714" s="9" t="s">
        <v>13</v>
      </c>
      <c r="K714" s="9"/>
      <c r="L714" s="9" t="s">
        <v>215</v>
      </c>
      <c r="M714" s="9" t="s">
        <v>92</v>
      </c>
      <c r="N714" s="9" t="s">
        <v>406</v>
      </c>
      <c r="O714" s="14" t="s">
        <v>428</v>
      </c>
      <c r="P714" s="9" t="s">
        <v>429</v>
      </c>
      <c r="Q714" s="41"/>
      <c r="R714" s="41">
        <v>320</v>
      </c>
      <c r="S714" s="41">
        <v>595.55799999999999</v>
      </c>
      <c r="T714" s="9"/>
      <c r="U714" s="14" t="s">
        <v>77</v>
      </c>
      <c r="V714" s="9"/>
      <c r="W714" s="210">
        <v>30</v>
      </c>
      <c r="X714" s="34"/>
      <c r="Y714" s="34"/>
      <c r="Z714" s="34"/>
      <c r="AA714" s="34"/>
      <c r="AB714" s="34"/>
      <c r="AC714" s="34">
        <f t="shared" si="107"/>
        <v>0.35733479999999995</v>
      </c>
      <c r="AD714" s="34"/>
      <c r="AE714" s="34"/>
      <c r="AF714" s="34">
        <f t="shared" si="110"/>
        <v>3.5733479999999997</v>
      </c>
      <c r="AG714" s="34"/>
      <c r="AH714" s="34"/>
      <c r="AI714" s="34"/>
      <c r="AJ714" s="34">
        <f t="shared" si="109"/>
        <v>3.9306827999999996</v>
      </c>
      <c r="AK714" s="9"/>
      <c r="AL714" s="34"/>
      <c r="AM714" s="9"/>
      <c r="AN714" s="9"/>
      <c r="AO714" s="9"/>
      <c r="AP714" s="14"/>
    </row>
    <row r="715" spans="1:42" s="45" customFormat="1" ht="22" customHeight="1">
      <c r="A715" s="14" t="s">
        <v>17</v>
      </c>
      <c r="B715" s="8">
        <v>2024</v>
      </c>
      <c r="C715" s="8" t="s">
        <v>8</v>
      </c>
      <c r="D715" s="9" t="s">
        <v>185</v>
      </c>
      <c r="E715" s="9" t="s">
        <v>10</v>
      </c>
      <c r="F715" s="9" t="s">
        <v>186</v>
      </c>
      <c r="G715" s="8"/>
      <c r="H715" s="8"/>
      <c r="I715" s="9" t="s">
        <v>13</v>
      </c>
      <c r="J715" s="9" t="s">
        <v>13</v>
      </c>
      <c r="K715" s="9"/>
      <c r="L715" s="9" t="s">
        <v>215</v>
      </c>
      <c r="M715" s="9" t="s">
        <v>92</v>
      </c>
      <c r="N715" s="9" t="s">
        <v>406</v>
      </c>
      <c r="O715" s="14" t="s">
        <v>428</v>
      </c>
      <c r="P715" s="9" t="s">
        <v>428</v>
      </c>
      <c r="Q715" s="41"/>
      <c r="R715" s="41">
        <v>330</v>
      </c>
      <c r="S715" s="41">
        <v>502.49199999999996</v>
      </c>
      <c r="T715" s="9"/>
      <c r="U715" s="14" t="s">
        <v>77</v>
      </c>
      <c r="V715" s="9"/>
      <c r="W715" s="210">
        <v>30</v>
      </c>
      <c r="X715" s="34"/>
      <c r="Y715" s="34"/>
      <c r="Z715" s="34"/>
      <c r="AA715" s="34"/>
      <c r="AB715" s="34"/>
      <c r="AC715" s="34">
        <f t="shared" si="107"/>
        <v>0.30149519999999996</v>
      </c>
      <c r="AD715" s="34"/>
      <c r="AE715" s="34"/>
      <c r="AF715" s="34">
        <f t="shared" si="110"/>
        <v>3.0149519999999996</v>
      </c>
      <c r="AG715" s="34"/>
      <c r="AH715" s="34"/>
      <c r="AI715" s="34"/>
      <c r="AJ715" s="34">
        <f t="shared" si="109"/>
        <v>3.3164471999999998</v>
      </c>
      <c r="AK715" s="9"/>
      <c r="AL715" s="34"/>
      <c r="AM715" s="9"/>
      <c r="AN715" s="9"/>
      <c r="AO715" s="9"/>
      <c r="AP715" s="14"/>
    </row>
    <row r="716" spans="1:42" s="45" customFormat="1" ht="22" customHeight="1">
      <c r="A716" s="14" t="s">
        <v>17</v>
      </c>
      <c r="B716" s="8">
        <v>2024</v>
      </c>
      <c r="C716" s="8" t="s">
        <v>8</v>
      </c>
      <c r="D716" s="9" t="s">
        <v>185</v>
      </c>
      <c r="E716" s="9" t="s">
        <v>10</v>
      </c>
      <c r="F716" s="9" t="s">
        <v>186</v>
      </c>
      <c r="G716" s="8"/>
      <c r="H716" s="8"/>
      <c r="I716" s="9" t="s">
        <v>13</v>
      </c>
      <c r="J716" s="9" t="s">
        <v>13</v>
      </c>
      <c r="K716" s="9"/>
      <c r="L716" s="9" t="s">
        <v>215</v>
      </c>
      <c r="M716" s="9" t="s">
        <v>92</v>
      </c>
      <c r="N716" s="9" t="s">
        <v>406</v>
      </c>
      <c r="O716" s="14" t="s">
        <v>428</v>
      </c>
      <c r="P716" s="9" t="s">
        <v>430</v>
      </c>
      <c r="Q716" s="41"/>
      <c r="R716" s="41">
        <v>205</v>
      </c>
      <c r="S716" s="41">
        <v>205</v>
      </c>
      <c r="T716" s="9"/>
      <c r="U716" s="14" t="s">
        <v>77</v>
      </c>
      <c r="V716" s="9"/>
      <c r="W716" s="210">
        <v>30</v>
      </c>
      <c r="X716" s="34"/>
      <c r="Y716" s="34"/>
      <c r="Z716" s="34"/>
      <c r="AA716" s="34"/>
      <c r="AB716" s="34"/>
      <c r="AC716" s="34">
        <f t="shared" si="107"/>
        <v>0.123</v>
      </c>
      <c r="AD716" s="34"/>
      <c r="AE716" s="34"/>
      <c r="AF716" s="34">
        <f t="shared" si="110"/>
        <v>1.23</v>
      </c>
      <c r="AG716" s="34"/>
      <c r="AH716" s="34"/>
      <c r="AI716" s="34"/>
      <c r="AJ716" s="34">
        <f t="shared" si="109"/>
        <v>1.353</v>
      </c>
      <c r="AK716" s="9"/>
      <c r="AL716" s="34"/>
      <c r="AM716" s="9"/>
      <c r="AN716" s="9"/>
      <c r="AO716" s="9"/>
      <c r="AP716" s="14"/>
    </row>
    <row r="717" spans="1:42" s="45" customFormat="1" ht="22" customHeight="1">
      <c r="A717" s="14" t="s">
        <v>17</v>
      </c>
      <c r="B717" s="8">
        <v>2024</v>
      </c>
      <c r="C717" s="8" t="s">
        <v>8</v>
      </c>
      <c r="D717" s="9" t="s">
        <v>185</v>
      </c>
      <c r="E717" s="9" t="s">
        <v>10</v>
      </c>
      <c r="F717" s="9" t="s">
        <v>186</v>
      </c>
      <c r="G717" s="8"/>
      <c r="H717" s="8"/>
      <c r="I717" s="9" t="s">
        <v>13</v>
      </c>
      <c r="J717" s="9" t="s">
        <v>13</v>
      </c>
      <c r="K717" s="9"/>
      <c r="L717" s="9" t="s">
        <v>215</v>
      </c>
      <c r="M717" s="9" t="s">
        <v>92</v>
      </c>
      <c r="N717" s="9" t="s">
        <v>406</v>
      </c>
      <c r="O717" s="14" t="s">
        <v>420</v>
      </c>
      <c r="P717" s="9" t="s">
        <v>420</v>
      </c>
      <c r="Q717" s="41"/>
      <c r="R717" s="41">
        <v>248</v>
      </c>
      <c r="S717" s="41">
        <v>248</v>
      </c>
      <c r="T717" s="9"/>
      <c r="U717" s="14" t="s">
        <v>77</v>
      </c>
      <c r="V717" s="9"/>
      <c r="W717" s="210">
        <v>30</v>
      </c>
      <c r="X717" s="34"/>
      <c r="Y717" s="34"/>
      <c r="Z717" s="34"/>
      <c r="AA717" s="34"/>
      <c r="AB717" s="34"/>
      <c r="AC717" s="34">
        <f t="shared" si="107"/>
        <v>0.14879999999999999</v>
      </c>
      <c r="AD717" s="34"/>
      <c r="AE717" s="34"/>
      <c r="AF717" s="34">
        <f t="shared" si="110"/>
        <v>1.488</v>
      </c>
      <c r="AG717" s="34"/>
      <c r="AH717" s="34"/>
      <c r="AI717" s="34"/>
      <c r="AJ717" s="34">
        <f t="shared" si="109"/>
        <v>1.6368</v>
      </c>
      <c r="AK717" s="9"/>
      <c r="AL717" s="34"/>
      <c r="AM717" s="9"/>
      <c r="AN717" s="9"/>
      <c r="AO717" s="9"/>
      <c r="AP717" s="14"/>
    </row>
    <row r="718" spans="1:42" s="45" customFormat="1" ht="22" customHeight="1">
      <c r="A718" s="14" t="s">
        <v>17</v>
      </c>
      <c r="B718" s="8">
        <v>2024</v>
      </c>
      <c r="C718" s="8" t="s">
        <v>8</v>
      </c>
      <c r="D718" s="9" t="s">
        <v>185</v>
      </c>
      <c r="E718" s="9" t="s">
        <v>10</v>
      </c>
      <c r="F718" s="9" t="s">
        <v>186</v>
      </c>
      <c r="G718" s="8"/>
      <c r="H718" s="8"/>
      <c r="I718" s="9" t="s">
        <v>13</v>
      </c>
      <c r="J718" s="9" t="s">
        <v>13</v>
      </c>
      <c r="K718" s="9"/>
      <c r="L718" s="9" t="s">
        <v>215</v>
      </c>
      <c r="M718" s="9" t="s">
        <v>92</v>
      </c>
      <c r="N718" s="9" t="s">
        <v>406</v>
      </c>
      <c r="O718" s="14" t="s">
        <v>420</v>
      </c>
      <c r="P718" s="9" t="s">
        <v>421</v>
      </c>
      <c r="Q718" s="41"/>
      <c r="R718" s="41">
        <v>226</v>
      </c>
      <c r="S718" s="41">
        <v>226</v>
      </c>
      <c r="T718" s="9"/>
      <c r="U718" s="14" t="s">
        <v>77</v>
      </c>
      <c r="V718" s="9"/>
      <c r="W718" s="210">
        <v>30</v>
      </c>
      <c r="X718" s="34"/>
      <c r="Y718" s="34"/>
      <c r="Z718" s="34"/>
      <c r="AA718" s="34"/>
      <c r="AB718" s="34"/>
      <c r="AC718" s="34">
        <f t="shared" si="107"/>
        <v>0.1356</v>
      </c>
      <c r="AD718" s="34"/>
      <c r="AE718" s="34"/>
      <c r="AF718" s="34">
        <f t="shared" si="110"/>
        <v>1.3560000000000001</v>
      </c>
      <c r="AG718" s="34"/>
      <c r="AH718" s="34"/>
      <c r="AI718" s="34"/>
      <c r="AJ718" s="34">
        <f t="shared" si="109"/>
        <v>1.4916</v>
      </c>
      <c r="AK718" s="9"/>
      <c r="AL718" s="34"/>
      <c r="AM718" s="9"/>
      <c r="AN718" s="9"/>
      <c r="AO718" s="9"/>
      <c r="AP718" s="14"/>
    </row>
    <row r="719" spans="1:42" s="45" customFormat="1" ht="22" customHeight="1">
      <c r="A719" s="14" t="s">
        <v>17</v>
      </c>
      <c r="B719" s="8">
        <v>2024</v>
      </c>
      <c r="C719" s="8" t="s">
        <v>8</v>
      </c>
      <c r="D719" s="9" t="s">
        <v>185</v>
      </c>
      <c r="E719" s="9" t="s">
        <v>10</v>
      </c>
      <c r="F719" s="9" t="s">
        <v>186</v>
      </c>
      <c r="G719" s="8"/>
      <c r="H719" s="8"/>
      <c r="I719" s="9" t="s">
        <v>13</v>
      </c>
      <c r="J719" s="9" t="s">
        <v>13</v>
      </c>
      <c r="K719" s="9"/>
      <c r="L719" s="9" t="s">
        <v>215</v>
      </c>
      <c r="M719" s="9" t="s">
        <v>92</v>
      </c>
      <c r="N719" s="9" t="s">
        <v>406</v>
      </c>
      <c r="O719" s="14" t="s">
        <v>422</v>
      </c>
      <c r="P719" s="9" t="s">
        <v>423</v>
      </c>
      <c r="Q719" s="41"/>
      <c r="R719" s="41">
        <v>278</v>
      </c>
      <c r="S719" s="41">
        <v>278</v>
      </c>
      <c r="T719" s="9"/>
      <c r="U719" s="14" t="s">
        <v>77</v>
      </c>
      <c r="V719" s="9"/>
      <c r="W719" s="210">
        <v>30</v>
      </c>
      <c r="X719" s="34"/>
      <c r="Y719" s="34"/>
      <c r="Z719" s="34"/>
      <c r="AA719" s="34"/>
      <c r="AB719" s="34"/>
      <c r="AC719" s="34">
        <f t="shared" si="107"/>
        <v>0.1668</v>
      </c>
      <c r="AD719" s="34"/>
      <c r="AE719" s="34"/>
      <c r="AF719" s="34">
        <f t="shared" si="110"/>
        <v>1.6679999999999999</v>
      </c>
      <c r="AG719" s="34"/>
      <c r="AH719" s="34"/>
      <c r="AI719" s="34"/>
      <c r="AJ719" s="34">
        <f t="shared" si="109"/>
        <v>1.8348</v>
      </c>
      <c r="AK719" s="9"/>
      <c r="AL719" s="34"/>
      <c r="AM719" s="9"/>
      <c r="AN719" s="9"/>
      <c r="AO719" s="9"/>
      <c r="AP719" s="14"/>
    </row>
    <row r="720" spans="1:42" s="45" customFormat="1" ht="22" customHeight="1">
      <c r="A720" s="14" t="s">
        <v>17</v>
      </c>
      <c r="B720" s="8">
        <v>2024</v>
      </c>
      <c r="C720" s="8" t="s">
        <v>8</v>
      </c>
      <c r="D720" s="9" t="s">
        <v>185</v>
      </c>
      <c r="E720" s="9" t="s">
        <v>10</v>
      </c>
      <c r="F720" s="9" t="s">
        <v>186</v>
      </c>
      <c r="G720" s="8"/>
      <c r="H720" s="8"/>
      <c r="I720" s="9" t="s">
        <v>13</v>
      </c>
      <c r="J720" s="9" t="s">
        <v>13</v>
      </c>
      <c r="K720" s="9"/>
      <c r="L720" s="9" t="s">
        <v>215</v>
      </c>
      <c r="M720" s="9" t="s">
        <v>92</v>
      </c>
      <c r="N720" s="9" t="s">
        <v>406</v>
      </c>
      <c r="O720" s="14" t="s">
        <v>422</v>
      </c>
      <c r="P720" s="9" t="s">
        <v>422</v>
      </c>
      <c r="Q720" s="41"/>
      <c r="R720" s="41">
        <v>497</v>
      </c>
      <c r="S720" s="41">
        <v>497</v>
      </c>
      <c r="T720" s="9"/>
      <c r="U720" s="14" t="s">
        <v>77</v>
      </c>
      <c r="V720" s="9"/>
      <c r="W720" s="210">
        <v>30</v>
      </c>
      <c r="X720" s="34"/>
      <c r="Y720" s="34"/>
      <c r="Z720" s="34"/>
      <c r="AA720" s="34"/>
      <c r="AB720" s="34"/>
      <c r="AC720" s="34">
        <f t="shared" si="107"/>
        <v>0.29820000000000002</v>
      </c>
      <c r="AD720" s="34"/>
      <c r="AE720" s="34"/>
      <c r="AF720" s="34">
        <f t="shared" si="110"/>
        <v>2.9820000000000002</v>
      </c>
      <c r="AG720" s="34"/>
      <c r="AH720" s="34"/>
      <c r="AI720" s="34"/>
      <c r="AJ720" s="34">
        <f t="shared" si="109"/>
        <v>3.2802000000000002</v>
      </c>
      <c r="AK720" s="9"/>
      <c r="AL720" s="34"/>
      <c r="AM720" s="9"/>
      <c r="AN720" s="9"/>
      <c r="AO720" s="9"/>
      <c r="AP720" s="14"/>
    </row>
    <row r="721" spans="1:42" s="45" customFormat="1" ht="22" customHeight="1">
      <c r="A721" s="14" t="s">
        <v>17</v>
      </c>
      <c r="B721" s="8">
        <v>2024</v>
      </c>
      <c r="C721" s="8" t="s">
        <v>8</v>
      </c>
      <c r="D721" s="9" t="s">
        <v>185</v>
      </c>
      <c r="E721" s="9" t="s">
        <v>10</v>
      </c>
      <c r="F721" s="9" t="s">
        <v>186</v>
      </c>
      <c r="G721" s="8"/>
      <c r="H721" s="8"/>
      <c r="I721" s="9" t="s">
        <v>13</v>
      </c>
      <c r="J721" s="9" t="s">
        <v>13</v>
      </c>
      <c r="K721" s="9"/>
      <c r="L721" s="9" t="s">
        <v>215</v>
      </c>
      <c r="M721" s="9" t="s">
        <v>92</v>
      </c>
      <c r="N721" s="9" t="s">
        <v>406</v>
      </c>
      <c r="O721" s="14" t="s">
        <v>422</v>
      </c>
      <c r="P721" s="9" t="s">
        <v>424</v>
      </c>
      <c r="Q721" s="41"/>
      <c r="R721" s="41">
        <v>254</v>
      </c>
      <c r="S721" s="41">
        <v>254</v>
      </c>
      <c r="T721" s="9"/>
      <c r="U721" s="14" t="s">
        <v>77</v>
      </c>
      <c r="V721" s="9"/>
      <c r="W721" s="210">
        <v>30</v>
      </c>
      <c r="X721" s="34"/>
      <c r="Y721" s="34"/>
      <c r="Z721" s="34"/>
      <c r="AA721" s="34"/>
      <c r="AB721" s="34"/>
      <c r="AC721" s="34">
        <f t="shared" si="107"/>
        <v>0.15240000000000001</v>
      </c>
      <c r="AD721" s="34"/>
      <c r="AE721" s="34"/>
      <c r="AF721" s="34">
        <f t="shared" si="110"/>
        <v>1.524</v>
      </c>
      <c r="AG721" s="34"/>
      <c r="AH721" s="34"/>
      <c r="AI721" s="34"/>
      <c r="AJ721" s="34">
        <f t="shared" si="109"/>
        <v>1.6764000000000001</v>
      </c>
      <c r="AK721" s="9"/>
      <c r="AL721" s="34"/>
      <c r="AM721" s="9"/>
      <c r="AN721" s="9"/>
      <c r="AO721" s="9"/>
      <c r="AP721" s="14"/>
    </row>
    <row r="722" spans="1:42" s="45" customFormat="1" ht="22" customHeight="1">
      <c r="A722" s="14" t="s">
        <v>17</v>
      </c>
      <c r="B722" s="8">
        <v>2024</v>
      </c>
      <c r="C722" s="8" t="s">
        <v>8</v>
      </c>
      <c r="D722" s="9" t="s">
        <v>185</v>
      </c>
      <c r="E722" s="9" t="s">
        <v>10</v>
      </c>
      <c r="F722" s="9" t="s">
        <v>186</v>
      </c>
      <c r="G722" s="8"/>
      <c r="H722" s="8"/>
      <c r="I722" s="9" t="s">
        <v>13</v>
      </c>
      <c r="J722" s="9" t="s">
        <v>13</v>
      </c>
      <c r="K722" s="9"/>
      <c r="L722" s="9" t="s">
        <v>215</v>
      </c>
      <c r="M722" s="9" t="s">
        <v>92</v>
      </c>
      <c r="N722" s="9" t="s">
        <v>406</v>
      </c>
      <c r="O722" s="14" t="s">
        <v>422</v>
      </c>
      <c r="P722" s="9" t="s">
        <v>425</v>
      </c>
      <c r="Q722" s="41"/>
      <c r="R722" s="41">
        <v>247</v>
      </c>
      <c r="S722" s="41">
        <v>247</v>
      </c>
      <c r="T722" s="9"/>
      <c r="U722" s="14" t="s">
        <v>77</v>
      </c>
      <c r="V722" s="9"/>
      <c r="W722" s="210">
        <v>30</v>
      </c>
      <c r="X722" s="34"/>
      <c r="Y722" s="34"/>
      <c r="Z722" s="34"/>
      <c r="AA722" s="34"/>
      <c r="AB722" s="34"/>
      <c r="AC722" s="34">
        <f t="shared" si="107"/>
        <v>0.1482</v>
      </c>
      <c r="AD722" s="34"/>
      <c r="AE722" s="34"/>
      <c r="AF722" s="34">
        <f t="shared" si="110"/>
        <v>1.482</v>
      </c>
      <c r="AG722" s="34"/>
      <c r="AH722" s="34"/>
      <c r="AI722" s="34"/>
      <c r="AJ722" s="34">
        <f t="shared" si="109"/>
        <v>1.6301999999999999</v>
      </c>
      <c r="AK722" s="9"/>
      <c r="AL722" s="34"/>
      <c r="AM722" s="9"/>
      <c r="AN722" s="9"/>
      <c r="AO722" s="9"/>
      <c r="AP722" s="14"/>
    </row>
    <row r="723" spans="1:42" s="45" customFormat="1" ht="22" customHeight="1">
      <c r="A723" s="14" t="s">
        <v>21</v>
      </c>
      <c r="B723" s="8">
        <v>2024</v>
      </c>
      <c r="C723" s="8" t="s">
        <v>8</v>
      </c>
      <c r="D723" s="9" t="s">
        <v>185</v>
      </c>
      <c r="E723" s="9" t="s">
        <v>15</v>
      </c>
      <c r="F723" s="9" t="s">
        <v>186</v>
      </c>
      <c r="G723" s="8"/>
      <c r="H723" s="8"/>
      <c r="I723" s="9" t="s">
        <v>13</v>
      </c>
      <c r="J723" s="9" t="s">
        <v>13</v>
      </c>
      <c r="K723" s="9"/>
      <c r="L723" s="9" t="s">
        <v>178</v>
      </c>
      <c r="M723" s="9" t="s">
        <v>13</v>
      </c>
      <c r="N723" s="9" t="s">
        <v>406</v>
      </c>
      <c r="O723" s="9" t="s">
        <v>407</v>
      </c>
      <c r="P723" s="9" t="s">
        <v>408</v>
      </c>
      <c r="Q723" s="41">
        <v>573</v>
      </c>
      <c r="R723" s="41"/>
      <c r="S723" s="41">
        <v>573</v>
      </c>
      <c r="T723" s="9"/>
      <c r="U723" s="14" t="s">
        <v>77</v>
      </c>
      <c r="V723" s="9"/>
      <c r="W723" s="210">
        <v>30</v>
      </c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>
        <f t="shared" ref="AH723:AH745" si="111">S723*W723*50/1000000</f>
        <v>0.85950000000000004</v>
      </c>
      <c r="AI723" s="34"/>
      <c r="AJ723" s="34">
        <f t="shared" si="109"/>
        <v>0.85950000000000004</v>
      </c>
      <c r="AK723" s="9"/>
      <c r="AL723" s="34"/>
      <c r="AM723" s="9"/>
      <c r="AN723" s="9"/>
      <c r="AO723" s="9"/>
      <c r="AP723" s="14"/>
    </row>
    <row r="724" spans="1:42" s="45" customFormat="1" ht="22" customHeight="1">
      <c r="A724" s="14" t="s">
        <v>21</v>
      </c>
      <c r="B724" s="8">
        <v>2024</v>
      </c>
      <c r="C724" s="8" t="s">
        <v>8</v>
      </c>
      <c r="D724" s="9" t="s">
        <v>185</v>
      </c>
      <c r="E724" s="9" t="s">
        <v>15</v>
      </c>
      <c r="F724" s="9" t="s">
        <v>186</v>
      </c>
      <c r="G724" s="8"/>
      <c r="H724" s="8"/>
      <c r="I724" s="9" t="s">
        <v>13</v>
      </c>
      <c r="J724" s="9" t="s">
        <v>13</v>
      </c>
      <c r="K724" s="9"/>
      <c r="L724" s="9" t="s">
        <v>178</v>
      </c>
      <c r="M724" s="9" t="s">
        <v>13</v>
      </c>
      <c r="N724" s="9" t="s">
        <v>406</v>
      </c>
      <c r="O724" s="9" t="s">
        <v>407</v>
      </c>
      <c r="P724" s="9" t="s">
        <v>409</v>
      </c>
      <c r="Q724" s="41">
        <v>270</v>
      </c>
      <c r="R724" s="41"/>
      <c r="S724" s="41">
        <v>270</v>
      </c>
      <c r="T724" s="9"/>
      <c r="U724" s="14" t="s">
        <v>77</v>
      </c>
      <c r="V724" s="9"/>
      <c r="W724" s="210">
        <v>30</v>
      </c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>
        <f t="shared" si="111"/>
        <v>0.40500000000000003</v>
      </c>
      <c r="AI724" s="34"/>
      <c r="AJ724" s="34">
        <f t="shared" si="109"/>
        <v>0.40500000000000003</v>
      </c>
      <c r="AK724" s="9"/>
      <c r="AL724" s="34"/>
      <c r="AM724" s="9"/>
      <c r="AN724" s="9"/>
      <c r="AO724" s="9"/>
      <c r="AP724" s="14"/>
    </row>
    <row r="725" spans="1:42" s="45" customFormat="1" ht="22" customHeight="1">
      <c r="A725" s="14" t="s">
        <v>21</v>
      </c>
      <c r="B725" s="8">
        <v>2024</v>
      </c>
      <c r="C725" s="8" t="s">
        <v>8</v>
      </c>
      <c r="D725" s="9" t="s">
        <v>185</v>
      </c>
      <c r="E725" s="9" t="s">
        <v>15</v>
      </c>
      <c r="F725" s="9" t="s">
        <v>186</v>
      </c>
      <c r="G725" s="8"/>
      <c r="H725" s="8"/>
      <c r="I725" s="9" t="s">
        <v>13</v>
      </c>
      <c r="J725" s="9" t="s">
        <v>13</v>
      </c>
      <c r="K725" s="9"/>
      <c r="L725" s="9" t="s">
        <v>178</v>
      </c>
      <c r="M725" s="9" t="s">
        <v>13</v>
      </c>
      <c r="N725" s="9" t="s">
        <v>406</v>
      </c>
      <c r="O725" s="9" t="s">
        <v>407</v>
      </c>
      <c r="P725" s="9" t="s">
        <v>410</v>
      </c>
      <c r="Q725" s="41">
        <v>162</v>
      </c>
      <c r="R725" s="41"/>
      <c r="S725" s="41">
        <v>162</v>
      </c>
      <c r="T725" s="9"/>
      <c r="U725" s="14" t="s">
        <v>77</v>
      </c>
      <c r="V725" s="9"/>
      <c r="W725" s="210">
        <v>30</v>
      </c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>
        <f t="shared" si="111"/>
        <v>0.24299999999999999</v>
      </c>
      <c r="AI725" s="34"/>
      <c r="AJ725" s="34">
        <f t="shared" si="109"/>
        <v>0.24299999999999999</v>
      </c>
      <c r="AK725" s="9"/>
      <c r="AL725" s="34"/>
      <c r="AM725" s="9"/>
      <c r="AN725" s="9"/>
      <c r="AO725" s="9"/>
      <c r="AP725" s="14"/>
    </row>
    <row r="726" spans="1:42" s="45" customFormat="1" ht="22" customHeight="1">
      <c r="A726" s="14" t="s">
        <v>21</v>
      </c>
      <c r="B726" s="8">
        <v>2024</v>
      </c>
      <c r="C726" s="8" t="s">
        <v>8</v>
      </c>
      <c r="D726" s="9" t="s">
        <v>185</v>
      </c>
      <c r="E726" s="9" t="s">
        <v>15</v>
      </c>
      <c r="F726" s="9" t="s">
        <v>186</v>
      </c>
      <c r="G726" s="8"/>
      <c r="H726" s="8"/>
      <c r="I726" s="9" t="s">
        <v>13</v>
      </c>
      <c r="J726" s="9" t="s">
        <v>13</v>
      </c>
      <c r="K726" s="9"/>
      <c r="L726" s="9" t="s">
        <v>178</v>
      </c>
      <c r="M726" s="9" t="s">
        <v>13</v>
      </c>
      <c r="N726" s="9" t="s">
        <v>406</v>
      </c>
      <c r="O726" s="9" t="s">
        <v>407</v>
      </c>
      <c r="P726" s="9" t="s">
        <v>411</v>
      </c>
      <c r="Q726" s="41">
        <v>145</v>
      </c>
      <c r="R726" s="41"/>
      <c r="S726" s="41">
        <v>145</v>
      </c>
      <c r="T726" s="9"/>
      <c r="U726" s="14" t="s">
        <v>77</v>
      </c>
      <c r="V726" s="9"/>
      <c r="W726" s="210">
        <v>30</v>
      </c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>
        <f t="shared" si="111"/>
        <v>0.2175</v>
      </c>
      <c r="AI726" s="34"/>
      <c r="AJ726" s="34">
        <f t="shared" si="109"/>
        <v>0.2175</v>
      </c>
      <c r="AK726" s="9"/>
      <c r="AL726" s="34"/>
      <c r="AM726" s="9"/>
      <c r="AN726" s="9"/>
      <c r="AO726" s="9"/>
      <c r="AP726" s="14"/>
    </row>
    <row r="727" spans="1:42" s="45" customFormat="1" ht="22" customHeight="1">
      <c r="A727" s="14" t="s">
        <v>21</v>
      </c>
      <c r="B727" s="8">
        <v>2024</v>
      </c>
      <c r="C727" s="8" t="s">
        <v>8</v>
      </c>
      <c r="D727" s="9" t="s">
        <v>185</v>
      </c>
      <c r="E727" s="9" t="s">
        <v>15</v>
      </c>
      <c r="F727" s="9" t="s">
        <v>186</v>
      </c>
      <c r="G727" s="8"/>
      <c r="H727" s="8"/>
      <c r="I727" s="9" t="s">
        <v>13</v>
      </c>
      <c r="J727" s="9" t="s">
        <v>13</v>
      </c>
      <c r="K727" s="9"/>
      <c r="L727" s="9" t="s">
        <v>178</v>
      </c>
      <c r="M727" s="9" t="s">
        <v>13</v>
      </c>
      <c r="N727" s="9" t="s">
        <v>406</v>
      </c>
      <c r="O727" s="14" t="s">
        <v>412</v>
      </c>
      <c r="P727" s="9" t="s">
        <v>413</v>
      </c>
      <c r="Q727" s="41">
        <v>125</v>
      </c>
      <c r="R727" s="41"/>
      <c r="S727" s="41">
        <v>125</v>
      </c>
      <c r="T727" s="9"/>
      <c r="U727" s="14" t="s">
        <v>77</v>
      </c>
      <c r="V727" s="9"/>
      <c r="W727" s="210">
        <v>30</v>
      </c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>
        <f t="shared" si="111"/>
        <v>0.1875</v>
      </c>
      <c r="AI727" s="34"/>
      <c r="AJ727" s="34">
        <f t="shared" si="109"/>
        <v>0.1875</v>
      </c>
      <c r="AK727" s="9"/>
      <c r="AL727" s="34"/>
      <c r="AM727" s="9"/>
      <c r="AN727" s="9"/>
      <c r="AO727" s="9"/>
      <c r="AP727" s="14"/>
    </row>
    <row r="728" spans="1:42" s="45" customFormat="1" ht="22" customHeight="1">
      <c r="A728" s="14" t="s">
        <v>21</v>
      </c>
      <c r="B728" s="8">
        <v>2024</v>
      </c>
      <c r="C728" s="8" t="s">
        <v>8</v>
      </c>
      <c r="D728" s="9" t="s">
        <v>185</v>
      </c>
      <c r="E728" s="9" t="s">
        <v>15</v>
      </c>
      <c r="F728" s="9" t="s">
        <v>186</v>
      </c>
      <c r="G728" s="8"/>
      <c r="H728" s="8"/>
      <c r="I728" s="9" t="s">
        <v>13</v>
      </c>
      <c r="J728" s="9" t="s">
        <v>13</v>
      </c>
      <c r="K728" s="9"/>
      <c r="L728" s="9" t="s">
        <v>178</v>
      </c>
      <c r="M728" s="9" t="s">
        <v>13</v>
      </c>
      <c r="N728" s="9" t="s">
        <v>406</v>
      </c>
      <c r="O728" s="14" t="s">
        <v>412</v>
      </c>
      <c r="P728" s="9" t="s">
        <v>431</v>
      </c>
      <c r="Q728" s="41">
        <v>41</v>
      </c>
      <c r="R728" s="41"/>
      <c r="S728" s="41">
        <v>41</v>
      </c>
      <c r="T728" s="9"/>
      <c r="U728" s="14" t="s">
        <v>77</v>
      </c>
      <c r="V728" s="9"/>
      <c r="W728" s="210">
        <v>30</v>
      </c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>
        <f t="shared" si="111"/>
        <v>6.1499999999999999E-2</v>
      </c>
      <c r="AI728" s="34"/>
      <c r="AJ728" s="34">
        <f t="shared" si="109"/>
        <v>6.1499999999999999E-2</v>
      </c>
      <c r="AK728" s="9"/>
      <c r="AL728" s="34"/>
      <c r="AM728" s="9"/>
      <c r="AN728" s="9"/>
      <c r="AO728" s="9"/>
      <c r="AP728" s="14"/>
    </row>
    <row r="729" spans="1:42" s="45" customFormat="1" ht="22" customHeight="1">
      <c r="A729" s="14" t="s">
        <v>21</v>
      </c>
      <c r="B729" s="8">
        <v>2024</v>
      </c>
      <c r="C729" s="8" t="s">
        <v>8</v>
      </c>
      <c r="D729" s="9" t="s">
        <v>185</v>
      </c>
      <c r="E729" s="9" t="s">
        <v>15</v>
      </c>
      <c r="F729" s="9" t="s">
        <v>186</v>
      </c>
      <c r="G729" s="8"/>
      <c r="H729" s="8"/>
      <c r="I729" s="9" t="s">
        <v>13</v>
      </c>
      <c r="J729" s="9" t="s">
        <v>13</v>
      </c>
      <c r="K729" s="9"/>
      <c r="L729" s="9" t="s">
        <v>178</v>
      </c>
      <c r="M729" s="9" t="s">
        <v>13</v>
      </c>
      <c r="N729" s="9" t="s">
        <v>406</v>
      </c>
      <c r="O729" s="14" t="s">
        <v>412</v>
      </c>
      <c r="P729" s="9" t="s">
        <v>415</v>
      </c>
      <c r="Q729" s="41">
        <v>50</v>
      </c>
      <c r="R729" s="41"/>
      <c r="S729" s="41">
        <v>50</v>
      </c>
      <c r="T729" s="9"/>
      <c r="U729" s="14" t="s">
        <v>77</v>
      </c>
      <c r="V729" s="9"/>
      <c r="W729" s="210">
        <v>30</v>
      </c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>
        <f t="shared" si="111"/>
        <v>7.4999999999999997E-2</v>
      </c>
      <c r="AI729" s="34"/>
      <c r="AJ729" s="34">
        <f t="shared" si="109"/>
        <v>7.4999999999999997E-2</v>
      </c>
      <c r="AK729" s="9"/>
      <c r="AL729" s="34"/>
      <c r="AM729" s="9"/>
      <c r="AN729" s="9"/>
      <c r="AO729" s="9"/>
      <c r="AP729" s="14"/>
    </row>
    <row r="730" spans="1:42" s="45" customFormat="1" ht="22" customHeight="1">
      <c r="A730" s="14" t="s">
        <v>21</v>
      </c>
      <c r="B730" s="8">
        <v>2024</v>
      </c>
      <c r="C730" s="8" t="s">
        <v>8</v>
      </c>
      <c r="D730" s="9" t="s">
        <v>185</v>
      </c>
      <c r="E730" s="9" t="s">
        <v>15</v>
      </c>
      <c r="F730" s="9" t="s">
        <v>186</v>
      </c>
      <c r="G730" s="8"/>
      <c r="H730" s="8"/>
      <c r="I730" s="9" t="s">
        <v>13</v>
      </c>
      <c r="J730" s="9" t="s">
        <v>13</v>
      </c>
      <c r="K730" s="9"/>
      <c r="L730" s="9" t="s">
        <v>178</v>
      </c>
      <c r="M730" s="9" t="s">
        <v>13</v>
      </c>
      <c r="N730" s="9" t="s">
        <v>406</v>
      </c>
      <c r="O730" s="14" t="s">
        <v>412</v>
      </c>
      <c r="P730" s="9" t="s">
        <v>416</v>
      </c>
      <c r="Q730" s="41">
        <v>71</v>
      </c>
      <c r="R730" s="41"/>
      <c r="S730" s="41">
        <v>71</v>
      </c>
      <c r="T730" s="9"/>
      <c r="U730" s="14" t="s">
        <v>77</v>
      </c>
      <c r="V730" s="9"/>
      <c r="W730" s="210">
        <v>30</v>
      </c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>
        <f t="shared" si="111"/>
        <v>0.1065</v>
      </c>
      <c r="AI730" s="34"/>
      <c r="AJ730" s="34">
        <f t="shared" si="109"/>
        <v>0.1065</v>
      </c>
      <c r="AK730" s="9"/>
      <c r="AL730" s="34"/>
      <c r="AM730" s="9"/>
      <c r="AN730" s="9"/>
      <c r="AO730" s="9"/>
      <c r="AP730" s="14"/>
    </row>
    <row r="731" spans="1:42" s="45" customFormat="1" ht="22" customHeight="1">
      <c r="A731" s="14" t="s">
        <v>21</v>
      </c>
      <c r="B731" s="8">
        <v>2024</v>
      </c>
      <c r="C731" s="8" t="s">
        <v>8</v>
      </c>
      <c r="D731" s="9" t="s">
        <v>185</v>
      </c>
      <c r="E731" s="9" t="s">
        <v>15</v>
      </c>
      <c r="F731" s="9" t="s">
        <v>186</v>
      </c>
      <c r="G731" s="8"/>
      <c r="H731" s="8"/>
      <c r="I731" s="9" t="s">
        <v>13</v>
      </c>
      <c r="J731" s="9" t="s">
        <v>13</v>
      </c>
      <c r="K731" s="9"/>
      <c r="L731" s="9" t="s">
        <v>178</v>
      </c>
      <c r="M731" s="9" t="s">
        <v>13</v>
      </c>
      <c r="N731" s="9" t="s">
        <v>406</v>
      </c>
      <c r="O731" s="14" t="s">
        <v>412</v>
      </c>
      <c r="P731" s="9" t="s">
        <v>417</v>
      </c>
      <c r="Q731" s="41">
        <v>39</v>
      </c>
      <c r="R731" s="41"/>
      <c r="S731" s="41">
        <v>39</v>
      </c>
      <c r="T731" s="9"/>
      <c r="U731" s="14" t="s">
        <v>77</v>
      </c>
      <c r="V731" s="9"/>
      <c r="W731" s="210">
        <v>30</v>
      </c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>
        <f t="shared" si="111"/>
        <v>5.8500000000000003E-2</v>
      </c>
      <c r="AI731" s="34"/>
      <c r="AJ731" s="34">
        <f t="shared" si="109"/>
        <v>5.8500000000000003E-2</v>
      </c>
      <c r="AK731" s="9"/>
      <c r="AL731" s="34"/>
      <c r="AM731" s="9"/>
      <c r="AN731" s="9"/>
      <c r="AO731" s="9"/>
      <c r="AP731" s="14"/>
    </row>
    <row r="732" spans="1:42" s="45" customFormat="1" ht="22" customHeight="1">
      <c r="A732" s="14" t="s">
        <v>21</v>
      </c>
      <c r="B732" s="8">
        <v>2024</v>
      </c>
      <c r="C732" s="8" t="s">
        <v>8</v>
      </c>
      <c r="D732" s="9" t="s">
        <v>185</v>
      </c>
      <c r="E732" s="9" t="s">
        <v>15</v>
      </c>
      <c r="F732" s="9" t="s">
        <v>186</v>
      </c>
      <c r="G732" s="8"/>
      <c r="H732" s="8"/>
      <c r="I732" s="9" t="s">
        <v>13</v>
      </c>
      <c r="J732" s="9" t="s">
        <v>13</v>
      </c>
      <c r="K732" s="9"/>
      <c r="L732" s="9" t="s">
        <v>178</v>
      </c>
      <c r="M732" s="9" t="s">
        <v>13</v>
      </c>
      <c r="N732" s="9" t="s">
        <v>406</v>
      </c>
      <c r="O732" s="14" t="s">
        <v>412</v>
      </c>
      <c r="P732" s="9" t="s">
        <v>432</v>
      </c>
      <c r="Q732" s="41">
        <v>25</v>
      </c>
      <c r="R732" s="41"/>
      <c r="S732" s="41">
        <v>25</v>
      </c>
      <c r="T732" s="9"/>
      <c r="U732" s="14" t="s">
        <v>77</v>
      </c>
      <c r="V732" s="9"/>
      <c r="W732" s="210">
        <v>30</v>
      </c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>
        <f t="shared" si="111"/>
        <v>3.7499999999999999E-2</v>
      </c>
      <c r="AI732" s="34"/>
      <c r="AJ732" s="34">
        <f t="shared" si="109"/>
        <v>3.7499999999999999E-2</v>
      </c>
      <c r="AK732" s="9"/>
      <c r="AL732" s="34"/>
      <c r="AM732" s="9"/>
      <c r="AN732" s="9"/>
      <c r="AO732" s="9"/>
      <c r="AP732" s="14"/>
    </row>
    <row r="733" spans="1:42" s="45" customFormat="1" ht="22" customHeight="1">
      <c r="A733" s="14" t="s">
        <v>21</v>
      </c>
      <c r="B733" s="8">
        <v>2024</v>
      </c>
      <c r="C733" s="8" t="s">
        <v>8</v>
      </c>
      <c r="D733" s="9" t="s">
        <v>185</v>
      </c>
      <c r="E733" s="9" t="s">
        <v>15</v>
      </c>
      <c r="F733" s="9" t="s">
        <v>186</v>
      </c>
      <c r="G733" s="8"/>
      <c r="H733" s="8"/>
      <c r="I733" s="9" t="s">
        <v>13</v>
      </c>
      <c r="J733" s="9" t="s">
        <v>13</v>
      </c>
      <c r="K733" s="9"/>
      <c r="L733" s="9" t="s">
        <v>178</v>
      </c>
      <c r="M733" s="9" t="s">
        <v>13</v>
      </c>
      <c r="N733" s="9" t="s">
        <v>406</v>
      </c>
      <c r="O733" s="14" t="s">
        <v>412</v>
      </c>
      <c r="P733" s="9" t="s">
        <v>419</v>
      </c>
      <c r="Q733" s="41">
        <v>70</v>
      </c>
      <c r="R733" s="41"/>
      <c r="S733" s="41">
        <v>70</v>
      </c>
      <c r="T733" s="9"/>
      <c r="U733" s="14" t="s">
        <v>77</v>
      </c>
      <c r="V733" s="9"/>
      <c r="W733" s="210">
        <v>30</v>
      </c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>
        <f t="shared" si="111"/>
        <v>0.105</v>
      </c>
      <c r="AI733" s="34"/>
      <c r="AJ733" s="34">
        <f t="shared" si="109"/>
        <v>0.105</v>
      </c>
      <c r="AK733" s="9"/>
      <c r="AL733" s="34"/>
      <c r="AM733" s="9"/>
      <c r="AN733" s="9"/>
      <c r="AO733" s="9"/>
      <c r="AP733" s="14"/>
    </row>
    <row r="734" spans="1:42" s="45" customFormat="1" ht="22" customHeight="1">
      <c r="A734" s="14" t="s">
        <v>21</v>
      </c>
      <c r="B734" s="8">
        <v>2024</v>
      </c>
      <c r="C734" s="8" t="s">
        <v>8</v>
      </c>
      <c r="D734" s="9" t="s">
        <v>185</v>
      </c>
      <c r="E734" s="9" t="s">
        <v>15</v>
      </c>
      <c r="F734" s="9" t="s">
        <v>186</v>
      </c>
      <c r="G734" s="8"/>
      <c r="H734" s="8"/>
      <c r="I734" s="9" t="s">
        <v>13</v>
      </c>
      <c r="J734" s="9" t="s">
        <v>13</v>
      </c>
      <c r="K734" s="9"/>
      <c r="L734" s="9" t="s">
        <v>178</v>
      </c>
      <c r="M734" s="9" t="s">
        <v>13</v>
      </c>
      <c r="N734" s="9" t="s">
        <v>406</v>
      </c>
      <c r="O734" s="14" t="s">
        <v>412</v>
      </c>
      <c r="P734" s="9" t="s">
        <v>412</v>
      </c>
      <c r="Q734" s="41">
        <v>53</v>
      </c>
      <c r="R734" s="41"/>
      <c r="S734" s="41">
        <v>53</v>
      </c>
      <c r="T734" s="9"/>
      <c r="U734" s="14" t="s">
        <v>77</v>
      </c>
      <c r="V734" s="9"/>
      <c r="W734" s="210">
        <v>30</v>
      </c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>
        <f t="shared" si="111"/>
        <v>7.9500000000000001E-2</v>
      </c>
      <c r="AI734" s="34"/>
      <c r="AJ734" s="34">
        <f t="shared" si="109"/>
        <v>7.9500000000000001E-2</v>
      </c>
      <c r="AK734" s="9"/>
      <c r="AL734" s="34"/>
      <c r="AM734" s="9"/>
      <c r="AN734" s="9"/>
      <c r="AO734" s="9"/>
      <c r="AP734" s="14"/>
    </row>
    <row r="735" spans="1:42" s="45" customFormat="1" ht="22" customHeight="1">
      <c r="A735" s="14" t="s">
        <v>21</v>
      </c>
      <c r="B735" s="8">
        <v>2024</v>
      </c>
      <c r="C735" s="8" t="s">
        <v>8</v>
      </c>
      <c r="D735" s="9" t="s">
        <v>185</v>
      </c>
      <c r="E735" s="9" t="s">
        <v>15</v>
      </c>
      <c r="F735" s="9" t="s">
        <v>186</v>
      </c>
      <c r="G735" s="8"/>
      <c r="H735" s="8"/>
      <c r="I735" s="9" t="s">
        <v>13</v>
      </c>
      <c r="J735" s="9" t="s">
        <v>13</v>
      </c>
      <c r="K735" s="9"/>
      <c r="L735" s="9" t="s">
        <v>215</v>
      </c>
      <c r="M735" s="9" t="s">
        <v>92</v>
      </c>
      <c r="N735" s="9" t="s">
        <v>406</v>
      </c>
      <c r="O735" s="9" t="s">
        <v>420</v>
      </c>
      <c r="P735" s="9" t="s">
        <v>420</v>
      </c>
      <c r="Q735" s="41">
        <v>212</v>
      </c>
      <c r="R735" s="41"/>
      <c r="S735" s="41">
        <v>212</v>
      </c>
      <c r="T735" s="9"/>
      <c r="U735" s="14" t="s">
        <v>77</v>
      </c>
      <c r="V735" s="9"/>
      <c r="W735" s="210">
        <v>30</v>
      </c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>
        <f t="shared" si="111"/>
        <v>0.318</v>
      </c>
      <c r="AI735" s="34"/>
      <c r="AJ735" s="34">
        <f t="shared" si="109"/>
        <v>0.318</v>
      </c>
      <c r="AK735" s="9"/>
      <c r="AL735" s="34"/>
      <c r="AM735" s="9"/>
      <c r="AN735" s="9"/>
      <c r="AO735" s="9"/>
      <c r="AP735" s="14"/>
    </row>
    <row r="736" spans="1:42" s="45" customFormat="1" ht="22" customHeight="1">
      <c r="A736" s="14" t="s">
        <v>21</v>
      </c>
      <c r="B736" s="8">
        <v>2024</v>
      </c>
      <c r="C736" s="8" t="s">
        <v>8</v>
      </c>
      <c r="D736" s="9" t="s">
        <v>185</v>
      </c>
      <c r="E736" s="9" t="s">
        <v>15</v>
      </c>
      <c r="F736" s="9" t="s">
        <v>186</v>
      </c>
      <c r="G736" s="8"/>
      <c r="H736" s="8"/>
      <c r="I736" s="9" t="s">
        <v>13</v>
      </c>
      <c r="J736" s="9" t="s">
        <v>13</v>
      </c>
      <c r="K736" s="9"/>
      <c r="L736" s="9" t="s">
        <v>215</v>
      </c>
      <c r="M736" s="9" t="s">
        <v>92</v>
      </c>
      <c r="N736" s="9" t="s">
        <v>406</v>
      </c>
      <c r="O736" s="9" t="s">
        <v>420</v>
      </c>
      <c r="P736" s="9" t="s">
        <v>421</v>
      </c>
      <c r="Q736" s="41">
        <v>187</v>
      </c>
      <c r="R736" s="41"/>
      <c r="S736" s="41">
        <v>187</v>
      </c>
      <c r="T736" s="9"/>
      <c r="U736" s="14" t="s">
        <v>77</v>
      </c>
      <c r="V736" s="9"/>
      <c r="W736" s="210">
        <v>30</v>
      </c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>
        <f t="shared" si="111"/>
        <v>0.28050000000000003</v>
      </c>
      <c r="AI736" s="34"/>
      <c r="AJ736" s="34">
        <f t="shared" si="109"/>
        <v>0.28050000000000003</v>
      </c>
      <c r="AK736" s="9"/>
      <c r="AL736" s="34"/>
      <c r="AM736" s="9"/>
      <c r="AN736" s="9"/>
      <c r="AO736" s="9"/>
      <c r="AP736" s="14"/>
    </row>
    <row r="737" spans="1:42" s="45" customFormat="1" ht="22" customHeight="1">
      <c r="A737" s="14" t="s">
        <v>21</v>
      </c>
      <c r="B737" s="8">
        <v>2024</v>
      </c>
      <c r="C737" s="8" t="s">
        <v>8</v>
      </c>
      <c r="D737" s="9" t="s">
        <v>185</v>
      </c>
      <c r="E737" s="9" t="s">
        <v>15</v>
      </c>
      <c r="F737" s="9" t="s">
        <v>186</v>
      </c>
      <c r="G737" s="8"/>
      <c r="H737" s="8"/>
      <c r="I737" s="9" t="s">
        <v>13</v>
      </c>
      <c r="J737" s="9" t="s">
        <v>13</v>
      </c>
      <c r="K737" s="9"/>
      <c r="L737" s="9" t="s">
        <v>215</v>
      </c>
      <c r="M737" s="9" t="s">
        <v>92</v>
      </c>
      <c r="N737" s="9" t="s">
        <v>406</v>
      </c>
      <c r="O737" s="14" t="s">
        <v>422</v>
      </c>
      <c r="P737" s="9" t="s">
        <v>423</v>
      </c>
      <c r="Q737" s="41">
        <v>344</v>
      </c>
      <c r="R737" s="41"/>
      <c r="S737" s="41">
        <v>344</v>
      </c>
      <c r="T737" s="9"/>
      <c r="U737" s="14" t="s">
        <v>77</v>
      </c>
      <c r="V737" s="9"/>
      <c r="W737" s="210">
        <v>30</v>
      </c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>
        <f t="shared" si="111"/>
        <v>0.51600000000000001</v>
      </c>
      <c r="AI737" s="34"/>
      <c r="AJ737" s="34">
        <f t="shared" si="109"/>
        <v>0.51600000000000001</v>
      </c>
      <c r="AK737" s="9"/>
      <c r="AL737" s="34"/>
      <c r="AM737" s="9"/>
      <c r="AN737" s="9"/>
      <c r="AO737" s="9"/>
      <c r="AP737" s="14"/>
    </row>
    <row r="738" spans="1:42" s="45" customFormat="1" ht="22" customHeight="1">
      <c r="A738" s="14" t="s">
        <v>21</v>
      </c>
      <c r="B738" s="8">
        <v>2024</v>
      </c>
      <c r="C738" s="8" t="s">
        <v>8</v>
      </c>
      <c r="D738" s="9" t="s">
        <v>185</v>
      </c>
      <c r="E738" s="9" t="s">
        <v>15</v>
      </c>
      <c r="F738" s="9" t="s">
        <v>186</v>
      </c>
      <c r="G738" s="8"/>
      <c r="H738" s="8"/>
      <c r="I738" s="9" t="s">
        <v>13</v>
      </c>
      <c r="J738" s="9" t="s">
        <v>13</v>
      </c>
      <c r="K738" s="9"/>
      <c r="L738" s="9" t="s">
        <v>215</v>
      </c>
      <c r="M738" s="9" t="s">
        <v>92</v>
      </c>
      <c r="N738" s="9" t="s">
        <v>406</v>
      </c>
      <c r="O738" s="14" t="s">
        <v>422</v>
      </c>
      <c r="P738" s="9" t="s">
        <v>422</v>
      </c>
      <c r="Q738" s="41">
        <v>363</v>
      </c>
      <c r="R738" s="41"/>
      <c r="S738" s="41">
        <v>363</v>
      </c>
      <c r="T738" s="9"/>
      <c r="U738" s="14" t="s">
        <v>77</v>
      </c>
      <c r="V738" s="9"/>
      <c r="W738" s="210">
        <v>30</v>
      </c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>
        <f t="shared" si="111"/>
        <v>0.54449999999999998</v>
      </c>
      <c r="AI738" s="34"/>
      <c r="AJ738" s="34">
        <f t="shared" si="109"/>
        <v>0.54449999999999998</v>
      </c>
      <c r="AK738" s="9"/>
      <c r="AL738" s="34"/>
      <c r="AM738" s="9"/>
      <c r="AN738" s="9"/>
      <c r="AO738" s="9"/>
      <c r="AP738" s="14"/>
    </row>
    <row r="739" spans="1:42" s="45" customFormat="1" ht="22" customHeight="1">
      <c r="A739" s="14" t="s">
        <v>21</v>
      </c>
      <c r="B739" s="8">
        <v>2024</v>
      </c>
      <c r="C739" s="8" t="s">
        <v>8</v>
      </c>
      <c r="D739" s="9" t="s">
        <v>185</v>
      </c>
      <c r="E739" s="9" t="s">
        <v>15</v>
      </c>
      <c r="F739" s="9" t="s">
        <v>186</v>
      </c>
      <c r="G739" s="8"/>
      <c r="H739" s="8"/>
      <c r="I739" s="9" t="s">
        <v>13</v>
      </c>
      <c r="J739" s="9" t="s">
        <v>13</v>
      </c>
      <c r="K739" s="9"/>
      <c r="L739" s="9" t="s">
        <v>215</v>
      </c>
      <c r="M739" s="9" t="s">
        <v>92</v>
      </c>
      <c r="N739" s="9" t="s">
        <v>406</v>
      </c>
      <c r="O739" s="14" t="s">
        <v>422</v>
      </c>
      <c r="P739" s="9" t="s">
        <v>424</v>
      </c>
      <c r="Q739" s="41">
        <v>194</v>
      </c>
      <c r="R739" s="41"/>
      <c r="S739" s="41">
        <v>194</v>
      </c>
      <c r="T739" s="9"/>
      <c r="U739" s="14" t="s">
        <v>77</v>
      </c>
      <c r="V739" s="9"/>
      <c r="W739" s="210">
        <v>30</v>
      </c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>
        <f t="shared" si="111"/>
        <v>0.29099999999999998</v>
      </c>
      <c r="AI739" s="34"/>
      <c r="AJ739" s="34">
        <f t="shared" si="109"/>
        <v>0.29099999999999998</v>
      </c>
      <c r="AK739" s="9"/>
      <c r="AL739" s="34"/>
      <c r="AM739" s="9"/>
      <c r="AN739" s="9"/>
      <c r="AO739" s="9"/>
      <c r="AP739" s="14"/>
    </row>
    <row r="740" spans="1:42" s="45" customFormat="1" ht="22" customHeight="1">
      <c r="A740" s="14" t="s">
        <v>21</v>
      </c>
      <c r="B740" s="8">
        <v>2024</v>
      </c>
      <c r="C740" s="8" t="s">
        <v>8</v>
      </c>
      <c r="D740" s="9" t="s">
        <v>185</v>
      </c>
      <c r="E740" s="9" t="s">
        <v>15</v>
      </c>
      <c r="F740" s="9" t="s">
        <v>186</v>
      </c>
      <c r="G740" s="8"/>
      <c r="H740" s="8"/>
      <c r="I740" s="9" t="s">
        <v>13</v>
      </c>
      <c r="J740" s="9" t="s">
        <v>13</v>
      </c>
      <c r="K740" s="9"/>
      <c r="L740" s="9" t="s">
        <v>215</v>
      </c>
      <c r="M740" s="9" t="s">
        <v>92</v>
      </c>
      <c r="N740" s="9" t="s">
        <v>406</v>
      </c>
      <c r="O740" s="14" t="s">
        <v>422</v>
      </c>
      <c r="P740" s="9" t="s">
        <v>425</v>
      </c>
      <c r="Q740" s="41">
        <v>202</v>
      </c>
      <c r="R740" s="41"/>
      <c r="S740" s="41">
        <v>202</v>
      </c>
      <c r="T740" s="9"/>
      <c r="U740" s="14" t="s">
        <v>77</v>
      </c>
      <c r="V740" s="9"/>
      <c r="W740" s="210">
        <v>30</v>
      </c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>
        <f t="shared" si="111"/>
        <v>0.30299999999999999</v>
      </c>
      <c r="AI740" s="34"/>
      <c r="AJ740" s="34">
        <f t="shared" si="109"/>
        <v>0.30299999999999999</v>
      </c>
      <c r="AK740" s="9"/>
      <c r="AL740" s="34"/>
      <c r="AM740" s="9"/>
      <c r="AN740" s="9"/>
      <c r="AO740" s="9"/>
      <c r="AP740" s="14"/>
    </row>
    <row r="741" spans="1:42" s="45" customFormat="1" ht="22" customHeight="1">
      <c r="A741" s="14" t="s">
        <v>21</v>
      </c>
      <c r="B741" s="8">
        <v>2024</v>
      </c>
      <c r="C741" s="8" t="s">
        <v>8</v>
      </c>
      <c r="D741" s="9" t="s">
        <v>185</v>
      </c>
      <c r="E741" s="9" t="s">
        <v>15</v>
      </c>
      <c r="F741" s="9" t="s">
        <v>186</v>
      </c>
      <c r="G741" s="8"/>
      <c r="H741" s="8"/>
      <c r="I741" s="9" t="s">
        <v>13</v>
      </c>
      <c r="J741" s="9" t="s">
        <v>13</v>
      </c>
      <c r="K741" s="9"/>
      <c r="L741" s="9" t="s">
        <v>215</v>
      </c>
      <c r="M741" s="9" t="s">
        <v>92</v>
      </c>
      <c r="N741" s="9" t="s">
        <v>406</v>
      </c>
      <c r="O741" s="9" t="s">
        <v>426</v>
      </c>
      <c r="P741" s="9" t="s">
        <v>426</v>
      </c>
      <c r="Q741" s="41">
        <v>368</v>
      </c>
      <c r="R741" s="41"/>
      <c r="S741" s="41">
        <v>368</v>
      </c>
      <c r="T741" s="9"/>
      <c r="U741" s="14" t="s">
        <v>77</v>
      </c>
      <c r="V741" s="9"/>
      <c r="W741" s="210">
        <v>30</v>
      </c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>
        <f t="shared" si="111"/>
        <v>0.55200000000000005</v>
      </c>
      <c r="AI741" s="34"/>
      <c r="AJ741" s="34">
        <f t="shared" si="109"/>
        <v>0.55200000000000005</v>
      </c>
      <c r="AK741" s="9"/>
      <c r="AL741" s="34"/>
      <c r="AM741" s="9"/>
      <c r="AN741" s="9"/>
      <c r="AO741" s="9"/>
      <c r="AP741" s="14"/>
    </row>
    <row r="742" spans="1:42" s="45" customFormat="1" ht="22" customHeight="1">
      <c r="A742" s="14" t="s">
        <v>21</v>
      </c>
      <c r="B742" s="8">
        <v>2024</v>
      </c>
      <c r="C742" s="8" t="s">
        <v>8</v>
      </c>
      <c r="D742" s="9" t="s">
        <v>185</v>
      </c>
      <c r="E742" s="9" t="s">
        <v>15</v>
      </c>
      <c r="F742" s="9" t="s">
        <v>186</v>
      </c>
      <c r="G742" s="8"/>
      <c r="H742" s="8"/>
      <c r="I742" s="9" t="s">
        <v>13</v>
      </c>
      <c r="J742" s="9" t="s">
        <v>13</v>
      </c>
      <c r="K742" s="9"/>
      <c r="L742" s="9" t="s">
        <v>215</v>
      </c>
      <c r="M742" s="9" t="s">
        <v>92</v>
      </c>
      <c r="N742" s="9" t="s">
        <v>406</v>
      </c>
      <c r="O742" s="9" t="s">
        <v>426</v>
      </c>
      <c r="P742" s="9" t="s">
        <v>427</v>
      </c>
      <c r="Q742" s="41">
        <v>78</v>
      </c>
      <c r="R742" s="41"/>
      <c r="S742" s="41">
        <v>78</v>
      </c>
      <c r="T742" s="9"/>
      <c r="U742" s="14" t="s">
        <v>77</v>
      </c>
      <c r="V742" s="9"/>
      <c r="W742" s="210">
        <v>30</v>
      </c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>
        <f t="shared" si="111"/>
        <v>0.11700000000000001</v>
      </c>
      <c r="AI742" s="34"/>
      <c r="AJ742" s="34">
        <f t="shared" si="109"/>
        <v>0.11700000000000001</v>
      </c>
      <c r="AK742" s="9"/>
      <c r="AL742" s="34"/>
      <c r="AM742" s="9"/>
      <c r="AN742" s="9"/>
      <c r="AO742" s="9"/>
      <c r="AP742" s="14"/>
    </row>
    <row r="743" spans="1:42" s="45" customFormat="1" ht="22" customHeight="1">
      <c r="A743" s="14" t="s">
        <v>21</v>
      </c>
      <c r="B743" s="8">
        <v>2024</v>
      </c>
      <c r="C743" s="8" t="s">
        <v>8</v>
      </c>
      <c r="D743" s="9" t="s">
        <v>185</v>
      </c>
      <c r="E743" s="9" t="s">
        <v>15</v>
      </c>
      <c r="F743" s="9" t="s">
        <v>186</v>
      </c>
      <c r="G743" s="8"/>
      <c r="H743" s="8"/>
      <c r="I743" s="9" t="s">
        <v>13</v>
      </c>
      <c r="J743" s="9" t="s">
        <v>13</v>
      </c>
      <c r="K743" s="9"/>
      <c r="L743" s="9" t="s">
        <v>215</v>
      </c>
      <c r="M743" s="9" t="s">
        <v>92</v>
      </c>
      <c r="N743" s="9" t="s">
        <v>406</v>
      </c>
      <c r="O743" s="9" t="s">
        <v>428</v>
      </c>
      <c r="P743" s="9" t="s">
        <v>429</v>
      </c>
      <c r="Q743" s="41">
        <v>283</v>
      </c>
      <c r="R743" s="41"/>
      <c r="S743" s="41">
        <v>283</v>
      </c>
      <c r="T743" s="9"/>
      <c r="U743" s="14" t="s">
        <v>77</v>
      </c>
      <c r="V743" s="9"/>
      <c r="W743" s="210">
        <v>30</v>
      </c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>
        <f t="shared" si="111"/>
        <v>0.42449999999999999</v>
      </c>
      <c r="AI743" s="34"/>
      <c r="AJ743" s="34">
        <f t="shared" si="109"/>
        <v>0.42449999999999999</v>
      </c>
      <c r="AK743" s="9"/>
      <c r="AL743" s="34"/>
      <c r="AM743" s="9"/>
      <c r="AN743" s="9"/>
      <c r="AO743" s="9"/>
      <c r="AP743" s="14"/>
    </row>
    <row r="744" spans="1:42" s="45" customFormat="1" ht="22" customHeight="1">
      <c r="A744" s="14" t="s">
        <v>21</v>
      </c>
      <c r="B744" s="8">
        <v>2024</v>
      </c>
      <c r="C744" s="8" t="s">
        <v>8</v>
      </c>
      <c r="D744" s="9" t="s">
        <v>185</v>
      </c>
      <c r="E744" s="9" t="s">
        <v>15</v>
      </c>
      <c r="F744" s="9" t="s">
        <v>186</v>
      </c>
      <c r="G744" s="8"/>
      <c r="H744" s="8"/>
      <c r="I744" s="9" t="s">
        <v>13</v>
      </c>
      <c r="J744" s="9" t="s">
        <v>13</v>
      </c>
      <c r="K744" s="9"/>
      <c r="L744" s="9" t="s">
        <v>215</v>
      </c>
      <c r="M744" s="9" t="s">
        <v>92</v>
      </c>
      <c r="N744" s="9" t="s">
        <v>406</v>
      </c>
      <c r="O744" s="9" t="s">
        <v>428</v>
      </c>
      <c r="P744" s="9" t="s">
        <v>428</v>
      </c>
      <c r="Q744" s="41">
        <v>286</v>
      </c>
      <c r="R744" s="41"/>
      <c r="S744" s="41">
        <v>286</v>
      </c>
      <c r="T744" s="9"/>
      <c r="U744" s="14" t="s">
        <v>77</v>
      </c>
      <c r="V744" s="9"/>
      <c r="W744" s="210">
        <v>30</v>
      </c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>
        <f t="shared" si="111"/>
        <v>0.42899999999999999</v>
      </c>
      <c r="AI744" s="34"/>
      <c r="AJ744" s="34">
        <f t="shared" si="109"/>
        <v>0.42899999999999999</v>
      </c>
      <c r="AK744" s="9"/>
      <c r="AL744" s="34"/>
      <c r="AM744" s="9"/>
      <c r="AN744" s="9"/>
      <c r="AO744" s="9"/>
      <c r="AP744" s="14"/>
    </row>
    <row r="745" spans="1:42" s="45" customFormat="1" ht="22" customHeight="1">
      <c r="A745" s="14" t="s">
        <v>21</v>
      </c>
      <c r="B745" s="8">
        <v>2024</v>
      </c>
      <c r="C745" s="8" t="s">
        <v>8</v>
      </c>
      <c r="D745" s="9" t="s">
        <v>185</v>
      </c>
      <c r="E745" s="9" t="s">
        <v>15</v>
      </c>
      <c r="F745" s="9" t="s">
        <v>186</v>
      </c>
      <c r="G745" s="8"/>
      <c r="H745" s="8"/>
      <c r="I745" s="9" t="s">
        <v>13</v>
      </c>
      <c r="J745" s="9" t="s">
        <v>13</v>
      </c>
      <c r="K745" s="9"/>
      <c r="L745" s="9" t="s">
        <v>215</v>
      </c>
      <c r="M745" s="9" t="s">
        <v>92</v>
      </c>
      <c r="N745" s="9" t="s">
        <v>406</v>
      </c>
      <c r="O745" s="9" t="s">
        <v>428</v>
      </c>
      <c r="P745" s="9" t="s">
        <v>430</v>
      </c>
      <c r="Q745" s="41">
        <v>182</v>
      </c>
      <c r="R745" s="41"/>
      <c r="S745" s="41">
        <v>182</v>
      </c>
      <c r="T745" s="9"/>
      <c r="U745" s="14" t="s">
        <v>77</v>
      </c>
      <c r="V745" s="9"/>
      <c r="W745" s="210">
        <v>30</v>
      </c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>
        <f t="shared" si="111"/>
        <v>0.27300000000000002</v>
      </c>
      <c r="AI745" s="34"/>
      <c r="AJ745" s="34">
        <f t="shared" si="109"/>
        <v>0.27300000000000002</v>
      </c>
      <c r="AK745" s="9"/>
      <c r="AL745" s="34"/>
      <c r="AM745" s="9"/>
      <c r="AN745" s="9"/>
      <c r="AO745" s="9"/>
      <c r="AP745" s="14"/>
    </row>
    <row r="746" spans="1:42" s="45" customFormat="1" ht="22" customHeight="1">
      <c r="A746" s="14" t="s">
        <v>21</v>
      </c>
      <c r="B746" s="8">
        <v>2024</v>
      </c>
      <c r="C746" s="8" t="s">
        <v>8</v>
      </c>
      <c r="D746" s="9" t="s">
        <v>185</v>
      </c>
      <c r="E746" s="9" t="s">
        <v>10</v>
      </c>
      <c r="F746" s="9" t="s">
        <v>186</v>
      </c>
      <c r="G746" s="8"/>
      <c r="H746" s="8"/>
      <c r="I746" s="9" t="s">
        <v>13</v>
      </c>
      <c r="J746" s="9" t="s">
        <v>13</v>
      </c>
      <c r="K746" s="9"/>
      <c r="L746" s="9" t="s">
        <v>178</v>
      </c>
      <c r="M746" s="9" t="s">
        <v>13</v>
      </c>
      <c r="N746" s="9" t="s">
        <v>406</v>
      </c>
      <c r="O746" s="9" t="s">
        <v>407</v>
      </c>
      <c r="P746" s="9" t="s">
        <v>408</v>
      </c>
      <c r="Q746" s="41"/>
      <c r="R746" s="41">
        <v>700</v>
      </c>
      <c r="S746" s="41">
        <v>700</v>
      </c>
      <c r="T746" s="9"/>
      <c r="U746" s="14" t="s">
        <v>77</v>
      </c>
      <c r="V746" s="9"/>
      <c r="W746" s="210">
        <v>30</v>
      </c>
      <c r="X746" s="34"/>
      <c r="Y746" s="34"/>
      <c r="Z746" s="34"/>
      <c r="AA746" s="34"/>
      <c r="AB746" s="34"/>
      <c r="AC746" s="34">
        <f t="shared" ref="AC746:AC768" si="112">+S746*W746*20/1000000</f>
        <v>0.42</v>
      </c>
      <c r="AD746" s="34"/>
      <c r="AE746" s="34"/>
      <c r="AF746" s="34">
        <f t="shared" ref="AF746:AF768" si="113">+S746*W746*200/1000000</f>
        <v>4.2</v>
      </c>
      <c r="AG746" s="34"/>
      <c r="AH746" s="34"/>
      <c r="AI746" s="34"/>
      <c r="AJ746" s="34">
        <f t="shared" si="109"/>
        <v>4.62</v>
      </c>
      <c r="AK746" s="9"/>
      <c r="AL746" s="34"/>
      <c r="AM746" s="9"/>
      <c r="AN746" s="9"/>
      <c r="AO746" s="9"/>
      <c r="AP746" s="14"/>
    </row>
    <row r="747" spans="1:42" s="45" customFormat="1" ht="22" customHeight="1">
      <c r="A747" s="14" t="s">
        <v>21</v>
      </c>
      <c r="B747" s="8">
        <v>2024</v>
      </c>
      <c r="C747" s="8" t="s">
        <v>8</v>
      </c>
      <c r="D747" s="9" t="s">
        <v>185</v>
      </c>
      <c r="E747" s="9" t="s">
        <v>10</v>
      </c>
      <c r="F747" s="9" t="s">
        <v>186</v>
      </c>
      <c r="G747" s="8"/>
      <c r="H747" s="8"/>
      <c r="I747" s="9" t="s">
        <v>13</v>
      </c>
      <c r="J747" s="9" t="s">
        <v>13</v>
      </c>
      <c r="K747" s="9"/>
      <c r="L747" s="9" t="s">
        <v>178</v>
      </c>
      <c r="M747" s="9" t="s">
        <v>13</v>
      </c>
      <c r="N747" s="9" t="s">
        <v>406</v>
      </c>
      <c r="O747" s="9" t="s">
        <v>407</v>
      </c>
      <c r="P747" s="9" t="s">
        <v>409</v>
      </c>
      <c r="Q747" s="41"/>
      <c r="R747" s="41">
        <v>350</v>
      </c>
      <c r="S747" s="41">
        <v>350</v>
      </c>
      <c r="T747" s="9"/>
      <c r="U747" s="14" t="s">
        <v>77</v>
      </c>
      <c r="V747" s="9"/>
      <c r="W747" s="210">
        <v>30</v>
      </c>
      <c r="X747" s="34"/>
      <c r="Y747" s="34"/>
      <c r="Z747" s="34"/>
      <c r="AA747" s="34"/>
      <c r="AB747" s="34"/>
      <c r="AC747" s="34">
        <f t="shared" si="112"/>
        <v>0.21</v>
      </c>
      <c r="AD747" s="34"/>
      <c r="AE747" s="34"/>
      <c r="AF747" s="34">
        <f t="shared" si="113"/>
        <v>2.1</v>
      </c>
      <c r="AG747" s="34"/>
      <c r="AH747" s="34"/>
      <c r="AI747" s="34"/>
      <c r="AJ747" s="34">
        <f t="shared" si="109"/>
        <v>2.31</v>
      </c>
      <c r="AK747" s="9"/>
      <c r="AL747" s="34"/>
      <c r="AM747" s="9"/>
      <c r="AN747" s="9"/>
      <c r="AO747" s="9"/>
      <c r="AP747" s="14"/>
    </row>
    <row r="748" spans="1:42" s="45" customFormat="1" ht="22" customHeight="1">
      <c r="A748" s="14" t="s">
        <v>21</v>
      </c>
      <c r="B748" s="8">
        <v>2024</v>
      </c>
      <c r="C748" s="8" t="s">
        <v>8</v>
      </c>
      <c r="D748" s="9" t="s">
        <v>185</v>
      </c>
      <c r="E748" s="9" t="s">
        <v>10</v>
      </c>
      <c r="F748" s="9" t="s">
        <v>186</v>
      </c>
      <c r="G748" s="8"/>
      <c r="H748" s="8"/>
      <c r="I748" s="9" t="s">
        <v>13</v>
      </c>
      <c r="J748" s="9" t="s">
        <v>13</v>
      </c>
      <c r="K748" s="9"/>
      <c r="L748" s="9" t="s">
        <v>178</v>
      </c>
      <c r="M748" s="9" t="s">
        <v>13</v>
      </c>
      <c r="N748" s="9" t="s">
        <v>406</v>
      </c>
      <c r="O748" s="9" t="s">
        <v>407</v>
      </c>
      <c r="P748" s="9" t="s">
        <v>410</v>
      </c>
      <c r="Q748" s="41"/>
      <c r="R748" s="41">
        <v>185</v>
      </c>
      <c r="S748" s="41">
        <v>185</v>
      </c>
      <c r="T748" s="9"/>
      <c r="U748" s="14" t="s">
        <v>77</v>
      </c>
      <c r="V748" s="9"/>
      <c r="W748" s="210">
        <v>30</v>
      </c>
      <c r="X748" s="34"/>
      <c r="Y748" s="34"/>
      <c r="Z748" s="34"/>
      <c r="AA748" s="34"/>
      <c r="AB748" s="34"/>
      <c r="AC748" s="34">
        <f t="shared" si="112"/>
        <v>0.111</v>
      </c>
      <c r="AD748" s="34"/>
      <c r="AE748" s="34"/>
      <c r="AF748" s="34">
        <f t="shared" si="113"/>
        <v>1.1100000000000001</v>
      </c>
      <c r="AG748" s="34"/>
      <c r="AH748" s="34"/>
      <c r="AI748" s="34"/>
      <c r="AJ748" s="34">
        <f t="shared" si="109"/>
        <v>1.2210000000000001</v>
      </c>
      <c r="AK748" s="9"/>
      <c r="AL748" s="34"/>
      <c r="AM748" s="9"/>
      <c r="AN748" s="9"/>
      <c r="AO748" s="9"/>
      <c r="AP748" s="14"/>
    </row>
    <row r="749" spans="1:42" s="45" customFormat="1" ht="22" customHeight="1">
      <c r="A749" s="14" t="s">
        <v>21</v>
      </c>
      <c r="B749" s="8">
        <v>2024</v>
      </c>
      <c r="C749" s="8" t="s">
        <v>8</v>
      </c>
      <c r="D749" s="9" t="s">
        <v>185</v>
      </c>
      <c r="E749" s="9" t="s">
        <v>10</v>
      </c>
      <c r="F749" s="9" t="s">
        <v>186</v>
      </c>
      <c r="G749" s="8"/>
      <c r="H749" s="8"/>
      <c r="I749" s="9" t="s">
        <v>13</v>
      </c>
      <c r="J749" s="9" t="s">
        <v>13</v>
      </c>
      <c r="K749" s="9"/>
      <c r="L749" s="9" t="s">
        <v>178</v>
      </c>
      <c r="M749" s="9" t="s">
        <v>13</v>
      </c>
      <c r="N749" s="9" t="s">
        <v>406</v>
      </c>
      <c r="O749" s="9" t="s">
        <v>407</v>
      </c>
      <c r="P749" s="9" t="s">
        <v>411</v>
      </c>
      <c r="Q749" s="41"/>
      <c r="R749" s="41">
        <v>170</v>
      </c>
      <c r="S749" s="41">
        <v>170</v>
      </c>
      <c r="T749" s="9"/>
      <c r="U749" s="14" t="s">
        <v>77</v>
      </c>
      <c r="V749" s="9"/>
      <c r="W749" s="210">
        <v>30</v>
      </c>
      <c r="X749" s="34"/>
      <c r="Y749" s="34"/>
      <c r="Z749" s="34"/>
      <c r="AA749" s="34"/>
      <c r="AB749" s="34"/>
      <c r="AC749" s="34">
        <f t="shared" si="112"/>
        <v>0.10199999999999999</v>
      </c>
      <c r="AD749" s="34"/>
      <c r="AE749" s="34"/>
      <c r="AF749" s="34">
        <f t="shared" si="113"/>
        <v>1.02</v>
      </c>
      <c r="AG749" s="34"/>
      <c r="AH749" s="34"/>
      <c r="AI749" s="34"/>
      <c r="AJ749" s="34">
        <f t="shared" si="109"/>
        <v>1.1220000000000001</v>
      </c>
      <c r="AK749" s="9"/>
      <c r="AL749" s="34"/>
      <c r="AM749" s="9"/>
      <c r="AN749" s="9"/>
      <c r="AO749" s="9"/>
      <c r="AP749" s="14"/>
    </row>
    <row r="750" spans="1:42" s="45" customFormat="1" ht="22" customHeight="1">
      <c r="A750" s="14" t="s">
        <v>21</v>
      </c>
      <c r="B750" s="8">
        <v>2024</v>
      </c>
      <c r="C750" s="8" t="s">
        <v>8</v>
      </c>
      <c r="D750" s="9" t="s">
        <v>185</v>
      </c>
      <c r="E750" s="9" t="s">
        <v>10</v>
      </c>
      <c r="F750" s="9" t="s">
        <v>186</v>
      </c>
      <c r="G750" s="8"/>
      <c r="H750" s="8"/>
      <c r="I750" s="9" t="s">
        <v>13</v>
      </c>
      <c r="J750" s="9" t="s">
        <v>13</v>
      </c>
      <c r="K750" s="9"/>
      <c r="L750" s="9" t="s">
        <v>178</v>
      </c>
      <c r="M750" s="9" t="s">
        <v>13</v>
      </c>
      <c r="N750" s="9" t="s">
        <v>406</v>
      </c>
      <c r="O750" s="9" t="s">
        <v>412</v>
      </c>
      <c r="P750" s="9" t="s">
        <v>413</v>
      </c>
      <c r="Q750" s="41"/>
      <c r="R750" s="41">
        <v>150</v>
      </c>
      <c r="S750" s="41">
        <v>150</v>
      </c>
      <c r="T750" s="9"/>
      <c r="U750" s="14" t="s">
        <v>77</v>
      </c>
      <c r="V750" s="9"/>
      <c r="W750" s="210">
        <v>30</v>
      </c>
      <c r="X750" s="34"/>
      <c r="Y750" s="34"/>
      <c r="Z750" s="34"/>
      <c r="AA750" s="34"/>
      <c r="AB750" s="34"/>
      <c r="AC750" s="34">
        <f t="shared" si="112"/>
        <v>0.09</v>
      </c>
      <c r="AD750" s="34"/>
      <c r="AE750" s="34"/>
      <c r="AF750" s="34">
        <f t="shared" si="113"/>
        <v>0.9</v>
      </c>
      <c r="AG750" s="34"/>
      <c r="AH750" s="34"/>
      <c r="AI750" s="34"/>
      <c r="AJ750" s="34">
        <f t="shared" si="109"/>
        <v>0.99</v>
      </c>
      <c r="AK750" s="9"/>
      <c r="AL750" s="34"/>
      <c r="AM750" s="9"/>
      <c r="AN750" s="9"/>
      <c r="AO750" s="9"/>
      <c r="AP750" s="14"/>
    </row>
    <row r="751" spans="1:42" s="45" customFormat="1" ht="22" customHeight="1">
      <c r="A751" s="14" t="s">
        <v>21</v>
      </c>
      <c r="B751" s="8">
        <v>2024</v>
      </c>
      <c r="C751" s="8" t="s">
        <v>8</v>
      </c>
      <c r="D751" s="9" t="s">
        <v>185</v>
      </c>
      <c r="E751" s="9" t="s">
        <v>10</v>
      </c>
      <c r="F751" s="9" t="s">
        <v>186</v>
      </c>
      <c r="G751" s="8"/>
      <c r="H751" s="8"/>
      <c r="I751" s="9" t="s">
        <v>13</v>
      </c>
      <c r="J751" s="9" t="s">
        <v>13</v>
      </c>
      <c r="K751" s="9"/>
      <c r="L751" s="9" t="s">
        <v>178</v>
      </c>
      <c r="M751" s="9" t="s">
        <v>13</v>
      </c>
      <c r="N751" s="9" t="s">
        <v>406</v>
      </c>
      <c r="O751" s="9" t="s">
        <v>412</v>
      </c>
      <c r="P751" s="9" t="s">
        <v>414</v>
      </c>
      <c r="Q751" s="41"/>
      <c r="R751" s="41">
        <v>45</v>
      </c>
      <c r="S751" s="41">
        <v>45</v>
      </c>
      <c r="T751" s="9"/>
      <c r="U751" s="14" t="s">
        <v>77</v>
      </c>
      <c r="V751" s="9"/>
      <c r="W751" s="210">
        <v>30</v>
      </c>
      <c r="X751" s="34"/>
      <c r="Y751" s="34"/>
      <c r="Z751" s="34"/>
      <c r="AA751" s="34"/>
      <c r="AB751" s="34"/>
      <c r="AC751" s="34">
        <f t="shared" si="112"/>
        <v>2.7E-2</v>
      </c>
      <c r="AD751" s="34"/>
      <c r="AE751" s="34"/>
      <c r="AF751" s="34">
        <f t="shared" si="113"/>
        <v>0.27</v>
      </c>
      <c r="AG751" s="34"/>
      <c r="AH751" s="34"/>
      <c r="AI751" s="34"/>
      <c r="AJ751" s="34">
        <f t="shared" si="109"/>
        <v>0.29700000000000004</v>
      </c>
      <c r="AK751" s="9"/>
      <c r="AL751" s="34"/>
      <c r="AM751" s="9"/>
      <c r="AN751" s="9"/>
      <c r="AO751" s="9"/>
      <c r="AP751" s="14"/>
    </row>
    <row r="752" spans="1:42" s="45" customFormat="1" ht="22" customHeight="1">
      <c r="A752" s="14" t="s">
        <v>21</v>
      </c>
      <c r="B752" s="8">
        <v>2024</v>
      </c>
      <c r="C752" s="8" t="s">
        <v>8</v>
      </c>
      <c r="D752" s="9" t="s">
        <v>185</v>
      </c>
      <c r="E752" s="9" t="s">
        <v>10</v>
      </c>
      <c r="F752" s="9" t="s">
        <v>186</v>
      </c>
      <c r="G752" s="8"/>
      <c r="H752" s="8"/>
      <c r="I752" s="9" t="s">
        <v>13</v>
      </c>
      <c r="J752" s="9" t="s">
        <v>13</v>
      </c>
      <c r="K752" s="9"/>
      <c r="L752" s="9" t="s">
        <v>178</v>
      </c>
      <c r="M752" s="9" t="s">
        <v>13</v>
      </c>
      <c r="N752" s="9" t="s">
        <v>406</v>
      </c>
      <c r="O752" s="9" t="s">
        <v>412</v>
      </c>
      <c r="P752" s="9" t="s">
        <v>415</v>
      </c>
      <c r="Q752" s="41"/>
      <c r="R752" s="41">
        <v>50</v>
      </c>
      <c r="S752" s="41">
        <v>50</v>
      </c>
      <c r="T752" s="9"/>
      <c r="U752" s="14" t="s">
        <v>77</v>
      </c>
      <c r="V752" s="9"/>
      <c r="W752" s="210">
        <v>30</v>
      </c>
      <c r="X752" s="34"/>
      <c r="Y752" s="34"/>
      <c r="Z752" s="34"/>
      <c r="AA752" s="34"/>
      <c r="AB752" s="34"/>
      <c r="AC752" s="34">
        <f t="shared" si="112"/>
        <v>0.03</v>
      </c>
      <c r="AD752" s="34"/>
      <c r="AE752" s="34"/>
      <c r="AF752" s="34">
        <f t="shared" si="113"/>
        <v>0.3</v>
      </c>
      <c r="AG752" s="34"/>
      <c r="AH752" s="34"/>
      <c r="AI752" s="34"/>
      <c r="AJ752" s="34">
        <f t="shared" si="109"/>
        <v>0.32999999999999996</v>
      </c>
      <c r="AK752" s="9"/>
      <c r="AL752" s="34"/>
      <c r="AM752" s="9"/>
      <c r="AN752" s="9"/>
      <c r="AO752" s="9"/>
      <c r="AP752" s="14"/>
    </row>
    <row r="753" spans="1:42" s="45" customFormat="1" ht="22" customHeight="1">
      <c r="A753" s="14" t="s">
        <v>21</v>
      </c>
      <c r="B753" s="8">
        <v>2024</v>
      </c>
      <c r="C753" s="8" t="s">
        <v>8</v>
      </c>
      <c r="D753" s="9" t="s">
        <v>185</v>
      </c>
      <c r="E753" s="9" t="s">
        <v>10</v>
      </c>
      <c r="F753" s="9" t="s">
        <v>186</v>
      </c>
      <c r="G753" s="8"/>
      <c r="H753" s="8"/>
      <c r="I753" s="9" t="s">
        <v>13</v>
      </c>
      <c r="J753" s="9" t="s">
        <v>13</v>
      </c>
      <c r="K753" s="9"/>
      <c r="L753" s="9" t="s">
        <v>178</v>
      </c>
      <c r="M753" s="9" t="s">
        <v>13</v>
      </c>
      <c r="N753" s="9" t="s">
        <v>406</v>
      </c>
      <c r="O753" s="9" t="s">
        <v>412</v>
      </c>
      <c r="P753" s="9" t="s">
        <v>416</v>
      </c>
      <c r="Q753" s="41"/>
      <c r="R753" s="41">
        <v>75</v>
      </c>
      <c r="S753" s="41">
        <v>75</v>
      </c>
      <c r="T753" s="9"/>
      <c r="U753" s="14" t="s">
        <v>77</v>
      </c>
      <c r="V753" s="9"/>
      <c r="W753" s="210">
        <v>30</v>
      </c>
      <c r="X753" s="34"/>
      <c r="Y753" s="34"/>
      <c r="Z753" s="34"/>
      <c r="AA753" s="34"/>
      <c r="AB753" s="34"/>
      <c r="AC753" s="34">
        <f t="shared" si="112"/>
        <v>4.4999999999999998E-2</v>
      </c>
      <c r="AD753" s="34"/>
      <c r="AE753" s="34"/>
      <c r="AF753" s="34">
        <f t="shared" si="113"/>
        <v>0.45</v>
      </c>
      <c r="AG753" s="34"/>
      <c r="AH753" s="34"/>
      <c r="AI753" s="34"/>
      <c r="AJ753" s="34">
        <f t="shared" si="109"/>
        <v>0.495</v>
      </c>
      <c r="AK753" s="9"/>
      <c r="AL753" s="34"/>
      <c r="AM753" s="9"/>
      <c r="AN753" s="9"/>
      <c r="AO753" s="9"/>
      <c r="AP753" s="14"/>
    </row>
    <row r="754" spans="1:42" s="45" customFormat="1" ht="22" customHeight="1">
      <c r="A754" s="14" t="s">
        <v>21</v>
      </c>
      <c r="B754" s="8">
        <v>2024</v>
      </c>
      <c r="C754" s="8" t="s">
        <v>8</v>
      </c>
      <c r="D754" s="9" t="s">
        <v>185</v>
      </c>
      <c r="E754" s="9" t="s">
        <v>10</v>
      </c>
      <c r="F754" s="9" t="s">
        <v>186</v>
      </c>
      <c r="G754" s="8"/>
      <c r="H754" s="8"/>
      <c r="I754" s="9" t="s">
        <v>13</v>
      </c>
      <c r="J754" s="9" t="s">
        <v>13</v>
      </c>
      <c r="K754" s="9"/>
      <c r="L754" s="9" t="s">
        <v>178</v>
      </c>
      <c r="M754" s="9" t="s">
        <v>13</v>
      </c>
      <c r="N754" s="9" t="s">
        <v>406</v>
      </c>
      <c r="O754" s="9" t="s">
        <v>412</v>
      </c>
      <c r="P754" s="9" t="s">
        <v>417</v>
      </c>
      <c r="Q754" s="41"/>
      <c r="R754" s="41">
        <v>40</v>
      </c>
      <c r="S754" s="41">
        <v>40</v>
      </c>
      <c r="T754" s="9"/>
      <c r="U754" s="14" t="s">
        <v>77</v>
      </c>
      <c r="V754" s="9"/>
      <c r="W754" s="210">
        <v>30</v>
      </c>
      <c r="X754" s="34"/>
      <c r="Y754" s="34"/>
      <c r="Z754" s="34"/>
      <c r="AA754" s="34"/>
      <c r="AB754" s="34"/>
      <c r="AC754" s="34">
        <f t="shared" si="112"/>
        <v>2.4E-2</v>
      </c>
      <c r="AD754" s="34"/>
      <c r="AE754" s="34"/>
      <c r="AF754" s="34">
        <f t="shared" si="113"/>
        <v>0.24</v>
      </c>
      <c r="AG754" s="34"/>
      <c r="AH754" s="34"/>
      <c r="AI754" s="34"/>
      <c r="AJ754" s="34">
        <f t="shared" si="109"/>
        <v>0.26400000000000001</v>
      </c>
      <c r="AK754" s="9"/>
      <c r="AL754" s="34"/>
      <c r="AM754" s="9"/>
      <c r="AN754" s="9"/>
      <c r="AO754" s="9"/>
      <c r="AP754" s="14"/>
    </row>
    <row r="755" spans="1:42" s="45" customFormat="1" ht="22" customHeight="1">
      <c r="A755" s="14" t="s">
        <v>21</v>
      </c>
      <c r="B755" s="8">
        <v>2024</v>
      </c>
      <c r="C755" s="8" t="s">
        <v>8</v>
      </c>
      <c r="D755" s="9" t="s">
        <v>185</v>
      </c>
      <c r="E755" s="9" t="s">
        <v>10</v>
      </c>
      <c r="F755" s="9" t="s">
        <v>186</v>
      </c>
      <c r="G755" s="8"/>
      <c r="H755" s="8"/>
      <c r="I755" s="9" t="s">
        <v>13</v>
      </c>
      <c r="J755" s="9" t="s">
        <v>13</v>
      </c>
      <c r="K755" s="9"/>
      <c r="L755" s="9" t="s">
        <v>178</v>
      </c>
      <c r="M755" s="9" t="s">
        <v>13</v>
      </c>
      <c r="N755" s="9" t="s">
        <v>406</v>
      </c>
      <c r="O755" s="9" t="s">
        <v>412</v>
      </c>
      <c r="P755" s="9" t="s">
        <v>418</v>
      </c>
      <c r="Q755" s="41"/>
      <c r="R755" s="41">
        <v>25</v>
      </c>
      <c r="S755" s="41">
        <v>25</v>
      </c>
      <c r="T755" s="9"/>
      <c r="U755" s="14" t="s">
        <v>77</v>
      </c>
      <c r="V755" s="9"/>
      <c r="W755" s="210">
        <v>30</v>
      </c>
      <c r="X755" s="34"/>
      <c r="Y755" s="34"/>
      <c r="Z755" s="34"/>
      <c r="AA755" s="34"/>
      <c r="AB755" s="34"/>
      <c r="AC755" s="34">
        <f t="shared" si="112"/>
        <v>1.4999999999999999E-2</v>
      </c>
      <c r="AD755" s="34"/>
      <c r="AE755" s="34"/>
      <c r="AF755" s="34">
        <f t="shared" si="113"/>
        <v>0.15</v>
      </c>
      <c r="AG755" s="34"/>
      <c r="AH755" s="34"/>
      <c r="AI755" s="34"/>
      <c r="AJ755" s="34">
        <f t="shared" si="109"/>
        <v>0.16499999999999998</v>
      </c>
      <c r="AK755" s="9"/>
      <c r="AL755" s="34"/>
      <c r="AM755" s="9"/>
      <c r="AN755" s="9"/>
      <c r="AO755" s="9"/>
      <c r="AP755" s="14"/>
    </row>
    <row r="756" spans="1:42" s="45" customFormat="1" ht="22" customHeight="1">
      <c r="A756" s="14" t="s">
        <v>21</v>
      </c>
      <c r="B756" s="8">
        <v>2024</v>
      </c>
      <c r="C756" s="8" t="s">
        <v>8</v>
      </c>
      <c r="D756" s="9" t="s">
        <v>185</v>
      </c>
      <c r="E756" s="9" t="s">
        <v>10</v>
      </c>
      <c r="F756" s="9" t="s">
        <v>186</v>
      </c>
      <c r="G756" s="8"/>
      <c r="H756" s="8"/>
      <c r="I756" s="9" t="s">
        <v>13</v>
      </c>
      <c r="J756" s="9" t="s">
        <v>13</v>
      </c>
      <c r="K756" s="9"/>
      <c r="L756" s="9" t="s">
        <v>178</v>
      </c>
      <c r="M756" s="9" t="s">
        <v>13</v>
      </c>
      <c r="N756" s="9" t="s">
        <v>406</v>
      </c>
      <c r="O756" s="9" t="s">
        <v>412</v>
      </c>
      <c r="P756" s="9" t="s">
        <v>419</v>
      </c>
      <c r="Q756" s="41"/>
      <c r="R756" s="41">
        <v>75</v>
      </c>
      <c r="S756" s="41">
        <v>75</v>
      </c>
      <c r="T756" s="9"/>
      <c r="U756" s="14" t="s">
        <v>77</v>
      </c>
      <c r="V756" s="9"/>
      <c r="W756" s="210">
        <v>30</v>
      </c>
      <c r="X756" s="34"/>
      <c r="Y756" s="34"/>
      <c r="Z756" s="34"/>
      <c r="AA756" s="34"/>
      <c r="AB756" s="34"/>
      <c r="AC756" s="34">
        <f t="shared" si="112"/>
        <v>4.4999999999999998E-2</v>
      </c>
      <c r="AD756" s="34"/>
      <c r="AE756" s="34"/>
      <c r="AF756" s="34">
        <f t="shared" si="113"/>
        <v>0.45</v>
      </c>
      <c r="AG756" s="34"/>
      <c r="AH756" s="34"/>
      <c r="AI756" s="34"/>
      <c r="AJ756" s="34">
        <f t="shared" si="109"/>
        <v>0.495</v>
      </c>
      <c r="AK756" s="9"/>
      <c r="AL756" s="34"/>
      <c r="AM756" s="9"/>
      <c r="AN756" s="9"/>
      <c r="AO756" s="9"/>
      <c r="AP756" s="14"/>
    </row>
    <row r="757" spans="1:42" s="45" customFormat="1" ht="22" customHeight="1">
      <c r="A757" s="14" t="s">
        <v>21</v>
      </c>
      <c r="B757" s="8">
        <v>2024</v>
      </c>
      <c r="C757" s="8" t="s">
        <v>8</v>
      </c>
      <c r="D757" s="9" t="s">
        <v>185</v>
      </c>
      <c r="E757" s="9" t="s">
        <v>10</v>
      </c>
      <c r="F757" s="9" t="s">
        <v>186</v>
      </c>
      <c r="G757" s="8"/>
      <c r="H757" s="8"/>
      <c r="I757" s="9" t="s">
        <v>13</v>
      </c>
      <c r="J757" s="9" t="s">
        <v>13</v>
      </c>
      <c r="K757" s="9"/>
      <c r="L757" s="9" t="s">
        <v>178</v>
      </c>
      <c r="M757" s="9" t="s">
        <v>13</v>
      </c>
      <c r="N757" s="9" t="s">
        <v>406</v>
      </c>
      <c r="O757" s="9" t="s">
        <v>412</v>
      </c>
      <c r="P757" s="9" t="s">
        <v>412</v>
      </c>
      <c r="Q757" s="41"/>
      <c r="R757" s="41">
        <v>55</v>
      </c>
      <c r="S757" s="41">
        <v>55</v>
      </c>
      <c r="T757" s="9"/>
      <c r="U757" s="14" t="s">
        <v>77</v>
      </c>
      <c r="V757" s="9"/>
      <c r="W757" s="210">
        <v>30</v>
      </c>
      <c r="X757" s="34"/>
      <c r="Y757" s="34"/>
      <c r="Z757" s="34"/>
      <c r="AA757" s="34"/>
      <c r="AB757" s="34"/>
      <c r="AC757" s="34">
        <f t="shared" si="112"/>
        <v>3.3000000000000002E-2</v>
      </c>
      <c r="AD757" s="34"/>
      <c r="AE757" s="34"/>
      <c r="AF757" s="34">
        <f t="shared" si="113"/>
        <v>0.33</v>
      </c>
      <c r="AG757" s="34"/>
      <c r="AH757" s="34"/>
      <c r="AI757" s="34"/>
      <c r="AJ757" s="34">
        <f t="shared" si="109"/>
        <v>0.36299999999999999</v>
      </c>
      <c r="AK757" s="9"/>
      <c r="AL757" s="34"/>
      <c r="AM757" s="9"/>
      <c r="AN757" s="9"/>
      <c r="AO757" s="9"/>
      <c r="AP757" s="14"/>
    </row>
    <row r="758" spans="1:42" s="45" customFormat="1" ht="22" customHeight="1">
      <c r="A758" s="14" t="s">
        <v>21</v>
      </c>
      <c r="B758" s="8">
        <v>2024</v>
      </c>
      <c r="C758" s="8" t="s">
        <v>8</v>
      </c>
      <c r="D758" s="9" t="s">
        <v>185</v>
      </c>
      <c r="E758" s="9" t="s">
        <v>10</v>
      </c>
      <c r="F758" s="9" t="s">
        <v>186</v>
      </c>
      <c r="G758" s="8"/>
      <c r="H758" s="8"/>
      <c r="I758" s="9" t="s">
        <v>13</v>
      </c>
      <c r="J758" s="9" t="s">
        <v>13</v>
      </c>
      <c r="K758" s="9"/>
      <c r="L758" s="9" t="s">
        <v>215</v>
      </c>
      <c r="M758" s="9" t="s">
        <v>92</v>
      </c>
      <c r="N758" s="9" t="s">
        <v>406</v>
      </c>
      <c r="O758" s="14" t="s">
        <v>426</v>
      </c>
      <c r="P758" s="9" t="s">
        <v>426</v>
      </c>
      <c r="Q758" s="41"/>
      <c r="R758" s="41">
        <v>365</v>
      </c>
      <c r="S758" s="41">
        <v>433.26599999999996</v>
      </c>
      <c r="T758" s="9"/>
      <c r="U758" s="14" t="s">
        <v>77</v>
      </c>
      <c r="V758" s="9"/>
      <c r="W758" s="210">
        <v>30</v>
      </c>
      <c r="X758" s="34"/>
      <c r="Y758" s="34"/>
      <c r="Z758" s="34"/>
      <c r="AA758" s="34"/>
      <c r="AB758" s="34"/>
      <c r="AC758" s="34">
        <f t="shared" si="112"/>
        <v>0.25995959999999996</v>
      </c>
      <c r="AD758" s="34"/>
      <c r="AE758" s="34"/>
      <c r="AF758" s="34">
        <f t="shared" si="113"/>
        <v>2.599596</v>
      </c>
      <c r="AG758" s="34"/>
      <c r="AH758" s="34"/>
      <c r="AI758" s="34"/>
      <c r="AJ758" s="34">
        <f t="shared" si="109"/>
        <v>2.8595556000000002</v>
      </c>
      <c r="AK758" s="9"/>
      <c r="AL758" s="34"/>
      <c r="AM758" s="9"/>
      <c r="AN758" s="9"/>
      <c r="AO758" s="9"/>
      <c r="AP758" s="14"/>
    </row>
    <row r="759" spans="1:42" s="45" customFormat="1" ht="22" customHeight="1">
      <c r="A759" s="14" t="s">
        <v>21</v>
      </c>
      <c r="B759" s="8">
        <v>2024</v>
      </c>
      <c r="C759" s="8" t="s">
        <v>8</v>
      </c>
      <c r="D759" s="9" t="s">
        <v>185</v>
      </c>
      <c r="E759" s="9" t="s">
        <v>10</v>
      </c>
      <c r="F759" s="9" t="s">
        <v>186</v>
      </c>
      <c r="G759" s="8"/>
      <c r="H759" s="8"/>
      <c r="I759" s="9" t="s">
        <v>13</v>
      </c>
      <c r="J759" s="9" t="s">
        <v>13</v>
      </c>
      <c r="K759" s="9"/>
      <c r="L759" s="9" t="s">
        <v>215</v>
      </c>
      <c r="M759" s="9" t="s">
        <v>92</v>
      </c>
      <c r="N759" s="9" t="s">
        <v>406</v>
      </c>
      <c r="O759" s="14" t="s">
        <v>426</v>
      </c>
      <c r="P759" s="9" t="s">
        <v>427</v>
      </c>
      <c r="Q759" s="41"/>
      <c r="R759" s="41">
        <v>75</v>
      </c>
      <c r="S759" s="41">
        <v>347.774</v>
      </c>
      <c r="T759" s="9"/>
      <c r="U759" s="14" t="s">
        <v>77</v>
      </c>
      <c r="V759" s="9"/>
      <c r="W759" s="210">
        <v>30</v>
      </c>
      <c r="X759" s="34"/>
      <c r="Y759" s="34"/>
      <c r="Z759" s="34"/>
      <c r="AA759" s="34"/>
      <c r="AB759" s="34"/>
      <c r="AC759" s="34">
        <f t="shared" si="112"/>
        <v>0.2086644</v>
      </c>
      <c r="AD759" s="34"/>
      <c r="AE759" s="34"/>
      <c r="AF759" s="34">
        <f t="shared" si="113"/>
        <v>2.0866439999999997</v>
      </c>
      <c r="AG759" s="34"/>
      <c r="AH759" s="34"/>
      <c r="AI759" s="34"/>
      <c r="AJ759" s="34">
        <f t="shared" si="109"/>
        <v>2.2953083999999997</v>
      </c>
      <c r="AK759" s="9"/>
      <c r="AL759" s="34"/>
      <c r="AM759" s="9"/>
      <c r="AN759" s="9"/>
      <c r="AO759" s="9"/>
      <c r="AP759" s="14"/>
    </row>
    <row r="760" spans="1:42" s="45" customFormat="1" ht="22" customHeight="1">
      <c r="A760" s="14" t="s">
        <v>21</v>
      </c>
      <c r="B760" s="8">
        <v>2024</v>
      </c>
      <c r="C760" s="8" t="s">
        <v>8</v>
      </c>
      <c r="D760" s="9" t="s">
        <v>185</v>
      </c>
      <c r="E760" s="9" t="s">
        <v>10</v>
      </c>
      <c r="F760" s="9" t="s">
        <v>186</v>
      </c>
      <c r="G760" s="8"/>
      <c r="H760" s="8"/>
      <c r="I760" s="9" t="s">
        <v>13</v>
      </c>
      <c r="J760" s="9" t="s">
        <v>13</v>
      </c>
      <c r="K760" s="9"/>
      <c r="L760" s="9" t="s">
        <v>215</v>
      </c>
      <c r="M760" s="9" t="s">
        <v>92</v>
      </c>
      <c r="N760" s="9" t="s">
        <v>406</v>
      </c>
      <c r="O760" s="14" t="s">
        <v>428</v>
      </c>
      <c r="P760" s="9" t="s">
        <v>429</v>
      </c>
      <c r="Q760" s="41"/>
      <c r="R760" s="41">
        <v>320</v>
      </c>
      <c r="S760" s="41">
        <v>595.55799999999999</v>
      </c>
      <c r="T760" s="9"/>
      <c r="U760" s="14" t="s">
        <v>77</v>
      </c>
      <c r="V760" s="9"/>
      <c r="W760" s="210">
        <v>30</v>
      </c>
      <c r="X760" s="34"/>
      <c r="Y760" s="34"/>
      <c r="Z760" s="34"/>
      <c r="AA760" s="34"/>
      <c r="AB760" s="34"/>
      <c r="AC760" s="34">
        <f t="shared" si="112"/>
        <v>0.35733479999999995</v>
      </c>
      <c r="AD760" s="34"/>
      <c r="AE760" s="34"/>
      <c r="AF760" s="34">
        <f t="shared" si="113"/>
        <v>3.5733479999999997</v>
      </c>
      <c r="AG760" s="34"/>
      <c r="AH760" s="34"/>
      <c r="AI760" s="34"/>
      <c r="AJ760" s="34">
        <f t="shared" si="109"/>
        <v>3.9306827999999996</v>
      </c>
      <c r="AK760" s="9"/>
      <c r="AL760" s="34"/>
      <c r="AM760" s="9"/>
      <c r="AN760" s="9"/>
      <c r="AO760" s="9"/>
      <c r="AP760" s="14"/>
    </row>
    <row r="761" spans="1:42" s="45" customFormat="1" ht="22" customHeight="1">
      <c r="A761" s="14" t="s">
        <v>21</v>
      </c>
      <c r="B761" s="8">
        <v>2024</v>
      </c>
      <c r="C761" s="8" t="s">
        <v>8</v>
      </c>
      <c r="D761" s="9" t="s">
        <v>185</v>
      </c>
      <c r="E761" s="9" t="s">
        <v>10</v>
      </c>
      <c r="F761" s="9" t="s">
        <v>186</v>
      </c>
      <c r="G761" s="8"/>
      <c r="H761" s="8"/>
      <c r="I761" s="9" t="s">
        <v>13</v>
      </c>
      <c r="J761" s="9" t="s">
        <v>13</v>
      </c>
      <c r="K761" s="9"/>
      <c r="L761" s="9" t="s">
        <v>215</v>
      </c>
      <c r="M761" s="9" t="s">
        <v>92</v>
      </c>
      <c r="N761" s="9" t="s">
        <v>406</v>
      </c>
      <c r="O761" s="14" t="s">
        <v>428</v>
      </c>
      <c r="P761" s="9" t="s">
        <v>428</v>
      </c>
      <c r="Q761" s="41"/>
      <c r="R761" s="41">
        <v>330</v>
      </c>
      <c r="S761" s="41">
        <v>502.49199999999996</v>
      </c>
      <c r="T761" s="9"/>
      <c r="U761" s="14" t="s">
        <v>77</v>
      </c>
      <c r="V761" s="9"/>
      <c r="W761" s="210">
        <v>30</v>
      </c>
      <c r="X761" s="34"/>
      <c r="Y761" s="34"/>
      <c r="Z761" s="34"/>
      <c r="AA761" s="34"/>
      <c r="AB761" s="34"/>
      <c r="AC761" s="34">
        <f t="shared" si="112"/>
        <v>0.30149519999999996</v>
      </c>
      <c r="AD761" s="34"/>
      <c r="AE761" s="34"/>
      <c r="AF761" s="34">
        <f t="shared" si="113"/>
        <v>3.0149519999999996</v>
      </c>
      <c r="AG761" s="34"/>
      <c r="AH761" s="34"/>
      <c r="AI761" s="34"/>
      <c r="AJ761" s="34">
        <f t="shared" si="109"/>
        <v>3.3164471999999998</v>
      </c>
      <c r="AK761" s="9"/>
      <c r="AL761" s="34"/>
      <c r="AM761" s="9"/>
      <c r="AN761" s="9"/>
      <c r="AO761" s="9"/>
      <c r="AP761" s="14"/>
    </row>
    <row r="762" spans="1:42" s="45" customFormat="1" ht="22" customHeight="1">
      <c r="A762" s="14" t="s">
        <v>21</v>
      </c>
      <c r="B762" s="8">
        <v>2024</v>
      </c>
      <c r="C762" s="8" t="s">
        <v>8</v>
      </c>
      <c r="D762" s="9" t="s">
        <v>185</v>
      </c>
      <c r="E762" s="9" t="s">
        <v>10</v>
      </c>
      <c r="F762" s="9" t="s">
        <v>186</v>
      </c>
      <c r="G762" s="8"/>
      <c r="H762" s="8"/>
      <c r="I762" s="9" t="s">
        <v>13</v>
      </c>
      <c r="J762" s="9" t="s">
        <v>13</v>
      </c>
      <c r="K762" s="9"/>
      <c r="L762" s="9" t="s">
        <v>215</v>
      </c>
      <c r="M762" s="9" t="s">
        <v>92</v>
      </c>
      <c r="N762" s="9" t="s">
        <v>406</v>
      </c>
      <c r="O762" s="14" t="s">
        <v>428</v>
      </c>
      <c r="P762" s="9" t="s">
        <v>430</v>
      </c>
      <c r="Q762" s="41"/>
      <c r="R762" s="41">
        <v>205</v>
      </c>
      <c r="S762" s="41">
        <v>205</v>
      </c>
      <c r="T762" s="9"/>
      <c r="U762" s="14" t="s">
        <v>77</v>
      </c>
      <c r="V762" s="9"/>
      <c r="W762" s="210">
        <v>30</v>
      </c>
      <c r="X762" s="34"/>
      <c r="Y762" s="34"/>
      <c r="Z762" s="34"/>
      <c r="AA762" s="34"/>
      <c r="AB762" s="34"/>
      <c r="AC762" s="34">
        <f t="shared" si="112"/>
        <v>0.123</v>
      </c>
      <c r="AD762" s="34"/>
      <c r="AE762" s="34"/>
      <c r="AF762" s="34">
        <f t="shared" si="113"/>
        <v>1.23</v>
      </c>
      <c r="AG762" s="34"/>
      <c r="AH762" s="34"/>
      <c r="AI762" s="34"/>
      <c r="AJ762" s="34">
        <f t="shared" si="109"/>
        <v>1.353</v>
      </c>
      <c r="AK762" s="9"/>
      <c r="AL762" s="34"/>
      <c r="AM762" s="9"/>
      <c r="AN762" s="9"/>
      <c r="AO762" s="9"/>
      <c r="AP762" s="14"/>
    </row>
    <row r="763" spans="1:42" s="45" customFormat="1" ht="22" customHeight="1">
      <c r="A763" s="14" t="s">
        <v>21</v>
      </c>
      <c r="B763" s="8">
        <v>2024</v>
      </c>
      <c r="C763" s="8" t="s">
        <v>8</v>
      </c>
      <c r="D763" s="9" t="s">
        <v>185</v>
      </c>
      <c r="E763" s="9" t="s">
        <v>10</v>
      </c>
      <c r="F763" s="9" t="s">
        <v>186</v>
      </c>
      <c r="G763" s="8"/>
      <c r="H763" s="8"/>
      <c r="I763" s="9" t="s">
        <v>13</v>
      </c>
      <c r="J763" s="9" t="s">
        <v>13</v>
      </c>
      <c r="K763" s="9"/>
      <c r="L763" s="9" t="s">
        <v>215</v>
      </c>
      <c r="M763" s="9" t="s">
        <v>92</v>
      </c>
      <c r="N763" s="9" t="s">
        <v>406</v>
      </c>
      <c r="O763" s="14" t="s">
        <v>420</v>
      </c>
      <c r="P763" s="9" t="s">
        <v>420</v>
      </c>
      <c r="Q763" s="41"/>
      <c r="R763" s="41">
        <v>248</v>
      </c>
      <c r="S763" s="41">
        <v>248</v>
      </c>
      <c r="T763" s="9"/>
      <c r="U763" s="14" t="s">
        <v>77</v>
      </c>
      <c r="V763" s="9"/>
      <c r="W763" s="210">
        <v>30</v>
      </c>
      <c r="X763" s="34"/>
      <c r="Y763" s="34"/>
      <c r="Z763" s="34"/>
      <c r="AA763" s="34"/>
      <c r="AB763" s="34"/>
      <c r="AC763" s="34">
        <f t="shared" si="112"/>
        <v>0.14879999999999999</v>
      </c>
      <c r="AD763" s="34"/>
      <c r="AE763" s="34"/>
      <c r="AF763" s="34">
        <f t="shared" si="113"/>
        <v>1.488</v>
      </c>
      <c r="AG763" s="34"/>
      <c r="AH763" s="34"/>
      <c r="AI763" s="34"/>
      <c r="AJ763" s="34">
        <f t="shared" si="109"/>
        <v>1.6368</v>
      </c>
      <c r="AK763" s="9"/>
      <c r="AL763" s="34"/>
      <c r="AM763" s="9"/>
      <c r="AN763" s="9"/>
      <c r="AO763" s="9"/>
      <c r="AP763" s="14"/>
    </row>
    <row r="764" spans="1:42" s="45" customFormat="1" ht="22" customHeight="1">
      <c r="A764" s="14" t="s">
        <v>21</v>
      </c>
      <c r="B764" s="8">
        <v>2024</v>
      </c>
      <c r="C764" s="8" t="s">
        <v>8</v>
      </c>
      <c r="D764" s="9" t="s">
        <v>185</v>
      </c>
      <c r="E764" s="9" t="s">
        <v>10</v>
      </c>
      <c r="F764" s="9" t="s">
        <v>186</v>
      </c>
      <c r="G764" s="8"/>
      <c r="H764" s="8"/>
      <c r="I764" s="9" t="s">
        <v>13</v>
      </c>
      <c r="J764" s="9" t="s">
        <v>13</v>
      </c>
      <c r="K764" s="9"/>
      <c r="L764" s="9" t="s">
        <v>215</v>
      </c>
      <c r="M764" s="9" t="s">
        <v>92</v>
      </c>
      <c r="N764" s="9" t="s">
        <v>406</v>
      </c>
      <c r="O764" s="14" t="s">
        <v>420</v>
      </c>
      <c r="P764" s="9" t="s">
        <v>421</v>
      </c>
      <c r="Q764" s="41"/>
      <c r="R764" s="41">
        <v>226</v>
      </c>
      <c r="S764" s="41">
        <v>226</v>
      </c>
      <c r="T764" s="9"/>
      <c r="U764" s="14" t="s">
        <v>77</v>
      </c>
      <c r="V764" s="9"/>
      <c r="W764" s="210">
        <v>30</v>
      </c>
      <c r="X764" s="34"/>
      <c r="Y764" s="34"/>
      <c r="Z764" s="34"/>
      <c r="AA764" s="34"/>
      <c r="AB764" s="34"/>
      <c r="AC764" s="34">
        <f t="shared" si="112"/>
        <v>0.1356</v>
      </c>
      <c r="AD764" s="34"/>
      <c r="AE764" s="34"/>
      <c r="AF764" s="34">
        <f t="shared" si="113"/>
        <v>1.3560000000000001</v>
      </c>
      <c r="AG764" s="34"/>
      <c r="AH764" s="34"/>
      <c r="AI764" s="34"/>
      <c r="AJ764" s="34">
        <f t="shared" si="109"/>
        <v>1.4916</v>
      </c>
      <c r="AK764" s="9"/>
      <c r="AL764" s="34"/>
      <c r="AM764" s="9"/>
      <c r="AN764" s="9"/>
      <c r="AO764" s="9"/>
      <c r="AP764" s="14"/>
    </row>
    <row r="765" spans="1:42" s="45" customFormat="1" ht="22" customHeight="1">
      <c r="A765" s="14" t="s">
        <v>21</v>
      </c>
      <c r="B765" s="8">
        <v>2024</v>
      </c>
      <c r="C765" s="8" t="s">
        <v>8</v>
      </c>
      <c r="D765" s="9" t="s">
        <v>185</v>
      </c>
      <c r="E765" s="9" t="s">
        <v>10</v>
      </c>
      <c r="F765" s="9" t="s">
        <v>186</v>
      </c>
      <c r="G765" s="8"/>
      <c r="H765" s="8"/>
      <c r="I765" s="9" t="s">
        <v>13</v>
      </c>
      <c r="J765" s="9" t="s">
        <v>13</v>
      </c>
      <c r="K765" s="9"/>
      <c r="L765" s="9" t="s">
        <v>215</v>
      </c>
      <c r="M765" s="9" t="s">
        <v>92</v>
      </c>
      <c r="N765" s="9" t="s">
        <v>406</v>
      </c>
      <c r="O765" s="14" t="s">
        <v>422</v>
      </c>
      <c r="P765" s="9" t="s">
        <v>423</v>
      </c>
      <c r="Q765" s="41"/>
      <c r="R765" s="41">
        <v>278</v>
      </c>
      <c r="S765" s="41">
        <v>278</v>
      </c>
      <c r="T765" s="9"/>
      <c r="U765" s="14" t="s">
        <v>77</v>
      </c>
      <c r="V765" s="9"/>
      <c r="W765" s="210">
        <v>30</v>
      </c>
      <c r="X765" s="34"/>
      <c r="Y765" s="34"/>
      <c r="Z765" s="34"/>
      <c r="AA765" s="34"/>
      <c r="AB765" s="34"/>
      <c r="AC765" s="34">
        <f t="shared" si="112"/>
        <v>0.1668</v>
      </c>
      <c r="AD765" s="34"/>
      <c r="AE765" s="34"/>
      <c r="AF765" s="34">
        <f t="shared" si="113"/>
        <v>1.6679999999999999</v>
      </c>
      <c r="AG765" s="34"/>
      <c r="AH765" s="34"/>
      <c r="AI765" s="34"/>
      <c r="AJ765" s="34">
        <f t="shared" si="109"/>
        <v>1.8348</v>
      </c>
      <c r="AK765" s="9"/>
      <c r="AL765" s="34"/>
      <c r="AM765" s="9"/>
      <c r="AN765" s="9"/>
      <c r="AO765" s="9"/>
      <c r="AP765" s="14"/>
    </row>
    <row r="766" spans="1:42" s="45" customFormat="1" ht="22" customHeight="1">
      <c r="A766" s="14" t="s">
        <v>21</v>
      </c>
      <c r="B766" s="8">
        <v>2024</v>
      </c>
      <c r="C766" s="8" t="s">
        <v>8</v>
      </c>
      <c r="D766" s="9" t="s">
        <v>185</v>
      </c>
      <c r="E766" s="9" t="s">
        <v>10</v>
      </c>
      <c r="F766" s="9" t="s">
        <v>186</v>
      </c>
      <c r="G766" s="8"/>
      <c r="H766" s="8"/>
      <c r="I766" s="9" t="s">
        <v>13</v>
      </c>
      <c r="J766" s="9" t="s">
        <v>13</v>
      </c>
      <c r="K766" s="9"/>
      <c r="L766" s="9" t="s">
        <v>215</v>
      </c>
      <c r="M766" s="9" t="s">
        <v>92</v>
      </c>
      <c r="N766" s="9" t="s">
        <v>406</v>
      </c>
      <c r="O766" s="14" t="s">
        <v>422</v>
      </c>
      <c r="P766" s="9" t="s">
        <v>422</v>
      </c>
      <c r="Q766" s="41"/>
      <c r="R766" s="41">
        <v>497</v>
      </c>
      <c r="S766" s="41">
        <v>497</v>
      </c>
      <c r="T766" s="9"/>
      <c r="U766" s="14" t="s">
        <v>77</v>
      </c>
      <c r="V766" s="9"/>
      <c r="W766" s="210">
        <v>30</v>
      </c>
      <c r="X766" s="34"/>
      <c r="Y766" s="34"/>
      <c r="Z766" s="34"/>
      <c r="AA766" s="34"/>
      <c r="AB766" s="34"/>
      <c r="AC766" s="34">
        <f t="shared" si="112"/>
        <v>0.29820000000000002</v>
      </c>
      <c r="AD766" s="34"/>
      <c r="AE766" s="34"/>
      <c r="AF766" s="34">
        <f t="shared" si="113"/>
        <v>2.9820000000000002</v>
      </c>
      <c r="AG766" s="34"/>
      <c r="AH766" s="34"/>
      <c r="AI766" s="34"/>
      <c r="AJ766" s="34">
        <f t="shared" si="109"/>
        <v>3.2802000000000002</v>
      </c>
      <c r="AK766" s="9"/>
      <c r="AL766" s="34"/>
      <c r="AM766" s="9"/>
      <c r="AN766" s="9"/>
      <c r="AO766" s="9"/>
      <c r="AP766" s="14"/>
    </row>
    <row r="767" spans="1:42" s="45" customFormat="1" ht="22" customHeight="1">
      <c r="A767" s="14" t="s">
        <v>21</v>
      </c>
      <c r="B767" s="8">
        <v>2024</v>
      </c>
      <c r="C767" s="8" t="s">
        <v>8</v>
      </c>
      <c r="D767" s="9" t="s">
        <v>185</v>
      </c>
      <c r="E767" s="9" t="s">
        <v>10</v>
      </c>
      <c r="F767" s="9" t="s">
        <v>186</v>
      </c>
      <c r="G767" s="8"/>
      <c r="H767" s="8"/>
      <c r="I767" s="9" t="s">
        <v>13</v>
      </c>
      <c r="J767" s="9" t="s">
        <v>13</v>
      </c>
      <c r="K767" s="9"/>
      <c r="L767" s="9" t="s">
        <v>215</v>
      </c>
      <c r="M767" s="9" t="s">
        <v>92</v>
      </c>
      <c r="N767" s="9" t="s">
        <v>406</v>
      </c>
      <c r="O767" s="14" t="s">
        <v>422</v>
      </c>
      <c r="P767" s="9" t="s">
        <v>424</v>
      </c>
      <c r="Q767" s="41"/>
      <c r="R767" s="41">
        <v>254</v>
      </c>
      <c r="S767" s="41">
        <v>254</v>
      </c>
      <c r="T767" s="9"/>
      <c r="U767" s="14" t="s">
        <v>77</v>
      </c>
      <c r="V767" s="9"/>
      <c r="W767" s="210">
        <v>30</v>
      </c>
      <c r="X767" s="34"/>
      <c r="Y767" s="34"/>
      <c r="Z767" s="34"/>
      <c r="AA767" s="34"/>
      <c r="AB767" s="34"/>
      <c r="AC767" s="34">
        <f t="shared" si="112"/>
        <v>0.15240000000000001</v>
      </c>
      <c r="AD767" s="34"/>
      <c r="AE767" s="34"/>
      <c r="AF767" s="34">
        <f t="shared" si="113"/>
        <v>1.524</v>
      </c>
      <c r="AG767" s="34"/>
      <c r="AH767" s="34"/>
      <c r="AI767" s="34"/>
      <c r="AJ767" s="34">
        <f t="shared" si="109"/>
        <v>1.6764000000000001</v>
      </c>
      <c r="AK767" s="9"/>
      <c r="AL767" s="34"/>
      <c r="AM767" s="9"/>
      <c r="AN767" s="9"/>
      <c r="AO767" s="9"/>
      <c r="AP767" s="14"/>
    </row>
    <row r="768" spans="1:42" s="45" customFormat="1" ht="22" customHeight="1">
      <c r="A768" s="14" t="s">
        <v>21</v>
      </c>
      <c r="B768" s="8">
        <v>2024</v>
      </c>
      <c r="C768" s="8" t="s">
        <v>8</v>
      </c>
      <c r="D768" s="9" t="s">
        <v>185</v>
      </c>
      <c r="E768" s="9" t="s">
        <v>10</v>
      </c>
      <c r="F768" s="9" t="s">
        <v>186</v>
      </c>
      <c r="G768" s="8"/>
      <c r="H768" s="8"/>
      <c r="I768" s="9" t="s">
        <v>13</v>
      </c>
      <c r="J768" s="9" t="s">
        <v>13</v>
      </c>
      <c r="K768" s="9"/>
      <c r="L768" s="9" t="s">
        <v>215</v>
      </c>
      <c r="M768" s="9" t="s">
        <v>92</v>
      </c>
      <c r="N768" s="9" t="s">
        <v>406</v>
      </c>
      <c r="O768" s="14" t="s">
        <v>422</v>
      </c>
      <c r="P768" s="9" t="s">
        <v>425</v>
      </c>
      <c r="Q768" s="41"/>
      <c r="R768" s="41">
        <v>247</v>
      </c>
      <c r="S768" s="41">
        <v>247</v>
      </c>
      <c r="T768" s="9"/>
      <c r="U768" s="14" t="s">
        <v>77</v>
      </c>
      <c r="V768" s="9"/>
      <c r="W768" s="210">
        <v>30</v>
      </c>
      <c r="X768" s="34"/>
      <c r="Y768" s="34"/>
      <c r="Z768" s="34"/>
      <c r="AA768" s="34"/>
      <c r="AB768" s="34"/>
      <c r="AC768" s="34">
        <f t="shared" si="112"/>
        <v>0.1482</v>
      </c>
      <c r="AD768" s="34"/>
      <c r="AE768" s="34"/>
      <c r="AF768" s="34">
        <f t="shared" si="113"/>
        <v>1.482</v>
      </c>
      <c r="AG768" s="34"/>
      <c r="AH768" s="34"/>
      <c r="AI768" s="34"/>
      <c r="AJ768" s="34">
        <f t="shared" ref="AJ768:AJ814" si="114">SUBTOTAL(9,X768:AI768)</f>
        <v>1.6301999999999999</v>
      </c>
      <c r="AK768" s="9"/>
      <c r="AL768" s="34"/>
      <c r="AM768" s="9"/>
      <c r="AN768" s="9"/>
      <c r="AO768" s="9"/>
      <c r="AP768" s="14"/>
    </row>
    <row r="769" spans="1:42" s="45" customFormat="1" ht="22" customHeight="1">
      <c r="A769" s="14" t="s">
        <v>19</v>
      </c>
      <c r="B769" s="8">
        <v>2024</v>
      </c>
      <c r="C769" s="8" t="s">
        <v>8</v>
      </c>
      <c r="D769" s="9" t="s">
        <v>185</v>
      </c>
      <c r="E769" s="9" t="s">
        <v>15</v>
      </c>
      <c r="F769" s="9" t="s">
        <v>186</v>
      </c>
      <c r="G769" s="8"/>
      <c r="H769" s="8"/>
      <c r="I769" s="9" t="s">
        <v>13</v>
      </c>
      <c r="J769" s="9" t="s">
        <v>13</v>
      </c>
      <c r="K769" s="9"/>
      <c r="L769" s="9" t="s">
        <v>178</v>
      </c>
      <c r="M769" s="9" t="s">
        <v>13</v>
      </c>
      <c r="N769" s="9" t="s">
        <v>406</v>
      </c>
      <c r="O769" s="9" t="s">
        <v>407</v>
      </c>
      <c r="P769" s="9" t="s">
        <v>408</v>
      </c>
      <c r="Q769" s="41">
        <v>573</v>
      </c>
      <c r="R769" s="41"/>
      <c r="S769" s="41">
        <v>573</v>
      </c>
      <c r="T769" s="9"/>
      <c r="U769" s="14" t="s">
        <v>77</v>
      </c>
      <c r="V769" s="9"/>
      <c r="W769" s="210">
        <v>30</v>
      </c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>
        <f t="shared" ref="AH769:AH791" si="115">S769*W769*50/1000000</f>
        <v>0.85950000000000004</v>
      </c>
      <c r="AI769" s="34"/>
      <c r="AJ769" s="34">
        <f t="shared" si="114"/>
        <v>0.85950000000000004</v>
      </c>
      <c r="AK769" s="9"/>
      <c r="AL769" s="34"/>
      <c r="AM769" s="9"/>
      <c r="AN769" s="9"/>
      <c r="AO769" s="9"/>
      <c r="AP769" s="14"/>
    </row>
    <row r="770" spans="1:42" s="45" customFormat="1" ht="22" customHeight="1">
      <c r="A770" s="14" t="s">
        <v>19</v>
      </c>
      <c r="B770" s="8">
        <v>2024</v>
      </c>
      <c r="C770" s="8" t="s">
        <v>8</v>
      </c>
      <c r="D770" s="9" t="s">
        <v>185</v>
      </c>
      <c r="E770" s="9" t="s">
        <v>15</v>
      </c>
      <c r="F770" s="9" t="s">
        <v>186</v>
      </c>
      <c r="G770" s="8"/>
      <c r="H770" s="8"/>
      <c r="I770" s="9" t="s">
        <v>13</v>
      </c>
      <c r="J770" s="9" t="s">
        <v>13</v>
      </c>
      <c r="K770" s="9"/>
      <c r="L770" s="9" t="s">
        <v>178</v>
      </c>
      <c r="M770" s="9" t="s">
        <v>13</v>
      </c>
      <c r="N770" s="9" t="s">
        <v>406</v>
      </c>
      <c r="O770" s="9" t="s">
        <v>407</v>
      </c>
      <c r="P770" s="9" t="s">
        <v>409</v>
      </c>
      <c r="Q770" s="41">
        <v>270</v>
      </c>
      <c r="R770" s="41"/>
      <c r="S770" s="41">
        <v>270</v>
      </c>
      <c r="T770" s="9"/>
      <c r="U770" s="14" t="s">
        <v>77</v>
      </c>
      <c r="V770" s="9"/>
      <c r="W770" s="210">
        <v>30</v>
      </c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>
        <f t="shared" si="115"/>
        <v>0.40500000000000003</v>
      </c>
      <c r="AI770" s="34"/>
      <c r="AJ770" s="34">
        <f t="shared" si="114"/>
        <v>0.40500000000000003</v>
      </c>
      <c r="AK770" s="9"/>
      <c r="AL770" s="34"/>
      <c r="AM770" s="9"/>
      <c r="AN770" s="9"/>
      <c r="AO770" s="9"/>
      <c r="AP770" s="14"/>
    </row>
    <row r="771" spans="1:42" s="45" customFormat="1" ht="22" customHeight="1">
      <c r="A771" s="14" t="s">
        <v>19</v>
      </c>
      <c r="B771" s="8">
        <v>2024</v>
      </c>
      <c r="C771" s="8" t="s">
        <v>8</v>
      </c>
      <c r="D771" s="9" t="s">
        <v>185</v>
      </c>
      <c r="E771" s="9" t="s">
        <v>15</v>
      </c>
      <c r="F771" s="9" t="s">
        <v>186</v>
      </c>
      <c r="G771" s="8"/>
      <c r="H771" s="8"/>
      <c r="I771" s="9" t="s">
        <v>13</v>
      </c>
      <c r="J771" s="9" t="s">
        <v>13</v>
      </c>
      <c r="K771" s="9"/>
      <c r="L771" s="9" t="s">
        <v>178</v>
      </c>
      <c r="M771" s="9" t="s">
        <v>13</v>
      </c>
      <c r="N771" s="9" t="s">
        <v>406</v>
      </c>
      <c r="O771" s="9" t="s">
        <v>407</v>
      </c>
      <c r="P771" s="9" t="s">
        <v>410</v>
      </c>
      <c r="Q771" s="41">
        <v>162</v>
      </c>
      <c r="R771" s="41"/>
      <c r="S771" s="41">
        <v>162</v>
      </c>
      <c r="T771" s="9"/>
      <c r="U771" s="14" t="s">
        <v>77</v>
      </c>
      <c r="V771" s="9"/>
      <c r="W771" s="210">
        <v>30</v>
      </c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>
        <f t="shared" si="115"/>
        <v>0.24299999999999999</v>
      </c>
      <c r="AI771" s="34"/>
      <c r="AJ771" s="34">
        <f t="shared" si="114"/>
        <v>0.24299999999999999</v>
      </c>
      <c r="AK771" s="9"/>
      <c r="AL771" s="34"/>
      <c r="AM771" s="9"/>
      <c r="AN771" s="9"/>
      <c r="AO771" s="9"/>
      <c r="AP771" s="14"/>
    </row>
    <row r="772" spans="1:42" s="45" customFormat="1" ht="22" customHeight="1">
      <c r="A772" s="14" t="s">
        <v>19</v>
      </c>
      <c r="B772" s="8">
        <v>2024</v>
      </c>
      <c r="C772" s="8" t="s">
        <v>8</v>
      </c>
      <c r="D772" s="9" t="s">
        <v>185</v>
      </c>
      <c r="E772" s="9" t="s">
        <v>15</v>
      </c>
      <c r="F772" s="9" t="s">
        <v>186</v>
      </c>
      <c r="G772" s="8"/>
      <c r="H772" s="8"/>
      <c r="I772" s="9" t="s">
        <v>13</v>
      </c>
      <c r="J772" s="9" t="s">
        <v>13</v>
      </c>
      <c r="K772" s="9"/>
      <c r="L772" s="9" t="s">
        <v>178</v>
      </c>
      <c r="M772" s="9" t="s">
        <v>13</v>
      </c>
      <c r="N772" s="9" t="s">
        <v>406</v>
      </c>
      <c r="O772" s="9" t="s">
        <v>407</v>
      </c>
      <c r="P772" s="9" t="s">
        <v>411</v>
      </c>
      <c r="Q772" s="41">
        <v>145</v>
      </c>
      <c r="R772" s="41"/>
      <c r="S772" s="41">
        <v>145</v>
      </c>
      <c r="T772" s="9"/>
      <c r="U772" s="14" t="s">
        <v>77</v>
      </c>
      <c r="V772" s="9"/>
      <c r="W772" s="210">
        <v>30</v>
      </c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>
        <f t="shared" si="115"/>
        <v>0.2175</v>
      </c>
      <c r="AI772" s="34"/>
      <c r="AJ772" s="34">
        <f t="shared" si="114"/>
        <v>0.2175</v>
      </c>
      <c r="AK772" s="9"/>
      <c r="AL772" s="34"/>
      <c r="AM772" s="9"/>
      <c r="AN772" s="9"/>
      <c r="AO772" s="9"/>
      <c r="AP772" s="14"/>
    </row>
    <row r="773" spans="1:42" s="45" customFormat="1" ht="22" customHeight="1">
      <c r="A773" s="14" t="s">
        <v>19</v>
      </c>
      <c r="B773" s="8">
        <v>2024</v>
      </c>
      <c r="C773" s="8" t="s">
        <v>8</v>
      </c>
      <c r="D773" s="9" t="s">
        <v>185</v>
      </c>
      <c r="E773" s="9" t="s">
        <v>15</v>
      </c>
      <c r="F773" s="9" t="s">
        <v>186</v>
      </c>
      <c r="G773" s="8"/>
      <c r="H773" s="8"/>
      <c r="I773" s="9" t="s">
        <v>13</v>
      </c>
      <c r="J773" s="9" t="s">
        <v>13</v>
      </c>
      <c r="K773" s="9"/>
      <c r="L773" s="9" t="s">
        <v>178</v>
      </c>
      <c r="M773" s="9" t="s">
        <v>13</v>
      </c>
      <c r="N773" s="9" t="s">
        <v>406</v>
      </c>
      <c r="O773" s="14" t="s">
        <v>412</v>
      </c>
      <c r="P773" s="9" t="s">
        <v>413</v>
      </c>
      <c r="Q773" s="41">
        <v>125</v>
      </c>
      <c r="R773" s="41"/>
      <c r="S773" s="41">
        <v>125</v>
      </c>
      <c r="T773" s="9"/>
      <c r="U773" s="14" t="s">
        <v>77</v>
      </c>
      <c r="V773" s="9"/>
      <c r="W773" s="210">
        <v>30</v>
      </c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>
        <f t="shared" si="115"/>
        <v>0.1875</v>
      </c>
      <c r="AI773" s="34"/>
      <c r="AJ773" s="34">
        <f t="shared" si="114"/>
        <v>0.1875</v>
      </c>
      <c r="AK773" s="9"/>
      <c r="AL773" s="34"/>
      <c r="AM773" s="9"/>
      <c r="AN773" s="9"/>
      <c r="AO773" s="9"/>
      <c r="AP773" s="14"/>
    </row>
    <row r="774" spans="1:42" s="45" customFormat="1" ht="22" customHeight="1">
      <c r="A774" s="14" t="s">
        <v>19</v>
      </c>
      <c r="B774" s="8">
        <v>2024</v>
      </c>
      <c r="C774" s="8" t="s">
        <v>8</v>
      </c>
      <c r="D774" s="9" t="s">
        <v>185</v>
      </c>
      <c r="E774" s="9" t="s">
        <v>15</v>
      </c>
      <c r="F774" s="9" t="s">
        <v>186</v>
      </c>
      <c r="G774" s="8"/>
      <c r="H774" s="8"/>
      <c r="I774" s="9" t="s">
        <v>13</v>
      </c>
      <c r="J774" s="9" t="s">
        <v>13</v>
      </c>
      <c r="K774" s="9"/>
      <c r="L774" s="9" t="s">
        <v>178</v>
      </c>
      <c r="M774" s="9" t="s">
        <v>13</v>
      </c>
      <c r="N774" s="9" t="s">
        <v>406</v>
      </c>
      <c r="O774" s="14" t="s">
        <v>412</v>
      </c>
      <c r="P774" s="9" t="s">
        <v>433</v>
      </c>
      <c r="Q774" s="41">
        <v>41</v>
      </c>
      <c r="R774" s="41"/>
      <c r="S774" s="41">
        <v>41</v>
      </c>
      <c r="T774" s="9"/>
      <c r="U774" s="14" t="s">
        <v>77</v>
      </c>
      <c r="V774" s="9"/>
      <c r="W774" s="210">
        <v>30</v>
      </c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>
        <f t="shared" si="115"/>
        <v>6.1499999999999999E-2</v>
      </c>
      <c r="AI774" s="34"/>
      <c r="AJ774" s="34">
        <f t="shared" si="114"/>
        <v>6.1499999999999999E-2</v>
      </c>
      <c r="AK774" s="9"/>
      <c r="AL774" s="34"/>
      <c r="AM774" s="9"/>
      <c r="AN774" s="9"/>
      <c r="AO774" s="9"/>
      <c r="AP774" s="14"/>
    </row>
    <row r="775" spans="1:42" s="45" customFormat="1" ht="22" customHeight="1">
      <c r="A775" s="14" t="s">
        <v>19</v>
      </c>
      <c r="B775" s="8">
        <v>2024</v>
      </c>
      <c r="C775" s="8" t="s">
        <v>8</v>
      </c>
      <c r="D775" s="9" t="s">
        <v>185</v>
      </c>
      <c r="E775" s="9" t="s">
        <v>15</v>
      </c>
      <c r="F775" s="9" t="s">
        <v>186</v>
      </c>
      <c r="G775" s="8"/>
      <c r="H775" s="8"/>
      <c r="I775" s="9" t="s">
        <v>13</v>
      </c>
      <c r="J775" s="9" t="s">
        <v>13</v>
      </c>
      <c r="K775" s="9"/>
      <c r="L775" s="9" t="s">
        <v>178</v>
      </c>
      <c r="M775" s="9" t="s">
        <v>13</v>
      </c>
      <c r="N775" s="9" t="s">
        <v>406</v>
      </c>
      <c r="O775" s="14" t="s">
        <v>412</v>
      </c>
      <c r="P775" s="9" t="s">
        <v>415</v>
      </c>
      <c r="Q775" s="41">
        <v>50</v>
      </c>
      <c r="R775" s="41"/>
      <c r="S775" s="41">
        <v>50</v>
      </c>
      <c r="T775" s="9"/>
      <c r="U775" s="14" t="s">
        <v>77</v>
      </c>
      <c r="V775" s="9"/>
      <c r="W775" s="210">
        <v>30</v>
      </c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>
        <f t="shared" si="115"/>
        <v>7.4999999999999997E-2</v>
      </c>
      <c r="AI775" s="34"/>
      <c r="AJ775" s="34">
        <f t="shared" si="114"/>
        <v>7.4999999999999997E-2</v>
      </c>
      <c r="AK775" s="9"/>
      <c r="AL775" s="34"/>
      <c r="AM775" s="9"/>
      <c r="AN775" s="9"/>
      <c r="AO775" s="9"/>
      <c r="AP775" s="14"/>
    </row>
    <row r="776" spans="1:42" s="45" customFormat="1" ht="22" customHeight="1">
      <c r="A776" s="14" t="s">
        <v>19</v>
      </c>
      <c r="B776" s="8">
        <v>2024</v>
      </c>
      <c r="C776" s="8" t="s">
        <v>8</v>
      </c>
      <c r="D776" s="9" t="s">
        <v>185</v>
      </c>
      <c r="E776" s="9" t="s">
        <v>15</v>
      </c>
      <c r="F776" s="9" t="s">
        <v>186</v>
      </c>
      <c r="G776" s="8"/>
      <c r="H776" s="8"/>
      <c r="I776" s="9" t="s">
        <v>13</v>
      </c>
      <c r="J776" s="9" t="s">
        <v>13</v>
      </c>
      <c r="K776" s="9"/>
      <c r="L776" s="9" t="s">
        <v>178</v>
      </c>
      <c r="M776" s="9" t="s">
        <v>13</v>
      </c>
      <c r="N776" s="9" t="s">
        <v>406</v>
      </c>
      <c r="O776" s="14" t="s">
        <v>412</v>
      </c>
      <c r="P776" s="9" t="s">
        <v>416</v>
      </c>
      <c r="Q776" s="41">
        <v>71</v>
      </c>
      <c r="R776" s="41"/>
      <c r="S776" s="41">
        <v>71</v>
      </c>
      <c r="T776" s="9"/>
      <c r="U776" s="14" t="s">
        <v>77</v>
      </c>
      <c r="V776" s="9"/>
      <c r="W776" s="210">
        <v>30</v>
      </c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>
        <f t="shared" si="115"/>
        <v>0.1065</v>
      </c>
      <c r="AI776" s="34"/>
      <c r="AJ776" s="34">
        <f t="shared" si="114"/>
        <v>0.1065</v>
      </c>
      <c r="AK776" s="9"/>
      <c r="AL776" s="34"/>
      <c r="AM776" s="9"/>
      <c r="AN776" s="9"/>
      <c r="AO776" s="9"/>
      <c r="AP776" s="14"/>
    </row>
    <row r="777" spans="1:42" s="45" customFormat="1" ht="22" customHeight="1">
      <c r="A777" s="14" t="s">
        <v>19</v>
      </c>
      <c r="B777" s="8">
        <v>2024</v>
      </c>
      <c r="C777" s="8" t="s">
        <v>8</v>
      </c>
      <c r="D777" s="9" t="s">
        <v>185</v>
      </c>
      <c r="E777" s="9" t="s">
        <v>15</v>
      </c>
      <c r="F777" s="9" t="s">
        <v>186</v>
      </c>
      <c r="G777" s="8"/>
      <c r="H777" s="8"/>
      <c r="I777" s="9" t="s">
        <v>13</v>
      </c>
      <c r="J777" s="9" t="s">
        <v>13</v>
      </c>
      <c r="K777" s="9"/>
      <c r="L777" s="9" t="s">
        <v>178</v>
      </c>
      <c r="M777" s="9" t="s">
        <v>13</v>
      </c>
      <c r="N777" s="9" t="s">
        <v>406</v>
      </c>
      <c r="O777" s="14" t="s">
        <v>412</v>
      </c>
      <c r="P777" s="9" t="s">
        <v>417</v>
      </c>
      <c r="Q777" s="41">
        <v>39</v>
      </c>
      <c r="R777" s="41"/>
      <c r="S777" s="41">
        <v>39</v>
      </c>
      <c r="T777" s="9"/>
      <c r="U777" s="14" t="s">
        <v>77</v>
      </c>
      <c r="V777" s="9"/>
      <c r="W777" s="210">
        <v>30</v>
      </c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>
        <f t="shared" si="115"/>
        <v>5.8500000000000003E-2</v>
      </c>
      <c r="AI777" s="34"/>
      <c r="AJ777" s="34">
        <f t="shared" si="114"/>
        <v>5.8500000000000003E-2</v>
      </c>
      <c r="AK777" s="9"/>
      <c r="AL777" s="34"/>
      <c r="AM777" s="9"/>
      <c r="AN777" s="9"/>
      <c r="AO777" s="9"/>
      <c r="AP777" s="14"/>
    </row>
    <row r="778" spans="1:42" s="45" customFormat="1" ht="22" customHeight="1">
      <c r="A778" s="14" t="s">
        <v>19</v>
      </c>
      <c r="B778" s="8">
        <v>2024</v>
      </c>
      <c r="C778" s="8" t="s">
        <v>8</v>
      </c>
      <c r="D778" s="9" t="s">
        <v>185</v>
      </c>
      <c r="E778" s="9" t="s">
        <v>15</v>
      </c>
      <c r="F778" s="9" t="s">
        <v>186</v>
      </c>
      <c r="G778" s="8"/>
      <c r="H778" s="8"/>
      <c r="I778" s="9" t="s">
        <v>13</v>
      </c>
      <c r="J778" s="9" t="s">
        <v>13</v>
      </c>
      <c r="K778" s="9"/>
      <c r="L778" s="9" t="s">
        <v>178</v>
      </c>
      <c r="M778" s="9" t="s">
        <v>13</v>
      </c>
      <c r="N778" s="9" t="s">
        <v>406</v>
      </c>
      <c r="O778" s="14" t="s">
        <v>412</v>
      </c>
      <c r="P778" s="9" t="s">
        <v>432</v>
      </c>
      <c r="Q778" s="41">
        <v>25</v>
      </c>
      <c r="R778" s="41"/>
      <c r="S778" s="41">
        <v>25</v>
      </c>
      <c r="T778" s="9"/>
      <c r="U778" s="14" t="s">
        <v>77</v>
      </c>
      <c r="V778" s="9"/>
      <c r="W778" s="210">
        <v>30</v>
      </c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>
        <f t="shared" si="115"/>
        <v>3.7499999999999999E-2</v>
      </c>
      <c r="AI778" s="34"/>
      <c r="AJ778" s="34">
        <f t="shared" si="114"/>
        <v>3.7499999999999999E-2</v>
      </c>
      <c r="AK778" s="9"/>
      <c r="AL778" s="34"/>
      <c r="AM778" s="9"/>
      <c r="AN778" s="9"/>
      <c r="AO778" s="9"/>
      <c r="AP778" s="14"/>
    </row>
    <row r="779" spans="1:42" s="45" customFormat="1" ht="22" customHeight="1">
      <c r="A779" s="14" t="s">
        <v>19</v>
      </c>
      <c r="B779" s="8">
        <v>2024</v>
      </c>
      <c r="C779" s="8" t="s">
        <v>8</v>
      </c>
      <c r="D779" s="9" t="s">
        <v>185</v>
      </c>
      <c r="E779" s="9" t="s">
        <v>15</v>
      </c>
      <c r="F779" s="9" t="s">
        <v>186</v>
      </c>
      <c r="G779" s="8"/>
      <c r="H779" s="8"/>
      <c r="I779" s="9" t="s">
        <v>13</v>
      </c>
      <c r="J779" s="9" t="s">
        <v>13</v>
      </c>
      <c r="K779" s="9"/>
      <c r="L779" s="9" t="s">
        <v>178</v>
      </c>
      <c r="M779" s="9" t="s">
        <v>13</v>
      </c>
      <c r="N779" s="9" t="s">
        <v>406</v>
      </c>
      <c r="O779" s="14" t="s">
        <v>412</v>
      </c>
      <c r="P779" s="9" t="s">
        <v>419</v>
      </c>
      <c r="Q779" s="41">
        <v>70</v>
      </c>
      <c r="R779" s="41"/>
      <c r="S779" s="41">
        <v>70</v>
      </c>
      <c r="T779" s="9"/>
      <c r="U779" s="14" t="s">
        <v>77</v>
      </c>
      <c r="V779" s="9"/>
      <c r="W779" s="210">
        <v>30</v>
      </c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>
        <f t="shared" si="115"/>
        <v>0.105</v>
      </c>
      <c r="AI779" s="34"/>
      <c r="AJ779" s="34">
        <f t="shared" si="114"/>
        <v>0.105</v>
      </c>
      <c r="AK779" s="9"/>
      <c r="AL779" s="34"/>
      <c r="AM779" s="9"/>
      <c r="AN779" s="9"/>
      <c r="AO779" s="9"/>
      <c r="AP779" s="14"/>
    </row>
    <row r="780" spans="1:42" s="45" customFormat="1" ht="22" customHeight="1">
      <c r="A780" s="14" t="s">
        <v>19</v>
      </c>
      <c r="B780" s="8">
        <v>2024</v>
      </c>
      <c r="C780" s="8" t="s">
        <v>8</v>
      </c>
      <c r="D780" s="9" t="s">
        <v>185</v>
      </c>
      <c r="E780" s="9" t="s">
        <v>15</v>
      </c>
      <c r="F780" s="9" t="s">
        <v>186</v>
      </c>
      <c r="G780" s="8"/>
      <c r="H780" s="8"/>
      <c r="I780" s="9" t="s">
        <v>13</v>
      </c>
      <c r="J780" s="9" t="s">
        <v>13</v>
      </c>
      <c r="K780" s="9"/>
      <c r="L780" s="9" t="s">
        <v>178</v>
      </c>
      <c r="M780" s="9" t="s">
        <v>13</v>
      </c>
      <c r="N780" s="9" t="s">
        <v>406</v>
      </c>
      <c r="O780" s="14" t="s">
        <v>412</v>
      </c>
      <c r="P780" s="9" t="s">
        <v>412</v>
      </c>
      <c r="Q780" s="41">
        <v>53</v>
      </c>
      <c r="R780" s="41"/>
      <c r="S780" s="41">
        <v>53</v>
      </c>
      <c r="T780" s="9"/>
      <c r="U780" s="14" t="s">
        <v>77</v>
      </c>
      <c r="V780" s="9"/>
      <c r="W780" s="210">
        <v>30</v>
      </c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>
        <f t="shared" si="115"/>
        <v>7.9500000000000001E-2</v>
      </c>
      <c r="AI780" s="34"/>
      <c r="AJ780" s="34">
        <f t="shared" si="114"/>
        <v>7.9500000000000001E-2</v>
      </c>
      <c r="AK780" s="9"/>
      <c r="AL780" s="34"/>
      <c r="AM780" s="9"/>
      <c r="AN780" s="9"/>
      <c r="AO780" s="9"/>
      <c r="AP780" s="14"/>
    </row>
    <row r="781" spans="1:42" s="45" customFormat="1" ht="22" customHeight="1">
      <c r="A781" s="14" t="s">
        <v>19</v>
      </c>
      <c r="B781" s="8">
        <v>2024</v>
      </c>
      <c r="C781" s="8" t="s">
        <v>8</v>
      </c>
      <c r="D781" s="9" t="s">
        <v>185</v>
      </c>
      <c r="E781" s="9" t="s">
        <v>15</v>
      </c>
      <c r="F781" s="9" t="s">
        <v>186</v>
      </c>
      <c r="G781" s="8"/>
      <c r="H781" s="8"/>
      <c r="I781" s="9" t="s">
        <v>13</v>
      </c>
      <c r="J781" s="9" t="s">
        <v>13</v>
      </c>
      <c r="K781" s="9"/>
      <c r="L781" s="9" t="s">
        <v>215</v>
      </c>
      <c r="M781" s="9" t="s">
        <v>92</v>
      </c>
      <c r="N781" s="9" t="s">
        <v>406</v>
      </c>
      <c r="O781" s="9" t="s">
        <v>420</v>
      </c>
      <c r="P781" s="9" t="s">
        <v>420</v>
      </c>
      <c r="Q781" s="41">
        <v>212</v>
      </c>
      <c r="R781" s="41"/>
      <c r="S781" s="41">
        <v>212</v>
      </c>
      <c r="T781" s="9"/>
      <c r="U781" s="14" t="s">
        <v>77</v>
      </c>
      <c r="V781" s="9"/>
      <c r="W781" s="210">
        <v>30</v>
      </c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>
        <f t="shared" si="115"/>
        <v>0.318</v>
      </c>
      <c r="AI781" s="34"/>
      <c r="AJ781" s="34">
        <f t="shared" si="114"/>
        <v>0.318</v>
      </c>
      <c r="AK781" s="9"/>
      <c r="AL781" s="34"/>
      <c r="AM781" s="9"/>
      <c r="AN781" s="9"/>
      <c r="AO781" s="9"/>
      <c r="AP781" s="14"/>
    </row>
    <row r="782" spans="1:42" s="45" customFormat="1" ht="22" customHeight="1">
      <c r="A782" s="14" t="s">
        <v>19</v>
      </c>
      <c r="B782" s="8">
        <v>2024</v>
      </c>
      <c r="C782" s="8" t="s">
        <v>8</v>
      </c>
      <c r="D782" s="9" t="s">
        <v>185</v>
      </c>
      <c r="E782" s="9" t="s">
        <v>15</v>
      </c>
      <c r="F782" s="9" t="s">
        <v>186</v>
      </c>
      <c r="G782" s="8"/>
      <c r="H782" s="8"/>
      <c r="I782" s="9" t="s">
        <v>13</v>
      </c>
      <c r="J782" s="9" t="s">
        <v>13</v>
      </c>
      <c r="K782" s="9"/>
      <c r="L782" s="9" t="s">
        <v>215</v>
      </c>
      <c r="M782" s="9" t="s">
        <v>92</v>
      </c>
      <c r="N782" s="9" t="s">
        <v>406</v>
      </c>
      <c r="O782" s="9" t="s">
        <v>420</v>
      </c>
      <c r="P782" s="9" t="s">
        <v>421</v>
      </c>
      <c r="Q782" s="41">
        <v>187</v>
      </c>
      <c r="R782" s="41"/>
      <c r="S782" s="41">
        <v>187</v>
      </c>
      <c r="T782" s="9"/>
      <c r="U782" s="14" t="s">
        <v>77</v>
      </c>
      <c r="V782" s="9"/>
      <c r="W782" s="210">
        <v>30</v>
      </c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>
        <f t="shared" si="115"/>
        <v>0.28050000000000003</v>
      </c>
      <c r="AI782" s="34"/>
      <c r="AJ782" s="34">
        <f t="shared" si="114"/>
        <v>0.28050000000000003</v>
      </c>
      <c r="AK782" s="9"/>
      <c r="AL782" s="34"/>
      <c r="AM782" s="9"/>
      <c r="AN782" s="9"/>
      <c r="AO782" s="9"/>
      <c r="AP782" s="14"/>
    </row>
    <row r="783" spans="1:42" s="45" customFormat="1" ht="22" customHeight="1">
      <c r="A783" s="14" t="s">
        <v>19</v>
      </c>
      <c r="B783" s="8">
        <v>2024</v>
      </c>
      <c r="C783" s="8" t="s">
        <v>8</v>
      </c>
      <c r="D783" s="9" t="s">
        <v>185</v>
      </c>
      <c r="E783" s="9" t="s">
        <v>15</v>
      </c>
      <c r="F783" s="9" t="s">
        <v>186</v>
      </c>
      <c r="G783" s="8"/>
      <c r="H783" s="8"/>
      <c r="I783" s="9" t="s">
        <v>13</v>
      </c>
      <c r="J783" s="9" t="s">
        <v>13</v>
      </c>
      <c r="K783" s="9"/>
      <c r="L783" s="9" t="s">
        <v>215</v>
      </c>
      <c r="M783" s="9" t="s">
        <v>92</v>
      </c>
      <c r="N783" s="9" t="s">
        <v>406</v>
      </c>
      <c r="O783" s="14" t="s">
        <v>422</v>
      </c>
      <c r="P783" s="9" t="s">
        <v>423</v>
      </c>
      <c r="Q783" s="41">
        <v>344</v>
      </c>
      <c r="R783" s="41"/>
      <c r="S783" s="41">
        <v>344</v>
      </c>
      <c r="T783" s="9"/>
      <c r="U783" s="14" t="s">
        <v>77</v>
      </c>
      <c r="V783" s="9"/>
      <c r="W783" s="210">
        <v>30</v>
      </c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>
        <f t="shared" si="115"/>
        <v>0.51600000000000001</v>
      </c>
      <c r="AI783" s="34"/>
      <c r="AJ783" s="34">
        <f t="shared" si="114"/>
        <v>0.51600000000000001</v>
      </c>
      <c r="AK783" s="9"/>
      <c r="AL783" s="34"/>
      <c r="AM783" s="9"/>
      <c r="AN783" s="9"/>
      <c r="AO783" s="9"/>
      <c r="AP783" s="14"/>
    </row>
    <row r="784" spans="1:42" s="45" customFormat="1" ht="22" customHeight="1">
      <c r="A784" s="14" t="s">
        <v>19</v>
      </c>
      <c r="B784" s="8">
        <v>2024</v>
      </c>
      <c r="C784" s="8" t="s">
        <v>8</v>
      </c>
      <c r="D784" s="9" t="s">
        <v>185</v>
      </c>
      <c r="E784" s="9" t="s">
        <v>15</v>
      </c>
      <c r="F784" s="9" t="s">
        <v>186</v>
      </c>
      <c r="G784" s="8"/>
      <c r="H784" s="8"/>
      <c r="I784" s="9" t="s">
        <v>13</v>
      </c>
      <c r="J784" s="9" t="s">
        <v>13</v>
      </c>
      <c r="K784" s="9"/>
      <c r="L784" s="9" t="s">
        <v>215</v>
      </c>
      <c r="M784" s="9" t="s">
        <v>92</v>
      </c>
      <c r="N784" s="9" t="s">
        <v>406</v>
      </c>
      <c r="O784" s="14" t="s">
        <v>422</v>
      </c>
      <c r="P784" s="9" t="s">
        <v>422</v>
      </c>
      <c r="Q784" s="41">
        <v>363</v>
      </c>
      <c r="R784" s="41"/>
      <c r="S784" s="41">
        <v>363</v>
      </c>
      <c r="T784" s="9"/>
      <c r="U784" s="14" t="s">
        <v>77</v>
      </c>
      <c r="V784" s="9"/>
      <c r="W784" s="210">
        <v>30</v>
      </c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>
        <f t="shared" si="115"/>
        <v>0.54449999999999998</v>
      </c>
      <c r="AI784" s="34"/>
      <c r="AJ784" s="34">
        <f t="shared" si="114"/>
        <v>0.54449999999999998</v>
      </c>
      <c r="AK784" s="9"/>
      <c r="AL784" s="34"/>
      <c r="AM784" s="9"/>
      <c r="AN784" s="9"/>
      <c r="AO784" s="9"/>
      <c r="AP784" s="14"/>
    </row>
    <row r="785" spans="1:42" s="45" customFormat="1" ht="22" customHeight="1">
      <c r="A785" s="14" t="s">
        <v>19</v>
      </c>
      <c r="B785" s="8">
        <v>2024</v>
      </c>
      <c r="C785" s="8" t="s">
        <v>8</v>
      </c>
      <c r="D785" s="9" t="s">
        <v>185</v>
      </c>
      <c r="E785" s="9" t="s">
        <v>15</v>
      </c>
      <c r="F785" s="9" t="s">
        <v>186</v>
      </c>
      <c r="G785" s="8"/>
      <c r="H785" s="8"/>
      <c r="I785" s="9" t="s">
        <v>13</v>
      </c>
      <c r="J785" s="9" t="s">
        <v>13</v>
      </c>
      <c r="K785" s="9"/>
      <c r="L785" s="9" t="s">
        <v>215</v>
      </c>
      <c r="M785" s="9" t="s">
        <v>92</v>
      </c>
      <c r="N785" s="9" t="s">
        <v>406</v>
      </c>
      <c r="O785" s="14" t="s">
        <v>422</v>
      </c>
      <c r="P785" s="9" t="s">
        <v>424</v>
      </c>
      <c r="Q785" s="41">
        <v>194</v>
      </c>
      <c r="R785" s="41"/>
      <c r="S785" s="41">
        <v>194</v>
      </c>
      <c r="T785" s="9"/>
      <c r="U785" s="14" t="s">
        <v>77</v>
      </c>
      <c r="V785" s="9"/>
      <c r="W785" s="210">
        <v>30</v>
      </c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>
        <f t="shared" si="115"/>
        <v>0.29099999999999998</v>
      </c>
      <c r="AI785" s="34"/>
      <c r="AJ785" s="34">
        <f t="shared" si="114"/>
        <v>0.29099999999999998</v>
      </c>
      <c r="AK785" s="9"/>
      <c r="AL785" s="34"/>
      <c r="AM785" s="9"/>
      <c r="AN785" s="9"/>
      <c r="AO785" s="9"/>
      <c r="AP785" s="14"/>
    </row>
    <row r="786" spans="1:42" s="45" customFormat="1" ht="22" customHeight="1">
      <c r="A786" s="14" t="s">
        <v>19</v>
      </c>
      <c r="B786" s="8">
        <v>2024</v>
      </c>
      <c r="C786" s="8" t="s">
        <v>8</v>
      </c>
      <c r="D786" s="9" t="s">
        <v>185</v>
      </c>
      <c r="E786" s="9" t="s">
        <v>15</v>
      </c>
      <c r="F786" s="9" t="s">
        <v>186</v>
      </c>
      <c r="G786" s="8"/>
      <c r="H786" s="8"/>
      <c r="I786" s="9" t="s">
        <v>13</v>
      </c>
      <c r="J786" s="9" t="s">
        <v>13</v>
      </c>
      <c r="K786" s="9"/>
      <c r="L786" s="9" t="s">
        <v>215</v>
      </c>
      <c r="M786" s="9" t="s">
        <v>92</v>
      </c>
      <c r="N786" s="9" t="s">
        <v>406</v>
      </c>
      <c r="O786" s="14" t="s">
        <v>422</v>
      </c>
      <c r="P786" s="9" t="s">
        <v>425</v>
      </c>
      <c r="Q786" s="41">
        <v>202</v>
      </c>
      <c r="R786" s="41"/>
      <c r="S786" s="41">
        <v>202</v>
      </c>
      <c r="T786" s="9"/>
      <c r="U786" s="14" t="s">
        <v>77</v>
      </c>
      <c r="V786" s="9"/>
      <c r="W786" s="210">
        <v>30</v>
      </c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>
        <f t="shared" si="115"/>
        <v>0.30299999999999999</v>
      </c>
      <c r="AI786" s="34"/>
      <c r="AJ786" s="34">
        <f t="shared" si="114"/>
        <v>0.30299999999999999</v>
      </c>
      <c r="AK786" s="9"/>
      <c r="AL786" s="34"/>
      <c r="AM786" s="9"/>
      <c r="AN786" s="9"/>
      <c r="AO786" s="9"/>
      <c r="AP786" s="14"/>
    </row>
    <row r="787" spans="1:42" s="45" customFormat="1" ht="22" customHeight="1">
      <c r="A787" s="14" t="s">
        <v>19</v>
      </c>
      <c r="B787" s="8">
        <v>2024</v>
      </c>
      <c r="C787" s="8" t="s">
        <v>8</v>
      </c>
      <c r="D787" s="9" t="s">
        <v>185</v>
      </c>
      <c r="E787" s="9" t="s">
        <v>15</v>
      </c>
      <c r="F787" s="9" t="s">
        <v>186</v>
      </c>
      <c r="G787" s="8"/>
      <c r="H787" s="8"/>
      <c r="I787" s="9" t="s">
        <v>13</v>
      </c>
      <c r="J787" s="9" t="s">
        <v>13</v>
      </c>
      <c r="K787" s="9"/>
      <c r="L787" s="9" t="s">
        <v>215</v>
      </c>
      <c r="M787" s="9" t="s">
        <v>92</v>
      </c>
      <c r="N787" s="9" t="s">
        <v>406</v>
      </c>
      <c r="O787" s="9" t="s">
        <v>426</v>
      </c>
      <c r="P787" s="9" t="s">
        <v>426</v>
      </c>
      <c r="Q787" s="41">
        <v>368</v>
      </c>
      <c r="R787" s="41"/>
      <c r="S787" s="41">
        <v>368</v>
      </c>
      <c r="T787" s="9"/>
      <c r="U787" s="14" t="s">
        <v>77</v>
      </c>
      <c r="V787" s="9"/>
      <c r="W787" s="210">
        <v>30</v>
      </c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>
        <f t="shared" si="115"/>
        <v>0.55200000000000005</v>
      </c>
      <c r="AI787" s="34"/>
      <c r="AJ787" s="34">
        <f t="shared" si="114"/>
        <v>0.55200000000000005</v>
      </c>
      <c r="AK787" s="9"/>
      <c r="AL787" s="34"/>
      <c r="AM787" s="9"/>
      <c r="AN787" s="9"/>
      <c r="AO787" s="9"/>
      <c r="AP787" s="14"/>
    </row>
    <row r="788" spans="1:42" s="45" customFormat="1" ht="22" customHeight="1">
      <c r="A788" s="14" t="s">
        <v>19</v>
      </c>
      <c r="B788" s="8">
        <v>2024</v>
      </c>
      <c r="C788" s="8" t="s">
        <v>8</v>
      </c>
      <c r="D788" s="9" t="s">
        <v>185</v>
      </c>
      <c r="E788" s="9" t="s">
        <v>15</v>
      </c>
      <c r="F788" s="9" t="s">
        <v>186</v>
      </c>
      <c r="G788" s="8"/>
      <c r="H788" s="8"/>
      <c r="I788" s="9" t="s">
        <v>13</v>
      </c>
      <c r="J788" s="9" t="s">
        <v>13</v>
      </c>
      <c r="K788" s="9"/>
      <c r="L788" s="9" t="s">
        <v>215</v>
      </c>
      <c r="M788" s="9" t="s">
        <v>92</v>
      </c>
      <c r="N788" s="9" t="s">
        <v>406</v>
      </c>
      <c r="O788" s="9" t="s">
        <v>426</v>
      </c>
      <c r="P788" s="9" t="s">
        <v>427</v>
      </c>
      <c r="Q788" s="41">
        <v>78</v>
      </c>
      <c r="R788" s="41"/>
      <c r="S788" s="41">
        <v>78</v>
      </c>
      <c r="T788" s="9"/>
      <c r="U788" s="14" t="s">
        <v>77</v>
      </c>
      <c r="V788" s="9"/>
      <c r="W788" s="210">
        <v>30</v>
      </c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>
        <f t="shared" si="115"/>
        <v>0.11700000000000001</v>
      </c>
      <c r="AI788" s="34"/>
      <c r="AJ788" s="34">
        <f t="shared" si="114"/>
        <v>0.11700000000000001</v>
      </c>
      <c r="AK788" s="9"/>
      <c r="AL788" s="34"/>
      <c r="AM788" s="9"/>
      <c r="AN788" s="9"/>
      <c r="AO788" s="9"/>
      <c r="AP788" s="14"/>
    </row>
    <row r="789" spans="1:42" s="45" customFormat="1" ht="22" customHeight="1">
      <c r="A789" s="14" t="s">
        <v>19</v>
      </c>
      <c r="B789" s="8">
        <v>2024</v>
      </c>
      <c r="C789" s="8" t="s">
        <v>8</v>
      </c>
      <c r="D789" s="9" t="s">
        <v>185</v>
      </c>
      <c r="E789" s="9" t="s">
        <v>15</v>
      </c>
      <c r="F789" s="9" t="s">
        <v>186</v>
      </c>
      <c r="G789" s="8"/>
      <c r="H789" s="8"/>
      <c r="I789" s="9" t="s">
        <v>13</v>
      </c>
      <c r="J789" s="9" t="s">
        <v>13</v>
      </c>
      <c r="K789" s="9"/>
      <c r="L789" s="9" t="s">
        <v>215</v>
      </c>
      <c r="M789" s="9" t="s">
        <v>92</v>
      </c>
      <c r="N789" s="9" t="s">
        <v>406</v>
      </c>
      <c r="O789" s="9" t="s">
        <v>428</v>
      </c>
      <c r="P789" s="9" t="s">
        <v>429</v>
      </c>
      <c r="Q789" s="41">
        <v>283</v>
      </c>
      <c r="R789" s="41"/>
      <c r="S789" s="41">
        <v>283</v>
      </c>
      <c r="T789" s="9"/>
      <c r="U789" s="14" t="s">
        <v>77</v>
      </c>
      <c r="V789" s="9"/>
      <c r="W789" s="210">
        <v>30</v>
      </c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>
        <f t="shared" si="115"/>
        <v>0.42449999999999999</v>
      </c>
      <c r="AI789" s="34"/>
      <c r="AJ789" s="34">
        <f t="shared" si="114"/>
        <v>0.42449999999999999</v>
      </c>
      <c r="AK789" s="9"/>
      <c r="AL789" s="34"/>
      <c r="AM789" s="9"/>
      <c r="AN789" s="9"/>
      <c r="AO789" s="9"/>
      <c r="AP789" s="14"/>
    </row>
    <row r="790" spans="1:42" s="45" customFormat="1" ht="22" customHeight="1">
      <c r="A790" s="14" t="s">
        <v>19</v>
      </c>
      <c r="B790" s="8">
        <v>2024</v>
      </c>
      <c r="C790" s="8" t="s">
        <v>8</v>
      </c>
      <c r="D790" s="9" t="s">
        <v>185</v>
      </c>
      <c r="E790" s="9" t="s">
        <v>15</v>
      </c>
      <c r="F790" s="9" t="s">
        <v>186</v>
      </c>
      <c r="G790" s="8"/>
      <c r="H790" s="8"/>
      <c r="I790" s="9" t="s">
        <v>13</v>
      </c>
      <c r="J790" s="9" t="s">
        <v>13</v>
      </c>
      <c r="K790" s="9"/>
      <c r="L790" s="9" t="s">
        <v>215</v>
      </c>
      <c r="M790" s="9" t="s">
        <v>92</v>
      </c>
      <c r="N790" s="9" t="s">
        <v>406</v>
      </c>
      <c r="O790" s="9" t="s">
        <v>428</v>
      </c>
      <c r="P790" s="9" t="s">
        <v>428</v>
      </c>
      <c r="Q790" s="41">
        <v>286</v>
      </c>
      <c r="R790" s="41"/>
      <c r="S790" s="41">
        <v>286</v>
      </c>
      <c r="T790" s="9"/>
      <c r="U790" s="14" t="s">
        <v>77</v>
      </c>
      <c r="V790" s="9"/>
      <c r="W790" s="210">
        <v>30</v>
      </c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>
        <f t="shared" si="115"/>
        <v>0.42899999999999999</v>
      </c>
      <c r="AI790" s="34"/>
      <c r="AJ790" s="34">
        <f t="shared" si="114"/>
        <v>0.42899999999999999</v>
      </c>
      <c r="AK790" s="9"/>
      <c r="AL790" s="34"/>
      <c r="AM790" s="9"/>
      <c r="AN790" s="9"/>
      <c r="AO790" s="9"/>
      <c r="AP790" s="14"/>
    </row>
    <row r="791" spans="1:42" s="45" customFormat="1" ht="22" customHeight="1">
      <c r="A791" s="14" t="s">
        <v>19</v>
      </c>
      <c r="B791" s="8">
        <v>2024</v>
      </c>
      <c r="C791" s="8" t="s">
        <v>8</v>
      </c>
      <c r="D791" s="9" t="s">
        <v>185</v>
      </c>
      <c r="E791" s="9" t="s">
        <v>15</v>
      </c>
      <c r="F791" s="9" t="s">
        <v>186</v>
      </c>
      <c r="G791" s="8"/>
      <c r="H791" s="8"/>
      <c r="I791" s="9" t="s">
        <v>13</v>
      </c>
      <c r="J791" s="9" t="s">
        <v>13</v>
      </c>
      <c r="K791" s="9"/>
      <c r="L791" s="9" t="s">
        <v>215</v>
      </c>
      <c r="M791" s="9" t="s">
        <v>92</v>
      </c>
      <c r="N791" s="9" t="s">
        <v>406</v>
      </c>
      <c r="O791" s="9" t="s">
        <v>428</v>
      </c>
      <c r="P791" s="9" t="s">
        <v>430</v>
      </c>
      <c r="Q791" s="41">
        <v>182</v>
      </c>
      <c r="R791" s="41"/>
      <c r="S791" s="41">
        <v>182</v>
      </c>
      <c r="T791" s="9"/>
      <c r="U791" s="14" t="s">
        <v>77</v>
      </c>
      <c r="V791" s="9"/>
      <c r="W791" s="210">
        <v>30</v>
      </c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>
        <f t="shared" si="115"/>
        <v>0.27300000000000002</v>
      </c>
      <c r="AI791" s="34"/>
      <c r="AJ791" s="34">
        <f t="shared" si="114"/>
        <v>0.27300000000000002</v>
      </c>
      <c r="AK791" s="9"/>
      <c r="AL791" s="34"/>
      <c r="AM791" s="9"/>
      <c r="AN791" s="9"/>
      <c r="AO791" s="9"/>
      <c r="AP791" s="14"/>
    </row>
    <row r="792" spans="1:42" s="45" customFormat="1" ht="22" customHeight="1">
      <c r="A792" s="14" t="s">
        <v>19</v>
      </c>
      <c r="B792" s="8">
        <v>2024</v>
      </c>
      <c r="C792" s="8" t="s">
        <v>8</v>
      </c>
      <c r="D792" s="9" t="s">
        <v>185</v>
      </c>
      <c r="E792" s="9" t="s">
        <v>10</v>
      </c>
      <c r="F792" s="9" t="s">
        <v>186</v>
      </c>
      <c r="G792" s="8"/>
      <c r="H792" s="8"/>
      <c r="I792" s="9" t="s">
        <v>13</v>
      </c>
      <c r="J792" s="9" t="s">
        <v>13</v>
      </c>
      <c r="K792" s="9"/>
      <c r="L792" s="9" t="s">
        <v>178</v>
      </c>
      <c r="M792" s="9" t="s">
        <v>13</v>
      </c>
      <c r="N792" s="9" t="s">
        <v>406</v>
      </c>
      <c r="O792" s="9" t="s">
        <v>407</v>
      </c>
      <c r="P792" s="9" t="s">
        <v>408</v>
      </c>
      <c r="Q792" s="41"/>
      <c r="R792" s="41">
        <v>700</v>
      </c>
      <c r="S792" s="41">
        <v>700</v>
      </c>
      <c r="T792" s="9"/>
      <c r="U792" s="14" t="s">
        <v>77</v>
      </c>
      <c r="V792" s="9"/>
      <c r="W792" s="210">
        <v>30</v>
      </c>
      <c r="X792" s="34"/>
      <c r="Y792" s="34"/>
      <c r="Z792" s="34"/>
      <c r="AA792" s="34"/>
      <c r="AB792" s="34"/>
      <c r="AC792" s="34">
        <f t="shared" ref="AC792:AC814" si="116">+S792*W792*20/1000000</f>
        <v>0.42</v>
      </c>
      <c r="AD792" s="34"/>
      <c r="AE792" s="34"/>
      <c r="AF792" s="34">
        <f t="shared" ref="AF792:AF814" si="117">+S792*W792*200/1000000</f>
        <v>4.2</v>
      </c>
      <c r="AG792" s="34"/>
      <c r="AH792" s="34"/>
      <c r="AI792" s="34"/>
      <c r="AJ792" s="34">
        <f t="shared" si="114"/>
        <v>4.62</v>
      </c>
      <c r="AK792" s="9"/>
      <c r="AL792" s="34"/>
      <c r="AM792" s="9"/>
      <c r="AN792" s="9"/>
      <c r="AO792" s="9"/>
      <c r="AP792" s="14"/>
    </row>
    <row r="793" spans="1:42" s="45" customFormat="1" ht="22" customHeight="1">
      <c r="A793" s="14" t="s">
        <v>19</v>
      </c>
      <c r="B793" s="8">
        <v>2024</v>
      </c>
      <c r="C793" s="8" t="s">
        <v>8</v>
      </c>
      <c r="D793" s="9" t="s">
        <v>185</v>
      </c>
      <c r="E793" s="9" t="s">
        <v>10</v>
      </c>
      <c r="F793" s="9" t="s">
        <v>186</v>
      </c>
      <c r="G793" s="8"/>
      <c r="H793" s="8"/>
      <c r="I793" s="9" t="s">
        <v>13</v>
      </c>
      <c r="J793" s="9" t="s">
        <v>13</v>
      </c>
      <c r="K793" s="9"/>
      <c r="L793" s="9" t="s">
        <v>178</v>
      </c>
      <c r="M793" s="9" t="s">
        <v>13</v>
      </c>
      <c r="N793" s="9" t="s">
        <v>406</v>
      </c>
      <c r="O793" s="9" t="s">
        <v>407</v>
      </c>
      <c r="P793" s="9" t="s">
        <v>409</v>
      </c>
      <c r="Q793" s="41"/>
      <c r="R793" s="41">
        <v>350</v>
      </c>
      <c r="S793" s="41">
        <v>350</v>
      </c>
      <c r="T793" s="9"/>
      <c r="U793" s="14" t="s">
        <v>77</v>
      </c>
      <c r="V793" s="9"/>
      <c r="W793" s="210">
        <v>30</v>
      </c>
      <c r="X793" s="34"/>
      <c r="Y793" s="34"/>
      <c r="Z793" s="34"/>
      <c r="AA793" s="34"/>
      <c r="AB793" s="34"/>
      <c r="AC793" s="34">
        <f t="shared" si="116"/>
        <v>0.21</v>
      </c>
      <c r="AD793" s="34"/>
      <c r="AE793" s="34"/>
      <c r="AF793" s="34">
        <f t="shared" si="117"/>
        <v>2.1</v>
      </c>
      <c r="AG793" s="34"/>
      <c r="AH793" s="34"/>
      <c r="AI793" s="34"/>
      <c r="AJ793" s="34">
        <f t="shared" si="114"/>
        <v>2.31</v>
      </c>
      <c r="AK793" s="9"/>
      <c r="AL793" s="34"/>
      <c r="AM793" s="9"/>
      <c r="AN793" s="9"/>
      <c r="AO793" s="9"/>
      <c r="AP793" s="14"/>
    </row>
    <row r="794" spans="1:42" s="45" customFormat="1" ht="22" customHeight="1">
      <c r="A794" s="14" t="s">
        <v>19</v>
      </c>
      <c r="B794" s="8">
        <v>2024</v>
      </c>
      <c r="C794" s="8" t="s">
        <v>8</v>
      </c>
      <c r="D794" s="9" t="s">
        <v>185</v>
      </c>
      <c r="E794" s="9" t="s">
        <v>10</v>
      </c>
      <c r="F794" s="9" t="s">
        <v>186</v>
      </c>
      <c r="G794" s="8"/>
      <c r="H794" s="8"/>
      <c r="I794" s="9" t="s">
        <v>13</v>
      </c>
      <c r="J794" s="9" t="s">
        <v>13</v>
      </c>
      <c r="K794" s="9"/>
      <c r="L794" s="9" t="s">
        <v>178</v>
      </c>
      <c r="M794" s="9" t="s">
        <v>13</v>
      </c>
      <c r="N794" s="9" t="s">
        <v>406</v>
      </c>
      <c r="O794" s="9" t="s">
        <v>407</v>
      </c>
      <c r="P794" s="9" t="s">
        <v>410</v>
      </c>
      <c r="Q794" s="41"/>
      <c r="R794" s="41">
        <v>185</v>
      </c>
      <c r="S794" s="41">
        <v>185</v>
      </c>
      <c r="T794" s="9"/>
      <c r="U794" s="14" t="s">
        <v>77</v>
      </c>
      <c r="V794" s="9"/>
      <c r="W794" s="210">
        <v>30</v>
      </c>
      <c r="X794" s="34"/>
      <c r="Y794" s="34"/>
      <c r="Z794" s="34"/>
      <c r="AA794" s="34"/>
      <c r="AB794" s="34"/>
      <c r="AC794" s="34">
        <f t="shared" si="116"/>
        <v>0.111</v>
      </c>
      <c r="AD794" s="34"/>
      <c r="AE794" s="34"/>
      <c r="AF794" s="34">
        <f t="shared" si="117"/>
        <v>1.1100000000000001</v>
      </c>
      <c r="AG794" s="34"/>
      <c r="AH794" s="34"/>
      <c r="AI794" s="34"/>
      <c r="AJ794" s="34">
        <f t="shared" si="114"/>
        <v>1.2210000000000001</v>
      </c>
      <c r="AK794" s="9"/>
      <c r="AL794" s="34"/>
      <c r="AM794" s="9"/>
      <c r="AN794" s="9"/>
      <c r="AO794" s="9"/>
      <c r="AP794" s="14"/>
    </row>
    <row r="795" spans="1:42" s="45" customFormat="1" ht="22" customHeight="1">
      <c r="A795" s="14" t="s">
        <v>19</v>
      </c>
      <c r="B795" s="8">
        <v>2024</v>
      </c>
      <c r="C795" s="8" t="s">
        <v>8</v>
      </c>
      <c r="D795" s="9" t="s">
        <v>185</v>
      </c>
      <c r="E795" s="9" t="s">
        <v>10</v>
      </c>
      <c r="F795" s="9" t="s">
        <v>186</v>
      </c>
      <c r="G795" s="8"/>
      <c r="H795" s="8"/>
      <c r="I795" s="9" t="s">
        <v>13</v>
      </c>
      <c r="J795" s="9" t="s">
        <v>13</v>
      </c>
      <c r="K795" s="9"/>
      <c r="L795" s="9" t="s">
        <v>178</v>
      </c>
      <c r="M795" s="9" t="s">
        <v>13</v>
      </c>
      <c r="N795" s="9" t="s">
        <v>406</v>
      </c>
      <c r="O795" s="9" t="s">
        <v>407</v>
      </c>
      <c r="P795" s="9" t="s">
        <v>411</v>
      </c>
      <c r="Q795" s="41"/>
      <c r="R795" s="41">
        <v>170</v>
      </c>
      <c r="S795" s="41">
        <v>170</v>
      </c>
      <c r="T795" s="9"/>
      <c r="U795" s="14" t="s">
        <v>77</v>
      </c>
      <c r="V795" s="9"/>
      <c r="W795" s="210">
        <v>30</v>
      </c>
      <c r="X795" s="34"/>
      <c r="Y795" s="34"/>
      <c r="Z795" s="34"/>
      <c r="AA795" s="34"/>
      <c r="AB795" s="34"/>
      <c r="AC795" s="34">
        <f t="shared" si="116"/>
        <v>0.10199999999999999</v>
      </c>
      <c r="AD795" s="34"/>
      <c r="AE795" s="34"/>
      <c r="AF795" s="34">
        <f t="shared" si="117"/>
        <v>1.02</v>
      </c>
      <c r="AG795" s="34"/>
      <c r="AH795" s="34"/>
      <c r="AI795" s="34"/>
      <c r="AJ795" s="34">
        <f t="shared" si="114"/>
        <v>1.1220000000000001</v>
      </c>
      <c r="AK795" s="9"/>
      <c r="AL795" s="34"/>
      <c r="AM795" s="9"/>
      <c r="AN795" s="9"/>
      <c r="AO795" s="9"/>
      <c r="AP795" s="14"/>
    </row>
    <row r="796" spans="1:42" s="45" customFormat="1" ht="22" customHeight="1">
      <c r="A796" s="14" t="s">
        <v>19</v>
      </c>
      <c r="B796" s="8">
        <v>2024</v>
      </c>
      <c r="C796" s="8" t="s">
        <v>8</v>
      </c>
      <c r="D796" s="9" t="s">
        <v>185</v>
      </c>
      <c r="E796" s="9" t="s">
        <v>10</v>
      </c>
      <c r="F796" s="9" t="s">
        <v>186</v>
      </c>
      <c r="G796" s="8"/>
      <c r="H796" s="8"/>
      <c r="I796" s="9" t="s">
        <v>13</v>
      </c>
      <c r="J796" s="9" t="s">
        <v>13</v>
      </c>
      <c r="K796" s="9"/>
      <c r="L796" s="9" t="s">
        <v>178</v>
      </c>
      <c r="M796" s="9" t="s">
        <v>13</v>
      </c>
      <c r="N796" s="9" t="s">
        <v>406</v>
      </c>
      <c r="O796" s="9" t="s">
        <v>412</v>
      </c>
      <c r="P796" s="9" t="s">
        <v>413</v>
      </c>
      <c r="Q796" s="41"/>
      <c r="R796" s="41">
        <v>150</v>
      </c>
      <c r="S796" s="41">
        <v>150</v>
      </c>
      <c r="T796" s="9"/>
      <c r="U796" s="14" t="s">
        <v>77</v>
      </c>
      <c r="V796" s="9"/>
      <c r="W796" s="210">
        <v>30</v>
      </c>
      <c r="X796" s="34"/>
      <c r="Y796" s="34"/>
      <c r="Z796" s="34"/>
      <c r="AA796" s="34"/>
      <c r="AB796" s="34"/>
      <c r="AC796" s="34">
        <f t="shared" si="116"/>
        <v>0.09</v>
      </c>
      <c r="AD796" s="34"/>
      <c r="AE796" s="34"/>
      <c r="AF796" s="34">
        <f t="shared" si="117"/>
        <v>0.9</v>
      </c>
      <c r="AG796" s="34"/>
      <c r="AH796" s="34"/>
      <c r="AI796" s="34"/>
      <c r="AJ796" s="34">
        <f t="shared" si="114"/>
        <v>0.99</v>
      </c>
      <c r="AK796" s="9"/>
      <c r="AL796" s="34"/>
      <c r="AM796" s="9"/>
      <c r="AN796" s="9"/>
      <c r="AO796" s="9"/>
      <c r="AP796" s="14"/>
    </row>
    <row r="797" spans="1:42" s="45" customFormat="1" ht="22" customHeight="1">
      <c r="A797" s="14" t="s">
        <v>19</v>
      </c>
      <c r="B797" s="8">
        <v>2024</v>
      </c>
      <c r="C797" s="8" t="s">
        <v>8</v>
      </c>
      <c r="D797" s="9" t="s">
        <v>185</v>
      </c>
      <c r="E797" s="9" t="s">
        <v>10</v>
      </c>
      <c r="F797" s="9" t="s">
        <v>186</v>
      </c>
      <c r="G797" s="8"/>
      <c r="H797" s="8"/>
      <c r="I797" s="9" t="s">
        <v>13</v>
      </c>
      <c r="J797" s="9" t="s">
        <v>13</v>
      </c>
      <c r="K797" s="9"/>
      <c r="L797" s="9" t="s">
        <v>178</v>
      </c>
      <c r="M797" s="9" t="s">
        <v>13</v>
      </c>
      <c r="N797" s="9" t="s">
        <v>406</v>
      </c>
      <c r="O797" s="9" t="s">
        <v>412</v>
      </c>
      <c r="P797" s="9" t="s">
        <v>414</v>
      </c>
      <c r="Q797" s="41"/>
      <c r="R797" s="41">
        <v>45</v>
      </c>
      <c r="S797" s="41">
        <v>45</v>
      </c>
      <c r="T797" s="9"/>
      <c r="U797" s="14" t="s">
        <v>77</v>
      </c>
      <c r="V797" s="9"/>
      <c r="W797" s="210">
        <v>30</v>
      </c>
      <c r="X797" s="34"/>
      <c r="Y797" s="34"/>
      <c r="Z797" s="34"/>
      <c r="AA797" s="34"/>
      <c r="AB797" s="34"/>
      <c r="AC797" s="34">
        <f t="shared" si="116"/>
        <v>2.7E-2</v>
      </c>
      <c r="AD797" s="34"/>
      <c r="AE797" s="34"/>
      <c r="AF797" s="34">
        <f t="shared" si="117"/>
        <v>0.27</v>
      </c>
      <c r="AG797" s="34"/>
      <c r="AH797" s="34"/>
      <c r="AI797" s="34"/>
      <c r="AJ797" s="34">
        <f t="shared" si="114"/>
        <v>0.29700000000000004</v>
      </c>
      <c r="AK797" s="9"/>
      <c r="AL797" s="34"/>
      <c r="AM797" s="9"/>
      <c r="AN797" s="9"/>
      <c r="AO797" s="9"/>
      <c r="AP797" s="14"/>
    </row>
    <row r="798" spans="1:42" s="45" customFormat="1" ht="22" customHeight="1">
      <c r="A798" s="14" t="s">
        <v>19</v>
      </c>
      <c r="B798" s="8">
        <v>2024</v>
      </c>
      <c r="C798" s="8" t="s">
        <v>8</v>
      </c>
      <c r="D798" s="9" t="s">
        <v>185</v>
      </c>
      <c r="E798" s="9" t="s">
        <v>10</v>
      </c>
      <c r="F798" s="9" t="s">
        <v>186</v>
      </c>
      <c r="G798" s="8"/>
      <c r="H798" s="8"/>
      <c r="I798" s="9" t="s">
        <v>13</v>
      </c>
      <c r="J798" s="9" t="s">
        <v>13</v>
      </c>
      <c r="K798" s="9"/>
      <c r="L798" s="9" t="s">
        <v>178</v>
      </c>
      <c r="M798" s="9" t="s">
        <v>13</v>
      </c>
      <c r="N798" s="9" t="s">
        <v>406</v>
      </c>
      <c r="O798" s="9" t="s">
        <v>412</v>
      </c>
      <c r="P798" s="9" t="s">
        <v>415</v>
      </c>
      <c r="Q798" s="41"/>
      <c r="R798" s="41">
        <v>50</v>
      </c>
      <c r="S798" s="41">
        <v>50</v>
      </c>
      <c r="T798" s="9"/>
      <c r="U798" s="14" t="s">
        <v>77</v>
      </c>
      <c r="V798" s="9"/>
      <c r="W798" s="210">
        <v>30</v>
      </c>
      <c r="X798" s="34"/>
      <c r="Y798" s="34"/>
      <c r="Z798" s="34"/>
      <c r="AA798" s="34"/>
      <c r="AB798" s="34"/>
      <c r="AC798" s="34">
        <f t="shared" si="116"/>
        <v>0.03</v>
      </c>
      <c r="AD798" s="34"/>
      <c r="AE798" s="34"/>
      <c r="AF798" s="34">
        <f t="shared" si="117"/>
        <v>0.3</v>
      </c>
      <c r="AG798" s="34"/>
      <c r="AH798" s="34"/>
      <c r="AI798" s="34"/>
      <c r="AJ798" s="34">
        <f t="shared" si="114"/>
        <v>0.32999999999999996</v>
      </c>
      <c r="AK798" s="9"/>
      <c r="AL798" s="34"/>
      <c r="AM798" s="9"/>
      <c r="AN798" s="9"/>
      <c r="AO798" s="9"/>
      <c r="AP798" s="14"/>
    </row>
    <row r="799" spans="1:42" s="45" customFormat="1" ht="22" customHeight="1">
      <c r="A799" s="14" t="s">
        <v>19</v>
      </c>
      <c r="B799" s="8">
        <v>2024</v>
      </c>
      <c r="C799" s="8" t="s">
        <v>8</v>
      </c>
      <c r="D799" s="9" t="s">
        <v>185</v>
      </c>
      <c r="E799" s="9" t="s">
        <v>10</v>
      </c>
      <c r="F799" s="9" t="s">
        <v>186</v>
      </c>
      <c r="G799" s="8"/>
      <c r="H799" s="8"/>
      <c r="I799" s="9" t="s">
        <v>13</v>
      </c>
      <c r="J799" s="9" t="s">
        <v>13</v>
      </c>
      <c r="K799" s="9"/>
      <c r="L799" s="9" t="s">
        <v>178</v>
      </c>
      <c r="M799" s="9" t="s">
        <v>13</v>
      </c>
      <c r="N799" s="9" t="s">
        <v>406</v>
      </c>
      <c r="O799" s="9" t="s">
        <v>412</v>
      </c>
      <c r="P799" s="9" t="s">
        <v>416</v>
      </c>
      <c r="Q799" s="41"/>
      <c r="R799" s="41">
        <v>75</v>
      </c>
      <c r="S799" s="41">
        <v>75</v>
      </c>
      <c r="T799" s="9"/>
      <c r="U799" s="14" t="s">
        <v>77</v>
      </c>
      <c r="V799" s="9"/>
      <c r="W799" s="210">
        <v>30</v>
      </c>
      <c r="X799" s="34"/>
      <c r="Y799" s="34"/>
      <c r="Z799" s="34"/>
      <c r="AA799" s="34"/>
      <c r="AB799" s="34"/>
      <c r="AC799" s="34">
        <f t="shared" si="116"/>
        <v>4.4999999999999998E-2</v>
      </c>
      <c r="AD799" s="34"/>
      <c r="AE799" s="34"/>
      <c r="AF799" s="34">
        <f t="shared" si="117"/>
        <v>0.45</v>
      </c>
      <c r="AG799" s="34"/>
      <c r="AH799" s="34"/>
      <c r="AI799" s="34"/>
      <c r="AJ799" s="34">
        <f t="shared" si="114"/>
        <v>0.495</v>
      </c>
      <c r="AK799" s="9"/>
      <c r="AL799" s="34"/>
      <c r="AM799" s="9"/>
      <c r="AN799" s="9"/>
      <c r="AO799" s="9"/>
      <c r="AP799" s="14"/>
    </row>
    <row r="800" spans="1:42" s="45" customFormat="1" ht="22" customHeight="1">
      <c r="A800" s="14" t="s">
        <v>19</v>
      </c>
      <c r="B800" s="8">
        <v>2024</v>
      </c>
      <c r="C800" s="8" t="s">
        <v>8</v>
      </c>
      <c r="D800" s="9" t="s">
        <v>185</v>
      </c>
      <c r="E800" s="9" t="s">
        <v>10</v>
      </c>
      <c r="F800" s="9" t="s">
        <v>186</v>
      </c>
      <c r="G800" s="8"/>
      <c r="H800" s="8"/>
      <c r="I800" s="9" t="s">
        <v>13</v>
      </c>
      <c r="J800" s="9" t="s">
        <v>13</v>
      </c>
      <c r="K800" s="9"/>
      <c r="L800" s="9" t="s">
        <v>178</v>
      </c>
      <c r="M800" s="9" t="s">
        <v>13</v>
      </c>
      <c r="N800" s="9" t="s">
        <v>406</v>
      </c>
      <c r="O800" s="9" t="s">
        <v>412</v>
      </c>
      <c r="P800" s="9" t="s">
        <v>417</v>
      </c>
      <c r="Q800" s="41"/>
      <c r="R800" s="41">
        <v>40</v>
      </c>
      <c r="S800" s="41">
        <v>40</v>
      </c>
      <c r="T800" s="9"/>
      <c r="U800" s="14" t="s">
        <v>77</v>
      </c>
      <c r="V800" s="9"/>
      <c r="W800" s="210">
        <v>30</v>
      </c>
      <c r="X800" s="34"/>
      <c r="Y800" s="34"/>
      <c r="Z800" s="34"/>
      <c r="AA800" s="34"/>
      <c r="AB800" s="34"/>
      <c r="AC800" s="34">
        <f t="shared" si="116"/>
        <v>2.4E-2</v>
      </c>
      <c r="AD800" s="34"/>
      <c r="AE800" s="34"/>
      <c r="AF800" s="34">
        <f t="shared" si="117"/>
        <v>0.24</v>
      </c>
      <c r="AG800" s="34"/>
      <c r="AH800" s="34"/>
      <c r="AI800" s="34"/>
      <c r="AJ800" s="34">
        <f t="shared" si="114"/>
        <v>0.26400000000000001</v>
      </c>
      <c r="AK800" s="9"/>
      <c r="AL800" s="34"/>
      <c r="AM800" s="9"/>
      <c r="AN800" s="9"/>
      <c r="AO800" s="9"/>
      <c r="AP800" s="14"/>
    </row>
    <row r="801" spans="1:42" s="45" customFormat="1" ht="22" customHeight="1">
      <c r="A801" s="14" t="s">
        <v>19</v>
      </c>
      <c r="B801" s="8">
        <v>2024</v>
      </c>
      <c r="C801" s="8" t="s">
        <v>8</v>
      </c>
      <c r="D801" s="9" t="s">
        <v>185</v>
      </c>
      <c r="E801" s="9" t="s">
        <v>10</v>
      </c>
      <c r="F801" s="9" t="s">
        <v>186</v>
      </c>
      <c r="G801" s="8"/>
      <c r="H801" s="8"/>
      <c r="I801" s="9" t="s">
        <v>13</v>
      </c>
      <c r="J801" s="9" t="s">
        <v>13</v>
      </c>
      <c r="K801" s="9"/>
      <c r="L801" s="9" t="s">
        <v>178</v>
      </c>
      <c r="M801" s="9" t="s">
        <v>13</v>
      </c>
      <c r="N801" s="9" t="s">
        <v>406</v>
      </c>
      <c r="O801" s="9" t="s">
        <v>412</v>
      </c>
      <c r="P801" s="9" t="s">
        <v>418</v>
      </c>
      <c r="Q801" s="41"/>
      <c r="R801" s="41">
        <v>25</v>
      </c>
      <c r="S801" s="41">
        <v>25</v>
      </c>
      <c r="T801" s="9"/>
      <c r="U801" s="14" t="s">
        <v>77</v>
      </c>
      <c r="V801" s="9"/>
      <c r="W801" s="210">
        <v>30</v>
      </c>
      <c r="X801" s="34"/>
      <c r="Y801" s="34"/>
      <c r="Z801" s="34"/>
      <c r="AA801" s="34"/>
      <c r="AB801" s="34"/>
      <c r="AC801" s="34">
        <f t="shared" si="116"/>
        <v>1.4999999999999999E-2</v>
      </c>
      <c r="AD801" s="34"/>
      <c r="AE801" s="34"/>
      <c r="AF801" s="34">
        <f t="shared" si="117"/>
        <v>0.15</v>
      </c>
      <c r="AG801" s="34"/>
      <c r="AH801" s="34"/>
      <c r="AI801" s="34"/>
      <c r="AJ801" s="34">
        <f t="shared" si="114"/>
        <v>0.16499999999999998</v>
      </c>
      <c r="AK801" s="9"/>
      <c r="AL801" s="34"/>
      <c r="AM801" s="9"/>
      <c r="AN801" s="9"/>
      <c r="AO801" s="9"/>
      <c r="AP801" s="14"/>
    </row>
    <row r="802" spans="1:42" s="45" customFormat="1" ht="22" customHeight="1">
      <c r="A802" s="14" t="s">
        <v>19</v>
      </c>
      <c r="B802" s="8">
        <v>2024</v>
      </c>
      <c r="C802" s="8" t="s">
        <v>8</v>
      </c>
      <c r="D802" s="9" t="s">
        <v>185</v>
      </c>
      <c r="E802" s="9" t="s">
        <v>10</v>
      </c>
      <c r="F802" s="9" t="s">
        <v>186</v>
      </c>
      <c r="G802" s="8"/>
      <c r="H802" s="8"/>
      <c r="I802" s="9" t="s">
        <v>13</v>
      </c>
      <c r="J802" s="9" t="s">
        <v>13</v>
      </c>
      <c r="K802" s="9"/>
      <c r="L802" s="9" t="s">
        <v>178</v>
      </c>
      <c r="M802" s="9" t="s">
        <v>13</v>
      </c>
      <c r="N802" s="9" t="s">
        <v>406</v>
      </c>
      <c r="O802" s="9" t="s">
        <v>412</v>
      </c>
      <c r="P802" s="9" t="s">
        <v>419</v>
      </c>
      <c r="Q802" s="41"/>
      <c r="R802" s="41">
        <v>75</v>
      </c>
      <c r="S802" s="41">
        <v>75</v>
      </c>
      <c r="T802" s="9"/>
      <c r="U802" s="14" t="s">
        <v>77</v>
      </c>
      <c r="V802" s="9"/>
      <c r="W802" s="210">
        <v>30</v>
      </c>
      <c r="X802" s="34"/>
      <c r="Y802" s="34"/>
      <c r="Z802" s="34"/>
      <c r="AA802" s="34"/>
      <c r="AB802" s="34"/>
      <c r="AC802" s="34">
        <f t="shared" si="116"/>
        <v>4.4999999999999998E-2</v>
      </c>
      <c r="AD802" s="34"/>
      <c r="AE802" s="34"/>
      <c r="AF802" s="34">
        <f t="shared" si="117"/>
        <v>0.45</v>
      </c>
      <c r="AG802" s="34"/>
      <c r="AH802" s="34"/>
      <c r="AI802" s="34"/>
      <c r="AJ802" s="34">
        <f t="shared" si="114"/>
        <v>0.495</v>
      </c>
      <c r="AK802" s="9"/>
      <c r="AL802" s="34"/>
      <c r="AM802" s="9"/>
      <c r="AN802" s="9"/>
      <c r="AO802" s="9"/>
      <c r="AP802" s="14"/>
    </row>
    <row r="803" spans="1:42" s="45" customFormat="1" ht="22" customHeight="1">
      <c r="A803" s="14" t="s">
        <v>19</v>
      </c>
      <c r="B803" s="8">
        <v>2024</v>
      </c>
      <c r="C803" s="8" t="s">
        <v>8</v>
      </c>
      <c r="D803" s="9" t="s">
        <v>185</v>
      </c>
      <c r="E803" s="9" t="s">
        <v>10</v>
      </c>
      <c r="F803" s="9" t="s">
        <v>186</v>
      </c>
      <c r="G803" s="8"/>
      <c r="H803" s="8"/>
      <c r="I803" s="9" t="s">
        <v>13</v>
      </c>
      <c r="J803" s="9" t="s">
        <v>13</v>
      </c>
      <c r="K803" s="9"/>
      <c r="L803" s="9" t="s">
        <v>178</v>
      </c>
      <c r="M803" s="9" t="s">
        <v>13</v>
      </c>
      <c r="N803" s="9" t="s">
        <v>406</v>
      </c>
      <c r="O803" s="9" t="s">
        <v>412</v>
      </c>
      <c r="P803" s="9" t="s">
        <v>412</v>
      </c>
      <c r="Q803" s="41"/>
      <c r="R803" s="41">
        <v>55</v>
      </c>
      <c r="S803" s="41">
        <v>55</v>
      </c>
      <c r="T803" s="9"/>
      <c r="U803" s="14" t="s">
        <v>77</v>
      </c>
      <c r="V803" s="9"/>
      <c r="W803" s="210">
        <v>30</v>
      </c>
      <c r="X803" s="34"/>
      <c r="Y803" s="34"/>
      <c r="Z803" s="34"/>
      <c r="AA803" s="34"/>
      <c r="AB803" s="34"/>
      <c r="AC803" s="34">
        <f t="shared" si="116"/>
        <v>3.3000000000000002E-2</v>
      </c>
      <c r="AD803" s="34"/>
      <c r="AE803" s="34"/>
      <c r="AF803" s="34">
        <f t="shared" si="117"/>
        <v>0.33</v>
      </c>
      <c r="AG803" s="34"/>
      <c r="AH803" s="34"/>
      <c r="AI803" s="34"/>
      <c r="AJ803" s="34">
        <f t="shared" si="114"/>
        <v>0.36299999999999999</v>
      </c>
      <c r="AK803" s="9"/>
      <c r="AL803" s="34"/>
      <c r="AM803" s="9"/>
      <c r="AN803" s="9"/>
      <c r="AO803" s="9"/>
      <c r="AP803" s="14"/>
    </row>
    <row r="804" spans="1:42" s="45" customFormat="1" ht="22" customHeight="1">
      <c r="A804" s="14" t="s">
        <v>19</v>
      </c>
      <c r="B804" s="8">
        <v>2024</v>
      </c>
      <c r="C804" s="8" t="s">
        <v>8</v>
      </c>
      <c r="D804" s="9" t="s">
        <v>185</v>
      </c>
      <c r="E804" s="9" t="s">
        <v>10</v>
      </c>
      <c r="F804" s="9" t="s">
        <v>186</v>
      </c>
      <c r="G804" s="8"/>
      <c r="H804" s="8"/>
      <c r="I804" s="9" t="s">
        <v>13</v>
      </c>
      <c r="J804" s="9" t="s">
        <v>13</v>
      </c>
      <c r="K804" s="9"/>
      <c r="L804" s="9" t="s">
        <v>215</v>
      </c>
      <c r="M804" s="9" t="s">
        <v>92</v>
      </c>
      <c r="N804" s="9" t="s">
        <v>406</v>
      </c>
      <c r="O804" s="14" t="s">
        <v>426</v>
      </c>
      <c r="P804" s="9" t="s">
        <v>426</v>
      </c>
      <c r="Q804" s="41"/>
      <c r="R804" s="41">
        <v>365</v>
      </c>
      <c r="S804" s="41">
        <v>433.26599999999996</v>
      </c>
      <c r="T804" s="9"/>
      <c r="U804" s="14" t="s">
        <v>77</v>
      </c>
      <c r="V804" s="9"/>
      <c r="W804" s="210">
        <v>30</v>
      </c>
      <c r="X804" s="34"/>
      <c r="Y804" s="34"/>
      <c r="Z804" s="34"/>
      <c r="AA804" s="34"/>
      <c r="AB804" s="34"/>
      <c r="AC804" s="34">
        <f t="shared" si="116"/>
        <v>0.25995959999999996</v>
      </c>
      <c r="AD804" s="34"/>
      <c r="AE804" s="34"/>
      <c r="AF804" s="34">
        <f t="shared" si="117"/>
        <v>2.599596</v>
      </c>
      <c r="AG804" s="34"/>
      <c r="AH804" s="34"/>
      <c r="AI804" s="34"/>
      <c r="AJ804" s="34">
        <f t="shared" si="114"/>
        <v>2.8595556000000002</v>
      </c>
      <c r="AK804" s="9"/>
      <c r="AL804" s="34"/>
      <c r="AM804" s="9"/>
      <c r="AN804" s="9"/>
      <c r="AO804" s="9"/>
      <c r="AP804" s="14"/>
    </row>
    <row r="805" spans="1:42" s="45" customFormat="1" ht="22" customHeight="1">
      <c r="A805" s="14" t="s">
        <v>19</v>
      </c>
      <c r="B805" s="8">
        <v>2024</v>
      </c>
      <c r="C805" s="8" t="s">
        <v>8</v>
      </c>
      <c r="D805" s="9" t="s">
        <v>185</v>
      </c>
      <c r="E805" s="9" t="s">
        <v>10</v>
      </c>
      <c r="F805" s="9" t="s">
        <v>186</v>
      </c>
      <c r="G805" s="8"/>
      <c r="H805" s="8"/>
      <c r="I805" s="9" t="s">
        <v>13</v>
      </c>
      <c r="J805" s="9" t="s">
        <v>13</v>
      </c>
      <c r="K805" s="9"/>
      <c r="L805" s="9" t="s">
        <v>215</v>
      </c>
      <c r="M805" s="9" t="s">
        <v>92</v>
      </c>
      <c r="N805" s="9" t="s">
        <v>406</v>
      </c>
      <c r="O805" s="14" t="s">
        <v>426</v>
      </c>
      <c r="P805" s="9" t="s">
        <v>427</v>
      </c>
      <c r="Q805" s="41"/>
      <c r="R805" s="41">
        <v>75</v>
      </c>
      <c r="S805" s="41">
        <v>347.774</v>
      </c>
      <c r="T805" s="9"/>
      <c r="U805" s="14" t="s">
        <v>77</v>
      </c>
      <c r="V805" s="9"/>
      <c r="W805" s="210">
        <v>30</v>
      </c>
      <c r="X805" s="34"/>
      <c r="Y805" s="34"/>
      <c r="Z805" s="34"/>
      <c r="AA805" s="34"/>
      <c r="AB805" s="34"/>
      <c r="AC805" s="34">
        <f t="shared" si="116"/>
        <v>0.2086644</v>
      </c>
      <c r="AD805" s="34"/>
      <c r="AE805" s="34"/>
      <c r="AF805" s="34">
        <f t="shared" si="117"/>
        <v>2.0866439999999997</v>
      </c>
      <c r="AG805" s="34"/>
      <c r="AH805" s="34"/>
      <c r="AI805" s="34"/>
      <c r="AJ805" s="34">
        <f t="shared" si="114"/>
        <v>2.2953083999999997</v>
      </c>
      <c r="AK805" s="9"/>
      <c r="AL805" s="34"/>
      <c r="AM805" s="9"/>
      <c r="AN805" s="9"/>
      <c r="AO805" s="9"/>
      <c r="AP805" s="14"/>
    </row>
    <row r="806" spans="1:42" s="45" customFormat="1" ht="22" customHeight="1">
      <c r="A806" s="14" t="s">
        <v>19</v>
      </c>
      <c r="B806" s="8">
        <v>2024</v>
      </c>
      <c r="C806" s="8" t="s">
        <v>8</v>
      </c>
      <c r="D806" s="9" t="s">
        <v>185</v>
      </c>
      <c r="E806" s="9" t="s">
        <v>10</v>
      </c>
      <c r="F806" s="9" t="s">
        <v>186</v>
      </c>
      <c r="G806" s="8"/>
      <c r="H806" s="8"/>
      <c r="I806" s="9" t="s">
        <v>13</v>
      </c>
      <c r="J806" s="9" t="s">
        <v>13</v>
      </c>
      <c r="K806" s="9"/>
      <c r="L806" s="9" t="s">
        <v>215</v>
      </c>
      <c r="M806" s="9" t="s">
        <v>92</v>
      </c>
      <c r="N806" s="9" t="s">
        <v>406</v>
      </c>
      <c r="O806" s="14" t="s">
        <v>428</v>
      </c>
      <c r="P806" s="9" t="s">
        <v>429</v>
      </c>
      <c r="Q806" s="41"/>
      <c r="R806" s="41">
        <v>320</v>
      </c>
      <c r="S806" s="41">
        <v>595.55799999999999</v>
      </c>
      <c r="T806" s="9"/>
      <c r="U806" s="14" t="s">
        <v>77</v>
      </c>
      <c r="V806" s="9"/>
      <c r="W806" s="210">
        <v>30</v>
      </c>
      <c r="X806" s="34"/>
      <c r="Y806" s="34"/>
      <c r="Z806" s="34"/>
      <c r="AA806" s="34"/>
      <c r="AB806" s="34"/>
      <c r="AC806" s="34">
        <f t="shared" si="116"/>
        <v>0.35733479999999995</v>
      </c>
      <c r="AD806" s="34"/>
      <c r="AE806" s="34"/>
      <c r="AF806" s="34">
        <f t="shared" si="117"/>
        <v>3.5733479999999997</v>
      </c>
      <c r="AG806" s="34"/>
      <c r="AH806" s="34"/>
      <c r="AI806" s="34"/>
      <c r="AJ806" s="34">
        <f t="shared" si="114"/>
        <v>3.9306827999999996</v>
      </c>
      <c r="AK806" s="9"/>
      <c r="AL806" s="34"/>
      <c r="AM806" s="9"/>
      <c r="AN806" s="9"/>
      <c r="AO806" s="9"/>
      <c r="AP806" s="14"/>
    </row>
    <row r="807" spans="1:42" s="45" customFormat="1" ht="22" customHeight="1">
      <c r="A807" s="14" t="s">
        <v>19</v>
      </c>
      <c r="B807" s="8">
        <v>2024</v>
      </c>
      <c r="C807" s="8" t="s">
        <v>8</v>
      </c>
      <c r="D807" s="9" t="s">
        <v>185</v>
      </c>
      <c r="E807" s="9" t="s">
        <v>10</v>
      </c>
      <c r="F807" s="9" t="s">
        <v>186</v>
      </c>
      <c r="G807" s="8"/>
      <c r="H807" s="8"/>
      <c r="I807" s="9" t="s">
        <v>13</v>
      </c>
      <c r="J807" s="9" t="s">
        <v>13</v>
      </c>
      <c r="K807" s="9"/>
      <c r="L807" s="9" t="s">
        <v>215</v>
      </c>
      <c r="M807" s="9" t="s">
        <v>92</v>
      </c>
      <c r="N807" s="9" t="s">
        <v>406</v>
      </c>
      <c r="O807" s="14" t="s">
        <v>428</v>
      </c>
      <c r="P807" s="9" t="s">
        <v>428</v>
      </c>
      <c r="Q807" s="41"/>
      <c r="R807" s="41">
        <v>330</v>
      </c>
      <c r="S807" s="41">
        <v>502.49199999999996</v>
      </c>
      <c r="T807" s="9"/>
      <c r="U807" s="14" t="s">
        <v>77</v>
      </c>
      <c r="V807" s="9"/>
      <c r="W807" s="210">
        <v>30</v>
      </c>
      <c r="X807" s="34"/>
      <c r="Y807" s="34"/>
      <c r="Z807" s="34"/>
      <c r="AA807" s="34"/>
      <c r="AB807" s="34"/>
      <c r="AC807" s="34">
        <f t="shared" si="116"/>
        <v>0.30149519999999996</v>
      </c>
      <c r="AD807" s="34"/>
      <c r="AE807" s="34"/>
      <c r="AF807" s="34">
        <f t="shared" si="117"/>
        <v>3.0149519999999996</v>
      </c>
      <c r="AG807" s="34"/>
      <c r="AH807" s="34"/>
      <c r="AI807" s="34"/>
      <c r="AJ807" s="34">
        <f t="shared" si="114"/>
        <v>3.3164471999999998</v>
      </c>
      <c r="AK807" s="9"/>
      <c r="AL807" s="34"/>
      <c r="AM807" s="9"/>
      <c r="AN807" s="9"/>
      <c r="AO807" s="9"/>
      <c r="AP807" s="14"/>
    </row>
    <row r="808" spans="1:42" s="45" customFormat="1" ht="22" customHeight="1">
      <c r="A808" s="14" t="s">
        <v>19</v>
      </c>
      <c r="B808" s="8">
        <v>2024</v>
      </c>
      <c r="C808" s="8" t="s">
        <v>8</v>
      </c>
      <c r="D808" s="9" t="s">
        <v>185</v>
      </c>
      <c r="E808" s="9" t="s">
        <v>10</v>
      </c>
      <c r="F808" s="9" t="s">
        <v>186</v>
      </c>
      <c r="G808" s="8"/>
      <c r="H808" s="8"/>
      <c r="I808" s="9" t="s">
        <v>13</v>
      </c>
      <c r="J808" s="9" t="s">
        <v>13</v>
      </c>
      <c r="K808" s="9"/>
      <c r="L808" s="9" t="s">
        <v>215</v>
      </c>
      <c r="M808" s="9" t="s">
        <v>92</v>
      </c>
      <c r="N808" s="9" t="s">
        <v>406</v>
      </c>
      <c r="O808" s="14" t="s">
        <v>428</v>
      </c>
      <c r="P808" s="9" t="s">
        <v>430</v>
      </c>
      <c r="Q808" s="41"/>
      <c r="R808" s="41">
        <v>205</v>
      </c>
      <c r="S808" s="41">
        <v>205</v>
      </c>
      <c r="T808" s="9"/>
      <c r="U808" s="14" t="s">
        <v>77</v>
      </c>
      <c r="V808" s="9"/>
      <c r="W808" s="210">
        <v>30</v>
      </c>
      <c r="X808" s="34"/>
      <c r="Y808" s="34"/>
      <c r="Z808" s="34"/>
      <c r="AA808" s="34"/>
      <c r="AB808" s="34"/>
      <c r="AC808" s="34">
        <f t="shared" si="116"/>
        <v>0.123</v>
      </c>
      <c r="AD808" s="34"/>
      <c r="AE808" s="34"/>
      <c r="AF808" s="34">
        <f t="shared" si="117"/>
        <v>1.23</v>
      </c>
      <c r="AG808" s="34"/>
      <c r="AH808" s="34"/>
      <c r="AI808" s="34"/>
      <c r="AJ808" s="34">
        <f t="shared" si="114"/>
        <v>1.353</v>
      </c>
      <c r="AK808" s="9"/>
      <c r="AL808" s="34"/>
      <c r="AM808" s="9"/>
      <c r="AN808" s="9"/>
      <c r="AO808" s="9"/>
      <c r="AP808" s="14"/>
    </row>
    <row r="809" spans="1:42" s="45" customFormat="1" ht="22" customHeight="1">
      <c r="A809" s="14" t="s">
        <v>19</v>
      </c>
      <c r="B809" s="8">
        <v>2024</v>
      </c>
      <c r="C809" s="8" t="s">
        <v>8</v>
      </c>
      <c r="D809" s="9" t="s">
        <v>185</v>
      </c>
      <c r="E809" s="9" t="s">
        <v>10</v>
      </c>
      <c r="F809" s="9" t="s">
        <v>186</v>
      </c>
      <c r="G809" s="8"/>
      <c r="H809" s="8"/>
      <c r="I809" s="9" t="s">
        <v>13</v>
      </c>
      <c r="J809" s="9" t="s">
        <v>13</v>
      </c>
      <c r="K809" s="9"/>
      <c r="L809" s="9" t="s">
        <v>215</v>
      </c>
      <c r="M809" s="9" t="s">
        <v>92</v>
      </c>
      <c r="N809" s="9" t="s">
        <v>406</v>
      </c>
      <c r="O809" s="14" t="s">
        <v>420</v>
      </c>
      <c r="P809" s="9" t="s">
        <v>420</v>
      </c>
      <c r="Q809" s="41"/>
      <c r="R809" s="41">
        <v>248</v>
      </c>
      <c r="S809" s="41">
        <v>248</v>
      </c>
      <c r="T809" s="9"/>
      <c r="U809" s="14" t="s">
        <v>77</v>
      </c>
      <c r="V809" s="9"/>
      <c r="W809" s="210">
        <v>30</v>
      </c>
      <c r="X809" s="34"/>
      <c r="Y809" s="34"/>
      <c r="Z809" s="34"/>
      <c r="AA809" s="34"/>
      <c r="AB809" s="34"/>
      <c r="AC809" s="34">
        <f t="shared" si="116"/>
        <v>0.14879999999999999</v>
      </c>
      <c r="AD809" s="34"/>
      <c r="AE809" s="34"/>
      <c r="AF809" s="34">
        <f t="shared" si="117"/>
        <v>1.488</v>
      </c>
      <c r="AG809" s="34"/>
      <c r="AH809" s="34"/>
      <c r="AI809" s="34"/>
      <c r="AJ809" s="34">
        <f t="shared" si="114"/>
        <v>1.6368</v>
      </c>
      <c r="AK809" s="9"/>
      <c r="AL809" s="34"/>
      <c r="AM809" s="9"/>
      <c r="AN809" s="9"/>
      <c r="AO809" s="9"/>
      <c r="AP809" s="14"/>
    </row>
    <row r="810" spans="1:42" s="45" customFormat="1" ht="22" customHeight="1">
      <c r="A810" s="14" t="s">
        <v>19</v>
      </c>
      <c r="B810" s="8">
        <v>2024</v>
      </c>
      <c r="C810" s="8" t="s">
        <v>8</v>
      </c>
      <c r="D810" s="9" t="s">
        <v>185</v>
      </c>
      <c r="E810" s="9" t="s">
        <v>10</v>
      </c>
      <c r="F810" s="9" t="s">
        <v>186</v>
      </c>
      <c r="G810" s="8"/>
      <c r="H810" s="8"/>
      <c r="I810" s="9" t="s">
        <v>13</v>
      </c>
      <c r="J810" s="9" t="s">
        <v>13</v>
      </c>
      <c r="K810" s="9"/>
      <c r="L810" s="9" t="s">
        <v>215</v>
      </c>
      <c r="M810" s="9" t="s">
        <v>92</v>
      </c>
      <c r="N810" s="9" t="s">
        <v>406</v>
      </c>
      <c r="O810" s="14" t="s">
        <v>420</v>
      </c>
      <c r="P810" s="9" t="s">
        <v>421</v>
      </c>
      <c r="Q810" s="41"/>
      <c r="R810" s="41">
        <v>226</v>
      </c>
      <c r="S810" s="41">
        <v>226</v>
      </c>
      <c r="T810" s="9"/>
      <c r="U810" s="14" t="s">
        <v>77</v>
      </c>
      <c r="V810" s="9"/>
      <c r="W810" s="210">
        <v>30</v>
      </c>
      <c r="X810" s="34"/>
      <c r="Y810" s="34"/>
      <c r="Z810" s="34"/>
      <c r="AA810" s="34"/>
      <c r="AB810" s="34"/>
      <c r="AC810" s="34">
        <f t="shared" si="116"/>
        <v>0.1356</v>
      </c>
      <c r="AD810" s="34"/>
      <c r="AE810" s="34"/>
      <c r="AF810" s="34">
        <f t="shared" si="117"/>
        <v>1.3560000000000001</v>
      </c>
      <c r="AG810" s="34"/>
      <c r="AH810" s="34"/>
      <c r="AI810" s="34"/>
      <c r="AJ810" s="34">
        <f t="shared" si="114"/>
        <v>1.4916</v>
      </c>
      <c r="AK810" s="9"/>
      <c r="AL810" s="34"/>
      <c r="AM810" s="9"/>
      <c r="AN810" s="9"/>
      <c r="AO810" s="9"/>
      <c r="AP810" s="14"/>
    </row>
    <row r="811" spans="1:42" s="45" customFormat="1" ht="22" customHeight="1">
      <c r="A811" s="14" t="s">
        <v>19</v>
      </c>
      <c r="B811" s="8">
        <v>2024</v>
      </c>
      <c r="C811" s="8" t="s">
        <v>8</v>
      </c>
      <c r="D811" s="9" t="s">
        <v>185</v>
      </c>
      <c r="E811" s="9" t="s">
        <v>10</v>
      </c>
      <c r="F811" s="9" t="s">
        <v>186</v>
      </c>
      <c r="G811" s="8"/>
      <c r="H811" s="8"/>
      <c r="I811" s="9" t="s">
        <v>13</v>
      </c>
      <c r="J811" s="9" t="s">
        <v>13</v>
      </c>
      <c r="K811" s="9"/>
      <c r="L811" s="9" t="s">
        <v>215</v>
      </c>
      <c r="M811" s="9" t="s">
        <v>92</v>
      </c>
      <c r="N811" s="9" t="s">
        <v>406</v>
      </c>
      <c r="O811" s="14" t="s">
        <v>422</v>
      </c>
      <c r="P811" s="9" t="s">
        <v>423</v>
      </c>
      <c r="Q811" s="41"/>
      <c r="R811" s="41">
        <v>278</v>
      </c>
      <c r="S811" s="41">
        <v>278</v>
      </c>
      <c r="T811" s="9"/>
      <c r="U811" s="14" t="s">
        <v>77</v>
      </c>
      <c r="V811" s="9"/>
      <c r="W811" s="210">
        <v>30</v>
      </c>
      <c r="X811" s="34"/>
      <c r="Y811" s="34"/>
      <c r="Z811" s="34"/>
      <c r="AA811" s="34"/>
      <c r="AB811" s="34"/>
      <c r="AC811" s="34">
        <f t="shared" si="116"/>
        <v>0.1668</v>
      </c>
      <c r="AD811" s="34"/>
      <c r="AE811" s="34"/>
      <c r="AF811" s="34">
        <f t="shared" si="117"/>
        <v>1.6679999999999999</v>
      </c>
      <c r="AG811" s="34"/>
      <c r="AH811" s="34"/>
      <c r="AI811" s="34"/>
      <c r="AJ811" s="34">
        <f t="shared" si="114"/>
        <v>1.8348</v>
      </c>
      <c r="AK811" s="9"/>
      <c r="AL811" s="34"/>
      <c r="AM811" s="9"/>
      <c r="AN811" s="9"/>
      <c r="AO811" s="9"/>
      <c r="AP811" s="14"/>
    </row>
    <row r="812" spans="1:42" s="45" customFormat="1" ht="22" customHeight="1">
      <c r="A812" s="14" t="s">
        <v>19</v>
      </c>
      <c r="B812" s="8">
        <v>2024</v>
      </c>
      <c r="C812" s="8" t="s">
        <v>8</v>
      </c>
      <c r="D812" s="9" t="s">
        <v>185</v>
      </c>
      <c r="E812" s="9" t="s">
        <v>10</v>
      </c>
      <c r="F812" s="9" t="s">
        <v>186</v>
      </c>
      <c r="G812" s="8"/>
      <c r="H812" s="8"/>
      <c r="I812" s="9" t="s">
        <v>13</v>
      </c>
      <c r="J812" s="9" t="s">
        <v>13</v>
      </c>
      <c r="K812" s="9"/>
      <c r="L812" s="9" t="s">
        <v>215</v>
      </c>
      <c r="M812" s="9" t="s">
        <v>92</v>
      </c>
      <c r="N812" s="9" t="s">
        <v>406</v>
      </c>
      <c r="O812" s="14" t="s">
        <v>422</v>
      </c>
      <c r="P812" s="9" t="s">
        <v>422</v>
      </c>
      <c r="Q812" s="41"/>
      <c r="R812" s="41">
        <v>497</v>
      </c>
      <c r="S812" s="41">
        <v>497</v>
      </c>
      <c r="T812" s="9"/>
      <c r="U812" s="14" t="s">
        <v>77</v>
      </c>
      <c r="V812" s="9"/>
      <c r="W812" s="210">
        <v>30</v>
      </c>
      <c r="X812" s="34"/>
      <c r="Y812" s="34"/>
      <c r="Z812" s="34"/>
      <c r="AA812" s="34"/>
      <c r="AB812" s="34"/>
      <c r="AC812" s="34">
        <f t="shared" si="116"/>
        <v>0.29820000000000002</v>
      </c>
      <c r="AD812" s="34"/>
      <c r="AE812" s="34"/>
      <c r="AF812" s="34">
        <f t="shared" si="117"/>
        <v>2.9820000000000002</v>
      </c>
      <c r="AG812" s="34"/>
      <c r="AH812" s="34"/>
      <c r="AI812" s="34"/>
      <c r="AJ812" s="34">
        <f t="shared" si="114"/>
        <v>3.2802000000000002</v>
      </c>
      <c r="AK812" s="9"/>
      <c r="AL812" s="34"/>
      <c r="AM812" s="9"/>
      <c r="AN812" s="9"/>
      <c r="AO812" s="9"/>
      <c r="AP812" s="14"/>
    </row>
    <row r="813" spans="1:42" s="45" customFormat="1" ht="22" customHeight="1">
      <c r="A813" s="14" t="s">
        <v>19</v>
      </c>
      <c r="B813" s="8">
        <v>2024</v>
      </c>
      <c r="C813" s="8" t="s">
        <v>8</v>
      </c>
      <c r="D813" s="9" t="s">
        <v>185</v>
      </c>
      <c r="E813" s="9" t="s">
        <v>10</v>
      </c>
      <c r="F813" s="9" t="s">
        <v>186</v>
      </c>
      <c r="G813" s="8"/>
      <c r="H813" s="8"/>
      <c r="I813" s="9" t="s">
        <v>13</v>
      </c>
      <c r="J813" s="9" t="s">
        <v>13</v>
      </c>
      <c r="K813" s="9"/>
      <c r="L813" s="9" t="s">
        <v>215</v>
      </c>
      <c r="M813" s="9" t="s">
        <v>92</v>
      </c>
      <c r="N813" s="9" t="s">
        <v>406</v>
      </c>
      <c r="O813" s="14" t="s">
        <v>422</v>
      </c>
      <c r="P813" s="9" t="s">
        <v>424</v>
      </c>
      <c r="Q813" s="41"/>
      <c r="R813" s="41">
        <v>254</v>
      </c>
      <c r="S813" s="41">
        <v>254</v>
      </c>
      <c r="T813" s="9"/>
      <c r="U813" s="14" t="s">
        <v>77</v>
      </c>
      <c r="V813" s="9"/>
      <c r="W813" s="210">
        <v>30</v>
      </c>
      <c r="X813" s="34"/>
      <c r="Y813" s="34"/>
      <c r="Z813" s="34"/>
      <c r="AA813" s="34"/>
      <c r="AB813" s="34"/>
      <c r="AC813" s="34">
        <f t="shared" si="116"/>
        <v>0.15240000000000001</v>
      </c>
      <c r="AD813" s="34"/>
      <c r="AE813" s="34"/>
      <c r="AF813" s="34">
        <f t="shared" si="117"/>
        <v>1.524</v>
      </c>
      <c r="AG813" s="34"/>
      <c r="AH813" s="34"/>
      <c r="AI813" s="34"/>
      <c r="AJ813" s="34">
        <f t="shared" si="114"/>
        <v>1.6764000000000001</v>
      </c>
      <c r="AK813" s="9"/>
      <c r="AL813" s="34"/>
      <c r="AM813" s="9"/>
      <c r="AN813" s="9"/>
      <c r="AO813" s="9"/>
      <c r="AP813" s="14"/>
    </row>
    <row r="814" spans="1:42" s="45" customFormat="1" ht="22" customHeight="1">
      <c r="A814" s="14" t="s">
        <v>19</v>
      </c>
      <c r="B814" s="8">
        <v>2024</v>
      </c>
      <c r="C814" s="8" t="s">
        <v>8</v>
      </c>
      <c r="D814" s="9" t="s">
        <v>185</v>
      </c>
      <c r="E814" s="9" t="s">
        <v>10</v>
      </c>
      <c r="F814" s="9" t="s">
        <v>186</v>
      </c>
      <c r="G814" s="8"/>
      <c r="H814" s="8"/>
      <c r="I814" s="9" t="s">
        <v>13</v>
      </c>
      <c r="J814" s="9" t="s">
        <v>13</v>
      </c>
      <c r="K814" s="9"/>
      <c r="L814" s="9" t="s">
        <v>215</v>
      </c>
      <c r="M814" s="9" t="s">
        <v>92</v>
      </c>
      <c r="N814" s="9" t="s">
        <v>406</v>
      </c>
      <c r="O814" s="14" t="s">
        <v>422</v>
      </c>
      <c r="P814" s="9" t="s">
        <v>425</v>
      </c>
      <c r="Q814" s="41"/>
      <c r="R814" s="41">
        <v>247</v>
      </c>
      <c r="S814" s="41">
        <v>247</v>
      </c>
      <c r="T814" s="9"/>
      <c r="U814" s="14" t="s">
        <v>77</v>
      </c>
      <c r="V814" s="9"/>
      <c r="W814" s="210">
        <v>30</v>
      </c>
      <c r="X814" s="34"/>
      <c r="Y814" s="34"/>
      <c r="Z814" s="34"/>
      <c r="AA814" s="34"/>
      <c r="AB814" s="34"/>
      <c r="AC814" s="34">
        <f t="shared" si="116"/>
        <v>0.1482</v>
      </c>
      <c r="AD814" s="34"/>
      <c r="AE814" s="34"/>
      <c r="AF814" s="34">
        <f t="shared" si="117"/>
        <v>1.482</v>
      </c>
      <c r="AG814" s="34"/>
      <c r="AH814" s="34"/>
      <c r="AI814" s="34"/>
      <c r="AJ814" s="34">
        <f t="shared" si="114"/>
        <v>1.6301999999999999</v>
      </c>
      <c r="AK814" s="9"/>
      <c r="AL814" s="34"/>
      <c r="AM814" s="9"/>
      <c r="AN814" s="9"/>
      <c r="AO814" s="9"/>
      <c r="AP814" s="14"/>
    </row>
    <row r="815" spans="1:42" s="45" customFormat="1" ht="22" customHeight="1">
      <c r="A815" s="14" t="s">
        <v>17</v>
      </c>
      <c r="B815" s="8">
        <v>2024</v>
      </c>
      <c r="C815" s="8" t="s">
        <v>8</v>
      </c>
      <c r="D815" s="9" t="s">
        <v>185</v>
      </c>
      <c r="E815" s="9" t="s">
        <v>15</v>
      </c>
      <c r="F815" s="9" t="s">
        <v>186</v>
      </c>
      <c r="G815" s="8"/>
      <c r="H815" s="8"/>
      <c r="I815" s="9" t="s">
        <v>187</v>
      </c>
      <c r="J815" s="9" t="s">
        <v>11</v>
      </c>
      <c r="K815" s="9" t="s">
        <v>82</v>
      </c>
      <c r="L815" s="9" t="s">
        <v>166</v>
      </c>
      <c r="M815" s="9" t="s">
        <v>28</v>
      </c>
      <c r="N815" s="9" t="s">
        <v>266</v>
      </c>
      <c r="O815" s="9" t="s">
        <v>189</v>
      </c>
      <c r="P815" s="9" t="s">
        <v>190</v>
      </c>
      <c r="Q815" s="11">
        <v>15</v>
      </c>
      <c r="R815" s="11"/>
      <c r="S815" s="11">
        <f t="shared" ref="S815:S842" si="118">Q815+R815</f>
        <v>15</v>
      </c>
      <c r="T815" s="9"/>
      <c r="U815" s="9" t="s">
        <v>191</v>
      </c>
      <c r="V815" s="9"/>
      <c r="W815" s="12">
        <v>30</v>
      </c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2">
        <f>+S815*21000</f>
        <v>315000</v>
      </c>
      <c r="AL815" s="161">
        <f t="shared" ref="AL815:AL842" si="119">AK815/$AL$4</f>
        <v>69.0919778730199</v>
      </c>
      <c r="AM815" s="9"/>
      <c r="AN815" s="9"/>
      <c r="AO815" s="9"/>
      <c r="AP815" s="14"/>
    </row>
    <row r="816" spans="1:42" s="45" customFormat="1" ht="22" customHeight="1">
      <c r="A816" s="14" t="s">
        <v>17</v>
      </c>
      <c r="B816" s="8">
        <v>2024</v>
      </c>
      <c r="C816" s="8" t="s">
        <v>8</v>
      </c>
      <c r="D816" s="9" t="s">
        <v>185</v>
      </c>
      <c r="E816" s="9" t="s">
        <v>15</v>
      </c>
      <c r="F816" s="9" t="s">
        <v>186</v>
      </c>
      <c r="G816" s="8"/>
      <c r="H816" s="8"/>
      <c r="I816" s="9" t="s">
        <v>187</v>
      </c>
      <c r="J816" s="9" t="s">
        <v>11</v>
      </c>
      <c r="K816" s="9" t="s">
        <v>82</v>
      </c>
      <c r="L816" s="9" t="s">
        <v>166</v>
      </c>
      <c r="M816" s="9" t="s">
        <v>28</v>
      </c>
      <c r="N816" s="9" t="s">
        <v>266</v>
      </c>
      <c r="O816" s="9" t="s">
        <v>189</v>
      </c>
      <c r="P816" s="9" t="s">
        <v>192</v>
      </c>
      <c r="Q816" s="11">
        <v>17</v>
      </c>
      <c r="R816" s="11"/>
      <c r="S816" s="11">
        <f t="shared" si="118"/>
        <v>17</v>
      </c>
      <c r="T816" s="9"/>
      <c r="U816" s="9" t="s">
        <v>191</v>
      </c>
      <c r="V816" s="9"/>
      <c r="W816" s="12">
        <v>30</v>
      </c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2">
        <f t="shared" ref="AK816:AK829" si="120">+S816*21000</f>
        <v>357000</v>
      </c>
      <c r="AL816" s="161">
        <f t="shared" si="119"/>
        <v>78.30424158942256</v>
      </c>
      <c r="AM816" s="9"/>
      <c r="AN816" s="9"/>
      <c r="AO816" s="9"/>
      <c r="AP816" s="14"/>
    </row>
    <row r="817" spans="1:42" s="45" customFormat="1" ht="22" customHeight="1">
      <c r="A817" s="14" t="s">
        <v>17</v>
      </c>
      <c r="B817" s="8">
        <v>2024</v>
      </c>
      <c r="C817" s="8" t="s">
        <v>8</v>
      </c>
      <c r="D817" s="9" t="s">
        <v>185</v>
      </c>
      <c r="E817" s="9" t="s">
        <v>15</v>
      </c>
      <c r="F817" s="9" t="s">
        <v>186</v>
      </c>
      <c r="G817" s="8"/>
      <c r="H817" s="8"/>
      <c r="I817" s="9" t="s">
        <v>187</v>
      </c>
      <c r="J817" s="9" t="s">
        <v>11</v>
      </c>
      <c r="K817" s="9" t="s">
        <v>82</v>
      </c>
      <c r="L817" s="9" t="s">
        <v>166</v>
      </c>
      <c r="M817" s="9" t="s">
        <v>28</v>
      </c>
      <c r="N817" s="9" t="s">
        <v>266</v>
      </c>
      <c r="O817" s="9" t="s">
        <v>193</v>
      </c>
      <c r="P817" s="9" t="s">
        <v>194</v>
      </c>
      <c r="Q817" s="11">
        <v>37</v>
      </c>
      <c r="R817" s="11"/>
      <c r="S817" s="11">
        <f t="shared" si="118"/>
        <v>37</v>
      </c>
      <c r="T817" s="9"/>
      <c r="U817" s="9" t="s">
        <v>191</v>
      </c>
      <c r="V817" s="9"/>
      <c r="W817" s="12">
        <v>30</v>
      </c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2">
        <f t="shared" si="120"/>
        <v>777000</v>
      </c>
      <c r="AL817" s="161">
        <f t="shared" si="119"/>
        <v>170.4268787534491</v>
      </c>
      <c r="AM817" s="9"/>
      <c r="AN817" s="9"/>
      <c r="AO817" s="9"/>
      <c r="AP817" s="14"/>
    </row>
    <row r="818" spans="1:42" s="45" customFormat="1" ht="22" customHeight="1">
      <c r="A818" s="14" t="s">
        <v>17</v>
      </c>
      <c r="B818" s="8">
        <v>2024</v>
      </c>
      <c r="C818" s="8" t="s">
        <v>8</v>
      </c>
      <c r="D818" s="9" t="s">
        <v>185</v>
      </c>
      <c r="E818" s="9" t="s">
        <v>15</v>
      </c>
      <c r="F818" s="9" t="s">
        <v>186</v>
      </c>
      <c r="G818" s="8"/>
      <c r="H818" s="8"/>
      <c r="I818" s="9" t="s">
        <v>187</v>
      </c>
      <c r="J818" s="9" t="s">
        <v>11</v>
      </c>
      <c r="K818" s="9" t="s">
        <v>82</v>
      </c>
      <c r="L818" s="9" t="s">
        <v>166</v>
      </c>
      <c r="M818" s="9" t="s">
        <v>28</v>
      </c>
      <c r="N818" s="9" t="s">
        <v>266</v>
      </c>
      <c r="O818" s="9" t="s">
        <v>193</v>
      </c>
      <c r="P818" s="9" t="s">
        <v>195</v>
      </c>
      <c r="Q818" s="11">
        <v>52</v>
      </c>
      <c r="R818" s="11"/>
      <c r="S818" s="11">
        <f t="shared" si="118"/>
        <v>52</v>
      </c>
      <c r="T818" s="9"/>
      <c r="U818" s="9" t="s">
        <v>191</v>
      </c>
      <c r="V818" s="9"/>
      <c r="W818" s="12">
        <v>30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2">
        <f t="shared" si="120"/>
        <v>1092000</v>
      </c>
      <c r="AL818" s="161">
        <f t="shared" si="119"/>
        <v>239.51885662646902</v>
      </c>
      <c r="AM818" s="9"/>
      <c r="AN818" s="9"/>
      <c r="AO818" s="9"/>
      <c r="AP818" s="14"/>
    </row>
    <row r="819" spans="1:42" s="45" customFormat="1" ht="22" customHeight="1">
      <c r="A819" s="14" t="s">
        <v>17</v>
      </c>
      <c r="B819" s="8">
        <v>2024</v>
      </c>
      <c r="C819" s="8" t="s">
        <v>8</v>
      </c>
      <c r="D819" s="9" t="s">
        <v>185</v>
      </c>
      <c r="E819" s="9" t="s">
        <v>15</v>
      </c>
      <c r="F819" s="9" t="s">
        <v>186</v>
      </c>
      <c r="G819" s="8"/>
      <c r="H819" s="8"/>
      <c r="I819" s="9" t="s">
        <v>187</v>
      </c>
      <c r="J819" s="9" t="s">
        <v>11</v>
      </c>
      <c r="K819" s="9" t="s">
        <v>82</v>
      </c>
      <c r="L819" s="9" t="s">
        <v>166</v>
      </c>
      <c r="M819" s="9" t="s">
        <v>28</v>
      </c>
      <c r="N819" s="9" t="s">
        <v>266</v>
      </c>
      <c r="O819" s="9" t="s">
        <v>193</v>
      </c>
      <c r="P819" s="9" t="s">
        <v>196</v>
      </c>
      <c r="Q819" s="11">
        <v>3</v>
      </c>
      <c r="R819" s="11"/>
      <c r="S819" s="11">
        <f t="shared" si="118"/>
        <v>3</v>
      </c>
      <c r="T819" s="9"/>
      <c r="U819" s="9" t="s">
        <v>191</v>
      </c>
      <c r="V819" s="9"/>
      <c r="W819" s="12">
        <v>30</v>
      </c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2">
        <f t="shared" si="120"/>
        <v>63000</v>
      </c>
      <c r="AL819" s="161">
        <f t="shared" si="119"/>
        <v>13.818395574603981</v>
      </c>
      <c r="AM819" s="9"/>
      <c r="AN819" s="9"/>
      <c r="AO819" s="9"/>
      <c r="AP819" s="14"/>
    </row>
    <row r="820" spans="1:42" s="45" customFormat="1" ht="22" customHeight="1">
      <c r="A820" s="14" t="s">
        <v>17</v>
      </c>
      <c r="B820" s="8">
        <v>2024</v>
      </c>
      <c r="C820" s="8" t="s">
        <v>8</v>
      </c>
      <c r="D820" s="9" t="s">
        <v>185</v>
      </c>
      <c r="E820" s="9" t="s">
        <v>15</v>
      </c>
      <c r="F820" s="9" t="s">
        <v>186</v>
      </c>
      <c r="G820" s="8"/>
      <c r="H820" s="8"/>
      <c r="I820" s="9" t="s">
        <v>187</v>
      </c>
      <c r="J820" s="9" t="s">
        <v>11</v>
      </c>
      <c r="K820" s="9" t="s">
        <v>82</v>
      </c>
      <c r="L820" s="9" t="s">
        <v>166</v>
      </c>
      <c r="M820" s="9" t="s">
        <v>28</v>
      </c>
      <c r="N820" s="9" t="s">
        <v>266</v>
      </c>
      <c r="O820" s="9" t="s">
        <v>193</v>
      </c>
      <c r="P820" s="9" t="s">
        <v>197</v>
      </c>
      <c r="Q820" s="11">
        <v>25</v>
      </c>
      <c r="R820" s="11"/>
      <c r="S820" s="11">
        <f t="shared" si="118"/>
        <v>25</v>
      </c>
      <c r="T820" s="9"/>
      <c r="U820" s="9" t="s">
        <v>191</v>
      </c>
      <c r="V820" s="9"/>
      <c r="W820" s="12">
        <v>30</v>
      </c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2">
        <f t="shared" si="120"/>
        <v>525000</v>
      </c>
      <c r="AL820" s="161">
        <f t="shared" si="119"/>
        <v>115.15329645503317</v>
      </c>
      <c r="AM820" s="9"/>
      <c r="AN820" s="9"/>
      <c r="AO820" s="9"/>
      <c r="AP820" s="14"/>
    </row>
    <row r="821" spans="1:42" s="45" customFormat="1" ht="22" customHeight="1">
      <c r="A821" s="14" t="s">
        <v>17</v>
      </c>
      <c r="B821" s="8">
        <v>2024</v>
      </c>
      <c r="C821" s="8" t="s">
        <v>8</v>
      </c>
      <c r="D821" s="9" t="s">
        <v>185</v>
      </c>
      <c r="E821" s="9" t="s">
        <v>15</v>
      </c>
      <c r="F821" s="9" t="s">
        <v>186</v>
      </c>
      <c r="G821" s="8"/>
      <c r="H821" s="8"/>
      <c r="I821" s="9" t="s">
        <v>187</v>
      </c>
      <c r="J821" s="9" t="s">
        <v>11</v>
      </c>
      <c r="K821" s="9" t="s">
        <v>82</v>
      </c>
      <c r="L821" s="9" t="s">
        <v>166</v>
      </c>
      <c r="M821" s="9" t="s">
        <v>28</v>
      </c>
      <c r="N821" s="9" t="s">
        <v>266</v>
      </c>
      <c r="O821" s="9" t="s">
        <v>193</v>
      </c>
      <c r="P821" s="9" t="s">
        <v>198</v>
      </c>
      <c r="Q821" s="11">
        <v>25</v>
      </c>
      <c r="R821" s="11"/>
      <c r="S821" s="11">
        <f t="shared" si="118"/>
        <v>25</v>
      </c>
      <c r="T821" s="9"/>
      <c r="U821" s="9" t="s">
        <v>191</v>
      </c>
      <c r="V821" s="9"/>
      <c r="W821" s="12">
        <v>30</v>
      </c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2">
        <f t="shared" si="120"/>
        <v>525000</v>
      </c>
      <c r="AL821" s="161">
        <f t="shared" si="119"/>
        <v>115.15329645503317</v>
      </c>
      <c r="AM821" s="9"/>
      <c r="AN821" s="9"/>
      <c r="AO821" s="9"/>
      <c r="AP821" s="14"/>
    </row>
    <row r="822" spans="1:42" s="45" customFormat="1" ht="22" customHeight="1">
      <c r="A822" s="14" t="s">
        <v>17</v>
      </c>
      <c r="B822" s="8">
        <v>2024</v>
      </c>
      <c r="C822" s="8" t="s">
        <v>8</v>
      </c>
      <c r="D822" s="9" t="s">
        <v>185</v>
      </c>
      <c r="E822" s="9" t="s">
        <v>15</v>
      </c>
      <c r="F822" s="9" t="s">
        <v>186</v>
      </c>
      <c r="G822" s="8"/>
      <c r="H822" s="8"/>
      <c r="I822" s="9" t="s">
        <v>187</v>
      </c>
      <c r="J822" s="9" t="s">
        <v>11</v>
      </c>
      <c r="K822" s="9" t="s">
        <v>82</v>
      </c>
      <c r="L822" s="9" t="s">
        <v>166</v>
      </c>
      <c r="M822" s="9" t="s">
        <v>28</v>
      </c>
      <c r="N822" s="9" t="s">
        <v>266</v>
      </c>
      <c r="O822" s="9" t="s">
        <v>193</v>
      </c>
      <c r="P822" s="9" t="s">
        <v>199</v>
      </c>
      <c r="Q822" s="11">
        <v>61</v>
      </c>
      <c r="R822" s="11"/>
      <c r="S822" s="11">
        <f t="shared" si="118"/>
        <v>61</v>
      </c>
      <c r="T822" s="9"/>
      <c r="U822" s="9" t="s">
        <v>191</v>
      </c>
      <c r="V822" s="9"/>
      <c r="W822" s="12">
        <v>30</v>
      </c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2">
        <f t="shared" si="120"/>
        <v>1281000</v>
      </c>
      <c r="AL822" s="161">
        <f t="shared" si="119"/>
        <v>280.97404335028097</v>
      </c>
      <c r="AM822" s="9"/>
      <c r="AN822" s="9"/>
      <c r="AO822" s="9"/>
      <c r="AP822" s="14"/>
    </row>
    <row r="823" spans="1:42" s="45" customFormat="1" ht="22" customHeight="1">
      <c r="A823" s="14" t="s">
        <v>17</v>
      </c>
      <c r="B823" s="8">
        <v>2024</v>
      </c>
      <c r="C823" s="8" t="s">
        <v>8</v>
      </c>
      <c r="D823" s="9" t="s">
        <v>185</v>
      </c>
      <c r="E823" s="9" t="s">
        <v>15</v>
      </c>
      <c r="F823" s="9" t="s">
        <v>186</v>
      </c>
      <c r="G823" s="8"/>
      <c r="H823" s="8"/>
      <c r="I823" s="9" t="s">
        <v>187</v>
      </c>
      <c r="J823" s="9" t="s">
        <v>11</v>
      </c>
      <c r="K823" s="9" t="s">
        <v>82</v>
      </c>
      <c r="L823" s="9" t="s">
        <v>166</v>
      </c>
      <c r="M823" s="9" t="s">
        <v>28</v>
      </c>
      <c r="N823" s="9" t="s">
        <v>266</v>
      </c>
      <c r="O823" s="9" t="s">
        <v>193</v>
      </c>
      <c r="P823" s="9" t="s">
        <v>200</v>
      </c>
      <c r="Q823" s="11">
        <v>35</v>
      </c>
      <c r="R823" s="11"/>
      <c r="S823" s="11">
        <f t="shared" si="118"/>
        <v>35</v>
      </c>
      <c r="T823" s="9"/>
      <c r="U823" s="9" t="s">
        <v>191</v>
      </c>
      <c r="V823" s="9"/>
      <c r="W823" s="12">
        <v>30</v>
      </c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2">
        <f t="shared" si="120"/>
        <v>735000</v>
      </c>
      <c r="AL823" s="161">
        <f t="shared" si="119"/>
        <v>161.21461503704646</v>
      </c>
      <c r="AM823" s="9"/>
      <c r="AN823" s="9"/>
      <c r="AO823" s="9"/>
      <c r="AP823" s="14"/>
    </row>
    <row r="824" spans="1:42" s="45" customFormat="1" ht="22" customHeight="1">
      <c r="A824" s="14" t="s">
        <v>17</v>
      </c>
      <c r="B824" s="8">
        <v>2024</v>
      </c>
      <c r="C824" s="8" t="s">
        <v>8</v>
      </c>
      <c r="D824" s="9" t="s">
        <v>185</v>
      </c>
      <c r="E824" s="9" t="s">
        <v>15</v>
      </c>
      <c r="F824" s="9" t="s">
        <v>186</v>
      </c>
      <c r="G824" s="8"/>
      <c r="H824" s="8"/>
      <c r="I824" s="9" t="s">
        <v>187</v>
      </c>
      <c r="J824" s="9" t="s">
        <v>11</v>
      </c>
      <c r="K824" s="9" t="s">
        <v>82</v>
      </c>
      <c r="L824" s="9" t="s">
        <v>166</v>
      </c>
      <c r="M824" s="9" t="s">
        <v>28</v>
      </c>
      <c r="N824" s="9" t="s">
        <v>266</v>
      </c>
      <c r="O824" s="9" t="s">
        <v>193</v>
      </c>
      <c r="P824" s="9" t="s">
        <v>201</v>
      </c>
      <c r="Q824" s="11">
        <v>52</v>
      </c>
      <c r="R824" s="11"/>
      <c r="S824" s="11">
        <f t="shared" si="118"/>
        <v>52</v>
      </c>
      <c r="T824" s="9"/>
      <c r="U824" s="9" t="s">
        <v>191</v>
      </c>
      <c r="V824" s="9"/>
      <c r="W824" s="12">
        <v>30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2">
        <f t="shared" si="120"/>
        <v>1092000</v>
      </c>
      <c r="AL824" s="161">
        <f t="shared" si="119"/>
        <v>239.51885662646902</v>
      </c>
      <c r="AM824" s="9"/>
      <c r="AN824" s="9"/>
      <c r="AO824" s="9"/>
      <c r="AP824" s="14"/>
    </row>
    <row r="825" spans="1:42" s="45" customFormat="1" ht="22" customHeight="1">
      <c r="A825" s="14" t="s">
        <v>17</v>
      </c>
      <c r="B825" s="8">
        <v>2024</v>
      </c>
      <c r="C825" s="8" t="s">
        <v>8</v>
      </c>
      <c r="D825" s="9" t="s">
        <v>185</v>
      </c>
      <c r="E825" s="9" t="s">
        <v>15</v>
      </c>
      <c r="F825" s="9" t="s">
        <v>186</v>
      </c>
      <c r="G825" s="8"/>
      <c r="H825" s="8"/>
      <c r="I825" s="9" t="s">
        <v>187</v>
      </c>
      <c r="J825" s="9" t="s">
        <v>11</v>
      </c>
      <c r="K825" s="9" t="s">
        <v>82</v>
      </c>
      <c r="L825" s="9" t="s">
        <v>166</v>
      </c>
      <c r="M825" s="9" t="s">
        <v>28</v>
      </c>
      <c r="N825" s="9" t="s">
        <v>266</v>
      </c>
      <c r="O825" s="9" t="s">
        <v>193</v>
      </c>
      <c r="P825" s="9" t="s">
        <v>202</v>
      </c>
      <c r="Q825" s="11">
        <v>56</v>
      </c>
      <c r="R825" s="11"/>
      <c r="S825" s="11">
        <f t="shared" si="118"/>
        <v>56</v>
      </c>
      <c r="T825" s="9"/>
      <c r="U825" s="9" t="s">
        <v>191</v>
      </c>
      <c r="V825" s="9"/>
      <c r="W825" s="12">
        <v>30</v>
      </c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2">
        <f t="shared" si="120"/>
        <v>1176000</v>
      </c>
      <c r="AL825" s="161">
        <f t="shared" si="119"/>
        <v>257.94338405927431</v>
      </c>
      <c r="AM825" s="9"/>
      <c r="AN825" s="9"/>
      <c r="AO825" s="9"/>
      <c r="AP825" s="14"/>
    </row>
    <row r="826" spans="1:42" s="45" customFormat="1" ht="22" customHeight="1">
      <c r="A826" s="14" t="s">
        <v>17</v>
      </c>
      <c r="B826" s="8">
        <v>2024</v>
      </c>
      <c r="C826" s="8" t="s">
        <v>8</v>
      </c>
      <c r="D826" s="9" t="s">
        <v>185</v>
      </c>
      <c r="E826" s="9" t="s">
        <v>15</v>
      </c>
      <c r="F826" s="9" t="s">
        <v>186</v>
      </c>
      <c r="G826" s="8"/>
      <c r="H826" s="8"/>
      <c r="I826" s="9" t="s">
        <v>187</v>
      </c>
      <c r="J826" s="9" t="s">
        <v>11</v>
      </c>
      <c r="K826" s="9" t="s">
        <v>82</v>
      </c>
      <c r="L826" s="9" t="s">
        <v>166</v>
      </c>
      <c r="M826" s="9" t="s">
        <v>28</v>
      </c>
      <c r="N826" s="9" t="s">
        <v>266</v>
      </c>
      <c r="O826" s="9" t="s">
        <v>193</v>
      </c>
      <c r="P826" s="9" t="s">
        <v>203</v>
      </c>
      <c r="Q826" s="11">
        <v>33</v>
      </c>
      <c r="R826" s="11"/>
      <c r="S826" s="11">
        <f t="shared" si="118"/>
        <v>33</v>
      </c>
      <c r="T826" s="9"/>
      <c r="U826" s="9" t="s">
        <v>191</v>
      </c>
      <c r="V826" s="9"/>
      <c r="W826" s="12">
        <v>30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2">
        <f t="shared" si="120"/>
        <v>693000</v>
      </c>
      <c r="AL826" s="161">
        <f t="shared" si="119"/>
        <v>152.00235132064378</v>
      </c>
      <c r="AM826" s="9"/>
      <c r="AN826" s="9"/>
      <c r="AO826" s="9"/>
      <c r="AP826" s="14"/>
    </row>
    <row r="827" spans="1:42" s="45" customFormat="1" ht="22" customHeight="1">
      <c r="A827" s="14" t="s">
        <v>17</v>
      </c>
      <c r="B827" s="8">
        <v>2024</v>
      </c>
      <c r="C827" s="8" t="s">
        <v>8</v>
      </c>
      <c r="D827" s="9" t="s">
        <v>185</v>
      </c>
      <c r="E827" s="9" t="s">
        <v>15</v>
      </c>
      <c r="F827" s="9" t="s">
        <v>186</v>
      </c>
      <c r="G827" s="8"/>
      <c r="H827" s="8"/>
      <c r="I827" s="9" t="s">
        <v>187</v>
      </c>
      <c r="J827" s="9" t="s">
        <v>11</v>
      </c>
      <c r="K827" s="9" t="s">
        <v>82</v>
      </c>
      <c r="L827" s="9" t="s">
        <v>166</v>
      </c>
      <c r="M827" s="9" t="s">
        <v>28</v>
      </c>
      <c r="N827" s="9" t="s">
        <v>266</v>
      </c>
      <c r="O827" s="9" t="s">
        <v>193</v>
      </c>
      <c r="P827" s="9" t="s">
        <v>204</v>
      </c>
      <c r="Q827" s="11">
        <v>33</v>
      </c>
      <c r="R827" s="11"/>
      <c r="S827" s="11">
        <f t="shared" si="118"/>
        <v>33</v>
      </c>
      <c r="T827" s="9"/>
      <c r="U827" s="9" t="s">
        <v>191</v>
      </c>
      <c r="V827" s="9"/>
      <c r="W827" s="12">
        <v>30</v>
      </c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2">
        <f t="shared" si="120"/>
        <v>693000</v>
      </c>
      <c r="AL827" s="161">
        <f t="shared" si="119"/>
        <v>152.00235132064378</v>
      </c>
      <c r="AM827" s="9"/>
      <c r="AN827" s="9"/>
      <c r="AO827" s="9"/>
      <c r="AP827" s="14"/>
    </row>
    <row r="828" spans="1:42" s="45" customFormat="1" ht="22" customHeight="1">
      <c r="A828" s="14" t="s">
        <v>17</v>
      </c>
      <c r="B828" s="8">
        <v>2024</v>
      </c>
      <c r="C828" s="8" t="s">
        <v>8</v>
      </c>
      <c r="D828" s="9" t="s">
        <v>185</v>
      </c>
      <c r="E828" s="9" t="s">
        <v>15</v>
      </c>
      <c r="F828" s="9" t="s">
        <v>186</v>
      </c>
      <c r="G828" s="8"/>
      <c r="H828" s="8"/>
      <c r="I828" s="9" t="s">
        <v>187</v>
      </c>
      <c r="J828" s="9" t="s">
        <v>11</v>
      </c>
      <c r="K828" s="9" t="s">
        <v>82</v>
      </c>
      <c r="L828" s="9" t="s">
        <v>166</v>
      </c>
      <c r="M828" s="9" t="s">
        <v>28</v>
      </c>
      <c r="N828" s="9" t="s">
        <v>266</v>
      </c>
      <c r="O828" s="9" t="s">
        <v>193</v>
      </c>
      <c r="P828" s="9" t="s">
        <v>205</v>
      </c>
      <c r="Q828" s="11">
        <v>42</v>
      </c>
      <c r="R828" s="11"/>
      <c r="S828" s="11">
        <f t="shared" si="118"/>
        <v>42</v>
      </c>
      <c r="T828" s="9"/>
      <c r="U828" s="9" t="s">
        <v>191</v>
      </c>
      <c r="V828" s="9"/>
      <c r="W828" s="12">
        <v>30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2">
        <f t="shared" si="120"/>
        <v>882000</v>
      </c>
      <c r="AL828" s="161">
        <f t="shared" si="119"/>
        <v>193.45753804445573</v>
      </c>
      <c r="AM828" s="9"/>
      <c r="AN828" s="9"/>
      <c r="AO828" s="9"/>
      <c r="AP828" s="14"/>
    </row>
    <row r="829" spans="1:42" s="45" customFormat="1" ht="22" customHeight="1">
      <c r="A829" s="14" t="s">
        <v>17</v>
      </c>
      <c r="B829" s="8">
        <v>2024</v>
      </c>
      <c r="C829" s="8" t="s">
        <v>8</v>
      </c>
      <c r="D829" s="9" t="s">
        <v>185</v>
      </c>
      <c r="E829" s="9" t="s">
        <v>10</v>
      </c>
      <c r="F829" s="9" t="s">
        <v>186</v>
      </c>
      <c r="G829" s="8"/>
      <c r="H829" s="8"/>
      <c r="I829" s="9" t="s">
        <v>187</v>
      </c>
      <c r="J829" s="9" t="s">
        <v>11</v>
      </c>
      <c r="K829" s="9" t="s">
        <v>82</v>
      </c>
      <c r="L829" s="9" t="s">
        <v>188</v>
      </c>
      <c r="M829" s="9" t="s">
        <v>28</v>
      </c>
      <c r="N829" s="9"/>
      <c r="O829" s="9" t="s">
        <v>189</v>
      </c>
      <c r="P829" s="9" t="s">
        <v>190</v>
      </c>
      <c r="Q829" s="11"/>
      <c r="R829" s="11">
        <v>15</v>
      </c>
      <c r="S829" s="11">
        <f t="shared" si="118"/>
        <v>15</v>
      </c>
      <c r="T829" s="9"/>
      <c r="U829" s="9" t="s">
        <v>191</v>
      </c>
      <c r="V829" s="9"/>
      <c r="W829" s="12">
        <v>31</v>
      </c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2">
        <f t="shared" si="120"/>
        <v>315000</v>
      </c>
      <c r="AL829" s="161">
        <f t="shared" si="119"/>
        <v>69.0919778730199</v>
      </c>
      <c r="AM829" s="9"/>
      <c r="AN829" s="9"/>
      <c r="AO829" s="9"/>
      <c r="AP829" s="14"/>
    </row>
    <row r="830" spans="1:42" s="45" customFormat="1" ht="22" customHeight="1">
      <c r="A830" s="14" t="s">
        <v>17</v>
      </c>
      <c r="B830" s="8">
        <v>2024</v>
      </c>
      <c r="C830" s="8" t="s">
        <v>8</v>
      </c>
      <c r="D830" s="9" t="s">
        <v>185</v>
      </c>
      <c r="E830" s="9" t="s">
        <v>10</v>
      </c>
      <c r="F830" s="9" t="s">
        <v>186</v>
      </c>
      <c r="G830" s="8"/>
      <c r="H830" s="8"/>
      <c r="I830" s="9" t="s">
        <v>187</v>
      </c>
      <c r="J830" s="9" t="s">
        <v>11</v>
      </c>
      <c r="K830" s="9" t="s">
        <v>82</v>
      </c>
      <c r="L830" s="9" t="s">
        <v>188</v>
      </c>
      <c r="M830" s="9" t="s">
        <v>28</v>
      </c>
      <c r="N830" s="9"/>
      <c r="O830" s="9" t="s">
        <v>189</v>
      </c>
      <c r="P830" s="9" t="s">
        <v>192</v>
      </c>
      <c r="Q830" s="11"/>
      <c r="R830" s="11">
        <v>19</v>
      </c>
      <c r="S830" s="11">
        <f t="shared" si="118"/>
        <v>19</v>
      </c>
      <c r="T830" s="9"/>
      <c r="U830" s="9" t="s">
        <v>191</v>
      </c>
      <c r="V830" s="9"/>
      <c r="W830" s="12">
        <v>32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2">
        <f>+S830*60000</f>
        <v>1140000</v>
      </c>
      <c r="AL830" s="161">
        <f t="shared" si="119"/>
        <v>250.04715801664346</v>
      </c>
      <c r="AM830" s="9"/>
      <c r="AN830" s="9"/>
      <c r="AO830" s="9"/>
      <c r="AP830" s="14"/>
    </row>
    <row r="831" spans="1:42" s="45" customFormat="1" ht="22" customHeight="1">
      <c r="A831" s="14" t="s">
        <v>17</v>
      </c>
      <c r="B831" s="8">
        <v>2024</v>
      </c>
      <c r="C831" s="8" t="s">
        <v>8</v>
      </c>
      <c r="D831" s="9" t="s">
        <v>185</v>
      </c>
      <c r="E831" s="9" t="s">
        <v>10</v>
      </c>
      <c r="F831" s="9" t="s">
        <v>186</v>
      </c>
      <c r="G831" s="8"/>
      <c r="H831" s="8"/>
      <c r="I831" s="9" t="s">
        <v>187</v>
      </c>
      <c r="J831" s="9" t="s">
        <v>11</v>
      </c>
      <c r="K831" s="9" t="s">
        <v>82</v>
      </c>
      <c r="L831" s="9" t="s">
        <v>188</v>
      </c>
      <c r="M831" s="9" t="s">
        <v>28</v>
      </c>
      <c r="N831" s="9"/>
      <c r="O831" s="9" t="s">
        <v>193</v>
      </c>
      <c r="P831" s="9" t="s">
        <v>194</v>
      </c>
      <c r="Q831" s="11"/>
      <c r="R831" s="11">
        <v>31</v>
      </c>
      <c r="S831" s="11">
        <f t="shared" si="118"/>
        <v>31</v>
      </c>
      <c r="T831" s="9"/>
      <c r="U831" s="9" t="s">
        <v>191</v>
      </c>
      <c r="V831" s="9"/>
      <c r="W831" s="12">
        <v>33</v>
      </c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2">
        <f t="shared" ref="AK831:AK842" si="121">+S831*60000</f>
        <v>1860000</v>
      </c>
      <c r="AL831" s="161">
        <f t="shared" si="119"/>
        <v>407.97167886926042</v>
      </c>
      <c r="AM831" s="9"/>
      <c r="AN831" s="9"/>
      <c r="AO831" s="9"/>
      <c r="AP831" s="14"/>
    </row>
    <row r="832" spans="1:42" s="45" customFormat="1" ht="22" customHeight="1">
      <c r="A832" s="14" t="s">
        <v>17</v>
      </c>
      <c r="B832" s="8">
        <v>2024</v>
      </c>
      <c r="C832" s="8" t="s">
        <v>8</v>
      </c>
      <c r="D832" s="9" t="s">
        <v>185</v>
      </c>
      <c r="E832" s="9" t="s">
        <v>10</v>
      </c>
      <c r="F832" s="9" t="s">
        <v>186</v>
      </c>
      <c r="G832" s="8"/>
      <c r="H832" s="8"/>
      <c r="I832" s="9" t="s">
        <v>187</v>
      </c>
      <c r="J832" s="9" t="s">
        <v>11</v>
      </c>
      <c r="K832" s="9" t="s">
        <v>82</v>
      </c>
      <c r="L832" s="9" t="s">
        <v>188</v>
      </c>
      <c r="M832" s="9" t="s">
        <v>28</v>
      </c>
      <c r="N832" s="9"/>
      <c r="O832" s="9" t="s">
        <v>193</v>
      </c>
      <c r="P832" s="9" t="s">
        <v>195</v>
      </c>
      <c r="Q832" s="11"/>
      <c r="R832" s="11">
        <v>18</v>
      </c>
      <c r="S832" s="11">
        <f t="shared" si="118"/>
        <v>18</v>
      </c>
      <c r="T832" s="9"/>
      <c r="U832" s="9" t="s">
        <v>191</v>
      </c>
      <c r="V832" s="9"/>
      <c r="W832" s="12">
        <v>34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2">
        <f t="shared" si="121"/>
        <v>1080000</v>
      </c>
      <c r="AL832" s="161">
        <f t="shared" si="119"/>
        <v>236.88678127892538</v>
      </c>
      <c r="AM832" s="9"/>
      <c r="AN832" s="9"/>
      <c r="AO832" s="9"/>
      <c r="AP832" s="14"/>
    </row>
    <row r="833" spans="1:42" s="45" customFormat="1" ht="22" customHeight="1">
      <c r="A833" s="14" t="s">
        <v>17</v>
      </c>
      <c r="B833" s="8">
        <v>2024</v>
      </c>
      <c r="C833" s="8" t="s">
        <v>8</v>
      </c>
      <c r="D833" s="9" t="s">
        <v>185</v>
      </c>
      <c r="E833" s="9" t="s">
        <v>10</v>
      </c>
      <c r="F833" s="9" t="s">
        <v>186</v>
      </c>
      <c r="G833" s="8"/>
      <c r="H833" s="8"/>
      <c r="I833" s="9" t="s">
        <v>187</v>
      </c>
      <c r="J833" s="9" t="s">
        <v>11</v>
      </c>
      <c r="K833" s="9" t="s">
        <v>82</v>
      </c>
      <c r="L833" s="9" t="s">
        <v>188</v>
      </c>
      <c r="M833" s="9" t="s">
        <v>28</v>
      </c>
      <c r="N833" s="9"/>
      <c r="O833" s="9" t="s">
        <v>193</v>
      </c>
      <c r="P833" s="9" t="s">
        <v>196</v>
      </c>
      <c r="Q833" s="11"/>
      <c r="R833" s="11">
        <v>16</v>
      </c>
      <c r="S833" s="11">
        <f t="shared" si="118"/>
        <v>16</v>
      </c>
      <c r="T833" s="9"/>
      <c r="U833" s="9" t="s">
        <v>191</v>
      </c>
      <c r="V833" s="9"/>
      <c r="W833" s="12">
        <v>35</v>
      </c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2">
        <f t="shared" si="121"/>
        <v>960000</v>
      </c>
      <c r="AL833" s="161">
        <f t="shared" si="119"/>
        <v>210.56602780348925</v>
      </c>
      <c r="AM833" s="9"/>
      <c r="AN833" s="9"/>
      <c r="AO833" s="9"/>
      <c r="AP833" s="14"/>
    </row>
    <row r="834" spans="1:42" s="45" customFormat="1" ht="22" customHeight="1">
      <c r="A834" s="14" t="s">
        <v>17</v>
      </c>
      <c r="B834" s="8">
        <v>2024</v>
      </c>
      <c r="C834" s="8" t="s">
        <v>8</v>
      </c>
      <c r="D834" s="9" t="s">
        <v>185</v>
      </c>
      <c r="E834" s="9" t="s">
        <v>10</v>
      </c>
      <c r="F834" s="9" t="s">
        <v>186</v>
      </c>
      <c r="G834" s="8"/>
      <c r="H834" s="8"/>
      <c r="I834" s="9" t="s">
        <v>187</v>
      </c>
      <c r="J834" s="9" t="s">
        <v>11</v>
      </c>
      <c r="K834" s="9" t="s">
        <v>82</v>
      </c>
      <c r="L834" s="9" t="s">
        <v>188</v>
      </c>
      <c r="M834" s="9" t="s">
        <v>28</v>
      </c>
      <c r="N834" s="9"/>
      <c r="O834" s="9" t="s">
        <v>193</v>
      </c>
      <c r="P834" s="9" t="s">
        <v>197</v>
      </c>
      <c r="Q834" s="11"/>
      <c r="R834" s="11">
        <v>8</v>
      </c>
      <c r="S834" s="11">
        <f t="shared" si="118"/>
        <v>8</v>
      </c>
      <c r="T834" s="9"/>
      <c r="U834" s="9" t="s">
        <v>191</v>
      </c>
      <c r="V834" s="9"/>
      <c r="W834" s="12">
        <v>36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2">
        <f t="shared" si="121"/>
        <v>480000</v>
      </c>
      <c r="AL834" s="161">
        <f t="shared" si="119"/>
        <v>105.28301390174462</v>
      </c>
      <c r="AM834" s="9"/>
      <c r="AN834" s="9"/>
      <c r="AO834" s="9"/>
      <c r="AP834" s="14"/>
    </row>
    <row r="835" spans="1:42" s="45" customFormat="1" ht="22" customHeight="1">
      <c r="A835" s="14" t="s">
        <v>17</v>
      </c>
      <c r="B835" s="8">
        <v>2024</v>
      </c>
      <c r="C835" s="8" t="s">
        <v>8</v>
      </c>
      <c r="D835" s="9" t="s">
        <v>185</v>
      </c>
      <c r="E835" s="9" t="s">
        <v>10</v>
      </c>
      <c r="F835" s="9" t="s">
        <v>186</v>
      </c>
      <c r="G835" s="8"/>
      <c r="H835" s="8"/>
      <c r="I835" s="9" t="s">
        <v>187</v>
      </c>
      <c r="J835" s="9" t="s">
        <v>11</v>
      </c>
      <c r="K835" s="9" t="s">
        <v>82</v>
      </c>
      <c r="L835" s="9" t="s">
        <v>188</v>
      </c>
      <c r="M835" s="9" t="s">
        <v>28</v>
      </c>
      <c r="N835" s="9"/>
      <c r="O835" s="9" t="s">
        <v>193</v>
      </c>
      <c r="P835" s="9" t="s">
        <v>198</v>
      </c>
      <c r="Q835" s="11"/>
      <c r="R835" s="11">
        <v>13</v>
      </c>
      <c r="S835" s="11">
        <f t="shared" si="118"/>
        <v>13</v>
      </c>
      <c r="T835" s="9"/>
      <c r="U835" s="9" t="s">
        <v>191</v>
      </c>
      <c r="V835" s="9"/>
      <c r="W835" s="12">
        <v>37</v>
      </c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2">
        <f t="shared" si="121"/>
        <v>780000</v>
      </c>
      <c r="AL835" s="161">
        <f t="shared" si="119"/>
        <v>171.084897590335</v>
      </c>
      <c r="AM835" s="9"/>
      <c r="AN835" s="9"/>
      <c r="AO835" s="9"/>
      <c r="AP835" s="14"/>
    </row>
    <row r="836" spans="1:42" s="45" customFormat="1" ht="22" customHeight="1">
      <c r="A836" s="14" t="s">
        <v>17</v>
      </c>
      <c r="B836" s="8">
        <v>2024</v>
      </c>
      <c r="C836" s="8" t="s">
        <v>8</v>
      </c>
      <c r="D836" s="9" t="s">
        <v>185</v>
      </c>
      <c r="E836" s="9" t="s">
        <v>10</v>
      </c>
      <c r="F836" s="9" t="s">
        <v>186</v>
      </c>
      <c r="G836" s="8"/>
      <c r="H836" s="8"/>
      <c r="I836" s="9" t="s">
        <v>187</v>
      </c>
      <c r="J836" s="9" t="s">
        <v>11</v>
      </c>
      <c r="K836" s="9" t="s">
        <v>82</v>
      </c>
      <c r="L836" s="9" t="s">
        <v>188</v>
      </c>
      <c r="M836" s="9" t="s">
        <v>28</v>
      </c>
      <c r="N836" s="9"/>
      <c r="O836" s="9" t="s">
        <v>193</v>
      </c>
      <c r="P836" s="9" t="s">
        <v>199</v>
      </c>
      <c r="Q836" s="11"/>
      <c r="R836" s="11">
        <v>38</v>
      </c>
      <c r="S836" s="11">
        <f t="shared" si="118"/>
        <v>38</v>
      </c>
      <c r="T836" s="9"/>
      <c r="U836" s="9" t="s">
        <v>191</v>
      </c>
      <c r="V836" s="9"/>
      <c r="W836" s="12">
        <v>38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2">
        <f t="shared" si="121"/>
        <v>2280000</v>
      </c>
      <c r="AL836" s="161">
        <f t="shared" si="119"/>
        <v>500.09431603328693</v>
      </c>
      <c r="AM836" s="9"/>
      <c r="AN836" s="9"/>
      <c r="AO836" s="9"/>
      <c r="AP836" s="14"/>
    </row>
    <row r="837" spans="1:42" s="45" customFormat="1" ht="22" customHeight="1">
      <c r="A837" s="14" t="s">
        <v>17</v>
      </c>
      <c r="B837" s="8">
        <v>2024</v>
      </c>
      <c r="C837" s="8" t="s">
        <v>8</v>
      </c>
      <c r="D837" s="9" t="s">
        <v>185</v>
      </c>
      <c r="E837" s="9" t="s">
        <v>10</v>
      </c>
      <c r="F837" s="9" t="s">
        <v>186</v>
      </c>
      <c r="G837" s="8"/>
      <c r="H837" s="8"/>
      <c r="I837" s="9" t="s">
        <v>187</v>
      </c>
      <c r="J837" s="9" t="s">
        <v>11</v>
      </c>
      <c r="K837" s="9" t="s">
        <v>82</v>
      </c>
      <c r="L837" s="9" t="s">
        <v>188</v>
      </c>
      <c r="M837" s="9" t="s">
        <v>28</v>
      </c>
      <c r="N837" s="9"/>
      <c r="O837" s="9" t="s">
        <v>193</v>
      </c>
      <c r="P837" s="9" t="s">
        <v>200</v>
      </c>
      <c r="Q837" s="11"/>
      <c r="R837" s="11">
        <v>25</v>
      </c>
      <c r="S837" s="11">
        <f t="shared" si="118"/>
        <v>25</v>
      </c>
      <c r="T837" s="9"/>
      <c r="U837" s="9" t="s">
        <v>191</v>
      </c>
      <c r="V837" s="9"/>
      <c r="W837" s="12">
        <v>39</v>
      </c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2">
        <f t="shared" si="121"/>
        <v>1500000</v>
      </c>
      <c r="AL837" s="161">
        <f t="shared" si="119"/>
        <v>329.00941844295193</v>
      </c>
      <c r="AM837" s="9"/>
      <c r="AN837" s="9"/>
      <c r="AO837" s="9"/>
      <c r="AP837" s="14"/>
    </row>
    <row r="838" spans="1:42" s="45" customFormat="1" ht="22" customHeight="1">
      <c r="A838" s="14" t="s">
        <v>17</v>
      </c>
      <c r="B838" s="8">
        <v>2024</v>
      </c>
      <c r="C838" s="8" t="s">
        <v>8</v>
      </c>
      <c r="D838" s="9" t="s">
        <v>185</v>
      </c>
      <c r="E838" s="9" t="s">
        <v>10</v>
      </c>
      <c r="F838" s="9" t="s">
        <v>186</v>
      </c>
      <c r="G838" s="8"/>
      <c r="H838" s="8"/>
      <c r="I838" s="9" t="s">
        <v>187</v>
      </c>
      <c r="J838" s="9" t="s">
        <v>11</v>
      </c>
      <c r="K838" s="9" t="s">
        <v>82</v>
      </c>
      <c r="L838" s="9" t="s">
        <v>188</v>
      </c>
      <c r="M838" s="9" t="s">
        <v>28</v>
      </c>
      <c r="N838" s="9"/>
      <c r="O838" s="9" t="s">
        <v>193</v>
      </c>
      <c r="P838" s="9" t="s">
        <v>201</v>
      </c>
      <c r="Q838" s="11"/>
      <c r="R838" s="11">
        <v>45</v>
      </c>
      <c r="S838" s="11">
        <f t="shared" si="118"/>
        <v>45</v>
      </c>
      <c r="T838" s="9"/>
      <c r="U838" s="9" t="s">
        <v>191</v>
      </c>
      <c r="V838" s="9"/>
      <c r="W838" s="12">
        <v>40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2">
        <f t="shared" si="121"/>
        <v>2700000</v>
      </c>
      <c r="AL838" s="161">
        <f t="shared" si="119"/>
        <v>592.2169531973135</v>
      </c>
      <c r="AM838" s="9"/>
      <c r="AN838" s="9"/>
      <c r="AO838" s="9"/>
      <c r="AP838" s="14"/>
    </row>
    <row r="839" spans="1:42" s="45" customFormat="1" ht="22" customHeight="1">
      <c r="A839" s="14" t="s">
        <v>17</v>
      </c>
      <c r="B839" s="8">
        <v>2024</v>
      </c>
      <c r="C839" s="8" t="s">
        <v>8</v>
      </c>
      <c r="D839" s="9" t="s">
        <v>185</v>
      </c>
      <c r="E839" s="9" t="s">
        <v>10</v>
      </c>
      <c r="F839" s="9" t="s">
        <v>186</v>
      </c>
      <c r="G839" s="8"/>
      <c r="H839" s="8"/>
      <c r="I839" s="9" t="s">
        <v>187</v>
      </c>
      <c r="J839" s="9" t="s">
        <v>11</v>
      </c>
      <c r="K839" s="9" t="s">
        <v>82</v>
      </c>
      <c r="L839" s="9" t="s">
        <v>188</v>
      </c>
      <c r="M839" s="9" t="s">
        <v>28</v>
      </c>
      <c r="N839" s="9"/>
      <c r="O839" s="9" t="s">
        <v>193</v>
      </c>
      <c r="P839" s="9" t="s">
        <v>202</v>
      </c>
      <c r="Q839" s="11"/>
      <c r="R839" s="11">
        <v>17</v>
      </c>
      <c r="S839" s="11">
        <f t="shared" si="118"/>
        <v>17</v>
      </c>
      <c r="T839" s="9"/>
      <c r="U839" s="9" t="s">
        <v>191</v>
      </c>
      <c r="V839" s="9"/>
      <c r="W839" s="12">
        <v>41</v>
      </c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2">
        <f t="shared" si="121"/>
        <v>1020000</v>
      </c>
      <c r="AL839" s="161">
        <f t="shared" si="119"/>
        <v>223.72640454120733</v>
      </c>
      <c r="AM839" s="9"/>
      <c r="AN839" s="9"/>
      <c r="AO839" s="9"/>
      <c r="AP839" s="14"/>
    </row>
    <row r="840" spans="1:42" s="45" customFormat="1" ht="22" customHeight="1">
      <c r="A840" s="14" t="s">
        <v>17</v>
      </c>
      <c r="B840" s="8">
        <v>2024</v>
      </c>
      <c r="C840" s="8" t="s">
        <v>8</v>
      </c>
      <c r="D840" s="9" t="s">
        <v>185</v>
      </c>
      <c r="E840" s="9" t="s">
        <v>10</v>
      </c>
      <c r="F840" s="9" t="s">
        <v>186</v>
      </c>
      <c r="G840" s="8"/>
      <c r="H840" s="8"/>
      <c r="I840" s="9" t="s">
        <v>187</v>
      </c>
      <c r="J840" s="9" t="s">
        <v>11</v>
      </c>
      <c r="K840" s="9" t="s">
        <v>82</v>
      </c>
      <c r="L840" s="9" t="s">
        <v>188</v>
      </c>
      <c r="M840" s="9" t="s">
        <v>28</v>
      </c>
      <c r="N840" s="9"/>
      <c r="O840" s="9" t="s">
        <v>193</v>
      </c>
      <c r="P840" s="9" t="s">
        <v>203</v>
      </c>
      <c r="Q840" s="11"/>
      <c r="R840" s="11">
        <v>40</v>
      </c>
      <c r="S840" s="11">
        <f t="shared" si="118"/>
        <v>40</v>
      </c>
      <c r="T840" s="9"/>
      <c r="U840" s="9" t="s">
        <v>191</v>
      </c>
      <c r="V840" s="9"/>
      <c r="W840" s="12">
        <v>42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2">
        <f t="shared" si="121"/>
        <v>2400000</v>
      </c>
      <c r="AL840" s="161">
        <f t="shared" si="119"/>
        <v>526.41506950872315</v>
      </c>
      <c r="AM840" s="9"/>
      <c r="AN840" s="9"/>
      <c r="AO840" s="9"/>
      <c r="AP840" s="14"/>
    </row>
    <row r="841" spans="1:42" s="45" customFormat="1" ht="22" customHeight="1">
      <c r="A841" s="14" t="s">
        <v>17</v>
      </c>
      <c r="B841" s="8">
        <v>2024</v>
      </c>
      <c r="C841" s="8" t="s">
        <v>8</v>
      </c>
      <c r="D841" s="9" t="s">
        <v>185</v>
      </c>
      <c r="E841" s="9" t="s">
        <v>10</v>
      </c>
      <c r="F841" s="9" t="s">
        <v>186</v>
      </c>
      <c r="G841" s="8"/>
      <c r="H841" s="8"/>
      <c r="I841" s="9" t="s">
        <v>187</v>
      </c>
      <c r="J841" s="9" t="s">
        <v>11</v>
      </c>
      <c r="K841" s="9" t="s">
        <v>82</v>
      </c>
      <c r="L841" s="9" t="s">
        <v>188</v>
      </c>
      <c r="M841" s="9" t="s">
        <v>28</v>
      </c>
      <c r="N841" s="9"/>
      <c r="O841" s="9" t="s">
        <v>193</v>
      </c>
      <c r="P841" s="9" t="s">
        <v>204</v>
      </c>
      <c r="Q841" s="11"/>
      <c r="R841" s="11">
        <v>31</v>
      </c>
      <c r="S841" s="11">
        <f t="shared" si="118"/>
        <v>31</v>
      </c>
      <c r="T841" s="9"/>
      <c r="U841" s="9" t="s">
        <v>191</v>
      </c>
      <c r="V841" s="9"/>
      <c r="W841" s="12">
        <v>43</v>
      </c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2">
        <f t="shared" si="121"/>
        <v>1860000</v>
      </c>
      <c r="AL841" s="161">
        <f t="shared" si="119"/>
        <v>407.97167886926042</v>
      </c>
      <c r="AM841" s="9"/>
      <c r="AN841" s="9"/>
      <c r="AO841" s="9"/>
      <c r="AP841" s="14"/>
    </row>
    <row r="842" spans="1:42" s="45" customFormat="1" ht="22" customHeight="1">
      <c r="A842" s="14" t="s">
        <v>17</v>
      </c>
      <c r="B842" s="8">
        <v>2024</v>
      </c>
      <c r="C842" s="8" t="s">
        <v>8</v>
      </c>
      <c r="D842" s="9" t="s">
        <v>185</v>
      </c>
      <c r="E842" s="9" t="s">
        <v>10</v>
      </c>
      <c r="F842" s="9" t="s">
        <v>186</v>
      </c>
      <c r="G842" s="8"/>
      <c r="H842" s="8"/>
      <c r="I842" s="9" t="s">
        <v>187</v>
      </c>
      <c r="J842" s="9" t="s">
        <v>11</v>
      </c>
      <c r="K842" s="9" t="s">
        <v>82</v>
      </c>
      <c r="L842" s="9" t="s">
        <v>188</v>
      </c>
      <c r="M842" s="9" t="s">
        <v>28</v>
      </c>
      <c r="N842" s="9"/>
      <c r="O842" s="9" t="s">
        <v>193</v>
      </c>
      <c r="P842" s="9" t="s">
        <v>205</v>
      </c>
      <c r="Q842" s="11"/>
      <c r="R842" s="11">
        <v>19</v>
      </c>
      <c r="S842" s="11">
        <f t="shared" si="118"/>
        <v>19</v>
      </c>
      <c r="T842" s="9"/>
      <c r="U842" s="9" t="s">
        <v>191</v>
      </c>
      <c r="V842" s="9"/>
      <c r="W842" s="12">
        <v>44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2">
        <f t="shared" si="121"/>
        <v>1140000</v>
      </c>
      <c r="AL842" s="161">
        <f t="shared" si="119"/>
        <v>250.04715801664346</v>
      </c>
      <c r="AM842" s="9"/>
      <c r="AN842" s="9"/>
      <c r="AO842" s="9"/>
      <c r="AP842" s="14"/>
    </row>
    <row r="843" spans="1:42" s="45" customFormat="1" ht="22" customHeight="1">
      <c r="A843" s="14" t="s">
        <v>21</v>
      </c>
      <c r="B843" s="8">
        <v>2024</v>
      </c>
      <c r="C843" s="8" t="s">
        <v>8</v>
      </c>
      <c r="D843" s="9" t="s">
        <v>185</v>
      </c>
      <c r="E843" s="9" t="s">
        <v>10</v>
      </c>
      <c r="F843" s="9" t="s">
        <v>186</v>
      </c>
      <c r="G843" s="8"/>
      <c r="H843" s="8"/>
      <c r="I843" s="9" t="s">
        <v>116</v>
      </c>
      <c r="J843" s="9" t="s">
        <v>116</v>
      </c>
      <c r="K843" s="9" t="s">
        <v>269</v>
      </c>
      <c r="L843" s="9" t="s">
        <v>270</v>
      </c>
      <c r="M843" s="14" t="s">
        <v>84</v>
      </c>
      <c r="N843" s="9" t="s">
        <v>271</v>
      </c>
      <c r="O843" s="9" t="s">
        <v>272</v>
      </c>
      <c r="P843" s="9" t="s">
        <v>273</v>
      </c>
      <c r="Q843" s="11"/>
      <c r="R843" s="11"/>
      <c r="S843" s="11"/>
      <c r="T843" s="9"/>
      <c r="U843" s="14" t="s">
        <v>77</v>
      </c>
      <c r="V843" s="9"/>
      <c r="W843" s="12">
        <v>30</v>
      </c>
      <c r="X843" s="13"/>
      <c r="Y843" s="13"/>
      <c r="Z843" s="13"/>
      <c r="AA843" s="13"/>
      <c r="AB843" s="13"/>
      <c r="AC843" s="13">
        <f t="shared" ref="AC843:AC854" si="122">+S843*W843*20/1000000</f>
        <v>0</v>
      </c>
      <c r="AD843" s="13"/>
      <c r="AE843" s="13"/>
      <c r="AF843" s="13">
        <f t="shared" ref="AF843:AF854" si="123">+S843*W843*200/1000000</f>
        <v>0</v>
      </c>
      <c r="AG843" s="13"/>
      <c r="AH843" s="13"/>
      <c r="AI843" s="13"/>
      <c r="AJ843" s="13">
        <f t="shared" ref="AJ843:AJ906" si="124">SUBTOTAL(9,X843:AI843)</f>
        <v>0</v>
      </c>
      <c r="AK843" s="9"/>
      <c r="AL843" s="13"/>
      <c r="AM843" s="9"/>
      <c r="AN843" s="9"/>
      <c r="AO843" s="9"/>
      <c r="AP843" s="14"/>
    </row>
    <row r="844" spans="1:42" s="45" customFormat="1" ht="22" customHeight="1">
      <c r="A844" s="14" t="s">
        <v>21</v>
      </c>
      <c r="B844" s="8">
        <v>2024</v>
      </c>
      <c r="C844" s="8" t="s">
        <v>8</v>
      </c>
      <c r="D844" s="9" t="s">
        <v>185</v>
      </c>
      <c r="E844" s="9" t="s">
        <v>10</v>
      </c>
      <c r="F844" s="9" t="s">
        <v>186</v>
      </c>
      <c r="G844" s="8"/>
      <c r="H844" s="8"/>
      <c r="I844" s="9" t="s">
        <v>116</v>
      </c>
      <c r="J844" s="9" t="s">
        <v>116</v>
      </c>
      <c r="K844" s="9" t="s">
        <v>269</v>
      </c>
      <c r="L844" s="9" t="s">
        <v>270</v>
      </c>
      <c r="M844" s="14" t="s">
        <v>84</v>
      </c>
      <c r="N844" s="9" t="s">
        <v>271</v>
      </c>
      <c r="O844" s="9" t="s">
        <v>272</v>
      </c>
      <c r="P844" s="9" t="s">
        <v>274</v>
      </c>
      <c r="Q844" s="11"/>
      <c r="R844" s="11"/>
      <c r="S844" s="11"/>
      <c r="T844" s="9"/>
      <c r="U844" s="14" t="s">
        <v>77</v>
      </c>
      <c r="V844" s="9"/>
      <c r="W844" s="12">
        <v>30</v>
      </c>
      <c r="X844" s="13"/>
      <c r="Y844" s="13"/>
      <c r="Z844" s="13"/>
      <c r="AA844" s="13"/>
      <c r="AB844" s="13"/>
      <c r="AC844" s="13">
        <f t="shared" si="122"/>
        <v>0</v>
      </c>
      <c r="AD844" s="13"/>
      <c r="AE844" s="13"/>
      <c r="AF844" s="13">
        <f t="shared" si="123"/>
        <v>0</v>
      </c>
      <c r="AG844" s="13"/>
      <c r="AH844" s="13"/>
      <c r="AI844" s="13"/>
      <c r="AJ844" s="13">
        <f t="shared" si="124"/>
        <v>0</v>
      </c>
      <c r="AK844" s="9"/>
      <c r="AL844" s="13"/>
      <c r="AM844" s="9"/>
      <c r="AN844" s="9"/>
      <c r="AO844" s="9"/>
      <c r="AP844" s="14"/>
    </row>
    <row r="845" spans="1:42" s="45" customFormat="1" ht="22" customHeight="1">
      <c r="A845" s="14" t="s">
        <v>21</v>
      </c>
      <c r="B845" s="8">
        <v>2024</v>
      </c>
      <c r="C845" s="8" t="s">
        <v>8</v>
      </c>
      <c r="D845" s="9" t="s">
        <v>185</v>
      </c>
      <c r="E845" s="9" t="s">
        <v>10</v>
      </c>
      <c r="F845" s="9" t="s">
        <v>186</v>
      </c>
      <c r="G845" s="8"/>
      <c r="H845" s="8"/>
      <c r="I845" s="9" t="s">
        <v>116</v>
      </c>
      <c r="J845" s="9" t="s">
        <v>116</v>
      </c>
      <c r="K845" s="9" t="s">
        <v>269</v>
      </c>
      <c r="L845" s="9" t="s">
        <v>270</v>
      </c>
      <c r="M845" s="14" t="s">
        <v>84</v>
      </c>
      <c r="N845" s="9" t="s">
        <v>271</v>
      </c>
      <c r="O845" s="9" t="s">
        <v>272</v>
      </c>
      <c r="P845" s="9" t="s">
        <v>275</v>
      </c>
      <c r="Q845" s="11"/>
      <c r="R845" s="11"/>
      <c r="S845" s="11"/>
      <c r="T845" s="9"/>
      <c r="U845" s="14" t="s">
        <v>77</v>
      </c>
      <c r="V845" s="9"/>
      <c r="W845" s="12">
        <v>30</v>
      </c>
      <c r="X845" s="13"/>
      <c r="Y845" s="13"/>
      <c r="Z845" s="13"/>
      <c r="AA845" s="13"/>
      <c r="AB845" s="13"/>
      <c r="AC845" s="13">
        <f t="shared" si="122"/>
        <v>0</v>
      </c>
      <c r="AD845" s="13"/>
      <c r="AE845" s="13"/>
      <c r="AF845" s="13">
        <f t="shared" si="123"/>
        <v>0</v>
      </c>
      <c r="AG845" s="13"/>
      <c r="AH845" s="13"/>
      <c r="AI845" s="13"/>
      <c r="AJ845" s="13">
        <f t="shared" si="124"/>
        <v>0</v>
      </c>
      <c r="AK845" s="9"/>
      <c r="AL845" s="13"/>
      <c r="AM845" s="9"/>
      <c r="AN845" s="9"/>
      <c r="AO845" s="9"/>
      <c r="AP845" s="14"/>
    </row>
    <row r="846" spans="1:42" s="45" customFormat="1" ht="22" customHeight="1">
      <c r="A846" s="14" t="s">
        <v>21</v>
      </c>
      <c r="B846" s="8">
        <v>2024</v>
      </c>
      <c r="C846" s="8" t="s">
        <v>8</v>
      </c>
      <c r="D846" s="9" t="s">
        <v>185</v>
      </c>
      <c r="E846" s="9" t="s">
        <v>10</v>
      </c>
      <c r="F846" s="9" t="s">
        <v>186</v>
      </c>
      <c r="G846" s="8"/>
      <c r="H846" s="8"/>
      <c r="I846" s="9" t="s">
        <v>116</v>
      </c>
      <c r="J846" s="9" t="s">
        <v>116</v>
      </c>
      <c r="K846" s="9" t="s">
        <v>269</v>
      </c>
      <c r="L846" s="9" t="s">
        <v>270</v>
      </c>
      <c r="M846" s="14" t="s">
        <v>84</v>
      </c>
      <c r="N846" s="9" t="s">
        <v>271</v>
      </c>
      <c r="O846" s="9" t="s">
        <v>272</v>
      </c>
      <c r="P846" s="9" t="s">
        <v>276</v>
      </c>
      <c r="Q846" s="11"/>
      <c r="R846" s="11"/>
      <c r="S846" s="11"/>
      <c r="T846" s="9"/>
      <c r="U846" s="14" t="s">
        <v>77</v>
      </c>
      <c r="V846" s="9"/>
      <c r="W846" s="12">
        <v>30</v>
      </c>
      <c r="X846" s="13"/>
      <c r="Y846" s="13"/>
      <c r="Z846" s="13"/>
      <c r="AA846" s="13"/>
      <c r="AB846" s="13"/>
      <c r="AC846" s="13">
        <f t="shared" si="122"/>
        <v>0</v>
      </c>
      <c r="AD846" s="13"/>
      <c r="AE846" s="13"/>
      <c r="AF846" s="13">
        <f t="shared" si="123"/>
        <v>0</v>
      </c>
      <c r="AG846" s="13"/>
      <c r="AH846" s="13"/>
      <c r="AI846" s="13"/>
      <c r="AJ846" s="13">
        <f t="shared" si="124"/>
        <v>0</v>
      </c>
      <c r="AK846" s="9"/>
      <c r="AL846" s="13"/>
      <c r="AM846" s="9"/>
      <c r="AN846" s="9"/>
      <c r="AO846" s="9"/>
      <c r="AP846" s="14"/>
    </row>
    <row r="847" spans="1:42" s="45" customFormat="1" ht="22" customHeight="1">
      <c r="A847" s="14" t="s">
        <v>21</v>
      </c>
      <c r="B847" s="8">
        <v>2024</v>
      </c>
      <c r="C847" s="8" t="s">
        <v>8</v>
      </c>
      <c r="D847" s="9" t="s">
        <v>185</v>
      </c>
      <c r="E847" s="9" t="s">
        <v>10</v>
      </c>
      <c r="F847" s="9" t="s">
        <v>186</v>
      </c>
      <c r="G847" s="8"/>
      <c r="H847" s="8"/>
      <c r="I847" s="9" t="s">
        <v>116</v>
      </c>
      <c r="J847" s="9" t="s">
        <v>116</v>
      </c>
      <c r="K847" s="9" t="s">
        <v>269</v>
      </c>
      <c r="L847" s="9" t="s">
        <v>270</v>
      </c>
      <c r="M847" s="14" t="s">
        <v>84</v>
      </c>
      <c r="N847" s="9" t="s">
        <v>271</v>
      </c>
      <c r="O847" s="9" t="s">
        <v>272</v>
      </c>
      <c r="P847" s="9" t="s">
        <v>277</v>
      </c>
      <c r="Q847" s="11"/>
      <c r="R847" s="11"/>
      <c r="S847" s="11"/>
      <c r="T847" s="9"/>
      <c r="U847" s="14" t="s">
        <v>77</v>
      </c>
      <c r="V847" s="9"/>
      <c r="W847" s="12">
        <v>30</v>
      </c>
      <c r="X847" s="13"/>
      <c r="Y847" s="13"/>
      <c r="Z847" s="13"/>
      <c r="AA847" s="13"/>
      <c r="AB847" s="13"/>
      <c r="AC847" s="13">
        <f t="shared" si="122"/>
        <v>0</v>
      </c>
      <c r="AD847" s="13"/>
      <c r="AE847" s="13"/>
      <c r="AF847" s="13">
        <f t="shared" si="123"/>
        <v>0</v>
      </c>
      <c r="AG847" s="13"/>
      <c r="AH847" s="13"/>
      <c r="AI847" s="13"/>
      <c r="AJ847" s="13">
        <f t="shared" si="124"/>
        <v>0</v>
      </c>
      <c r="AK847" s="9"/>
      <c r="AL847" s="13"/>
      <c r="AM847" s="9"/>
      <c r="AN847" s="9"/>
      <c r="AO847" s="9"/>
      <c r="AP847" s="14"/>
    </row>
    <row r="848" spans="1:42" s="45" customFormat="1" ht="22" customHeight="1">
      <c r="A848" s="14" t="s">
        <v>21</v>
      </c>
      <c r="B848" s="8">
        <v>2024</v>
      </c>
      <c r="C848" s="8" t="s">
        <v>8</v>
      </c>
      <c r="D848" s="9" t="s">
        <v>185</v>
      </c>
      <c r="E848" s="9" t="s">
        <v>10</v>
      </c>
      <c r="F848" s="9" t="s">
        <v>186</v>
      </c>
      <c r="G848" s="8"/>
      <c r="H848" s="8"/>
      <c r="I848" s="9" t="s">
        <v>116</v>
      </c>
      <c r="J848" s="9" t="s">
        <v>116</v>
      </c>
      <c r="K848" s="9" t="s">
        <v>269</v>
      </c>
      <c r="L848" s="9" t="s">
        <v>270</v>
      </c>
      <c r="M848" s="14" t="s">
        <v>84</v>
      </c>
      <c r="N848" s="9" t="s">
        <v>271</v>
      </c>
      <c r="O848" s="9" t="s">
        <v>272</v>
      </c>
      <c r="P848" s="9" t="s">
        <v>278</v>
      </c>
      <c r="Q848" s="11"/>
      <c r="R848" s="11"/>
      <c r="S848" s="11"/>
      <c r="T848" s="9"/>
      <c r="U848" s="14" t="s">
        <v>77</v>
      </c>
      <c r="V848" s="9"/>
      <c r="W848" s="12">
        <v>30</v>
      </c>
      <c r="X848" s="13"/>
      <c r="Y848" s="13"/>
      <c r="Z848" s="13"/>
      <c r="AA848" s="13"/>
      <c r="AB848" s="13"/>
      <c r="AC848" s="13">
        <f t="shared" si="122"/>
        <v>0</v>
      </c>
      <c r="AD848" s="13"/>
      <c r="AE848" s="13"/>
      <c r="AF848" s="13">
        <f t="shared" si="123"/>
        <v>0</v>
      </c>
      <c r="AG848" s="13"/>
      <c r="AH848" s="13"/>
      <c r="AI848" s="13"/>
      <c r="AJ848" s="13">
        <f t="shared" si="124"/>
        <v>0</v>
      </c>
      <c r="AK848" s="9"/>
      <c r="AL848" s="13"/>
      <c r="AM848" s="9"/>
      <c r="AN848" s="9"/>
      <c r="AO848" s="9"/>
      <c r="AP848" s="14"/>
    </row>
    <row r="849" spans="1:42" s="45" customFormat="1" ht="22" customHeight="1">
      <c r="A849" s="14" t="s">
        <v>21</v>
      </c>
      <c r="B849" s="8">
        <v>2024</v>
      </c>
      <c r="C849" s="8" t="s">
        <v>8</v>
      </c>
      <c r="D849" s="9" t="s">
        <v>185</v>
      </c>
      <c r="E849" s="9" t="s">
        <v>10</v>
      </c>
      <c r="F849" s="9" t="s">
        <v>186</v>
      </c>
      <c r="G849" s="8"/>
      <c r="H849" s="8"/>
      <c r="I849" s="9" t="s">
        <v>116</v>
      </c>
      <c r="J849" s="9" t="s">
        <v>116</v>
      </c>
      <c r="K849" s="9" t="s">
        <v>269</v>
      </c>
      <c r="L849" s="9" t="s">
        <v>270</v>
      </c>
      <c r="M849" s="14" t="s">
        <v>84</v>
      </c>
      <c r="N849" s="9" t="s">
        <v>271</v>
      </c>
      <c r="O849" s="9" t="s">
        <v>272</v>
      </c>
      <c r="P849" s="9" t="s">
        <v>279</v>
      </c>
      <c r="Q849" s="11"/>
      <c r="R849" s="11"/>
      <c r="S849" s="11"/>
      <c r="T849" s="9"/>
      <c r="U849" s="14" t="s">
        <v>77</v>
      </c>
      <c r="V849" s="9"/>
      <c r="W849" s="12">
        <v>30</v>
      </c>
      <c r="X849" s="13"/>
      <c r="Y849" s="13"/>
      <c r="Z849" s="13"/>
      <c r="AA849" s="13"/>
      <c r="AB849" s="13"/>
      <c r="AC849" s="13">
        <f t="shared" si="122"/>
        <v>0</v>
      </c>
      <c r="AD849" s="13"/>
      <c r="AE849" s="13"/>
      <c r="AF849" s="13">
        <f t="shared" si="123"/>
        <v>0</v>
      </c>
      <c r="AG849" s="13"/>
      <c r="AH849" s="13"/>
      <c r="AI849" s="13"/>
      <c r="AJ849" s="13">
        <f t="shared" si="124"/>
        <v>0</v>
      </c>
      <c r="AK849" s="9"/>
      <c r="AL849" s="13"/>
      <c r="AM849" s="9"/>
      <c r="AN849" s="9"/>
      <c r="AO849" s="9"/>
      <c r="AP849" s="14"/>
    </row>
    <row r="850" spans="1:42" s="45" customFormat="1" ht="22" customHeight="1">
      <c r="A850" s="14" t="s">
        <v>21</v>
      </c>
      <c r="B850" s="8">
        <v>2024</v>
      </c>
      <c r="C850" s="8" t="s">
        <v>8</v>
      </c>
      <c r="D850" s="9" t="s">
        <v>185</v>
      </c>
      <c r="E850" s="9" t="s">
        <v>10</v>
      </c>
      <c r="F850" s="9" t="s">
        <v>186</v>
      </c>
      <c r="G850" s="8"/>
      <c r="H850" s="8"/>
      <c r="I850" s="9" t="s">
        <v>116</v>
      </c>
      <c r="J850" s="9" t="s">
        <v>116</v>
      </c>
      <c r="K850" s="9" t="s">
        <v>269</v>
      </c>
      <c r="L850" s="9" t="s">
        <v>270</v>
      </c>
      <c r="M850" s="14" t="s">
        <v>84</v>
      </c>
      <c r="N850" s="9" t="s">
        <v>271</v>
      </c>
      <c r="O850" s="9" t="s">
        <v>272</v>
      </c>
      <c r="P850" s="9" t="s">
        <v>280</v>
      </c>
      <c r="Q850" s="11"/>
      <c r="R850" s="11"/>
      <c r="S850" s="11"/>
      <c r="T850" s="9"/>
      <c r="U850" s="14" t="s">
        <v>77</v>
      </c>
      <c r="V850" s="9"/>
      <c r="W850" s="12">
        <v>30</v>
      </c>
      <c r="X850" s="13"/>
      <c r="Y850" s="13"/>
      <c r="Z850" s="13"/>
      <c r="AA850" s="13"/>
      <c r="AB850" s="13"/>
      <c r="AC850" s="13">
        <f t="shared" si="122"/>
        <v>0</v>
      </c>
      <c r="AD850" s="13"/>
      <c r="AE850" s="13"/>
      <c r="AF850" s="13">
        <f t="shared" si="123"/>
        <v>0</v>
      </c>
      <c r="AG850" s="13"/>
      <c r="AH850" s="13"/>
      <c r="AI850" s="13"/>
      <c r="AJ850" s="13">
        <f t="shared" si="124"/>
        <v>0</v>
      </c>
      <c r="AK850" s="9"/>
      <c r="AL850" s="13"/>
      <c r="AM850" s="9"/>
      <c r="AN850" s="9"/>
      <c r="AO850" s="9"/>
      <c r="AP850" s="14"/>
    </row>
    <row r="851" spans="1:42" s="45" customFormat="1" ht="22" customHeight="1">
      <c r="A851" s="14" t="s">
        <v>21</v>
      </c>
      <c r="B851" s="8">
        <v>2024</v>
      </c>
      <c r="C851" s="8" t="s">
        <v>8</v>
      </c>
      <c r="D851" s="9" t="s">
        <v>185</v>
      </c>
      <c r="E851" s="9" t="s">
        <v>10</v>
      </c>
      <c r="F851" s="9" t="s">
        <v>186</v>
      </c>
      <c r="G851" s="8"/>
      <c r="H851" s="8"/>
      <c r="I851" s="9" t="s">
        <v>116</v>
      </c>
      <c r="J851" s="9" t="s">
        <v>116</v>
      </c>
      <c r="K851" s="9" t="s">
        <v>269</v>
      </c>
      <c r="L851" s="9" t="s">
        <v>270</v>
      </c>
      <c r="M851" s="14" t="s">
        <v>84</v>
      </c>
      <c r="N851" s="9" t="s">
        <v>271</v>
      </c>
      <c r="O851" s="9" t="s">
        <v>272</v>
      </c>
      <c r="P851" s="9" t="s">
        <v>281</v>
      </c>
      <c r="Q851" s="11"/>
      <c r="R851" s="11"/>
      <c r="S851" s="11"/>
      <c r="T851" s="9"/>
      <c r="U851" s="14" t="s">
        <v>77</v>
      </c>
      <c r="V851" s="9"/>
      <c r="W851" s="12">
        <v>30</v>
      </c>
      <c r="X851" s="13"/>
      <c r="Y851" s="13"/>
      <c r="Z851" s="13"/>
      <c r="AA851" s="13"/>
      <c r="AB851" s="13"/>
      <c r="AC851" s="13">
        <f t="shared" si="122"/>
        <v>0</v>
      </c>
      <c r="AD851" s="13"/>
      <c r="AE851" s="13"/>
      <c r="AF851" s="13">
        <f t="shared" si="123"/>
        <v>0</v>
      </c>
      <c r="AG851" s="13"/>
      <c r="AH851" s="13"/>
      <c r="AI851" s="13"/>
      <c r="AJ851" s="13">
        <f t="shared" si="124"/>
        <v>0</v>
      </c>
      <c r="AK851" s="9"/>
      <c r="AL851" s="13"/>
      <c r="AM851" s="9"/>
      <c r="AN851" s="9"/>
      <c r="AO851" s="9"/>
      <c r="AP851" s="14"/>
    </row>
    <row r="852" spans="1:42" s="45" customFormat="1" ht="22" customHeight="1">
      <c r="A852" s="14" t="s">
        <v>21</v>
      </c>
      <c r="B852" s="8">
        <v>2024</v>
      </c>
      <c r="C852" s="8" t="s">
        <v>8</v>
      </c>
      <c r="D852" s="9" t="s">
        <v>185</v>
      </c>
      <c r="E852" s="9" t="s">
        <v>10</v>
      </c>
      <c r="F852" s="9" t="s">
        <v>186</v>
      </c>
      <c r="G852" s="8"/>
      <c r="H852" s="8"/>
      <c r="I852" s="9" t="s">
        <v>116</v>
      </c>
      <c r="J852" s="9" t="s">
        <v>116</v>
      </c>
      <c r="K852" s="9" t="s">
        <v>269</v>
      </c>
      <c r="L852" s="9" t="s">
        <v>270</v>
      </c>
      <c r="M852" s="14" t="s">
        <v>84</v>
      </c>
      <c r="N852" s="9" t="s">
        <v>271</v>
      </c>
      <c r="O852" s="9" t="s">
        <v>272</v>
      </c>
      <c r="P852" s="9" t="s">
        <v>282</v>
      </c>
      <c r="Q852" s="11"/>
      <c r="R852" s="11"/>
      <c r="S852" s="11"/>
      <c r="T852" s="9"/>
      <c r="U852" s="14" t="s">
        <v>77</v>
      </c>
      <c r="V852" s="9"/>
      <c r="W852" s="12">
        <v>30</v>
      </c>
      <c r="X852" s="13"/>
      <c r="Y852" s="13"/>
      <c r="Z852" s="13"/>
      <c r="AA852" s="13"/>
      <c r="AB852" s="13"/>
      <c r="AC852" s="13">
        <f t="shared" si="122"/>
        <v>0</v>
      </c>
      <c r="AD852" s="13"/>
      <c r="AE852" s="13"/>
      <c r="AF852" s="13">
        <f t="shared" si="123"/>
        <v>0</v>
      </c>
      <c r="AG852" s="13"/>
      <c r="AH852" s="13"/>
      <c r="AI852" s="13"/>
      <c r="AJ852" s="13">
        <f t="shared" si="124"/>
        <v>0</v>
      </c>
      <c r="AK852" s="9"/>
      <c r="AL852" s="13"/>
      <c r="AM852" s="9"/>
      <c r="AN852" s="9"/>
      <c r="AO852" s="9"/>
      <c r="AP852" s="14"/>
    </row>
    <row r="853" spans="1:42" s="45" customFormat="1" ht="22" customHeight="1">
      <c r="A853" s="14" t="s">
        <v>21</v>
      </c>
      <c r="B853" s="8">
        <v>2024</v>
      </c>
      <c r="C853" s="8" t="s">
        <v>8</v>
      </c>
      <c r="D853" s="9" t="s">
        <v>185</v>
      </c>
      <c r="E853" s="9" t="s">
        <v>10</v>
      </c>
      <c r="F853" s="9" t="s">
        <v>186</v>
      </c>
      <c r="G853" s="8"/>
      <c r="H853" s="8"/>
      <c r="I853" s="9" t="s">
        <v>116</v>
      </c>
      <c r="J853" s="9" t="s">
        <v>116</v>
      </c>
      <c r="K853" s="9" t="s">
        <v>269</v>
      </c>
      <c r="L853" s="9" t="s">
        <v>270</v>
      </c>
      <c r="M853" s="14" t="s">
        <v>84</v>
      </c>
      <c r="N853" s="9" t="s">
        <v>271</v>
      </c>
      <c r="O853" s="9" t="s">
        <v>272</v>
      </c>
      <c r="P853" s="9" t="s">
        <v>283</v>
      </c>
      <c r="Q853" s="11"/>
      <c r="R853" s="11"/>
      <c r="S853" s="11"/>
      <c r="T853" s="9"/>
      <c r="U853" s="14" t="s">
        <v>77</v>
      </c>
      <c r="V853" s="9"/>
      <c r="W853" s="12">
        <v>30</v>
      </c>
      <c r="X853" s="13"/>
      <c r="Y853" s="13"/>
      <c r="Z853" s="13"/>
      <c r="AA853" s="13"/>
      <c r="AB853" s="13"/>
      <c r="AC853" s="13">
        <f t="shared" si="122"/>
        <v>0</v>
      </c>
      <c r="AD853" s="13"/>
      <c r="AE853" s="13"/>
      <c r="AF853" s="13">
        <f t="shared" si="123"/>
        <v>0</v>
      </c>
      <c r="AG853" s="13"/>
      <c r="AH853" s="13"/>
      <c r="AI853" s="13"/>
      <c r="AJ853" s="13">
        <f t="shared" si="124"/>
        <v>0</v>
      </c>
      <c r="AK853" s="9"/>
      <c r="AL853" s="13"/>
      <c r="AM853" s="9"/>
      <c r="AN853" s="9"/>
      <c r="AO853" s="9"/>
      <c r="AP853" s="14"/>
    </row>
    <row r="854" spans="1:42" s="45" customFormat="1" ht="22" customHeight="1">
      <c r="A854" s="14" t="s">
        <v>21</v>
      </c>
      <c r="B854" s="8">
        <v>2024</v>
      </c>
      <c r="C854" s="8" t="s">
        <v>8</v>
      </c>
      <c r="D854" s="9" t="s">
        <v>185</v>
      </c>
      <c r="E854" s="9" t="s">
        <v>10</v>
      </c>
      <c r="F854" s="9" t="s">
        <v>186</v>
      </c>
      <c r="G854" s="8"/>
      <c r="H854" s="8"/>
      <c r="I854" s="9" t="s">
        <v>116</v>
      </c>
      <c r="J854" s="9" t="s">
        <v>116</v>
      </c>
      <c r="K854" s="9" t="s">
        <v>269</v>
      </c>
      <c r="L854" s="9" t="s">
        <v>270</v>
      </c>
      <c r="M854" s="14" t="s">
        <v>84</v>
      </c>
      <c r="N854" s="9" t="s">
        <v>271</v>
      </c>
      <c r="O854" s="9" t="s">
        <v>272</v>
      </c>
      <c r="P854" s="9" t="s">
        <v>284</v>
      </c>
      <c r="Q854" s="11"/>
      <c r="R854" s="11"/>
      <c r="S854" s="11"/>
      <c r="T854" s="9"/>
      <c r="U854" s="14" t="s">
        <v>77</v>
      </c>
      <c r="V854" s="9"/>
      <c r="W854" s="12">
        <v>30</v>
      </c>
      <c r="X854" s="13"/>
      <c r="Y854" s="13"/>
      <c r="Z854" s="13"/>
      <c r="AA854" s="13"/>
      <c r="AB854" s="13"/>
      <c r="AC854" s="13">
        <f t="shared" si="122"/>
        <v>0</v>
      </c>
      <c r="AD854" s="13"/>
      <c r="AE854" s="13"/>
      <c r="AF854" s="13">
        <f t="shared" si="123"/>
        <v>0</v>
      </c>
      <c r="AG854" s="13"/>
      <c r="AH854" s="13"/>
      <c r="AI854" s="13"/>
      <c r="AJ854" s="13">
        <f t="shared" si="124"/>
        <v>0</v>
      </c>
      <c r="AK854" s="9"/>
      <c r="AL854" s="13"/>
      <c r="AM854" s="9"/>
      <c r="AN854" s="9"/>
      <c r="AO854" s="9"/>
      <c r="AP854" s="14"/>
    </row>
    <row r="855" spans="1:42" s="45" customFormat="1" ht="22" customHeight="1">
      <c r="A855" s="14" t="s">
        <v>21</v>
      </c>
      <c r="B855" s="8">
        <v>2024</v>
      </c>
      <c r="C855" s="8" t="s">
        <v>8</v>
      </c>
      <c r="D855" s="9" t="s">
        <v>185</v>
      </c>
      <c r="E855" s="9" t="s">
        <v>10</v>
      </c>
      <c r="F855" s="9" t="s">
        <v>186</v>
      </c>
      <c r="G855" s="8"/>
      <c r="H855" s="8"/>
      <c r="I855" s="9" t="s">
        <v>116</v>
      </c>
      <c r="J855" s="9" t="s">
        <v>116</v>
      </c>
      <c r="K855" s="9" t="s">
        <v>269</v>
      </c>
      <c r="L855" s="9" t="s">
        <v>270</v>
      </c>
      <c r="M855" s="14" t="s">
        <v>84</v>
      </c>
      <c r="N855" s="9" t="s">
        <v>271</v>
      </c>
      <c r="O855" s="9" t="s">
        <v>272</v>
      </c>
      <c r="P855" s="9" t="s">
        <v>285</v>
      </c>
      <c r="Q855" s="11"/>
      <c r="R855" s="11"/>
      <c r="S855" s="11"/>
      <c r="T855" s="9"/>
      <c r="U855" s="14" t="s">
        <v>77</v>
      </c>
      <c r="V855" s="9"/>
      <c r="W855" s="12">
        <v>30</v>
      </c>
      <c r="X855" s="13"/>
      <c r="Y855" s="13"/>
      <c r="Z855" s="13"/>
      <c r="AA855" s="13"/>
      <c r="AB855" s="13"/>
      <c r="AC855" s="13">
        <f t="shared" ref="AC855:AC864" si="125">+S855*W855*20/1000000</f>
        <v>0</v>
      </c>
      <c r="AD855" s="13"/>
      <c r="AE855" s="13"/>
      <c r="AF855" s="13">
        <f t="shared" ref="AF855:AF864" si="126">+S855*W855*200/1000000</f>
        <v>0</v>
      </c>
      <c r="AG855" s="13"/>
      <c r="AH855" s="13"/>
      <c r="AI855" s="13"/>
      <c r="AJ855" s="13">
        <f t="shared" si="124"/>
        <v>0</v>
      </c>
      <c r="AK855" s="9"/>
      <c r="AL855" s="13"/>
      <c r="AM855" s="9"/>
      <c r="AN855" s="9"/>
      <c r="AO855" s="9"/>
      <c r="AP855" s="14"/>
    </row>
    <row r="856" spans="1:42" s="45" customFormat="1" ht="22" customHeight="1">
      <c r="A856" s="14" t="s">
        <v>21</v>
      </c>
      <c r="B856" s="8">
        <v>2024</v>
      </c>
      <c r="C856" s="8" t="s">
        <v>8</v>
      </c>
      <c r="D856" s="9" t="s">
        <v>185</v>
      </c>
      <c r="E856" s="9" t="s">
        <v>10</v>
      </c>
      <c r="F856" s="9" t="s">
        <v>186</v>
      </c>
      <c r="G856" s="8"/>
      <c r="H856" s="8"/>
      <c r="I856" s="9" t="s">
        <v>116</v>
      </c>
      <c r="J856" s="9" t="s">
        <v>116</v>
      </c>
      <c r="K856" s="9" t="s">
        <v>269</v>
      </c>
      <c r="L856" s="9" t="s">
        <v>270</v>
      </c>
      <c r="M856" s="14" t="s">
        <v>84</v>
      </c>
      <c r="N856" s="9" t="s">
        <v>271</v>
      </c>
      <c r="O856" s="9" t="s">
        <v>272</v>
      </c>
      <c r="P856" s="9" t="s">
        <v>286</v>
      </c>
      <c r="Q856" s="11"/>
      <c r="R856" s="11"/>
      <c r="S856" s="11"/>
      <c r="T856" s="9"/>
      <c r="U856" s="14" t="s">
        <v>77</v>
      </c>
      <c r="V856" s="9"/>
      <c r="W856" s="12">
        <v>30</v>
      </c>
      <c r="X856" s="13"/>
      <c r="Y856" s="13"/>
      <c r="Z856" s="13"/>
      <c r="AA856" s="13"/>
      <c r="AB856" s="13"/>
      <c r="AC856" s="13">
        <f t="shared" si="125"/>
        <v>0</v>
      </c>
      <c r="AD856" s="13"/>
      <c r="AE856" s="13"/>
      <c r="AF856" s="13">
        <f t="shared" si="126"/>
        <v>0</v>
      </c>
      <c r="AG856" s="13"/>
      <c r="AH856" s="13"/>
      <c r="AI856" s="13"/>
      <c r="AJ856" s="13">
        <f t="shared" si="124"/>
        <v>0</v>
      </c>
      <c r="AK856" s="9"/>
      <c r="AL856" s="13"/>
      <c r="AM856" s="9"/>
      <c r="AN856" s="9"/>
      <c r="AO856" s="9"/>
      <c r="AP856" s="14"/>
    </row>
    <row r="857" spans="1:42" s="45" customFormat="1" ht="22" customHeight="1">
      <c r="A857" s="14" t="s">
        <v>21</v>
      </c>
      <c r="B857" s="8">
        <v>2024</v>
      </c>
      <c r="C857" s="8" t="s">
        <v>8</v>
      </c>
      <c r="D857" s="9" t="s">
        <v>185</v>
      </c>
      <c r="E857" s="9" t="s">
        <v>10</v>
      </c>
      <c r="F857" s="9" t="s">
        <v>186</v>
      </c>
      <c r="G857" s="8"/>
      <c r="H857" s="8"/>
      <c r="I857" s="9" t="s">
        <v>116</v>
      </c>
      <c r="J857" s="9" t="s">
        <v>116</v>
      </c>
      <c r="K857" s="9" t="s">
        <v>269</v>
      </c>
      <c r="L857" s="9" t="s">
        <v>270</v>
      </c>
      <c r="M857" s="14" t="s">
        <v>84</v>
      </c>
      <c r="N857" s="9" t="s">
        <v>271</v>
      </c>
      <c r="O857" s="9" t="s">
        <v>272</v>
      </c>
      <c r="P857" s="9" t="s">
        <v>287</v>
      </c>
      <c r="Q857" s="11"/>
      <c r="R857" s="11"/>
      <c r="S857" s="11"/>
      <c r="T857" s="9"/>
      <c r="U857" s="14" t="s">
        <v>77</v>
      </c>
      <c r="V857" s="9"/>
      <c r="W857" s="12">
        <v>30</v>
      </c>
      <c r="X857" s="13"/>
      <c r="Y857" s="13"/>
      <c r="Z857" s="13"/>
      <c r="AA857" s="13"/>
      <c r="AB857" s="13"/>
      <c r="AC857" s="13">
        <f t="shared" si="125"/>
        <v>0</v>
      </c>
      <c r="AD857" s="13"/>
      <c r="AE857" s="13"/>
      <c r="AF857" s="13">
        <f t="shared" si="126"/>
        <v>0</v>
      </c>
      <c r="AG857" s="13"/>
      <c r="AH857" s="13"/>
      <c r="AI857" s="13"/>
      <c r="AJ857" s="13">
        <f t="shared" si="124"/>
        <v>0</v>
      </c>
      <c r="AK857" s="9"/>
      <c r="AL857" s="13"/>
      <c r="AM857" s="9"/>
      <c r="AN857" s="9"/>
      <c r="AO857" s="9"/>
      <c r="AP857" s="14"/>
    </row>
    <row r="858" spans="1:42" s="45" customFormat="1" ht="22" customHeight="1">
      <c r="A858" s="14" t="s">
        <v>21</v>
      </c>
      <c r="B858" s="8">
        <v>2024</v>
      </c>
      <c r="C858" s="8" t="s">
        <v>8</v>
      </c>
      <c r="D858" s="9" t="s">
        <v>185</v>
      </c>
      <c r="E858" s="9" t="s">
        <v>10</v>
      </c>
      <c r="F858" s="9" t="s">
        <v>186</v>
      </c>
      <c r="G858" s="8"/>
      <c r="H858" s="8"/>
      <c r="I858" s="9" t="s">
        <v>116</v>
      </c>
      <c r="J858" s="9" t="s">
        <v>116</v>
      </c>
      <c r="K858" s="9" t="s">
        <v>269</v>
      </c>
      <c r="L858" s="9" t="s">
        <v>270</v>
      </c>
      <c r="M858" s="14" t="s">
        <v>84</v>
      </c>
      <c r="N858" s="9" t="s">
        <v>271</v>
      </c>
      <c r="O858" s="9" t="s">
        <v>272</v>
      </c>
      <c r="P858" s="9" t="s">
        <v>288</v>
      </c>
      <c r="Q858" s="11"/>
      <c r="R858" s="11"/>
      <c r="S858" s="11"/>
      <c r="T858" s="9"/>
      <c r="U858" s="14" t="s">
        <v>77</v>
      </c>
      <c r="V858" s="9"/>
      <c r="W858" s="12">
        <v>30</v>
      </c>
      <c r="X858" s="13"/>
      <c r="Y858" s="13"/>
      <c r="Z858" s="13"/>
      <c r="AA858" s="13"/>
      <c r="AB858" s="13"/>
      <c r="AC858" s="13">
        <f t="shared" si="125"/>
        <v>0</v>
      </c>
      <c r="AD858" s="13"/>
      <c r="AE858" s="13"/>
      <c r="AF858" s="13">
        <f t="shared" si="126"/>
        <v>0</v>
      </c>
      <c r="AG858" s="13"/>
      <c r="AH858" s="13"/>
      <c r="AI858" s="13"/>
      <c r="AJ858" s="13">
        <f t="shared" si="124"/>
        <v>0</v>
      </c>
      <c r="AK858" s="9"/>
      <c r="AL858" s="13"/>
      <c r="AM858" s="9"/>
      <c r="AN858" s="9"/>
      <c r="AO858" s="9"/>
      <c r="AP858" s="14"/>
    </row>
    <row r="859" spans="1:42" s="45" customFormat="1" ht="22" customHeight="1">
      <c r="A859" s="14" t="s">
        <v>21</v>
      </c>
      <c r="B859" s="8">
        <v>2024</v>
      </c>
      <c r="C859" s="8" t="s">
        <v>8</v>
      </c>
      <c r="D859" s="9" t="s">
        <v>185</v>
      </c>
      <c r="E859" s="9" t="s">
        <v>10</v>
      </c>
      <c r="F859" s="9" t="s">
        <v>186</v>
      </c>
      <c r="G859" s="8"/>
      <c r="H859" s="8"/>
      <c r="I859" s="9" t="s">
        <v>116</v>
      </c>
      <c r="J859" s="9" t="s">
        <v>116</v>
      </c>
      <c r="K859" s="9" t="s">
        <v>269</v>
      </c>
      <c r="L859" s="9" t="s">
        <v>270</v>
      </c>
      <c r="M859" s="14" t="s">
        <v>84</v>
      </c>
      <c r="N859" s="9" t="s">
        <v>271</v>
      </c>
      <c r="O859" s="9" t="s">
        <v>272</v>
      </c>
      <c r="P859" s="9" t="s">
        <v>289</v>
      </c>
      <c r="Q859" s="11"/>
      <c r="R859" s="11"/>
      <c r="S859" s="11"/>
      <c r="T859" s="9"/>
      <c r="U859" s="14" t="s">
        <v>77</v>
      </c>
      <c r="V859" s="9"/>
      <c r="W859" s="12">
        <v>30</v>
      </c>
      <c r="X859" s="13"/>
      <c r="Y859" s="13"/>
      <c r="Z859" s="13"/>
      <c r="AA859" s="13"/>
      <c r="AB859" s="13"/>
      <c r="AC859" s="13">
        <f t="shared" si="125"/>
        <v>0</v>
      </c>
      <c r="AD859" s="13"/>
      <c r="AE859" s="13"/>
      <c r="AF859" s="13">
        <f t="shared" si="126"/>
        <v>0</v>
      </c>
      <c r="AG859" s="13"/>
      <c r="AH859" s="13"/>
      <c r="AI859" s="13"/>
      <c r="AJ859" s="13">
        <f t="shared" si="124"/>
        <v>0</v>
      </c>
      <c r="AK859" s="9"/>
      <c r="AL859" s="13"/>
      <c r="AM859" s="9"/>
      <c r="AN859" s="9"/>
      <c r="AO859" s="9"/>
      <c r="AP859" s="14"/>
    </row>
    <row r="860" spans="1:42" s="45" customFormat="1" ht="22" customHeight="1">
      <c r="A860" s="14" t="s">
        <v>21</v>
      </c>
      <c r="B860" s="8">
        <v>2024</v>
      </c>
      <c r="C860" s="8" t="s">
        <v>8</v>
      </c>
      <c r="D860" s="9" t="s">
        <v>185</v>
      </c>
      <c r="E860" s="9" t="s">
        <v>10</v>
      </c>
      <c r="F860" s="9" t="s">
        <v>186</v>
      </c>
      <c r="G860" s="8"/>
      <c r="H860" s="8"/>
      <c r="I860" s="9" t="s">
        <v>116</v>
      </c>
      <c r="J860" s="9" t="s">
        <v>116</v>
      </c>
      <c r="K860" s="9" t="s">
        <v>269</v>
      </c>
      <c r="L860" s="9" t="s">
        <v>270</v>
      </c>
      <c r="M860" s="14" t="s">
        <v>84</v>
      </c>
      <c r="N860" s="9" t="s">
        <v>271</v>
      </c>
      <c r="O860" s="9" t="s">
        <v>290</v>
      </c>
      <c r="P860" s="9" t="s">
        <v>291</v>
      </c>
      <c r="Q860" s="11"/>
      <c r="R860" s="11"/>
      <c r="S860" s="11"/>
      <c r="T860" s="9"/>
      <c r="U860" s="14" t="s">
        <v>77</v>
      </c>
      <c r="V860" s="9"/>
      <c r="W860" s="12">
        <v>30</v>
      </c>
      <c r="X860" s="13"/>
      <c r="Y860" s="13"/>
      <c r="Z860" s="13"/>
      <c r="AA860" s="13"/>
      <c r="AB860" s="13"/>
      <c r="AC860" s="13">
        <f t="shared" si="125"/>
        <v>0</v>
      </c>
      <c r="AD860" s="13"/>
      <c r="AE860" s="13"/>
      <c r="AF860" s="13">
        <f t="shared" si="126"/>
        <v>0</v>
      </c>
      <c r="AG860" s="13"/>
      <c r="AH860" s="13"/>
      <c r="AI860" s="13"/>
      <c r="AJ860" s="13">
        <f t="shared" si="124"/>
        <v>0</v>
      </c>
      <c r="AK860" s="9"/>
      <c r="AL860" s="13"/>
      <c r="AM860" s="9"/>
      <c r="AN860" s="9"/>
      <c r="AO860" s="9"/>
      <c r="AP860" s="14"/>
    </row>
    <row r="861" spans="1:42" s="45" customFormat="1" ht="22" customHeight="1">
      <c r="A861" s="14" t="s">
        <v>21</v>
      </c>
      <c r="B861" s="8">
        <v>2024</v>
      </c>
      <c r="C861" s="8" t="s">
        <v>8</v>
      </c>
      <c r="D861" s="9" t="s">
        <v>185</v>
      </c>
      <c r="E861" s="9" t="s">
        <v>10</v>
      </c>
      <c r="F861" s="9" t="s">
        <v>186</v>
      </c>
      <c r="G861" s="8"/>
      <c r="H861" s="8"/>
      <c r="I861" s="9" t="s">
        <v>116</v>
      </c>
      <c r="J861" s="9" t="s">
        <v>116</v>
      </c>
      <c r="K861" s="9" t="s">
        <v>269</v>
      </c>
      <c r="L861" s="9" t="s">
        <v>270</v>
      </c>
      <c r="M861" s="14" t="s">
        <v>84</v>
      </c>
      <c r="N861" s="9" t="s">
        <v>271</v>
      </c>
      <c r="O861" s="9" t="s">
        <v>290</v>
      </c>
      <c r="P861" s="9" t="s">
        <v>292</v>
      </c>
      <c r="Q861" s="11"/>
      <c r="R861" s="11"/>
      <c r="S861" s="11"/>
      <c r="T861" s="9"/>
      <c r="U861" s="14" t="s">
        <v>77</v>
      </c>
      <c r="V861" s="9"/>
      <c r="W861" s="12">
        <v>30</v>
      </c>
      <c r="X861" s="13"/>
      <c r="Y861" s="13"/>
      <c r="Z861" s="13"/>
      <c r="AA861" s="13"/>
      <c r="AB861" s="13"/>
      <c r="AC861" s="13">
        <f t="shared" si="125"/>
        <v>0</v>
      </c>
      <c r="AD861" s="13"/>
      <c r="AE861" s="13"/>
      <c r="AF861" s="13">
        <f t="shared" si="126"/>
        <v>0</v>
      </c>
      <c r="AG861" s="13"/>
      <c r="AH861" s="13"/>
      <c r="AI861" s="13"/>
      <c r="AJ861" s="13">
        <f t="shared" si="124"/>
        <v>0</v>
      </c>
      <c r="AK861" s="9"/>
      <c r="AL861" s="13"/>
      <c r="AM861" s="9"/>
      <c r="AN861" s="9"/>
      <c r="AO861" s="9"/>
      <c r="AP861" s="14"/>
    </row>
    <row r="862" spans="1:42" s="45" customFormat="1" ht="22" customHeight="1">
      <c r="A862" s="14" t="s">
        <v>21</v>
      </c>
      <c r="B862" s="8">
        <v>2024</v>
      </c>
      <c r="C862" s="8" t="s">
        <v>8</v>
      </c>
      <c r="D862" s="9" t="s">
        <v>185</v>
      </c>
      <c r="E862" s="9" t="s">
        <v>10</v>
      </c>
      <c r="F862" s="9" t="s">
        <v>186</v>
      </c>
      <c r="G862" s="8"/>
      <c r="H862" s="8"/>
      <c r="I862" s="9" t="s">
        <v>116</v>
      </c>
      <c r="J862" s="9" t="s">
        <v>116</v>
      </c>
      <c r="K862" s="9" t="s">
        <v>269</v>
      </c>
      <c r="L862" s="9" t="s">
        <v>270</v>
      </c>
      <c r="M862" s="14" t="s">
        <v>84</v>
      </c>
      <c r="N862" s="9" t="s">
        <v>271</v>
      </c>
      <c r="O862" s="9" t="s">
        <v>290</v>
      </c>
      <c r="P862" s="9" t="s">
        <v>293</v>
      </c>
      <c r="Q862" s="11"/>
      <c r="R862" s="11"/>
      <c r="S862" s="11"/>
      <c r="T862" s="9"/>
      <c r="U862" s="14" t="s">
        <v>77</v>
      </c>
      <c r="V862" s="9"/>
      <c r="W862" s="12">
        <v>30</v>
      </c>
      <c r="X862" s="13"/>
      <c r="Y862" s="13"/>
      <c r="Z862" s="13"/>
      <c r="AA862" s="13"/>
      <c r="AB862" s="13"/>
      <c r="AC862" s="13">
        <f t="shared" si="125"/>
        <v>0</v>
      </c>
      <c r="AD862" s="13"/>
      <c r="AE862" s="13"/>
      <c r="AF862" s="13">
        <f t="shared" si="126"/>
        <v>0</v>
      </c>
      <c r="AG862" s="13"/>
      <c r="AH862" s="13"/>
      <c r="AI862" s="13"/>
      <c r="AJ862" s="13">
        <f t="shared" si="124"/>
        <v>0</v>
      </c>
      <c r="AK862" s="9"/>
      <c r="AL862" s="13"/>
      <c r="AM862" s="9"/>
      <c r="AN862" s="9"/>
      <c r="AO862" s="9"/>
      <c r="AP862" s="14"/>
    </row>
    <row r="863" spans="1:42" s="45" customFormat="1" ht="22" customHeight="1">
      <c r="A863" s="14" t="s">
        <v>21</v>
      </c>
      <c r="B863" s="8">
        <v>2024</v>
      </c>
      <c r="C863" s="8" t="s">
        <v>8</v>
      </c>
      <c r="D863" s="9" t="s">
        <v>185</v>
      </c>
      <c r="E863" s="9" t="s">
        <v>10</v>
      </c>
      <c r="F863" s="9" t="s">
        <v>186</v>
      </c>
      <c r="G863" s="8"/>
      <c r="H863" s="8"/>
      <c r="I863" s="9" t="s">
        <v>116</v>
      </c>
      <c r="J863" s="9" t="s">
        <v>116</v>
      </c>
      <c r="K863" s="9" t="s">
        <v>269</v>
      </c>
      <c r="L863" s="9" t="s">
        <v>270</v>
      </c>
      <c r="M863" s="14" t="s">
        <v>84</v>
      </c>
      <c r="N863" s="9" t="s">
        <v>271</v>
      </c>
      <c r="O863" s="9" t="s">
        <v>290</v>
      </c>
      <c r="P863" s="9" t="s">
        <v>294</v>
      </c>
      <c r="Q863" s="11"/>
      <c r="R863" s="11"/>
      <c r="S863" s="11"/>
      <c r="T863" s="9"/>
      <c r="U863" s="14" t="s">
        <v>77</v>
      </c>
      <c r="V863" s="9"/>
      <c r="W863" s="12">
        <v>30</v>
      </c>
      <c r="X863" s="13"/>
      <c r="Y863" s="13"/>
      <c r="Z863" s="13"/>
      <c r="AA863" s="13"/>
      <c r="AB863" s="13"/>
      <c r="AC863" s="13">
        <f t="shared" si="125"/>
        <v>0</v>
      </c>
      <c r="AD863" s="13"/>
      <c r="AE863" s="13"/>
      <c r="AF863" s="13">
        <f t="shared" si="126"/>
        <v>0</v>
      </c>
      <c r="AG863" s="13"/>
      <c r="AH863" s="13"/>
      <c r="AI863" s="13"/>
      <c r="AJ863" s="13">
        <f t="shared" si="124"/>
        <v>0</v>
      </c>
      <c r="AK863" s="9"/>
      <c r="AL863" s="13"/>
      <c r="AM863" s="9"/>
      <c r="AN863" s="9"/>
      <c r="AO863" s="9"/>
      <c r="AP863" s="14"/>
    </row>
    <row r="864" spans="1:42" s="45" customFormat="1" ht="22" customHeight="1">
      <c r="A864" s="14" t="s">
        <v>21</v>
      </c>
      <c r="B864" s="8">
        <v>2024</v>
      </c>
      <c r="C864" s="8" t="s">
        <v>8</v>
      </c>
      <c r="D864" s="9" t="s">
        <v>185</v>
      </c>
      <c r="E864" s="9" t="s">
        <v>10</v>
      </c>
      <c r="F864" s="9" t="s">
        <v>186</v>
      </c>
      <c r="G864" s="8"/>
      <c r="H864" s="8"/>
      <c r="I864" s="9" t="s">
        <v>116</v>
      </c>
      <c r="J864" s="9" t="s">
        <v>116</v>
      </c>
      <c r="K864" s="9" t="s">
        <v>269</v>
      </c>
      <c r="L864" s="9" t="s">
        <v>270</v>
      </c>
      <c r="M864" s="14" t="s">
        <v>84</v>
      </c>
      <c r="N864" s="9" t="s">
        <v>271</v>
      </c>
      <c r="O864" s="9" t="s">
        <v>290</v>
      </c>
      <c r="P864" s="9" t="s">
        <v>295</v>
      </c>
      <c r="Q864" s="11"/>
      <c r="R864" s="11"/>
      <c r="S864" s="11"/>
      <c r="T864" s="9"/>
      <c r="U864" s="14" t="s">
        <v>77</v>
      </c>
      <c r="V864" s="9"/>
      <c r="W864" s="12">
        <v>30</v>
      </c>
      <c r="X864" s="13"/>
      <c r="Y864" s="13"/>
      <c r="Z864" s="13"/>
      <c r="AA864" s="13"/>
      <c r="AB864" s="13"/>
      <c r="AC864" s="13">
        <f t="shared" si="125"/>
        <v>0</v>
      </c>
      <c r="AD864" s="13"/>
      <c r="AE864" s="13"/>
      <c r="AF864" s="13">
        <f t="shared" si="126"/>
        <v>0</v>
      </c>
      <c r="AG864" s="13"/>
      <c r="AH864" s="13"/>
      <c r="AI864" s="13"/>
      <c r="AJ864" s="13">
        <f t="shared" si="124"/>
        <v>0</v>
      </c>
      <c r="AK864" s="9"/>
      <c r="AL864" s="13"/>
      <c r="AM864" s="9"/>
      <c r="AN864" s="9"/>
      <c r="AO864" s="9"/>
      <c r="AP864" s="14"/>
    </row>
    <row r="865" spans="1:42" s="45" customFormat="1" ht="22" customHeight="1">
      <c r="A865" s="14" t="s">
        <v>21</v>
      </c>
      <c r="B865" s="8">
        <v>2024</v>
      </c>
      <c r="C865" s="8" t="s">
        <v>8</v>
      </c>
      <c r="D865" s="9" t="s">
        <v>185</v>
      </c>
      <c r="E865" s="9" t="s">
        <v>15</v>
      </c>
      <c r="F865" s="9" t="s">
        <v>186</v>
      </c>
      <c r="G865" s="8"/>
      <c r="H865" s="8"/>
      <c r="I865" s="9" t="s">
        <v>116</v>
      </c>
      <c r="J865" s="9" t="s">
        <v>116</v>
      </c>
      <c r="K865" s="9" t="s">
        <v>269</v>
      </c>
      <c r="L865" s="9" t="s">
        <v>270</v>
      </c>
      <c r="M865" s="14" t="s">
        <v>84</v>
      </c>
      <c r="N865" s="9" t="s">
        <v>271</v>
      </c>
      <c r="O865" s="9" t="s">
        <v>272</v>
      </c>
      <c r="P865" s="9" t="s">
        <v>273</v>
      </c>
      <c r="Q865" s="11"/>
      <c r="R865" s="9"/>
      <c r="S865" s="11">
        <f>Q865+R865</f>
        <v>0</v>
      </c>
      <c r="T865" s="9"/>
      <c r="U865" s="14" t="s">
        <v>77</v>
      </c>
      <c r="V865" s="9"/>
      <c r="W865" s="12">
        <v>30</v>
      </c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>
        <f t="shared" ref="AH865:AH886" si="127">+S865*W865*50/1000000</f>
        <v>0</v>
      </c>
      <c r="AI865" s="13"/>
      <c r="AJ865" s="13">
        <f t="shared" si="124"/>
        <v>0</v>
      </c>
      <c r="AK865" s="9"/>
      <c r="AL865" s="13"/>
      <c r="AM865" s="9"/>
      <c r="AN865" s="9"/>
      <c r="AO865" s="9"/>
      <c r="AP865" s="14"/>
    </row>
    <row r="866" spans="1:42" s="45" customFormat="1" ht="22" customHeight="1">
      <c r="A866" s="14" t="s">
        <v>21</v>
      </c>
      <c r="B866" s="8">
        <v>2024</v>
      </c>
      <c r="C866" s="8" t="s">
        <v>8</v>
      </c>
      <c r="D866" s="9" t="s">
        <v>185</v>
      </c>
      <c r="E866" s="9" t="s">
        <v>15</v>
      </c>
      <c r="F866" s="9" t="s">
        <v>186</v>
      </c>
      <c r="G866" s="8"/>
      <c r="H866" s="8"/>
      <c r="I866" s="9" t="s">
        <v>116</v>
      </c>
      <c r="J866" s="9" t="s">
        <v>116</v>
      </c>
      <c r="K866" s="9" t="s">
        <v>269</v>
      </c>
      <c r="L866" s="9" t="s">
        <v>270</v>
      </c>
      <c r="M866" s="14" t="s">
        <v>84</v>
      </c>
      <c r="N866" s="9" t="s">
        <v>271</v>
      </c>
      <c r="O866" s="9" t="s">
        <v>272</v>
      </c>
      <c r="P866" s="9" t="s">
        <v>274</v>
      </c>
      <c r="Q866" s="11"/>
      <c r="R866" s="9"/>
      <c r="S866" s="11">
        <f t="shared" ref="S866:S886" si="128">Q866+R866</f>
        <v>0</v>
      </c>
      <c r="T866" s="9"/>
      <c r="U866" s="14" t="s">
        <v>77</v>
      </c>
      <c r="V866" s="9"/>
      <c r="W866" s="12">
        <v>30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>
        <f t="shared" si="127"/>
        <v>0</v>
      </c>
      <c r="AI866" s="13"/>
      <c r="AJ866" s="13">
        <f t="shared" si="124"/>
        <v>0</v>
      </c>
      <c r="AK866" s="9"/>
      <c r="AL866" s="13"/>
      <c r="AM866" s="9"/>
      <c r="AN866" s="9"/>
      <c r="AO866" s="9"/>
      <c r="AP866" s="14"/>
    </row>
    <row r="867" spans="1:42" s="45" customFormat="1" ht="22" customHeight="1">
      <c r="A867" s="14" t="s">
        <v>21</v>
      </c>
      <c r="B867" s="8">
        <v>2024</v>
      </c>
      <c r="C867" s="8" t="s">
        <v>8</v>
      </c>
      <c r="D867" s="9" t="s">
        <v>185</v>
      </c>
      <c r="E867" s="9" t="s">
        <v>15</v>
      </c>
      <c r="F867" s="9" t="s">
        <v>186</v>
      </c>
      <c r="G867" s="8"/>
      <c r="H867" s="8"/>
      <c r="I867" s="9" t="s">
        <v>116</v>
      </c>
      <c r="J867" s="9" t="s">
        <v>116</v>
      </c>
      <c r="K867" s="9" t="s">
        <v>269</v>
      </c>
      <c r="L867" s="9" t="s">
        <v>270</v>
      </c>
      <c r="M867" s="14" t="s">
        <v>84</v>
      </c>
      <c r="N867" s="9" t="s">
        <v>271</v>
      </c>
      <c r="O867" s="9" t="s">
        <v>272</v>
      </c>
      <c r="P867" s="9" t="s">
        <v>275</v>
      </c>
      <c r="Q867" s="11"/>
      <c r="R867" s="9"/>
      <c r="S867" s="11">
        <f t="shared" si="128"/>
        <v>0</v>
      </c>
      <c r="T867" s="9"/>
      <c r="U867" s="14" t="s">
        <v>77</v>
      </c>
      <c r="V867" s="9"/>
      <c r="W867" s="12">
        <v>30</v>
      </c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>
        <f t="shared" si="127"/>
        <v>0</v>
      </c>
      <c r="AI867" s="13"/>
      <c r="AJ867" s="13">
        <f t="shared" si="124"/>
        <v>0</v>
      </c>
      <c r="AK867" s="9"/>
      <c r="AL867" s="13"/>
      <c r="AM867" s="9"/>
      <c r="AN867" s="9"/>
      <c r="AO867" s="9"/>
      <c r="AP867" s="14"/>
    </row>
    <row r="868" spans="1:42" s="45" customFormat="1" ht="22" customHeight="1">
      <c r="A868" s="14" t="s">
        <v>21</v>
      </c>
      <c r="B868" s="8">
        <v>2024</v>
      </c>
      <c r="C868" s="8" t="s">
        <v>8</v>
      </c>
      <c r="D868" s="9" t="s">
        <v>185</v>
      </c>
      <c r="E868" s="9" t="s">
        <v>15</v>
      </c>
      <c r="F868" s="9" t="s">
        <v>186</v>
      </c>
      <c r="G868" s="8"/>
      <c r="H868" s="8"/>
      <c r="I868" s="9" t="s">
        <v>116</v>
      </c>
      <c r="J868" s="9" t="s">
        <v>116</v>
      </c>
      <c r="K868" s="9" t="s">
        <v>269</v>
      </c>
      <c r="L868" s="9" t="s">
        <v>270</v>
      </c>
      <c r="M868" s="14" t="s">
        <v>84</v>
      </c>
      <c r="N868" s="9" t="s">
        <v>271</v>
      </c>
      <c r="O868" s="9" t="s">
        <v>272</v>
      </c>
      <c r="P868" s="9" t="s">
        <v>276</v>
      </c>
      <c r="Q868" s="11"/>
      <c r="R868" s="9"/>
      <c r="S868" s="11">
        <f t="shared" si="128"/>
        <v>0</v>
      </c>
      <c r="T868" s="9"/>
      <c r="U868" s="14" t="s">
        <v>77</v>
      </c>
      <c r="V868" s="9"/>
      <c r="W868" s="12">
        <v>30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>
        <f t="shared" si="127"/>
        <v>0</v>
      </c>
      <c r="AI868" s="13"/>
      <c r="AJ868" s="13">
        <f t="shared" si="124"/>
        <v>0</v>
      </c>
      <c r="AK868" s="9"/>
      <c r="AL868" s="13"/>
      <c r="AM868" s="9"/>
      <c r="AN868" s="9"/>
      <c r="AO868" s="9"/>
      <c r="AP868" s="14"/>
    </row>
    <row r="869" spans="1:42" s="45" customFormat="1" ht="22" customHeight="1">
      <c r="A869" s="14" t="s">
        <v>21</v>
      </c>
      <c r="B869" s="8">
        <v>2024</v>
      </c>
      <c r="C869" s="8" t="s">
        <v>8</v>
      </c>
      <c r="D869" s="9" t="s">
        <v>185</v>
      </c>
      <c r="E869" s="9" t="s">
        <v>15</v>
      </c>
      <c r="F869" s="9" t="s">
        <v>186</v>
      </c>
      <c r="G869" s="8"/>
      <c r="H869" s="8"/>
      <c r="I869" s="9" t="s">
        <v>116</v>
      </c>
      <c r="J869" s="9" t="s">
        <v>116</v>
      </c>
      <c r="K869" s="9" t="s">
        <v>269</v>
      </c>
      <c r="L869" s="9" t="s">
        <v>270</v>
      </c>
      <c r="M869" s="14" t="s">
        <v>84</v>
      </c>
      <c r="N869" s="9" t="s">
        <v>271</v>
      </c>
      <c r="O869" s="9" t="s">
        <v>272</v>
      </c>
      <c r="P869" s="9" t="s">
        <v>277</v>
      </c>
      <c r="Q869" s="11"/>
      <c r="R869" s="9"/>
      <c r="S869" s="11">
        <f t="shared" si="128"/>
        <v>0</v>
      </c>
      <c r="T869" s="9"/>
      <c r="U869" s="14" t="s">
        <v>77</v>
      </c>
      <c r="V869" s="9"/>
      <c r="W869" s="12">
        <v>30</v>
      </c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>
        <f t="shared" si="127"/>
        <v>0</v>
      </c>
      <c r="AI869" s="13"/>
      <c r="AJ869" s="13">
        <f t="shared" si="124"/>
        <v>0</v>
      </c>
      <c r="AK869" s="9"/>
      <c r="AL869" s="13"/>
      <c r="AM869" s="9"/>
      <c r="AN869" s="9"/>
      <c r="AO869" s="9"/>
      <c r="AP869" s="14"/>
    </row>
    <row r="870" spans="1:42" s="45" customFormat="1" ht="22" customHeight="1">
      <c r="A870" s="14" t="s">
        <v>21</v>
      </c>
      <c r="B870" s="8">
        <v>2024</v>
      </c>
      <c r="C870" s="8" t="s">
        <v>8</v>
      </c>
      <c r="D870" s="9" t="s">
        <v>185</v>
      </c>
      <c r="E870" s="9" t="s">
        <v>15</v>
      </c>
      <c r="F870" s="9" t="s">
        <v>186</v>
      </c>
      <c r="G870" s="8"/>
      <c r="H870" s="8"/>
      <c r="I870" s="9" t="s">
        <v>116</v>
      </c>
      <c r="J870" s="9" t="s">
        <v>116</v>
      </c>
      <c r="K870" s="9" t="s">
        <v>269</v>
      </c>
      <c r="L870" s="9" t="s">
        <v>270</v>
      </c>
      <c r="M870" s="14" t="s">
        <v>84</v>
      </c>
      <c r="N870" s="9" t="s">
        <v>271</v>
      </c>
      <c r="O870" s="9" t="s">
        <v>272</v>
      </c>
      <c r="P870" s="9" t="s">
        <v>278</v>
      </c>
      <c r="Q870" s="11"/>
      <c r="R870" s="9"/>
      <c r="S870" s="11">
        <f t="shared" si="128"/>
        <v>0</v>
      </c>
      <c r="T870" s="9"/>
      <c r="U870" s="14" t="s">
        <v>77</v>
      </c>
      <c r="V870" s="9"/>
      <c r="W870" s="12">
        <v>30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>
        <f t="shared" si="127"/>
        <v>0</v>
      </c>
      <c r="AI870" s="13"/>
      <c r="AJ870" s="13">
        <f t="shared" si="124"/>
        <v>0</v>
      </c>
      <c r="AK870" s="9"/>
      <c r="AL870" s="13"/>
      <c r="AM870" s="9"/>
      <c r="AN870" s="9"/>
      <c r="AO870" s="9"/>
      <c r="AP870" s="14"/>
    </row>
    <row r="871" spans="1:42" s="45" customFormat="1" ht="22" customHeight="1">
      <c r="A871" s="14" t="s">
        <v>21</v>
      </c>
      <c r="B871" s="8">
        <v>2024</v>
      </c>
      <c r="C871" s="8" t="s">
        <v>8</v>
      </c>
      <c r="D871" s="9" t="s">
        <v>185</v>
      </c>
      <c r="E871" s="9" t="s">
        <v>15</v>
      </c>
      <c r="F871" s="9" t="s">
        <v>186</v>
      </c>
      <c r="G871" s="8"/>
      <c r="H871" s="8"/>
      <c r="I871" s="9" t="s">
        <v>116</v>
      </c>
      <c r="J871" s="9" t="s">
        <v>116</v>
      </c>
      <c r="K871" s="9" t="s">
        <v>269</v>
      </c>
      <c r="L871" s="9" t="s">
        <v>270</v>
      </c>
      <c r="M871" s="14" t="s">
        <v>84</v>
      </c>
      <c r="N871" s="9" t="s">
        <v>271</v>
      </c>
      <c r="O871" s="9" t="s">
        <v>272</v>
      </c>
      <c r="P871" s="9" t="s">
        <v>279</v>
      </c>
      <c r="Q871" s="11"/>
      <c r="R871" s="9"/>
      <c r="S871" s="11">
        <f t="shared" si="128"/>
        <v>0</v>
      </c>
      <c r="T871" s="9"/>
      <c r="U871" s="14" t="s">
        <v>77</v>
      </c>
      <c r="V871" s="9"/>
      <c r="W871" s="12">
        <v>30</v>
      </c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>
        <f t="shared" si="127"/>
        <v>0</v>
      </c>
      <c r="AI871" s="13"/>
      <c r="AJ871" s="13">
        <f t="shared" si="124"/>
        <v>0</v>
      </c>
      <c r="AK871" s="9"/>
      <c r="AL871" s="13"/>
      <c r="AM871" s="9"/>
      <c r="AN871" s="9"/>
      <c r="AO871" s="9"/>
      <c r="AP871" s="14"/>
    </row>
    <row r="872" spans="1:42" s="45" customFormat="1" ht="22" customHeight="1">
      <c r="A872" s="14" t="s">
        <v>21</v>
      </c>
      <c r="B872" s="8">
        <v>2024</v>
      </c>
      <c r="C872" s="8" t="s">
        <v>8</v>
      </c>
      <c r="D872" s="9" t="s">
        <v>185</v>
      </c>
      <c r="E872" s="9" t="s">
        <v>15</v>
      </c>
      <c r="F872" s="9" t="s">
        <v>186</v>
      </c>
      <c r="G872" s="8"/>
      <c r="H872" s="8"/>
      <c r="I872" s="9" t="s">
        <v>116</v>
      </c>
      <c r="J872" s="9" t="s">
        <v>116</v>
      </c>
      <c r="K872" s="9" t="s">
        <v>269</v>
      </c>
      <c r="L872" s="9" t="s">
        <v>270</v>
      </c>
      <c r="M872" s="14" t="s">
        <v>84</v>
      </c>
      <c r="N872" s="9" t="s">
        <v>271</v>
      </c>
      <c r="O872" s="9" t="s">
        <v>272</v>
      </c>
      <c r="P872" s="9" t="s">
        <v>280</v>
      </c>
      <c r="Q872" s="11"/>
      <c r="R872" s="9"/>
      <c r="S872" s="11">
        <f t="shared" si="128"/>
        <v>0</v>
      </c>
      <c r="T872" s="9"/>
      <c r="U872" s="14" t="s">
        <v>77</v>
      </c>
      <c r="V872" s="9"/>
      <c r="W872" s="12">
        <v>30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>
        <f t="shared" si="127"/>
        <v>0</v>
      </c>
      <c r="AI872" s="13"/>
      <c r="AJ872" s="13">
        <f t="shared" si="124"/>
        <v>0</v>
      </c>
      <c r="AK872" s="9"/>
      <c r="AL872" s="13"/>
      <c r="AM872" s="9"/>
      <c r="AN872" s="9"/>
      <c r="AO872" s="9"/>
      <c r="AP872" s="14"/>
    </row>
    <row r="873" spans="1:42" s="45" customFormat="1" ht="22" customHeight="1">
      <c r="A873" s="14" t="s">
        <v>21</v>
      </c>
      <c r="B873" s="8">
        <v>2024</v>
      </c>
      <c r="C873" s="8" t="s">
        <v>8</v>
      </c>
      <c r="D873" s="9" t="s">
        <v>185</v>
      </c>
      <c r="E873" s="9" t="s">
        <v>15</v>
      </c>
      <c r="F873" s="9" t="s">
        <v>186</v>
      </c>
      <c r="G873" s="8"/>
      <c r="H873" s="8"/>
      <c r="I873" s="9" t="s">
        <v>116</v>
      </c>
      <c r="J873" s="9" t="s">
        <v>116</v>
      </c>
      <c r="K873" s="9" t="s">
        <v>269</v>
      </c>
      <c r="L873" s="9" t="s">
        <v>270</v>
      </c>
      <c r="M873" s="14" t="s">
        <v>84</v>
      </c>
      <c r="N873" s="9" t="s">
        <v>271</v>
      </c>
      <c r="O873" s="9" t="s">
        <v>272</v>
      </c>
      <c r="P873" s="9" t="s">
        <v>281</v>
      </c>
      <c r="Q873" s="11"/>
      <c r="R873" s="9"/>
      <c r="S873" s="11">
        <f t="shared" si="128"/>
        <v>0</v>
      </c>
      <c r="T873" s="9"/>
      <c r="U873" s="14" t="s">
        <v>77</v>
      </c>
      <c r="V873" s="9"/>
      <c r="W873" s="12">
        <v>30</v>
      </c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>
        <f t="shared" si="127"/>
        <v>0</v>
      </c>
      <c r="AI873" s="13"/>
      <c r="AJ873" s="13">
        <f t="shared" si="124"/>
        <v>0</v>
      </c>
      <c r="AK873" s="9"/>
      <c r="AL873" s="13"/>
      <c r="AM873" s="9"/>
      <c r="AN873" s="9"/>
      <c r="AO873" s="9"/>
      <c r="AP873" s="14"/>
    </row>
    <row r="874" spans="1:42" s="45" customFormat="1" ht="22" customHeight="1">
      <c r="A874" s="14" t="s">
        <v>21</v>
      </c>
      <c r="B874" s="8">
        <v>2024</v>
      </c>
      <c r="C874" s="8" t="s">
        <v>8</v>
      </c>
      <c r="D874" s="9" t="s">
        <v>185</v>
      </c>
      <c r="E874" s="9" t="s">
        <v>15</v>
      </c>
      <c r="F874" s="9" t="s">
        <v>186</v>
      </c>
      <c r="G874" s="8"/>
      <c r="H874" s="8"/>
      <c r="I874" s="9" t="s">
        <v>116</v>
      </c>
      <c r="J874" s="9" t="s">
        <v>116</v>
      </c>
      <c r="K874" s="9" t="s">
        <v>269</v>
      </c>
      <c r="L874" s="9" t="s">
        <v>270</v>
      </c>
      <c r="M874" s="14" t="s">
        <v>84</v>
      </c>
      <c r="N874" s="9" t="s">
        <v>271</v>
      </c>
      <c r="O874" s="9" t="s">
        <v>272</v>
      </c>
      <c r="P874" s="9" t="s">
        <v>282</v>
      </c>
      <c r="Q874" s="11"/>
      <c r="R874" s="9"/>
      <c r="S874" s="11">
        <f t="shared" si="128"/>
        <v>0</v>
      </c>
      <c r="T874" s="9"/>
      <c r="U874" s="14" t="s">
        <v>77</v>
      </c>
      <c r="V874" s="9"/>
      <c r="W874" s="12">
        <v>30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>
        <f t="shared" si="127"/>
        <v>0</v>
      </c>
      <c r="AI874" s="13"/>
      <c r="AJ874" s="13">
        <f t="shared" si="124"/>
        <v>0</v>
      </c>
      <c r="AK874" s="9"/>
      <c r="AL874" s="13"/>
      <c r="AM874" s="9"/>
      <c r="AN874" s="9"/>
      <c r="AO874" s="9"/>
      <c r="AP874" s="14"/>
    </row>
    <row r="875" spans="1:42" s="45" customFormat="1" ht="22" customHeight="1">
      <c r="A875" s="14" t="s">
        <v>21</v>
      </c>
      <c r="B875" s="8">
        <v>2024</v>
      </c>
      <c r="C875" s="8" t="s">
        <v>8</v>
      </c>
      <c r="D875" s="9" t="s">
        <v>185</v>
      </c>
      <c r="E875" s="9" t="s">
        <v>15</v>
      </c>
      <c r="F875" s="9" t="s">
        <v>186</v>
      </c>
      <c r="G875" s="8"/>
      <c r="H875" s="8"/>
      <c r="I875" s="9" t="s">
        <v>116</v>
      </c>
      <c r="J875" s="9" t="s">
        <v>116</v>
      </c>
      <c r="K875" s="9" t="s">
        <v>269</v>
      </c>
      <c r="L875" s="9" t="s">
        <v>270</v>
      </c>
      <c r="M875" s="14" t="s">
        <v>84</v>
      </c>
      <c r="N875" s="9" t="s">
        <v>271</v>
      </c>
      <c r="O875" s="9" t="s">
        <v>272</v>
      </c>
      <c r="P875" s="9" t="s">
        <v>283</v>
      </c>
      <c r="Q875" s="11"/>
      <c r="R875" s="9"/>
      <c r="S875" s="11">
        <f t="shared" si="128"/>
        <v>0</v>
      </c>
      <c r="T875" s="9"/>
      <c r="U875" s="14" t="s">
        <v>77</v>
      </c>
      <c r="V875" s="9"/>
      <c r="W875" s="12">
        <v>30</v>
      </c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>
        <f t="shared" si="127"/>
        <v>0</v>
      </c>
      <c r="AI875" s="13"/>
      <c r="AJ875" s="13">
        <f t="shared" si="124"/>
        <v>0</v>
      </c>
      <c r="AK875" s="9"/>
      <c r="AL875" s="13"/>
      <c r="AM875" s="9"/>
      <c r="AN875" s="9"/>
      <c r="AO875" s="9"/>
      <c r="AP875" s="14"/>
    </row>
    <row r="876" spans="1:42" s="45" customFormat="1" ht="22" customHeight="1">
      <c r="A876" s="14" t="s">
        <v>21</v>
      </c>
      <c r="B876" s="8">
        <v>2024</v>
      </c>
      <c r="C876" s="8" t="s">
        <v>8</v>
      </c>
      <c r="D876" s="9" t="s">
        <v>185</v>
      </c>
      <c r="E876" s="9" t="s">
        <v>15</v>
      </c>
      <c r="F876" s="9" t="s">
        <v>186</v>
      </c>
      <c r="G876" s="8"/>
      <c r="H876" s="8"/>
      <c r="I876" s="9" t="s">
        <v>116</v>
      </c>
      <c r="J876" s="9" t="s">
        <v>116</v>
      </c>
      <c r="K876" s="9" t="s">
        <v>269</v>
      </c>
      <c r="L876" s="9" t="s">
        <v>270</v>
      </c>
      <c r="M876" s="14" t="s">
        <v>84</v>
      </c>
      <c r="N876" s="9" t="s">
        <v>271</v>
      </c>
      <c r="O876" s="9" t="s">
        <v>272</v>
      </c>
      <c r="P876" s="9" t="s">
        <v>284</v>
      </c>
      <c r="Q876" s="11"/>
      <c r="R876" s="9"/>
      <c r="S876" s="11">
        <f t="shared" si="128"/>
        <v>0</v>
      </c>
      <c r="T876" s="9"/>
      <c r="U876" s="14" t="s">
        <v>77</v>
      </c>
      <c r="V876" s="9"/>
      <c r="W876" s="12">
        <v>30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>
        <f t="shared" si="127"/>
        <v>0</v>
      </c>
      <c r="AI876" s="13"/>
      <c r="AJ876" s="13">
        <f t="shared" si="124"/>
        <v>0</v>
      </c>
      <c r="AK876" s="9"/>
      <c r="AL876" s="13"/>
      <c r="AM876" s="9"/>
      <c r="AN876" s="9"/>
      <c r="AO876" s="9"/>
      <c r="AP876" s="14"/>
    </row>
    <row r="877" spans="1:42" s="45" customFormat="1" ht="22" customHeight="1">
      <c r="A877" s="14" t="s">
        <v>21</v>
      </c>
      <c r="B877" s="8">
        <v>2024</v>
      </c>
      <c r="C877" s="8" t="s">
        <v>8</v>
      </c>
      <c r="D877" s="9" t="s">
        <v>185</v>
      </c>
      <c r="E877" s="9" t="s">
        <v>15</v>
      </c>
      <c r="F877" s="9" t="s">
        <v>186</v>
      </c>
      <c r="G877" s="8"/>
      <c r="H877" s="8"/>
      <c r="I877" s="9" t="s">
        <v>116</v>
      </c>
      <c r="J877" s="9" t="s">
        <v>116</v>
      </c>
      <c r="K877" s="9" t="s">
        <v>269</v>
      </c>
      <c r="L877" s="9" t="s">
        <v>270</v>
      </c>
      <c r="M877" s="14" t="s">
        <v>84</v>
      </c>
      <c r="N877" s="9" t="s">
        <v>271</v>
      </c>
      <c r="O877" s="9" t="s">
        <v>272</v>
      </c>
      <c r="P877" s="9" t="s">
        <v>285</v>
      </c>
      <c r="Q877" s="11"/>
      <c r="R877" s="9"/>
      <c r="S877" s="11">
        <f t="shared" si="128"/>
        <v>0</v>
      </c>
      <c r="T877" s="9"/>
      <c r="U877" s="14" t="s">
        <v>77</v>
      </c>
      <c r="V877" s="9"/>
      <c r="W877" s="12">
        <v>30</v>
      </c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>
        <f t="shared" si="127"/>
        <v>0</v>
      </c>
      <c r="AI877" s="13"/>
      <c r="AJ877" s="13">
        <f t="shared" si="124"/>
        <v>0</v>
      </c>
      <c r="AK877" s="9"/>
      <c r="AL877" s="13"/>
      <c r="AM877" s="9"/>
      <c r="AN877" s="9"/>
      <c r="AO877" s="9"/>
      <c r="AP877" s="14"/>
    </row>
    <row r="878" spans="1:42" s="45" customFormat="1" ht="22" customHeight="1">
      <c r="A878" s="14" t="s">
        <v>21</v>
      </c>
      <c r="B878" s="8">
        <v>2024</v>
      </c>
      <c r="C878" s="8" t="s">
        <v>8</v>
      </c>
      <c r="D878" s="9" t="s">
        <v>185</v>
      </c>
      <c r="E878" s="9" t="s">
        <v>15</v>
      </c>
      <c r="F878" s="9" t="s">
        <v>186</v>
      </c>
      <c r="G878" s="8"/>
      <c r="H878" s="8"/>
      <c r="I878" s="9" t="s">
        <v>116</v>
      </c>
      <c r="J878" s="9" t="s">
        <v>116</v>
      </c>
      <c r="K878" s="9" t="s">
        <v>269</v>
      </c>
      <c r="L878" s="9" t="s">
        <v>270</v>
      </c>
      <c r="M878" s="14" t="s">
        <v>84</v>
      </c>
      <c r="N878" s="9" t="s">
        <v>271</v>
      </c>
      <c r="O878" s="9" t="s">
        <v>272</v>
      </c>
      <c r="P878" s="9" t="s">
        <v>286</v>
      </c>
      <c r="Q878" s="11"/>
      <c r="R878" s="9"/>
      <c r="S878" s="11">
        <f t="shared" si="128"/>
        <v>0</v>
      </c>
      <c r="T878" s="9"/>
      <c r="U878" s="14" t="s">
        <v>77</v>
      </c>
      <c r="V878" s="9"/>
      <c r="W878" s="12">
        <v>30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>
        <f t="shared" si="127"/>
        <v>0</v>
      </c>
      <c r="AI878" s="13"/>
      <c r="AJ878" s="13">
        <f t="shared" si="124"/>
        <v>0</v>
      </c>
      <c r="AK878" s="9"/>
      <c r="AL878" s="13"/>
      <c r="AM878" s="9"/>
      <c r="AN878" s="9"/>
      <c r="AO878" s="9"/>
      <c r="AP878" s="14"/>
    </row>
    <row r="879" spans="1:42" s="45" customFormat="1" ht="22" customHeight="1">
      <c r="A879" s="14" t="s">
        <v>21</v>
      </c>
      <c r="B879" s="8">
        <v>2024</v>
      </c>
      <c r="C879" s="8" t="s">
        <v>8</v>
      </c>
      <c r="D879" s="9" t="s">
        <v>185</v>
      </c>
      <c r="E879" s="9" t="s">
        <v>15</v>
      </c>
      <c r="F879" s="9" t="s">
        <v>186</v>
      </c>
      <c r="G879" s="8"/>
      <c r="H879" s="8"/>
      <c r="I879" s="9" t="s">
        <v>116</v>
      </c>
      <c r="J879" s="9" t="s">
        <v>116</v>
      </c>
      <c r="K879" s="9" t="s">
        <v>269</v>
      </c>
      <c r="L879" s="9" t="s">
        <v>270</v>
      </c>
      <c r="M879" s="14" t="s">
        <v>84</v>
      </c>
      <c r="N879" s="9" t="s">
        <v>271</v>
      </c>
      <c r="O879" s="9" t="s">
        <v>272</v>
      </c>
      <c r="P879" s="9" t="s">
        <v>287</v>
      </c>
      <c r="Q879" s="11"/>
      <c r="R879" s="9"/>
      <c r="S879" s="11">
        <f t="shared" si="128"/>
        <v>0</v>
      </c>
      <c r="T879" s="9"/>
      <c r="U879" s="14" t="s">
        <v>77</v>
      </c>
      <c r="V879" s="9"/>
      <c r="W879" s="12">
        <v>30</v>
      </c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>
        <f t="shared" si="127"/>
        <v>0</v>
      </c>
      <c r="AI879" s="13"/>
      <c r="AJ879" s="13">
        <f t="shared" si="124"/>
        <v>0</v>
      </c>
      <c r="AK879" s="9"/>
      <c r="AL879" s="13"/>
      <c r="AM879" s="9"/>
      <c r="AN879" s="9"/>
      <c r="AO879" s="9"/>
      <c r="AP879" s="14"/>
    </row>
    <row r="880" spans="1:42" s="45" customFormat="1" ht="22" customHeight="1">
      <c r="A880" s="14" t="s">
        <v>21</v>
      </c>
      <c r="B880" s="8">
        <v>2024</v>
      </c>
      <c r="C880" s="8" t="s">
        <v>8</v>
      </c>
      <c r="D880" s="9" t="s">
        <v>185</v>
      </c>
      <c r="E880" s="9" t="s">
        <v>15</v>
      </c>
      <c r="F880" s="9" t="s">
        <v>186</v>
      </c>
      <c r="G880" s="8"/>
      <c r="H880" s="8"/>
      <c r="I880" s="9" t="s">
        <v>116</v>
      </c>
      <c r="J880" s="9" t="s">
        <v>116</v>
      </c>
      <c r="K880" s="9" t="s">
        <v>269</v>
      </c>
      <c r="L880" s="9" t="s">
        <v>270</v>
      </c>
      <c r="M880" s="14" t="s">
        <v>84</v>
      </c>
      <c r="N880" s="9" t="s">
        <v>271</v>
      </c>
      <c r="O880" s="9" t="s">
        <v>272</v>
      </c>
      <c r="P880" s="9" t="s">
        <v>288</v>
      </c>
      <c r="Q880" s="11"/>
      <c r="R880" s="9"/>
      <c r="S880" s="11">
        <f t="shared" si="128"/>
        <v>0</v>
      </c>
      <c r="T880" s="9"/>
      <c r="U880" s="14" t="s">
        <v>77</v>
      </c>
      <c r="V880" s="9"/>
      <c r="W880" s="12">
        <v>30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>
        <f t="shared" si="127"/>
        <v>0</v>
      </c>
      <c r="AI880" s="13"/>
      <c r="AJ880" s="13">
        <f t="shared" si="124"/>
        <v>0</v>
      </c>
      <c r="AK880" s="9"/>
      <c r="AL880" s="13"/>
      <c r="AM880" s="9"/>
      <c r="AN880" s="9"/>
      <c r="AO880" s="9"/>
      <c r="AP880" s="14"/>
    </row>
    <row r="881" spans="1:42" s="45" customFormat="1" ht="22" customHeight="1">
      <c r="A881" s="14" t="s">
        <v>21</v>
      </c>
      <c r="B881" s="8">
        <v>2024</v>
      </c>
      <c r="C881" s="8" t="s">
        <v>8</v>
      </c>
      <c r="D881" s="9" t="s">
        <v>185</v>
      </c>
      <c r="E881" s="9" t="s">
        <v>15</v>
      </c>
      <c r="F881" s="9" t="s">
        <v>186</v>
      </c>
      <c r="G881" s="8"/>
      <c r="H881" s="8"/>
      <c r="I881" s="9" t="s">
        <v>116</v>
      </c>
      <c r="J881" s="9" t="s">
        <v>116</v>
      </c>
      <c r="K881" s="9" t="s">
        <v>269</v>
      </c>
      <c r="L881" s="9" t="s">
        <v>270</v>
      </c>
      <c r="M881" s="14" t="s">
        <v>84</v>
      </c>
      <c r="N881" s="9" t="s">
        <v>271</v>
      </c>
      <c r="O881" s="9" t="s">
        <v>272</v>
      </c>
      <c r="P881" s="9" t="s">
        <v>289</v>
      </c>
      <c r="Q881" s="11"/>
      <c r="R881" s="9"/>
      <c r="S881" s="11">
        <f t="shared" si="128"/>
        <v>0</v>
      </c>
      <c r="T881" s="9"/>
      <c r="U881" s="14" t="s">
        <v>77</v>
      </c>
      <c r="V881" s="9"/>
      <c r="W881" s="12">
        <v>30</v>
      </c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>
        <f t="shared" si="127"/>
        <v>0</v>
      </c>
      <c r="AI881" s="13"/>
      <c r="AJ881" s="13">
        <f t="shared" si="124"/>
        <v>0</v>
      </c>
      <c r="AK881" s="9"/>
      <c r="AL881" s="13"/>
      <c r="AM881" s="9"/>
      <c r="AN881" s="9"/>
      <c r="AO881" s="9"/>
      <c r="AP881" s="14"/>
    </row>
    <row r="882" spans="1:42" s="45" customFormat="1" ht="22" customHeight="1">
      <c r="A882" s="14" t="s">
        <v>21</v>
      </c>
      <c r="B882" s="8">
        <v>2024</v>
      </c>
      <c r="C882" s="8" t="s">
        <v>8</v>
      </c>
      <c r="D882" s="9" t="s">
        <v>185</v>
      </c>
      <c r="E882" s="9" t="s">
        <v>15</v>
      </c>
      <c r="F882" s="9" t="s">
        <v>186</v>
      </c>
      <c r="G882" s="8"/>
      <c r="H882" s="8"/>
      <c r="I882" s="9" t="s">
        <v>116</v>
      </c>
      <c r="J882" s="9" t="s">
        <v>116</v>
      </c>
      <c r="K882" s="9" t="s">
        <v>269</v>
      </c>
      <c r="L882" s="9" t="s">
        <v>270</v>
      </c>
      <c r="M882" s="14" t="s">
        <v>84</v>
      </c>
      <c r="N882" s="9" t="s">
        <v>271</v>
      </c>
      <c r="O882" s="9" t="s">
        <v>290</v>
      </c>
      <c r="P882" s="9" t="s">
        <v>291</v>
      </c>
      <c r="Q882" s="11"/>
      <c r="R882" s="9"/>
      <c r="S882" s="11">
        <f t="shared" si="128"/>
        <v>0</v>
      </c>
      <c r="T882" s="9"/>
      <c r="U882" s="14" t="s">
        <v>77</v>
      </c>
      <c r="V882" s="9"/>
      <c r="W882" s="12">
        <v>30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>
        <f t="shared" si="127"/>
        <v>0</v>
      </c>
      <c r="AI882" s="13"/>
      <c r="AJ882" s="13">
        <f t="shared" si="124"/>
        <v>0</v>
      </c>
      <c r="AK882" s="9"/>
      <c r="AL882" s="13"/>
      <c r="AM882" s="9"/>
      <c r="AN882" s="9"/>
      <c r="AO882" s="9"/>
      <c r="AP882" s="14"/>
    </row>
    <row r="883" spans="1:42" s="45" customFormat="1" ht="22" customHeight="1">
      <c r="A883" s="14" t="s">
        <v>21</v>
      </c>
      <c r="B883" s="8">
        <v>2024</v>
      </c>
      <c r="C883" s="8" t="s">
        <v>8</v>
      </c>
      <c r="D883" s="9" t="s">
        <v>185</v>
      </c>
      <c r="E883" s="9" t="s">
        <v>15</v>
      </c>
      <c r="F883" s="9" t="s">
        <v>186</v>
      </c>
      <c r="G883" s="8"/>
      <c r="H883" s="8"/>
      <c r="I883" s="9" t="s">
        <v>116</v>
      </c>
      <c r="J883" s="9" t="s">
        <v>116</v>
      </c>
      <c r="K883" s="9" t="s">
        <v>269</v>
      </c>
      <c r="L883" s="9" t="s">
        <v>270</v>
      </c>
      <c r="M883" s="14" t="s">
        <v>84</v>
      </c>
      <c r="N883" s="9" t="s">
        <v>271</v>
      </c>
      <c r="O883" s="9" t="s">
        <v>290</v>
      </c>
      <c r="P883" s="9" t="s">
        <v>292</v>
      </c>
      <c r="Q883" s="11"/>
      <c r="R883" s="9"/>
      <c r="S883" s="11">
        <f t="shared" si="128"/>
        <v>0</v>
      </c>
      <c r="T883" s="9"/>
      <c r="U883" s="14" t="s">
        <v>77</v>
      </c>
      <c r="V883" s="9"/>
      <c r="W883" s="12">
        <v>30</v>
      </c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>
        <f t="shared" si="127"/>
        <v>0</v>
      </c>
      <c r="AI883" s="13"/>
      <c r="AJ883" s="13">
        <f t="shared" si="124"/>
        <v>0</v>
      </c>
      <c r="AK883" s="9"/>
      <c r="AL883" s="13"/>
      <c r="AM883" s="9"/>
      <c r="AN883" s="9"/>
      <c r="AO883" s="9"/>
      <c r="AP883" s="14"/>
    </row>
    <row r="884" spans="1:42" s="45" customFormat="1" ht="22" customHeight="1">
      <c r="A884" s="14" t="s">
        <v>21</v>
      </c>
      <c r="B884" s="8">
        <v>2024</v>
      </c>
      <c r="C884" s="8" t="s">
        <v>8</v>
      </c>
      <c r="D884" s="9" t="s">
        <v>185</v>
      </c>
      <c r="E884" s="9" t="s">
        <v>15</v>
      </c>
      <c r="F884" s="9" t="s">
        <v>186</v>
      </c>
      <c r="G884" s="8"/>
      <c r="H884" s="8"/>
      <c r="I884" s="9" t="s">
        <v>116</v>
      </c>
      <c r="J884" s="9" t="s">
        <v>116</v>
      </c>
      <c r="K884" s="9" t="s">
        <v>269</v>
      </c>
      <c r="L884" s="9" t="s">
        <v>270</v>
      </c>
      <c r="M884" s="14" t="s">
        <v>84</v>
      </c>
      <c r="N884" s="9" t="s">
        <v>271</v>
      </c>
      <c r="O884" s="9" t="s">
        <v>290</v>
      </c>
      <c r="P884" s="9" t="s">
        <v>293</v>
      </c>
      <c r="Q884" s="11"/>
      <c r="R884" s="9"/>
      <c r="S884" s="11">
        <f t="shared" si="128"/>
        <v>0</v>
      </c>
      <c r="T884" s="9"/>
      <c r="U884" s="14" t="s">
        <v>77</v>
      </c>
      <c r="V884" s="9"/>
      <c r="W884" s="12">
        <v>30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>
        <f t="shared" si="127"/>
        <v>0</v>
      </c>
      <c r="AI884" s="13"/>
      <c r="AJ884" s="13">
        <f t="shared" si="124"/>
        <v>0</v>
      </c>
      <c r="AK884" s="9"/>
      <c r="AL884" s="13"/>
      <c r="AM884" s="9"/>
      <c r="AN884" s="9"/>
      <c r="AO884" s="9"/>
      <c r="AP884" s="14"/>
    </row>
    <row r="885" spans="1:42" s="45" customFormat="1" ht="22" customHeight="1">
      <c r="A885" s="14" t="s">
        <v>21</v>
      </c>
      <c r="B885" s="8">
        <v>2024</v>
      </c>
      <c r="C885" s="8" t="s">
        <v>8</v>
      </c>
      <c r="D885" s="9" t="s">
        <v>185</v>
      </c>
      <c r="E885" s="9" t="s">
        <v>15</v>
      </c>
      <c r="F885" s="9" t="s">
        <v>186</v>
      </c>
      <c r="G885" s="8"/>
      <c r="H885" s="8"/>
      <c r="I885" s="9" t="s">
        <v>116</v>
      </c>
      <c r="J885" s="9" t="s">
        <v>116</v>
      </c>
      <c r="K885" s="9" t="s">
        <v>269</v>
      </c>
      <c r="L885" s="9" t="s">
        <v>270</v>
      </c>
      <c r="M885" s="14" t="s">
        <v>84</v>
      </c>
      <c r="N885" s="9" t="s">
        <v>271</v>
      </c>
      <c r="O885" s="9" t="s">
        <v>290</v>
      </c>
      <c r="P885" s="9" t="s">
        <v>294</v>
      </c>
      <c r="Q885" s="11"/>
      <c r="R885" s="9"/>
      <c r="S885" s="11">
        <f t="shared" si="128"/>
        <v>0</v>
      </c>
      <c r="T885" s="9"/>
      <c r="U885" s="14" t="s">
        <v>77</v>
      </c>
      <c r="V885" s="9"/>
      <c r="W885" s="12">
        <v>30</v>
      </c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>
        <f t="shared" si="127"/>
        <v>0</v>
      </c>
      <c r="AI885" s="13"/>
      <c r="AJ885" s="13">
        <f t="shared" si="124"/>
        <v>0</v>
      </c>
      <c r="AK885" s="9"/>
      <c r="AL885" s="13"/>
      <c r="AM885" s="9"/>
      <c r="AN885" s="9"/>
      <c r="AO885" s="9"/>
      <c r="AP885" s="14"/>
    </row>
    <row r="886" spans="1:42" s="45" customFormat="1" ht="22" customHeight="1">
      <c r="A886" s="14" t="s">
        <v>21</v>
      </c>
      <c r="B886" s="8">
        <v>2024</v>
      </c>
      <c r="C886" s="8" t="s">
        <v>8</v>
      </c>
      <c r="D886" s="9" t="s">
        <v>185</v>
      </c>
      <c r="E886" s="9" t="s">
        <v>15</v>
      </c>
      <c r="F886" s="9" t="s">
        <v>186</v>
      </c>
      <c r="G886" s="8"/>
      <c r="H886" s="8"/>
      <c r="I886" s="9" t="s">
        <v>116</v>
      </c>
      <c r="J886" s="9" t="s">
        <v>116</v>
      </c>
      <c r="K886" s="9" t="s">
        <v>269</v>
      </c>
      <c r="L886" s="9" t="s">
        <v>270</v>
      </c>
      <c r="M886" s="14" t="s">
        <v>84</v>
      </c>
      <c r="N886" s="9" t="s">
        <v>271</v>
      </c>
      <c r="O886" s="9" t="s">
        <v>290</v>
      </c>
      <c r="P886" s="9" t="s">
        <v>295</v>
      </c>
      <c r="Q886" s="11"/>
      <c r="R886" s="9"/>
      <c r="S886" s="11">
        <f t="shared" si="128"/>
        <v>0</v>
      </c>
      <c r="T886" s="9"/>
      <c r="U886" s="14" t="s">
        <v>77</v>
      </c>
      <c r="V886" s="9"/>
      <c r="W886" s="12">
        <v>30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>
        <f t="shared" si="127"/>
        <v>0</v>
      </c>
      <c r="AI886" s="13"/>
      <c r="AJ886" s="13">
        <f t="shared" si="124"/>
        <v>0</v>
      </c>
      <c r="AK886" s="9"/>
      <c r="AL886" s="13"/>
      <c r="AM886" s="9"/>
      <c r="AN886" s="9"/>
      <c r="AO886" s="9"/>
      <c r="AP886" s="14"/>
    </row>
    <row r="887" spans="1:42" s="45" customFormat="1" ht="22" customHeight="1">
      <c r="A887" s="14" t="s">
        <v>21</v>
      </c>
      <c r="B887" s="8">
        <v>2024</v>
      </c>
      <c r="C887" s="8" t="s">
        <v>8</v>
      </c>
      <c r="D887" s="9" t="s">
        <v>185</v>
      </c>
      <c r="E887" s="9" t="s">
        <v>10</v>
      </c>
      <c r="F887" s="9" t="s">
        <v>186</v>
      </c>
      <c r="G887" s="8"/>
      <c r="H887" s="8"/>
      <c r="I887" s="9" t="s">
        <v>116</v>
      </c>
      <c r="J887" s="9" t="s">
        <v>116</v>
      </c>
      <c r="K887" s="9" t="s">
        <v>269</v>
      </c>
      <c r="L887" s="9" t="s">
        <v>270</v>
      </c>
      <c r="M887" s="14" t="s">
        <v>84</v>
      </c>
      <c r="N887" s="9" t="s">
        <v>271</v>
      </c>
      <c r="O887" s="9" t="s">
        <v>296</v>
      </c>
      <c r="P887" s="9" t="s">
        <v>297</v>
      </c>
      <c r="Q887" s="11"/>
      <c r="R887" s="11"/>
      <c r="S887" s="11"/>
      <c r="T887" s="9"/>
      <c r="U887" s="14" t="s">
        <v>77</v>
      </c>
      <c r="V887" s="9"/>
      <c r="W887" s="12">
        <v>30</v>
      </c>
      <c r="X887" s="13"/>
      <c r="Y887" s="13"/>
      <c r="Z887" s="13"/>
      <c r="AA887" s="13"/>
      <c r="AB887" s="13"/>
      <c r="AC887" s="13">
        <f t="shared" ref="AC887:AC912" si="129">+S887*W887*20/1000000</f>
        <v>0</v>
      </c>
      <c r="AD887" s="13"/>
      <c r="AE887" s="13"/>
      <c r="AF887" s="13">
        <f t="shared" ref="AF887:AF912" si="130">+S887*W887*200/1000000</f>
        <v>0</v>
      </c>
      <c r="AG887" s="13"/>
      <c r="AH887" s="13"/>
      <c r="AI887" s="13"/>
      <c r="AJ887" s="13">
        <f t="shared" si="124"/>
        <v>0</v>
      </c>
      <c r="AK887" s="9"/>
      <c r="AL887" s="13"/>
      <c r="AM887" s="9"/>
      <c r="AN887" s="9"/>
      <c r="AO887" s="9"/>
      <c r="AP887" s="14"/>
    </row>
    <row r="888" spans="1:42" s="45" customFormat="1" ht="22" customHeight="1">
      <c r="A888" s="14" t="s">
        <v>21</v>
      </c>
      <c r="B888" s="8">
        <v>2024</v>
      </c>
      <c r="C888" s="8" t="s">
        <v>8</v>
      </c>
      <c r="D888" s="9" t="s">
        <v>185</v>
      </c>
      <c r="E888" s="9" t="s">
        <v>10</v>
      </c>
      <c r="F888" s="9" t="s">
        <v>186</v>
      </c>
      <c r="G888" s="8"/>
      <c r="H888" s="8"/>
      <c r="I888" s="9" t="s">
        <v>116</v>
      </c>
      <c r="J888" s="9" t="s">
        <v>116</v>
      </c>
      <c r="K888" s="9" t="s">
        <v>269</v>
      </c>
      <c r="L888" s="9" t="s">
        <v>270</v>
      </c>
      <c r="M888" s="14" t="s">
        <v>84</v>
      </c>
      <c r="N888" s="9" t="s">
        <v>271</v>
      </c>
      <c r="O888" s="9" t="s">
        <v>296</v>
      </c>
      <c r="P888" s="9" t="s">
        <v>298</v>
      </c>
      <c r="Q888" s="11"/>
      <c r="R888" s="11"/>
      <c r="S888" s="11"/>
      <c r="T888" s="9"/>
      <c r="U888" s="14" t="s">
        <v>77</v>
      </c>
      <c r="V888" s="9"/>
      <c r="W888" s="12">
        <v>30</v>
      </c>
      <c r="X888" s="13"/>
      <c r="Y888" s="13"/>
      <c r="Z888" s="13"/>
      <c r="AA888" s="13"/>
      <c r="AB888" s="13"/>
      <c r="AC888" s="13">
        <f t="shared" si="129"/>
        <v>0</v>
      </c>
      <c r="AD888" s="13"/>
      <c r="AE888" s="13"/>
      <c r="AF888" s="13">
        <f t="shared" si="130"/>
        <v>0</v>
      </c>
      <c r="AG888" s="13"/>
      <c r="AH888" s="13"/>
      <c r="AI888" s="13"/>
      <c r="AJ888" s="13">
        <f t="shared" si="124"/>
        <v>0</v>
      </c>
      <c r="AK888" s="9"/>
      <c r="AL888" s="13"/>
      <c r="AM888" s="9"/>
      <c r="AN888" s="9"/>
      <c r="AO888" s="9"/>
      <c r="AP888" s="14"/>
    </row>
    <row r="889" spans="1:42" s="45" customFormat="1" ht="22" customHeight="1">
      <c r="A889" s="14" t="s">
        <v>21</v>
      </c>
      <c r="B889" s="8">
        <v>2024</v>
      </c>
      <c r="C889" s="8" t="s">
        <v>8</v>
      </c>
      <c r="D889" s="9" t="s">
        <v>185</v>
      </c>
      <c r="E889" s="9" t="s">
        <v>10</v>
      </c>
      <c r="F889" s="9" t="s">
        <v>186</v>
      </c>
      <c r="G889" s="8"/>
      <c r="H889" s="8"/>
      <c r="I889" s="9" t="s">
        <v>116</v>
      </c>
      <c r="J889" s="9" t="s">
        <v>116</v>
      </c>
      <c r="K889" s="9" t="s">
        <v>269</v>
      </c>
      <c r="L889" s="9" t="s">
        <v>270</v>
      </c>
      <c r="M889" s="14" t="s">
        <v>84</v>
      </c>
      <c r="N889" s="9" t="s">
        <v>271</v>
      </c>
      <c r="O889" s="9" t="s">
        <v>296</v>
      </c>
      <c r="P889" s="9" t="s">
        <v>299</v>
      </c>
      <c r="Q889" s="11"/>
      <c r="R889" s="11"/>
      <c r="S889" s="11"/>
      <c r="T889" s="9"/>
      <c r="U889" s="14" t="s">
        <v>77</v>
      </c>
      <c r="V889" s="9"/>
      <c r="W889" s="12">
        <v>30</v>
      </c>
      <c r="X889" s="13"/>
      <c r="Y889" s="13"/>
      <c r="Z889" s="13"/>
      <c r="AA889" s="13"/>
      <c r="AB889" s="13"/>
      <c r="AC889" s="13">
        <f t="shared" si="129"/>
        <v>0</v>
      </c>
      <c r="AD889" s="13"/>
      <c r="AE889" s="13"/>
      <c r="AF889" s="13">
        <f t="shared" si="130"/>
        <v>0</v>
      </c>
      <c r="AG889" s="13"/>
      <c r="AH889" s="13"/>
      <c r="AI889" s="13"/>
      <c r="AJ889" s="13">
        <f t="shared" si="124"/>
        <v>0</v>
      </c>
      <c r="AK889" s="9"/>
      <c r="AL889" s="13"/>
      <c r="AM889" s="9"/>
      <c r="AN889" s="9"/>
      <c r="AO889" s="9"/>
      <c r="AP889" s="14"/>
    </row>
    <row r="890" spans="1:42" s="45" customFormat="1" ht="22" customHeight="1">
      <c r="A890" s="14" t="s">
        <v>21</v>
      </c>
      <c r="B890" s="8">
        <v>2024</v>
      </c>
      <c r="C890" s="8" t="s">
        <v>8</v>
      </c>
      <c r="D890" s="9" t="s">
        <v>185</v>
      </c>
      <c r="E890" s="9" t="s">
        <v>10</v>
      </c>
      <c r="F890" s="9" t="s">
        <v>186</v>
      </c>
      <c r="G890" s="8"/>
      <c r="H890" s="8"/>
      <c r="I890" s="9" t="s">
        <v>116</v>
      </c>
      <c r="J890" s="9" t="s">
        <v>116</v>
      </c>
      <c r="K890" s="9" t="s">
        <v>269</v>
      </c>
      <c r="L890" s="9" t="s">
        <v>270</v>
      </c>
      <c r="M890" s="14" t="s">
        <v>84</v>
      </c>
      <c r="N890" s="9" t="s">
        <v>271</v>
      </c>
      <c r="O890" s="9" t="s">
        <v>296</v>
      </c>
      <c r="P890" s="9" t="s">
        <v>300</v>
      </c>
      <c r="Q890" s="11"/>
      <c r="R890" s="11"/>
      <c r="S890" s="11"/>
      <c r="T890" s="9"/>
      <c r="U890" s="14" t="s">
        <v>77</v>
      </c>
      <c r="V890" s="9"/>
      <c r="W890" s="12">
        <v>30</v>
      </c>
      <c r="X890" s="13"/>
      <c r="Y890" s="13"/>
      <c r="Z890" s="13"/>
      <c r="AA890" s="13"/>
      <c r="AB890" s="13"/>
      <c r="AC890" s="13">
        <f t="shared" si="129"/>
        <v>0</v>
      </c>
      <c r="AD890" s="13"/>
      <c r="AE890" s="13"/>
      <c r="AF890" s="13">
        <f t="shared" si="130"/>
        <v>0</v>
      </c>
      <c r="AG890" s="13"/>
      <c r="AH890" s="13"/>
      <c r="AI890" s="13"/>
      <c r="AJ890" s="13">
        <f t="shared" si="124"/>
        <v>0</v>
      </c>
      <c r="AK890" s="9"/>
      <c r="AL890" s="13"/>
      <c r="AM890" s="9"/>
      <c r="AN890" s="9"/>
      <c r="AO890" s="9"/>
      <c r="AP890" s="14"/>
    </row>
    <row r="891" spans="1:42" s="45" customFormat="1" ht="22" customHeight="1">
      <c r="A891" s="14" t="s">
        <v>21</v>
      </c>
      <c r="B891" s="8">
        <v>2024</v>
      </c>
      <c r="C891" s="8" t="s">
        <v>8</v>
      </c>
      <c r="D891" s="9" t="s">
        <v>185</v>
      </c>
      <c r="E891" s="9" t="s">
        <v>10</v>
      </c>
      <c r="F891" s="9" t="s">
        <v>186</v>
      </c>
      <c r="G891" s="8"/>
      <c r="H891" s="8"/>
      <c r="I891" s="9" t="s">
        <v>116</v>
      </c>
      <c r="J891" s="9" t="s">
        <v>116</v>
      </c>
      <c r="K891" s="9" t="s">
        <v>269</v>
      </c>
      <c r="L891" s="9" t="s">
        <v>270</v>
      </c>
      <c r="M891" s="14" t="s">
        <v>84</v>
      </c>
      <c r="N891" s="9" t="s">
        <v>271</v>
      </c>
      <c r="O891" s="9" t="s">
        <v>296</v>
      </c>
      <c r="P891" s="9" t="s">
        <v>301</v>
      </c>
      <c r="Q891" s="11"/>
      <c r="R891" s="11"/>
      <c r="S891" s="11"/>
      <c r="T891" s="9"/>
      <c r="U891" s="14" t="s">
        <v>77</v>
      </c>
      <c r="V891" s="9"/>
      <c r="W891" s="12">
        <v>30</v>
      </c>
      <c r="X891" s="13"/>
      <c r="Y891" s="13"/>
      <c r="Z891" s="13"/>
      <c r="AA891" s="13"/>
      <c r="AB891" s="13"/>
      <c r="AC891" s="13">
        <f t="shared" si="129"/>
        <v>0</v>
      </c>
      <c r="AD891" s="13"/>
      <c r="AE891" s="13"/>
      <c r="AF891" s="13">
        <f t="shared" si="130"/>
        <v>0</v>
      </c>
      <c r="AG891" s="13"/>
      <c r="AH891" s="13"/>
      <c r="AI891" s="13"/>
      <c r="AJ891" s="13">
        <f t="shared" si="124"/>
        <v>0</v>
      </c>
      <c r="AK891" s="9"/>
      <c r="AL891" s="13"/>
      <c r="AM891" s="9"/>
      <c r="AN891" s="9"/>
      <c r="AO891" s="9"/>
      <c r="AP891" s="14"/>
    </row>
    <row r="892" spans="1:42" s="45" customFormat="1" ht="22" customHeight="1">
      <c r="A892" s="14" t="s">
        <v>21</v>
      </c>
      <c r="B892" s="8">
        <v>2024</v>
      </c>
      <c r="C892" s="8" t="s">
        <v>8</v>
      </c>
      <c r="D892" s="9" t="s">
        <v>185</v>
      </c>
      <c r="E892" s="9" t="s">
        <v>10</v>
      </c>
      <c r="F892" s="9" t="s">
        <v>186</v>
      </c>
      <c r="G892" s="8"/>
      <c r="H892" s="8"/>
      <c r="I892" s="9" t="s">
        <v>116</v>
      </c>
      <c r="J892" s="9" t="s">
        <v>116</v>
      </c>
      <c r="K892" s="9" t="s">
        <v>269</v>
      </c>
      <c r="L892" s="9" t="s">
        <v>270</v>
      </c>
      <c r="M892" s="14" t="s">
        <v>84</v>
      </c>
      <c r="N892" s="9" t="s">
        <v>271</v>
      </c>
      <c r="O892" s="9" t="s">
        <v>296</v>
      </c>
      <c r="P892" s="9" t="s">
        <v>302</v>
      </c>
      <c r="Q892" s="11"/>
      <c r="R892" s="11"/>
      <c r="S892" s="11"/>
      <c r="T892" s="9"/>
      <c r="U892" s="14" t="s">
        <v>77</v>
      </c>
      <c r="V892" s="9"/>
      <c r="W892" s="12">
        <v>30</v>
      </c>
      <c r="X892" s="13"/>
      <c r="Y892" s="13"/>
      <c r="Z892" s="13"/>
      <c r="AA892" s="13"/>
      <c r="AB892" s="13"/>
      <c r="AC892" s="13">
        <f t="shared" si="129"/>
        <v>0</v>
      </c>
      <c r="AD892" s="13"/>
      <c r="AE892" s="13"/>
      <c r="AF892" s="13">
        <f t="shared" si="130"/>
        <v>0</v>
      </c>
      <c r="AG892" s="13"/>
      <c r="AH892" s="13"/>
      <c r="AI892" s="13"/>
      <c r="AJ892" s="13">
        <f t="shared" si="124"/>
        <v>0</v>
      </c>
      <c r="AK892" s="9"/>
      <c r="AL892" s="13"/>
      <c r="AM892" s="9"/>
      <c r="AN892" s="9"/>
      <c r="AO892" s="9"/>
      <c r="AP892" s="14"/>
    </row>
    <row r="893" spans="1:42" s="45" customFormat="1" ht="22" customHeight="1">
      <c r="A893" s="14" t="s">
        <v>21</v>
      </c>
      <c r="B893" s="8">
        <v>2024</v>
      </c>
      <c r="C893" s="8" t="s">
        <v>8</v>
      </c>
      <c r="D893" s="9" t="s">
        <v>185</v>
      </c>
      <c r="E893" s="9" t="s">
        <v>10</v>
      </c>
      <c r="F893" s="9" t="s">
        <v>186</v>
      </c>
      <c r="G893" s="8"/>
      <c r="H893" s="8"/>
      <c r="I893" s="9" t="s">
        <v>116</v>
      </c>
      <c r="J893" s="9" t="s">
        <v>116</v>
      </c>
      <c r="K893" s="9" t="s">
        <v>269</v>
      </c>
      <c r="L893" s="9" t="s">
        <v>270</v>
      </c>
      <c r="M893" s="14" t="s">
        <v>84</v>
      </c>
      <c r="N893" s="9" t="s">
        <v>271</v>
      </c>
      <c r="O893" s="9" t="s">
        <v>296</v>
      </c>
      <c r="P893" s="9" t="s">
        <v>303</v>
      </c>
      <c r="Q893" s="11"/>
      <c r="R893" s="11"/>
      <c r="S893" s="11"/>
      <c r="T893" s="9"/>
      <c r="U893" s="14" t="s">
        <v>77</v>
      </c>
      <c r="V893" s="9"/>
      <c r="W893" s="12">
        <v>30</v>
      </c>
      <c r="X893" s="13"/>
      <c r="Y893" s="13"/>
      <c r="Z893" s="13"/>
      <c r="AA893" s="13"/>
      <c r="AB893" s="13"/>
      <c r="AC893" s="13">
        <f t="shared" si="129"/>
        <v>0</v>
      </c>
      <c r="AD893" s="13"/>
      <c r="AE893" s="13"/>
      <c r="AF893" s="13">
        <f t="shared" si="130"/>
        <v>0</v>
      </c>
      <c r="AG893" s="13"/>
      <c r="AH893" s="13"/>
      <c r="AI893" s="13"/>
      <c r="AJ893" s="13">
        <f t="shared" si="124"/>
        <v>0</v>
      </c>
      <c r="AK893" s="9"/>
      <c r="AL893" s="13"/>
      <c r="AM893" s="9"/>
      <c r="AN893" s="9"/>
      <c r="AO893" s="9"/>
      <c r="AP893" s="14"/>
    </row>
    <row r="894" spans="1:42" s="45" customFormat="1" ht="22" customHeight="1">
      <c r="A894" s="14" t="s">
        <v>21</v>
      </c>
      <c r="B894" s="8">
        <v>2024</v>
      </c>
      <c r="C894" s="8" t="s">
        <v>8</v>
      </c>
      <c r="D894" s="9" t="s">
        <v>185</v>
      </c>
      <c r="E894" s="9" t="s">
        <v>10</v>
      </c>
      <c r="F894" s="9" t="s">
        <v>186</v>
      </c>
      <c r="G894" s="8"/>
      <c r="H894" s="8"/>
      <c r="I894" s="9" t="s">
        <v>116</v>
      </c>
      <c r="J894" s="9" t="s">
        <v>116</v>
      </c>
      <c r="K894" s="9" t="s">
        <v>269</v>
      </c>
      <c r="L894" s="9" t="s">
        <v>270</v>
      </c>
      <c r="M894" s="14" t="s">
        <v>84</v>
      </c>
      <c r="N894" s="9" t="s">
        <v>271</v>
      </c>
      <c r="O894" s="9" t="s">
        <v>296</v>
      </c>
      <c r="P894" s="9" t="s">
        <v>304</v>
      </c>
      <c r="Q894" s="11"/>
      <c r="R894" s="11"/>
      <c r="S894" s="11"/>
      <c r="T894" s="9"/>
      <c r="U894" s="14" t="s">
        <v>77</v>
      </c>
      <c r="V894" s="9"/>
      <c r="W894" s="12">
        <v>30</v>
      </c>
      <c r="X894" s="13"/>
      <c r="Y894" s="13"/>
      <c r="Z894" s="13"/>
      <c r="AA894" s="13"/>
      <c r="AB894" s="13"/>
      <c r="AC894" s="13">
        <f t="shared" si="129"/>
        <v>0</v>
      </c>
      <c r="AD894" s="13"/>
      <c r="AE894" s="13"/>
      <c r="AF894" s="13">
        <f t="shared" si="130"/>
        <v>0</v>
      </c>
      <c r="AG894" s="13"/>
      <c r="AH894" s="13"/>
      <c r="AI894" s="13"/>
      <c r="AJ894" s="13">
        <f t="shared" si="124"/>
        <v>0</v>
      </c>
      <c r="AK894" s="9"/>
      <c r="AL894" s="13"/>
      <c r="AM894" s="9"/>
      <c r="AN894" s="9"/>
      <c r="AO894" s="9"/>
      <c r="AP894" s="14"/>
    </row>
    <row r="895" spans="1:42" s="45" customFormat="1" ht="22" customHeight="1">
      <c r="A895" s="14" t="s">
        <v>21</v>
      </c>
      <c r="B895" s="8">
        <v>2024</v>
      </c>
      <c r="C895" s="8" t="s">
        <v>8</v>
      </c>
      <c r="D895" s="9" t="s">
        <v>185</v>
      </c>
      <c r="E895" s="9" t="s">
        <v>10</v>
      </c>
      <c r="F895" s="9" t="s">
        <v>186</v>
      </c>
      <c r="G895" s="8"/>
      <c r="H895" s="8"/>
      <c r="I895" s="9" t="s">
        <v>116</v>
      </c>
      <c r="J895" s="9" t="s">
        <v>116</v>
      </c>
      <c r="K895" s="9" t="s">
        <v>269</v>
      </c>
      <c r="L895" s="9" t="s">
        <v>270</v>
      </c>
      <c r="M895" s="14" t="s">
        <v>84</v>
      </c>
      <c r="N895" s="9" t="s">
        <v>271</v>
      </c>
      <c r="O895" s="9" t="s">
        <v>296</v>
      </c>
      <c r="P895" s="9" t="s">
        <v>305</v>
      </c>
      <c r="Q895" s="11"/>
      <c r="R895" s="11"/>
      <c r="S895" s="11"/>
      <c r="T895" s="9"/>
      <c r="U895" s="14" t="s">
        <v>77</v>
      </c>
      <c r="V895" s="9"/>
      <c r="W895" s="12">
        <v>30</v>
      </c>
      <c r="X895" s="13"/>
      <c r="Y895" s="13"/>
      <c r="Z895" s="13"/>
      <c r="AA895" s="13"/>
      <c r="AB895" s="13"/>
      <c r="AC895" s="13">
        <f t="shared" si="129"/>
        <v>0</v>
      </c>
      <c r="AD895" s="13"/>
      <c r="AE895" s="13"/>
      <c r="AF895" s="13">
        <f t="shared" si="130"/>
        <v>0</v>
      </c>
      <c r="AG895" s="13"/>
      <c r="AH895" s="13"/>
      <c r="AI895" s="13"/>
      <c r="AJ895" s="13">
        <f t="shared" si="124"/>
        <v>0</v>
      </c>
      <c r="AK895" s="9"/>
      <c r="AL895" s="13"/>
      <c r="AM895" s="9"/>
      <c r="AN895" s="9"/>
      <c r="AO895" s="9"/>
      <c r="AP895" s="14"/>
    </row>
    <row r="896" spans="1:42" s="45" customFormat="1" ht="22" customHeight="1">
      <c r="A896" s="14" t="s">
        <v>21</v>
      </c>
      <c r="B896" s="8">
        <v>2024</v>
      </c>
      <c r="C896" s="8" t="s">
        <v>8</v>
      </c>
      <c r="D896" s="9" t="s">
        <v>185</v>
      </c>
      <c r="E896" s="9" t="s">
        <v>10</v>
      </c>
      <c r="F896" s="9" t="s">
        <v>186</v>
      </c>
      <c r="G896" s="8"/>
      <c r="H896" s="8"/>
      <c r="I896" s="9" t="s">
        <v>116</v>
      </c>
      <c r="J896" s="9" t="s">
        <v>116</v>
      </c>
      <c r="K896" s="9" t="s">
        <v>269</v>
      </c>
      <c r="L896" s="9" t="s">
        <v>270</v>
      </c>
      <c r="M896" s="14" t="s">
        <v>84</v>
      </c>
      <c r="N896" s="9" t="s">
        <v>271</v>
      </c>
      <c r="O896" s="9" t="s">
        <v>296</v>
      </c>
      <c r="P896" s="9" t="s">
        <v>306</v>
      </c>
      <c r="Q896" s="11"/>
      <c r="R896" s="11"/>
      <c r="S896" s="11"/>
      <c r="T896" s="9"/>
      <c r="U896" s="14" t="s">
        <v>77</v>
      </c>
      <c r="V896" s="9"/>
      <c r="W896" s="12">
        <v>30</v>
      </c>
      <c r="X896" s="13"/>
      <c r="Y896" s="13"/>
      <c r="Z896" s="13"/>
      <c r="AA896" s="13"/>
      <c r="AB896" s="13"/>
      <c r="AC896" s="13">
        <f t="shared" si="129"/>
        <v>0</v>
      </c>
      <c r="AD896" s="13"/>
      <c r="AE896" s="13"/>
      <c r="AF896" s="13">
        <f t="shared" si="130"/>
        <v>0</v>
      </c>
      <c r="AG896" s="13"/>
      <c r="AH896" s="13"/>
      <c r="AI896" s="13"/>
      <c r="AJ896" s="13">
        <f t="shared" si="124"/>
        <v>0</v>
      </c>
      <c r="AK896" s="9"/>
      <c r="AL896" s="13"/>
      <c r="AM896" s="9"/>
      <c r="AN896" s="9"/>
      <c r="AO896" s="9"/>
      <c r="AP896" s="14"/>
    </row>
    <row r="897" spans="1:42" s="45" customFormat="1" ht="22" customHeight="1">
      <c r="A897" s="14" t="s">
        <v>21</v>
      </c>
      <c r="B897" s="8">
        <v>2024</v>
      </c>
      <c r="C897" s="8" t="s">
        <v>8</v>
      </c>
      <c r="D897" s="9" t="s">
        <v>185</v>
      </c>
      <c r="E897" s="9" t="s">
        <v>10</v>
      </c>
      <c r="F897" s="9" t="s">
        <v>186</v>
      </c>
      <c r="G897" s="8"/>
      <c r="H897" s="8"/>
      <c r="I897" s="9" t="s">
        <v>116</v>
      </c>
      <c r="J897" s="9" t="s">
        <v>116</v>
      </c>
      <c r="K897" s="9" t="s">
        <v>269</v>
      </c>
      <c r="L897" s="9" t="s">
        <v>270</v>
      </c>
      <c r="M897" s="14" t="s">
        <v>84</v>
      </c>
      <c r="N897" s="9" t="s">
        <v>271</v>
      </c>
      <c r="O897" s="9" t="s">
        <v>296</v>
      </c>
      <c r="P897" s="9" t="s">
        <v>307</v>
      </c>
      <c r="Q897" s="11"/>
      <c r="R897" s="11"/>
      <c r="S897" s="11"/>
      <c r="T897" s="9"/>
      <c r="U897" s="14" t="s">
        <v>77</v>
      </c>
      <c r="V897" s="9"/>
      <c r="W897" s="12">
        <v>30</v>
      </c>
      <c r="X897" s="13"/>
      <c r="Y897" s="13"/>
      <c r="Z897" s="13"/>
      <c r="AA897" s="13"/>
      <c r="AB897" s="13"/>
      <c r="AC897" s="13">
        <f t="shared" si="129"/>
        <v>0</v>
      </c>
      <c r="AD897" s="13"/>
      <c r="AE897" s="13"/>
      <c r="AF897" s="13">
        <f t="shared" si="130"/>
        <v>0</v>
      </c>
      <c r="AG897" s="13"/>
      <c r="AH897" s="13"/>
      <c r="AI897" s="13"/>
      <c r="AJ897" s="13">
        <f t="shared" si="124"/>
        <v>0</v>
      </c>
      <c r="AK897" s="9"/>
      <c r="AL897" s="13"/>
      <c r="AM897" s="9"/>
      <c r="AN897" s="9"/>
      <c r="AO897" s="9"/>
      <c r="AP897" s="14"/>
    </row>
    <row r="898" spans="1:42" s="45" customFormat="1" ht="22" customHeight="1">
      <c r="A898" s="14" t="s">
        <v>21</v>
      </c>
      <c r="B898" s="8">
        <v>2024</v>
      </c>
      <c r="C898" s="8" t="s">
        <v>8</v>
      </c>
      <c r="D898" s="9" t="s">
        <v>185</v>
      </c>
      <c r="E898" s="9" t="s">
        <v>10</v>
      </c>
      <c r="F898" s="9" t="s">
        <v>186</v>
      </c>
      <c r="G898" s="8"/>
      <c r="H898" s="8"/>
      <c r="I898" s="9" t="s">
        <v>116</v>
      </c>
      <c r="J898" s="9" t="s">
        <v>116</v>
      </c>
      <c r="K898" s="9" t="s">
        <v>269</v>
      </c>
      <c r="L898" s="9" t="s">
        <v>270</v>
      </c>
      <c r="M898" s="14" t="s">
        <v>84</v>
      </c>
      <c r="N898" s="9" t="s">
        <v>271</v>
      </c>
      <c r="O898" s="9" t="s">
        <v>296</v>
      </c>
      <c r="P898" s="9" t="s">
        <v>308</v>
      </c>
      <c r="Q898" s="11"/>
      <c r="R898" s="11"/>
      <c r="S898" s="11"/>
      <c r="T898" s="9"/>
      <c r="U898" s="14" t="s">
        <v>77</v>
      </c>
      <c r="V898" s="9"/>
      <c r="W898" s="12">
        <v>30</v>
      </c>
      <c r="X898" s="13"/>
      <c r="Y898" s="13"/>
      <c r="Z898" s="13"/>
      <c r="AA898" s="13"/>
      <c r="AB898" s="13"/>
      <c r="AC898" s="13">
        <f t="shared" si="129"/>
        <v>0</v>
      </c>
      <c r="AD898" s="13"/>
      <c r="AE898" s="13"/>
      <c r="AF898" s="13">
        <f t="shared" si="130"/>
        <v>0</v>
      </c>
      <c r="AG898" s="13"/>
      <c r="AH898" s="13"/>
      <c r="AI898" s="13"/>
      <c r="AJ898" s="13">
        <f t="shared" si="124"/>
        <v>0</v>
      </c>
      <c r="AK898" s="9"/>
      <c r="AL898" s="13"/>
      <c r="AM898" s="9"/>
      <c r="AN898" s="9"/>
      <c r="AO898" s="9"/>
      <c r="AP898" s="14"/>
    </row>
    <row r="899" spans="1:42" s="45" customFormat="1" ht="22" customHeight="1">
      <c r="A899" s="14" t="s">
        <v>21</v>
      </c>
      <c r="B899" s="8">
        <v>2024</v>
      </c>
      <c r="C899" s="8" t="s">
        <v>8</v>
      </c>
      <c r="D899" s="9" t="s">
        <v>185</v>
      </c>
      <c r="E899" s="9" t="s">
        <v>10</v>
      </c>
      <c r="F899" s="9" t="s">
        <v>186</v>
      </c>
      <c r="G899" s="8"/>
      <c r="H899" s="8"/>
      <c r="I899" s="9" t="s">
        <v>116</v>
      </c>
      <c r="J899" s="9" t="s">
        <v>116</v>
      </c>
      <c r="K899" s="9" t="s">
        <v>269</v>
      </c>
      <c r="L899" s="9" t="s">
        <v>270</v>
      </c>
      <c r="M899" s="14" t="s">
        <v>84</v>
      </c>
      <c r="N899" s="9" t="s">
        <v>271</v>
      </c>
      <c r="O899" s="9" t="s">
        <v>296</v>
      </c>
      <c r="P899" s="9" t="s">
        <v>309</v>
      </c>
      <c r="Q899" s="11"/>
      <c r="R899" s="11"/>
      <c r="S899" s="11"/>
      <c r="T899" s="9"/>
      <c r="U899" s="14" t="s">
        <v>77</v>
      </c>
      <c r="V899" s="9"/>
      <c r="W899" s="12">
        <v>30</v>
      </c>
      <c r="X899" s="13"/>
      <c r="Y899" s="13"/>
      <c r="Z899" s="13"/>
      <c r="AA899" s="13"/>
      <c r="AB899" s="13"/>
      <c r="AC899" s="13">
        <f t="shared" si="129"/>
        <v>0</v>
      </c>
      <c r="AD899" s="13"/>
      <c r="AE899" s="13"/>
      <c r="AF899" s="13">
        <f t="shared" si="130"/>
        <v>0</v>
      </c>
      <c r="AG899" s="13"/>
      <c r="AH899" s="13"/>
      <c r="AI899" s="13"/>
      <c r="AJ899" s="13">
        <f t="shared" si="124"/>
        <v>0</v>
      </c>
      <c r="AK899" s="9"/>
      <c r="AL899" s="13"/>
      <c r="AM899" s="9"/>
      <c r="AN899" s="9"/>
      <c r="AO899" s="9"/>
      <c r="AP899" s="14"/>
    </row>
    <row r="900" spans="1:42" s="45" customFormat="1" ht="22" customHeight="1">
      <c r="A900" s="14" t="s">
        <v>21</v>
      </c>
      <c r="B900" s="8">
        <v>2024</v>
      </c>
      <c r="C900" s="8" t="s">
        <v>8</v>
      </c>
      <c r="D900" s="9" t="s">
        <v>185</v>
      </c>
      <c r="E900" s="9" t="s">
        <v>10</v>
      </c>
      <c r="F900" s="9" t="s">
        <v>186</v>
      </c>
      <c r="G900" s="8"/>
      <c r="H900" s="8"/>
      <c r="I900" s="9" t="s">
        <v>116</v>
      </c>
      <c r="J900" s="9" t="s">
        <v>116</v>
      </c>
      <c r="K900" s="9" t="s">
        <v>269</v>
      </c>
      <c r="L900" s="9" t="s">
        <v>270</v>
      </c>
      <c r="M900" s="14" t="s">
        <v>84</v>
      </c>
      <c r="N900" s="9" t="s">
        <v>271</v>
      </c>
      <c r="O900" s="9" t="s">
        <v>296</v>
      </c>
      <c r="P900" s="9" t="s">
        <v>310</v>
      </c>
      <c r="Q900" s="11"/>
      <c r="R900" s="11"/>
      <c r="S900" s="11"/>
      <c r="T900" s="9"/>
      <c r="U900" s="14" t="s">
        <v>77</v>
      </c>
      <c r="V900" s="9"/>
      <c r="W900" s="12">
        <v>30</v>
      </c>
      <c r="X900" s="13"/>
      <c r="Y900" s="13"/>
      <c r="Z900" s="13"/>
      <c r="AA900" s="13"/>
      <c r="AB900" s="13"/>
      <c r="AC900" s="13">
        <f t="shared" si="129"/>
        <v>0</v>
      </c>
      <c r="AD900" s="13"/>
      <c r="AE900" s="13"/>
      <c r="AF900" s="13">
        <f t="shared" si="130"/>
        <v>0</v>
      </c>
      <c r="AG900" s="13"/>
      <c r="AH900" s="13"/>
      <c r="AI900" s="13"/>
      <c r="AJ900" s="13">
        <f t="shared" si="124"/>
        <v>0</v>
      </c>
      <c r="AK900" s="9"/>
      <c r="AL900" s="13"/>
      <c r="AM900" s="9"/>
      <c r="AN900" s="9"/>
      <c r="AO900" s="9"/>
      <c r="AP900" s="14"/>
    </row>
    <row r="901" spans="1:42" s="45" customFormat="1" ht="22" customHeight="1">
      <c r="A901" s="14" t="s">
        <v>21</v>
      </c>
      <c r="B901" s="8">
        <v>2024</v>
      </c>
      <c r="C901" s="8" t="s">
        <v>8</v>
      </c>
      <c r="D901" s="9" t="s">
        <v>185</v>
      </c>
      <c r="E901" s="9" t="s">
        <v>10</v>
      </c>
      <c r="F901" s="9" t="s">
        <v>186</v>
      </c>
      <c r="G901" s="8"/>
      <c r="H901" s="8"/>
      <c r="I901" s="9" t="s">
        <v>116</v>
      </c>
      <c r="J901" s="9" t="s">
        <v>116</v>
      </c>
      <c r="K901" s="9" t="s">
        <v>269</v>
      </c>
      <c r="L901" s="9" t="s">
        <v>270</v>
      </c>
      <c r="M901" s="14" t="s">
        <v>84</v>
      </c>
      <c r="N901" s="9" t="s">
        <v>271</v>
      </c>
      <c r="O901" s="9" t="s">
        <v>296</v>
      </c>
      <c r="P901" s="9" t="s">
        <v>311</v>
      </c>
      <c r="Q901" s="11"/>
      <c r="R901" s="11"/>
      <c r="S901" s="11"/>
      <c r="T901" s="9"/>
      <c r="U901" s="14" t="s">
        <v>77</v>
      </c>
      <c r="V901" s="9"/>
      <c r="W901" s="12">
        <v>30</v>
      </c>
      <c r="X901" s="13"/>
      <c r="Y901" s="13"/>
      <c r="Z901" s="13"/>
      <c r="AA901" s="13"/>
      <c r="AB901" s="13"/>
      <c r="AC901" s="13">
        <f t="shared" si="129"/>
        <v>0</v>
      </c>
      <c r="AD901" s="13"/>
      <c r="AE901" s="13"/>
      <c r="AF901" s="13">
        <f t="shared" si="130"/>
        <v>0</v>
      </c>
      <c r="AG901" s="13"/>
      <c r="AH901" s="13"/>
      <c r="AI901" s="13"/>
      <c r="AJ901" s="13">
        <f t="shared" si="124"/>
        <v>0</v>
      </c>
      <c r="AK901" s="9"/>
      <c r="AL901" s="13"/>
      <c r="AM901" s="9"/>
      <c r="AN901" s="9"/>
      <c r="AO901" s="9"/>
      <c r="AP901" s="14"/>
    </row>
    <row r="902" spans="1:42" s="45" customFormat="1" ht="22" customHeight="1">
      <c r="A902" s="14" t="s">
        <v>21</v>
      </c>
      <c r="B902" s="8">
        <v>2024</v>
      </c>
      <c r="C902" s="8" t="s">
        <v>8</v>
      </c>
      <c r="D902" s="9" t="s">
        <v>185</v>
      </c>
      <c r="E902" s="9" t="s">
        <v>10</v>
      </c>
      <c r="F902" s="9" t="s">
        <v>186</v>
      </c>
      <c r="G902" s="8"/>
      <c r="H902" s="8"/>
      <c r="I902" s="9" t="s">
        <v>116</v>
      </c>
      <c r="J902" s="9" t="s">
        <v>116</v>
      </c>
      <c r="K902" s="9" t="s">
        <v>269</v>
      </c>
      <c r="L902" s="9" t="s">
        <v>270</v>
      </c>
      <c r="M902" s="14" t="s">
        <v>84</v>
      </c>
      <c r="N902" s="9" t="s">
        <v>271</v>
      </c>
      <c r="O902" s="9" t="s">
        <v>296</v>
      </c>
      <c r="P902" s="9" t="s">
        <v>312</v>
      </c>
      <c r="Q902" s="11"/>
      <c r="R902" s="11"/>
      <c r="S902" s="11"/>
      <c r="T902" s="9"/>
      <c r="U902" s="14" t="s">
        <v>77</v>
      </c>
      <c r="V902" s="9"/>
      <c r="W902" s="12">
        <v>30</v>
      </c>
      <c r="X902" s="13"/>
      <c r="Y902" s="13"/>
      <c r="Z902" s="13"/>
      <c r="AA902" s="13"/>
      <c r="AB902" s="13"/>
      <c r="AC902" s="13">
        <f t="shared" si="129"/>
        <v>0</v>
      </c>
      <c r="AD902" s="13"/>
      <c r="AE902" s="13"/>
      <c r="AF902" s="13">
        <f t="shared" si="130"/>
        <v>0</v>
      </c>
      <c r="AG902" s="13"/>
      <c r="AH902" s="13"/>
      <c r="AI902" s="13"/>
      <c r="AJ902" s="13">
        <f t="shared" si="124"/>
        <v>0</v>
      </c>
      <c r="AK902" s="9"/>
      <c r="AL902" s="13"/>
      <c r="AM902" s="9"/>
      <c r="AN902" s="9"/>
      <c r="AO902" s="9"/>
      <c r="AP902" s="14"/>
    </row>
    <row r="903" spans="1:42" s="45" customFormat="1" ht="22" customHeight="1">
      <c r="A903" s="14" t="s">
        <v>21</v>
      </c>
      <c r="B903" s="8">
        <v>2024</v>
      </c>
      <c r="C903" s="8" t="s">
        <v>8</v>
      </c>
      <c r="D903" s="9" t="s">
        <v>185</v>
      </c>
      <c r="E903" s="9" t="s">
        <v>10</v>
      </c>
      <c r="F903" s="9" t="s">
        <v>186</v>
      </c>
      <c r="G903" s="8"/>
      <c r="H903" s="8"/>
      <c r="I903" s="9" t="s">
        <v>116</v>
      </c>
      <c r="J903" s="9" t="s">
        <v>116</v>
      </c>
      <c r="K903" s="9" t="s">
        <v>269</v>
      </c>
      <c r="L903" s="9" t="s">
        <v>270</v>
      </c>
      <c r="M903" s="14" t="s">
        <v>84</v>
      </c>
      <c r="N903" s="9" t="s">
        <v>271</v>
      </c>
      <c r="O903" s="9" t="s">
        <v>296</v>
      </c>
      <c r="P903" s="9" t="s">
        <v>313</v>
      </c>
      <c r="Q903" s="11"/>
      <c r="R903" s="11"/>
      <c r="S903" s="11"/>
      <c r="T903" s="9"/>
      <c r="U903" s="14" t="s">
        <v>77</v>
      </c>
      <c r="V903" s="9"/>
      <c r="W903" s="12">
        <v>30</v>
      </c>
      <c r="X903" s="13"/>
      <c r="Y903" s="13"/>
      <c r="Z903" s="13"/>
      <c r="AA903" s="13"/>
      <c r="AB903" s="13"/>
      <c r="AC903" s="13">
        <f t="shared" si="129"/>
        <v>0</v>
      </c>
      <c r="AD903" s="13"/>
      <c r="AE903" s="13"/>
      <c r="AF903" s="13">
        <f t="shared" si="130"/>
        <v>0</v>
      </c>
      <c r="AG903" s="13"/>
      <c r="AH903" s="13"/>
      <c r="AI903" s="13"/>
      <c r="AJ903" s="13">
        <f t="shared" si="124"/>
        <v>0</v>
      </c>
      <c r="AK903" s="9"/>
      <c r="AL903" s="13"/>
      <c r="AM903" s="9"/>
      <c r="AN903" s="9"/>
      <c r="AO903" s="9"/>
      <c r="AP903" s="14"/>
    </row>
    <row r="904" spans="1:42" s="45" customFormat="1" ht="22" customHeight="1">
      <c r="A904" s="14" t="s">
        <v>21</v>
      </c>
      <c r="B904" s="8">
        <v>2024</v>
      </c>
      <c r="C904" s="8" t="s">
        <v>8</v>
      </c>
      <c r="D904" s="9" t="s">
        <v>185</v>
      </c>
      <c r="E904" s="9" t="s">
        <v>10</v>
      </c>
      <c r="F904" s="9" t="s">
        <v>186</v>
      </c>
      <c r="G904" s="8"/>
      <c r="H904" s="8"/>
      <c r="I904" s="9" t="s">
        <v>116</v>
      </c>
      <c r="J904" s="9" t="s">
        <v>116</v>
      </c>
      <c r="K904" s="9" t="s">
        <v>269</v>
      </c>
      <c r="L904" s="9" t="s">
        <v>270</v>
      </c>
      <c r="M904" s="14" t="s">
        <v>84</v>
      </c>
      <c r="N904" s="9" t="s">
        <v>271</v>
      </c>
      <c r="O904" s="9" t="s">
        <v>296</v>
      </c>
      <c r="P904" s="9" t="s">
        <v>314</v>
      </c>
      <c r="Q904" s="11"/>
      <c r="R904" s="11"/>
      <c r="S904" s="11"/>
      <c r="T904" s="9"/>
      <c r="U904" s="14" t="s">
        <v>77</v>
      </c>
      <c r="V904" s="9"/>
      <c r="W904" s="12">
        <v>30</v>
      </c>
      <c r="X904" s="13"/>
      <c r="Y904" s="13"/>
      <c r="Z904" s="13"/>
      <c r="AA904" s="13"/>
      <c r="AB904" s="13"/>
      <c r="AC904" s="13">
        <f t="shared" si="129"/>
        <v>0</v>
      </c>
      <c r="AD904" s="13"/>
      <c r="AE904" s="13"/>
      <c r="AF904" s="13">
        <f t="shared" si="130"/>
        <v>0</v>
      </c>
      <c r="AG904" s="13"/>
      <c r="AH904" s="13"/>
      <c r="AI904" s="13"/>
      <c r="AJ904" s="13">
        <f t="shared" si="124"/>
        <v>0</v>
      </c>
      <c r="AK904" s="9"/>
      <c r="AL904" s="13"/>
      <c r="AM904" s="9"/>
      <c r="AN904" s="9"/>
      <c r="AO904" s="9"/>
      <c r="AP904" s="14"/>
    </row>
    <row r="905" spans="1:42" s="45" customFormat="1" ht="22" customHeight="1">
      <c r="A905" s="14" t="s">
        <v>21</v>
      </c>
      <c r="B905" s="8">
        <v>2024</v>
      </c>
      <c r="C905" s="8" t="s">
        <v>8</v>
      </c>
      <c r="D905" s="9" t="s">
        <v>185</v>
      </c>
      <c r="E905" s="9" t="s">
        <v>10</v>
      </c>
      <c r="F905" s="9" t="s">
        <v>186</v>
      </c>
      <c r="G905" s="8"/>
      <c r="H905" s="8"/>
      <c r="I905" s="9" t="s">
        <v>116</v>
      </c>
      <c r="J905" s="9" t="s">
        <v>116</v>
      </c>
      <c r="K905" s="9" t="s">
        <v>269</v>
      </c>
      <c r="L905" s="9" t="s">
        <v>270</v>
      </c>
      <c r="M905" s="14" t="s">
        <v>84</v>
      </c>
      <c r="N905" s="9" t="s">
        <v>271</v>
      </c>
      <c r="O905" s="9" t="s">
        <v>296</v>
      </c>
      <c r="P905" s="9" t="s">
        <v>315</v>
      </c>
      <c r="Q905" s="11"/>
      <c r="R905" s="11"/>
      <c r="S905" s="11"/>
      <c r="T905" s="9"/>
      <c r="U905" s="14" t="s">
        <v>77</v>
      </c>
      <c r="V905" s="9"/>
      <c r="W905" s="12">
        <v>30</v>
      </c>
      <c r="X905" s="13"/>
      <c r="Y905" s="13"/>
      <c r="Z905" s="13"/>
      <c r="AA905" s="13"/>
      <c r="AB905" s="13"/>
      <c r="AC905" s="13">
        <f t="shared" si="129"/>
        <v>0</v>
      </c>
      <c r="AD905" s="13"/>
      <c r="AE905" s="13"/>
      <c r="AF905" s="13">
        <f t="shared" si="130"/>
        <v>0</v>
      </c>
      <c r="AG905" s="13"/>
      <c r="AH905" s="13"/>
      <c r="AI905" s="13"/>
      <c r="AJ905" s="13">
        <f t="shared" si="124"/>
        <v>0</v>
      </c>
      <c r="AK905" s="9"/>
      <c r="AL905" s="13"/>
      <c r="AM905" s="9"/>
      <c r="AN905" s="9"/>
      <c r="AO905" s="9"/>
      <c r="AP905" s="14"/>
    </row>
    <row r="906" spans="1:42" s="45" customFormat="1" ht="22" customHeight="1">
      <c r="A906" s="14" t="s">
        <v>21</v>
      </c>
      <c r="B906" s="8">
        <v>2024</v>
      </c>
      <c r="C906" s="8" t="s">
        <v>8</v>
      </c>
      <c r="D906" s="9" t="s">
        <v>185</v>
      </c>
      <c r="E906" s="9" t="s">
        <v>10</v>
      </c>
      <c r="F906" s="9" t="s">
        <v>186</v>
      </c>
      <c r="G906" s="8"/>
      <c r="H906" s="8"/>
      <c r="I906" s="9" t="s">
        <v>116</v>
      </c>
      <c r="J906" s="9" t="s">
        <v>116</v>
      </c>
      <c r="K906" s="9" t="s">
        <v>269</v>
      </c>
      <c r="L906" s="9" t="s">
        <v>270</v>
      </c>
      <c r="M906" s="14" t="s">
        <v>84</v>
      </c>
      <c r="N906" s="9" t="s">
        <v>271</v>
      </c>
      <c r="O906" s="9" t="s">
        <v>296</v>
      </c>
      <c r="P906" s="9" t="s">
        <v>316</v>
      </c>
      <c r="Q906" s="11"/>
      <c r="R906" s="11"/>
      <c r="S906" s="11"/>
      <c r="T906" s="9"/>
      <c r="U906" s="14" t="s">
        <v>77</v>
      </c>
      <c r="V906" s="9"/>
      <c r="W906" s="12">
        <v>30</v>
      </c>
      <c r="X906" s="13"/>
      <c r="Y906" s="13"/>
      <c r="Z906" s="13"/>
      <c r="AA906" s="13"/>
      <c r="AB906" s="13"/>
      <c r="AC906" s="13">
        <f t="shared" si="129"/>
        <v>0</v>
      </c>
      <c r="AD906" s="13"/>
      <c r="AE906" s="13"/>
      <c r="AF906" s="13">
        <f t="shared" si="130"/>
        <v>0</v>
      </c>
      <c r="AG906" s="13"/>
      <c r="AH906" s="13"/>
      <c r="AI906" s="13"/>
      <c r="AJ906" s="13">
        <f t="shared" si="124"/>
        <v>0</v>
      </c>
      <c r="AK906" s="9"/>
      <c r="AL906" s="13"/>
      <c r="AM906" s="9"/>
      <c r="AN906" s="9"/>
      <c r="AO906" s="9"/>
      <c r="AP906" s="14"/>
    </row>
    <row r="907" spans="1:42" s="45" customFormat="1" ht="22" customHeight="1">
      <c r="A907" s="14" t="s">
        <v>21</v>
      </c>
      <c r="B907" s="8">
        <v>2024</v>
      </c>
      <c r="C907" s="8" t="s">
        <v>8</v>
      </c>
      <c r="D907" s="9" t="s">
        <v>185</v>
      </c>
      <c r="E907" s="9" t="s">
        <v>10</v>
      </c>
      <c r="F907" s="9" t="s">
        <v>186</v>
      </c>
      <c r="G907" s="8"/>
      <c r="H907" s="8"/>
      <c r="I907" s="9" t="s">
        <v>116</v>
      </c>
      <c r="J907" s="9" t="s">
        <v>116</v>
      </c>
      <c r="K907" s="9" t="s">
        <v>269</v>
      </c>
      <c r="L907" s="9" t="s">
        <v>270</v>
      </c>
      <c r="M907" s="14" t="s">
        <v>84</v>
      </c>
      <c r="N907" s="9" t="s">
        <v>271</v>
      </c>
      <c r="O907" s="9" t="s">
        <v>296</v>
      </c>
      <c r="P907" s="9" t="s">
        <v>317</v>
      </c>
      <c r="Q907" s="11"/>
      <c r="R907" s="11"/>
      <c r="S907" s="11"/>
      <c r="T907" s="9"/>
      <c r="U907" s="14" t="s">
        <v>77</v>
      </c>
      <c r="V907" s="9"/>
      <c r="W907" s="12">
        <v>30</v>
      </c>
      <c r="X907" s="13"/>
      <c r="Y907" s="13"/>
      <c r="Z907" s="13"/>
      <c r="AA907" s="13"/>
      <c r="AB907" s="13"/>
      <c r="AC907" s="13">
        <f t="shared" si="129"/>
        <v>0</v>
      </c>
      <c r="AD907" s="13"/>
      <c r="AE907" s="13"/>
      <c r="AF907" s="13">
        <f t="shared" si="130"/>
        <v>0</v>
      </c>
      <c r="AG907" s="13"/>
      <c r="AH907" s="13"/>
      <c r="AI907" s="13"/>
      <c r="AJ907" s="13">
        <f t="shared" ref="AJ907:AJ970" si="131">SUBTOTAL(9,X907:AI907)</f>
        <v>0</v>
      </c>
      <c r="AK907" s="9"/>
      <c r="AL907" s="13"/>
      <c r="AM907" s="9"/>
      <c r="AN907" s="9"/>
      <c r="AO907" s="9"/>
      <c r="AP907" s="14"/>
    </row>
    <row r="908" spans="1:42" s="45" customFormat="1" ht="22" customHeight="1">
      <c r="A908" s="14" t="s">
        <v>21</v>
      </c>
      <c r="B908" s="8">
        <v>2024</v>
      </c>
      <c r="C908" s="8" t="s">
        <v>8</v>
      </c>
      <c r="D908" s="9" t="s">
        <v>185</v>
      </c>
      <c r="E908" s="9" t="s">
        <v>10</v>
      </c>
      <c r="F908" s="9" t="s">
        <v>186</v>
      </c>
      <c r="G908" s="8"/>
      <c r="H908" s="8"/>
      <c r="I908" s="9" t="s">
        <v>116</v>
      </c>
      <c r="J908" s="9" t="s">
        <v>116</v>
      </c>
      <c r="K908" s="9" t="s">
        <v>269</v>
      </c>
      <c r="L908" s="9" t="s">
        <v>270</v>
      </c>
      <c r="M908" s="14" t="s">
        <v>84</v>
      </c>
      <c r="N908" s="9" t="s">
        <v>271</v>
      </c>
      <c r="O908" s="9" t="s">
        <v>318</v>
      </c>
      <c r="P908" s="9" t="s">
        <v>319</v>
      </c>
      <c r="Q908" s="11"/>
      <c r="R908" s="11"/>
      <c r="S908" s="11"/>
      <c r="T908" s="9"/>
      <c r="U908" s="14" t="s">
        <v>77</v>
      </c>
      <c r="V908" s="9"/>
      <c r="W908" s="12">
        <v>30</v>
      </c>
      <c r="X908" s="13"/>
      <c r="Y908" s="13"/>
      <c r="Z908" s="13"/>
      <c r="AA908" s="13"/>
      <c r="AB908" s="13"/>
      <c r="AC908" s="13">
        <f t="shared" si="129"/>
        <v>0</v>
      </c>
      <c r="AD908" s="13"/>
      <c r="AE908" s="13"/>
      <c r="AF908" s="13">
        <f t="shared" si="130"/>
        <v>0</v>
      </c>
      <c r="AG908" s="13"/>
      <c r="AH908" s="13"/>
      <c r="AI908" s="13"/>
      <c r="AJ908" s="13">
        <f t="shared" si="131"/>
        <v>0</v>
      </c>
      <c r="AK908" s="9"/>
      <c r="AL908" s="13"/>
      <c r="AM908" s="9"/>
      <c r="AN908" s="9"/>
      <c r="AO908" s="9"/>
      <c r="AP908" s="14"/>
    </row>
    <row r="909" spans="1:42" s="45" customFormat="1" ht="22" customHeight="1">
      <c r="A909" s="14" t="s">
        <v>21</v>
      </c>
      <c r="B909" s="8">
        <v>2024</v>
      </c>
      <c r="C909" s="8" t="s">
        <v>8</v>
      </c>
      <c r="D909" s="9" t="s">
        <v>185</v>
      </c>
      <c r="E909" s="9" t="s">
        <v>10</v>
      </c>
      <c r="F909" s="9" t="s">
        <v>186</v>
      </c>
      <c r="G909" s="8"/>
      <c r="H909" s="8"/>
      <c r="I909" s="9" t="s">
        <v>116</v>
      </c>
      <c r="J909" s="9" t="s">
        <v>116</v>
      </c>
      <c r="K909" s="9" t="s">
        <v>269</v>
      </c>
      <c r="L909" s="9" t="s">
        <v>270</v>
      </c>
      <c r="M909" s="14" t="s">
        <v>84</v>
      </c>
      <c r="N909" s="9" t="s">
        <v>271</v>
      </c>
      <c r="O909" s="9" t="s">
        <v>318</v>
      </c>
      <c r="P909" s="9" t="s">
        <v>320</v>
      </c>
      <c r="Q909" s="11"/>
      <c r="R909" s="11"/>
      <c r="S909" s="11"/>
      <c r="T909" s="9"/>
      <c r="U909" s="14" t="s">
        <v>77</v>
      </c>
      <c r="V909" s="9"/>
      <c r="W909" s="12">
        <v>30</v>
      </c>
      <c r="X909" s="13"/>
      <c r="Y909" s="13"/>
      <c r="Z909" s="13"/>
      <c r="AA909" s="13"/>
      <c r="AB909" s="13"/>
      <c r="AC909" s="13">
        <f t="shared" si="129"/>
        <v>0</v>
      </c>
      <c r="AD909" s="13"/>
      <c r="AE909" s="13"/>
      <c r="AF909" s="13">
        <f t="shared" si="130"/>
        <v>0</v>
      </c>
      <c r="AG909" s="13"/>
      <c r="AH909" s="13"/>
      <c r="AI909" s="13"/>
      <c r="AJ909" s="13">
        <f t="shared" si="131"/>
        <v>0</v>
      </c>
      <c r="AK909" s="9"/>
      <c r="AL909" s="13"/>
      <c r="AM909" s="9"/>
      <c r="AN909" s="9"/>
      <c r="AO909" s="9"/>
      <c r="AP909" s="14"/>
    </row>
    <row r="910" spans="1:42" s="45" customFormat="1" ht="22" customHeight="1">
      <c r="A910" s="14" t="s">
        <v>21</v>
      </c>
      <c r="B910" s="8">
        <v>2024</v>
      </c>
      <c r="C910" s="8" t="s">
        <v>8</v>
      </c>
      <c r="D910" s="9" t="s">
        <v>185</v>
      </c>
      <c r="E910" s="9" t="s">
        <v>10</v>
      </c>
      <c r="F910" s="9" t="s">
        <v>186</v>
      </c>
      <c r="G910" s="8"/>
      <c r="H910" s="8"/>
      <c r="I910" s="9" t="s">
        <v>116</v>
      </c>
      <c r="J910" s="9" t="s">
        <v>116</v>
      </c>
      <c r="K910" s="9" t="s">
        <v>269</v>
      </c>
      <c r="L910" s="9" t="s">
        <v>270</v>
      </c>
      <c r="M910" s="14" t="s">
        <v>84</v>
      </c>
      <c r="N910" s="9" t="s">
        <v>271</v>
      </c>
      <c r="O910" s="9" t="s">
        <v>318</v>
      </c>
      <c r="P910" s="9" t="s">
        <v>321</v>
      </c>
      <c r="Q910" s="11"/>
      <c r="R910" s="11"/>
      <c r="S910" s="11"/>
      <c r="T910" s="9"/>
      <c r="U910" s="14" t="s">
        <v>77</v>
      </c>
      <c r="V910" s="9"/>
      <c r="W910" s="12">
        <v>30</v>
      </c>
      <c r="X910" s="13"/>
      <c r="Y910" s="13"/>
      <c r="Z910" s="13"/>
      <c r="AA910" s="13"/>
      <c r="AB910" s="13"/>
      <c r="AC910" s="13">
        <f t="shared" si="129"/>
        <v>0</v>
      </c>
      <c r="AD910" s="13"/>
      <c r="AE910" s="13"/>
      <c r="AF910" s="13">
        <f t="shared" si="130"/>
        <v>0</v>
      </c>
      <c r="AG910" s="13"/>
      <c r="AH910" s="13"/>
      <c r="AI910" s="13"/>
      <c r="AJ910" s="13">
        <f t="shared" si="131"/>
        <v>0</v>
      </c>
      <c r="AK910" s="9"/>
      <c r="AL910" s="13"/>
      <c r="AM910" s="9"/>
      <c r="AN910" s="9"/>
      <c r="AO910" s="9"/>
      <c r="AP910" s="14"/>
    </row>
    <row r="911" spans="1:42" s="45" customFormat="1" ht="22" customHeight="1">
      <c r="A911" s="14" t="s">
        <v>21</v>
      </c>
      <c r="B911" s="8">
        <v>2024</v>
      </c>
      <c r="C911" s="8" t="s">
        <v>8</v>
      </c>
      <c r="D911" s="9" t="s">
        <v>185</v>
      </c>
      <c r="E911" s="9" t="s">
        <v>10</v>
      </c>
      <c r="F911" s="9" t="s">
        <v>186</v>
      </c>
      <c r="G911" s="8"/>
      <c r="H911" s="8"/>
      <c r="I911" s="9" t="s">
        <v>116</v>
      </c>
      <c r="J911" s="9" t="s">
        <v>116</v>
      </c>
      <c r="K911" s="9" t="s">
        <v>269</v>
      </c>
      <c r="L911" s="9" t="s">
        <v>270</v>
      </c>
      <c r="M911" s="14" t="s">
        <v>84</v>
      </c>
      <c r="N911" s="9" t="s">
        <v>271</v>
      </c>
      <c r="O911" s="9" t="s">
        <v>318</v>
      </c>
      <c r="P911" s="9" t="s">
        <v>322</v>
      </c>
      <c r="Q911" s="11"/>
      <c r="R911" s="11"/>
      <c r="S911" s="11"/>
      <c r="T911" s="9"/>
      <c r="U911" s="14" t="s">
        <v>77</v>
      </c>
      <c r="V911" s="9"/>
      <c r="W911" s="12">
        <v>30</v>
      </c>
      <c r="X911" s="13"/>
      <c r="Y911" s="13"/>
      <c r="Z911" s="13"/>
      <c r="AA911" s="13"/>
      <c r="AB911" s="13"/>
      <c r="AC911" s="13">
        <f t="shared" si="129"/>
        <v>0</v>
      </c>
      <c r="AD911" s="13"/>
      <c r="AE911" s="13"/>
      <c r="AF911" s="13">
        <f t="shared" si="130"/>
        <v>0</v>
      </c>
      <c r="AG911" s="13"/>
      <c r="AH911" s="13"/>
      <c r="AI911" s="13"/>
      <c r="AJ911" s="13">
        <f t="shared" si="131"/>
        <v>0</v>
      </c>
      <c r="AK911" s="9"/>
      <c r="AL911" s="13"/>
      <c r="AM911" s="9"/>
      <c r="AN911" s="9"/>
      <c r="AO911" s="9"/>
      <c r="AP911" s="14"/>
    </row>
    <row r="912" spans="1:42" s="45" customFormat="1" ht="22" customHeight="1">
      <c r="A912" s="14" t="s">
        <v>21</v>
      </c>
      <c r="B912" s="8">
        <v>2024</v>
      </c>
      <c r="C912" s="8" t="s">
        <v>8</v>
      </c>
      <c r="D912" s="9" t="s">
        <v>185</v>
      </c>
      <c r="E912" s="9" t="s">
        <v>10</v>
      </c>
      <c r="F912" s="9" t="s">
        <v>186</v>
      </c>
      <c r="G912" s="8"/>
      <c r="H912" s="8"/>
      <c r="I912" s="9" t="s">
        <v>116</v>
      </c>
      <c r="J912" s="9" t="s">
        <v>116</v>
      </c>
      <c r="K912" s="9" t="s">
        <v>269</v>
      </c>
      <c r="L912" s="9" t="s">
        <v>270</v>
      </c>
      <c r="M912" s="14" t="s">
        <v>84</v>
      </c>
      <c r="N912" s="9" t="s">
        <v>271</v>
      </c>
      <c r="O912" s="9" t="s">
        <v>318</v>
      </c>
      <c r="P912" s="9" t="s">
        <v>323</v>
      </c>
      <c r="Q912" s="11"/>
      <c r="R912" s="11"/>
      <c r="S912" s="11"/>
      <c r="T912" s="9"/>
      <c r="U912" s="14" t="s">
        <v>77</v>
      </c>
      <c r="V912" s="9"/>
      <c r="W912" s="12">
        <v>30</v>
      </c>
      <c r="X912" s="13"/>
      <c r="Y912" s="13"/>
      <c r="Z912" s="13"/>
      <c r="AA912" s="13"/>
      <c r="AB912" s="13"/>
      <c r="AC912" s="13">
        <f t="shared" si="129"/>
        <v>0</v>
      </c>
      <c r="AD912" s="13"/>
      <c r="AE912" s="13"/>
      <c r="AF912" s="13">
        <f t="shared" si="130"/>
        <v>0</v>
      </c>
      <c r="AG912" s="13"/>
      <c r="AH912" s="13"/>
      <c r="AI912" s="13"/>
      <c r="AJ912" s="13">
        <f t="shared" si="131"/>
        <v>0</v>
      </c>
      <c r="AK912" s="9"/>
      <c r="AL912" s="13"/>
      <c r="AM912" s="9"/>
      <c r="AN912" s="9"/>
      <c r="AO912" s="9"/>
      <c r="AP912" s="14"/>
    </row>
    <row r="913" spans="1:42" s="45" customFormat="1" ht="22" customHeight="1">
      <c r="A913" s="14" t="s">
        <v>21</v>
      </c>
      <c r="B913" s="8">
        <v>2024</v>
      </c>
      <c r="C913" s="8" t="s">
        <v>8</v>
      </c>
      <c r="D913" s="9" t="s">
        <v>185</v>
      </c>
      <c r="E913" s="9" t="s">
        <v>15</v>
      </c>
      <c r="F913" s="9" t="s">
        <v>186</v>
      </c>
      <c r="G913" s="8"/>
      <c r="H913" s="8"/>
      <c r="I913" s="9" t="s">
        <v>116</v>
      </c>
      <c r="J913" s="9" t="s">
        <v>116</v>
      </c>
      <c r="K913" s="9" t="s">
        <v>269</v>
      </c>
      <c r="L913" s="9" t="s">
        <v>270</v>
      </c>
      <c r="M913" s="14" t="s">
        <v>84</v>
      </c>
      <c r="N913" s="9" t="s">
        <v>271</v>
      </c>
      <c r="O913" s="9" t="s">
        <v>296</v>
      </c>
      <c r="P913" s="9" t="s">
        <v>297</v>
      </c>
      <c r="Q913" s="11"/>
      <c r="R913" s="11"/>
      <c r="S913" s="11"/>
      <c r="T913" s="9"/>
      <c r="U913" s="14" t="s">
        <v>77</v>
      </c>
      <c r="V913" s="9"/>
      <c r="W913" s="12">
        <v>30</v>
      </c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>
        <f t="shared" ref="AH913:AH976" si="132">+S913*W913*50/1000000</f>
        <v>0</v>
      </c>
      <c r="AI913" s="13"/>
      <c r="AJ913" s="13">
        <f t="shared" si="131"/>
        <v>0</v>
      </c>
      <c r="AK913" s="9"/>
      <c r="AL913" s="13"/>
      <c r="AM913" s="9"/>
      <c r="AN913" s="9"/>
      <c r="AO913" s="9"/>
      <c r="AP913" s="14"/>
    </row>
    <row r="914" spans="1:42" s="45" customFormat="1" ht="22" customHeight="1">
      <c r="A914" s="14" t="s">
        <v>21</v>
      </c>
      <c r="B914" s="8">
        <v>2024</v>
      </c>
      <c r="C914" s="8" t="s">
        <v>8</v>
      </c>
      <c r="D914" s="9" t="s">
        <v>185</v>
      </c>
      <c r="E914" s="9" t="s">
        <v>15</v>
      </c>
      <c r="F914" s="9" t="s">
        <v>186</v>
      </c>
      <c r="G914" s="8"/>
      <c r="H914" s="8"/>
      <c r="I914" s="9" t="s">
        <v>116</v>
      </c>
      <c r="J914" s="9" t="s">
        <v>116</v>
      </c>
      <c r="K914" s="9" t="s">
        <v>269</v>
      </c>
      <c r="L914" s="9" t="s">
        <v>270</v>
      </c>
      <c r="M914" s="14" t="s">
        <v>84</v>
      </c>
      <c r="N914" s="9" t="s">
        <v>271</v>
      </c>
      <c r="O914" s="9" t="s">
        <v>296</v>
      </c>
      <c r="P914" s="9" t="s">
        <v>298</v>
      </c>
      <c r="Q914" s="11"/>
      <c r="R914" s="11"/>
      <c r="S914" s="11"/>
      <c r="T914" s="9"/>
      <c r="U914" s="14" t="s">
        <v>77</v>
      </c>
      <c r="V914" s="9"/>
      <c r="W914" s="12">
        <v>30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>
        <f t="shared" si="132"/>
        <v>0</v>
      </c>
      <c r="AI914" s="13"/>
      <c r="AJ914" s="13">
        <f t="shared" si="131"/>
        <v>0</v>
      </c>
      <c r="AK914" s="9"/>
      <c r="AL914" s="13"/>
      <c r="AM914" s="9"/>
      <c r="AN914" s="9"/>
      <c r="AO914" s="9"/>
      <c r="AP914" s="14"/>
    </row>
    <row r="915" spans="1:42" s="45" customFormat="1" ht="22" customHeight="1">
      <c r="A915" s="14" t="s">
        <v>21</v>
      </c>
      <c r="B915" s="8">
        <v>2024</v>
      </c>
      <c r="C915" s="8" t="s">
        <v>8</v>
      </c>
      <c r="D915" s="9" t="s">
        <v>185</v>
      </c>
      <c r="E915" s="9" t="s">
        <v>15</v>
      </c>
      <c r="F915" s="9" t="s">
        <v>186</v>
      </c>
      <c r="G915" s="8"/>
      <c r="H915" s="8"/>
      <c r="I915" s="9" t="s">
        <v>116</v>
      </c>
      <c r="J915" s="9" t="s">
        <v>116</v>
      </c>
      <c r="K915" s="9" t="s">
        <v>269</v>
      </c>
      <c r="L915" s="9" t="s">
        <v>270</v>
      </c>
      <c r="M915" s="14" t="s">
        <v>84</v>
      </c>
      <c r="N915" s="9" t="s">
        <v>271</v>
      </c>
      <c r="O915" s="9" t="s">
        <v>296</v>
      </c>
      <c r="P915" s="9" t="s">
        <v>299</v>
      </c>
      <c r="Q915" s="11"/>
      <c r="R915" s="11"/>
      <c r="S915" s="11"/>
      <c r="T915" s="9"/>
      <c r="U915" s="14" t="s">
        <v>77</v>
      </c>
      <c r="V915" s="9"/>
      <c r="W915" s="12">
        <v>30</v>
      </c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>
        <f t="shared" si="132"/>
        <v>0</v>
      </c>
      <c r="AI915" s="13"/>
      <c r="AJ915" s="13">
        <f t="shared" si="131"/>
        <v>0</v>
      </c>
      <c r="AK915" s="9"/>
      <c r="AL915" s="13"/>
      <c r="AM915" s="9"/>
      <c r="AN915" s="9"/>
      <c r="AO915" s="9"/>
      <c r="AP915" s="14"/>
    </row>
    <row r="916" spans="1:42" s="45" customFormat="1" ht="22" customHeight="1">
      <c r="A916" s="14" t="s">
        <v>21</v>
      </c>
      <c r="B916" s="8">
        <v>2024</v>
      </c>
      <c r="C916" s="8" t="s">
        <v>8</v>
      </c>
      <c r="D916" s="9" t="s">
        <v>185</v>
      </c>
      <c r="E916" s="9" t="s">
        <v>15</v>
      </c>
      <c r="F916" s="9" t="s">
        <v>186</v>
      </c>
      <c r="G916" s="8"/>
      <c r="H916" s="8"/>
      <c r="I916" s="9" t="s">
        <v>116</v>
      </c>
      <c r="J916" s="9" t="s">
        <v>116</v>
      </c>
      <c r="K916" s="9" t="s">
        <v>269</v>
      </c>
      <c r="L916" s="9" t="s">
        <v>270</v>
      </c>
      <c r="M916" s="14" t="s">
        <v>84</v>
      </c>
      <c r="N916" s="9" t="s">
        <v>271</v>
      </c>
      <c r="O916" s="9" t="s">
        <v>296</v>
      </c>
      <c r="P916" s="9" t="s">
        <v>300</v>
      </c>
      <c r="Q916" s="11"/>
      <c r="R916" s="11"/>
      <c r="S916" s="11"/>
      <c r="T916" s="9"/>
      <c r="U916" s="14" t="s">
        <v>77</v>
      </c>
      <c r="V916" s="9"/>
      <c r="W916" s="12">
        <v>30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>
        <f t="shared" si="132"/>
        <v>0</v>
      </c>
      <c r="AI916" s="13"/>
      <c r="AJ916" s="13">
        <f t="shared" si="131"/>
        <v>0</v>
      </c>
      <c r="AK916" s="9"/>
      <c r="AL916" s="13"/>
      <c r="AM916" s="9"/>
      <c r="AN916" s="9"/>
      <c r="AO916" s="9"/>
      <c r="AP916" s="14"/>
    </row>
    <row r="917" spans="1:42" s="45" customFormat="1" ht="22" customHeight="1">
      <c r="A917" s="14" t="s">
        <v>21</v>
      </c>
      <c r="B917" s="8">
        <v>2024</v>
      </c>
      <c r="C917" s="8" t="s">
        <v>8</v>
      </c>
      <c r="D917" s="9" t="s">
        <v>185</v>
      </c>
      <c r="E917" s="9" t="s">
        <v>15</v>
      </c>
      <c r="F917" s="9" t="s">
        <v>186</v>
      </c>
      <c r="G917" s="8"/>
      <c r="H917" s="8"/>
      <c r="I917" s="9" t="s">
        <v>116</v>
      </c>
      <c r="J917" s="9" t="s">
        <v>116</v>
      </c>
      <c r="K917" s="9" t="s">
        <v>269</v>
      </c>
      <c r="L917" s="9" t="s">
        <v>270</v>
      </c>
      <c r="M917" s="14" t="s">
        <v>84</v>
      </c>
      <c r="N917" s="9" t="s">
        <v>271</v>
      </c>
      <c r="O917" s="9" t="s">
        <v>296</v>
      </c>
      <c r="P917" s="9" t="s">
        <v>301</v>
      </c>
      <c r="Q917" s="11"/>
      <c r="R917" s="11"/>
      <c r="S917" s="11"/>
      <c r="T917" s="9"/>
      <c r="U917" s="14" t="s">
        <v>77</v>
      </c>
      <c r="V917" s="9"/>
      <c r="W917" s="12">
        <v>30</v>
      </c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>
        <f t="shared" si="132"/>
        <v>0</v>
      </c>
      <c r="AI917" s="13"/>
      <c r="AJ917" s="13">
        <f t="shared" si="131"/>
        <v>0</v>
      </c>
      <c r="AK917" s="9"/>
      <c r="AL917" s="13"/>
      <c r="AM917" s="9"/>
      <c r="AN917" s="9"/>
      <c r="AO917" s="9"/>
      <c r="AP917" s="14"/>
    </row>
    <row r="918" spans="1:42" s="45" customFormat="1" ht="22" customHeight="1">
      <c r="A918" s="14" t="s">
        <v>21</v>
      </c>
      <c r="B918" s="8">
        <v>2024</v>
      </c>
      <c r="C918" s="8" t="s">
        <v>8</v>
      </c>
      <c r="D918" s="9" t="s">
        <v>185</v>
      </c>
      <c r="E918" s="9" t="s">
        <v>15</v>
      </c>
      <c r="F918" s="9" t="s">
        <v>186</v>
      </c>
      <c r="G918" s="8"/>
      <c r="H918" s="8"/>
      <c r="I918" s="9" t="s">
        <v>116</v>
      </c>
      <c r="J918" s="9" t="s">
        <v>116</v>
      </c>
      <c r="K918" s="9" t="s">
        <v>269</v>
      </c>
      <c r="L918" s="9" t="s">
        <v>270</v>
      </c>
      <c r="M918" s="14" t="s">
        <v>84</v>
      </c>
      <c r="N918" s="9" t="s">
        <v>271</v>
      </c>
      <c r="O918" s="9" t="s">
        <v>296</v>
      </c>
      <c r="P918" s="9" t="s">
        <v>302</v>
      </c>
      <c r="Q918" s="11"/>
      <c r="R918" s="11"/>
      <c r="S918" s="11"/>
      <c r="T918" s="9"/>
      <c r="U918" s="14" t="s">
        <v>77</v>
      </c>
      <c r="V918" s="9"/>
      <c r="W918" s="12">
        <v>30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>
        <f t="shared" si="132"/>
        <v>0</v>
      </c>
      <c r="AI918" s="13"/>
      <c r="AJ918" s="13">
        <f t="shared" si="131"/>
        <v>0</v>
      </c>
      <c r="AK918" s="9"/>
      <c r="AL918" s="13"/>
      <c r="AM918" s="9"/>
      <c r="AN918" s="9"/>
      <c r="AO918" s="9"/>
      <c r="AP918" s="14"/>
    </row>
    <row r="919" spans="1:42" s="45" customFormat="1" ht="22" customHeight="1">
      <c r="A919" s="14" t="s">
        <v>21</v>
      </c>
      <c r="B919" s="8">
        <v>2024</v>
      </c>
      <c r="C919" s="8" t="s">
        <v>8</v>
      </c>
      <c r="D919" s="9" t="s">
        <v>185</v>
      </c>
      <c r="E919" s="9" t="s">
        <v>15</v>
      </c>
      <c r="F919" s="9" t="s">
        <v>186</v>
      </c>
      <c r="G919" s="8"/>
      <c r="H919" s="8"/>
      <c r="I919" s="9" t="s">
        <v>116</v>
      </c>
      <c r="J919" s="9" t="s">
        <v>116</v>
      </c>
      <c r="K919" s="9" t="s">
        <v>269</v>
      </c>
      <c r="L919" s="9" t="s">
        <v>270</v>
      </c>
      <c r="M919" s="14" t="s">
        <v>84</v>
      </c>
      <c r="N919" s="9" t="s">
        <v>271</v>
      </c>
      <c r="O919" s="9" t="s">
        <v>296</v>
      </c>
      <c r="P919" s="9" t="s">
        <v>303</v>
      </c>
      <c r="Q919" s="11"/>
      <c r="R919" s="11"/>
      <c r="S919" s="11"/>
      <c r="T919" s="9"/>
      <c r="U919" s="14" t="s">
        <v>77</v>
      </c>
      <c r="V919" s="9"/>
      <c r="W919" s="12">
        <v>30</v>
      </c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>
        <f t="shared" si="132"/>
        <v>0</v>
      </c>
      <c r="AI919" s="13"/>
      <c r="AJ919" s="13">
        <f t="shared" si="131"/>
        <v>0</v>
      </c>
      <c r="AK919" s="9"/>
      <c r="AL919" s="13"/>
      <c r="AM919" s="9"/>
      <c r="AN919" s="9"/>
      <c r="AO919" s="9"/>
      <c r="AP919" s="14"/>
    </row>
    <row r="920" spans="1:42" s="45" customFormat="1" ht="22" customHeight="1">
      <c r="A920" s="14" t="s">
        <v>21</v>
      </c>
      <c r="B920" s="8">
        <v>2024</v>
      </c>
      <c r="C920" s="8" t="s">
        <v>8</v>
      </c>
      <c r="D920" s="9" t="s">
        <v>185</v>
      </c>
      <c r="E920" s="9" t="s">
        <v>15</v>
      </c>
      <c r="F920" s="9" t="s">
        <v>186</v>
      </c>
      <c r="G920" s="8"/>
      <c r="H920" s="8"/>
      <c r="I920" s="9" t="s">
        <v>116</v>
      </c>
      <c r="J920" s="9" t="s">
        <v>116</v>
      </c>
      <c r="K920" s="9" t="s">
        <v>269</v>
      </c>
      <c r="L920" s="9" t="s">
        <v>270</v>
      </c>
      <c r="M920" s="14" t="s">
        <v>84</v>
      </c>
      <c r="N920" s="9" t="s">
        <v>271</v>
      </c>
      <c r="O920" s="9" t="s">
        <v>296</v>
      </c>
      <c r="P920" s="9" t="s">
        <v>304</v>
      </c>
      <c r="Q920" s="11"/>
      <c r="R920" s="11"/>
      <c r="S920" s="11"/>
      <c r="T920" s="9"/>
      <c r="U920" s="14" t="s">
        <v>77</v>
      </c>
      <c r="V920" s="9"/>
      <c r="W920" s="12">
        <v>30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>
        <f t="shared" si="132"/>
        <v>0</v>
      </c>
      <c r="AI920" s="13"/>
      <c r="AJ920" s="13">
        <f t="shared" si="131"/>
        <v>0</v>
      </c>
      <c r="AK920" s="9"/>
      <c r="AL920" s="13"/>
      <c r="AM920" s="9"/>
      <c r="AN920" s="9"/>
      <c r="AO920" s="9"/>
      <c r="AP920" s="14"/>
    </row>
    <row r="921" spans="1:42" s="45" customFormat="1" ht="22" customHeight="1">
      <c r="A921" s="14" t="s">
        <v>21</v>
      </c>
      <c r="B921" s="8">
        <v>2024</v>
      </c>
      <c r="C921" s="8" t="s">
        <v>8</v>
      </c>
      <c r="D921" s="9" t="s">
        <v>185</v>
      </c>
      <c r="E921" s="9" t="s">
        <v>15</v>
      </c>
      <c r="F921" s="9" t="s">
        <v>186</v>
      </c>
      <c r="G921" s="8"/>
      <c r="H921" s="8"/>
      <c r="I921" s="9" t="s">
        <v>116</v>
      </c>
      <c r="J921" s="9" t="s">
        <v>116</v>
      </c>
      <c r="K921" s="9" t="s">
        <v>269</v>
      </c>
      <c r="L921" s="9" t="s">
        <v>270</v>
      </c>
      <c r="M921" s="14" t="s">
        <v>84</v>
      </c>
      <c r="N921" s="9" t="s">
        <v>271</v>
      </c>
      <c r="O921" s="9" t="s">
        <v>296</v>
      </c>
      <c r="P921" s="9" t="s">
        <v>305</v>
      </c>
      <c r="Q921" s="11"/>
      <c r="R921" s="11"/>
      <c r="S921" s="11"/>
      <c r="T921" s="9"/>
      <c r="U921" s="14" t="s">
        <v>77</v>
      </c>
      <c r="V921" s="9"/>
      <c r="W921" s="12">
        <v>30</v>
      </c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>
        <f t="shared" si="132"/>
        <v>0</v>
      </c>
      <c r="AI921" s="13"/>
      <c r="AJ921" s="13">
        <f t="shared" si="131"/>
        <v>0</v>
      </c>
      <c r="AK921" s="9"/>
      <c r="AL921" s="13"/>
      <c r="AM921" s="9"/>
      <c r="AN921" s="9"/>
      <c r="AO921" s="9"/>
      <c r="AP921" s="14"/>
    </row>
    <row r="922" spans="1:42" s="45" customFormat="1" ht="22" customHeight="1">
      <c r="A922" s="14" t="s">
        <v>21</v>
      </c>
      <c r="B922" s="8">
        <v>2024</v>
      </c>
      <c r="C922" s="8" t="s">
        <v>8</v>
      </c>
      <c r="D922" s="9" t="s">
        <v>185</v>
      </c>
      <c r="E922" s="9" t="s">
        <v>15</v>
      </c>
      <c r="F922" s="9" t="s">
        <v>186</v>
      </c>
      <c r="G922" s="8"/>
      <c r="H922" s="8"/>
      <c r="I922" s="9" t="s">
        <v>116</v>
      </c>
      <c r="J922" s="9" t="s">
        <v>116</v>
      </c>
      <c r="K922" s="9" t="s">
        <v>269</v>
      </c>
      <c r="L922" s="9" t="s">
        <v>270</v>
      </c>
      <c r="M922" s="14" t="s">
        <v>84</v>
      </c>
      <c r="N922" s="9" t="s">
        <v>271</v>
      </c>
      <c r="O922" s="9" t="s">
        <v>296</v>
      </c>
      <c r="P922" s="9" t="s">
        <v>306</v>
      </c>
      <c r="Q922" s="11"/>
      <c r="R922" s="11"/>
      <c r="S922" s="11"/>
      <c r="T922" s="9"/>
      <c r="U922" s="14" t="s">
        <v>77</v>
      </c>
      <c r="V922" s="9"/>
      <c r="W922" s="12">
        <v>30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>
        <f t="shared" si="132"/>
        <v>0</v>
      </c>
      <c r="AI922" s="13"/>
      <c r="AJ922" s="13">
        <f t="shared" si="131"/>
        <v>0</v>
      </c>
      <c r="AK922" s="9"/>
      <c r="AL922" s="13"/>
      <c r="AM922" s="9"/>
      <c r="AN922" s="9"/>
      <c r="AO922" s="9"/>
      <c r="AP922" s="14"/>
    </row>
    <row r="923" spans="1:42" s="45" customFormat="1" ht="22" customHeight="1">
      <c r="A923" s="14" t="s">
        <v>21</v>
      </c>
      <c r="B923" s="8">
        <v>2024</v>
      </c>
      <c r="C923" s="8" t="s">
        <v>8</v>
      </c>
      <c r="D923" s="9" t="s">
        <v>185</v>
      </c>
      <c r="E923" s="9" t="s">
        <v>15</v>
      </c>
      <c r="F923" s="9" t="s">
        <v>186</v>
      </c>
      <c r="G923" s="8"/>
      <c r="H923" s="8"/>
      <c r="I923" s="9" t="s">
        <v>116</v>
      </c>
      <c r="J923" s="9" t="s">
        <v>116</v>
      </c>
      <c r="K923" s="9" t="s">
        <v>269</v>
      </c>
      <c r="L923" s="9" t="s">
        <v>270</v>
      </c>
      <c r="M923" s="14" t="s">
        <v>84</v>
      </c>
      <c r="N923" s="9" t="s">
        <v>271</v>
      </c>
      <c r="O923" s="9" t="s">
        <v>296</v>
      </c>
      <c r="P923" s="9" t="s">
        <v>307</v>
      </c>
      <c r="Q923" s="11"/>
      <c r="R923" s="11"/>
      <c r="S923" s="11"/>
      <c r="T923" s="9"/>
      <c r="U923" s="14" t="s">
        <v>77</v>
      </c>
      <c r="V923" s="9"/>
      <c r="W923" s="12">
        <v>30</v>
      </c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>
        <f t="shared" si="132"/>
        <v>0</v>
      </c>
      <c r="AI923" s="13"/>
      <c r="AJ923" s="13">
        <f t="shared" si="131"/>
        <v>0</v>
      </c>
      <c r="AK923" s="9"/>
      <c r="AL923" s="13"/>
      <c r="AM923" s="9"/>
      <c r="AN923" s="9"/>
      <c r="AO923" s="9"/>
      <c r="AP923" s="14"/>
    </row>
    <row r="924" spans="1:42" s="45" customFormat="1" ht="22" customHeight="1">
      <c r="A924" s="14" t="s">
        <v>21</v>
      </c>
      <c r="B924" s="8">
        <v>2024</v>
      </c>
      <c r="C924" s="8" t="s">
        <v>8</v>
      </c>
      <c r="D924" s="9" t="s">
        <v>185</v>
      </c>
      <c r="E924" s="9" t="s">
        <v>15</v>
      </c>
      <c r="F924" s="9" t="s">
        <v>186</v>
      </c>
      <c r="G924" s="8"/>
      <c r="H924" s="8"/>
      <c r="I924" s="9" t="s">
        <v>116</v>
      </c>
      <c r="J924" s="9" t="s">
        <v>116</v>
      </c>
      <c r="K924" s="9" t="s">
        <v>269</v>
      </c>
      <c r="L924" s="9" t="s">
        <v>270</v>
      </c>
      <c r="M924" s="14" t="s">
        <v>84</v>
      </c>
      <c r="N924" s="9" t="s">
        <v>271</v>
      </c>
      <c r="O924" s="9" t="s">
        <v>296</v>
      </c>
      <c r="P924" s="9" t="s">
        <v>308</v>
      </c>
      <c r="Q924" s="11"/>
      <c r="R924" s="11"/>
      <c r="S924" s="11"/>
      <c r="T924" s="9"/>
      <c r="U924" s="14" t="s">
        <v>77</v>
      </c>
      <c r="V924" s="9"/>
      <c r="W924" s="12">
        <v>30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>
        <f t="shared" si="132"/>
        <v>0</v>
      </c>
      <c r="AI924" s="13"/>
      <c r="AJ924" s="13">
        <f t="shared" si="131"/>
        <v>0</v>
      </c>
      <c r="AK924" s="9"/>
      <c r="AL924" s="13"/>
      <c r="AM924" s="9"/>
      <c r="AN924" s="9"/>
      <c r="AO924" s="9"/>
      <c r="AP924" s="14"/>
    </row>
    <row r="925" spans="1:42" s="45" customFormat="1" ht="22" customHeight="1">
      <c r="A925" s="14" t="s">
        <v>21</v>
      </c>
      <c r="B925" s="8">
        <v>2024</v>
      </c>
      <c r="C925" s="8" t="s">
        <v>8</v>
      </c>
      <c r="D925" s="9" t="s">
        <v>185</v>
      </c>
      <c r="E925" s="9" t="s">
        <v>15</v>
      </c>
      <c r="F925" s="9" t="s">
        <v>186</v>
      </c>
      <c r="G925" s="8"/>
      <c r="H925" s="8"/>
      <c r="I925" s="9" t="s">
        <v>116</v>
      </c>
      <c r="J925" s="9" t="s">
        <v>116</v>
      </c>
      <c r="K925" s="9" t="s">
        <v>269</v>
      </c>
      <c r="L925" s="9" t="s">
        <v>270</v>
      </c>
      <c r="M925" s="14" t="s">
        <v>84</v>
      </c>
      <c r="N925" s="9" t="s">
        <v>271</v>
      </c>
      <c r="O925" s="9" t="s">
        <v>296</v>
      </c>
      <c r="P925" s="9" t="s">
        <v>309</v>
      </c>
      <c r="Q925" s="11"/>
      <c r="R925" s="11"/>
      <c r="S925" s="11"/>
      <c r="T925" s="9"/>
      <c r="U925" s="14" t="s">
        <v>77</v>
      </c>
      <c r="V925" s="9"/>
      <c r="W925" s="12">
        <v>30</v>
      </c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>
        <f t="shared" si="132"/>
        <v>0</v>
      </c>
      <c r="AI925" s="13"/>
      <c r="AJ925" s="13">
        <f t="shared" si="131"/>
        <v>0</v>
      </c>
      <c r="AK925" s="9"/>
      <c r="AL925" s="13"/>
      <c r="AM925" s="9"/>
      <c r="AN925" s="9"/>
      <c r="AO925" s="9"/>
      <c r="AP925" s="14"/>
    </row>
    <row r="926" spans="1:42" s="45" customFormat="1" ht="22" customHeight="1">
      <c r="A926" s="14" t="s">
        <v>21</v>
      </c>
      <c r="B926" s="8">
        <v>2024</v>
      </c>
      <c r="C926" s="8" t="s">
        <v>8</v>
      </c>
      <c r="D926" s="9" t="s">
        <v>185</v>
      </c>
      <c r="E926" s="9" t="s">
        <v>15</v>
      </c>
      <c r="F926" s="9" t="s">
        <v>186</v>
      </c>
      <c r="G926" s="8"/>
      <c r="H926" s="8"/>
      <c r="I926" s="9" t="s">
        <v>116</v>
      </c>
      <c r="J926" s="9" t="s">
        <v>116</v>
      </c>
      <c r="K926" s="9" t="s">
        <v>269</v>
      </c>
      <c r="L926" s="9" t="s">
        <v>270</v>
      </c>
      <c r="M926" s="14" t="s">
        <v>84</v>
      </c>
      <c r="N926" s="9" t="s">
        <v>271</v>
      </c>
      <c r="O926" s="9" t="s">
        <v>296</v>
      </c>
      <c r="P926" s="9" t="s">
        <v>310</v>
      </c>
      <c r="Q926" s="11"/>
      <c r="R926" s="11"/>
      <c r="S926" s="11"/>
      <c r="T926" s="9"/>
      <c r="U926" s="14" t="s">
        <v>77</v>
      </c>
      <c r="V926" s="9"/>
      <c r="W926" s="12">
        <v>30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>
        <f t="shared" si="132"/>
        <v>0</v>
      </c>
      <c r="AI926" s="13"/>
      <c r="AJ926" s="13">
        <f t="shared" si="131"/>
        <v>0</v>
      </c>
      <c r="AK926" s="9"/>
      <c r="AL926" s="13"/>
      <c r="AM926" s="9"/>
      <c r="AN926" s="9"/>
      <c r="AO926" s="9"/>
      <c r="AP926" s="14"/>
    </row>
    <row r="927" spans="1:42" s="45" customFormat="1" ht="22" customHeight="1">
      <c r="A927" s="14" t="s">
        <v>21</v>
      </c>
      <c r="B927" s="8">
        <v>2024</v>
      </c>
      <c r="C927" s="8" t="s">
        <v>8</v>
      </c>
      <c r="D927" s="9" t="s">
        <v>185</v>
      </c>
      <c r="E927" s="9" t="s">
        <v>15</v>
      </c>
      <c r="F927" s="9" t="s">
        <v>186</v>
      </c>
      <c r="G927" s="8"/>
      <c r="H927" s="8"/>
      <c r="I927" s="9" t="s">
        <v>116</v>
      </c>
      <c r="J927" s="9" t="s">
        <v>116</v>
      </c>
      <c r="K927" s="9" t="s">
        <v>269</v>
      </c>
      <c r="L927" s="9" t="s">
        <v>270</v>
      </c>
      <c r="M927" s="14" t="s">
        <v>84</v>
      </c>
      <c r="N927" s="9" t="s">
        <v>271</v>
      </c>
      <c r="O927" s="9" t="s">
        <v>296</v>
      </c>
      <c r="P927" s="9" t="s">
        <v>311</v>
      </c>
      <c r="Q927" s="11"/>
      <c r="R927" s="11"/>
      <c r="S927" s="11"/>
      <c r="T927" s="9"/>
      <c r="U927" s="14" t="s">
        <v>77</v>
      </c>
      <c r="V927" s="9"/>
      <c r="W927" s="12">
        <v>30</v>
      </c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>
        <f t="shared" si="132"/>
        <v>0</v>
      </c>
      <c r="AI927" s="13"/>
      <c r="AJ927" s="13">
        <f t="shared" si="131"/>
        <v>0</v>
      </c>
      <c r="AK927" s="9"/>
      <c r="AL927" s="13"/>
      <c r="AM927" s="9"/>
      <c r="AN927" s="9"/>
      <c r="AO927" s="9"/>
      <c r="AP927" s="14"/>
    </row>
    <row r="928" spans="1:42" s="45" customFormat="1" ht="22" customHeight="1">
      <c r="A928" s="14" t="s">
        <v>21</v>
      </c>
      <c r="B928" s="8">
        <v>2024</v>
      </c>
      <c r="C928" s="8" t="s">
        <v>8</v>
      </c>
      <c r="D928" s="9" t="s">
        <v>185</v>
      </c>
      <c r="E928" s="9" t="s">
        <v>15</v>
      </c>
      <c r="F928" s="9" t="s">
        <v>186</v>
      </c>
      <c r="G928" s="8"/>
      <c r="H928" s="8"/>
      <c r="I928" s="9" t="s">
        <v>116</v>
      </c>
      <c r="J928" s="9" t="s">
        <v>116</v>
      </c>
      <c r="K928" s="9" t="s">
        <v>269</v>
      </c>
      <c r="L928" s="9" t="s">
        <v>270</v>
      </c>
      <c r="M928" s="14" t="s">
        <v>84</v>
      </c>
      <c r="N928" s="9" t="s">
        <v>271</v>
      </c>
      <c r="O928" s="9" t="s">
        <v>296</v>
      </c>
      <c r="P928" s="9" t="s">
        <v>312</v>
      </c>
      <c r="Q928" s="11"/>
      <c r="R928" s="11"/>
      <c r="S928" s="11"/>
      <c r="T928" s="9"/>
      <c r="U928" s="14" t="s">
        <v>77</v>
      </c>
      <c r="V928" s="9"/>
      <c r="W928" s="12">
        <v>30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>
        <f t="shared" si="132"/>
        <v>0</v>
      </c>
      <c r="AI928" s="13"/>
      <c r="AJ928" s="13">
        <f t="shared" si="131"/>
        <v>0</v>
      </c>
      <c r="AK928" s="9"/>
      <c r="AL928" s="13"/>
      <c r="AM928" s="9"/>
      <c r="AN928" s="9"/>
      <c r="AO928" s="9"/>
      <c r="AP928" s="14"/>
    </row>
    <row r="929" spans="1:42" s="45" customFormat="1" ht="22" customHeight="1">
      <c r="A929" s="14" t="s">
        <v>21</v>
      </c>
      <c r="B929" s="8">
        <v>2024</v>
      </c>
      <c r="C929" s="8" t="s">
        <v>8</v>
      </c>
      <c r="D929" s="9" t="s">
        <v>185</v>
      </c>
      <c r="E929" s="9" t="s">
        <v>15</v>
      </c>
      <c r="F929" s="9" t="s">
        <v>186</v>
      </c>
      <c r="G929" s="8"/>
      <c r="H929" s="8"/>
      <c r="I929" s="9" t="s">
        <v>116</v>
      </c>
      <c r="J929" s="9" t="s">
        <v>116</v>
      </c>
      <c r="K929" s="9" t="s">
        <v>269</v>
      </c>
      <c r="L929" s="9" t="s">
        <v>270</v>
      </c>
      <c r="M929" s="14" t="s">
        <v>84</v>
      </c>
      <c r="N929" s="9" t="s">
        <v>271</v>
      </c>
      <c r="O929" s="9" t="s">
        <v>296</v>
      </c>
      <c r="P929" s="9" t="s">
        <v>313</v>
      </c>
      <c r="Q929" s="11"/>
      <c r="R929" s="11"/>
      <c r="S929" s="11"/>
      <c r="T929" s="9"/>
      <c r="U929" s="14" t="s">
        <v>77</v>
      </c>
      <c r="V929" s="9"/>
      <c r="W929" s="12">
        <v>30</v>
      </c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>
        <f t="shared" si="132"/>
        <v>0</v>
      </c>
      <c r="AI929" s="13"/>
      <c r="AJ929" s="13">
        <f t="shared" si="131"/>
        <v>0</v>
      </c>
      <c r="AK929" s="9"/>
      <c r="AL929" s="13"/>
      <c r="AM929" s="9"/>
      <c r="AN929" s="9"/>
      <c r="AO929" s="9"/>
      <c r="AP929" s="14"/>
    </row>
    <row r="930" spans="1:42" s="45" customFormat="1" ht="22" customHeight="1">
      <c r="A930" s="14" t="s">
        <v>21</v>
      </c>
      <c r="B930" s="8">
        <v>2024</v>
      </c>
      <c r="C930" s="8" t="s">
        <v>8</v>
      </c>
      <c r="D930" s="9" t="s">
        <v>185</v>
      </c>
      <c r="E930" s="9" t="s">
        <v>15</v>
      </c>
      <c r="F930" s="9" t="s">
        <v>186</v>
      </c>
      <c r="G930" s="8"/>
      <c r="H930" s="8"/>
      <c r="I930" s="9" t="s">
        <v>116</v>
      </c>
      <c r="J930" s="9" t="s">
        <v>116</v>
      </c>
      <c r="K930" s="9" t="s">
        <v>269</v>
      </c>
      <c r="L930" s="9" t="s">
        <v>270</v>
      </c>
      <c r="M930" s="14" t="s">
        <v>84</v>
      </c>
      <c r="N930" s="9" t="s">
        <v>271</v>
      </c>
      <c r="O930" s="9" t="s">
        <v>296</v>
      </c>
      <c r="P930" s="9" t="s">
        <v>314</v>
      </c>
      <c r="Q930" s="11"/>
      <c r="R930" s="11"/>
      <c r="S930" s="11"/>
      <c r="T930" s="9"/>
      <c r="U930" s="14" t="s">
        <v>77</v>
      </c>
      <c r="V930" s="9"/>
      <c r="W930" s="12">
        <v>30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>
        <f t="shared" si="132"/>
        <v>0</v>
      </c>
      <c r="AI930" s="13"/>
      <c r="AJ930" s="13">
        <f t="shared" si="131"/>
        <v>0</v>
      </c>
      <c r="AK930" s="9"/>
      <c r="AL930" s="13"/>
      <c r="AM930" s="9"/>
      <c r="AN930" s="9"/>
      <c r="AO930" s="9"/>
      <c r="AP930" s="14"/>
    </row>
    <row r="931" spans="1:42" s="45" customFormat="1" ht="22" customHeight="1">
      <c r="A931" s="14" t="s">
        <v>21</v>
      </c>
      <c r="B931" s="8">
        <v>2024</v>
      </c>
      <c r="C931" s="8" t="s">
        <v>8</v>
      </c>
      <c r="D931" s="9" t="s">
        <v>185</v>
      </c>
      <c r="E931" s="9" t="s">
        <v>15</v>
      </c>
      <c r="F931" s="9" t="s">
        <v>186</v>
      </c>
      <c r="G931" s="8"/>
      <c r="H931" s="8"/>
      <c r="I931" s="9" t="s">
        <v>116</v>
      </c>
      <c r="J931" s="9" t="s">
        <v>116</v>
      </c>
      <c r="K931" s="9" t="s">
        <v>269</v>
      </c>
      <c r="L931" s="9" t="s">
        <v>270</v>
      </c>
      <c r="M931" s="14" t="s">
        <v>84</v>
      </c>
      <c r="N931" s="9" t="s">
        <v>271</v>
      </c>
      <c r="O931" s="9" t="s">
        <v>296</v>
      </c>
      <c r="P931" s="9" t="s">
        <v>315</v>
      </c>
      <c r="Q931" s="11"/>
      <c r="R931" s="11"/>
      <c r="S931" s="11"/>
      <c r="T931" s="9"/>
      <c r="U931" s="14" t="s">
        <v>77</v>
      </c>
      <c r="V931" s="9"/>
      <c r="W931" s="12">
        <v>30</v>
      </c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>
        <f t="shared" si="132"/>
        <v>0</v>
      </c>
      <c r="AI931" s="13"/>
      <c r="AJ931" s="13">
        <f t="shared" si="131"/>
        <v>0</v>
      </c>
      <c r="AK931" s="9"/>
      <c r="AL931" s="13"/>
      <c r="AM931" s="9"/>
      <c r="AN931" s="9"/>
      <c r="AO931" s="9"/>
      <c r="AP931" s="14"/>
    </row>
    <row r="932" spans="1:42" s="45" customFormat="1" ht="22" customHeight="1">
      <c r="A932" s="14" t="s">
        <v>21</v>
      </c>
      <c r="B932" s="8">
        <v>2024</v>
      </c>
      <c r="C932" s="8" t="s">
        <v>8</v>
      </c>
      <c r="D932" s="9" t="s">
        <v>185</v>
      </c>
      <c r="E932" s="9" t="s">
        <v>15</v>
      </c>
      <c r="F932" s="9" t="s">
        <v>186</v>
      </c>
      <c r="G932" s="8"/>
      <c r="H932" s="8"/>
      <c r="I932" s="9" t="s">
        <v>116</v>
      </c>
      <c r="J932" s="9" t="s">
        <v>116</v>
      </c>
      <c r="K932" s="9" t="s">
        <v>269</v>
      </c>
      <c r="L932" s="9" t="s">
        <v>270</v>
      </c>
      <c r="M932" s="14" t="s">
        <v>84</v>
      </c>
      <c r="N932" s="9" t="s">
        <v>271</v>
      </c>
      <c r="O932" s="9" t="s">
        <v>296</v>
      </c>
      <c r="P932" s="9" t="s">
        <v>316</v>
      </c>
      <c r="Q932" s="11"/>
      <c r="R932" s="11"/>
      <c r="S932" s="11"/>
      <c r="T932" s="9"/>
      <c r="U932" s="14" t="s">
        <v>77</v>
      </c>
      <c r="V932" s="9"/>
      <c r="W932" s="12">
        <v>30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>
        <f t="shared" si="132"/>
        <v>0</v>
      </c>
      <c r="AI932" s="13"/>
      <c r="AJ932" s="13">
        <f t="shared" si="131"/>
        <v>0</v>
      </c>
      <c r="AK932" s="9"/>
      <c r="AL932" s="13"/>
      <c r="AM932" s="9"/>
      <c r="AN932" s="9"/>
      <c r="AO932" s="9"/>
      <c r="AP932" s="14"/>
    </row>
    <row r="933" spans="1:42" s="45" customFormat="1" ht="22" customHeight="1">
      <c r="A933" s="14" t="s">
        <v>21</v>
      </c>
      <c r="B933" s="8">
        <v>2024</v>
      </c>
      <c r="C933" s="8" t="s">
        <v>8</v>
      </c>
      <c r="D933" s="9" t="s">
        <v>185</v>
      </c>
      <c r="E933" s="9" t="s">
        <v>15</v>
      </c>
      <c r="F933" s="9" t="s">
        <v>186</v>
      </c>
      <c r="G933" s="8"/>
      <c r="H933" s="8"/>
      <c r="I933" s="9" t="s">
        <v>116</v>
      </c>
      <c r="J933" s="9" t="s">
        <v>116</v>
      </c>
      <c r="K933" s="9" t="s">
        <v>269</v>
      </c>
      <c r="L933" s="9" t="s">
        <v>270</v>
      </c>
      <c r="M933" s="14" t="s">
        <v>84</v>
      </c>
      <c r="N933" s="9" t="s">
        <v>271</v>
      </c>
      <c r="O933" s="9" t="s">
        <v>296</v>
      </c>
      <c r="P933" s="9" t="s">
        <v>317</v>
      </c>
      <c r="Q933" s="11"/>
      <c r="R933" s="11"/>
      <c r="S933" s="11"/>
      <c r="T933" s="9"/>
      <c r="U933" s="14" t="s">
        <v>77</v>
      </c>
      <c r="V933" s="9"/>
      <c r="W933" s="12">
        <v>30</v>
      </c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>
        <f t="shared" si="132"/>
        <v>0</v>
      </c>
      <c r="AI933" s="13"/>
      <c r="AJ933" s="13">
        <f t="shared" si="131"/>
        <v>0</v>
      </c>
      <c r="AK933" s="9"/>
      <c r="AL933" s="13"/>
      <c r="AM933" s="9"/>
      <c r="AN933" s="9"/>
      <c r="AO933" s="9"/>
      <c r="AP933" s="14"/>
    </row>
    <row r="934" spans="1:42" s="45" customFormat="1" ht="22" customHeight="1">
      <c r="A934" s="14" t="s">
        <v>21</v>
      </c>
      <c r="B934" s="8">
        <v>2024</v>
      </c>
      <c r="C934" s="8" t="s">
        <v>8</v>
      </c>
      <c r="D934" s="9" t="s">
        <v>185</v>
      </c>
      <c r="E934" s="9" t="s">
        <v>15</v>
      </c>
      <c r="F934" s="9" t="s">
        <v>186</v>
      </c>
      <c r="G934" s="8"/>
      <c r="H934" s="8"/>
      <c r="I934" s="9" t="s">
        <v>116</v>
      </c>
      <c r="J934" s="9" t="s">
        <v>116</v>
      </c>
      <c r="K934" s="9" t="s">
        <v>269</v>
      </c>
      <c r="L934" s="9" t="s">
        <v>270</v>
      </c>
      <c r="M934" s="14" t="s">
        <v>84</v>
      </c>
      <c r="N934" s="9" t="s">
        <v>271</v>
      </c>
      <c r="O934" s="9" t="s">
        <v>318</v>
      </c>
      <c r="P934" s="9" t="s">
        <v>319</v>
      </c>
      <c r="Q934" s="11"/>
      <c r="R934" s="11"/>
      <c r="S934" s="11"/>
      <c r="T934" s="9"/>
      <c r="U934" s="14" t="s">
        <v>77</v>
      </c>
      <c r="V934" s="9"/>
      <c r="W934" s="12">
        <v>30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>
        <f t="shared" si="132"/>
        <v>0</v>
      </c>
      <c r="AI934" s="13"/>
      <c r="AJ934" s="13">
        <f t="shared" si="131"/>
        <v>0</v>
      </c>
      <c r="AK934" s="9"/>
      <c r="AL934" s="13"/>
      <c r="AM934" s="9"/>
      <c r="AN934" s="9"/>
      <c r="AO934" s="9"/>
      <c r="AP934" s="14"/>
    </row>
    <row r="935" spans="1:42" s="45" customFormat="1" ht="22" customHeight="1">
      <c r="A935" s="14" t="s">
        <v>21</v>
      </c>
      <c r="B935" s="8">
        <v>2024</v>
      </c>
      <c r="C935" s="8" t="s">
        <v>8</v>
      </c>
      <c r="D935" s="9" t="s">
        <v>185</v>
      </c>
      <c r="E935" s="9" t="s">
        <v>15</v>
      </c>
      <c r="F935" s="9" t="s">
        <v>186</v>
      </c>
      <c r="G935" s="8"/>
      <c r="H935" s="8"/>
      <c r="I935" s="9" t="s">
        <v>116</v>
      </c>
      <c r="J935" s="9" t="s">
        <v>116</v>
      </c>
      <c r="K935" s="9" t="s">
        <v>269</v>
      </c>
      <c r="L935" s="9" t="s">
        <v>270</v>
      </c>
      <c r="M935" s="14" t="s">
        <v>84</v>
      </c>
      <c r="N935" s="9" t="s">
        <v>271</v>
      </c>
      <c r="O935" s="9" t="s">
        <v>318</v>
      </c>
      <c r="P935" s="9" t="s">
        <v>320</v>
      </c>
      <c r="Q935" s="11"/>
      <c r="R935" s="11"/>
      <c r="S935" s="11"/>
      <c r="T935" s="9"/>
      <c r="U935" s="14" t="s">
        <v>77</v>
      </c>
      <c r="V935" s="9"/>
      <c r="W935" s="12">
        <v>30</v>
      </c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>
        <f t="shared" si="132"/>
        <v>0</v>
      </c>
      <c r="AI935" s="13"/>
      <c r="AJ935" s="13">
        <f t="shared" si="131"/>
        <v>0</v>
      </c>
      <c r="AK935" s="9"/>
      <c r="AL935" s="13"/>
      <c r="AM935" s="9"/>
      <c r="AN935" s="9"/>
      <c r="AO935" s="9"/>
      <c r="AP935" s="14"/>
    </row>
    <row r="936" spans="1:42" s="45" customFormat="1" ht="22" customHeight="1">
      <c r="A936" s="14" t="s">
        <v>21</v>
      </c>
      <c r="B936" s="8">
        <v>2024</v>
      </c>
      <c r="C936" s="8" t="s">
        <v>8</v>
      </c>
      <c r="D936" s="9" t="s">
        <v>185</v>
      </c>
      <c r="E936" s="9" t="s">
        <v>15</v>
      </c>
      <c r="F936" s="9" t="s">
        <v>186</v>
      </c>
      <c r="G936" s="8"/>
      <c r="H936" s="8"/>
      <c r="I936" s="9" t="s">
        <v>116</v>
      </c>
      <c r="J936" s="9" t="s">
        <v>116</v>
      </c>
      <c r="K936" s="9" t="s">
        <v>269</v>
      </c>
      <c r="L936" s="9" t="s">
        <v>270</v>
      </c>
      <c r="M936" s="14" t="s">
        <v>84</v>
      </c>
      <c r="N936" s="9" t="s">
        <v>271</v>
      </c>
      <c r="O936" s="9" t="s">
        <v>318</v>
      </c>
      <c r="P936" s="9" t="s">
        <v>321</v>
      </c>
      <c r="Q936" s="11"/>
      <c r="R936" s="11"/>
      <c r="S936" s="11"/>
      <c r="T936" s="9"/>
      <c r="U936" s="14" t="s">
        <v>77</v>
      </c>
      <c r="V936" s="9"/>
      <c r="W936" s="12">
        <v>30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>
        <f t="shared" si="132"/>
        <v>0</v>
      </c>
      <c r="AI936" s="13"/>
      <c r="AJ936" s="13">
        <f t="shared" si="131"/>
        <v>0</v>
      </c>
      <c r="AK936" s="9"/>
      <c r="AL936" s="13"/>
      <c r="AM936" s="9"/>
      <c r="AN936" s="9"/>
      <c r="AO936" s="9"/>
      <c r="AP936" s="14"/>
    </row>
    <row r="937" spans="1:42" s="45" customFormat="1" ht="22" customHeight="1">
      <c r="A937" s="14" t="s">
        <v>21</v>
      </c>
      <c r="B937" s="8">
        <v>2024</v>
      </c>
      <c r="C937" s="8" t="s">
        <v>8</v>
      </c>
      <c r="D937" s="9" t="s">
        <v>185</v>
      </c>
      <c r="E937" s="9" t="s">
        <v>15</v>
      </c>
      <c r="F937" s="9" t="s">
        <v>186</v>
      </c>
      <c r="G937" s="8"/>
      <c r="H937" s="8"/>
      <c r="I937" s="9" t="s">
        <v>116</v>
      </c>
      <c r="J937" s="9" t="s">
        <v>116</v>
      </c>
      <c r="K937" s="9" t="s">
        <v>269</v>
      </c>
      <c r="L937" s="9" t="s">
        <v>270</v>
      </c>
      <c r="M937" s="14" t="s">
        <v>84</v>
      </c>
      <c r="N937" s="9" t="s">
        <v>271</v>
      </c>
      <c r="O937" s="9" t="s">
        <v>318</v>
      </c>
      <c r="P937" s="9" t="s">
        <v>322</v>
      </c>
      <c r="Q937" s="11"/>
      <c r="R937" s="11"/>
      <c r="S937" s="11"/>
      <c r="T937" s="9"/>
      <c r="U937" s="14" t="s">
        <v>77</v>
      </c>
      <c r="V937" s="9"/>
      <c r="W937" s="12">
        <v>30</v>
      </c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>
        <f t="shared" si="132"/>
        <v>0</v>
      </c>
      <c r="AI937" s="13"/>
      <c r="AJ937" s="13">
        <f t="shared" si="131"/>
        <v>0</v>
      </c>
      <c r="AK937" s="9"/>
      <c r="AL937" s="13"/>
      <c r="AM937" s="9"/>
      <c r="AN937" s="9"/>
      <c r="AO937" s="9"/>
      <c r="AP937" s="14"/>
    </row>
    <row r="938" spans="1:42" s="45" customFormat="1" ht="22" customHeight="1">
      <c r="A938" s="14" t="s">
        <v>21</v>
      </c>
      <c r="B938" s="8">
        <v>2024</v>
      </c>
      <c r="C938" s="8" t="s">
        <v>8</v>
      </c>
      <c r="D938" s="9" t="s">
        <v>185</v>
      </c>
      <c r="E938" s="9" t="s">
        <v>15</v>
      </c>
      <c r="F938" s="9" t="s">
        <v>186</v>
      </c>
      <c r="G938" s="8"/>
      <c r="H938" s="8"/>
      <c r="I938" s="9" t="s">
        <v>116</v>
      </c>
      <c r="J938" s="9" t="s">
        <v>116</v>
      </c>
      <c r="K938" s="9" t="s">
        <v>269</v>
      </c>
      <c r="L938" s="9" t="s">
        <v>270</v>
      </c>
      <c r="M938" s="14" t="s">
        <v>84</v>
      </c>
      <c r="N938" s="9" t="s">
        <v>271</v>
      </c>
      <c r="O938" s="9" t="s">
        <v>318</v>
      </c>
      <c r="P938" s="9" t="s">
        <v>323</v>
      </c>
      <c r="Q938" s="11"/>
      <c r="R938" s="11"/>
      <c r="S938" s="11"/>
      <c r="T938" s="9"/>
      <c r="U938" s="14" t="s">
        <v>77</v>
      </c>
      <c r="V938" s="9"/>
      <c r="W938" s="12">
        <v>30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>
        <f t="shared" si="132"/>
        <v>0</v>
      </c>
      <c r="AI938" s="13"/>
      <c r="AJ938" s="13">
        <f t="shared" si="131"/>
        <v>0</v>
      </c>
      <c r="AK938" s="9"/>
      <c r="AL938" s="13"/>
      <c r="AM938" s="9"/>
      <c r="AN938" s="9"/>
      <c r="AO938" s="9"/>
      <c r="AP938" s="14"/>
    </row>
    <row r="939" spans="1:42" s="45" customFormat="1" ht="22" customHeight="1">
      <c r="A939" s="14" t="s">
        <v>21</v>
      </c>
      <c r="B939" s="8">
        <v>2024</v>
      </c>
      <c r="C939" s="8" t="s">
        <v>8</v>
      </c>
      <c r="D939" s="9" t="s">
        <v>185</v>
      </c>
      <c r="E939" s="9" t="s">
        <v>15</v>
      </c>
      <c r="F939" s="9" t="s">
        <v>186</v>
      </c>
      <c r="G939" s="8"/>
      <c r="H939" s="8"/>
      <c r="I939" s="9" t="s">
        <v>28</v>
      </c>
      <c r="J939" s="9" t="s">
        <v>11</v>
      </c>
      <c r="K939" s="9" t="s">
        <v>82</v>
      </c>
      <c r="L939" s="9" t="s">
        <v>166</v>
      </c>
      <c r="M939" s="9" t="s">
        <v>28</v>
      </c>
      <c r="N939" s="9" t="s">
        <v>271</v>
      </c>
      <c r="O939" s="9" t="s">
        <v>324</v>
      </c>
      <c r="P939" s="9" t="s">
        <v>325</v>
      </c>
      <c r="Q939" s="11">
        <v>192</v>
      </c>
      <c r="R939" s="11"/>
      <c r="S939" s="11">
        <f t="shared" ref="S939:S976" si="133">Q939+R939</f>
        <v>192</v>
      </c>
      <c r="T939" s="9"/>
      <c r="U939" s="14" t="s">
        <v>77</v>
      </c>
      <c r="V939" s="9"/>
      <c r="W939" s="12">
        <v>30</v>
      </c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>
        <f t="shared" si="132"/>
        <v>0.28799999999999998</v>
      </c>
      <c r="AI939" s="13"/>
      <c r="AJ939" s="13">
        <f t="shared" si="131"/>
        <v>0.28799999999999998</v>
      </c>
      <c r="AK939" s="9"/>
      <c r="AL939" s="13"/>
      <c r="AM939" s="9"/>
      <c r="AN939" s="9"/>
      <c r="AO939" s="9"/>
      <c r="AP939" s="14"/>
    </row>
    <row r="940" spans="1:42" s="45" customFormat="1" ht="22" customHeight="1">
      <c r="A940" s="14" t="s">
        <v>21</v>
      </c>
      <c r="B940" s="8">
        <v>2024</v>
      </c>
      <c r="C940" s="8" t="s">
        <v>8</v>
      </c>
      <c r="D940" s="9" t="s">
        <v>185</v>
      </c>
      <c r="E940" s="9" t="s">
        <v>15</v>
      </c>
      <c r="F940" s="9" t="s">
        <v>186</v>
      </c>
      <c r="G940" s="8"/>
      <c r="H940" s="8"/>
      <c r="I940" s="9" t="s">
        <v>28</v>
      </c>
      <c r="J940" s="9" t="s">
        <v>11</v>
      </c>
      <c r="K940" s="9" t="s">
        <v>82</v>
      </c>
      <c r="L940" s="9" t="s">
        <v>166</v>
      </c>
      <c r="M940" s="9" t="s">
        <v>28</v>
      </c>
      <c r="N940" s="9" t="s">
        <v>271</v>
      </c>
      <c r="O940" s="9" t="s">
        <v>324</v>
      </c>
      <c r="P940" s="9" t="s">
        <v>324</v>
      </c>
      <c r="Q940" s="11">
        <v>168</v>
      </c>
      <c r="R940" s="11"/>
      <c r="S940" s="11">
        <f t="shared" si="133"/>
        <v>168</v>
      </c>
      <c r="T940" s="9"/>
      <c r="U940" s="14" t="s">
        <v>77</v>
      </c>
      <c r="V940" s="9"/>
      <c r="W940" s="12">
        <v>30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>
        <f t="shared" si="132"/>
        <v>0.252</v>
      </c>
      <c r="AI940" s="13"/>
      <c r="AJ940" s="13">
        <f t="shared" si="131"/>
        <v>0.252</v>
      </c>
      <c r="AK940" s="9"/>
      <c r="AL940" s="13"/>
      <c r="AM940" s="9"/>
      <c r="AN940" s="9"/>
      <c r="AO940" s="9"/>
      <c r="AP940" s="14"/>
    </row>
    <row r="941" spans="1:42" s="45" customFormat="1" ht="22" customHeight="1">
      <c r="A941" s="14" t="s">
        <v>21</v>
      </c>
      <c r="B941" s="8">
        <v>2024</v>
      </c>
      <c r="C941" s="8" t="s">
        <v>8</v>
      </c>
      <c r="D941" s="9" t="s">
        <v>185</v>
      </c>
      <c r="E941" s="9" t="s">
        <v>15</v>
      </c>
      <c r="F941" s="9" t="s">
        <v>186</v>
      </c>
      <c r="G941" s="8"/>
      <c r="H941" s="8"/>
      <c r="I941" s="9" t="s">
        <v>28</v>
      </c>
      <c r="J941" s="9" t="s">
        <v>11</v>
      </c>
      <c r="K941" s="9" t="s">
        <v>82</v>
      </c>
      <c r="L941" s="9" t="s">
        <v>166</v>
      </c>
      <c r="M941" s="9" t="s">
        <v>28</v>
      </c>
      <c r="N941" s="9" t="s">
        <v>271</v>
      </c>
      <c r="O941" s="9" t="s">
        <v>324</v>
      </c>
      <c r="P941" s="9" t="s">
        <v>326</v>
      </c>
      <c r="Q941" s="11">
        <v>186</v>
      </c>
      <c r="R941" s="11"/>
      <c r="S941" s="11">
        <f t="shared" si="133"/>
        <v>186</v>
      </c>
      <c r="T941" s="9"/>
      <c r="U941" s="14" t="s">
        <v>77</v>
      </c>
      <c r="V941" s="9"/>
      <c r="W941" s="12">
        <v>30</v>
      </c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>
        <f t="shared" si="132"/>
        <v>0.27900000000000003</v>
      </c>
      <c r="AI941" s="13"/>
      <c r="AJ941" s="13">
        <f t="shared" si="131"/>
        <v>0.27900000000000003</v>
      </c>
      <c r="AK941" s="9"/>
      <c r="AL941" s="13"/>
      <c r="AM941" s="9"/>
      <c r="AN941" s="9"/>
      <c r="AO941" s="9"/>
      <c r="AP941" s="14"/>
    </row>
    <row r="942" spans="1:42" s="45" customFormat="1" ht="22" customHeight="1">
      <c r="A942" s="14" t="s">
        <v>21</v>
      </c>
      <c r="B942" s="8">
        <v>2024</v>
      </c>
      <c r="C942" s="8" t="s">
        <v>8</v>
      </c>
      <c r="D942" s="9" t="s">
        <v>185</v>
      </c>
      <c r="E942" s="9" t="s">
        <v>15</v>
      </c>
      <c r="F942" s="9" t="s">
        <v>186</v>
      </c>
      <c r="G942" s="8"/>
      <c r="H942" s="8"/>
      <c r="I942" s="9" t="s">
        <v>28</v>
      </c>
      <c r="J942" s="9" t="s">
        <v>11</v>
      </c>
      <c r="K942" s="9" t="s">
        <v>82</v>
      </c>
      <c r="L942" s="9" t="s">
        <v>166</v>
      </c>
      <c r="M942" s="9" t="s">
        <v>28</v>
      </c>
      <c r="N942" s="9" t="s">
        <v>271</v>
      </c>
      <c r="O942" s="9" t="s">
        <v>324</v>
      </c>
      <c r="P942" s="9" t="s">
        <v>327</v>
      </c>
      <c r="Q942" s="11">
        <v>179</v>
      </c>
      <c r="R942" s="11"/>
      <c r="S942" s="11">
        <f t="shared" si="133"/>
        <v>179</v>
      </c>
      <c r="T942" s="9"/>
      <c r="U942" s="14" t="s">
        <v>77</v>
      </c>
      <c r="V942" s="9"/>
      <c r="W942" s="12">
        <v>30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>
        <f t="shared" si="132"/>
        <v>0.26850000000000002</v>
      </c>
      <c r="AI942" s="13"/>
      <c r="AJ942" s="13">
        <f t="shared" si="131"/>
        <v>0.26850000000000002</v>
      </c>
      <c r="AK942" s="9"/>
      <c r="AL942" s="13"/>
      <c r="AM942" s="9"/>
      <c r="AN942" s="9"/>
      <c r="AO942" s="9"/>
      <c r="AP942" s="14"/>
    </row>
    <row r="943" spans="1:42" s="45" customFormat="1" ht="22" customHeight="1">
      <c r="A943" s="14" t="s">
        <v>21</v>
      </c>
      <c r="B943" s="8">
        <v>2024</v>
      </c>
      <c r="C943" s="8" t="s">
        <v>8</v>
      </c>
      <c r="D943" s="9" t="s">
        <v>185</v>
      </c>
      <c r="E943" s="9" t="s">
        <v>15</v>
      </c>
      <c r="F943" s="9" t="s">
        <v>186</v>
      </c>
      <c r="G943" s="8"/>
      <c r="H943" s="8"/>
      <c r="I943" s="9" t="s">
        <v>28</v>
      </c>
      <c r="J943" s="9" t="s">
        <v>11</v>
      </c>
      <c r="K943" s="9" t="s">
        <v>82</v>
      </c>
      <c r="L943" s="9" t="s">
        <v>166</v>
      </c>
      <c r="M943" s="9" t="s">
        <v>28</v>
      </c>
      <c r="N943" s="9" t="s">
        <v>271</v>
      </c>
      <c r="O943" s="9" t="s">
        <v>324</v>
      </c>
      <c r="P943" s="9" t="s">
        <v>328</v>
      </c>
      <c r="Q943" s="11">
        <v>164</v>
      </c>
      <c r="R943" s="11"/>
      <c r="S943" s="11">
        <f t="shared" si="133"/>
        <v>164</v>
      </c>
      <c r="T943" s="9"/>
      <c r="U943" s="14" t="s">
        <v>77</v>
      </c>
      <c r="V943" s="9"/>
      <c r="W943" s="12">
        <v>30</v>
      </c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>
        <f t="shared" si="132"/>
        <v>0.246</v>
      </c>
      <c r="AI943" s="13"/>
      <c r="AJ943" s="13">
        <f t="shared" si="131"/>
        <v>0.246</v>
      </c>
      <c r="AK943" s="9"/>
      <c r="AL943" s="13"/>
      <c r="AM943" s="9"/>
      <c r="AN943" s="9"/>
      <c r="AO943" s="9"/>
      <c r="AP943" s="14"/>
    </row>
    <row r="944" spans="1:42" s="45" customFormat="1" ht="22" customHeight="1">
      <c r="A944" s="14" t="s">
        <v>21</v>
      </c>
      <c r="B944" s="8">
        <v>2024</v>
      </c>
      <c r="C944" s="8" t="s">
        <v>8</v>
      </c>
      <c r="D944" s="9" t="s">
        <v>185</v>
      </c>
      <c r="E944" s="9" t="s">
        <v>15</v>
      </c>
      <c r="F944" s="9" t="s">
        <v>186</v>
      </c>
      <c r="G944" s="8"/>
      <c r="H944" s="8"/>
      <c r="I944" s="9" t="s">
        <v>28</v>
      </c>
      <c r="J944" s="9" t="s">
        <v>11</v>
      </c>
      <c r="K944" s="9" t="s">
        <v>82</v>
      </c>
      <c r="L944" s="9" t="s">
        <v>166</v>
      </c>
      <c r="M944" s="9" t="s">
        <v>28</v>
      </c>
      <c r="N944" s="9" t="s">
        <v>271</v>
      </c>
      <c r="O944" s="9" t="s">
        <v>324</v>
      </c>
      <c r="P944" s="9" t="s">
        <v>329</v>
      </c>
      <c r="Q944" s="11">
        <v>174</v>
      </c>
      <c r="R944" s="11"/>
      <c r="S944" s="11">
        <f t="shared" si="133"/>
        <v>174</v>
      </c>
      <c r="T944" s="9"/>
      <c r="U944" s="14" t="s">
        <v>77</v>
      </c>
      <c r="V944" s="9"/>
      <c r="W944" s="12">
        <v>30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>
        <f t="shared" si="132"/>
        <v>0.26100000000000001</v>
      </c>
      <c r="AI944" s="13"/>
      <c r="AJ944" s="13">
        <f t="shared" si="131"/>
        <v>0.26100000000000001</v>
      </c>
      <c r="AK944" s="9"/>
      <c r="AL944" s="13"/>
      <c r="AM944" s="9"/>
      <c r="AN944" s="9"/>
      <c r="AO944" s="9"/>
      <c r="AP944" s="14"/>
    </row>
    <row r="945" spans="1:42" s="45" customFormat="1" ht="22" customHeight="1">
      <c r="A945" s="14" t="s">
        <v>21</v>
      </c>
      <c r="B945" s="8">
        <v>2024</v>
      </c>
      <c r="C945" s="8" t="s">
        <v>8</v>
      </c>
      <c r="D945" s="9" t="s">
        <v>185</v>
      </c>
      <c r="E945" s="9" t="s">
        <v>15</v>
      </c>
      <c r="F945" s="9" t="s">
        <v>186</v>
      </c>
      <c r="G945" s="8"/>
      <c r="H945" s="8"/>
      <c r="I945" s="9" t="s">
        <v>28</v>
      </c>
      <c r="J945" s="9" t="s">
        <v>11</v>
      </c>
      <c r="K945" s="9" t="s">
        <v>82</v>
      </c>
      <c r="L945" s="9" t="s">
        <v>166</v>
      </c>
      <c r="M945" s="9" t="s">
        <v>28</v>
      </c>
      <c r="N945" s="9" t="s">
        <v>271</v>
      </c>
      <c r="O945" s="9" t="s">
        <v>324</v>
      </c>
      <c r="P945" s="9" t="s">
        <v>330</v>
      </c>
      <c r="Q945" s="11">
        <v>168</v>
      </c>
      <c r="R945" s="11"/>
      <c r="S945" s="11">
        <f t="shared" si="133"/>
        <v>168</v>
      </c>
      <c r="T945" s="9"/>
      <c r="U945" s="14" t="s">
        <v>77</v>
      </c>
      <c r="V945" s="9"/>
      <c r="W945" s="12">
        <v>30</v>
      </c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>
        <f t="shared" si="132"/>
        <v>0.252</v>
      </c>
      <c r="AI945" s="13"/>
      <c r="AJ945" s="13">
        <f t="shared" si="131"/>
        <v>0.252</v>
      </c>
      <c r="AK945" s="9"/>
      <c r="AL945" s="13"/>
      <c r="AM945" s="9"/>
      <c r="AN945" s="9"/>
      <c r="AO945" s="9"/>
      <c r="AP945" s="14"/>
    </row>
    <row r="946" spans="1:42" s="45" customFormat="1" ht="22" customHeight="1">
      <c r="A946" s="14" t="s">
        <v>21</v>
      </c>
      <c r="B946" s="8">
        <v>2024</v>
      </c>
      <c r="C946" s="8" t="s">
        <v>8</v>
      </c>
      <c r="D946" s="9" t="s">
        <v>185</v>
      </c>
      <c r="E946" s="9" t="s">
        <v>15</v>
      </c>
      <c r="F946" s="9" t="s">
        <v>186</v>
      </c>
      <c r="G946" s="8"/>
      <c r="H946" s="8"/>
      <c r="I946" s="9" t="s">
        <v>28</v>
      </c>
      <c r="J946" s="9" t="s">
        <v>11</v>
      </c>
      <c r="K946" s="9" t="s">
        <v>82</v>
      </c>
      <c r="L946" s="9" t="s">
        <v>166</v>
      </c>
      <c r="M946" s="9" t="s">
        <v>28</v>
      </c>
      <c r="N946" s="9" t="s">
        <v>271</v>
      </c>
      <c r="O946" s="9" t="s">
        <v>324</v>
      </c>
      <c r="P946" s="9" t="s">
        <v>331</v>
      </c>
      <c r="Q946" s="11">
        <v>320</v>
      </c>
      <c r="R946" s="11"/>
      <c r="S946" s="11">
        <f t="shared" si="133"/>
        <v>320</v>
      </c>
      <c r="T946" s="9"/>
      <c r="U946" s="14" t="s">
        <v>77</v>
      </c>
      <c r="V946" s="9"/>
      <c r="W946" s="12">
        <v>30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>
        <f t="shared" si="132"/>
        <v>0.48</v>
      </c>
      <c r="AI946" s="13"/>
      <c r="AJ946" s="13">
        <f t="shared" si="131"/>
        <v>0.48</v>
      </c>
      <c r="AK946" s="9"/>
      <c r="AL946" s="13"/>
      <c r="AM946" s="9"/>
      <c r="AN946" s="9"/>
      <c r="AO946" s="9"/>
      <c r="AP946" s="14"/>
    </row>
    <row r="947" spans="1:42" s="45" customFormat="1" ht="22" customHeight="1">
      <c r="A947" s="14" t="s">
        <v>21</v>
      </c>
      <c r="B947" s="8">
        <v>2024</v>
      </c>
      <c r="C947" s="8" t="s">
        <v>8</v>
      </c>
      <c r="D947" s="9" t="s">
        <v>185</v>
      </c>
      <c r="E947" s="9" t="s">
        <v>15</v>
      </c>
      <c r="F947" s="9" t="s">
        <v>186</v>
      </c>
      <c r="G947" s="8"/>
      <c r="H947" s="8"/>
      <c r="I947" s="9" t="s">
        <v>28</v>
      </c>
      <c r="J947" s="9" t="s">
        <v>11</v>
      </c>
      <c r="K947" s="9" t="s">
        <v>82</v>
      </c>
      <c r="L947" s="9" t="s">
        <v>166</v>
      </c>
      <c r="M947" s="9" t="s">
        <v>28</v>
      </c>
      <c r="N947" s="9" t="s">
        <v>271</v>
      </c>
      <c r="O947" s="9" t="s">
        <v>324</v>
      </c>
      <c r="P947" s="9" t="s">
        <v>332</v>
      </c>
      <c r="Q947" s="11">
        <v>180</v>
      </c>
      <c r="R947" s="11"/>
      <c r="S947" s="11">
        <f t="shared" si="133"/>
        <v>180</v>
      </c>
      <c r="T947" s="9"/>
      <c r="U947" s="14" t="s">
        <v>77</v>
      </c>
      <c r="V947" s="9"/>
      <c r="W947" s="12">
        <v>30</v>
      </c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>
        <f t="shared" si="132"/>
        <v>0.27</v>
      </c>
      <c r="AI947" s="13"/>
      <c r="AJ947" s="13">
        <f t="shared" si="131"/>
        <v>0.27</v>
      </c>
      <c r="AK947" s="9"/>
      <c r="AL947" s="13"/>
      <c r="AM947" s="9"/>
      <c r="AN947" s="9"/>
      <c r="AO947" s="9"/>
      <c r="AP947" s="14"/>
    </row>
    <row r="948" spans="1:42" s="45" customFormat="1" ht="22" customHeight="1">
      <c r="A948" s="14" t="s">
        <v>21</v>
      </c>
      <c r="B948" s="8">
        <v>2024</v>
      </c>
      <c r="C948" s="8" t="s">
        <v>8</v>
      </c>
      <c r="D948" s="9" t="s">
        <v>185</v>
      </c>
      <c r="E948" s="9" t="s">
        <v>15</v>
      </c>
      <c r="F948" s="9" t="s">
        <v>186</v>
      </c>
      <c r="G948" s="8"/>
      <c r="H948" s="8"/>
      <c r="I948" s="9" t="s">
        <v>28</v>
      </c>
      <c r="J948" s="9" t="s">
        <v>11</v>
      </c>
      <c r="K948" s="9" t="s">
        <v>82</v>
      </c>
      <c r="L948" s="9" t="s">
        <v>166</v>
      </c>
      <c r="M948" s="9" t="s">
        <v>28</v>
      </c>
      <c r="N948" s="9" t="s">
        <v>271</v>
      </c>
      <c r="O948" s="9" t="s">
        <v>324</v>
      </c>
      <c r="P948" s="9" t="s">
        <v>333</v>
      </c>
      <c r="Q948" s="11">
        <v>193</v>
      </c>
      <c r="R948" s="11"/>
      <c r="S948" s="11">
        <f t="shared" si="133"/>
        <v>193</v>
      </c>
      <c r="T948" s="9"/>
      <c r="U948" s="14" t="s">
        <v>77</v>
      </c>
      <c r="V948" s="9"/>
      <c r="W948" s="12">
        <v>30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>
        <f t="shared" si="132"/>
        <v>0.28949999999999998</v>
      </c>
      <c r="AI948" s="13"/>
      <c r="AJ948" s="13">
        <f t="shared" si="131"/>
        <v>0.28949999999999998</v>
      </c>
      <c r="AK948" s="9"/>
      <c r="AL948" s="13"/>
      <c r="AM948" s="9"/>
      <c r="AN948" s="9"/>
      <c r="AO948" s="9"/>
      <c r="AP948" s="14"/>
    </row>
    <row r="949" spans="1:42" s="45" customFormat="1" ht="22" customHeight="1">
      <c r="A949" s="14" t="s">
        <v>21</v>
      </c>
      <c r="B949" s="8">
        <v>2024</v>
      </c>
      <c r="C949" s="8" t="s">
        <v>8</v>
      </c>
      <c r="D949" s="9" t="s">
        <v>185</v>
      </c>
      <c r="E949" s="9" t="s">
        <v>15</v>
      </c>
      <c r="F949" s="9" t="s">
        <v>186</v>
      </c>
      <c r="G949" s="8"/>
      <c r="H949" s="8"/>
      <c r="I949" s="9" t="s">
        <v>28</v>
      </c>
      <c r="J949" s="9" t="s">
        <v>11</v>
      </c>
      <c r="K949" s="9" t="s">
        <v>82</v>
      </c>
      <c r="L949" s="9" t="s">
        <v>166</v>
      </c>
      <c r="M949" s="9" t="s">
        <v>28</v>
      </c>
      <c r="N949" s="9" t="s">
        <v>271</v>
      </c>
      <c r="O949" s="9" t="s">
        <v>324</v>
      </c>
      <c r="P949" s="9" t="s">
        <v>334</v>
      </c>
      <c r="Q949" s="11">
        <v>173</v>
      </c>
      <c r="R949" s="11"/>
      <c r="S949" s="11">
        <f t="shared" si="133"/>
        <v>173</v>
      </c>
      <c r="T949" s="9"/>
      <c r="U949" s="14" t="s">
        <v>77</v>
      </c>
      <c r="V949" s="9"/>
      <c r="W949" s="12">
        <v>30</v>
      </c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>
        <f t="shared" si="132"/>
        <v>0.25950000000000001</v>
      </c>
      <c r="AI949" s="13"/>
      <c r="AJ949" s="13">
        <f t="shared" si="131"/>
        <v>0.25950000000000001</v>
      </c>
      <c r="AK949" s="9"/>
      <c r="AL949" s="13"/>
      <c r="AM949" s="9"/>
      <c r="AN949" s="9"/>
      <c r="AO949" s="9"/>
      <c r="AP949" s="14"/>
    </row>
    <row r="950" spans="1:42" s="45" customFormat="1" ht="22" customHeight="1">
      <c r="A950" s="14" t="s">
        <v>21</v>
      </c>
      <c r="B950" s="8">
        <v>2024</v>
      </c>
      <c r="C950" s="8" t="s">
        <v>8</v>
      </c>
      <c r="D950" s="9" t="s">
        <v>185</v>
      </c>
      <c r="E950" s="9" t="s">
        <v>15</v>
      </c>
      <c r="F950" s="9" t="s">
        <v>186</v>
      </c>
      <c r="G950" s="8"/>
      <c r="H950" s="8"/>
      <c r="I950" s="9" t="s">
        <v>28</v>
      </c>
      <c r="J950" s="9" t="s">
        <v>11</v>
      </c>
      <c r="K950" s="9" t="s">
        <v>82</v>
      </c>
      <c r="L950" s="9" t="s">
        <v>166</v>
      </c>
      <c r="M950" s="9" t="s">
        <v>28</v>
      </c>
      <c r="N950" s="9" t="s">
        <v>271</v>
      </c>
      <c r="O950" s="9" t="s">
        <v>324</v>
      </c>
      <c r="P950" s="9" t="s">
        <v>335</v>
      </c>
      <c r="Q950" s="11">
        <v>173</v>
      </c>
      <c r="R950" s="11"/>
      <c r="S950" s="11">
        <f t="shared" si="133"/>
        <v>173</v>
      </c>
      <c r="T950" s="9"/>
      <c r="U950" s="14" t="s">
        <v>77</v>
      </c>
      <c r="V950" s="9"/>
      <c r="W950" s="12">
        <v>30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>
        <f t="shared" si="132"/>
        <v>0.25950000000000001</v>
      </c>
      <c r="AI950" s="13"/>
      <c r="AJ950" s="13">
        <f t="shared" si="131"/>
        <v>0.25950000000000001</v>
      </c>
      <c r="AK950" s="9"/>
      <c r="AL950" s="13"/>
      <c r="AM950" s="9"/>
      <c r="AN950" s="9"/>
      <c r="AO950" s="9"/>
      <c r="AP950" s="14"/>
    </row>
    <row r="951" spans="1:42" s="45" customFormat="1" ht="22" customHeight="1">
      <c r="A951" s="14" t="s">
        <v>21</v>
      </c>
      <c r="B951" s="8">
        <v>2024</v>
      </c>
      <c r="C951" s="8" t="s">
        <v>8</v>
      </c>
      <c r="D951" s="9" t="s">
        <v>185</v>
      </c>
      <c r="E951" s="9" t="s">
        <v>15</v>
      </c>
      <c r="F951" s="9" t="s">
        <v>186</v>
      </c>
      <c r="G951" s="8"/>
      <c r="H951" s="8"/>
      <c r="I951" s="9" t="s">
        <v>28</v>
      </c>
      <c r="J951" s="9" t="s">
        <v>11</v>
      </c>
      <c r="K951" s="9" t="s">
        <v>82</v>
      </c>
      <c r="L951" s="9" t="s">
        <v>166</v>
      </c>
      <c r="M951" s="9" t="s">
        <v>11</v>
      </c>
      <c r="N951" s="9" t="s">
        <v>266</v>
      </c>
      <c r="O951" s="9" t="s">
        <v>336</v>
      </c>
      <c r="P951" s="9" t="s">
        <v>337</v>
      </c>
      <c r="Q951" s="11">
        <v>103</v>
      </c>
      <c r="R951" s="11"/>
      <c r="S951" s="11">
        <f t="shared" si="133"/>
        <v>103</v>
      </c>
      <c r="T951" s="9"/>
      <c r="U951" s="14" t="s">
        <v>77</v>
      </c>
      <c r="V951" s="9"/>
      <c r="W951" s="12">
        <v>30</v>
      </c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>
        <f t="shared" si="132"/>
        <v>0.1545</v>
      </c>
      <c r="AI951" s="13"/>
      <c r="AJ951" s="13">
        <f t="shared" si="131"/>
        <v>0.1545</v>
      </c>
      <c r="AK951" s="9"/>
      <c r="AL951" s="13"/>
      <c r="AM951" s="9"/>
      <c r="AN951" s="9"/>
      <c r="AO951" s="9"/>
      <c r="AP951" s="14"/>
    </row>
    <row r="952" spans="1:42" s="45" customFormat="1" ht="22" customHeight="1">
      <c r="A952" s="14" t="s">
        <v>21</v>
      </c>
      <c r="B952" s="8">
        <v>2024</v>
      </c>
      <c r="C952" s="8" t="s">
        <v>8</v>
      </c>
      <c r="D952" s="9" t="s">
        <v>185</v>
      </c>
      <c r="E952" s="9" t="s">
        <v>15</v>
      </c>
      <c r="F952" s="9" t="s">
        <v>186</v>
      </c>
      <c r="G952" s="8"/>
      <c r="H952" s="8"/>
      <c r="I952" s="9" t="s">
        <v>28</v>
      </c>
      <c r="J952" s="9" t="s">
        <v>11</v>
      </c>
      <c r="K952" s="9" t="s">
        <v>82</v>
      </c>
      <c r="L952" s="9" t="s">
        <v>166</v>
      </c>
      <c r="M952" s="9" t="s">
        <v>11</v>
      </c>
      <c r="N952" s="9" t="s">
        <v>266</v>
      </c>
      <c r="O952" s="9" t="s">
        <v>336</v>
      </c>
      <c r="P952" s="9" t="s">
        <v>326</v>
      </c>
      <c r="Q952" s="11">
        <v>367</v>
      </c>
      <c r="R952" s="11"/>
      <c r="S952" s="11">
        <f t="shared" si="133"/>
        <v>367</v>
      </c>
      <c r="T952" s="9"/>
      <c r="U952" s="14" t="s">
        <v>77</v>
      </c>
      <c r="V952" s="9"/>
      <c r="W952" s="12">
        <v>30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>
        <f t="shared" si="132"/>
        <v>0.55049999999999999</v>
      </c>
      <c r="AI952" s="13"/>
      <c r="AJ952" s="13">
        <f t="shared" si="131"/>
        <v>0.55049999999999999</v>
      </c>
      <c r="AK952" s="9"/>
      <c r="AL952" s="13"/>
      <c r="AM952" s="9"/>
      <c r="AN952" s="9"/>
      <c r="AO952" s="9"/>
      <c r="AP952" s="14"/>
    </row>
    <row r="953" spans="1:42" s="45" customFormat="1" ht="22" customHeight="1">
      <c r="A953" s="14" t="s">
        <v>21</v>
      </c>
      <c r="B953" s="8">
        <v>2024</v>
      </c>
      <c r="C953" s="8" t="s">
        <v>8</v>
      </c>
      <c r="D953" s="9" t="s">
        <v>185</v>
      </c>
      <c r="E953" s="9" t="s">
        <v>15</v>
      </c>
      <c r="F953" s="9" t="s">
        <v>186</v>
      </c>
      <c r="G953" s="8"/>
      <c r="H953" s="8"/>
      <c r="I953" s="9" t="s">
        <v>28</v>
      </c>
      <c r="J953" s="9" t="s">
        <v>11</v>
      </c>
      <c r="K953" s="9" t="s">
        <v>82</v>
      </c>
      <c r="L953" s="9" t="s">
        <v>166</v>
      </c>
      <c r="M953" s="9" t="s">
        <v>11</v>
      </c>
      <c r="N953" s="9" t="s">
        <v>266</v>
      </c>
      <c r="O953" s="9" t="s">
        <v>336</v>
      </c>
      <c r="P953" s="9" t="s">
        <v>338</v>
      </c>
      <c r="Q953" s="11">
        <v>578</v>
      </c>
      <c r="R953" s="11"/>
      <c r="S953" s="11">
        <f t="shared" si="133"/>
        <v>578</v>
      </c>
      <c r="T953" s="9"/>
      <c r="U953" s="14" t="s">
        <v>77</v>
      </c>
      <c r="V953" s="9"/>
      <c r="W953" s="12">
        <v>30</v>
      </c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>
        <f t="shared" si="132"/>
        <v>0.86699999999999999</v>
      </c>
      <c r="AI953" s="13"/>
      <c r="AJ953" s="13">
        <f t="shared" si="131"/>
        <v>0.86699999999999999</v>
      </c>
      <c r="AK953" s="9"/>
      <c r="AL953" s="13"/>
      <c r="AM953" s="9"/>
      <c r="AN953" s="9"/>
      <c r="AO953" s="9"/>
      <c r="AP953" s="14"/>
    </row>
    <row r="954" spans="1:42" s="45" customFormat="1" ht="22" customHeight="1">
      <c r="A954" s="14" t="s">
        <v>21</v>
      </c>
      <c r="B954" s="8">
        <v>2024</v>
      </c>
      <c r="C954" s="8" t="s">
        <v>8</v>
      </c>
      <c r="D954" s="9" t="s">
        <v>185</v>
      </c>
      <c r="E954" s="9" t="s">
        <v>15</v>
      </c>
      <c r="F954" s="9" t="s">
        <v>186</v>
      </c>
      <c r="G954" s="8"/>
      <c r="H954" s="8"/>
      <c r="I954" s="9" t="s">
        <v>28</v>
      </c>
      <c r="J954" s="9" t="s">
        <v>11</v>
      </c>
      <c r="K954" s="9" t="s">
        <v>82</v>
      </c>
      <c r="L954" s="9" t="s">
        <v>166</v>
      </c>
      <c r="M954" s="9" t="s">
        <v>11</v>
      </c>
      <c r="N954" s="9" t="s">
        <v>266</v>
      </c>
      <c r="O954" s="9" t="s">
        <v>336</v>
      </c>
      <c r="P954" s="9" t="s">
        <v>339</v>
      </c>
      <c r="Q954" s="11">
        <v>501</v>
      </c>
      <c r="R954" s="11"/>
      <c r="S954" s="11">
        <f t="shared" si="133"/>
        <v>501</v>
      </c>
      <c r="T954" s="9"/>
      <c r="U954" s="14" t="s">
        <v>77</v>
      </c>
      <c r="V954" s="9"/>
      <c r="W954" s="12">
        <v>30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>
        <f t="shared" si="132"/>
        <v>0.75149999999999995</v>
      </c>
      <c r="AI954" s="13"/>
      <c r="AJ954" s="13">
        <f t="shared" si="131"/>
        <v>0.75149999999999995</v>
      </c>
      <c r="AK954" s="9"/>
      <c r="AL954" s="13"/>
      <c r="AM954" s="9"/>
      <c r="AN954" s="9"/>
      <c r="AO954" s="9"/>
      <c r="AP954" s="14"/>
    </row>
    <row r="955" spans="1:42" s="45" customFormat="1" ht="22" customHeight="1">
      <c r="A955" s="14" t="s">
        <v>21</v>
      </c>
      <c r="B955" s="8">
        <v>2024</v>
      </c>
      <c r="C955" s="8" t="s">
        <v>8</v>
      </c>
      <c r="D955" s="9" t="s">
        <v>185</v>
      </c>
      <c r="E955" s="9" t="s">
        <v>15</v>
      </c>
      <c r="F955" s="9" t="s">
        <v>186</v>
      </c>
      <c r="G955" s="8"/>
      <c r="H955" s="8"/>
      <c r="I955" s="9" t="s">
        <v>28</v>
      </c>
      <c r="J955" s="9" t="s">
        <v>11</v>
      </c>
      <c r="K955" s="9" t="s">
        <v>82</v>
      </c>
      <c r="L955" s="9" t="s">
        <v>166</v>
      </c>
      <c r="M955" s="9" t="s">
        <v>11</v>
      </c>
      <c r="N955" s="9" t="s">
        <v>266</v>
      </c>
      <c r="O955" s="9" t="s">
        <v>336</v>
      </c>
      <c r="P955" s="9" t="s">
        <v>340</v>
      </c>
      <c r="Q955" s="11">
        <v>392</v>
      </c>
      <c r="R955" s="11"/>
      <c r="S955" s="11">
        <f t="shared" si="133"/>
        <v>392</v>
      </c>
      <c r="T955" s="9"/>
      <c r="U955" s="14" t="s">
        <v>77</v>
      </c>
      <c r="V955" s="9"/>
      <c r="W955" s="12">
        <v>30</v>
      </c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>
        <f t="shared" si="132"/>
        <v>0.58799999999999997</v>
      </c>
      <c r="AI955" s="13"/>
      <c r="AJ955" s="13">
        <f t="shared" si="131"/>
        <v>0.58799999999999997</v>
      </c>
      <c r="AK955" s="9"/>
      <c r="AL955" s="13"/>
      <c r="AM955" s="9"/>
      <c r="AN955" s="9"/>
      <c r="AO955" s="9"/>
      <c r="AP955" s="14"/>
    </row>
    <row r="956" spans="1:42" s="45" customFormat="1" ht="22" customHeight="1">
      <c r="A956" s="14" t="s">
        <v>21</v>
      </c>
      <c r="B956" s="8">
        <v>2024</v>
      </c>
      <c r="C956" s="8" t="s">
        <v>8</v>
      </c>
      <c r="D956" s="9" t="s">
        <v>185</v>
      </c>
      <c r="E956" s="9" t="s">
        <v>15</v>
      </c>
      <c r="F956" s="9" t="s">
        <v>186</v>
      </c>
      <c r="G956" s="8"/>
      <c r="H956" s="8"/>
      <c r="I956" s="9" t="s">
        <v>28</v>
      </c>
      <c r="J956" s="9" t="s">
        <v>11</v>
      </c>
      <c r="K956" s="9" t="s">
        <v>82</v>
      </c>
      <c r="L956" s="9" t="s">
        <v>166</v>
      </c>
      <c r="M956" s="9" t="s">
        <v>11</v>
      </c>
      <c r="N956" s="9" t="s">
        <v>266</v>
      </c>
      <c r="O956" s="9" t="s">
        <v>336</v>
      </c>
      <c r="P956" s="9" t="s">
        <v>341</v>
      </c>
      <c r="Q956" s="11">
        <v>556</v>
      </c>
      <c r="R956" s="11"/>
      <c r="S956" s="11">
        <f t="shared" si="133"/>
        <v>556</v>
      </c>
      <c r="T956" s="9"/>
      <c r="U956" s="14" t="s">
        <v>77</v>
      </c>
      <c r="V956" s="9"/>
      <c r="W956" s="12">
        <v>30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>
        <f t="shared" si="132"/>
        <v>0.83399999999999996</v>
      </c>
      <c r="AI956" s="13"/>
      <c r="AJ956" s="13">
        <f t="shared" si="131"/>
        <v>0.83399999999999996</v>
      </c>
      <c r="AK956" s="9"/>
      <c r="AL956" s="13"/>
      <c r="AM956" s="9"/>
      <c r="AN956" s="9"/>
      <c r="AO956" s="9"/>
      <c r="AP956" s="14"/>
    </row>
    <row r="957" spans="1:42" s="45" customFormat="1" ht="22" customHeight="1">
      <c r="A957" s="14" t="s">
        <v>21</v>
      </c>
      <c r="B957" s="8">
        <v>2024</v>
      </c>
      <c r="C957" s="8" t="s">
        <v>8</v>
      </c>
      <c r="D957" s="9" t="s">
        <v>185</v>
      </c>
      <c r="E957" s="9" t="s">
        <v>15</v>
      </c>
      <c r="F957" s="9" t="s">
        <v>186</v>
      </c>
      <c r="G957" s="8"/>
      <c r="H957" s="8"/>
      <c r="I957" s="9" t="s">
        <v>28</v>
      </c>
      <c r="J957" s="9" t="s">
        <v>11</v>
      </c>
      <c r="K957" s="9" t="s">
        <v>82</v>
      </c>
      <c r="L957" s="9" t="s">
        <v>166</v>
      </c>
      <c r="M957" s="9" t="s">
        <v>28</v>
      </c>
      <c r="N957" s="9" t="s">
        <v>266</v>
      </c>
      <c r="O957" s="9" t="s">
        <v>342</v>
      </c>
      <c r="P957" s="9" t="s">
        <v>343</v>
      </c>
      <c r="Q957" s="11">
        <v>234</v>
      </c>
      <c r="R957" s="11"/>
      <c r="S957" s="11">
        <f t="shared" si="133"/>
        <v>234</v>
      </c>
      <c r="T957" s="9"/>
      <c r="U957" s="14" t="s">
        <v>77</v>
      </c>
      <c r="V957" s="9"/>
      <c r="W957" s="12">
        <v>30</v>
      </c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>
        <f t="shared" si="132"/>
        <v>0.35099999999999998</v>
      </c>
      <c r="AI957" s="13"/>
      <c r="AJ957" s="13">
        <f t="shared" si="131"/>
        <v>0.35099999999999998</v>
      </c>
      <c r="AK957" s="9"/>
      <c r="AL957" s="13"/>
      <c r="AM957" s="9"/>
      <c r="AN957" s="9"/>
      <c r="AO957" s="9"/>
      <c r="AP957" s="14"/>
    </row>
    <row r="958" spans="1:42" s="45" customFormat="1" ht="22" customHeight="1">
      <c r="A958" s="14" t="s">
        <v>21</v>
      </c>
      <c r="B958" s="8">
        <v>2024</v>
      </c>
      <c r="C958" s="8" t="s">
        <v>8</v>
      </c>
      <c r="D958" s="9" t="s">
        <v>185</v>
      </c>
      <c r="E958" s="9" t="s">
        <v>15</v>
      </c>
      <c r="F958" s="9" t="s">
        <v>186</v>
      </c>
      <c r="G958" s="8"/>
      <c r="H958" s="8"/>
      <c r="I958" s="9" t="s">
        <v>28</v>
      </c>
      <c r="J958" s="9" t="s">
        <v>11</v>
      </c>
      <c r="K958" s="9" t="s">
        <v>82</v>
      </c>
      <c r="L958" s="9" t="s">
        <v>166</v>
      </c>
      <c r="M958" s="9" t="s">
        <v>28</v>
      </c>
      <c r="N958" s="9" t="s">
        <v>266</v>
      </c>
      <c r="O958" s="9" t="s">
        <v>342</v>
      </c>
      <c r="P958" s="9" t="s">
        <v>344</v>
      </c>
      <c r="Q958" s="11">
        <v>104</v>
      </c>
      <c r="R958" s="11"/>
      <c r="S958" s="11">
        <f t="shared" si="133"/>
        <v>104</v>
      </c>
      <c r="T958" s="9"/>
      <c r="U958" s="14" t="s">
        <v>77</v>
      </c>
      <c r="V958" s="9"/>
      <c r="W958" s="12">
        <v>30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>
        <f t="shared" si="132"/>
        <v>0.156</v>
      </c>
      <c r="AI958" s="13"/>
      <c r="AJ958" s="13">
        <f t="shared" si="131"/>
        <v>0.156</v>
      </c>
      <c r="AK958" s="9"/>
      <c r="AL958" s="13"/>
      <c r="AM958" s="9"/>
      <c r="AN958" s="9"/>
      <c r="AO958" s="9"/>
      <c r="AP958" s="14"/>
    </row>
    <row r="959" spans="1:42" s="45" customFormat="1" ht="22" customHeight="1">
      <c r="A959" s="14" t="s">
        <v>21</v>
      </c>
      <c r="B959" s="8">
        <v>2024</v>
      </c>
      <c r="C959" s="8" t="s">
        <v>8</v>
      </c>
      <c r="D959" s="9" t="s">
        <v>185</v>
      </c>
      <c r="E959" s="9" t="s">
        <v>15</v>
      </c>
      <c r="F959" s="9" t="s">
        <v>186</v>
      </c>
      <c r="G959" s="8"/>
      <c r="H959" s="8"/>
      <c r="I959" s="9" t="s">
        <v>28</v>
      </c>
      <c r="J959" s="9" t="s">
        <v>11</v>
      </c>
      <c r="K959" s="9" t="s">
        <v>82</v>
      </c>
      <c r="L959" s="9" t="s">
        <v>166</v>
      </c>
      <c r="M959" s="9" t="s">
        <v>28</v>
      </c>
      <c r="N959" s="9" t="s">
        <v>266</v>
      </c>
      <c r="O959" s="9" t="s">
        <v>342</v>
      </c>
      <c r="P959" s="9" t="s">
        <v>193</v>
      </c>
      <c r="Q959" s="11">
        <v>471</v>
      </c>
      <c r="R959" s="11"/>
      <c r="S959" s="11">
        <f t="shared" si="133"/>
        <v>471</v>
      </c>
      <c r="T959" s="9"/>
      <c r="U959" s="14" t="s">
        <v>77</v>
      </c>
      <c r="V959" s="9"/>
      <c r="W959" s="12">
        <v>30</v>
      </c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>
        <f t="shared" si="132"/>
        <v>0.70650000000000002</v>
      </c>
      <c r="AI959" s="13"/>
      <c r="AJ959" s="13">
        <f t="shared" si="131"/>
        <v>0.70650000000000002</v>
      </c>
      <c r="AK959" s="9"/>
      <c r="AL959" s="13"/>
      <c r="AM959" s="9"/>
      <c r="AN959" s="9"/>
      <c r="AO959" s="9"/>
      <c r="AP959" s="14"/>
    </row>
    <row r="960" spans="1:42" s="45" customFormat="1" ht="22" customHeight="1">
      <c r="A960" s="14" t="s">
        <v>21</v>
      </c>
      <c r="B960" s="8">
        <v>2024</v>
      </c>
      <c r="C960" s="8" t="s">
        <v>8</v>
      </c>
      <c r="D960" s="9" t="s">
        <v>185</v>
      </c>
      <c r="E960" s="9" t="s">
        <v>15</v>
      </c>
      <c r="F960" s="9" t="s">
        <v>186</v>
      </c>
      <c r="G960" s="8"/>
      <c r="H960" s="8"/>
      <c r="I960" s="9" t="s">
        <v>28</v>
      </c>
      <c r="J960" s="9" t="s">
        <v>11</v>
      </c>
      <c r="K960" s="9" t="s">
        <v>82</v>
      </c>
      <c r="L960" s="9" t="s">
        <v>166</v>
      </c>
      <c r="M960" s="9" t="s">
        <v>28</v>
      </c>
      <c r="N960" s="9" t="s">
        <v>266</v>
      </c>
      <c r="O960" s="9" t="s">
        <v>342</v>
      </c>
      <c r="P960" s="9" t="s">
        <v>345</v>
      </c>
      <c r="Q960" s="11">
        <v>215</v>
      </c>
      <c r="R960" s="11"/>
      <c r="S960" s="11">
        <f t="shared" si="133"/>
        <v>215</v>
      </c>
      <c r="T960" s="9"/>
      <c r="U960" s="14" t="s">
        <v>77</v>
      </c>
      <c r="V960" s="9"/>
      <c r="W960" s="12">
        <v>30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>
        <f t="shared" si="132"/>
        <v>0.32250000000000001</v>
      </c>
      <c r="AI960" s="13"/>
      <c r="AJ960" s="13">
        <f t="shared" si="131"/>
        <v>0.32250000000000001</v>
      </c>
      <c r="AK960" s="9"/>
      <c r="AL960" s="13"/>
      <c r="AM960" s="9"/>
      <c r="AN960" s="9"/>
      <c r="AO960" s="9"/>
      <c r="AP960" s="14"/>
    </row>
    <row r="961" spans="1:42" s="45" customFormat="1" ht="22" customHeight="1">
      <c r="A961" s="14" t="s">
        <v>21</v>
      </c>
      <c r="B961" s="8">
        <v>2024</v>
      </c>
      <c r="C961" s="8" t="s">
        <v>8</v>
      </c>
      <c r="D961" s="9" t="s">
        <v>185</v>
      </c>
      <c r="E961" s="9" t="s">
        <v>15</v>
      </c>
      <c r="F961" s="9" t="s">
        <v>186</v>
      </c>
      <c r="G961" s="8"/>
      <c r="H961" s="8"/>
      <c r="I961" s="9" t="s">
        <v>28</v>
      </c>
      <c r="J961" s="9" t="s">
        <v>11</v>
      </c>
      <c r="K961" s="9" t="s">
        <v>82</v>
      </c>
      <c r="L961" s="9" t="s">
        <v>166</v>
      </c>
      <c r="M961" s="9" t="s">
        <v>28</v>
      </c>
      <c r="N961" s="9" t="s">
        <v>266</v>
      </c>
      <c r="O961" s="9" t="s">
        <v>342</v>
      </c>
      <c r="P961" s="9" t="s">
        <v>346</v>
      </c>
      <c r="Q961" s="11">
        <v>199</v>
      </c>
      <c r="R961" s="11"/>
      <c r="S961" s="11">
        <f t="shared" si="133"/>
        <v>199</v>
      </c>
      <c r="T961" s="9"/>
      <c r="U961" s="14" t="s">
        <v>77</v>
      </c>
      <c r="V961" s="9"/>
      <c r="W961" s="12">
        <v>30</v>
      </c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>
        <f t="shared" si="132"/>
        <v>0.29849999999999999</v>
      </c>
      <c r="AI961" s="13"/>
      <c r="AJ961" s="13">
        <f t="shared" si="131"/>
        <v>0.29849999999999999</v>
      </c>
      <c r="AK961" s="9"/>
      <c r="AL961" s="13"/>
      <c r="AM961" s="9"/>
      <c r="AN961" s="9"/>
      <c r="AO961" s="9"/>
      <c r="AP961" s="14"/>
    </row>
    <row r="962" spans="1:42" s="45" customFormat="1" ht="22" customHeight="1">
      <c r="A962" s="14" t="s">
        <v>21</v>
      </c>
      <c r="B962" s="8">
        <v>2024</v>
      </c>
      <c r="C962" s="8" t="s">
        <v>8</v>
      </c>
      <c r="D962" s="9" t="s">
        <v>185</v>
      </c>
      <c r="E962" s="9" t="s">
        <v>15</v>
      </c>
      <c r="F962" s="9" t="s">
        <v>186</v>
      </c>
      <c r="G962" s="8"/>
      <c r="H962" s="8"/>
      <c r="I962" s="9" t="s">
        <v>28</v>
      </c>
      <c r="J962" s="9" t="s">
        <v>11</v>
      </c>
      <c r="K962" s="9" t="s">
        <v>82</v>
      </c>
      <c r="L962" s="9" t="s">
        <v>166</v>
      </c>
      <c r="M962" s="9" t="s">
        <v>28</v>
      </c>
      <c r="N962" s="9" t="s">
        <v>266</v>
      </c>
      <c r="O962" s="9" t="s">
        <v>342</v>
      </c>
      <c r="P962" s="9" t="s">
        <v>347</v>
      </c>
      <c r="Q962" s="11">
        <v>194</v>
      </c>
      <c r="R962" s="11"/>
      <c r="S962" s="11">
        <f t="shared" si="133"/>
        <v>194</v>
      </c>
      <c r="T962" s="9"/>
      <c r="U962" s="14" t="s">
        <v>77</v>
      </c>
      <c r="V962" s="9"/>
      <c r="W962" s="12">
        <v>30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>
        <f t="shared" si="132"/>
        <v>0.29099999999999998</v>
      </c>
      <c r="AI962" s="13"/>
      <c r="AJ962" s="13">
        <f t="shared" si="131"/>
        <v>0.29099999999999998</v>
      </c>
      <c r="AK962" s="9"/>
      <c r="AL962" s="13"/>
      <c r="AM962" s="9"/>
      <c r="AN962" s="9"/>
      <c r="AO962" s="9"/>
      <c r="AP962" s="14"/>
    </row>
    <row r="963" spans="1:42" s="45" customFormat="1" ht="22" customHeight="1">
      <c r="A963" s="14" t="s">
        <v>21</v>
      </c>
      <c r="B963" s="8">
        <v>2024</v>
      </c>
      <c r="C963" s="8" t="s">
        <v>8</v>
      </c>
      <c r="D963" s="9" t="s">
        <v>185</v>
      </c>
      <c r="E963" s="9" t="s">
        <v>15</v>
      </c>
      <c r="F963" s="9" t="s">
        <v>186</v>
      </c>
      <c r="G963" s="8"/>
      <c r="H963" s="8"/>
      <c r="I963" s="9" t="s">
        <v>28</v>
      </c>
      <c r="J963" s="9" t="s">
        <v>11</v>
      </c>
      <c r="K963" s="9" t="s">
        <v>82</v>
      </c>
      <c r="L963" s="9" t="s">
        <v>166</v>
      </c>
      <c r="M963" s="9" t="s">
        <v>28</v>
      </c>
      <c r="N963" s="9" t="s">
        <v>266</v>
      </c>
      <c r="O963" s="9" t="s">
        <v>342</v>
      </c>
      <c r="P963" s="9" t="s">
        <v>348</v>
      </c>
      <c r="Q963" s="11">
        <v>230</v>
      </c>
      <c r="R963" s="11"/>
      <c r="S963" s="11">
        <f t="shared" si="133"/>
        <v>230</v>
      </c>
      <c r="T963" s="9"/>
      <c r="U963" s="14" t="s">
        <v>77</v>
      </c>
      <c r="V963" s="9"/>
      <c r="W963" s="12">
        <v>30</v>
      </c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>
        <f t="shared" si="132"/>
        <v>0.34499999999999997</v>
      </c>
      <c r="AI963" s="13"/>
      <c r="AJ963" s="13">
        <f t="shared" si="131"/>
        <v>0.34499999999999997</v>
      </c>
      <c r="AK963" s="9"/>
      <c r="AL963" s="13"/>
      <c r="AM963" s="9"/>
      <c r="AN963" s="9"/>
      <c r="AO963" s="9"/>
      <c r="AP963" s="14"/>
    </row>
    <row r="964" spans="1:42" s="45" customFormat="1" ht="22" customHeight="1">
      <c r="A964" s="14" t="s">
        <v>21</v>
      </c>
      <c r="B964" s="8">
        <v>2024</v>
      </c>
      <c r="C964" s="8" t="s">
        <v>8</v>
      </c>
      <c r="D964" s="9" t="s">
        <v>185</v>
      </c>
      <c r="E964" s="9" t="s">
        <v>15</v>
      </c>
      <c r="F964" s="9" t="s">
        <v>186</v>
      </c>
      <c r="G964" s="8"/>
      <c r="H964" s="8"/>
      <c r="I964" s="9" t="s">
        <v>28</v>
      </c>
      <c r="J964" s="9" t="s">
        <v>11</v>
      </c>
      <c r="K964" s="9" t="s">
        <v>82</v>
      </c>
      <c r="L964" s="9" t="s">
        <v>166</v>
      </c>
      <c r="M964" s="9" t="s">
        <v>28</v>
      </c>
      <c r="N964" s="9" t="s">
        <v>266</v>
      </c>
      <c r="O964" s="9" t="s">
        <v>342</v>
      </c>
      <c r="P964" s="9" t="s">
        <v>349</v>
      </c>
      <c r="Q964" s="11">
        <v>151</v>
      </c>
      <c r="R964" s="11"/>
      <c r="S964" s="11">
        <f t="shared" si="133"/>
        <v>151</v>
      </c>
      <c r="T964" s="9"/>
      <c r="U964" s="14" t="s">
        <v>77</v>
      </c>
      <c r="V964" s="9"/>
      <c r="W964" s="12">
        <v>30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>
        <f t="shared" si="132"/>
        <v>0.22650000000000001</v>
      </c>
      <c r="AI964" s="13"/>
      <c r="AJ964" s="13">
        <f t="shared" si="131"/>
        <v>0.22650000000000001</v>
      </c>
      <c r="AK964" s="9"/>
      <c r="AL964" s="13"/>
      <c r="AM964" s="9"/>
      <c r="AN964" s="9"/>
      <c r="AO964" s="9"/>
      <c r="AP964" s="14"/>
    </row>
    <row r="965" spans="1:42" s="45" customFormat="1" ht="22" customHeight="1">
      <c r="A965" s="14" t="s">
        <v>21</v>
      </c>
      <c r="B965" s="8">
        <v>2024</v>
      </c>
      <c r="C965" s="8" t="s">
        <v>8</v>
      </c>
      <c r="D965" s="9" t="s">
        <v>185</v>
      </c>
      <c r="E965" s="9" t="s">
        <v>15</v>
      </c>
      <c r="F965" s="9" t="s">
        <v>186</v>
      </c>
      <c r="G965" s="8"/>
      <c r="H965" s="8"/>
      <c r="I965" s="9" t="s">
        <v>28</v>
      </c>
      <c r="J965" s="9" t="s">
        <v>11</v>
      </c>
      <c r="K965" s="9" t="s">
        <v>82</v>
      </c>
      <c r="L965" s="9" t="s">
        <v>166</v>
      </c>
      <c r="M965" s="9" t="s">
        <v>28</v>
      </c>
      <c r="N965" s="9" t="s">
        <v>266</v>
      </c>
      <c r="O965" s="9" t="s">
        <v>342</v>
      </c>
      <c r="P965" s="9" t="s">
        <v>350</v>
      </c>
      <c r="Q965" s="11">
        <v>523</v>
      </c>
      <c r="R965" s="11"/>
      <c r="S965" s="11">
        <f t="shared" si="133"/>
        <v>523</v>
      </c>
      <c r="T965" s="9"/>
      <c r="U965" s="14" t="s">
        <v>77</v>
      </c>
      <c r="V965" s="9"/>
      <c r="W965" s="12">
        <v>30</v>
      </c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>
        <f t="shared" si="132"/>
        <v>0.78449999999999998</v>
      </c>
      <c r="AI965" s="13"/>
      <c r="AJ965" s="13">
        <f t="shared" si="131"/>
        <v>0.78449999999999998</v>
      </c>
      <c r="AK965" s="9"/>
      <c r="AL965" s="13"/>
      <c r="AM965" s="9"/>
      <c r="AN965" s="9"/>
      <c r="AO965" s="9"/>
      <c r="AP965" s="14"/>
    </row>
    <row r="966" spans="1:42" s="45" customFormat="1" ht="22" customHeight="1">
      <c r="A966" s="14" t="s">
        <v>21</v>
      </c>
      <c r="B966" s="8">
        <v>2024</v>
      </c>
      <c r="C966" s="8" t="s">
        <v>8</v>
      </c>
      <c r="D966" s="9" t="s">
        <v>185</v>
      </c>
      <c r="E966" s="9" t="s">
        <v>15</v>
      </c>
      <c r="F966" s="9" t="s">
        <v>186</v>
      </c>
      <c r="G966" s="8"/>
      <c r="H966" s="8"/>
      <c r="I966" s="9" t="s">
        <v>28</v>
      </c>
      <c r="J966" s="9" t="s">
        <v>11</v>
      </c>
      <c r="K966" s="9" t="s">
        <v>82</v>
      </c>
      <c r="L966" s="9" t="s">
        <v>166</v>
      </c>
      <c r="M966" s="9" t="s">
        <v>28</v>
      </c>
      <c r="N966" s="9" t="s">
        <v>266</v>
      </c>
      <c r="O966" s="9" t="s">
        <v>351</v>
      </c>
      <c r="P966" s="9" t="s">
        <v>352</v>
      </c>
      <c r="Q966" s="11">
        <v>163</v>
      </c>
      <c r="R966" s="11"/>
      <c r="S966" s="11">
        <f t="shared" si="133"/>
        <v>163</v>
      </c>
      <c r="T966" s="9"/>
      <c r="U966" s="14" t="s">
        <v>77</v>
      </c>
      <c r="V966" s="9"/>
      <c r="W966" s="12">
        <v>30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>
        <f t="shared" si="132"/>
        <v>0.2445</v>
      </c>
      <c r="AI966" s="13"/>
      <c r="AJ966" s="13">
        <f t="shared" si="131"/>
        <v>0.2445</v>
      </c>
      <c r="AK966" s="9"/>
      <c r="AL966" s="13"/>
      <c r="AM966" s="9"/>
      <c r="AN966" s="9"/>
      <c r="AO966" s="9"/>
      <c r="AP966" s="14"/>
    </row>
    <row r="967" spans="1:42" s="45" customFormat="1" ht="22" customHeight="1">
      <c r="A967" s="14" t="s">
        <v>21</v>
      </c>
      <c r="B967" s="8">
        <v>2024</v>
      </c>
      <c r="C967" s="8" t="s">
        <v>8</v>
      </c>
      <c r="D967" s="9" t="s">
        <v>185</v>
      </c>
      <c r="E967" s="9" t="s">
        <v>15</v>
      </c>
      <c r="F967" s="9" t="s">
        <v>186</v>
      </c>
      <c r="G967" s="8"/>
      <c r="H967" s="8"/>
      <c r="I967" s="9" t="s">
        <v>28</v>
      </c>
      <c r="J967" s="9" t="s">
        <v>11</v>
      </c>
      <c r="K967" s="9" t="s">
        <v>82</v>
      </c>
      <c r="L967" s="9" t="s">
        <v>166</v>
      </c>
      <c r="M967" s="9" t="s">
        <v>28</v>
      </c>
      <c r="N967" s="9" t="s">
        <v>266</v>
      </c>
      <c r="O967" s="9" t="s">
        <v>351</v>
      </c>
      <c r="P967" s="9" t="s">
        <v>353</v>
      </c>
      <c r="Q967" s="11">
        <v>187</v>
      </c>
      <c r="R967" s="11"/>
      <c r="S967" s="11">
        <f t="shared" si="133"/>
        <v>187</v>
      </c>
      <c r="T967" s="9"/>
      <c r="U967" s="14" t="s">
        <v>77</v>
      </c>
      <c r="V967" s="9"/>
      <c r="W967" s="12">
        <v>30</v>
      </c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>
        <f t="shared" si="132"/>
        <v>0.28050000000000003</v>
      </c>
      <c r="AI967" s="13"/>
      <c r="AJ967" s="13">
        <f t="shared" si="131"/>
        <v>0.28050000000000003</v>
      </c>
      <c r="AK967" s="9"/>
      <c r="AL967" s="13"/>
      <c r="AM967" s="9"/>
      <c r="AN967" s="9"/>
      <c r="AO967" s="9"/>
      <c r="AP967" s="14"/>
    </row>
    <row r="968" spans="1:42" s="45" customFormat="1" ht="22" customHeight="1">
      <c r="A968" s="14" t="s">
        <v>21</v>
      </c>
      <c r="B968" s="8">
        <v>2024</v>
      </c>
      <c r="C968" s="8" t="s">
        <v>8</v>
      </c>
      <c r="D968" s="9" t="s">
        <v>185</v>
      </c>
      <c r="E968" s="9" t="s">
        <v>15</v>
      </c>
      <c r="F968" s="9" t="s">
        <v>186</v>
      </c>
      <c r="G968" s="8"/>
      <c r="H968" s="8"/>
      <c r="I968" s="9" t="s">
        <v>28</v>
      </c>
      <c r="J968" s="9" t="s">
        <v>11</v>
      </c>
      <c r="K968" s="9" t="s">
        <v>82</v>
      </c>
      <c r="L968" s="9" t="s">
        <v>166</v>
      </c>
      <c r="M968" s="9" t="s">
        <v>28</v>
      </c>
      <c r="N968" s="9" t="s">
        <v>266</v>
      </c>
      <c r="O968" s="9" t="s">
        <v>351</v>
      </c>
      <c r="P968" s="9" t="s">
        <v>354</v>
      </c>
      <c r="Q968" s="11">
        <v>127</v>
      </c>
      <c r="R968" s="11"/>
      <c r="S968" s="11">
        <f t="shared" si="133"/>
        <v>127</v>
      </c>
      <c r="T968" s="9"/>
      <c r="U968" s="14" t="s">
        <v>77</v>
      </c>
      <c r="V968" s="9"/>
      <c r="W968" s="12">
        <v>30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>
        <f t="shared" si="132"/>
        <v>0.1905</v>
      </c>
      <c r="AI968" s="13"/>
      <c r="AJ968" s="13">
        <f t="shared" si="131"/>
        <v>0.1905</v>
      </c>
      <c r="AK968" s="9"/>
      <c r="AL968" s="13"/>
      <c r="AM968" s="9"/>
      <c r="AN968" s="9"/>
      <c r="AO968" s="9"/>
      <c r="AP968" s="14"/>
    </row>
    <row r="969" spans="1:42" s="45" customFormat="1" ht="22" customHeight="1">
      <c r="A969" s="14" t="s">
        <v>21</v>
      </c>
      <c r="B969" s="8">
        <v>2024</v>
      </c>
      <c r="C969" s="8" t="s">
        <v>8</v>
      </c>
      <c r="D969" s="9" t="s">
        <v>185</v>
      </c>
      <c r="E969" s="9" t="s">
        <v>15</v>
      </c>
      <c r="F969" s="9" t="s">
        <v>186</v>
      </c>
      <c r="G969" s="8"/>
      <c r="H969" s="8"/>
      <c r="I969" s="9" t="s">
        <v>28</v>
      </c>
      <c r="J969" s="9" t="s">
        <v>11</v>
      </c>
      <c r="K969" s="9" t="s">
        <v>82</v>
      </c>
      <c r="L969" s="9" t="s">
        <v>166</v>
      </c>
      <c r="M969" s="9" t="s">
        <v>28</v>
      </c>
      <c r="N969" s="9" t="s">
        <v>266</v>
      </c>
      <c r="O969" s="9" t="s">
        <v>351</v>
      </c>
      <c r="P969" s="9" t="s">
        <v>355</v>
      </c>
      <c r="Q969" s="11">
        <v>190</v>
      </c>
      <c r="R969" s="11"/>
      <c r="S969" s="11">
        <f t="shared" si="133"/>
        <v>190</v>
      </c>
      <c r="T969" s="9"/>
      <c r="U969" s="14" t="s">
        <v>77</v>
      </c>
      <c r="V969" s="9"/>
      <c r="W969" s="12">
        <v>30</v>
      </c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>
        <f t="shared" si="132"/>
        <v>0.28499999999999998</v>
      </c>
      <c r="AI969" s="13"/>
      <c r="AJ969" s="13">
        <f t="shared" si="131"/>
        <v>0.28499999999999998</v>
      </c>
      <c r="AK969" s="9"/>
      <c r="AL969" s="13"/>
      <c r="AM969" s="9"/>
      <c r="AN969" s="9"/>
      <c r="AO969" s="9"/>
      <c r="AP969" s="14"/>
    </row>
    <row r="970" spans="1:42" s="45" customFormat="1" ht="22" customHeight="1">
      <c r="A970" s="14" t="s">
        <v>21</v>
      </c>
      <c r="B970" s="8">
        <v>2024</v>
      </c>
      <c r="C970" s="8" t="s">
        <v>8</v>
      </c>
      <c r="D970" s="9" t="s">
        <v>185</v>
      </c>
      <c r="E970" s="9" t="s">
        <v>15</v>
      </c>
      <c r="F970" s="9" t="s">
        <v>186</v>
      </c>
      <c r="G970" s="8"/>
      <c r="H970" s="8"/>
      <c r="I970" s="9" t="s">
        <v>28</v>
      </c>
      <c r="J970" s="9" t="s">
        <v>11</v>
      </c>
      <c r="K970" s="9" t="s">
        <v>82</v>
      </c>
      <c r="L970" s="9" t="s">
        <v>166</v>
      </c>
      <c r="M970" s="9" t="s">
        <v>28</v>
      </c>
      <c r="N970" s="9" t="s">
        <v>266</v>
      </c>
      <c r="O970" s="9" t="s">
        <v>351</v>
      </c>
      <c r="P970" s="9" t="s">
        <v>356</v>
      </c>
      <c r="Q970" s="11">
        <v>278</v>
      </c>
      <c r="R970" s="11"/>
      <c r="S970" s="11">
        <f t="shared" si="133"/>
        <v>278</v>
      </c>
      <c r="T970" s="9"/>
      <c r="U970" s="14" t="s">
        <v>77</v>
      </c>
      <c r="V970" s="9"/>
      <c r="W970" s="12">
        <v>30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>
        <f t="shared" si="132"/>
        <v>0.41699999999999998</v>
      </c>
      <c r="AI970" s="13"/>
      <c r="AJ970" s="13">
        <f t="shared" si="131"/>
        <v>0.41699999999999998</v>
      </c>
      <c r="AK970" s="9"/>
      <c r="AL970" s="13"/>
      <c r="AM970" s="9"/>
      <c r="AN970" s="9"/>
      <c r="AO970" s="9"/>
      <c r="AP970" s="14"/>
    </row>
    <row r="971" spans="1:42" s="45" customFormat="1" ht="22" customHeight="1">
      <c r="A971" s="14" t="s">
        <v>21</v>
      </c>
      <c r="B971" s="8">
        <v>2024</v>
      </c>
      <c r="C971" s="8" t="s">
        <v>8</v>
      </c>
      <c r="D971" s="9" t="s">
        <v>185</v>
      </c>
      <c r="E971" s="9" t="s">
        <v>15</v>
      </c>
      <c r="F971" s="9" t="s">
        <v>186</v>
      </c>
      <c r="G971" s="8"/>
      <c r="H971" s="8"/>
      <c r="I971" s="9" t="s">
        <v>28</v>
      </c>
      <c r="J971" s="9" t="s">
        <v>11</v>
      </c>
      <c r="K971" s="9" t="s">
        <v>82</v>
      </c>
      <c r="L971" s="9" t="s">
        <v>166</v>
      </c>
      <c r="M971" s="9" t="s">
        <v>28</v>
      </c>
      <c r="N971" s="9" t="s">
        <v>266</v>
      </c>
      <c r="O971" s="9" t="s">
        <v>357</v>
      </c>
      <c r="P971" s="9" t="s">
        <v>358</v>
      </c>
      <c r="Q971" s="11">
        <v>205</v>
      </c>
      <c r="R971" s="11"/>
      <c r="S971" s="11">
        <f t="shared" si="133"/>
        <v>205</v>
      </c>
      <c r="T971" s="9"/>
      <c r="U971" s="14" t="s">
        <v>77</v>
      </c>
      <c r="V971" s="9"/>
      <c r="W971" s="12">
        <v>30</v>
      </c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>
        <f t="shared" si="132"/>
        <v>0.3075</v>
      </c>
      <c r="AI971" s="13"/>
      <c r="AJ971" s="13">
        <f t="shared" ref="AJ971:AJ1034" si="134">SUBTOTAL(9,X971:AI971)</f>
        <v>0.3075</v>
      </c>
      <c r="AK971" s="9"/>
      <c r="AL971" s="13"/>
      <c r="AM971" s="9"/>
      <c r="AN971" s="9"/>
      <c r="AO971" s="9"/>
      <c r="AP971" s="14"/>
    </row>
    <row r="972" spans="1:42" s="45" customFormat="1" ht="22" customHeight="1">
      <c r="A972" s="14" t="s">
        <v>21</v>
      </c>
      <c r="B972" s="8">
        <v>2024</v>
      </c>
      <c r="C972" s="8" t="s">
        <v>8</v>
      </c>
      <c r="D972" s="9" t="s">
        <v>185</v>
      </c>
      <c r="E972" s="9" t="s">
        <v>15</v>
      </c>
      <c r="F972" s="9" t="s">
        <v>186</v>
      </c>
      <c r="G972" s="8"/>
      <c r="H972" s="8"/>
      <c r="I972" s="9" t="s">
        <v>28</v>
      </c>
      <c r="J972" s="9" t="s">
        <v>11</v>
      </c>
      <c r="K972" s="9" t="s">
        <v>82</v>
      </c>
      <c r="L972" s="9" t="s">
        <v>166</v>
      </c>
      <c r="M972" s="9" t="s">
        <v>28</v>
      </c>
      <c r="N972" s="9" t="s">
        <v>266</v>
      </c>
      <c r="O972" s="9" t="s">
        <v>357</v>
      </c>
      <c r="P972" s="9" t="s">
        <v>359</v>
      </c>
      <c r="Q972" s="11">
        <v>395</v>
      </c>
      <c r="R972" s="11"/>
      <c r="S972" s="11">
        <f t="shared" si="133"/>
        <v>395</v>
      </c>
      <c r="T972" s="9"/>
      <c r="U972" s="14" t="s">
        <v>77</v>
      </c>
      <c r="V972" s="9"/>
      <c r="W972" s="12">
        <v>30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>
        <f t="shared" si="132"/>
        <v>0.59250000000000003</v>
      </c>
      <c r="AI972" s="13"/>
      <c r="AJ972" s="13">
        <f t="shared" si="134"/>
        <v>0.59250000000000003</v>
      </c>
      <c r="AK972" s="9"/>
      <c r="AL972" s="13"/>
      <c r="AM972" s="9"/>
      <c r="AN972" s="9"/>
      <c r="AO972" s="9"/>
      <c r="AP972" s="14"/>
    </row>
    <row r="973" spans="1:42" s="45" customFormat="1" ht="22" customHeight="1">
      <c r="A973" s="14" t="s">
        <v>21</v>
      </c>
      <c r="B973" s="8">
        <v>2024</v>
      </c>
      <c r="C973" s="8" t="s">
        <v>8</v>
      </c>
      <c r="D973" s="9" t="s">
        <v>185</v>
      </c>
      <c r="E973" s="9" t="s">
        <v>15</v>
      </c>
      <c r="F973" s="9" t="s">
        <v>186</v>
      </c>
      <c r="G973" s="8"/>
      <c r="H973" s="8"/>
      <c r="I973" s="9" t="s">
        <v>28</v>
      </c>
      <c r="J973" s="9" t="s">
        <v>11</v>
      </c>
      <c r="K973" s="9" t="s">
        <v>82</v>
      </c>
      <c r="L973" s="9" t="s">
        <v>166</v>
      </c>
      <c r="M973" s="9" t="s">
        <v>28</v>
      </c>
      <c r="N973" s="9" t="s">
        <v>266</v>
      </c>
      <c r="O973" s="9" t="s">
        <v>357</v>
      </c>
      <c r="P973" s="9" t="s">
        <v>360</v>
      </c>
      <c r="Q973" s="11">
        <v>239</v>
      </c>
      <c r="R973" s="11"/>
      <c r="S973" s="11">
        <f t="shared" si="133"/>
        <v>239</v>
      </c>
      <c r="T973" s="9"/>
      <c r="U973" s="14" t="s">
        <v>77</v>
      </c>
      <c r="V973" s="9"/>
      <c r="W973" s="12">
        <v>30</v>
      </c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>
        <f t="shared" si="132"/>
        <v>0.35849999999999999</v>
      </c>
      <c r="AI973" s="13"/>
      <c r="AJ973" s="13">
        <f t="shared" si="134"/>
        <v>0.35849999999999999</v>
      </c>
      <c r="AK973" s="9"/>
      <c r="AL973" s="13"/>
      <c r="AM973" s="9"/>
      <c r="AN973" s="9"/>
      <c r="AO973" s="9"/>
      <c r="AP973" s="14"/>
    </row>
    <row r="974" spans="1:42" s="45" customFormat="1" ht="22" customHeight="1">
      <c r="A974" s="14" t="s">
        <v>21</v>
      </c>
      <c r="B974" s="8">
        <v>2024</v>
      </c>
      <c r="C974" s="8" t="s">
        <v>8</v>
      </c>
      <c r="D974" s="9" t="s">
        <v>185</v>
      </c>
      <c r="E974" s="9" t="s">
        <v>15</v>
      </c>
      <c r="F974" s="9" t="s">
        <v>186</v>
      </c>
      <c r="G974" s="8"/>
      <c r="H974" s="8"/>
      <c r="I974" s="9" t="s">
        <v>28</v>
      </c>
      <c r="J974" s="9" t="s">
        <v>11</v>
      </c>
      <c r="K974" s="9" t="s">
        <v>82</v>
      </c>
      <c r="L974" s="9" t="s">
        <v>166</v>
      </c>
      <c r="M974" s="9" t="s">
        <v>28</v>
      </c>
      <c r="N974" s="9" t="s">
        <v>266</v>
      </c>
      <c r="O974" s="9" t="s">
        <v>357</v>
      </c>
      <c r="P974" s="9" t="s">
        <v>361</v>
      </c>
      <c r="Q974" s="11">
        <v>263</v>
      </c>
      <c r="R974" s="11"/>
      <c r="S974" s="11">
        <f t="shared" si="133"/>
        <v>263</v>
      </c>
      <c r="T974" s="9"/>
      <c r="U974" s="14" t="s">
        <v>77</v>
      </c>
      <c r="V974" s="9"/>
      <c r="W974" s="12">
        <v>30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>
        <f t="shared" si="132"/>
        <v>0.39450000000000002</v>
      </c>
      <c r="AI974" s="13"/>
      <c r="AJ974" s="13">
        <f t="shared" si="134"/>
        <v>0.39450000000000002</v>
      </c>
      <c r="AK974" s="9"/>
      <c r="AL974" s="13"/>
      <c r="AM974" s="9"/>
      <c r="AN974" s="9"/>
      <c r="AO974" s="9"/>
      <c r="AP974" s="14"/>
    </row>
    <row r="975" spans="1:42" s="45" customFormat="1" ht="22" customHeight="1">
      <c r="A975" s="14" t="s">
        <v>21</v>
      </c>
      <c r="B975" s="8">
        <v>2024</v>
      </c>
      <c r="C975" s="8" t="s">
        <v>8</v>
      </c>
      <c r="D975" s="9" t="s">
        <v>185</v>
      </c>
      <c r="E975" s="9" t="s">
        <v>15</v>
      </c>
      <c r="F975" s="9" t="s">
        <v>186</v>
      </c>
      <c r="G975" s="8"/>
      <c r="H975" s="8"/>
      <c r="I975" s="9" t="s">
        <v>28</v>
      </c>
      <c r="J975" s="9" t="s">
        <v>11</v>
      </c>
      <c r="K975" s="9" t="s">
        <v>82</v>
      </c>
      <c r="L975" s="9" t="s">
        <v>166</v>
      </c>
      <c r="M975" s="9" t="s">
        <v>28</v>
      </c>
      <c r="N975" s="9" t="s">
        <v>266</v>
      </c>
      <c r="O975" s="9" t="s">
        <v>357</v>
      </c>
      <c r="P975" s="9" t="s">
        <v>362</v>
      </c>
      <c r="Q975" s="11">
        <v>301</v>
      </c>
      <c r="R975" s="11"/>
      <c r="S975" s="11">
        <f t="shared" si="133"/>
        <v>301</v>
      </c>
      <c r="T975" s="9"/>
      <c r="U975" s="14" t="s">
        <v>77</v>
      </c>
      <c r="V975" s="9"/>
      <c r="W975" s="12">
        <v>30</v>
      </c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>
        <f t="shared" si="132"/>
        <v>0.45150000000000001</v>
      </c>
      <c r="AI975" s="13"/>
      <c r="AJ975" s="13">
        <f t="shared" si="134"/>
        <v>0.45150000000000001</v>
      </c>
      <c r="AK975" s="9"/>
      <c r="AL975" s="13"/>
      <c r="AM975" s="9"/>
      <c r="AN975" s="9"/>
      <c r="AO975" s="9"/>
      <c r="AP975" s="14"/>
    </row>
    <row r="976" spans="1:42" s="45" customFormat="1" ht="22" customHeight="1">
      <c r="A976" s="14" t="s">
        <v>21</v>
      </c>
      <c r="B976" s="8">
        <v>2024</v>
      </c>
      <c r="C976" s="8" t="s">
        <v>8</v>
      </c>
      <c r="D976" s="9" t="s">
        <v>185</v>
      </c>
      <c r="E976" s="9" t="s">
        <v>15</v>
      </c>
      <c r="F976" s="9" t="s">
        <v>186</v>
      </c>
      <c r="G976" s="8"/>
      <c r="H976" s="8"/>
      <c r="I976" s="9" t="s">
        <v>28</v>
      </c>
      <c r="J976" s="9" t="s">
        <v>11</v>
      </c>
      <c r="K976" s="9" t="s">
        <v>82</v>
      </c>
      <c r="L976" s="9" t="s">
        <v>166</v>
      </c>
      <c r="M976" s="9" t="s">
        <v>28</v>
      </c>
      <c r="N976" s="9" t="s">
        <v>266</v>
      </c>
      <c r="O976" s="9" t="s">
        <v>357</v>
      </c>
      <c r="P976" s="9" t="s">
        <v>363</v>
      </c>
      <c r="Q976" s="11">
        <v>146</v>
      </c>
      <c r="R976" s="11"/>
      <c r="S976" s="11">
        <f t="shared" si="133"/>
        <v>146</v>
      </c>
      <c r="T976" s="9"/>
      <c r="U976" s="14" t="s">
        <v>77</v>
      </c>
      <c r="V976" s="9"/>
      <c r="W976" s="12">
        <v>30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>
        <f t="shared" si="132"/>
        <v>0.219</v>
      </c>
      <c r="AI976" s="13"/>
      <c r="AJ976" s="13">
        <f t="shared" si="134"/>
        <v>0.219</v>
      </c>
      <c r="AK976" s="9"/>
      <c r="AL976" s="13"/>
      <c r="AM976" s="9"/>
      <c r="AN976" s="9"/>
      <c r="AO976" s="9"/>
      <c r="AP976" s="14"/>
    </row>
    <row r="977" spans="1:42" s="45" customFormat="1" ht="22" customHeight="1">
      <c r="A977" s="14" t="s">
        <v>21</v>
      </c>
      <c r="B977" s="8">
        <v>2024</v>
      </c>
      <c r="C977" s="8" t="s">
        <v>8</v>
      </c>
      <c r="D977" s="9" t="s">
        <v>185</v>
      </c>
      <c r="E977" s="9" t="s">
        <v>15</v>
      </c>
      <c r="F977" s="9" t="s">
        <v>186</v>
      </c>
      <c r="G977" s="8"/>
      <c r="H977" s="8"/>
      <c r="I977" s="9" t="s">
        <v>28</v>
      </c>
      <c r="J977" s="9" t="s">
        <v>11</v>
      </c>
      <c r="K977" s="9" t="s">
        <v>82</v>
      </c>
      <c r="L977" s="9" t="s">
        <v>166</v>
      </c>
      <c r="M977" s="9" t="s">
        <v>28</v>
      </c>
      <c r="N977" s="9" t="s">
        <v>266</v>
      </c>
      <c r="O977" s="9" t="s">
        <v>357</v>
      </c>
      <c r="P977" s="9" t="s">
        <v>364</v>
      </c>
      <c r="Q977" s="11">
        <v>469</v>
      </c>
      <c r="R977" s="11"/>
      <c r="S977" s="11">
        <f t="shared" ref="S977:S1040" si="135">Q977+R977</f>
        <v>469</v>
      </c>
      <c r="T977" s="9"/>
      <c r="U977" s="14" t="s">
        <v>77</v>
      </c>
      <c r="V977" s="9"/>
      <c r="W977" s="12">
        <v>30</v>
      </c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>
        <f t="shared" ref="AH977:AH989" si="136">+S977*W977*50/1000000</f>
        <v>0.70350000000000001</v>
      </c>
      <c r="AI977" s="13"/>
      <c r="AJ977" s="13">
        <f t="shared" si="134"/>
        <v>0.70350000000000001</v>
      </c>
      <c r="AK977" s="9"/>
      <c r="AL977" s="13"/>
      <c r="AM977" s="9"/>
      <c r="AN977" s="9"/>
      <c r="AO977" s="9"/>
      <c r="AP977" s="14"/>
    </row>
    <row r="978" spans="1:42" s="45" customFormat="1" ht="22" customHeight="1">
      <c r="A978" s="14" t="s">
        <v>21</v>
      </c>
      <c r="B978" s="8">
        <v>2024</v>
      </c>
      <c r="C978" s="8" t="s">
        <v>8</v>
      </c>
      <c r="D978" s="9" t="s">
        <v>185</v>
      </c>
      <c r="E978" s="9" t="s">
        <v>15</v>
      </c>
      <c r="F978" s="9" t="s">
        <v>186</v>
      </c>
      <c r="G978" s="8"/>
      <c r="H978" s="8"/>
      <c r="I978" s="9" t="s">
        <v>28</v>
      </c>
      <c r="J978" s="9" t="s">
        <v>11</v>
      </c>
      <c r="K978" s="9" t="s">
        <v>82</v>
      </c>
      <c r="L978" s="9" t="s">
        <v>166</v>
      </c>
      <c r="M978" s="9" t="s">
        <v>28</v>
      </c>
      <c r="N978" s="9" t="s">
        <v>266</v>
      </c>
      <c r="O978" s="9" t="s">
        <v>365</v>
      </c>
      <c r="P978" s="9" t="s">
        <v>366</v>
      </c>
      <c r="Q978" s="11">
        <v>233</v>
      </c>
      <c r="R978" s="11"/>
      <c r="S978" s="11">
        <f t="shared" si="135"/>
        <v>233</v>
      </c>
      <c r="T978" s="9"/>
      <c r="U978" s="14" t="s">
        <v>77</v>
      </c>
      <c r="V978" s="9"/>
      <c r="W978" s="12">
        <v>30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>
        <f t="shared" si="136"/>
        <v>0.34949999999999998</v>
      </c>
      <c r="AI978" s="13"/>
      <c r="AJ978" s="13">
        <f t="shared" si="134"/>
        <v>0.34949999999999998</v>
      </c>
      <c r="AK978" s="9"/>
      <c r="AL978" s="13"/>
      <c r="AM978" s="9"/>
      <c r="AN978" s="9"/>
      <c r="AO978" s="9"/>
      <c r="AP978" s="14"/>
    </row>
    <row r="979" spans="1:42" s="45" customFormat="1" ht="22" customHeight="1">
      <c r="A979" s="14" t="s">
        <v>21</v>
      </c>
      <c r="B979" s="8">
        <v>2024</v>
      </c>
      <c r="C979" s="8" t="s">
        <v>8</v>
      </c>
      <c r="D979" s="9" t="s">
        <v>185</v>
      </c>
      <c r="E979" s="9" t="s">
        <v>15</v>
      </c>
      <c r="F979" s="9" t="s">
        <v>186</v>
      </c>
      <c r="G979" s="8"/>
      <c r="H979" s="8"/>
      <c r="I979" s="9" t="s">
        <v>28</v>
      </c>
      <c r="J979" s="9" t="s">
        <v>11</v>
      </c>
      <c r="K979" s="9" t="s">
        <v>82</v>
      </c>
      <c r="L979" s="9" t="s">
        <v>166</v>
      </c>
      <c r="M979" s="9" t="s">
        <v>28</v>
      </c>
      <c r="N979" s="9" t="s">
        <v>266</v>
      </c>
      <c r="O979" s="9" t="s">
        <v>365</v>
      </c>
      <c r="P979" s="9" t="s">
        <v>367</v>
      </c>
      <c r="Q979" s="11">
        <v>207</v>
      </c>
      <c r="R979" s="11"/>
      <c r="S979" s="11">
        <f t="shared" si="135"/>
        <v>207</v>
      </c>
      <c r="T979" s="9"/>
      <c r="U979" s="14" t="s">
        <v>77</v>
      </c>
      <c r="V979" s="9"/>
      <c r="W979" s="12">
        <v>30</v>
      </c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>
        <f t="shared" si="136"/>
        <v>0.3105</v>
      </c>
      <c r="AI979" s="13"/>
      <c r="AJ979" s="13">
        <f t="shared" si="134"/>
        <v>0.3105</v>
      </c>
      <c r="AK979" s="9"/>
      <c r="AL979" s="13"/>
      <c r="AM979" s="9"/>
      <c r="AN979" s="9"/>
      <c r="AO979" s="9"/>
      <c r="AP979" s="14"/>
    </row>
    <row r="980" spans="1:42" s="45" customFormat="1" ht="22" customHeight="1">
      <c r="A980" s="14" t="s">
        <v>21</v>
      </c>
      <c r="B980" s="8">
        <v>2024</v>
      </c>
      <c r="C980" s="8" t="s">
        <v>8</v>
      </c>
      <c r="D980" s="9" t="s">
        <v>185</v>
      </c>
      <c r="E980" s="9" t="s">
        <v>15</v>
      </c>
      <c r="F980" s="9" t="s">
        <v>186</v>
      </c>
      <c r="G980" s="8"/>
      <c r="H980" s="8"/>
      <c r="I980" s="9" t="s">
        <v>28</v>
      </c>
      <c r="J980" s="9" t="s">
        <v>11</v>
      </c>
      <c r="K980" s="9" t="s">
        <v>82</v>
      </c>
      <c r="L980" s="9" t="s">
        <v>166</v>
      </c>
      <c r="M980" s="9" t="s">
        <v>28</v>
      </c>
      <c r="N980" s="9" t="s">
        <v>266</v>
      </c>
      <c r="O980" s="9" t="s">
        <v>365</v>
      </c>
      <c r="P980" s="9" t="s">
        <v>368</v>
      </c>
      <c r="Q980" s="11">
        <v>159</v>
      </c>
      <c r="R980" s="11"/>
      <c r="S980" s="11">
        <f t="shared" si="135"/>
        <v>159</v>
      </c>
      <c r="T980" s="9"/>
      <c r="U980" s="14" t="s">
        <v>77</v>
      </c>
      <c r="V980" s="9"/>
      <c r="W980" s="12">
        <v>30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>
        <f t="shared" si="136"/>
        <v>0.23849999999999999</v>
      </c>
      <c r="AI980" s="13"/>
      <c r="AJ980" s="13">
        <f t="shared" si="134"/>
        <v>0.23849999999999999</v>
      </c>
      <c r="AK980" s="9"/>
      <c r="AL980" s="13"/>
      <c r="AM980" s="9"/>
      <c r="AN980" s="9"/>
      <c r="AO980" s="9"/>
      <c r="AP980" s="14"/>
    </row>
    <row r="981" spans="1:42" s="45" customFormat="1" ht="22" customHeight="1">
      <c r="A981" s="14" t="s">
        <v>21</v>
      </c>
      <c r="B981" s="8">
        <v>2024</v>
      </c>
      <c r="C981" s="8" t="s">
        <v>8</v>
      </c>
      <c r="D981" s="9" t="s">
        <v>185</v>
      </c>
      <c r="E981" s="9" t="s">
        <v>15</v>
      </c>
      <c r="F981" s="9" t="s">
        <v>186</v>
      </c>
      <c r="G981" s="8"/>
      <c r="H981" s="8"/>
      <c r="I981" s="9" t="s">
        <v>28</v>
      </c>
      <c r="J981" s="9" t="s">
        <v>11</v>
      </c>
      <c r="K981" s="9" t="s">
        <v>82</v>
      </c>
      <c r="L981" s="9" t="s">
        <v>166</v>
      </c>
      <c r="M981" s="9" t="s">
        <v>28</v>
      </c>
      <c r="N981" s="9" t="s">
        <v>266</v>
      </c>
      <c r="O981" s="9" t="s">
        <v>365</v>
      </c>
      <c r="P981" s="9" t="s">
        <v>369</v>
      </c>
      <c r="Q981" s="11">
        <v>163</v>
      </c>
      <c r="R981" s="11"/>
      <c r="S981" s="11">
        <f t="shared" si="135"/>
        <v>163</v>
      </c>
      <c r="T981" s="9"/>
      <c r="U981" s="14" t="s">
        <v>77</v>
      </c>
      <c r="V981" s="9"/>
      <c r="W981" s="12">
        <v>30</v>
      </c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>
        <f t="shared" si="136"/>
        <v>0.2445</v>
      </c>
      <c r="AI981" s="13"/>
      <c r="AJ981" s="13">
        <f t="shared" si="134"/>
        <v>0.2445</v>
      </c>
      <c r="AK981" s="9"/>
      <c r="AL981" s="13"/>
      <c r="AM981" s="9"/>
      <c r="AN981" s="9"/>
      <c r="AO981" s="9"/>
      <c r="AP981" s="14"/>
    </row>
    <row r="982" spans="1:42" s="45" customFormat="1" ht="22" customHeight="1">
      <c r="A982" s="14" t="s">
        <v>21</v>
      </c>
      <c r="B982" s="8">
        <v>2024</v>
      </c>
      <c r="C982" s="8" t="s">
        <v>8</v>
      </c>
      <c r="D982" s="9" t="s">
        <v>185</v>
      </c>
      <c r="E982" s="9" t="s">
        <v>15</v>
      </c>
      <c r="F982" s="9" t="s">
        <v>186</v>
      </c>
      <c r="G982" s="8"/>
      <c r="H982" s="8"/>
      <c r="I982" s="9" t="s">
        <v>28</v>
      </c>
      <c r="J982" s="9" t="s">
        <v>11</v>
      </c>
      <c r="K982" s="9" t="s">
        <v>82</v>
      </c>
      <c r="L982" s="9" t="s">
        <v>166</v>
      </c>
      <c r="M982" s="9" t="s">
        <v>28</v>
      </c>
      <c r="N982" s="9" t="s">
        <v>266</v>
      </c>
      <c r="O982" s="9" t="s">
        <v>365</v>
      </c>
      <c r="P982" s="9" t="s">
        <v>370</v>
      </c>
      <c r="Q982" s="11">
        <v>164</v>
      </c>
      <c r="R982" s="11"/>
      <c r="S982" s="11">
        <f t="shared" si="135"/>
        <v>164</v>
      </c>
      <c r="T982" s="9"/>
      <c r="U982" s="14" t="s">
        <v>77</v>
      </c>
      <c r="V982" s="9"/>
      <c r="W982" s="12">
        <v>30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>
        <f t="shared" si="136"/>
        <v>0.246</v>
      </c>
      <c r="AI982" s="13"/>
      <c r="AJ982" s="13">
        <f t="shared" si="134"/>
        <v>0.246</v>
      </c>
      <c r="AK982" s="9"/>
      <c r="AL982" s="13"/>
      <c r="AM982" s="9"/>
      <c r="AN982" s="9"/>
      <c r="AO982" s="9"/>
      <c r="AP982" s="14"/>
    </row>
    <row r="983" spans="1:42" s="45" customFormat="1" ht="22" customHeight="1">
      <c r="A983" s="14" t="s">
        <v>21</v>
      </c>
      <c r="B983" s="8">
        <v>2024</v>
      </c>
      <c r="C983" s="8" t="s">
        <v>8</v>
      </c>
      <c r="D983" s="9" t="s">
        <v>185</v>
      </c>
      <c r="E983" s="9" t="s">
        <v>15</v>
      </c>
      <c r="F983" s="9" t="s">
        <v>186</v>
      </c>
      <c r="G983" s="8"/>
      <c r="H983" s="8"/>
      <c r="I983" s="9" t="s">
        <v>28</v>
      </c>
      <c r="J983" s="9" t="s">
        <v>11</v>
      </c>
      <c r="K983" s="9" t="s">
        <v>82</v>
      </c>
      <c r="L983" s="9" t="s">
        <v>166</v>
      </c>
      <c r="M983" s="9" t="s">
        <v>28</v>
      </c>
      <c r="N983" s="9" t="s">
        <v>266</v>
      </c>
      <c r="O983" s="9" t="s">
        <v>365</v>
      </c>
      <c r="P983" s="9" t="s">
        <v>371</v>
      </c>
      <c r="Q983" s="11">
        <v>251</v>
      </c>
      <c r="R983" s="11"/>
      <c r="S983" s="11">
        <f t="shared" si="135"/>
        <v>251</v>
      </c>
      <c r="T983" s="9"/>
      <c r="U983" s="14" t="s">
        <v>77</v>
      </c>
      <c r="V983" s="9"/>
      <c r="W983" s="12">
        <v>30</v>
      </c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>
        <f t="shared" si="136"/>
        <v>0.3765</v>
      </c>
      <c r="AI983" s="13"/>
      <c r="AJ983" s="13">
        <f t="shared" si="134"/>
        <v>0.3765</v>
      </c>
      <c r="AK983" s="9"/>
      <c r="AL983" s="13"/>
      <c r="AM983" s="9"/>
      <c r="AN983" s="9"/>
      <c r="AO983" s="9"/>
      <c r="AP983" s="14"/>
    </row>
    <row r="984" spans="1:42" s="45" customFormat="1" ht="22" customHeight="1">
      <c r="A984" s="14" t="s">
        <v>21</v>
      </c>
      <c r="B984" s="8">
        <v>2024</v>
      </c>
      <c r="C984" s="8" t="s">
        <v>8</v>
      </c>
      <c r="D984" s="9" t="s">
        <v>185</v>
      </c>
      <c r="E984" s="9" t="s">
        <v>15</v>
      </c>
      <c r="F984" s="9" t="s">
        <v>186</v>
      </c>
      <c r="G984" s="8"/>
      <c r="H984" s="8"/>
      <c r="I984" s="9" t="s">
        <v>28</v>
      </c>
      <c r="J984" s="9" t="s">
        <v>11</v>
      </c>
      <c r="K984" s="9" t="s">
        <v>82</v>
      </c>
      <c r="L984" s="9" t="s">
        <v>166</v>
      </c>
      <c r="M984" s="9" t="s">
        <v>28</v>
      </c>
      <c r="N984" s="9" t="s">
        <v>266</v>
      </c>
      <c r="O984" s="9" t="s">
        <v>365</v>
      </c>
      <c r="P984" s="9" t="s">
        <v>372</v>
      </c>
      <c r="Q984" s="11">
        <v>204</v>
      </c>
      <c r="R984" s="11"/>
      <c r="S984" s="11">
        <f t="shared" si="135"/>
        <v>204</v>
      </c>
      <c r="T984" s="9"/>
      <c r="U984" s="14" t="s">
        <v>77</v>
      </c>
      <c r="V984" s="9"/>
      <c r="W984" s="12">
        <v>30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>
        <f t="shared" si="136"/>
        <v>0.30599999999999999</v>
      </c>
      <c r="AI984" s="13"/>
      <c r="AJ984" s="13">
        <f t="shared" si="134"/>
        <v>0.30599999999999999</v>
      </c>
      <c r="AK984" s="9"/>
      <c r="AL984" s="13"/>
      <c r="AM984" s="9"/>
      <c r="AN984" s="9"/>
      <c r="AO984" s="9"/>
      <c r="AP984" s="14"/>
    </row>
    <row r="985" spans="1:42" s="45" customFormat="1" ht="22" customHeight="1">
      <c r="A985" s="14" t="s">
        <v>21</v>
      </c>
      <c r="B985" s="8">
        <v>2024</v>
      </c>
      <c r="C985" s="8" t="s">
        <v>8</v>
      </c>
      <c r="D985" s="9" t="s">
        <v>185</v>
      </c>
      <c r="E985" s="9" t="s">
        <v>15</v>
      </c>
      <c r="F985" s="9" t="s">
        <v>186</v>
      </c>
      <c r="G985" s="8"/>
      <c r="H985" s="8"/>
      <c r="I985" s="9" t="s">
        <v>28</v>
      </c>
      <c r="J985" s="9" t="s">
        <v>11</v>
      </c>
      <c r="K985" s="9" t="s">
        <v>82</v>
      </c>
      <c r="L985" s="9" t="s">
        <v>166</v>
      </c>
      <c r="M985" s="9" t="s">
        <v>28</v>
      </c>
      <c r="N985" s="9" t="s">
        <v>266</v>
      </c>
      <c r="O985" s="9" t="s">
        <v>339</v>
      </c>
      <c r="P985" s="9" t="s">
        <v>373</v>
      </c>
      <c r="Q985" s="11">
        <v>193</v>
      </c>
      <c r="R985" s="11"/>
      <c r="S985" s="11">
        <f t="shared" si="135"/>
        <v>193</v>
      </c>
      <c r="T985" s="9"/>
      <c r="U985" s="14" t="s">
        <v>77</v>
      </c>
      <c r="V985" s="9"/>
      <c r="W985" s="12">
        <v>30</v>
      </c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>
        <f t="shared" si="136"/>
        <v>0.28949999999999998</v>
      </c>
      <c r="AI985" s="13"/>
      <c r="AJ985" s="13">
        <f t="shared" si="134"/>
        <v>0.28949999999999998</v>
      </c>
      <c r="AK985" s="9"/>
      <c r="AL985" s="13"/>
      <c r="AM985" s="9"/>
      <c r="AN985" s="9"/>
      <c r="AO985" s="9"/>
      <c r="AP985" s="14"/>
    </row>
    <row r="986" spans="1:42" s="45" customFormat="1" ht="22" customHeight="1">
      <c r="A986" s="14" t="s">
        <v>21</v>
      </c>
      <c r="B986" s="8">
        <v>2024</v>
      </c>
      <c r="C986" s="8" t="s">
        <v>8</v>
      </c>
      <c r="D986" s="9" t="s">
        <v>185</v>
      </c>
      <c r="E986" s="9" t="s">
        <v>15</v>
      </c>
      <c r="F986" s="9" t="s">
        <v>186</v>
      </c>
      <c r="G986" s="8"/>
      <c r="H986" s="8"/>
      <c r="I986" s="9" t="s">
        <v>28</v>
      </c>
      <c r="J986" s="9" t="s">
        <v>11</v>
      </c>
      <c r="K986" s="9" t="s">
        <v>82</v>
      </c>
      <c r="L986" s="9" t="s">
        <v>166</v>
      </c>
      <c r="M986" s="9" t="s">
        <v>28</v>
      </c>
      <c r="N986" s="9" t="s">
        <v>266</v>
      </c>
      <c r="O986" s="9" t="s">
        <v>339</v>
      </c>
      <c r="P986" s="9" t="s">
        <v>374</v>
      </c>
      <c r="Q986" s="11">
        <v>356</v>
      </c>
      <c r="R986" s="11"/>
      <c r="S986" s="11">
        <f t="shared" si="135"/>
        <v>356</v>
      </c>
      <c r="T986" s="9"/>
      <c r="U986" s="14" t="s">
        <v>77</v>
      </c>
      <c r="V986" s="9"/>
      <c r="W986" s="12">
        <v>30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>
        <f t="shared" si="136"/>
        <v>0.53400000000000003</v>
      </c>
      <c r="AI986" s="13"/>
      <c r="AJ986" s="13">
        <f t="shared" si="134"/>
        <v>0.53400000000000003</v>
      </c>
      <c r="AK986" s="9"/>
      <c r="AL986" s="13"/>
      <c r="AM986" s="9"/>
      <c r="AN986" s="9"/>
      <c r="AO986" s="9"/>
      <c r="AP986" s="14"/>
    </row>
    <row r="987" spans="1:42" s="45" customFormat="1" ht="22" customHeight="1">
      <c r="A987" s="14" t="s">
        <v>21</v>
      </c>
      <c r="B987" s="8">
        <v>2024</v>
      </c>
      <c r="C987" s="8" t="s">
        <v>8</v>
      </c>
      <c r="D987" s="9" t="s">
        <v>185</v>
      </c>
      <c r="E987" s="9" t="s">
        <v>15</v>
      </c>
      <c r="F987" s="9" t="s">
        <v>186</v>
      </c>
      <c r="G987" s="8"/>
      <c r="H987" s="8"/>
      <c r="I987" s="9" t="s">
        <v>28</v>
      </c>
      <c r="J987" s="9" t="s">
        <v>11</v>
      </c>
      <c r="K987" s="9" t="s">
        <v>82</v>
      </c>
      <c r="L987" s="9" t="s">
        <v>166</v>
      </c>
      <c r="M987" s="9" t="s">
        <v>28</v>
      </c>
      <c r="N987" s="9" t="s">
        <v>266</v>
      </c>
      <c r="O987" s="9" t="s">
        <v>339</v>
      </c>
      <c r="P987" s="9" t="s">
        <v>375</v>
      </c>
      <c r="Q987" s="11">
        <v>203</v>
      </c>
      <c r="R987" s="11"/>
      <c r="S987" s="11">
        <f t="shared" si="135"/>
        <v>203</v>
      </c>
      <c r="T987" s="9"/>
      <c r="U987" s="14" t="s">
        <v>77</v>
      </c>
      <c r="V987" s="9"/>
      <c r="W987" s="12">
        <v>30</v>
      </c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>
        <f t="shared" si="136"/>
        <v>0.30449999999999999</v>
      </c>
      <c r="AI987" s="13"/>
      <c r="AJ987" s="13">
        <f t="shared" si="134"/>
        <v>0.30449999999999999</v>
      </c>
      <c r="AK987" s="9"/>
      <c r="AL987" s="13"/>
      <c r="AM987" s="9"/>
      <c r="AN987" s="9"/>
      <c r="AO987" s="9"/>
      <c r="AP987" s="14"/>
    </row>
    <row r="988" spans="1:42" s="45" customFormat="1" ht="22" customHeight="1">
      <c r="A988" s="14" t="s">
        <v>21</v>
      </c>
      <c r="B988" s="8">
        <v>2024</v>
      </c>
      <c r="C988" s="8" t="s">
        <v>8</v>
      </c>
      <c r="D988" s="9" t="s">
        <v>185</v>
      </c>
      <c r="E988" s="9" t="s">
        <v>15</v>
      </c>
      <c r="F988" s="9" t="s">
        <v>186</v>
      </c>
      <c r="G988" s="8"/>
      <c r="H988" s="8"/>
      <c r="I988" s="9" t="s">
        <v>28</v>
      </c>
      <c r="J988" s="9" t="s">
        <v>11</v>
      </c>
      <c r="K988" s="9" t="s">
        <v>82</v>
      </c>
      <c r="L988" s="9" t="s">
        <v>166</v>
      </c>
      <c r="M988" s="9" t="s">
        <v>28</v>
      </c>
      <c r="N988" s="9" t="s">
        <v>266</v>
      </c>
      <c r="O988" s="9" t="s">
        <v>339</v>
      </c>
      <c r="P988" s="9" t="s">
        <v>339</v>
      </c>
      <c r="Q988" s="11">
        <v>379</v>
      </c>
      <c r="R988" s="11"/>
      <c r="S988" s="11">
        <f t="shared" si="135"/>
        <v>379</v>
      </c>
      <c r="T988" s="9"/>
      <c r="U988" s="14" t="s">
        <v>77</v>
      </c>
      <c r="V988" s="9"/>
      <c r="W988" s="12">
        <v>30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>
        <f t="shared" si="136"/>
        <v>0.56850000000000001</v>
      </c>
      <c r="AI988" s="13"/>
      <c r="AJ988" s="13">
        <f t="shared" si="134"/>
        <v>0.56850000000000001</v>
      </c>
      <c r="AK988" s="9"/>
      <c r="AL988" s="13"/>
      <c r="AM988" s="9"/>
      <c r="AN988" s="9"/>
      <c r="AO988" s="9"/>
      <c r="AP988" s="14"/>
    </row>
    <row r="989" spans="1:42" s="45" customFormat="1" ht="22" customHeight="1">
      <c r="A989" s="14" t="s">
        <v>21</v>
      </c>
      <c r="B989" s="8">
        <v>2024</v>
      </c>
      <c r="C989" s="8" t="s">
        <v>8</v>
      </c>
      <c r="D989" s="9" t="s">
        <v>185</v>
      </c>
      <c r="E989" s="9" t="s">
        <v>15</v>
      </c>
      <c r="F989" s="9" t="s">
        <v>186</v>
      </c>
      <c r="G989" s="8"/>
      <c r="H989" s="8"/>
      <c r="I989" s="9" t="s">
        <v>28</v>
      </c>
      <c r="J989" s="9" t="s">
        <v>11</v>
      </c>
      <c r="K989" s="9" t="s">
        <v>82</v>
      </c>
      <c r="L989" s="9" t="s">
        <v>166</v>
      </c>
      <c r="M989" s="9" t="s">
        <v>28</v>
      </c>
      <c r="N989" s="9" t="s">
        <v>266</v>
      </c>
      <c r="O989" s="9" t="s">
        <v>339</v>
      </c>
      <c r="P989" s="9" t="s">
        <v>376</v>
      </c>
      <c r="Q989" s="11">
        <v>31</v>
      </c>
      <c r="R989" s="11"/>
      <c r="S989" s="11">
        <f t="shared" si="135"/>
        <v>31</v>
      </c>
      <c r="T989" s="9"/>
      <c r="U989" s="14" t="s">
        <v>77</v>
      </c>
      <c r="V989" s="9"/>
      <c r="W989" s="12">
        <v>30</v>
      </c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>
        <f t="shared" si="136"/>
        <v>4.65E-2</v>
      </c>
      <c r="AI989" s="13"/>
      <c r="AJ989" s="13">
        <f t="shared" si="134"/>
        <v>4.65E-2</v>
      </c>
      <c r="AK989" s="9"/>
      <c r="AL989" s="13"/>
      <c r="AM989" s="9"/>
      <c r="AN989" s="9"/>
      <c r="AO989" s="9"/>
      <c r="AP989" s="14"/>
    </row>
    <row r="990" spans="1:42" s="45" customFormat="1" ht="22" customHeight="1">
      <c r="A990" s="14" t="s">
        <v>21</v>
      </c>
      <c r="B990" s="8">
        <v>2024</v>
      </c>
      <c r="C990" s="8" t="s">
        <v>8</v>
      </c>
      <c r="D990" s="9" t="s">
        <v>185</v>
      </c>
      <c r="E990" s="9" t="s">
        <v>10</v>
      </c>
      <c r="F990" s="9" t="s">
        <v>186</v>
      </c>
      <c r="G990" s="8"/>
      <c r="H990" s="8"/>
      <c r="I990" s="9" t="s">
        <v>28</v>
      </c>
      <c r="J990" s="9" t="s">
        <v>11</v>
      </c>
      <c r="K990" s="9" t="s">
        <v>82</v>
      </c>
      <c r="L990" s="9" t="s">
        <v>166</v>
      </c>
      <c r="M990" s="9" t="s">
        <v>28</v>
      </c>
      <c r="N990" s="9" t="s">
        <v>271</v>
      </c>
      <c r="O990" s="9" t="s">
        <v>324</v>
      </c>
      <c r="P990" s="9" t="s">
        <v>325</v>
      </c>
      <c r="Q990" s="11"/>
      <c r="R990" s="11">
        <v>157</v>
      </c>
      <c r="S990" s="11">
        <f t="shared" si="135"/>
        <v>157</v>
      </c>
      <c r="T990" s="9"/>
      <c r="U990" s="14" t="s">
        <v>77</v>
      </c>
      <c r="V990" s="9"/>
      <c r="W990" s="12">
        <v>30</v>
      </c>
      <c r="X990" s="13"/>
      <c r="Y990" s="13"/>
      <c r="Z990" s="13"/>
      <c r="AA990" s="13"/>
      <c r="AB990" s="13"/>
      <c r="AC990" s="13">
        <f t="shared" ref="AC990:AC1053" si="137">+S990*W990*20/1000000</f>
        <v>9.4200000000000006E-2</v>
      </c>
      <c r="AD990" s="13"/>
      <c r="AE990" s="13"/>
      <c r="AF990" s="13">
        <f t="shared" ref="AF990:AF1053" si="138">+S990*W990*200/1000000</f>
        <v>0.94199999999999995</v>
      </c>
      <c r="AG990" s="13"/>
      <c r="AH990" s="13"/>
      <c r="AI990" s="13"/>
      <c r="AJ990" s="13">
        <f t="shared" si="134"/>
        <v>1.0362</v>
      </c>
      <c r="AK990" s="9"/>
      <c r="AL990" s="13"/>
      <c r="AM990" s="9"/>
      <c r="AN990" s="9"/>
      <c r="AO990" s="9"/>
      <c r="AP990" s="14"/>
    </row>
    <row r="991" spans="1:42" s="45" customFormat="1" ht="22" customHeight="1">
      <c r="A991" s="14" t="s">
        <v>21</v>
      </c>
      <c r="B991" s="8">
        <v>2024</v>
      </c>
      <c r="C991" s="8" t="s">
        <v>8</v>
      </c>
      <c r="D991" s="9" t="s">
        <v>185</v>
      </c>
      <c r="E991" s="9" t="s">
        <v>10</v>
      </c>
      <c r="F991" s="9" t="s">
        <v>186</v>
      </c>
      <c r="G991" s="8"/>
      <c r="H991" s="8"/>
      <c r="I991" s="9" t="s">
        <v>28</v>
      </c>
      <c r="J991" s="9" t="s">
        <v>11</v>
      </c>
      <c r="K991" s="9" t="s">
        <v>82</v>
      </c>
      <c r="L991" s="9" t="s">
        <v>166</v>
      </c>
      <c r="M991" s="9" t="s">
        <v>28</v>
      </c>
      <c r="N991" s="9" t="s">
        <v>271</v>
      </c>
      <c r="O991" s="9" t="s">
        <v>324</v>
      </c>
      <c r="P991" s="9" t="s">
        <v>324</v>
      </c>
      <c r="Q991" s="11"/>
      <c r="R991" s="11">
        <v>164</v>
      </c>
      <c r="S991" s="11">
        <f t="shared" si="135"/>
        <v>164</v>
      </c>
      <c r="T991" s="9"/>
      <c r="U991" s="14" t="s">
        <v>77</v>
      </c>
      <c r="V991" s="9"/>
      <c r="W991" s="12">
        <v>30</v>
      </c>
      <c r="X991" s="13"/>
      <c r="Y991" s="13"/>
      <c r="Z991" s="13"/>
      <c r="AA991" s="13"/>
      <c r="AB991" s="13"/>
      <c r="AC991" s="13">
        <f t="shared" si="137"/>
        <v>9.8400000000000001E-2</v>
      </c>
      <c r="AD991" s="13"/>
      <c r="AE991" s="13"/>
      <c r="AF991" s="13">
        <f t="shared" si="138"/>
        <v>0.98399999999999999</v>
      </c>
      <c r="AG991" s="13"/>
      <c r="AH991" s="13"/>
      <c r="AI991" s="13"/>
      <c r="AJ991" s="13">
        <f t="shared" si="134"/>
        <v>1.0824</v>
      </c>
      <c r="AK991" s="9"/>
      <c r="AL991" s="13"/>
      <c r="AM991" s="9"/>
      <c r="AN991" s="9"/>
      <c r="AO991" s="9"/>
      <c r="AP991" s="14"/>
    </row>
    <row r="992" spans="1:42" s="45" customFormat="1" ht="22" customHeight="1">
      <c r="A992" s="14" t="s">
        <v>21</v>
      </c>
      <c r="B992" s="8">
        <v>2024</v>
      </c>
      <c r="C992" s="8" t="s">
        <v>8</v>
      </c>
      <c r="D992" s="9" t="s">
        <v>185</v>
      </c>
      <c r="E992" s="9" t="s">
        <v>10</v>
      </c>
      <c r="F992" s="9" t="s">
        <v>186</v>
      </c>
      <c r="G992" s="8"/>
      <c r="H992" s="8"/>
      <c r="I992" s="9" t="s">
        <v>28</v>
      </c>
      <c r="J992" s="9" t="s">
        <v>11</v>
      </c>
      <c r="K992" s="9" t="s">
        <v>82</v>
      </c>
      <c r="L992" s="9" t="s">
        <v>166</v>
      </c>
      <c r="M992" s="9" t="s">
        <v>28</v>
      </c>
      <c r="N992" s="9" t="s">
        <v>271</v>
      </c>
      <c r="O992" s="9" t="s">
        <v>324</v>
      </c>
      <c r="P992" s="9" t="s">
        <v>326</v>
      </c>
      <c r="Q992" s="11"/>
      <c r="R992" s="11">
        <v>102</v>
      </c>
      <c r="S992" s="11">
        <f t="shared" si="135"/>
        <v>102</v>
      </c>
      <c r="T992" s="9"/>
      <c r="U992" s="14" t="s">
        <v>77</v>
      </c>
      <c r="V992" s="9"/>
      <c r="W992" s="12">
        <v>30</v>
      </c>
      <c r="X992" s="13"/>
      <c r="Y992" s="13"/>
      <c r="Z992" s="13"/>
      <c r="AA992" s="13"/>
      <c r="AB992" s="13"/>
      <c r="AC992" s="13">
        <f t="shared" si="137"/>
        <v>6.1199999999999997E-2</v>
      </c>
      <c r="AD992" s="13"/>
      <c r="AE992" s="13"/>
      <c r="AF992" s="13">
        <f t="shared" si="138"/>
        <v>0.61199999999999999</v>
      </c>
      <c r="AG992" s="13"/>
      <c r="AH992" s="13"/>
      <c r="AI992" s="13"/>
      <c r="AJ992" s="13">
        <f t="shared" si="134"/>
        <v>0.67320000000000002</v>
      </c>
      <c r="AK992" s="9"/>
      <c r="AL992" s="13"/>
      <c r="AM992" s="9"/>
      <c r="AN992" s="9"/>
      <c r="AO992" s="9"/>
      <c r="AP992" s="14"/>
    </row>
    <row r="993" spans="1:42" s="45" customFormat="1" ht="22" customHeight="1">
      <c r="A993" s="14" t="s">
        <v>21</v>
      </c>
      <c r="B993" s="8">
        <v>2024</v>
      </c>
      <c r="C993" s="8" t="s">
        <v>8</v>
      </c>
      <c r="D993" s="9" t="s">
        <v>185</v>
      </c>
      <c r="E993" s="9" t="s">
        <v>10</v>
      </c>
      <c r="F993" s="9" t="s">
        <v>186</v>
      </c>
      <c r="G993" s="8"/>
      <c r="H993" s="8"/>
      <c r="I993" s="9" t="s">
        <v>28</v>
      </c>
      <c r="J993" s="9" t="s">
        <v>11</v>
      </c>
      <c r="K993" s="9" t="s">
        <v>82</v>
      </c>
      <c r="L993" s="9" t="s">
        <v>166</v>
      </c>
      <c r="M993" s="9" t="s">
        <v>28</v>
      </c>
      <c r="N993" s="9" t="s">
        <v>271</v>
      </c>
      <c r="O993" s="9" t="s">
        <v>324</v>
      </c>
      <c r="P993" s="9" t="s">
        <v>327</v>
      </c>
      <c r="Q993" s="11"/>
      <c r="R993" s="11">
        <v>153</v>
      </c>
      <c r="S993" s="11">
        <f t="shared" si="135"/>
        <v>153</v>
      </c>
      <c r="T993" s="9"/>
      <c r="U993" s="14" t="s">
        <v>77</v>
      </c>
      <c r="V993" s="9"/>
      <c r="W993" s="12">
        <v>30</v>
      </c>
      <c r="X993" s="13"/>
      <c r="Y993" s="13"/>
      <c r="Z993" s="13"/>
      <c r="AA993" s="13"/>
      <c r="AB993" s="13"/>
      <c r="AC993" s="13">
        <f t="shared" si="137"/>
        <v>9.1800000000000007E-2</v>
      </c>
      <c r="AD993" s="13"/>
      <c r="AE993" s="13"/>
      <c r="AF993" s="13">
        <f t="shared" si="138"/>
        <v>0.91800000000000004</v>
      </c>
      <c r="AG993" s="13"/>
      <c r="AH993" s="13"/>
      <c r="AI993" s="13"/>
      <c r="AJ993" s="13">
        <f t="shared" si="134"/>
        <v>1.0098</v>
      </c>
      <c r="AK993" s="9"/>
      <c r="AL993" s="13"/>
      <c r="AM993" s="9"/>
      <c r="AN993" s="9"/>
      <c r="AO993" s="9"/>
      <c r="AP993" s="14"/>
    </row>
    <row r="994" spans="1:42" s="45" customFormat="1" ht="22" customHeight="1">
      <c r="A994" s="14" t="s">
        <v>21</v>
      </c>
      <c r="B994" s="8">
        <v>2024</v>
      </c>
      <c r="C994" s="8" t="s">
        <v>8</v>
      </c>
      <c r="D994" s="9" t="s">
        <v>185</v>
      </c>
      <c r="E994" s="9" t="s">
        <v>10</v>
      </c>
      <c r="F994" s="9" t="s">
        <v>186</v>
      </c>
      <c r="G994" s="8"/>
      <c r="H994" s="8"/>
      <c r="I994" s="9" t="s">
        <v>28</v>
      </c>
      <c r="J994" s="9" t="s">
        <v>11</v>
      </c>
      <c r="K994" s="9" t="s">
        <v>82</v>
      </c>
      <c r="L994" s="9" t="s">
        <v>166</v>
      </c>
      <c r="M994" s="9" t="s">
        <v>28</v>
      </c>
      <c r="N994" s="9" t="s">
        <v>271</v>
      </c>
      <c r="O994" s="9" t="s">
        <v>324</v>
      </c>
      <c r="P994" s="9" t="s">
        <v>328</v>
      </c>
      <c r="Q994" s="11"/>
      <c r="R994" s="11">
        <v>118</v>
      </c>
      <c r="S994" s="11">
        <f t="shared" si="135"/>
        <v>118</v>
      </c>
      <c r="T994" s="9"/>
      <c r="U994" s="14" t="s">
        <v>77</v>
      </c>
      <c r="V994" s="9"/>
      <c r="W994" s="12">
        <v>30</v>
      </c>
      <c r="X994" s="13"/>
      <c r="Y994" s="13"/>
      <c r="Z994" s="13"/>
      <c r="AA994" s="13"/>
      <c r="AB994" s="13"/>
      <c r="AC994" s="13">
        <f t="shared" si="137"/>
        <v>7.0800000000000002E-2</v>
      </c>
      <c r="AD994" s="13"/>
      <c r="AE994" s="13"/>
      <c r="AF994" s="13">
        <f t="shared" si="138"/>
        <v>0.70799999999999996</v>
      </c>
      <c r="AG994" s="13"/>
      <c r="AH994" s="13"/>
      <c r="AI994" s="13"/>
      <c r="AJ994" s="13">
        <f t="shared" si="134"/>
        <v>0.77879999999999994</v>
      </c>
      <c r="AK994" s="9"/>
      <c r="AL994" s="13"/>
      <c r="AM994" s="9"/>
      <c r="AN994" s="9"/>
      <c r="AO994" s="9"/>
      <c r="AP994" s="14"/>
    </row>
    <row r="995" spans="1:42" s="45" customFormat="1" ht="22" customHeight="1">
      <c r="A995" s="14" t="s">
        <v>21</v>
      </c>
      <c r="B995" s="8">
        <v>2024</v>
      </c>
      <c r="C995" s="8" t="s">
        <v>8</v>
      </c>
      <c r="D995" s="9" t="s">
        <v>185</v>
      </c>
      <c r="E995" s="9" t="s">
        <v>10</v>
      </c>
      <c r="F995" s="9" t="s">
        <v>186</v>
      </c>
      <c r="G995" s="8"/>
      <c r="H995" s="8"/>
      <c r="I995" s="9" t="s">
        <v>28</v>
      </c>
      <c r="J995" s="9" t="s">
        <v>11</v>
      </c>
      <c r="K995" s="9" t="s">
        <v>82</v>
      </c>
      <c r="L995" s="9" t="s">
        <v>166</v>
      </c>
      <c r="M995" s="9" t="s">
        <v>28</v>
      </c>
      <c r="N995" s="9" t="s">
        <v>271</v>
      </c>
      <c r="O995" s="9" t="s">
        <v>324</v>
      </c>
      <c r="P995" s="9" t="s">
        <v>329</v>
      </c>
      <c r="Q995" s="11"/>
      <c r="R995" s="11">
        <v>142</v>
      </c>
      <c r="S995" s="11">
        <f t="shared" si="135"/>
        <v>142</v>
      </c>
      <c r="T995" s="9"/>
      <c r="U995" s="14" t="s">
        <v>77</v>
      </c>
      <c r="V995" s="9"/>
      <c r="W995" s="12">
        <v>30</v>
      </c>
      <c r="X995" s="13"/>
      <c r="Y995" s="13"/>
      <c r="Z995" s="13"/>
      <c r="AA995" s="13"/>
      <c r="AB995" s="13"/>
      <c r="AC995" s="13">
        <f t="shared" si="137"/>
        <v>8.5199999999999998E-2</v>
      </c>
      <c r="AD995" s="13"/>
      <c r="AE995" s="13"/>
      <c r="AF995" s="13">
        <f t="shared" si="138"/>
        <v>0.85199999999999998</v>
      </c>
      <c r="AG995" s="13"/>
      <c r="AH995" s="13"/>
      <c r="AI995" s="13"/>
      <c r="AJ995" s="13">
        <f t="shared" si="134"/>
        <v>0.93720000000000003</v>
      </c>
      <c r="AK995" s="9"/>
      <c r="AL995" s="13"/>
      <c r="AM995" s="9"/>
      <c r="AN995" s="9"/>
      <c r="AO995" s="9"/>
      <c r="AP995" s="14"/>
    </row>
    <row r="996" spans="1:42" s="45" customFormat="1" ht="22" customHeight="1">
      <c r="A996" s="14" t="s">
        <v>21</v>
      </c>
      <c r="B996" s="8">
        <v>2024</v>
      </c>
      <c r="C996" s="8" t="s">
        <v>8</v>
      </c>
      <c r="D996" s="9" t="s">
        <v>185</v>
      </c>
      <c r="E996" s="9" t="s">
        <v>10</v>
      </c>
      <c r="F996" s="9" t="s">
        <v>186</v>
      </c>
      <c r="G996" s="8"/>
      <c r="H996" s="8"/>
      <c r="I996" s="9" t="s">
        <v>28</v>
      </c>
      <c r="J996" s="9" t="s">
        <v>11</v>
      </c>
      <c r="K996" s="9" t="s">
        <v>82</v>
      </c>
      <c r="L996" s="9" t="s">
        <v>166</v>
      </c>
      <c r="M996" s="9" t="s">
        <v>28</v>
      </c>
      <c r="N996" s="9" t="s">
        <v>271</v>
      </c>
      <c r="O996" s="9" t="s">
        <v>324</v>
      </c>
      <c r="P996" s="9" t="s">
        <v>330</v>
      </c>
      <c r="Q996" s="11"/>
      <c r="R996" s="11">
        <v>137</v>
      </c>
      <c r="S996" s="11">
        <f t="shared" si="135"/>
        <v>137</v>
      </c>
      <c r="T996" s="9"/>
      <c r="U996" s="14" t="s">
        <v>77</v>
      </c>
      <c r="V996" s="9"/>
      <c r="W996" s="12">
        <v>30</v>
      </c>
      <c r="X996" s="13"/>
      <c r="Y996" s="13"/>
      <c r="Z996" s="13"/>
      <c r="AA996" s="13"/>
      <c r="AB996" s="13"/>
      <c r="AC996" s="13">
        <f t="shared" si="137"/>
        <v>8.2199999999999995E-2</v>
      </c>
      <c r="AD996" s="13"/>
      <c r="AE996" s="13"/>
      <c r="AF996" s="13">
        <f t="shared" si="138"/>
        <v>0.82199999999999995</v>
      </c>
      <c r="AG996" s="13"/>
      <c r="AH996" s="13"/>
      <c r="AI996" s="13"/>
      <c r="AJ996" s="13">
        <f t="shared" si="134"/>
        <v>0.90419999999999989</v>
      </c>
      <c r="AK996" s="9"/>
      <c r="AL996" s="13"/>
      <c r="AM996" s="9"/>
      <c r="AN996" s="9"/>
      <c r="AO996" s="9"/>
      <c r="AP996" s="14"/>
    </row>
    <row r="997" spans="1:42" s="45" customFormat="1" ht="22" customHeight="1">
      <c r="A997" s="14" t="s">
        <v>21</v>
      </c>
      <c r="B997" s="8">
        <v>2024</v>
      </c>
      <c r="C997" s="8" t="s">
        <v>8</v>
      </c>
      <c r="D997" s="9" t="s">
        <v>185</v>
      </c>
      <c r="E997" s="9" t="s">
        <v>10</v>
      </c>
      <c r="F997" s="9" t="s">
        <v>186</v>
      </c>
      <c r="G997" s="8"/>
      <c r="H997" s="8"/>
      <c r="I997" s="9" t="s">
        <v>28</v>
      </c>
      <c r="J997" s="9" t="s">
        <v>11</v>
      </c>
      <c r="K997" s="9" t="s">
        <v>82</v>
      </c>
      <c r="L997" s="9" t="s">
        <v>166</v>
      </c>
      <c r="M997" s="9" t="s">
        <v>28</v>
      </c>
      <c r="N997" s="9" t="s">
        <v>271</v>
      </c>
      <c r="O997" s="9" t="s">
        <v>324</v>
      </c>
      <c r="P997" s="9" t="s">
        <v>331</v>
      </c>
      <c r="Q997" s="11"/>
      <c r="R997" s="11">
        <v>220</v>
      </c>
      <c r="S997" s="11">
        <f t="shared" si="135"/>
        <v>220</v>
      </c>
      <c r="T997" s="9"/>
      <c r="U997" s="14" t="s">
        <v>77</v>
      </c>
      <c r="V997" s="9"/>
      <c r="W997" s="12">
        <v>30</v>
      </c>
      <c r="X997" s="13"/>
      <c r="Y997" s="13"/>
      <c r="Z997" s="13"/>
      <c r="AA997" s="13"/>
      <c r="AB997" s="13"/>
      <c r="AC997" s="13">
        <f t="shared" si="137"/>
        <v>0.13200000000000001</v>
      </c>
      <c r="AD997" s="13"/>
      <c r="AE997" s="13"/>
      <c r="AF997" s="13">
        <f t="shared" si="138"/>
        <v>1.32</v>
      </c>
      <c r="AG997" s="13"/>
      <c r="AH997" s="13"/>
      <c r="AI997" s="13"/>
      <c r="AJ997" s="13">
        <f t="shared" si="134"/>
        <v>1.452</v>
      </c>
      <c r="AK997" s="9"/>
      <c r="AL997" s="13"/>
      <c r="AM997" s="9"/>
      <c r="AN997" s="9"/>
      <c r="AO997" s="9"/>
      <c r="AP997" s="14"/>
    </row>
    <row r="998" spans="1:42" s="45" customFormat="1" ht="22" customHeight="1">
      <c r="A998" s="14" t="s">
        <v>21</v>
      </c>
      <c r="B998" s="8">
        <v>2024</v>
      </c>
      <c r="C998" s="8" t="s">
        <v>8</v>
      </c>
      <c r="D998" s="9" t="s">
        <v>185</v>
      </c>
      <c r="E998" s="9" t="s">
        <v>10</v>
      </c>
      <c r="F998" s="9" t="s">
        <v>186</v>
      </c>
      <c r="G998" s="8"/>
      <c r="H998" s="8"/>
      <c r="I998" s="9" t="s">
        <v>28</v>
      </c>
      <c r="J998" s="9" t="s">
        <v>11</v>
      </c>
      <c r="K998" s="9" t="s">
        <v>82</v>
      </c>
      <c r="L998" s="9" t="s">
        <v>166</v>
      </c>
      <c r="M998" s="9" t="s">
        <v>28</v>
      </c>
      <c r="N998" s="9" t="s">
        <v>271</v>
      </c>
      <c r="O998" s="9" t="s">
        <v>324</v>
      </c>
      <c r="P998" s="9" t="s">
        <v>332</v>
      </c>
      <c r="Q998" s="11"/>
      <c r="R998" s="11">
        <v>110</v>
      </c>
      <c r="S998" s="11">
        <f t="shared" si="135"/>
        <v>110</v>
      </c>
      <c r="T998" s="9"/>
      <c r="U998" s="14" t="s">
        <v>77</v>
      </c>
      <c r="V998" s="9"/>
      <c r="W998" s="12">
        <v>30</v>
      </c>
      <c r="X998" s="13"/>
      <c r="Y998" s="13"/>
      <c r="Z998" s="13"/>
      <c r="AA998" s="13"/>
      <c r="AB998" s="13"/>
      <c r="AC998" s="13">
        <f t="shared" si="137"/>
        <v>6.6000000000000003E-2</v>
      </c>
      <c r="AD998" s="13"/>
      <c r="AE998" s="13"/>
      <c r="AF998" s="13">
        <f t="shared" si="138"/>
        <v>0.66</v>
      </c>
      <c r="AG998" s="13"/>
      <c r="AH998" s="13"/>
      <c r="AI998" s="13"/>
      <c r="AJ998" s="13">
        <f t="shared" si="134"/>
        <v>0.72599999999999998</v>
      </c>
      <c r="AK998" s="9"/>
      <c r="AL998" s="13"/>
      <c r="AM998" s="9"/>
      <c r="AN998" s="9"/>
      <c r="AO998" s="9"/>
      <c r="AP998" s="14"/>
    </row>
    <row r="999" spans="1:42" s="45" customFormat="1" ht="22" customHeight="1">
      <c r="A999" s="14" t="s">
        <v>21</v>
      </c>
      <c r="B999" s="8">
        <v>2024</v>
      </c>
      <c r="C999" s="8" t="s">
        <v>8</v>
      </c>
      <c r="D999" s="9" t="s">
        <v>185</v>
      </c>
      <c r="E999" s="9" t="s">
        <v>10</v>
      </c>
      <c r="F999" s="9" t="s">
        <v>186</v>
      </c>
      <c r="G999" s="8"/>
      <c r="H999" s="8"/>
      <c r="I999" s="9" t="s">
        <v>28</v>
      </c>
      <c r="J999" s="9" t="s">
        <v>11</v>
      </c>
      <c r="K999" s="9" t="s">
        <v>82</v>
      </c>
      <c r="L999" s="9" t="s">
        <v>166</v>
      </c>
      <c r="M999" s="9" t="s">
        <v>28</v>
      </c>
      <c r="N999" s="9" t="s">
        <v>271</v>
      </c>
      <c r="O999" s="9" t="s">
        <v>324</v>
      </c>
      <c r="P999" s="9" t="s">
        <v>333</v>
      </c>
      <c r="Q999" s="11"/>
      <c r="R999" s="11">
        <v>129</v>
      </c>
      <c r="S999" s="11">
        <f t="shared" si="135"/>
        <v>129</v>
      </c>
      <c r="T999" s="9"/>
      <c r="U999" s="14" t="s">
        <v>77</v>
      </c>
      <c r="V999" s="9"/>
      <c r="W999" s="12">
        <v>30</v>
      </c>
      <c r="X999" s="13"/>
      <c r="Y999" s="13"/>
      <c r="Z999" s="13"/>
      <c r="AA999" s="13"/>
      <c r="AB999" s="13"/>
      <c r="AC999" s="13">
        <f t="shared" si="137"/>
        <v>7.7399999999999997E-2</v>
      </c>
      <c r="AD999" s="13"/>
      <c r="AE999" s="13"/>
      <c r="AF999" s="13">
        <f t="shared" si="138"/>
        <v>0.77400000000000002</v>
      </c>
      <c r="AG999" s="13"/>
      <c r="AH999" s="13"/>
      <c r="AI999" s="13"/>
      <c r="AJ999" s="13">
        <f t="shared" si="134"/>
        <v>0.85140000000000005</v>
      </c>
      <c r="AK999" s="9"/>
      <c r="AL999" s="13"/>
      <c r="AM999" s="9"/>
      <c r="AN999" s="9"/>
      <c r="AO999" s="9"/>
      <c r="AP999" s="14"/>
    </row>
    <row r="1000" spans="1:42" s="45" customFormat="1" ht="22" customHeight="1">
      <c r="A1000" s="14" t="s">
        <v>21</v>
      </c>
      <c r="B1000" s="8">
        <v>2024</v>
      </c>
      <c r="C1000" s="8" t="s">
        <v>8</v>
      </c>
      <c r="D1000" s="9" t="s">
        <v>185</v>
      </c>
      <c r="E1000" s="9" t="s">
        <v>10</v>
      </c>
      <c r="F1000" s="9" t="s">
        <v>186</v>
      </c>
      <c r="G1000" s="8"/>
      <c r="H1000" s="8"/>
      <c r="I1000" s="9" t="s">
        <v>28</v>
      </c>
      <c r="J1000" s="9" t="s">
        <v>11</v>
      </c>
      <c r="K1000" s="9" t="s">
        <v>82</v>
      </c>
      <c r="L1000" s="9" t="s">
        <v>166</v>
      </c>
      <c r="M1000" s="9" t="s">
        <v>28</v>
      </c>
      <c r="N1000" s="9" t="s">
        <v>271</v>
      </c>
      <c r="O1000" s="9" t="s">
        <v>324</v>
      </c>
      <c r="P1000" s="9" t="s">
        <v>334</v>
      </c>
      <c r="Q1000" s="11"/>
      <c r="R1000" s="11">
        <v>187</v>
      </c>
      <c r="S1000" s="11">
        <f t="shared" si="135"/>
        <v>187</v>
      </c>
      <c r="T1000" s="9"/>
      <c r="U1000" s="14" t="s">
        <v>77</v>
      </c>
      <c r="V1000" s="9"/>
      <c r="W1000" s="12">
        <v>30</v>
      </c>
      <c r="X1000" s="13"/>
      <c r="Y1000" s="13"/>
      <c r="Z1000" s="13"/>
      <c r="AA1000" s="13"/>
      <c r="AB1000" s="13"/>
      <c r="AC1000" s="13">
        <f t="shared" si="137"/>
        <v>0.11219999999999999</v>
      </c>
      <c r="AD1000" s="13"/>
      <c r="AE1000" s="13"/>
      <c r="AF1000" s="13">
        <f t="shared" si="138"/>
        <v>1.1220000000000001</v>
      </c>
      <c r="AG1000" s="13"/>
      <c r="AH1000" s="13"/>
      <c r="AI1000" s="13"/>
      <c r="AJ1000" s="13">
        <f t="shared" si="134"/>
        <v>1.2342000000000002</v>
      </c>
      <c r="AK1000" s="9"/>
      <c r="AL1000" s="13"/>
      <c r="AM1000" s="9"/>
      <c r="AN1000" s="9"/>
      <c r="AO1000" s="9"/>
      <c r="AP1000" s="14"/>
    </row>
    <row r="1001" spans="1:42" s="45" customFormat="1" ht="22" customHeight="1">
      <c r="A1001" s="14" t="s">
        <v>21</v>
      </c>
      <c r="B1001" s="8">
        <v>2024</v>
      </c>
      <c r="C1001" s="8" t="s">
        <v>8</v>
      </c>
      <c r="D1001" s="9" t="s">
        <v>185</v>
      </c>
      <c r="E1001" s="9" t="s">
        <v>10</v>
      </c>
      <c r="F1001" s="9" t="s">
        <v>186</v>
      </c>
      <c r="G1001" s="8"/>
      <c r="H1001" s="8"/>
      <c r="I1001" s="9" t="s">
        <v>28</v>
      </c>
      <c r="J1001" s="9" t="s">
        <v>11</v>
      </c>
      <c r="K1001" s="9" t="s">
        <v>82</v>
      </c>
      <c r="L1001" s="9" t="s">
        <v>166</v>
      </c>
      <c r="M1001" s="9" t="s">
        <v>28</v>
      </c>
      <c r="N1001" s="9" t="s">
        <v>271</v>
      </c>
      <c r="O1001" s="9" t="s">
        <v>324</v>
      </c>
      <c r="P1001" s="9" t="s">
        <v>335</v>
      </c>
      <c r="Q1001" s="11"/>
      <c r="R1001" s="11">
        <v>151</v>
      </c>
      <c r="S1001" s="11">
        <f t="shared" si="135"/>
        <v>151</v>
      </c>
      <c r="T1001" s="9"/>
      <c r="U1001" s="14" t="s">
        <v>77</v>
      </c>
      <c r="V1001" s="9"/>
      <c r="W1001" s="12">
        <v>30</v>
      </c>
      <c r="X1001" s="13"/>
      <c r="Y1001" s="13"/>
      <c r="Z1001" s="13"/>
      <c r="AA1001" s="13"/>
      <c r="AB1001" s="13"/>
      <c r="AC1001" s="13">
        <f t="shared" si="137"/>
        <v>9.06E-2</v>
      </c>
      <c r="AD1001" s="13"/>
      <c r="AE1001" s="13"/>
      <c r="AF1001" s="13">
        <f t="shared" si="138"/>
        <v>0.90600000000000003</v>
      </c>
      <c r="AG1001" s="13"/>
      <c r="AH1001" s="13"/>
      <c r="AI1001" s="13"/>
      <c r="AJ1001" s="13">
        <f t="shared" si="134"/>
        <v>0.99660000000000004</v>
      </c>
      <c r="AK1001" s="9"/>
      <c r="AL1001" s="13"/>
      <c r="AM1001" s="9"/>
      <c r="AN1001" s="9"/>
      <c r="AO1001" s="9"/>
      <c r="AP1001" s="14"/>
    </row>
    <row r="1002" spans="1:42" s="45" customFormat="1" ht="22" customHeight="1">
      <c r="A1002" s="14" t="s">
        <v>21</v>
      </c>
      <c r="B1002" s="8">
        <v>2024</v>
      </c>
      <c r="C1002" s="8" t="s">
        <v>8</v>
      </c>
      <c r="D1002" s="9" t="s">
        <v>185</v>
      </c>
      <c r="E1002" s="9" t="s">
        <v>10</v>
      </c>
      <c r="F1002" s="9" t="s">
        <v>186</v>
      </c>
      <c r="G1002" s="8"/>
      <c r="H1002" s="8"/>
      <c r="I1002" s="9" t="s">
        <v>28</v>
      </c>
      <c r="J1002" s="9" t="s">
        <v>11</v>
      </c>
      <c r="K1002" s="9" t="s">
        <v>82</v>
      </c>
      <c r="L1002" s="9" t="s">
        <v>166</v>
      </c>
      <c r="M1002" s="9" t="s">
        <v>11</v>
      </c>
      <c r="N1002" s="9" t="s">
        <v>266</v>
      </c>
      <c r="O1002" s="9" t="s">
        <v>336</v>
      </c>
      <c r="P1002" s="9" t="s">
        <v>337</v>
      </c>
      <c r="Q1002" s="11"/>
      <c r="R1002" s="11">
        <v>75</v>
      </c>
      <c r="S1002" s="11">
        <f t="shared" si="135"/>
        <v>75</v>
      </c>
      <c r="T1002" s="9"/>
      <c r="U1002" s="14" t="s">
        <v>77</v>
      </c>
      <c r="V1002" s="9"/>
      <c r="W1002" s="12">
        <v>30</v>
      </c>
      <c r="X1002" s="13"/>
      <c r="Y1002" s="13"/>
      <c r="Z1002" s="13"/>
      <c r="AA1002" s="13"/>
      <c r="AB1002" s="13"/>
      <c r="AC1002" s="13">
        <f t="shared" si="137"/>
        <v>4.4999999999999998E-2</v>
      </c>
      <c r="AD1002" s="13"/>
      <c r="AE1002" s="13"/>
      <c r="AF1002" s="13">
        <f t="shared" si="138"/>
        <v>0.45</v>
      </c>
      <c r="AG1002" s="13"/>
      <c r="AH1002" s="13"/>
      <c r="AI1002" s="13"/>
      <c r="AJ1002" s="13">
        <f t="shared" si="134"/>
        <v>0.495</v>
      </c>
      <c r="AK1002" s="9"/>
      <c r="AL1002" s="13"/>
      <c r="AM1002" s="9"/>
      <c r="AN1002" s="9"/>
      <c r="AO1002" s="9"/>
      <c r="AP1002" s="14"/>
    </row>
    <row r="1003" spans="1:42" s="45" customFormat="1" ht="22" customHeight="1">
      <c r="A1003" s="14" t="s">
        <v>21</v>
      </c>
      <c r="B1003" s="8">
        <v>2024</v>
      </c>
      <c r="C1003" s="8" t="s">
        <v>8</v>
      </c>
      <c r="D1003" s="9" t="s">
        <v>185</v>
      </c>
      <c r="E1003" s="9" t="s">
        <v>10</v>
      </c>
      <c r="F1003" s="9" t="s">
        <v>186</v>
      </c>
      <c r="G1003" s="8"/>
      <c r="H1003" s="8"/>
      <c r="I1003" s="9" t="s">
        <v>28</v>
      </c>
      <c r="J1003" s="9" t="s">
        <v>11</v>
      </c>
      <c r="K1003" s="9" t="s">
        <v>82</v>
      </c>
      <c r="L1003" s="9" t="s">
        <v>166</v>
      </c>
      <c r="M1003" s="9" t="s">
        <v>11</v>
      </c>
      <c r="N1003" s="9" t="s">
        <v>266</v>
      </c>
      <c r="O1003" s="9" t="s">
        <v>336</v>
      </c>
      <c r="P1003" s="9" t="s">
        <v>326</v>
      </c>
      <c r="Q1003" s="11"/>
      <c r="R1003" s="11">
        <v>228</v>
      </c>
      <c r="S1003" s="11">
        <f t="shared" si="135"/>
        <v>228</v>
      </c>
      <c r="T1003" s="9"/>
      <c r="U1003" s="14" t="s">
        <v>77</v>
      </c>
      <c r="V1003" s="9"/>
      <c r="W1003" s="12">
        <v>30</v>
      </c>
      <c r="X1003" s="13"/>
      <c r="Y1003" s="13"/>
      <c r="Z1003" s="13"/>
      <c r="AA1003" s="13"/>
      <c r="AB1003" s="13"/>
      <c r="AC1003" s="13">
        <f t="shared" si="137"/>
        <v>0.1368</v>
      </c>
      <c r="AD1003" s="13"/>
      <c r="AE1003" s="13"/>
      <c r="AF1003" s="13">
        <f t="shared" si="138"/>
        <v>1.3680000000000001</v>
      </c>
      <c r="AG1003" s="13"/>
      <c r="AH1003" s="13"/>
      <c r="AI1003" s="13"/>
      <c r="AJ1003" s="13">
        <f t="shared" si="134"/>
        <v>1.5048000000000001</v>
      </c>
      <c r="AK1003" s="9"/>
      <c r="AL1003" s="13"/>
      <c r="AM1003" s="9"/>
      <c r="AN1003" s="9"/>
      <c r="AO1003" s="9"/>
      <c r="AP1003" s="14"/>
    </row>
    <row r="1004" spans="1:42" s="45" customFormat="1" ht="22" customHeight="1">
      <c r="A1004" s="14" t="s">
        <v>21</v>
      </c>
      <c r="B1004" s="8">
        <v>2024</v>
      </c>
      <c r="C1004" s="8" t="s">
        <v>8</v>
      </c>
      <c r="D1004" s="9" t="s">
        <v>185</v>
      </c>
      <c r="E1004" s="9" t="s">
        <v>10</v>
      </c>
      <c r="F1004" s="9" t="s">
        <v>186</v>
      </c>
      <c r="G1004" s="8"/>
      <c r="H1004" s="8"/>
      <c r="I1004" s="9" t="s">
        <v>28</v>
      </c>
      <c r="J1004" s="9" t="s">
        <v>11</v>
      </c>
      <c r="K1004" s="9" t="s">
        <v>82</v>
      </c>
      <c r="L1004" s="9" t="s">
        <v>166</v>
      </c>
      <c r="M1004" s="9" t="s">
        <v>11</v>
      </c>
      <c r="N1004" s="9" t="s">
        <v>266</v>
      </c>
      <c r="O1004" s="9" t="s">
        <v>336</v>
      </c>
      <c r="P1004" s="9" t="s">
        <v>338</v>
      </c>
      <c r="Q1004" s="11"/>
      <c r="R1004" s="11">
        <v>323</v>
      </c>
      <c r="S1004" s="11">
        <f t="shared" si="135"/>
        <v>323</v>
      </c>
      <c r="T1004" s="9"/>
      <c r="U1004" s="14" t="s">
        <v>77</v>
      </c>
      <c r="V1004" s="9"/>
      <c r="W1004" s="12">
        <v>30</v>
      </c>
      <c r="X1004" s="13"/>
      <c r="Y1004" s="13"/>
      <c r="Z1004" s="13"/>
      <c r="AA1004" s="13"/>
      <c r="AB1004" s="13"/>
      <c r="AC1004" s="13">
        <f t="shared" si="137"/>
        <v>0.1938</v>
      </c>
      <c r="AD1004" s="13"/>
      <c r="AE1004" s="13"/>
      <c r="AF1004" s="13">
        <f t="shared" si="138"/>
        <v>1.9379999999999999</v>
      </c>
      <c r="AG1004" s="13"/>
      <c r="AH1004" s="13"/>
      <c r="AI1004" s="13"/>
      <c r="AJ1004" s="13">
        <f t="shared" si="134"/>
        <v>2.1318000000000001</v>
      </c>
      <c r="AK1004" s="9"/>
      <c r="AL1004" s="13"/>
      <c r="AM1004" s="9"/>
      <c r="AN1004" s="9"/>
      <c r="AO1004" s="9"/>
      <c r="AP1004" s="14"/>
    </row>
    <row r="1005" spans="1:42" s="45" customFormat="1" ht="22" customHeight="1">
      <c r="A1005" s="14" t="s">
        <v>21</v>
      </c>
      <c r="B1005" s="8">
        <v>2024</v>
      </c>
      <c r="C1005" s="8" t="s">
        <v>8</v>
      </c>
      <c r="D1005" s="9" t="s">
        <v>185</v>
      </c>
      <c r="E1005" s="9" t="s">
        <v>10</v>
      </c>
      <c r="F1005" s="9" t="s">
        <v>186</v>
      </c>
      <c r="G1005" s="8"/>
      <c r="H1005" s="8"/>
      <c r="I1005" s="9" t="s">
        <v>28</v>
      </c>
      <c r="J1005" s="9" t="s">
        <v>11</v>
      </c>
      <c r="K1005" s="9" t="s">
        <v>82</v>
      </c>
      <c r="L1005" s="9" t="s">
        <v>166</v>
      </c>
      <c r="M1005" s="9" t="s">
        <v>11</v>
      </c>
      <c r="N1005" s="9" t="s">
        <v>266</v>
      </c>
      <c r="O1005" s="9" t="s">
        <v>336</v>
      </c>
      <c r="P1005" s="9" t="s">
        <v>339</v>
      </c>
      <c r="Q1005" s="11"/>
      <c r="R1005" s="11">
        <v>314</v>
      </c>
      <c r="S1005" s="11">
        <f t="shared" si="135"/>
        <v>314</v>
      </c>
      <c r="T1005" s="9"/>
      <c r="U1005" s="14" t="s">
        <v>77</v>
      </c>
      <c r="V1005" s="9"/>
      <c r="W1005" s="12">
        <v>30</v>
      </c>
      <c r="X1005" s="13"/>
      <c r="Y1005" s="13"/>
      <c r="Z1005" s="13"/>
      <c r="AA1005" s="13"/>
      <c r="AB1005" s="13"/>
      <c r="AC1005" s="13">
        <f t="shared" si="137"/>
        <v>0.18840000000000001</v>
      </c>
      <c r="AD1005" s="13"/>
      <c r="AE1005" s="13"/>
      <c r="AF1005" s="13">
        <f t="shared" si="138"/>
        <v>1.8839999999999999</v>
      </c>
      <c r="AG1005" s="13"/>
      <c r="AH1005" s="13"/>
      <c r="AI1005" s="13"/>
      <c r="AJ1005" s="13">
        <f t="shared" si="134"/>
        <v>2.0724</v>
      </c>
      <c r="AK1005" s="9"/>
      <c r="AL1005" s="13"/>
      <c r="AM1005" s="9"/>
      <c r="AN1005" s="9"/>
      <c r="AO1005" s="9"/>
      <c r="AP1005" s="14"/>
    </row>
    <row r="1006" spans="1:42" s="45" customFormat="1" ht="22" customHeight="1">
      <c r="A1006" s="14" t="s">
        <v>21</v>
      </c>
      <c r="B1006" s="8">
        <v>2024</v>
      </c>
      <c r="C1006" s="8" t="s">
        <v>8</v>
      </c>
      <c r="D1006" s="9" t="s">
        <v>185</v>
      </c>
      <c r="E1006" s="9" t="s">
        <v>10</v>
      </c>
      <c r="F1006" s="9" t="s">
        <v>186</v>
      </c>
      <c r="G1006" s="8"/>
      <c r="H1006" s="8"/>
      <c r="I1006" s="9" t="s">
        <v>28</v>
      </c>
      <c r="J1006" s="9" t="s">
        <v>11</v>
      </c>
      <c r="K1006" s="9" t="s">
        <v>82</v>
      </c>
      <c r="L1006" s="9" t="s">
        <v>166</v>
      </c>
      <c r="M1006" s="9" t="s">
        <v>11</v>
      </c>
      <c r="N1006" s="9" t="s">
        <v>266</v>
      </c>
      <c r="O1006" s="9" t="s">
        <v>336</v>
      </c>
      <c r="P1006" s="9" t="s">
        <v>340</v>
      </c>
      <c r="Q1006" s="11"/>
      <c r="R1006" s="11">
        <v>241</v>
      </c>
      <c r="S1006" s="11">
        <f t="shared" si="135"/>
        <v>241</v>
      </c>
      <c r="T1006" s="9"/>
      <c r="U1006" s="14" t="s">
        <v>77</v>
      </c>
      <c r="V1006" s="9"/>
      <c r="W1006" s="12">
        <v>30</v>
      </c>
      <c r="X1006" s="13"/>
      <c r="Y1006" s="13"/>
      <c r="Z1006" s="13"/>
      <c r="AA1006" s="13"/>
      <c r="AB1006" s="13"/>
      <c r="AC1006" s="13">
        <f t="shared" si="137"/>
        <v>0.14460000000000001</v>
      </c>
      <c r="AD1006" s="13"/>
      <c r="AE1006" s="13"/>
      <c r="AF1006" s="13">
        <f t="shared" si="138"/>
        <v>1.446</v>
      </c>
      <c r="AG1006" s="13"/>
      <c r="AH1006" s="13"/>
      <c r="AI1006" s="13"/>
      <c r="AJ1006" s="13">
        <f t="shared" si="134"/>
        <v>1.5906</v>
      </c>
      <c r="AK1006" s="9"/>
      <c r="AL1006" s="13"/>
      <c r="AM1006" s="9"/>
      <c r="AN1006" s="9"/>
      <c r="AO1006" s="9"/>
      <c r="AP1006" s="14"/>
    </row>
    <row r="1007" spans="1:42" s="45" customFormat="1" ht="22" customHeight="1">
      <c r="A1007" s="14" t="s">
        <v>21</v>
      </c>
      <c r="B1007" s="8">
        <v>2024</v>
      </c>
      <c r="C1007" s="8" t="s">
        <v>8</v>
      </c>
      <c r="D1007" s="9" t="s">
        <v>185</v>
      </c>
      <c r="E1007" s="9" t="s">
        <v>10</v>
      </c>
      <c r="F1007" s="9" t="s">
        <v>186</v>
      </c>
      <c r="G1007" s="8"/>
      <c r="H1007" s="8"/>
      <c r="I1007" s="9" t="s">
        <v>28</v>
      </c>
      <c r="J1007" s="9" t="s">
        <v>11</v>
      </c>
      <c r="K1007" s="9" t="s">
        <v>82</v>
      </c>
      <c r="L1007" s="9" t="s">
        <v>166</v>
      </c>
      <c r="M1007" s="9" t="s">
        <v>11</v>
      </c>
      <c r="N1007" s="9" t="s">
        <v>266</v>
      </c>
      <c r="O1007" s="9" t="s">
        <v>336</v>
      </c>
      <c r="P1007" s="9" t="s">
        <v>341</v>
      </c>
      <c r="Q1007" s="11"/>
      <c r="R1007" s="11">
        <v>343</v>
      </c>
      <c r="S1007" s="11">
        <f t="shared" si="135"/>
        <v>343</v>
      </c>
      <c r="T1007" s="9"/>
      <c r="U1007" s="14" t="s">
        <v>77</v>
      </c>
      <c r="V1007" s="9"/>
      <c r="W1007" s="12">
        <v>30</v>
      </c>
      <c r="X1007" s="13"/>
      <c r="Y1007" s="13"/>
      <c r="Z1007" s="13"/>
      <c r="AA1007" s="13"/>
      <c r="AB1007" s="13"/>
      <c r="AC1007" s="13">
        <f t="shared" si="137"/>
        <v>0.20580000000000001</v>
      </c>
      <c r="AD1007" s="13"/>
      <c r="AE1007" s="13"/>
      <c r="AF1007" s="13">
        <f t="shared" si="138"/>
        <v>2.0579999999999998</v>
      </c>
      <c r="AG1007" s="13"/>
      <c r="AH1007" s="13"/>
      <c r="AI1007" s="13"/>
      <c r="AJ1007" s="13">
        <f t="shared" si="134"/>
        <v>2.2637999999999998</v>
      </c>
      <c r="AK1007" s="9"/>
      <c r="AL1007" s="13"/>
      <c r="AM1007" s="9"/>
      <c r="AN1007" s="9"/>
      <c r="AO1007" s="9"/>
      <c r="AP1007" s="14"/>
    </row>
    <row r="1008" spans="1:42" s="45" customFormat="1" ht="22" customHeight="1">
      <c r="A1008" s="14" t="s">
        <v>21</v>
      </c>
      <c r="B1008" s="8">
        <v>2024</v>
      </c>
      <c r="C1008" s="8" t="s">
        <v>8</v>
      </c>
      <c r="D1008" s="9" t="s">
        <v>185</v>
      </c>
      <c r="E1008" s="9" t="s">
        <v>10</v>
      </c>
      <c r="F1008" s="9" t="s">
        <v>186</v>
      </c>
      <c r="G1008" s="8"/>
      <c r="H1008" s="8"/>
      <c r="I1008" s="9" t="s">
        <v>28</v>
      </c>
      <c r="J1008" s="9" t="s">
        <v>11</v>
      </c>
      <c r="K1008" s="9" t="s">
        <v>82</v>
      </c>
      <c r="L1008" s="9" t="s">
        <v>166</v>
      </c>
      <c r="M1008" s="9" t="s">
        <v>28</v>
      </c>
      <c r="N1008" s="9" t="s">
        <v>266</v>
      </c>
      <c r="O1008" s="9" t="s">
        <v>342</v>
      </c>
      <c r="P1008" s="9" t="s">
        <v>343</v>
      </c>
      <c r="Q1008" s="11"/>
      <c r="R1008" s="40">
        <v>159</v>
      </c>
      <c r="S1008" s="11">
        <f t="shared" si="135"/>
        <v>159</v>
      </c>
      <c r="T1008" s="9"/>
      <c r="U1008" s="14" t="s">
        <v>77</v>
      </c>
      <c r="V1008" s="9"/>
      <c r="W1008" s="12">
        <v>30</v>
      </c>
      <c r="X1008" s="13"/>
      <c r="Y1008" s="13"/>
      <c r="Z1008" s="13"/>
      <c r="AA1008" s="13"/>
      <c r="AB1008" s="13"/>
      <c r="AC1008" s="13">
        <f t="shared" si="137"/>
        <v>9.5399999999999999E-2</v>
      </c>
      <c r="AD1008" s="13"/>
      <c r="AE1008" s="13"/>
      <c r="AF1008" s="13">
        <f t="shared" si="138"/>
        <v>0.95399999999999996</v>
      </c>
      <c r="AG1008" s="13"/>
      <c r="AH1008" s="13"/>
      <c r="AI1008" s="13"/>
      <c r="AJ1008" s="13">
        <f t="shared" si="134"/>
        <v>1.0493999999999999</v>
      </c>
      <c r="AK1008" s="9"/>
      <c r="AL1008" s="13"/>
      <c r="AM1008" s="9"/>
      <c r="AN1008" s="9"/>
      <c r="AO1008" s="9"/>
      <c r="AP1008" s="14"/>
    </row>
    <row r="1009" spans="1:42" s="45" customFormat="1" ht="22" customHeight="1">
      <c r="A1009" s="14" t="s">
        <v>21</v>
      </c>
      <c r="B1009" s="8">
        <v>2024</v>
      </c>
      <c r="C1009" s="8" t="s">
        <v>8</v>
      </c>
      <c r="D1009" s="9" t="s">
        <v>185</v>
      </c>
      <c r="E1009" s="9" t="s">
        <v>10</v>
      </c>
      <c r="F1009" s="9" t="s">
        <v>186</v>
      </c>
      <c r="G1009" s="8"/>
      <c r="H1009" s="8"/>
      <c r="I1009" s="9" t="s">
        <v>28</v>
      </c>
      <c r="J1009" s="9" t="s">
        <v>11</v>
      </c>
      <c r="K1009" s="9" t="s">
        <v>82</v>
      </c>
      <c r="L1009" s="9" t="s">
        <v>166</v>
      </c>
      <c r="M1009" s="9" t="s">
        <v>28</v>
      </c>
      <c r="N1009" s="9" t="s">
        <v>266</v>
      </c>
      <c r="O1009" s="9" t="s">
        <v>342</v>
      </c>
      <c r="P1009" s="9" t="s">
        <v>344</v>
      </c>
      <c r="Q1009" s="11"/>
      <c r="R1009" s="40">
        <v>114</v>
      </c>
      <c r="S1009" s="11">
        <f t="shared" si="135"/>
        <v>114</v>
      </c>
      <c r="T1009" s="9"/>
      <c r="U1009" s="14" t="s">
        <v>77</v>
      </c>
      <c r="V1009" s="9"/>
      <c r="W1009" s="12">
        <v>30</v>
      </c>
      <c r="X1009" s="13"/>
      <c r="Y1009" s="13"/>
      <c r="Z1009" s="13"/>
      <c r="AA1009" s="13"/>
      <c r="AB1009" s="13"/>
      <c r="AC1009" s="13">
        <f t="shared" si="137"/>
        <v>6.8400000000000002E-2</v>
      </c>
      <c r="AD1009" s="13"/>
      <c r="AE1009" s="13"/>
      <c r="AF1009" s="13">
        <f t="shared" si="138"/>
        <v>0.68400000000000005</v>
      </c>
      <c r="AG1009" s="13"/>
      <c r="AH1009" s="13"/>
      <c r="AI1009" s="13"/>
      <c r="AJ1009" s="13">
        <f t="shared" si="134"/>
        <v>0.75240000000000007</v>
      </c>
      <c r="AK1009" s="9"/>
      <c r="AL1009" s="13"/>
      <c r="AM1009" s="9"/>
      <c r="AN1009" s="9"/>
      <c r="AO1009" s="9"/>
      <c r="AP1009" s="14"/>
    </row>
    <row r="1010" spans="1:42" s="45" customFormat="1" ht="22" customHeight="1">
      <c r="A1010" s="14" t="s">
        <v>21</v>
      </c>
      <c r="B1010" s="8">
        <v>2024</v>
      </c>
      <c r="C1010" s="8" t="s">
        <v>8</v>
      </c>
      <c r="D1010" s="9" t="s">
        <v>185</v>
      </c>
      <c r="E1010" s="9" t="s">
        <v>10</v>
      </c>
      <c r="F1010" s="9" t="s">
        <v>186</v>
      </c>
      <c r="G1010" s="8"/>
      <c r="H1010" s="8"/>
      <c r="I1010" s="9" t="s">
        <v>28</v>
      </c>
      <c r="J1010" s="9" t="s">
        <v>11</v>
      </c>
      <c r="K1010" s="9" t="s">
        <v>82</v>
      </c>
      <c r="L1010" s="9" t="s">
        <v>166</v>
      </c>
      <c r="M1010" s="9" t="s">
        <v>28</v>
      </c>
      <c r="N1010" s="9" t="s">
        <v>266</v>
      </c>
      <c r="O1010" s="9" t="s">
        <v>342</v>
      </c>
      <c r="P1010" s="9" t="s">
        <v>193</v>
      </c>
      <c r="Q1010" s="11"/>
      <c r="R1010" s="40">
        <v>301</v>
      </c>
      <c r="S1010" s="11">
        <f t="shared" si="135"/>
        <v>301</v>
      </c>
      <c r="T1010" s="9"/>
      <c r="U1010" s="14" t="s">
        <v>77</v>
      </c>
      <c r="V1010" s="9"/>
      <c r="W1010" s="12">
        <v>30</v>
      </c>
      <c r="X1010" s="13"/>
      <c r="Y1010" s="13"/>
      <c r="Z1010" s="13"/>
      <c r="AA1010" s="13"/>
      <c r="AB1010" s="13"/>
      <c r="AC1010" s="13">
        <f t="shared" si="137"/>
        <v>0.18060000000000001</v>
      </c>
      <c r="AD1010" s="13"/>
      <c r="AE1010" s="13"/>
      <c r="AF1010" s="13">
        <f t="shared" si="138"/>
        <v>1.806</v>
      </c>
      <c r="AG1010" s="13"/>
      <c r="AH1010" s="13"/>
      <c r="AI1010" s="13"/>
      <c r="AJ1010" s="13">
        <f t="shared" si="134"/>
        <v>1.9866000000000001</v>
      </c>
      <c r="AK1010" s="9"/>
      <c r="AL1010" s="13"/>
      <c r="AM1010" s="9"/>
      <c r="AN1010" s="9"/>
      <c r="AO1010" s="9"/>
      <c r="AP1010" s="14"/>
    </row>
    <row r="1011" spans="1:42" s="45" customFormat="1" ht="22" customHeight="1">
      <c r="A1011" s="14" t="s">
        <v>21</v>
      </c>
      <c r="B1011" s="8">
        <v>2024</v>
      </c>
      <c r="C1011" s="8" t="s">
        <v>8</v>
      </c>
      <c r="D1011" s="9" t="s">
        <v>185</v>
      </c>
      <c r="E1011" s="9" t="s">
        <v>10</v>
      </c>
      <c r="F1011" s="9" t="s">
        <v>186</v>
      </c>
      <c r="G1011" s="8"/>
      <c r="H1011" s="8"/>
      <c r="I1011" s="9" t="s">
        <v>28</v>
      </c>
      <c r="J1011" s="9" t="s">
        <v>11</v>
      </c>
      <c r="K1011" s="9" t="s">
        <v>82</v>
      </c>
      <c r="L1011" s="9" t="s">
        <v>166</v>
      </c>
      <c r="M1011" s="9" t="s">
        <v>28</v>
      </c>
      <c r="N1011" s="9" t="s">
        <v>266</v>
      </c>
      <c r="O1011" s="9" t="s">
        <v>342</v>
      </c>
      <c r="P1011" s="9" t="s">
        <v>345</v>
      </c>
      <c r="Q1011" s="11"/>
      <c r="R1011" s="40">
        <v>119</v>
      </c>
      <c r="S1011" s="11">
        <f t="shared" si="135"/>
        <v>119</v>
      </c>
      <c r="T1011" s="9"/>
      <c r="U1011" s="14" t="s">
        <v>77</v>
      </c>
      <c r="V1011" s="9"/>
      <c r="W1011" s="12">
        <v>30</v>
      </c>
      <c r="X1011" s="13"/>
      <c r="Y1011" s="13"/>
      <c r="Z1011" s="13"/>
      <c r="AA1011" s="13"/>
      <c r="AB1011" s="13"/>
      <c r="AC1011" s="13">
        <f t="shared" si="137"/>
        <v>7.1400000000000005E-2</v>
      </c>
      <c r="AD1011" s="13"/>
      <c r="AE1011" s="13"/>
      <c r="AF1011" s="13">
        <f t="shared" si="138"/>
        <v>0.71399999999999997</v>
      </c>
      <c r="AG1011" s="13"/>
      <c r="AH1011" s="13"/>
      <c r="AI1011" s="13"/>
      <c r="AJ1011" s="13">
        <f t="shared" si="134"/>
        <v>0.78539999999999999</v>
      </c>
      <c r="AK1011" s="9"/>
      <c r="AL1011" s="13"/>
      <c r="AM1011" s="9"/>
      <c r="AN1011" s="9"/>
      <c r="AO1011" s="9"/>
      <c r="AP1011" s="14"/>
    </row>
    <row r="1012" spans="1:42" s="45" customFormat="1" ht="22" customHeight="1">
      <c r="A1012" s="14" t="s">
        <v>21</v>
      </c>
      <c r="B1012" s="8">
        <v>2024</v>
      </c>
      <c r="C1012" s="8" t="s">
        <v>8</v>
      </c>
      <c r="D1012" s="9" t="s">
        <v>185</v>
      </c>
      <c r="E1012" s="9" t="s">
        <v>10</v>
      </c>
      <c r="F1012" s="9" t="s">
        <v>186</v>
      </c>
      <c r="G1012" s="8"/>
      <c r="H1012" s="8"/>
      <c r="I1012" s="9" t="s">
        <v>28</v>
      </c>
      <c r="J1012" s="9" t="s">
        <v>11</v>
      </c>
      <c r="K1012" s="9" t="s">
        <v>82</v>
      </c>
      <c r="L1012" s="9" t="s">
        <v>166</v>
      </c>
      <c r="M1012" s="9" t="s">
        <v>28</v>
      </c>
      <c r="N1012" s="9" t="s">
        <v>266</v>
      </c>
      <c r="O1012" s="9" t="s">
        <v>342</v>
      </c>
      <c r="P1012" s="9" t="s">
        <v>346</v>
      </c>
      <c r="Q1012" s="11"/>
      <c r="R1012" s="40">
        <v>166</v>
      </c>
      <c r="S1012" s="11">
        <f t="shared" si="135"/>
        <v>166</v>
      </c>
      <c r="T1012" s="9"/>
      <c r="U1012" s="14" t="s">
        <v>77</v>
      </c>
      <c r="V1012" s="9"/>
      <c r="W1012" s="12">
        <v>30</v>
      </c>
      <c r="X1012" s="13"/>
      <c r="Y1012" s="13"/>
      <c r="Z1012" s="13"/>
      <c r="AA1012" s="13"/>
      <c r="AB1012" s="13"/>
      <c r="AC1012" s="13">
        <f t="shared" si="137"/>
        <v>9.9599999999999994E-2</v>
      </c>
      <c r="AD1012" s="13"/>
      <c r="AE1012" s="13"/>
      <c r="AF1012" s="13">
        <f t="shared" si="138"/>
        <v>0.996</v>
      </c>
      <c r="AG1012" s="13"/>
      <c r="AH1012" s="13"/>
      <c r="AI1012" s="13"/>
      <c r="AJ1012" s="13">
        <f t="shared" si="134"/>
        <v>1.0955999999999999</v>
      </c>
      <c r="AK1012" s="9"/>
      <c r="AL1012" s="13"/>
      <c r="AM1012" s="9"/>
      <c r="AN1012" s="9"/>
      <c r="AO1012" s="9"/>
      <c r="AP1012" s="14"/>
    </row>
    <row r="1013" spans="1:42" s="45" customFormat="1" ht="22" customHeight="1">
      <c r="A1013" s="14" t="s">
        <v>21</v>
      </c>
      <c r="B1013" s="8">
        <v>2024</v>
      </c>
      <c r="C1013" s="8" t="s">
        <v>8</v>
      </c>
      <c r="D1013" s="9" t="s">
        <v>185</v>
      </c>
      <c r="E1013" s="9" t="s">
        <v>10</v>
      </c>
      <c r="F1013" s="9" t="s">
        <v>186</v>
      </c>
      <c r="G1013" s="8"/>
      <c r="H1013" s="8"/>
      <c r="I1013" s="9" t="s">
        <v>28</v>
      </c>
      <c r="J1013" s="9" t="s">
        <v>11</v>
      </c>
      <c r="K1013" s="9" t="s">
        <v>82</v>
      </c>
      <c r="L1013" s="9" t="s">
        <v>166</v>
      </c>
      <c r="M1013" s="9" t="s">
        <v>28</v>
      </c>
      <c r="N1013" s="9" t="s">
        <v>266</v>
      </c>
      <c r="O1013" s="9" t="s">
        <v>342</v>
      </c>
      <c r="P1013" s="9" t="s">
        <v>347</v>
      </c>
      <c r="Q1013" s="11"/>
      <c r="R1013" s="40">
        <v>130</v>
      </c>
      <c r="S1013" s="11">
        <f t="shared" si="135"/>
        <v>130</v>
      </c>
      <c r="T1013" s="9"/>
      <c r="U1013" s="14" t="s">
        <v>77</v>
      </c>
      <c r="V1013" s="9"/>
      <c r="W1013" s="12">
        <v>30</v>
      </c>
      <c r="X1013" s="13"/>
      <c r="Y1013" s="13"/>
      <c r="Z1013" s="13"/>
      <c r="AA1013" s="13"/>
      <c r="AB1013" s="13"/>
      <c r="AC1013" s="13">
        <f t="shared" si="137"/>
        <v>7.8E-2</v>
      </c>
      <c r="AD1013" s="13"/>
      <c r="AE1013" s="13"/>
      <c r="AF1013" s="13">
        <f t="shared" si="138"/>
        <v>0.78</v>
      </c>
      <c r="AG1013" s="13"/>
      <c r="AH1013" s="13"/>
      <c r="AI1013" s="13"/>
      <c r="AJ1013" s="13">
        <f t="shared" si="134"/>
        <v>0.85799999999999998</v>
      </c>
      <c r="AK1013" s="9"/>
      <c r="AL1013" s="13"/>
      <c r="AM1013" s="9"/>
      <c r="AN1013" s="9"/>
      <c r="AO1013" s="9"/>
      <c r="AP1013" s="14"/>
    </row>
    <row r="1014" spans="1:42" s="45" customFormat="1" ht="22" customHeight="1">
      <c r="A1014" s="14" t="s">
        <v>21</v>
      </c>
      <c r="B1014" s="8">
        <v>2024</v>
      </c>
      <c r="C1014" s="8" t="s">
        <v>8</v>
      </c>
      <c r="D1014" s="9" t="s">
        <v>185</v>
      </c>
      <c r="E1014" s="9" t="s">
        <v>10</v>
      </c>
      <c r="F1014" s="9" t="s">
        <v>186</v>
      </c>
      <c r="G1014" s="8"/>
      <c r="H1014" s="8"/>
      <c r="I1014" s="9" t="s">
        <v>28</v>
      </c>
      <c r="J1014" s="9" t="s">
        <v>11</v>
      </c>
      <c r="K1014" s="9" t="s">
        <v>82</v>
      </c>
      <c r="L1014" s="9" t="s">
        <v>166</v>
      </c>
      <c r="M1014" s="9" t="s">
        <v>28</v>
      </c>
      <c r="N1014" s="9" t="s">
        <v>266</v>
      </c>
      <c r="O1014" s="9" t="s">
        <v>342</v>
      </c>
      <c r="P1014" s="9" t="s">
        <v>348</v>
      </c>
      <c r="Q1014" s="11"/>
      <c r="R1014" s="40">
        <v>146</v>
      </c>
      <c r="S1014" s="11">
        <f t="shared" si="135"/>
        <v>146</v>
      </c>
      <c r="T1014" s="9"/>
      <c r="U1014" s="14" t="s">
        <v>77</v>
      </c>
      <c r="V1014" s="9"/>
      <c r="W1014" s="12">
        <v>30</v>
      </c>
      <c r="X1014" s="13"/>
      <c r="Y1014" s="13"/>
      <c r="Z1014" s="13"/>
      <c r="AA1014" s="13"/>
      <c r="AB1014" s="13"/>
      <c r="AC1014" s="13">
        <f t="shared" si="137"/>
        <v>8.7599999999999997E-2</v>
      </c>
      <c r="AD1014" s="13"/>
      <c r="AE1014" s="13"/>
      <c r="AF1014" s="13">
        <f t="shared" si="138"/>
        <v>0.876</v>
      </c>
      <c r="AG1014" s="13"/>
      <c r="AH1014" s="13"/>
      <c r="AI1014" s="13"/>
      <c r="AJ1014" s="13">
        <f t="shared" si="134"/>
        <v>0.96360000000000001</v>
      </c>
      <c r="AK1014" s="9"/>
      <c r="AL1014" s="13"/>
      <c r="AM1014" s="9"/>
      <c r="AN1014" s="9"/>
      <c r="AO1014" s="9"/>
      <c r="AP1014" s="14"/>
    </row>
    <row r="1015" spans="1:42" s="45" customFormat="1" ht="22" customHeight="1">
      <c r="A1015" s="14" t="s">
        <v>21</v>
      </c>
      <c r="B1015" s="8">
        <v>2024</v>
      </c>
      <c r="C1015" s="8" t="s">
        <v>8</v>
      </c>
      <c r="D1015" s="9" t="s">
        <v>185</v>
      </c>
      <c r="E1015" s="9" t="s">
        <v>10</v>
      </c>
      <c r="F1015" s="9" t="s">
        <v>186</v>
      </c>
      <c r="G1015" s="8"/>
      <c r="H1015" s="8"/>
      <c r="I1015" s="9" t="s">
        <v>28</v>
      </c>
      <c r="J1015" s="9" t="s">
        <v>11</v>
      </c>
      <c r="K1015" s="9" t="s">
        <v>82</v>
      </c>
      <c r="L1015" s="9" t="s">
        <v>166</v>
      </c>
      <c r="M1015" s="9" t="s">
        <v>28</v>
      </c>
      <c r="N1015" s="9" t="s">
        <v>266</v>
      </c>
      <c r="O1015" s="9" t="s">
        <v>342</v>
      </c>
      <c r="P1015" s="9" t="s">
        <v>349</v>
      </c>
      <c r="Q1015" s="11"/>
      <c r="R1015" s="40">
        <v>129</v>
      </c>
      <c r="S1015" s="11">
        <f t="shared" si="135"/>
        <v>129</v>
      </c>
      <c r="T1015" s="9"/>
      <c r="U1015" s="14" t="s">
        <v>77</v>
      </c>
      <c r="V1015" s="9"/>
      <c r="W1015" s="12">
        <v>30</v>
      </c>
      <c r="X1015" s="13"/>
      <c r="Y1015" s="13"/>
      <c r="Z1015" s="13"/>
      <c r="AA1015" s="13"/>
      <c r="AB1015" s="13"/>
      <c r="AC1015" s="13">
        <f t="shared" si="137"/>
        <v>7.7399999999999997E-2</v>
      </c>
      <c r="AD1015" s="13"/>
      <c r="AE1015" s="13"/>
      <c r="AF1015" s="13">
        <f t="shared" si="138"/>
        <v>0.77400000000000002</v>
      </c>
      <c r="AG1015" s="13"/>
      <c r="AH1015" s="13"/>
      <c r="AI1015" s="13"/>
      <c r="AJ1015" s="13">
        <f t="shared" si="134"/>
        <v>0.85140000000000005</v>
      </c>
      <c r="AK1015" s="9"/>
      <c r="AL1015" s="13"/>
      <c r="AM1015" s="9"/>
      <c r="AN1015" s="9"/>
      <c r="AO1015" s="9"/>
      <c r="AP1015" s="14"/>
    </row>
    <row r="1016" spans="1:42" s="45" customFormat="1" ht="22" customHeight="1">
      <c r="A1016" s="14" t="s">
        <v>21</v>
      </c>
      <c r="B1016" s="8">
        <v>2024</v>
      </c>
      <c r="C1016" s="8" t="s">
        <v>8</v>
      </c>
      <c r="D1016" s="9" t="s">
        <v>185</v>
      </c>
      <c r="E1016" s="9" t="s">
        <v>10</v>
      </c>
      <c r="F1016" s="9" t="s">
        <v>186</v>
      </c>
      <c r="G1016" s="8"/>
      <c r="H1016" s="8"/>
      <c r="I1016" s="9" t="s">
        <v>28</v>
      </c>
      <c r="J1016" s="9" t="s">
        <v>11</v>
      </c>
      <c r="K1016" s="9" t="s">
        <v>82</v>
      </c>
      <c r="L1016" s="9" t="s">
        <v>166</v>
      </c>
      <c r="M1016" s="9" t="s">
        <v>28</v>
      </c>
      <c r="N1016" s="9" t="s">
        <v>266</v>
      </c>
      <c r="O1016" s="9" t="s">
        <v>342</v>
      </c>
      <c r="P1016" s="9" t="s">
        <v>350</v>
      </c>
      <c r="Q1016" s="11"/>
      <c r="R1016" s="40">
        <v>353</v>
      </c>
      <c r="S1016" s="11">
        <f t="shared" si="135"/>
        <v>353</v>
      </c>
      <c r="T1016" s="9"/>
      <c r="U1016" s="14" t="s">
        <v>77</v>
      </c>
      <c r="V1016" s="9"/>
      <c r="W1016" s="12">
        <v>30</v>
      </c>
      <c r="X1016" s="13"/>
      <c r="Y1016" s="13"/>
      <c r="Z1016" s="13"/>
      <c r="AA1016" s="13"/>
      <c r="AB1016" s="13"/>
      <c r="AC1016" s="13">
        <f t="shared" si="137"/>
        <v>0.21179999999999999</v>
      </c>
      <c r="AD1016" s="13"/>
      <c r="AE1016" s="13"/>
      <c r="AF1016" s="13">
        <f t="shared" si="138"/>
        <v>2.1179999999999999</v>
      </c>
      <c r="AG1016" s="13"/>
      <c r="AH1016" s="13"/>
      <c r="AI1016" s="13"/>
      <c r="AJ1016" s="13">
        <f t="shared" si="134"/>
        <v>2.3297999999999996</v>
      </c>
      <c r="AK1016" s="9"/>
      <c r="AL1016" s="13"/>
      <c r="AM1016" s="9"/>
      <c r="AN1016" s="9"/>
      <c r="AO1016" s="9"/>
      <c r="AP1016" s="14"/>
    </row>
    <row r="1017" spans="1:42" s="45" customFormat="1" ht="22" customHeight="1">
      <c r="A1017" s="14" t="s">
        <v>21</v>
      </c>
      <c r="B1017" s="8">
        <v>2024</v>
      </c>
      <c r="C1017" s="8" t="s">
        <v>8</v>
      </c>
      <c r="D1017" s="9" t="s">
        <v>185</v>
      </c>
      <c r="E1017" s="9" t="s">
        <v>10</v>
      </c>
      <c r="F1017" s="9" t="s">
        <v>186</v>
      </c>
      <c r="G1017" s="8"/>
      <c r="H1017" s="8"/>
      <c r="I1017" s="9" t="s">
        <v>28</v>
      </c>
      <c r="J1017" s="9" t="s">
        <v>11</v>
      </c>
      <c r="K1017" s="9" t="s">
        <v>82</v>
      </c>
      <c r="L1017" s="9" t="s">
        <v>166</v>
      </c>
      <c r="M1017" s="9" t="s">
        <v>28</v>
      </c>
      <c r="N1017" s="9" t="s">
        <v>266</v>
      </c>
      <c r="O1017" s="9" t="s">
        <v>351</v>
      </c>
      <c r="P1017" s="9" t="s">
        <v>352</v>
      </c>
      <c r="Q1017" s="11"/>
      <c r="R1017" s="40">
        <v>141</v>
      </c>
      <c r="S1017" s="11">
        <f t="shared" si="135"/>
        <v>141</v>
      </c>
      <c r="T1017" s="9"/>
      <c r="U1017" s="14" t="s">
        <v>77</v>
      </c>
      <c r="V1017" s="9"/>
      <c r="W1017" s="12">
        <v>30</v>
      </c>
      <c r="X1017" s="13"/>
      <c r="Y1017" s="13"/>
      <c r="Z1017" s="13"/>
      <c r="AA1017" s="13"/>
      <c r="AB1017" s="13"/>
      <c r="AC1017" s="13">
        <f t="shared" si="137"/>
        <v>8.4599999999999995E-2</v>
      </c>
      <c r="AD1017" s="13"/>
      <c r="AE1017" s="13"/>
      <c r="AF1017" s="13">
        <f t="shared" si="138"/>
        <v>0.84599999999999997</v>
      </c>
      <c r="AG1017" s="13"/>
      <c r="AH1017" s="13"/>
      <c r="AI1017" s="13"/>
      <c r="AJ1017" s="13">
        <f t="shared" si="134"/>
        <v>0.93059999999999998</v>
      </c>
      <c r="AK1017" s="9"/>
      <c r="AL1017" s="13"/>
      <c r="AM1017" s="9"/>
      <c r="AN1017" s="9"/>
      <c r="AO1017" s="9"/>
      <c r="AP1017" s="14"/>
    </row>
    <row r="1018" spans="1:42" s="45" customFormat="1" ht="22" customHeight="1">
      <c r="A1018" s="14" t="s">
        <v>21</v>
      </c>
      <c r="B1018" s="8">
        <v>2024</v>
      </c>
      <c r="C1018" s="8" t="s">
        <v>8</v>
      </c>
      <c r="D1018" s="9" t="s">
        <v>185</v>
      </c>
      <c r="E1018" s="9" t="s">
        <v>10</v>
      </c>
      <c r="F1018" s="9" t="s">
        <v>186</v>
      </c>
      <c r="G1018" s="8"/>
      <c r="H1018" s="8"/>
      <c r="I1018" s="9" t="s">
        <v>28</v>
      </c>
      <c r="J1018" s="9" t="s">
        <v>11</v>
      </c>
      <c r="K1018" s="9" t="s">
        <v>82</v>
      </c>
      <c r="L1018" s="9" t="s">
        <v>166</v>
      </c>
      <c r="M1018" s="9" t="s">
        <v>28</v>
      </c>
      <c r="N1018" s="9" t="s">
        <v>266</v>
      </c>
      <c r="O1018" s="9" t="s">
        <v>351</v>
      </c>
      <c r="P1018" s="9" t="s">
        <v>353</v>
      </c>
      <c r="Q1018" s="11"/>
      <c r="R1018" s="40">
        <v>194</v>
      </c>
      <c r="S1018" s="11">
        <f t="shared" si="135"/>
        <v>194</v>
      </c>
      <c r="T1018" s="9"/>
      <c r="U1018" s="14" t="s">
        <v>77</v>
      </c>
      <c r="V1018" s="9"/>
      <c r="W1018" s="12">
        <v>30</v>
      </c>
      <c r="X1018" s="13"/>
      <c r="Y1018" s="13"/>
      <c r="Z1018" s="13"/>
      <c r="AA1018" s="13"/>
      <c r="AB1018" s="13"/>
      <c r="AC1018" s="13">
        <f t="shared" si="137"/>
        <v>0.1164</v>
      </c>
      <c r="AD1018" s="13"/>
      <c r="AE1018" s="13"/>
      <c r="AF1018" s="13">
        <f t="shared" si="138"/>
        <v>1.1639999999999999</v>
      </c>
      <c r="AG1018" s="13"/>
      <c r="AH1018" s="13"/>
      <c r="AI1018" s="13"/>
      <c r="AJ1018" s="13">
        <f t="shared" si="134"/>
        <v>1.2804</v>
      </c>
      <c r="AK1018" s="9"/>
      <c r="AL1018" s="13"/>
      <c r="AM1018" s="9"/>
      <c r="AN1018" s="9"/>
      <c r="AO1018" s="9"/>
      <c r="AP1018" s="14"/>
    </row>
    <row r="1019" spans="1:42" s="45" customFormat="1" ht="22" customHeight="1">
      <c r="A1019" s="14" t="s">
        <v>21</v>
      </c>
      <c r="B1019" s="8">
        <v>2024</v>
      </c>
      <c r="C1019" s="8" t="s">
        <v>8</v>
      </c>
      <c r="D1019" s="9" t="s">
        <v>185</v>
      </c>
      <c r="E1019" s="9" t="s">
        <v>10</v>
      </c>
      <c r="F1019" s="9" t="s">
        <v>186</v>
      </c>
      <c r="G1019" s="8"/>
      <c r="H1019" s="8"/>
      <c r="I1019" s="9" t="s">
        <v>28</v>
      </c>
      <c r="J1019" s="9" t="s">
        <v>11</v>
      </c>
      <c r="K1019" s="9" t="s">
        <v>82</v>
      </c>
      <c r="L1019" s="9" t="s">
        <v>166</v>
      </c>
      <c r="M1019" s="9" t="s">
        <v>28</v>
      </c>
      <c r="N1019" s="9" t="s">
        <v>266</v>
      </c>
      <c r="O1019" s="9" t="s">
        <v>351</v>
      </c>
      <c r="P1019" s="9" t="s">
        <v>354</v>
      </c>
      <c r="Q1019" s="11"/>
      <c r="R1019" s="40">
        <v>69</v>
      </c>
      <c r="S1019" s="11">
        <f t="shared" si="135"/>
        <v>69</v>
      </c>
      <c r="T1019" s="9"/>
      <c r="U1019" s="14" t="s">
        <v>77</v>
      </c>
      <c r="V1019" s="9"/>
      <c r="W1019" s="12">
        <v>30</v>
      </c>
      <c r="X1019" s="13"/>
      <c r="Y1019" s="13"/>
      <c r="Z1019" s="13"/>
      <c r="AA1019" s="13"/>
      <c r="AB1019" s="13"/>
      <c r="AC1019" s="13">
        <f t="shared" si="137"/>
        <v>4.1399999999999999E-2</v>
      </c>
      <c r="AD1019" s="13"/>
      <c r="AE1019" s="13"/>
      <c r="AF1019" s="13">
        <f t="shared" si="138"/>
        <v>0.41399999999999998</v>
      </c>
      <c r="AG1019" s="13"/>
      <c r="AH1019" s="13"/>
      <c r="AI1019" s="13"/>
      <c r="AJ1019" s="13">
        <f t="shared" si="134"/>
        <v>0.45539999999999997</v>
      </c>
      <c r="AK1019" s="9"/>
      <c r="AL1019" s="13"/>
      <c r="AM1019" s="9"/>
      <c r="AN1019" s="9"/>
      <c r="AO1019" s="9"/>
      <c r="AP1019" s="14"/>
    </row>
    <row r="1020" spans="1:42" s="45" customFormat="1" ht="22" customHeight="1">
      <c r="A1020" s="14" t="s">
        <v>21</v>
      </c>
      <c r="B1020" s="8">
        <v>2024</v>
      </c>
      <c r="C1020" s="8" t="s">
        <v>8</v>
      </c>
      <c r="D1020" s="9" t="s">
        <v>185</v>
      </c>
      <c r="E1020" s="9" t="s">
        <v>10</v>
      </c>
      <c r="F1020" s="9" t="s">
        <v>186</v>
      </c>
      <c r="G1020" s="8"/>
      <c r="H1020" s="8"/>
      <c r="I1020" s="9" t="s">
        <v>28</v>
      </c>
      <c r="J1020" s="9" t="s">
        <v>11</v>
      </c>
      <c r="K1020" s="9" t="s">
        <v>82</v>
      </c>
      <c r="L1020" s="9" t="s">
        <v>166</v>
      </c>
      <c r="M1020" s="9" t="s">
        <v>28</v>
      </c>
      <c r="N1020" s="9" t="s">
        <v>266</v>
      </c>
      <c r="O1020" s="9" t="s">
        <v>351</v>
      </c>
      <c r="P1020" s="9" t="s">
        <v>355</v>
      </c>
      <c r="Q1020" s="11"/>
      <c r="R1020" s="40">
        <v>131</v>
      </c>
      <c r="S1020" s="11">
        <f t="shared" si="135"/>
        <v>131</v>
      </c>
      <c r="T1020" s="9"/>
      <c r="U1020" s="14" t="s">
        <v>77</v>
      </c>
      <c r="V1020" s="9"/>
      <c r="W1020" s="12">
        <v>30</v>
      </c>
      <c r="X1020" s="13"/>
      <c r="Y1020" s="13"/>
      <c r="Z1020" s="13"/>
      <c r="AA1020" s="13"/>
      <c r="AB1020" s="13"/>
      <c r="AC1020" s="13">
        <f t="shared" si="137"/>
        <v>7.8600000000000003E-2</v>
      </c>
      <c r="AD1020" s="13"/>
      <c r="AE1020" s="13"/>
      <c r="AF1020" s="13">
        <f t="shared" si="138"/>
        <v>0.78600000000000003</v>
      </c>
      <c r="AG1020" s="13"/>
      <c r="AH1020" s="13"/>
      <c r="AI1020" s="13"/>
      <c r="AJ1020" s="13">
        <f t="shared" si="134"/>
        <v>0.86460000000000004</v>
      </c>
      <c r="AK1020" s="9"/>
      <c r="AL1020" s="13"/>
      <c r="AM1020" s="9"/>
      <c r="AN1020" s="9"/>
      <c r="AO1020" s="9"/>
      <c r="AP1020" s="14"/>
    </row>
    <row r="1021" spans="1:42" s="45" customFormat="1" ht="22" customHeight="1">
      <c r="A1021" s="14" t="s">
        <v>21</v>
      </c>
      <c r="B1021" s="8">
        <v>2024</v>
      </c>
      <c r="C1021" s="8" t="s">
        <v>8</v>
      </c>
      <c r="D1021" s="9" t="s">
        <v>185</v>
      </c>
      <c r="E1021" s="9" t="s">
        <v>10</v>
      </c>
      <c r="F1021" s="9" t="s">
        <v>186</v>
      </c>
      <c r="G1021" s="8"/>
      <c r="H1021" s="8"/>
      <c r="I1021" s="9" t="s">
        <v>28</v>
      </c>
      <c r="J1021" s="9" t="s">
        <v>11</v>
      </c>
      <c r="K1021" s="9" t="s">
        <v>82</v>
      </c>
      <c r="L1021" s="9" t="s">
        <v>166</v>
      </c>
      <c r="M1021" s="9" t="s">
        <v>28</v>
      </c>
      <c r="N1021" s="9" t="s">
        <v>266</v>
      </c>
      <c r="O1021" s="9" t="s">
        <v>351</v>
      </c>
      <c r="P1021" s="9" t="s">
        <v>356</v>
      </c>
      <c r="Q1021" s="11"/>
      <c r="R1021" s="40">
        <v>128</v>
      </c>
      <c r="S1021" s="11">
        <f t="shared" si="135"/>
        <v>128</v>
      </c>
      <c r="T1021" s="9"/>
      <c r="U1021" s="14" t="s">
        <v>77</v>
      </c>
      <c r="V1021" s="9"/>
      <c r="W1021" s="12">
        <v>30</v>
      </c>
      <c r="X1021" s="13"/>
      <c r="Y1021" s="13"/>
      <c r="Z1021" s="13"/>
      <c r="AA1021" s="13"/>
      <c r="AB1021" s="13"/>
      <c r="AC1021" s="13">
        <f t="shared" si="137"/>
        <v>7.6799999999999993E-2</v>
      </c>
      <c r="AD1021" s="13"/>
      <c r="AE1021" s="13"/>
      <c r="AF1021" s="13">
        <f t="shared" si="138"/>
        <v>0.76800000000000002</v>
      </c>
      <c r="AG1021" s="13"/>
      <c r="AH1021" s="13"/>
      <c r="AI1021" s="13"/>
      <c r="AJ1021" s="13">
        <f t="shared" si="134"/>
        <v>0.8448</v>
      </c>
      <c r="AK1021" s="9"/>
      <c r="AL1021" s="13"/>
      <c r="AM1021" s="9"/>
      <c r="AN1021" s="9"/>
      <c r="AO1021" s="9"/>
      <c r="AP1021" s="14"/>
    </row>
    <row r="1022" spans="1:42" s="45" customFormat="1" ht="22" customHeight="1">
      <c r="A1022" s="14" t="s">
        <v>21</v>
      </c>
      <c r="B1022" s="8">
        <v>2024</v>
      </c>
      <c r="C1022" s="8" t="s">
        <v>8</v>
      </c>
      <c r="D1022" s="9" t="s">
        <v>185</v>
      </c>
      <c r="E1022" s="9" t="s">
        <v>10</v>
      </c>
      <c r="F1022" s="9" t="s">
        <v>186</v>
      </c>
      <c r="G1022" s="8"/>
      <c r="H1022" s="8"/>
      <c r="I1022" s="9" t="s">
        <v>28</v>
      </c>
      <c r="J1022" s="9" t="s">
        <v>11</v>
      </c>
      <c r="K1022" s="9" t="s">
        <v>82</v>
      </c>
      <c r="L1022" s="9" t="s">
        <v>166</v>
      </c>
      <c r="M1022" s="9" t="s">
        <v>28</v>
      </c>
      <c r="N1022" s="9" t="s">
        <v>266</v>
      </c>
      <c r="O1022" s="9" t="s">
        <v>357</v>
      </c>
      <c r="P1022" s="9" t="s">
        <v>358</v>
      </c>
      <c r="Q1022" s="11"/>
      <c r="R1022" s="40">
        <v>96</v>
      </c>
      <c r="S1022" s="11">
        <f t="shared" si="135"/>
        <v>96</v>
      </c>
      <c r="T1022" s="9"/>
      <c r="U1022" s="14" t="s">
        <v>77</v>
      </c>
      <c r="V1022" s="9"/>
      <c r="W1022" s="12">
        <v>30</v>
      </c>
      <c r="X1022" s="13"/>
      <c r="Y1022" s="13"/>
      <c r="Z1022" s="13"/>
      <c r="AA1022" s="13"/>
      <c r="AB1022" s="13"/>
      <c r="AC1022" s="13">
        <f t="shared" si="137"/>
        <v>5.7599999999999998E-2</v>
      </c>
      <c r="AD1022" s="13"/>
      <c r="AE1022" s="13"/>
      <c r="AF1022" s="13">
        <f t="shared" si="138"/>
        <v>0.57599999999999996</v>
      </c>
      <c r="AG1022" s="13"/>
      <c r="AH1022" s="13"/>
      <c r="AI1022" s="13"/>
      <c r="AJ1022" s="13">
        <f t="shared" si="134"/>
        <v>0.63359999999999994</v>
      </c>
      <c r="AK1022" s="9"/>
      <c r="AL1022" s="13"/>
      <c r="AM1022" s="9"/>
      <c r="AN1022" s="9"/>
      <c r="AO1022" s="9"/>
      <c r="AP1022" s="14"/>
    </row>
    <row r="1023" spans="1:42" s="45" customFormat="1" ht="22" customHeight="1">
      <c r="A1023" s="14" t="s">
        <v>21</v>
      </c>
      <c r="B1023" s="8">
        <v>2024</v>
      </c>
      <c r="C1023" s="8" t="s">
        <v>8</v>
      </c>
      <c r="D1023" s="9" t="s">
        <v>185</v>
      </c>
      <c r="E1023" s="9" t="s">
        <v>10</v>
      </c>
      <c r="F1023" s="9" t="s">
        <v>186</v>
      </c>
      <c r="G1023" s="8"/>
      <c r="H1023" s="8"/>
      <c r="I1023" s="9" t="s">
        <v>28</v>
      </c>
      <c r="J1023" s="9" t="s">
        <v>11</v>
      </c>
      <c r="K1023" s="9" t="s">
        <v>82</v>
      </c>
      <c r="L1023" s="9" t="s">
        <v>166</v>
      </c>
      <c r="M1023" s="9" t="s">
        <v>28</v>
      </c>
      <c r="N1023" s="9" t="s">
        <v>266</v>
      </c>
      <c r="O1023" s="9" t="s">
        <v>357</v>
      </c>
      <c r="P1023" s="9" t="s">
        <v>359</v>
      </c>
      <c r="Q1023" s="11"/>
      <c r="R1023" s="40">
        <v>340</v>
      </c>
      <c r="S1023" s="11">
        <f t="shared" si="135"/>
        <v>340</v>
      </c>
      <c r="T1023" s="9"/>
      <c r="U1023" s="14" t="s">
        <v>77</v>
      </c>
      <c r="V1023" s="9"/>
      <c r="W1023" s="12">
        <v>30</v>
      </c>
      <c r="X1023" s="13"/>
      <c r="Y1023" s="13"/>
      <c r="Z1023" s="13"/>
      <c r="AA1023" s="13"/>
      <c r="AB1023" s="13"/>
      <c r="AC1023" s="13">
        <f t="shared" si="137"/>
        <v>0.20399999999999999</v>
      </c>
      <c r="AD1023" s="13"/>
      <c r="AE1023" s="13"/>
      <c r="AF1023" s="13">
        <f t="shared" si="138"/>
        <v>2.04</v>
      </c>
      <c r="AG1023" s="13"/>
      <c r="AH1023" s="13"/>
      <c r="AI1023" s="13"/>
      <c r="AJ1023" s="13">
        <f t="shared" si="134"/>
        <v>2.2440000000000002</v>
      </c>
      <c r="AK1023" s="9"/>
      <c r="AL1023" s="13"/>
      <c r="AM1023" s="9"/>
      <c r="AN1023" s="9"/>
      <c r="AO1023" s="9"/>
      <c r="AP1023" s="14"/>
    </row>
    <row r="1024" spans="1:42" s="45" customFormat="1" ht="22" customHeight="1">
      <c r="A1024" s="14" t="s">
        <v>21</v>
      </c>
      <c r="B1024" s="8">
        <v>2024</v>
      </c>
      <c r="C1024" s="8" t="s">
        <v>8</v>
      </c>
      <c r="D1024" s="9" t="s">
        <v>185</v>
      </c>
      <c r="E1024" s="9" t="s">
        <v>10</v>
      </c>
      <c r="F1024" s="9" t="s">
        <v>186</v>
      </c>
      <c r="G1024" s="8"/>
      <c r="H1024" s="8"/>
      <c r="I1024" s="9" t="s">
        <v>28</v>
      </c>
      <c r="J1024" s="9" t="s">
        <v>11</v>
      </c>
      <c r="K1024" s="9" t="s">
        <v>82</v>
      </c>
      <c r="L1024" s="9" t="s">
        <v>166</v>
      </c>
      <c r="M1024" s="9" t="s">
        <v>28</v>
      </c>
      <c r="N1024" s="9" t="s">
        <v>266</v>
      </c>
      <c r="O1024" s="9" t="s">
        <v>357</v>
      </c>
      <c r="P1024" s="9" t="s">
        <v>360</v>
      </c>
      <c r="Q1024" s="11"/>
      <c r="R1024" s="40">
        <v>120</v>
      </c>
      <c r="S1024" s="11">
        <f t="shared" si="135"/>
        <v>120</v>
      </c>
      <c r="T1024" s="9"/>
      <c r="U1024" s="14" t="s">
        <v>77</v>
      </c>
      <c r="V1024" s="9"/>
      <c r="W1024" s="12">
        <v>30</v>
      </c>
      <c r="X1024" s="13"/>
      <c r="Y1024" s="13"/>
      <c r="Z1024" s="13"/>
      <c r="AA1024" s="13"/>
      <c r="AB1024" s="13"/>
      <c r="AC1024" s="13">
        <f t="shared" si="137"/>
        <v>7.1999999999999995E-2</v>
      </c>
      <c r="AD1024" s="13"/>
      <c r="AE1024" s="13"/>
      <c r="AF1024" s="13">
        <f t="shared" si="138"/>
        <v>0.72</v>
      </c>
      <c r="AG1024" s="13"/>
      <c r="AH1024" s="13"/>
      <c r="AI1024" s="13"/>
      <c r="AJ1024" s="13">
        <f t="shared" si="134"/>
        <v>0.79199999999999993</v>
      </c>
      <c r="AK1024" s="9"/>
      <c r="AL1024" s="13"/>
      <c r="AM1024" s="9"/>
      <c r="AN1024" s="9"/>
      <c r="AO1024" s="9"/>
      <c r="AP1024" s="14"/>
    </row>
    <row r="1025" spans="1:42" s="45" customFormat="1" ht="22" customHeight="1">
      <c r="A1025" s="14" t="s">
        <v>21</v>
      </c>
      <c r="B1025" s="8">
        <v>2024</v>
      </c>
      <c r="C1025" s="8" t="s">
        <v>8</v>
      </c>
      <c r="D1025" s="9" t="s">
        <v>185</v>
      </c>
      <c r="E1025" s="9" t="s">
        <v>10</v>
      </c>
      <c r="F1025" s="9" t="s">
        <v>186</v>
      </c>
      <c r="G1025" s="8"/>
      <c r="H1025" s="8"/>
      <c r="I1025" s="9" t="s">
        <v>28</v>
      </c>
      <c r="J1025" s="9" t="s">
        <v>11</v>
      </c>
      <c r="K1025" s="9" t="s">
        <v>82</v>
      </c>
      <c r="L1025" s="9" t="s">
        <v>166</v>
      </c>
      <c r="M1025" s="9" t="s">
        <v>28</v>
      </c>
      <c r="N1025" s="9" t="s">
        <v>266</v>
      </c>
      <c r="O1025" s="9" t="s">
        <v>357</v>
      </c>
      <c r="P1025" s="9" t="s">
        <v>361</v>
      </c>
      <c r="Q1025" s="11"/>
      <c r="R1025" s="40">
        <v>173</v>
      </c>
      <c r="S1025" s="11">
        <f t="shared" si="135"/>
        <v>173</v>
      </c>
      <c r="T1025" s="9"/>
      <c r="U1025" s="14" t="s">
        <v>77</v>
      </c>
      <c r="V1025" s="9"/>
      <c r="W1025" s="12">
        <v>30</v>
      </c>
      <c r="X1025" s="13"/>
      <c r="Y1025" s="13"/>
      <c r="Z1025" s="13"/>
      <c r="AA1025" s="13"/>
      <c r="AB1025" s="13"/>
      <c r="AC1025" s="13">
        <f t="shared" si="137"/>
        <v>0.1038</v>
      </c>
      <c r="AD1025" s="13"/>
      <c r="AE1025" s="13"/>
      <c r="AF1025" s="13">
        <f t="shared" si="138"/>
        <v>1.038</v>
      </c>
      <c r="AG1025" s="13"/>
      <c r="AH1025" s="13"/>
      <c r="AI1025" s="13"/>
      <c r="AJ1025" s="13">
        <f t="shared" si="134"/>
        <v>1.1417999999999999</v>
      </c>
      <c r="AK1025" s="9"/>
      <c r="AL1025" s="13"/>
      <c r="AM1025" s="9"/>
      <c r="AN1025" s="9"/>
      <c r="AO1025" s="9"/>
      <c r="AP1025" s="14"/>
    </row>
    <row r="1026" spans="1:42" s="45" customFormat="1" ht="22" customHeight="1">
      <c r="A1026" s="14" t="s">
        <v>21</v>
      </c>
      <c r="B1026" s="8">
        <v>2024</v>
      </c>
      <c r="C1026" s="8" t="s">
        <v>8</v>
      </c>
      <c r="D1026" s="9" t="s">
        <v>185</v>
      </c>
      <c r="E1026" s="9" t="s">
        <v>10</v>
      </c>
      <c r="F1026" s="9" t="s">
        <v>186</v>
      </c>
      <c r="G1026" s="8"/>
      <c r="H1026" s="8"/>
      <c r="I1026" s="9" t="s">
        <v>28</v>
      </c>
      <c r="J1026" s="9" t="s">
        <v>11</v>
      </c>
      <c r="K1026" s="9" t="s">
        <v>82</v>
      </c>
      <c r="L1026" s="9" t="s">
        <v>166</v>
      </c>
      <c r="M1026" s="9" t="s">
        <v>28</v>
      </c>
      <c r="N1026" s="9" t="s">
        <v>266</v>
      </c>
      <c r="O1026" s="9" t="s">
        <v>357</v>
      </c>
      <c r="P1026" s="9" t="s">
        <v>362</v>
      </c>
      <c r="Q1026" s="11"/>
      <c r="R1026" s="40">
        <v>180</v>
      </c>
      <c r="S1026" s="11">
        <f t="shared" si="135"/>
        <v>180</v>
      </c>
      <c r="T1026" s="9"/>
      <c r="U1026" s="14" t="s">
        <v>77</v>
      </c>
      <c r="V1026" s="9"/>
      <c r="W1026" s="12">
        <v>30</v>
      </c>
      <c r="X1026" s="13"/>
      <c r="Y1026" s="13"/>
      <c r="Z1026" s="13"/>
      <c r="AA1026" s="13"/>
      <c r="AB1026" s="13"/>
      <c r="AC1026" s="13">
        <f t="shared" si="137"/>
        <v>0.108</v>
      </c>
      <c r="AD1026" s="13"/>
      <c r="AE1026" s="13"/>
      <c r="AF1026" s="13">
        <f t="shared" si="138"/>
        <v>1.08</v>
      </c>
      <c r="AG1026" s="13"/>
      <c r="AH1026" s="13"/>
      <c r="AI1026" s="13"/>
      <c r="AJ1026" s="13">
        <f t="shared" si="134"/>
        <v>1.1880000000000002</v>
      </c>
      <c r="AK1026" s="9"/>
      <c r="AL1026" s="13"/>
      <c r="AM1026" s="9"/>
      <c r="AN1026" s="9"/>
      <c r="AO1026" s="9"/>
      <c r="AP1026" s="14"/>
    </row>
    <row r="1027" spans="1:42" s="45" customFormat="1" ht="22" customHeight="1">
      <c r="A1027" s="14" t="s">
        <v>21</v>
      </c>
      <c r="B1027" s="8">
        <v>2024</v>
      </c>
      <c r="C1027" s="8" t="s">
        <v>8</v>
      </c>
      <c r="D1027" s="9" t="s">
        <v>185</v>
      </c>
      <c r="E1027" s="9" t="s">
        <v>10</v>
      </c>
      <c r="F1027" s="9" t="s">
        <v>186</v>
      </c>
      <c r="G1027" s="8"/>
      <c r="H1027" s="8"/>
      <c r="I1027" s="9" t="s">
        <v>28</v>
      </c>
      <c r="J1027" s="9" t="s">
        <v>11</v>
      </c>
      <c r="K1027" s="9" t="s">
        <v>82</v>
      </c>
      <c r="L1027" s="9" t="s">
        <v>166</v>
      </c>
      <c r="M1027" s="9" t="s">
        <v>28</v>
      </c>
      <c r="N1027" s="9" t="s">
        <v>266</v>
      </c>
      <c r="O1027" s="9" t="s">
        <v>357</v>
      </c>
      <c r="P1027" s="9" t="s">
        <v>363</v>
      </c>
      <c r="Q1027" s="11"/>
      <c r="R1027" s="40">
        <v>82</v>
      </c>
      <c r="S1027" s="11">
        <f t="shared" si="135"/>
        <v>82</v>
      </c>
      <c r="T1027" s="9"/>
      <c r="U1027" s="14" t="s">
        <v>77</v>
      </c>
      <c r="V1027" s="9"/>
      <c r="W1027" s="12">
        <v>30</v>
      </c>
      <c r="X1027" s="13"/>
      <c r="Y1027" s="13"/>
      <c r="Z1027" s="13"/>
      <c r="AA1027" s="13"/>
      <c r="AB1027" s="13"/>
      <c r="AC1027" s="13">
        <f t="shared" si="137"/>
        <v>4.9200000000000001E-2</v>
      </c>
      <c r="AD1027" s="13"/>
      <c r="AE1027" s="13"/>
      <c r="AF1027" s="13">
        <f t="shared" si="138"/>
        <v>0.49199999999999999</v>
      </c>
      <c r="AG1027" s="13"/>
      <c r="AH1027" s="13"/>
      <c r="AI1027" s="13"/>
      <c r="AJ1027" s="13">
        <f t="shared" si="134"/>
        <v>0.54120000000000001</v>
      </c>
      <c r="AK1027" s="9"/>
      <c r="AL1027" s="13"/>
      <c r="AM1027" s="9"/>
      <c r="AN1027" s="9"/>
      <c r="AO1027" s="9"/>
      <c r="AP1027" s="14"/>
    </row>
    <row r="1028" spans="1:42" s="45" customFormat="1" ht="22" customHeight="1">
      <c r="A1028" s="14" t="s">
        <v>21</v>
      </c>
      <c r="B1028" s="8">
        <v>2024</v>
      </c>
      <c r="C1028" s="8" t="s">
        <v>8</v>
      </c>
      <c r="D1028" s="9" t="s">
        <v>185</v>
      </c>
      <c r="E1028" s="9" t="s">
        <v>10</v>
      </c>
      <c r="F1028" s="9" t="s">
        <v>186</v>
      </c>
      <c r="G1028" s="8"/>
      <c r="H1028" s="8"/>
      <c r="I1028" s="9" t="s">
        <v>28</v>
      </c>
      <c r="J1028" s="9" t="s">
        <v>11</v>
      </c>
      <c r="K1028" s="9" t="s">
        <v>82</v>
      </c>
      <c r="L1028" s="9" t="s">
        <v>166</v>
      </c>
      <c r="M1028" s="9" t="s">
        <v>28</v>
      </c>
      <c r="N1028" s="9" t="s">
        <v>266</v>
      </c>
      <c r="O1028" s="9" t="s">
        <v>357</v>
      </c>
      <c r="P1028" s="9" t="s">
        <v>364</v>
      </c>
      <c r="Q1028" s="11"/>
      <c r="R1028" s="40">
        <v>294</v>
      </c>
      <c r="S1028" s="11">
        <f t="shared" si="135"/>
        <v>294</v>
      </c>
      <c r="T1028" s="9"/>
      <c r="U1028" s="14" t="s">
        <v>77</v>
      </c>
      <c r="V1028" s="9"/>
      <c r="W1028" s="12">
        <v>30</v>
      </c>
      <c r="X1028" s="13"/>
      <c r="Y1028" s="13"/>
      <c r="Z1028" s="13"/>
      <c r="AA1028" s="13"/>
      <c r="AB1028" s="13"/>
      <c r="AC1028" s="13">
        <f t="shared" si="137"/>
        <v>0.1764</v>
      </c>
      <c r="AD1028" s="13"/>
      <c r="AE1028" s="13"/>
      <c r="AF1028" s="13">
        <f t="shared" si="138"/>
        <v>1.764</v>
      </c>
      <c r="AG1028" s="13"/>
      <c r="AH1028" s="13"/>
      <c r="AI1028" s="13"/>
      <c r="AJ1028" s="13">
        <f t="shared" si="134"/>
        <v>1.9403999999999999</v>
      </c>
      <c r="AK1028" s="9"/>
      <c r="AL1028" s="13"/>
      <c r="AM1028" s="9"/>
      <c r="AN1028" s="9"/>
      <c r="AO1028" s="9"/>
      <c r="AP1028" s="14"/>
    </row>
    <row r="1029" spans="1:42" s="45" customFormat="1" ht="22" customHeight="1">
      <c r="A1029" s="14" t="s">
        <v>21</v>
      </c>
      <c r="B1029" s="8">
        <v>2024</v>
      </c>
      <c r="C1029" s="8" t="s">
        <v>8</v>
      </c>
      <c r="D1029" s="9" t="s">
        <v>185</v>
      </c>
      <c r="E1029" s="9" t="s">
        <v>10</v>
      </c>
      <c r="F1029" s="9" t="s">
        <v>186</v>
      </c>
      <c r="G1029" s="8"/>
      <c r="H1029" s="8"/>
      <c r="I1029" s="9" t="s">
        <v>28</v>
      </c>
      <c r="J1029" s="9" t="s">
        <v>11</v>
      </c>
      <c r="K1029" s="9" t="s">
        <v>82</v>
      </c>
      <c r="L1029" s="9" t="s">
        <v>166</v>
      </c>
      <c r="M1029" s="9" t="s">
        <v>28</v>
      </c>
      <c r="N1029" s="9" t="s">
        <v>266</v>
      </c>
      <c r="O1029" s="9" t="s">
        <v>365</v>
      </c>
      <c r="P1029" s="9" t="s">
        <v>366</v>
      </c>
      <c r="Q1029" s="11"/>
      <c r="R1029" s="40">
        <v>101</v>
      </c>
      <c r="S1029" s="11">
        <f t="shared" si="135"/>
        <v>101</v>
      </c>
      <c r="T1029" s="9"/>
      <c r="U1029" s="14" t="s">
        <v>77</v>
      </c>
      <c r="V1029" s="9"/>
      <c r="W1029" s="12">
        <v>30</v>
      </c>
      <c r="X1029" s="13"/>
      <c r="Y1029" s="13"/>
      <c r="Z1029" s="13"/>
      <c r="AA1029" s="13"/>
      <c r="AB1029" s="13"/>
      <c r="AC1029" s="13">
        <f t="shared" si="137"/>
        <v>6.0600000000000001E-2</v>
      </c>
      <c r="AD1029" s="13"/>
      <c r="AE1029" s="13"/>
      <c r="AF1029" s="13">
        <f t="shared" si="138"/>
        <v>0.60599999999999998</v>
      </c>
      <c r="AG1029" s="13"/>
      <c r="AH1029" s="13"/>
      <c r="AI1029" s="13"/>
      <c r="AJ1029" s="13">
        <f t="shared" si="134"/>
        <v>0.66659999999999997</v>
      </c>
      <c r="AK1029" s="9"/>
      <c r="AL1029" s="13"/>
      <c r="AM1029" s="9"/>
      <c r="AN1029" s="9"/>
      <c r="AO1029" s="9"/>
      <c r="AP1029" s="14"/>
    </row>
    <row r="1030" spans="1:42" s="45" customFormat="1" ht="22" customHeight="1">
      <c r="A1030" s="14" t="s">
        <v>21</v>
      </c>
      <c r="B1030" s="8">
        <v>2024</v>
      </c>
      <c r="C1030" s="8" t="s">
        <v>8</v>
      </c>
      <c r="D1030" s="9" t="s">
        <v>185</v>
      </c>
      <c r="E1030" s="9" t="s">
        <v>10</v>
      </c>
      <c r="F1030" s="9" t="s">
        <v>186</v>
      </c>
      <c r="G1030" s="8"/>
      <c r="H1030" s="8"/>
      <c r="I1030" s="9" t="s">
        <v>28</v>
      </c>
      <c r="J1030" s="9" t="s">
        <v>11</v>
      </c>
      <c r="K1030" s="9" t="s">
        <v>82</v>
      </c>
      <c r="L1030" s="9" t="s">
        <v>166</v>
      </c>
      <c r="M1030" s="9" t="s">
        <v>28</v>
      </c>
      <c r="N1030" s="9" t="s">
        <v>266</v>
      </c>
      <c r="O1030" s="9" t="s">
        <v>365</v>
      </c>
      <c r="P1030" s="9" t="s">
        <v>367</v>
      </c>
      <c r="Q1030" s="11"/>
      <c r="R1030" s="40">
        <v>110</v>
      </c>
      <c r="S1030" s="11">
        <f t="shared" si="135"/>
        <v>110</v>
      </c>
      <c r="T1030" s="9"/>
      <c r="U1030" s="14" t="s">
        <v>77</v>
      </c>
      <c r="V1030" s="9"/>
      <c r="W1030" s="12">
        <v>30</v>
      </c>
      <c r="X1030" s="13"/>
      <c r="Y1030" s="13"/>
      <c r="Z1030" s="13"/>
      <c r="AA1030" s="13"/>
      <c r="AB1030" s="13"/>
      <c r="AC1030" s="13">
        <f t="shared" si="137"/>
        <v>6.6000000000000003E-2</v>
      </c>
      <c r="AD1030" s="13"/>
      <c r="AE1030" s="13"/>
      <c r="AF1030" s="13">
        <f t="shared" si="138"/>
        <v>0.66</v>
      </c>
      <c r="AG1030" s="13"/>
      <c r="AH1030" s="13"/>
      <c r="AI1030" s="13"/>
      <c r="AJ1030" s="13">
        <f t="shared" si="134"/>
        <v>0.72599999999999998</v>
      </c>
      <c r="AK1030" s="9"/>
      <c r="AL1030" s="13"/>
      <c r="AM1030" s="9"/>
      <c r="AN1030" s="9"/>
      <c r="AO1030" s="9"/>
      <c r="AP1030" s="14"/>
    </row>
    <row r="1031" spans="1:42" s="45" customFormat="1" ht="22" customHeight="1">
      <c r="A1031" s="14" t="s">
        <v>21</v>
      </c>
      <c r="B1031" s="8">
        <v>2024</v>
      </c>
      <c r="C1031" s="8" t="s">
        <v>8</v>
      </c>
      <c r="D1031" s="9" t="s">
        <v>185</v>
      </c>
      <c r="E1031" s="9" t="s">
        <v>10</v>
      </c>
      <c r="F1031" s="9" t="s">
        <v>186</v>
      </c>
      <c r="G1031" s="8"/>
      <c r="H1031" s="8"/>
      <c r="I1031" s="9" t="s">
        <v>28</v>
      </c>
      <c r="J1031" s="9" t="s">
        <v>11</v>
      </c>
      <c r="K1031" s="9" t="s">
        <v>82</v>
      </c>
      <c r="L1031" s="9" t="s">
        <v>166</v>
      </c>
      <c r="M1031" s="9" t="s">
        <v>28</v>
      </c>
      <c r="N1031" s="9" t="s">
        <v>266</v>
      </c>
      <c r="O1031" s="9" t="s">
        <v>365</v>
      </c>
      <c r="P1031" s="9" t="s">
        <v>368</v>
      </c>
      <c r="Q1031" s="11"/>
      <c r="R1031" s="40">
        <v>87</v>
      </c>
      <c r="S1031" s="11">
        <f t="shared" si="135"/>
        <v>87</v>
      </c>
      <c r="T1031" s="9"/>
      <c r="U1031" s="14" t="s">
        <v>77</v>
      </c>
      <c r="V1031" s="9"/>
      <c r="W1031" s="12">
        <v>30</v>
      </c>
      <c r="X1031" s="13"/>
      <c r="Y1031" s="13"/>
      <c r="Z1031" s="13"/>
      <c r="AA1031" s="13"/>
      <c r="AB1031" s="13"/>
      <c r="AC1031" s="13">
        <f t="shared" si="137"/>
        <v>5.2200000000000003E-2</v>
      </c>
      <c r="AD1031" s="13"/>
      <c r="AE1031" s="13"/>
      <c r="AF1031" s="13">
        <f t="shared" si="138"/>
        <v>0.52200000000000002</v>
      </c>
      <c r="AG1031" s="13"/>
      <c r="AH1031" s="13"/>
      <c r="AI1031" s="13"/>
      <c r="AJ1031" s="13">
        <f t="shared" si="134"/>
        <v>0.57420000000000004</v>
      </c>
      <c r="AK1031" s="9"/>
      <c r="AL1031" s="13"/>
      <c r="AM1031" s="9"/>
      <c r="AN1031" s="9"/>
      <c r="AO1031" s="9"/>
      <c r="AP1031" s="14"/>
    </row>
    <row r="1032" spans="1:42" s="45" customFormat="1" ht="22" customHeight="1">
      <c r="A1032" s="14" t="s">
        <v>21</v>
      </c>
      <c r="B1032" s="8">
        <v>2024</v>
      </c>
      <c r="C1032" s="8" t="s">
        <v>8</v>
      </c>
      <c r="D1032" s="9" t="s">
        <v>185</v>
      </c>
      <c r="E1032" s="9" t="s">
        <v>10</v>
      </c>
      <c r="F1032" s="9" t="s">
        <v>186</v>
      </c>
      <c r="G1032" s="8"/>
      <c r="H1032" s="8"/>
      <c r="I1032" s="9" t="s">
        <v>28</v>
      </c>
      <c r="J1032" s="9" t="s">
        <v>11</v>
      </c>
      <c r="K1032" s="9" t="s">
        <v>82</v>
      </c>
      <c r="L1032" s="9" t="s">
        <v>166</v>
      </c>
      <c r="M1032" s="9" t="s">
        <v>28</v>
      </c>
      <c r="N1032" s="9" t="s">
        <v>266</v>
      </c>
      <c r="O1032" s="9" t="s">
        <v>365</v>
      </c>
      <c r="P1032" s="9" t="s">
        <v>369</v>
      </c>
      <c r="Q1032" s="11"/>
      <c r="R1032" s="40">
        <v>82</v>
      </c>
      <c r="S1032" s="11">
        <f t="shared" si="135"/>
        <v>82</v>
      </c>
      <c r="T1032" s="9"/>
      <c r="U1032" s="14" t="s">
        <v>77</v>
      </c>
      <c r="V1032" s="9"/>
      <c r="W1032" s="12">
        <v>30</v>
      </c>
      <c r="X1032" s="13"/>
      <c r="Y1032" s="13"/>
      <c r="Z1032" s="13"/>
      <c r="AA1032" s="13"/>
      <c r="AB1032" s="13"/>
      <c r="AC1032" s="13">
        <f t="shared" si="137"/>
        <v>4.9200000000000001E-2</v>
      </c>
      <c r="AD1032" s="13"/>
      <c r="AE1032" s="13"/>
      <c r="AF1032" s="13">
        <f t="shared" si="138"/>
        <v>0.49199999999999999</v>
      </c>
      <c r="AG1032" s="13"/>
      <c r="AH1032" s="13"/>
      <c r="AI1032" s="13"/>
      <c r="AJ1032" s="13">
        <f t="shared" si="134"/>
        <v>0.54120000000000001</v>
      </c>
      <c r="AK1032" s="9"/>
      <c r="AL1032" s="13"/>
      <c r="AM1032" s="9"/>
      <c r="AN1032" s="9"/>
      <c r="AO1032" s="9"/>
      <c r="AP1032" s="14"/>
    </row>
    <row r="1033" spans="1:42" s="45" customFormat="1" ht="22" customHeight="1">
      <c r="A1033" s="14" t="s">
        <v>21</v>
      </c>
      <c r="B1033" s="8">
        <v>2024</v>
      </c>
      <c r="C1033" s="8" t="s">
        <v>8</v>
      </c>
      <c r="D1033" s="9" t="s">
        <v>185</v>
      </c>
      <c r="E1033" s="9" t="s">
        <v>10</v>
      </c>
      <c r="F1033" s="9" t="s">
        <v>186</v>
      </c>
      <c r="G1033" s="8"/>
      <c r="H1033" s="8"/>
      <c r="I1033" s="9" t="s">
        <v>28</v>
      </c>
      <c r="J1033" s="9" t="s">
        <v>11</v>
      </c>
      <c r="K1033" s="9" t="s">
        <v>82</v>
      </c>
      <c r="L1033" s="9" t="s">
        <v>166</v>
      </c>
      <c r="M1033" s="9" t="s">
        <v>28</v>
      </c>
      <c r="N1033" s="9" t="s">
        <v>266</v>
      </c>
      <c r="O1033" s="9" t="s">
        <v>365</v>
      </c>
      <c r="P1033" s="9" t="s">
        <v>370</v>
      </c>
      <c r="Q1033" s="11"/>
      <c r="R1033" s="40">
        <v>95</v>
      </c>
      <c r="S1033" s="11">
        <f t="shared" si="135"/>
        <v>95</v>
      </c>
      <c r="T1033" s="9"/>
      <c r="U1033" s="14" t="s">
        <v>77</v>
      </c>
      <c r="V1033" s="9"/>
      <c r="W1033" s="12">
        <v>30</v>
      </c>
      <c r="X1033" s="13"/>
      <c r="Y1033" s="13"/>
      <c r="Z1033" s="13"/>
      <c r="AA1033" s="13"/>
      <c r="AB1033" s="13"/>
      <c r="AC1033" s="13">
        <f t="shared" si="137"/>
        <v>5.7000000000000002E-2</v>
      </c>
      <c r="AD1033" s="13"/>
      <c r="AE1033" s="13"/>
      <c r="AF1033" s="13">
        <f t="shared" si="138"/>
        <v>0.56999999999999995</v>
      </c>
      <c r="AG1033" s="13"/>
      <c r="AH1033" s="13"/>
      <c r="AI1033" s="13"/>
      <c r="AJ1033" s="13">
        <f t="shared" si="134"/>
        <v>0.627</v>
      </c>
      <c r="AK1033" s="9"/>
      <c r="AL1033" s="13"/>
      <c r="AM1033" s="9"/>
      <c r="AN1033" s="9"/>
      <c r="AO1033" s="9"/>
      <c r="AP1033" s="14"/>
    </row>
    <row r="1034" spans="1:42" s="45" customFormat="1" ht="22" customHeight="1">
      <c r="A1034" s="14" t="s">
        <v>21</v>
      </c>
      <c r="B1034" s="8">
        <v>2024</v>
      </c>
      <c r="C1034" s="8" t="s">
        <v>8</v>
      </c>
      <c r="D1034" s="9" t="s">
        <v>185</v>
      </c>
      <c r="E1034" s="9" t="s">
        <v>10</v>
      </c>
      <c r="F1034" s="9" t="s">
        <v>186</v>
      </c>
      <c r="G1034" s="8"/>
      <c r="H1034" s="8"/>
      <c r="I1034" s="9" t="s">
        <v>28</v>
      </c>
      <c r="J1034" s="9" t="s">
        <v>11</v>
      </c>
      <c r="K1034" s="9" t="s">
        <v>82</v>
      </c>
      <c r="L1034" s="9" t="s">
        <v>166</v>
      </c>
      <c r="M1034" s="9" t="s">
        <v>28</v>
      </c>
      <c r="N1034" s="9" t="s">
        <v>266</v>
      </c>
      <c r="O1034" s="9" t="s">
        <v>365</v>
      </c>
      <c r="P1034" s="9" t="s">
        <v>371</v>
      </c>
      <c r="Q1034" s="11"/>
      <c r="R1034" s="40">
        <v>231</v>
      </c>
      <c r="S1034" s="11">
        <f t="shared" si="135"/>
        <v>231</v>
      </c>
      <c r="T1034" s="9"/>
      <c r="U1034" s="14" t="s">
        <v>77</v>
      </c>
      <c r="V1034" s="9"/>
      <c r="W1034" s="12">
        <v>30</v>
      </c>
      <c r="X1034" s="13"/>
      <c r="Y1034" s="13"/>
      <c r="Z1034" s="13"/>
      <c r="AA1034" s="13"/>
      <c r="AB1034" s="13"/>
      <c r="AC1034" s="13">
        <f t="shared" si="137"/>
        <v>0.1386</v>
      </c>
      <c r="AD1034" s="13"/>
      <c r="AE1034" s="13"/>
      <c r="AF1034" s="13">
        <f t="shared" si="138"/>
        <v>1.3859999999999999</v>
      </c>
      <c r="AG1034" s="13"/>
      <c r="AH1034" s="13"/>
      <c r="AI1034" s="13"/>
      <c r="AJ1034" s="13">
        <f t="shared" si="134"/>
        <v>1.5246</v>
      </c>
      <c r="AK1034" s="9"/>
      <c r="AL1034" s="13"/>
      <c r="AM1034" s="9"/>
      <c r="AN1034" s="9"/>
      <c r="AO1034" s="9"/>
      <c r="AP1034" s="14"/>
    </row>
    <row r="1035" spans="1:42" s="45" customFormat="1" ht="22" customHeight="1">
      <c r="A1035" s="14" t="s">
        <v>21</v>
      </c>
      <c r="B1035" s="8">
        <v>2024</v>
      </c>
      <c r="C1035" s="8" t="s">
        <v>8</v>
      </c>
      <c r="D1035" s="9" t="s">
        <v>185</v>
      </c>
      <c r="E1035" s="9" t="s">
        <v>10</v>
      </c>
      <c r="F1035" s="9" t="s">
        <v>186</v>
      </c>
      <c r="G1035" s="8"/>
      <c r="H1035" s="8"/>
      <c r="I1035" s="9" t="s">
        <v>28</v>
      </c>
      <c r="J1035" s="9" t="s">
        <v>11</v>
      </c>
      <c r="K1035" s="9" t="s">
        <v>82</v>
      </c>
      <c r="L1035" s="9" t="s">
        <v>166</v>
      </c>
      <c r="M1035" s="9" t="s">
        <v>28</v>
      </c>
      <c r="N1035" s="9" t="s">
        <v>266</v>
      </c>
      <c r="O1035" s="9" t="s">
        <v>365</v>
      </c>
      <c r="P1035" s="9" t="s">
        <v>372</v>
      </c>
      <c r="Q1035" s="11"/>
      <c r="R1035" s="40">
        <v>143</v>
      </c>
      <c r="S1035" s="11">
        <f t="shared" si="135"/>
        <v>143</v>
      </c>
      <c r="T1035" s="9"/>
      <c r="U1035" s="14" t="s">
        <v>77</v>
      </c>
      <c r="V1035" s="9"/>
      <c r="W1035" s="12">
        <v>30</v>
      </c>
      <c r="X1035" s="13"/>
      <c r="Y1035" s="13"/>
      <c r="Z1035" s="13"/>
      <c r="AA1035" s="13"/>
      <c r="AB1035" s="13"/>
      <c r="AC1035" s="13">
        <f t="shared" si="137"/>
        <v>8.5800000000000001E-2</v>
      </c>
      <c r="AD1035" s="13"/>
      <c r="AE1035" s="13"/>
      <c r="AF1035" s="13">
        <f t="shared" si="138"/>
        <v>0.85799999999999998</v>
      </c>
      <c r="AG1035" s="13"/>
      <c r="AH1035" s="13"/>
      <c r="AI1035" s="13"/>
      <c r="AJ1035" s="13">
        <f t="shared" ref="AJ1035:AJ1093" si="139">SUBTOTAL(9,X1035:AI1035)</f>
        <v>0.94379999999999997</v>
      </c>
      <c r="AK1035" s="9"/>
      <c r="AL1035" s="13"/>
      <c r="AM1035" s="9"/>
      <c r="AN1035" s="9"/>
      <c r="AO1035" s="9"/>
      <c r="AP1035" s="14"/>
    </row>
    <row r="1036" spans="1:42" s="45" customFormat="1" ht="22" customHeight="1">
      <c r="A1036" s="14" t="s">
        <v>21</v>
      </c>
      <c r="B1036" s="8">
        <v>2024</v>
      </c>
      <c r="C1036" s="8" t="s">
        <v>8</v>
      </c>
      <c r="D1036" s="9" t="s">
        <v>185</v>
      </c>
      <c r="E1036" s="9" t="s">
        <v>10</v>
      </c>
      <c r="F1036" s="9" t="s">
        <v>186</v>
      </c>
      <c r="G1036" s="8"/>
      <c r="H1036" s="8"/>
      <c r="I1036" s="9" t="s">
        <v>28</v>
      </c>
      <c r="J1036" s="9" t="s">
        <v>11</v>
      </c>
      <c r="K1036" s="9" t="s">
        <v>82</v>
      </c>
      <c r="L1036" s="9" t="s">
        <v>166</v>
      </c>
      <c r="M1036" s="9" t="s">
        <v>28</v>
      </c>
      <c r="N1036" s="9" t="s">
        <v>266</v>
      </c>
      <c r="O1036" s="9" t="s">
        <v>339</v>
      </c>
      <c r="P1036" s="9" t="s">
        <v>373</v>
      </c>
      <c r="Q1036" s="11"/>
      <c r="R1036" s="40">
        <v>116</v>
      </c>
      <c r="S1036" s="11">
        <f t="shared" si="135"/>
        <v>116</v>
      </c>
      <c r="T1036" s="9"/>
      <c r="U1036" s="14" t="s">
        <v>77</v>
      </c>
      <c r="V1036" s="9"/>
      <c r="W1036" s="12">
        <v>30</v>
      </c>
      <c r="X1036" s="13"/>
      <c r="Y1036" s="13"/>
      <c r="Z1036" s="13"/>
      <c r="AA1036" s="13"/>
      <c r="AB1036" s="13"/>
      <c r="AC1036" s="13">
        <f t="shared" si="137"/>
        <v>6.9599999999999995E-2</v>
      </c>
      <c r="AD1036" s="13"/>
      <c r="AE1036" s="13"/>
      <c r="AF1036" s="13">
        <f t="shared" si="138"/>
        <v>0.69599999999999995</v>
      </c>
      <c r="AG1036" s="13"/>
      <c r="AH1036" s="13"/>
      <c r="AI1036" s="13"/>
      <c r="AJ1036" s="13">
        <f t="shared" si="139"/>
        <v>0.76559999999999995</v>
      </c>
      <c r="AK1036" s="9"/>
      <c r="AL1036" s="13"/>
      <c r="AM1036" s="9"/>
      <c r="AN1036" s="9"/>
      <c r="AO1036" s="9"/>
      <c r="AP1036" s="14"/>
    </row>
    <row r="1037" spans="1:42" s="45" customFormat="1" ht="22" customHeight="1">
      <c r="A1037" s="14" t="s">
        <v>21</v>
      </c>
      <c r="B1037" s="8">
        <v>2024</v>
      </c>
      <c r="C1037" s="8" t="s">
        <v>8</v>
      </c>
      <c r="D1037" s="9" t="s">
        <v>185</v>
      </c>
      <c r="E1037" s="9" t="s">
        <v>10</v>
      </c>
      <c r="F1037" s="9" t="s">
        <v>186</v>
      </c>
      <c r="G1037" s="8"/>
      <c r="H1037" s="8"/>
      <c r="I1037" s="9" t="s">
        <v>28</v>
      </c>
      <c r="J1037" s="9" t="s">
        <v>11</v>
      </c>
      <c r="K1037" s="9" t="s">
        <v>82</v>
      </c>
      <c r="L1037" s="9" t="s">
        <v>166</v>
      </c>
      <c r="M1037" s="9" t="s">
        <v>28</v>
      </c>
      <c r="N1037" s="9" t="s">
        <v>266</v>
      </c>
      <c r="O1037" s="9" t="s">
        <v>339</v>
      </c>
      <c r="P1037" s="9" t="s">
        <v>374</v>
      </c>
      <c r="Q1037" s="11"/>
      <c r="R1037" s="40">
        <v>180</v>
      </c>
      <c r="S1037" s="11">
        <f t="shared" si="135"/>
        <v>180</v>
      </c>
      <c r="T1037" s="9"/>
      <c r="U1037" s="14" t="s">
        <v>77</v>
      </c>
      <c r="V1037" s="9"/>
      <c r="W1037" s="12">
        <v>30</v>
      </c>
      <c r="X1037" s="13"/>
      <c r="Y1037" s="13"/>
      <c r="Z1037" s="13"/>
      <c r="AA1037" s="13"/>
      <c r="AB1037" s="13"/>
      <c r="AC1037" s="13">
        <f t="shared" si="137"/>
        <v>0.108</v>
      </c>
      <c r="AD1037" s="13"/>
      <c r="AE1037" s="13"/>
      <c r="AF1037" s="13">
        <f t="shared" si="138"/>
        <v>1.08</v>
      </c>
      <c r="AG1037" s="13"/>
      <c r="AH1037" s="13"/>
      <c r="AI1037" s="13"/>
      <c r="AJ1037" s="13">
        <f t="shared" si="139"/>
        <v>1.1880000000000002</v>
      </c>
      <c r="AK1037" s="9"/>
      <c r="AL1037" s="13"/>
      <c r="AM1037" s="9"/>
      <c r="AN1037" s="9"/>
      <c r="AO1037" s="9"/>
      <c r="AP1037" s="14"/>
    </row>
    <row r="1038" spans="1:42" s="45" customFormat="1" ht="22" customHeight="1">
      <c r="A1038" s="14" t="s">
        <v>21</v>
      </c>
      <c r="B1038" s="8">
        <v>2024</v>
      </c>
      <c r="C1038" s="8" t="s">
        <v>8</v>
      </c>
      <c r="D1038" s="9" t="s">
        <v>185</v>
      </c>
      <c r="E1038" s="9" t="s">
        <v>10</v>
      </c>
      <c r="F1038" s="9" t="s">
        <v>186</v>
      </c>
      <c r="G1038" s="8"/>
      <c r="H1038" s="8"/>
      <c r="I1038" s="9" t="s">
        <v>28</v>
      </c>
      <c r="J1038" s="9" t="s">
        <v>11</v>
      </c>
      <c r="K1038" s="9" t="s">
        <v>82</v>
      </c>
      <c r="L1038" s="9" t="s">
        <v>166</v>
      </c>
      <c r="M1038" s="9" t="s">
        <v>28</v>
      </c>
      <c r="N1038" s="9" t="s">
        <v>266</v>
      </c>
      <c r="O1038" s="9" t="s">
        <v>339</v>
      </c>
      <c r="P1038" s="9" t="s">
        <v>375</v>
      </c>
      <c r="Q1038" s="11"/>
      <c r="R1038" s="40">
        <v>111</v>
      </c>
      <c r="S1038" s="11">
        <f t="shared" si="135"/>
        <v>111</v>
      </c>
      <c r="T1038" s="9"/>
      <c r="U1038" s="14" t="s">
        <v>77</v>
      </c>
      <c r="V1038" s="9"/>
      <c r="W1038" s="12">
        <v>30</v>
      </c>
      <c r="X1038" s="13"/>
      <c r="Y1038" s="13"/>
      <c r="Z1038" s="13"/>
      <c r="AA1038" s="13"/>
      <c r="AB1038" s="13"/>
      <c r="AC1038" s="13">
        <f t="shared" si="137"/>
        <v>6.6600000000000006E-2</v>
      </c>
      <c r="AD1038" s="13"/>
      <c r="AE1038" s="13"/>
      <c r="AF1038" s="13">
        <f t="shared" si="138"/>
        <v>0.66600000000000004</v>
      </c>
      <c r="AG1038" s="13"/>
      <c r="AH1038" s="13"/>
      <c r="AI1038" s="13"/>
      <c r="AJ1038" s="13">
        <f t="shared" si="139"/>
        <v>0.73260000000000003</v>
      </c>
      <c r="AK1038" s="9"/>
      <c r="AL1038" s="13"/>
      <c r="AM1038" s="9"/>
      <c r="AN1038" s="9"/>
      <c r="AO1038" s="9"/>
      <c r="AP1038" s="14"/>
    </row>
    <row r="1039" spans="1:42" s="45" customFormat="1" ht="22" customHeight="1">
      <c r="A1039" s="14" t="s">
        <v>21</v>
      </c>
      <c r="B1039" s="8">
        <v>2024</v>
      </c>
      <c r="C1039" s="8" t="s">
        <v>8</v>
      </c>
      <c r="D1039" s="9" t="s">
        <v>185</v>
      </c>
      <c r="E1039" s="9" t="s">
        <v>10</v>
      </c>
      <c r="F1039" s="9" t="s">
        <v>186</v>
      </c>
      <c r="G1039" s="8"/>
      <c r="H1039" s="8"/>
      <c r="I1039" s="9" t="s">
        <v>28</v>
      </c>
      <c r="J1039" s="9" t="s">
        <v>11</v>
      </c>
      <c r="K1039" s="9" t="s">
        <v>82</v>
      </c>
      <c r="L1039" s="9" t="s">
        <v>166</v>
      </c>
      <c r="M1039" s="9" t="s">
        <v>28</v>
      </c>
      <c r="N1039" s="9" t="s">
        <v>266</v>
      </c>
      <c r="O1039" s="9" t="s">
        <v>339</v>
      </c>
      <c r="P1039" s="9" t="s">
        <v>339</v>
      </c>
      <c r="Q1039" s="11"/>
      <c r="R1039" s="40">
        <v>318</v>
      </c>
      <c r="S1039" s="11">
        <f t="shared" si="135"/>
        <v>318</v>
      </c>
      <c r="T1039" s="9"/>
      <c r="U1039" s="14" t="s">
        <v>77</v>
      </c>
      <c r="V1039" s="9"/>
      <c r="W1039" s="12">
        <v>30</v>
      </c>
      <c r="X1039" s="13"/>
      <c r="Y1039" s="13"/>
      <c r="Z1039" s="13"/>
      <c r="AA1039" s="13"/>
      <c r="AB1039" s="13"/>
      <c r="AC1039" s="13">
        <f t="shared" si="137"/>
        <v>0.1908</v>
      </c>
      <c r="AD1039" s="13"/>
      <c r="AE1039" s="13"/>
      <c r="AF1039" s="13">
        <f t="shared" si="138"/>
        <v>1.9079999999999999</v>
      </c>
      <c r="AG1039" s="13"/>
      <c r="AH1039" s="13"/>
      <c r="AI1039" s="13"/>
      <c r="AJ1039" s="13">
        <f t="shared" si="139"/>
        <v>2.0987999999999998</v>
      </c>
      <c r="AK1039" s="9"/>
      <c r="AL1039" s="13"/>
      <c r="AM1039" s="9"/>
      <c r="AN1039" s="9"/>
      <c r="AO1039" s="9"/>
      <c r="AP1039" s="14"/>
    </row>
    <row r="1040" spans="1:42" s="45" customFormat="1" ht="22" customHeight="1">
      <c r="A1040" s="14" t="s">
        <v>21</v>
      </c>
      <c r="B1040" s="8">
        <v>2024</v>
      </c>
      <c r="C1040" s="8" t="s">
        <v>8</v>
      </c>
      <c r="D1040" s="9" t="s">
        <v>185</v>
      </c>
      <c r="E1040" s="9" t="s">
        <v>10</v>
      </c>
      <c r="F1040" s="9" t="s">
        <v>186</v>
      </c>
      <c r="G1040" s="8"/>
      <c r="H1040" s="8"/>
      <c r="I1040" s="9" t="s">
        <v>28</v>
      </c>
      <c r="J1040" s="9" t="s">
        <v>11</v>
      </c>
      <c r="K1040" s="9" t="s">
        <v>82</v>
      </c>
      <c r="L1040" s="9" t="s">
        <v>166</v>
      </c>
      <c r="M1040" s="9" t="s">
        <v>28</v>
      </c>
      <c r="N1040" s="9" t="s">
        <v>266</v>
      </c>
      <c r="O1040" s="9" t="s">
        <v>339</v>
      </c>
      <c r="P1040" s="9" t="s">
        <v>376</v>
      </c>
      <c r="Q1040" s="11"/>
      <c r="R1040" s="40">
        <v>54</v>
      </c>
      <c r="S1040" s="11">
        <f t="shared" si="135"/>
        <v>54</v>
      </c>
      <c r="T1040" s="9"/>
      <c r="U1040" s="14" t="s">
        <v>77</v>
      </c>
      <c r="V1040" s="9"/>
      <c r="W1040" s="12">
        <v>30</v>
      </c>
      <c r="X1040" s="13"/>
      <c r="Y1040" s="13"/>
      <c r="Z1040" s="13"/>
      <c r="AA1040" s="13"/>
      <c r="AB1040" s="13"/>
      <c r="AC1040" s="13">
        <f t="shared" si="137"/>
        <v>3.2399999999999998E-2</v>
      </c>
      <c r="AD1040" s="13"/>
      <c r="AE1040" s="13"/>
      <c r="AF1040" s="13">
        <f t="shared" si="138"/>
        <v>0.32400000000000001</v>
      </c>
      <c r="AG1040" s="13"/>
      <c r="AH1040" s="13"/>
      <c r="AI1040" s="13"/>
      <c r="AJ1040" s="13">
        <f t="shared" si="139"/>
        <v>0.35639999999999999</v>
      </c>
      <c r="AK1040" s="9"/>
      <c r="AL1040" s="13"/>
      <c r="AM1040" s="9"/>
      <c r="AN1040" s="9"/>
      <c r="AO1040" s="9"/>
      <c r="AP1040" s="14"/>
    </row>
    <row r="1041" spans="1:42" s="45" customFormat="1" ht="22" customHeight="1">
      <c r="A1041" s="14" t="s">
        <v>21</v>
      </c>
      <c r="B1041" s="8">
        <v>2024</v>
      </c>
      <c r="C1041" s="8" t="s">
        <v>8</v>
      </c>
      <c r="D1041" s="9" t="s">
        <v>185</v>
      </c>
      <c r="E1041" s="9" t="s">
        <v>10</v>
      </c>
      <c r="F1041" s="9" t="s">
        <v>186</v>
      </c>
      <c r="G1041" s="8"/>
      <c r="H1041" s="8"/>
      <c r="I1041" s="9" t="s">
        <v>78</v>
      </c>
      <c r="J1041" s="9" t="s">
        <v>11</v>
      </c>
      <c r="K1041" s="9" t="s">
        <v>82</v>
      </c>
      <c r="L1041" s="9" t="s">
        <v>171</v>
      </c>
      <c r="M1041" s="9" t="s">
        <v>78</v>
      </c>
      <c r="N1041" s="9" t="s">
        <v>377</v>
      </c>
      <c r="O1041" s="9" t="s">
        <v>217</v>
      </c>
      <c r="P1041" s="9" t="s">
        <v>378</v>
      </c>
      <c r="Q1041" s="11"/>
      <c r="R1041" s="11"/>
      <c r="S1041" s="11">
        <f t="shared" ref="S1041:S1073" si="140">Q1041+R1041</f>
        <v>0</v>
      </c>
      <c r="T1041" s="9"/>
      <c r="U1041" s="14" t="s">
        <v>77</v>
      </c>
      <c r="V1041" s="9"/>
      <c r="W1041" s="12"/>
      <c r="X1041" s="13"/>
      <c r="Y1041" s="13"/>
      <c r="Z1041" s="13"/>
      <c r="AA1041" s="13"/>
      <c r="AB1041" s="13"/>
      <c r="AC1041" s="13">
        <f t="shared" si="137"/>
        <v>0</v>
      </c>
      <c r="AD1041" s="13"/>
      <c r="AE1041" s="13"/>
      <c r="AF1041" s="13">
        <f t="shared" si="138"/>
        <v>0</v>
      </c>
      <c r="AG1041" s="13"/>
      <c r="AH1041" s="13"/>
      <c r="AI1041" s="13"/>
      <c r="AJ1041" s="13">
        <f t="shared" si="139"/>
        <v>0</v>
      </c>
      <c r="AK1041" s="9"/>
      <c r="AL1041" s="13"/>
      <c r="AM1041" s="9"/>
      <c r="AN1041" s="9"/>
      <c r="AO1041" s="9"/>
      <c r="AP1041" s="14"/>
    </row>
    <row r="1042" spans="1:42" s="45" customFormat="1" ht="22" customHeight="1">
      <c r="A1042" s="14" t="s">
        <v>21</v>
      </c>
      <c r="B1042" s="8">
        <v>2024</v>
      </c>
      <c r="C1042" s="8" t="s">
        <v>8</v>
      </c>
      <c r="D1042" s="9" t="s">
        <v>185</v>
      </c>
      <c r="E1042" s="9" t="s">
        <v>10</v>
      </c>
      <c r="F1042" s="9" t="s">
        <v>186</v>
      </c>
      <c r="G1042" s="8"/>
      <c r="H1042" s="8"/>
      <c r="I1042" s="9" t="s">
        <v>78</v>
      </c>
      <c r="J1042" s="9" t="s">
        <v>11</v>
      </c>
      <c r="K1042" s="9" t="s">
        <v>82</v>
      </c>
      <c r="L1042" s="9" t="s">
        <v>171</v>
      </c>
      <c r="M1042" s="9" t="s">
        <v>78</v>
      </c>
      <c r="N1042" s="9" t="s">
        <v>377</v>
      </c>
      <c r="O1042" s="9" t="s">
        <v>217</v>
      </c>
      <c r="P1042" s="9" t="s">
        <v>379</v>
      </c>
      <c r="Q1042" s="11"/>
      <c r="R1042" s="11">
        <v>282</v>
      </c>
      <c r="S1042" s="11">
        <f t="shared" si="140"/>
        <v>282</v>
      </c>
      <c r="T1042" s="9"/>
      <c r="U1042" s="14" t="s">
        <v>77</v>
      </c>
      <c r="V1042" s="9"/>
      <c r="W1042" s="12">
        <v>30</v>
      </c>
      <c r="X1042" s="13"/>
      <c r="Y1042" s="13"/>
      <c r="Z1042" s="13"/>
      <c r="AA1042" s="13"/>
      <c r="AB1042" s="13"/>
      <c r="AC1042" s="13">
        <f t="shared" si="137"/>
        <v>0.16919999999999999</v>
      </c>
      <c r="AD1042" s="13"/>
      <c r="AE1042" s="13"/>
      <c r="AF1042" s="13">
        <f t="shared" si="138"/>
        <v>1.6919999999999999</v>
      </c>
      <c r="AG1042" s="13"/>
      <c r="AH1042" s="13"/>
      <c r="AI1042" s="13"/>
      <c r="AJ1042" s="13">
        <f t="shared" si="139"/>
        <v>1.8612</v>
      </c>
      <c r="AK1042" s="9"/>
      <c r="AL1042" s="13"/>
      <c r="AM1042" s="9"/>
      <c r="AN1042" s="9"/>
      <c r="AO1042" s="9"/>
      <c r="AP1042" s="14"/>
    </row>
    <row r="1043" spans="1:42" s="45" customFormat="1" ht="22" customHeight="1">
      <c r="A1043" s="14" t="s">
        <v>21</v>
      </c>
      <c r="B1043" s="8">
        <v>2024</v>
      </c>
      <c r="C1043" s="8" t="s">
        <v>8</v>
      </c>
      <c r="D1043" s="9" t="s">
        <v>185</v>
      </c>
      <c r="E1043" s="9" t="s">
        <v>10</v>
      </c>
      <c r="F1043" s="9" t="s">
        <v>186</v>
      </c>
      <c r="G1043" s="8"/>
      <c r="H1043" s="8"/>
      <c r="I1043" s="9" t="s">
        <v>78</v>
      </c>
      <c r="J1043" s="9" t="s">
        <v>11</v>
      </c>
      <c r="K1043" s="9" t="s">
        <v>82</v>
      </c>
      <c r="L1043" s="9" t="s">
        <v>171</v>
      </c>
      <c r="M1043" s="9" t="s">
        <v>78</v>
      </c>
      <c r="N1043" s="9" t="s">
        <v>377</v>
      </c>
      <c r="O1043" s="9" t="s">
        <v>217</v>
      </c>
      <c r="P1043" s="9" t="s">
        <v>217</v>
      </c>
      <c r="Q1043" s="11"/>
      <c r="R1043" s="11">
        <v>425</v>
      </c>
      <c r="S1043" s="11">
        <f t="shared" si="140"/>
        <v>425</v>
      </c>
      <c r="T1043" s="9"/>
      <c r="U1043" s="14" t="s">
        <v>77</v>
      </c>
      <c r="V1043" s="9"/>
      <c r="W1043" s="12">
        <v>30</v>
      </c>
      <c r="X1043" s="13"/>
      <c r="Y1043" s="13"/>
      <c r="Z1043" s="13"/>
      <c r="AA1043" s="13"/>
      <c r="AB1043" s="13"/>
      <c r="AC1043" s="13">
        <f t="shared" si="137"/>
        <v>0.255</v>
      </c>
      <c r="AD1043" s="13"/>
      <c r="AE1043" s="13"/>
      <c r="AF1043" s="13">
        <f t="shared" si="138"/>
        <v>2.5499999999999998</v>
      </c>
      <c r="AG1043" s="13"/>
      <c r="AH1043" s="13"/>
      <c r="AI1043" s="13"/>
      <c r="AJ1043" s="13">
        <f t="shared" si="139"/>
        <v>2.8049999999999997</v>
      </c>
      <c r="AK1043" s="9"/>
      <c r="AL1043" s="13"/>
      <c r="AM1043" s="9"/>
      <c r="AN1043" s="9"/>
      <c r="AO1043" s="9"/>
      <c r="AP1043" s="14"/>
    </row>
    <row r="1044" spans="1:42" s="45" customFormat="1" ht="22" customHeight="1">
      <c r="A1044" s="14" t="s">
        <v>21</v>
      </c>
      <c r="B1044" s="8">
        <v>2024</v>
      </c>
      <c r="C1044" s="8" t="s">
        <v>8</v>
      </c>
      <c r="D1044" s="9" t="s">
        <v>185</v>
      </c>
      <c r="E1044" s="9" t="s">
        <v>10</v>
      </c>
      <c r="F1044" s="9" t="s">
        <v>186</v>
      </c>
      <c r="G1044" s="8"/>
      <c r="H1044" s="8"/>
      <c r="I1044" s="9" t="s">
        <v>78</v>
      </c>
      <c r="J1044" s="9" t="s">
        <v>11</v>
      </c>
      <c r="K1044" s="9" t="s">
        <v>82</v>
      </c>
      <c r="L1044" s="9" t="s">
        <v>171</v>
      </c>
      <c r="M1044" s="9" t="s">
        <v>78</v>
      </c>
      <c r="N1044" s="9" t="s">
        <v>377</v>
      </c>
      <c r="O1044" s="9" t="s">
        <v>217</v>
      </c>
      <c r="P1044" s="9" t="s">
        <v>380</v>
      </c>
      <c r="Q1044" s="11"/>
      <c r="R1044" s="11"/>
      <c r="S1044" s="11">
        <f t="shared" si="140"/>
        <v>0</v>
      </c>
      <c r="T1044" s="9"/>
      <c r="U1044" s="14" t="s">
        <v>77</v>
      </c>
      <c r="V1044" s="9"/>
      <c r="W1044" s="12"/>
      <c r="X1044" s="13"/>
      <c r="Y1044" s="13"/>
      <c r="Z1044" s="13"/>
      <c r="AA1044" s="13"/>
      <c r="AB1044" s="13"/>
      <c r="AC1044" s="13">
        <f t="shared" si="137"/>
        <v>0</v>
      </c>
      <c r="AD1044" s="13"/>
      <c r="AE1044" s="13"/>
      <c r="AF1044" s="13">
        <f t="shared" si="138"/>
        <v>0</v>
      </c>
      <c r="AG1044" s="13"/>
      <c r="AH1044" s="13"/>
      <c r="AI1044" s="13"/>
      <c r="AJ1044" s="13">
        <f t="shared" si="139"/>
        <v>0</v>
      </c>
      <c r="AK1044" s="9"/>
      <c r="AL1044" s="13"/>
      <c r="AM1044" s="9"/>
      <c r="AN1044" s="9"/>
      <c r="AO1044" s="9"/>
      <c r="AP1044" s="14"/>
    </row>
    <row r="1045" spans="1:42" s="45" customFormat="1" ht="22" customHeight="1">
      <c r="A1045" s="14" t="s">
        <v>21</v>
      </c>
      <c r="B1045" s="8">
        <v>2024</v>
      </c>
      <c r="C1045" s="8" t="s">
        <v>8</v>
      </c>
      <c r="D1045" s="9" t="s">
        <v>185</v>
      </c>
      <c r="E1045" s="9" t="s">
        <v>10</v>
      </c>
      <c r="F1045" s="9" t="s">
        <v>186</v>
      </c>
      <c r="G1045" s="8"/>
      <c r="H1045" s="8"/>
      <c r="I1045" s="9" t="s">
        <v>78</v>
      </c>
      <c r="J1045" s="9" t="s">
        <v>11</v>
      </c>
      <c r="K1045" s="9" t="s">
        <v>82</v>
      </c>
      <c r="L1045" s="9" t="s">
        <v>171</v>
      </c>
      <c r="M1045" s="9" t="s">
        <v>78</v>
      </c>
      <c r="N1045" s="9" t="s">
        <v>377</v>
      </c>
      <c r="O1045" s="9" t="s">
        <v>217</v>
      </c>
      <c r="P1045" s="9" t="s">
        <v>381</v>
      </c>
      <c r="Q1045" s="11"/>
      <c r="R1045" s="11"/>
      <c r="S1045" s="11">
        <f t="shared" si="140"/>
        <v>0</v>
      </c>
      <c r="T1045" s="9"/>
      <c r="U1045" s="14" t="s">
        <v>77</v>
      </c>
      <c r="V1045" s="9"/>
      <c r="W1045" s="12"/>
      <c r="X1045" s="13"/>
      <c r="Y1045" s="13"/>
      <c r="Z1045" s="13"/>
      <c r="AA1045" s="13"/>
      <c r="AB1045" s="13"/>
      <c r="AC1045" s="13">
        <f t="shared" si="137"/>
        <v>0</v>
      </c>
      <c r="AD1045" s="13"/>
      <c r="AE1045" s="13"/>
      <c r="AF1045" s="13">
        <f t="shared" si="138"/>
        <v>0</v>
      </c>
      <c r="AG1045" s="13"/>
      <c r="AH1045" s="13"/>
      <c r="AI1045" s="13"/>
      <c r="AJ1045" s="13">
        <f t="shared" si="139"/>
        <v>0</v>
      </c>
      <c r="AK1045" s="9"/>
      <c r="AL1045" s="13"/>
      <c r="AM1045" s="9"/>
      <c r="AN1045" s="9"/>
      <c r="AO1045" s="9"/>
      <c r="AP1045" s="14"/>
    </row>
    <row r="1046" spans="1:42" s="45" customFormat="1" ht="22" customHeight="1">
      <c r="A1046" s="14" t="s">
        <v>21</v>
      </c>
      <c r="B1046" s="8">
        <v>2024</v>
      </c>
      <c r="C1046" s="8" t="s">
        <v>8</v>
      </c>
      <c r="D1046" s="9" t="s">
        <v>185</v>
      </c>
      <c r="E1046" s="9" t="s">
        <v>10</v>
      </c>
      <c r="F1046" s="9" t="s">
        <v>186</v>
      </c>
      <c r="G1046" s="8"/>
      <c r="H1046" s="8"/>
      <c r="I1046" s="9" t="s">
        <v>78</v>
      </c>
      <c r="J1046" s="9" t="s">
        <v>11</v>
      </c>
      <c r="K1046" s="9" t="s">
        <v>82</v>
      </c>
      <c r="L1046" s="9" t="s">
        <v>171</v>
      </c>
      <c r="M1046" s="9" t="s">
        <v>78</v>
      </c>
      <c r="N1046" s="9" t="s">
        <v>377</v>
      </c>
      <c r="O1046" s="9" t="s">
        <v>192</v>
      </c>
      <c r="P1046" s="9" t="s">
        <v>382</v>
      </c>
      <c r="Q1046" s="11"/>
      <c r="R1046" s="11">
        <v>420</v>
      </c>
      <c r="S1046" s="11">
        <f t="shared" si="140"/>
        <v>420</v>
      </c>
      <c r="T1046" s="9"/>
      <c r="U1046" s="14" t="s">
        <v>77</v>
      </c>
      <c r="V1046" s="9"/>
      <c r="W1046" s="12">
        <v>30</v>
      </c>
      <c r="X1046" s="13"/>
      <c r="Y1046" s="13"/>
      <c r="Z1046" s="13"/>
      <c r="AA1046" s="13"/>
      <c r="AB1046" s="13"/>
      <c r="AC1046" s="13">
        <f t="shared" si="137"/>
        <v>0.252</v>
      </c>
      <c r="AD1046" s="13"/>
      <c r="AE1046" s="13"/>
      <c r="AF1046" s="13">
        <f t="shared" si="138"/>
        <v>2.52</v>
      </c>
      <c r="AG1046" s="13"/>
      <c r="AH1046" s="13"/>
      <c r="AI1046" s="13"/>
      <c r="AJ1046" s="13">
        <f t="shared" si="139"/>
        <v>2.7720000000000002</v>
      </c>
      <c r="AK1046" s="9"/>
      <c r="AL1046" s="13"/>
      <c r="AM1046" s="9"/>
      <c r="AN1046" s="9"/>
      <c r="AO1046" s="9"/>
      <c r="AP1046" s="14"/>
    </row>
    <row r="1047" spans="1:42" s="45" customFormat="1" ht="22" customHeight="1">
      <c r="A1047" s="14" t="s">
        <v>21</v>
      </c>
      <c r="B1047" s="8">
        <v>2024</v>
      </c>
      <c r="C1047" s="8" t="s">
        <v>8</v>
      </c>
      <c r="D1047" s="9" t="s">
        <v>185</v>
      </c>
      <c r="E1047" s="9" t="s">
        <v>10</v>
      </c>
      <c r="F1047" s="9" t="s">
        <v>186</v>
      </c>
      <c r="G1047" s="8"/>
      <c r="H1047" s="8"/>
      <c r="I1047" s="9" t="s">
        <v>78</v>
      </c>
      <c r="J1047" s="9" t="s">
        <v>11</v>
      </c>
      <c r="K1047" s="9" t="s">
        <v>82</v>
      </c>
      <c r="L1047" s="9" t="s">
        <v>171</v>
      </c>
      <c r="M1047" s="9" t="s">
        <v>78</v>
      </c>
      <c r="N1047" s="9" t="s">
        <v>377</v>
      </c>
      <c r="O1047" s="9" t="s">
        <v>192</v>
      </c>
      <c r="P1047" s="9" t="s">
        <v>192</v>
      </c>
      <c r="Q1047" s="11"/>
      <c r="R1047" s="11">
        <v>965</v>
      </c>
      <c r="S1047" s="11">
        <f t="shared" si="140"/>
        <v>965</v>
      </c>
      <c r="T1047" s="9"/>
      <c r="U1047" s="14" t="s">
        <v>77</v>
      </c>
      <c r="V1047" s="9"/>
      <c r="W1047" s="12">
        <v>30</v>
      </c>
      <c r="X1047" s="13"/>
      <c r="Y1047" s="13"/>
      <c r="Z1047" s="13"/>
      <c r="AA1047" s="13"/>
      <c r="AB1047" s="13"/>
      <c r="AC1047" s="13">
        <f t="shared" si="137"/>
        <v>0.57899999999999996</v>
      </c>
      <c r="AD1047" s="13"/>
      <c r="AE1047" s="13"/>
      <c r="AF1047" s="13">
        <f t="shared" si="138"/>
        <v>5.79</v>
      </c>
      <c r="AG1047" s="13"/>
      <c r="AH1047" s="13"/>
      <c r="AI1047" s="13"/>
      <c r="AJ1047" s="13">
        <f t="shared" si="139"/>
        <v>6.3689999999999998</v>
      </c>
      <c r="AK1047" s="9"/>
      <c r="AL1047" s="13"/>
      <c r="AM1047" s="9"/>
      <c r="AN1047" s="9"/>
      <c r="AO1047" s="9"/>
      <c r="AP1047" s="14"/>
    </row>
    <row r="1048" spans="1:42" s="45" customFormat="1" ht="22" customHeight="1">
      <c r="A1048" s="14" t="s">
        <v>21</v>
      </c>
      <c r="B1048" s="8">
        <v>2024</v>
      </c>
      <c r="C1048" s="8" t="s">
        <v>8</v>
      </c>
      <c r="D1048" s="9" t="s">
        <v>185</v>
      </c>
      <c r="E1048" s="9" t="s">
        <v>10</v>
      </c>
      <c r="F1048" s="9" t="s">
        <v>186</v>
      </c>
      <c r="G1048" s="8"/>
      <c r="H1048" s="8"/>
      <c r="I1048" s="9" t="s">
        <v>78</v>
      </c>
      <c r="J1048" s="9" t="s">
        <v>11</v>
      </c>
      <c r="K1048" s="9" t="s">
        <v>82</v>
      </c>
      <c r="L1048" s="9" t="s">
        <v>171</v>
      </c>
      <c r="M1048" s="9" t="s">
        <v>78</v>
      </c>
      <c r="N1048" s="9" t="s">
        <v>377</v>
      </c>
      <c r="O1048" s="9" t="s">
        <v>192</v>
      </c>
      <c r="P1048" s="9" t="s">
        <v>383</v>
      </c>
      <c r="Q1048" s="11"/>
      <c r="R1048" s="11"/>
      <c r="S1048" s="11">
        <f t="shared" si="140"/>
        <v>0</v>
      </c>
      <c r="T1048" s="9"/>
      <c r="U1048" s="14" t="s">
        <v>77</v>
      </c>
      <c r="V1048" s="9"/>
      <c r="W1048" s="12"/>
      <c r="X1048" s="13"/>
      <c r="Y1048" s="13"/>
      <c r="Z1048" s="13"/>
      <c r="AA1048" s="13"/>
      <c r="AB1048" s="13"/>
      <c r="AC1048" s="13">
        <f t="shared" si="137"/>
        <v>0</v>
      </c>
      <c r="AD1048" s="13"/>
      <c r="AE1048" s="13"/>
      <c r="AF1048" s="13">
        <f t="shared" si="138"/>
        <v>0</v>
      </c>
      <c r="AG1048" s="13"/>
      <c r="AH1048" s="13"/>
      <c r="AI1048" s="13"/>
      <c r="AJ1048" s="13">
        <f t="shared" si="139"/>
        <v>0</v>
      </c>
      <c r="AK1048" s="9"/>
      <c r="AL1048" s="13"/>
      <c r="AM1048" s="9"/>
      <c r="AN1048" s="9"/>
      <c r="AO1048" s="9"/>
      <c r="AP1048" s="14"/>
    </row>
    <row r="1049" spans="1:42" s="45" customFormat="1" ht="22" customHeight="1">
      <c r="A1049" s="14" t="s">
        <v>21</v>
      </c>
      <c r="B1049" s="8">
        <v>2024</v>
      </c>
      <c r="C1049" s="8" t="s">
        <v>8</v>
      </c>
      <c r="D1049" s="9" t="s">
        <v>185</v>
      </c>
      <c r="E1049" s="9" t="s">
        <v>10</v>
      </c>
      <c r="F1049" s="9" t="s">
        <v>186</v>
      </c>
      <c r="G1049" s="8"/>
      <c r="H1049" s="8"/>
      <c r="I1049" s="9" t="s">
        <v>78</v>
      </c>
      <c r="J1049" s="9" t="s">
        <v>11</v>
      </c>
      <c r="K1049" s="9" t="s">
        <v>82</v>
      </c>
      <c r="L1049" s="9" t="s">
        <v>171</v>
      </c>
      <c r="M1049" s="9" t="s">
        <v>78</v>
      </c>
      <c r="N1049" s="9" t="s">
        <v>377</v>
      </c>
      <c r="O1049" s="9" t="s">
        <v>192</v>
      </c>
      <c r="P1049" s="9" t="s">
        <v>384</v>
      </c>
      <c r="Q1049" s="11"/>
      <c r="R1049" s="11"/>
      <c r="S1049" s="11">
        <f t="shared" si="140"/>
        <v>0</v>
      </c>
      <c r="T1049" s="9"/>
      <c r="U1049" s="14" t="s">
        <v>77</v>
      </c>
      <c r="V1049" s="9"/>
      <c r="W1049" s="12"/>
      <c r="X1049" s="13"/>
      <c r="Y1049" s="13"/>
      <c r="Z1049" s="13"/>
      <c r="AA1049" s="13"/>
      <c r="AB1049" s="13"/>
      <c r="AC1049" s="13">
        <f t="shared" si="137"/>
        <v>0</v>
      </c>
      <c r="AD1049" s="13"/>
      <c r="AE1049" s="13"/>
      <c r="AF1049" s="13">
        <f t="shared" si="138"/>
        <v>0</v>
      </c>
      <c r="AG1049" s="13"/>
      <c r="AH1049" s="13"/>
      <c r="AI1049" s="13"/>
      <c r="AJ1049" s="13">
        <f t="shared" si="139"/>
        <v>0</v>
      </c>
      <c r="AK1049" s="9"/>
      <c r="AL1049" s="13"/>
      <c r="AM1049" s="9"/>
      <c r="AN1049" s="9"/>
      <c r="AO1049" s="9"/>
      <c r="AP1049" s="14"/>
    </row>
    <row r="1050" spans="1:42" s="45" customFormat="1" ht="22" customHeight="1">
      <c r="A1050" s="14" t="s">
        <v>21</v>
      </c>
      <c r="B1050" s="8">
        <v>2024</v>
      </c>
      <c r="C1050" s="8" t="s">
        <v>8</v>
      </c>
      <c r="D1050" s="9" t="s">
        <v>185</v>
      </c>
      <c r="E1050" s="9" t="s">
        <v>10</v>
      </c>
      <c r="F1050" s="9" t="s">
        <v>186</v>
      </c>
      <c r="G1050" s="8"/>
      <c r="H1050" s="8"/>
      <c r="I1050" s="9" t="s">
        <v>78</v>
      </c>
      <c r="J1050" s="9" t="s">
        <v>11</v>
      </c>
      <c r="K1050" s="9" t="s">
        <v>82</v>
      </c>
      <c r="L1050" s="9" t="s">
        <v>171</v>
      </c>
      <c r="M1050" s="9" t="s">
        <v>78</v>
      </c>
      <c r="N1050" s="9" t="s">
        <v>377</v>
      </c>
      <c r="O1050" s="9" t="s">
        <v>192</v>
      </c>
      <c r="P1050" s="9" t="s">
        <v>385</v>
      </c>
      <c r="Q1050" s="11"/>
      <c r="R1050" s="11"/>
      <c r="S1050" s="11">
        <f t="shared" si="140"/>
        <v>0</v>
      </c>
      <c r="T1050" s="9"/>
      <c r="U1050" s="14" t="s">
        <v>77</v>
      </c>
      <c r="V1050" s="9"/>
      <c r="W1050" s="12"/>
      <c r="X1050" s="13"/>
      <c r="Y1050" s="13"/>
      <c r="Z1050" s="13"/>
      <c r="AA1050" s="13"/>
      <c r="AB1050" s="13"/>
      <c r="AC1050" s="13">
        <f t="shared" si="137"/>
        <v>0</v>
      </c>
      <c r="AD1050" s="13"/>
      <c r="AE1050" s="13"/>
      <c r="AF1050" s="13">
        <f t="shared" si="138"/>
        <v>0</v>
      </c>
      <c r="AG1050" s="13"/>
      <c r="AH1050" s="13"/>
      <c r="AI1050" s="13"/>
      <c r="AJ1050" s="13">
        <f t="shared" si="139"/>
        <v>0</v>
      </c>
      <c r="AK1050" s="9"/>
      <c r="AL1050" s="13"/>
      <c r="AM1050" s="9"/>
      <c r="AN1050" s="9"/>
      <c r="AO1050" s="9"/>
      <c r="AP1050" s="14"/>
    </row>
    <row r="1051" spans="1:42" s="45" customFormat="1" ht="22" customHeight="1">
      <c r="A1051" s="14" t="s">
        <v>21</v>
      </c>
      <c r="B1051" s="8">
        <v>2024</v>
      </c>
      <c r="C1051" s="8" t="s">
        <v>8</v>
      </c>
      <c r="D1051" s="9" t="s">
        <v>185</v>
      </c>
      <c r="E1051" s="9" t="s">
        <v>10</v>
      </c>
      <c r="F1051" s="9" t="s">
        <v>186</v>
      </c>
      <c r="G1051" s="8"/>
      <c r="H1051" s="8"/>
      <c r="I1051" s="9" t="s">
        <v>78</v>
      </c>
      <c r="J1051" s="9" t="s">
        <v>11</v>
      </c>
      <c r="K1051" s="9" t="s">
        <v>82</v>
      </c>
      <c r="L1051" s="9" t="s">
        <v>171</v>
      </c>
      <c r="M1051" s="9" t="s">
        <v>78</v>
      </c>
      <c r="N1051" s="9" t="s">
        <v>377</v>
      </c>
      <c r="O1051" s="9" t="s">
        <v>192</v>
      </c>
      <c r="P1051" s="9" t="s">
        <v>386</v>
      </c>
      <c r="Q1051" s="11"/>
      <c r="R1051" s="11"/>
      <c r="S1051" s="11">
        <f t="shared" si="140"/>
        <v>0</v>
      </c>
      <c r="T1051" s="9"/>
      <c r="U1051" s="14" t="s">
        <v>77</v>
      </c>
      <c r="V1051" s="9"/>
      <c r="W1051" s="12"/>
      <c r="X1051" s="13"/>
      <c r="Y1051" s="13"/>
      <c r="Z1051" s="13"/>
      <c r="AA1051" s="13"/>
      <c r="AB1051" s="13"/>
      <c r="AC1051" s="13">
        <f t="shared" si="137"/>
        <v>0</v>
      </c>
      <c r="AD1051" s="13"/>
      <c r="AE1051" s="13"/>
      <c r="AF1051" s="13">
        <f t="shared" si="138"/>
        <v>0</v>
      </c>
      <c r="AG1051" s="13"/>
      <c r="AH1051" s="13"/>
      <c r="AI1051" s="13"/>
      <c r="AJ1051" s="13">
        <f t="shared" si="139"/>
        <v>0</v>
      </c>
      <c r="AK1051" s="9"/>
      <c r="AL1051" s="13"/>
      <c r="AM1051" s="9"/>
      <c r="AN1051" s="9"/>
      <c r="AO1051" s="9"/>
      <c r="AP1051" s="14"/>
    </row>
    <row r="1052" spans="1:42" s="45" customFormat="1" ht="22" customHeight="1">
      <c r="A1052" s="14" t="s">
        <v>21</v>
      </c>
      <c r="B1052" s="8">
        <v>2024</v>
      </c>
      <c r="C1052" s="8" t="s">
        <v>8</v>
      </c>
      <c r="D1052" s="9" t="s">
        <v>185</v>
      </c>
      <c r="E1052" s="9" t="s">
        <v>10</v>
      </c>
      <c r="F1052" s="9" t="s">
        <v>186</v>
      </c>
      <c r="G1052" s="8"/>
      <c r="H1052" s="8"/>
      <c r="I1052" s="9" t="s">
        <v>78</v>
      </c>
      <c r="J1052" s="9" t="s">
        <v>11</v>
      </c>
      <c r="K1052" s="9" t="s">
        <v>82</v>
      </c>
      <c r="L1052" s="9" t="s">
        <v>171</v>
      </c>
      <c r="M1052" s="9" t="s">
        <v>78</v>
      </c>
      <c r="N1052" s="9" t="s">
        <v>377</v>
      </c>
      <c r="O1052" s="9" t="s">
        <v>192</v>
      </c>
      <c r="P1052" s="9" t="s">
        <v>387</v>
      </c>
      <c r="Q1052" s="11"/>
      <c r="R1052" s="11"/>
      <c r="S1052" s="11">
        <f t="shared" si="140"/>
        <v>0</v>
      </c>
      <c r="T1052" s="9"/>
      <c r="U1052" s="14" t="s">
        <v>77</v>
      </c>
      <c r="V1052" s="9"/>
      <c r="W1052" s="12"/>
      <c r="X1052" s="13"/>
      <c r="Y1052" s="13"/>
      <c r="Z1052" s="13"/>
      <c r="AA1052" s="13"/>
      <c r="AB1052" s="13"/>
      <c r="AC1052" s="13">
        <f t="shared" si="137"/>
        <v>0</v>
      </c>
      <c r="AD1052" s="13"/>
      <c r="AE1052" s="13"/>
      <c r="AF1052" s="13">
        <f t="shared" si="138"/>
        <v>0</v>
      </c>
      <c r="AG1052" s="13"/>
      <c r="AH1052" s="13"/>
      <c r="AI1052" s="13"/>
      <c r="AJ1052" s="13">
        <f t="shared" si="139"/>
        <v>0</v>
      </c>
      <c r="AK1052" s="9"/>
      <c r="AL1052" s="13"/>
      <c r="AM1052" s="9"/>
      <c r="AN1052" s="9"/>
      <c r="AO1052" s="9"/>
      <c r="AP1052" s="14"/>
    </row>
    <row r="1053" spans="1:42" s="45" customFormat="1" ht="22" customHeight="1">
      <c r="A1053" s="14" t="s">
        <v>21</v>
      </c>
      <c r="B1053" s="8">
        <v>2024</v>
      </c>
      <c r="C1053" s="8" t="s">
        <v>8</v>
      </c>
      <c r="D1053" s="9" t="s">
        <v>185</v>
      </c>
      <c r="E1053" s="9" t="s">
        <v>10</v>
      </c>
      <c r="F1053" s="9" t="s">
        <v>186</v>
      </c>
      <c r="G1053" s="8"/>
      <c r="H1053" s="8"/>
      <c r="I1053" s="9" t="s">
        <v>78</v>
      </c>
      <c r="J1053" s="9" t="s">
        <v>11</v>
      </c>
      <c r="K1053" s="9" t="s">
        <v>82</v>
      </c>
      <c r="L1053" s="9" t="s">
        <v>171</v>
      </c>
      <c r="M1053" s="9" t="s">
        <v>78</v>
      </c>
      <c r="N1053" s="9" t="s">
        <v>377</v>
      </c>
      <c r="O1053" s="9" t="s">
        <v>388</v>
      </c>
      <c r="P1053" s="9" t="s">
        <v>389</v>
      </c>
      <c r="Q1053" s="11"/>
      <c r="R1053" s="11"/>
      <c r="S1053" s="11">
        <f t="shared" si="140"/>
        <v>0</v>
      </c>
      <c r="T1053" s="9"/>
      <c r="U1053" s="14" t="s">
        <v>77</v>
      </c>
      <c r="V1053" s="9"/>
      <c r="W1053" s="12"/>
      <c r="X1053" s="13"/>
      <c r="Y1053" s="13"/>
      <c r="Z1053" s="13"/>
      <c r="AA1053" s="13"/>
      <c r="AB1053" s="13"/>
      <c r="AC1053" s="13">
        <f t="shared" si="137"/>
        <v>0</v>
      </c>
      <c r="AD1053" s="13"/>
      <c r="AE1053" s="13"/>
      <c r="AF1053" s="13">
        <f t="shared" si="138"/>
        <v>0</v>
      </c>
      <c r="AG1053" s="13"/>
      <c r="AH1053" s="13"/>
      <c r="AI1053" s="13"/>
      <c r="AJ1053" s="13">
        <f t="shared" si="139"/>
        <v>0</v>
      </c>
      <c r="AK1053" s="9"/>
      <c r="AL1053" s="13"/>
      <c r="AM1053" s="9"/>
      <c r="AN1053" s="9"/>
      <c r="AO1053" s="9"/>
      <c r="AP1053" s="14"/>
    </row>
    <row r="1054" spans="1:42" s="45" customFormat="1" ht="22" customHeight="1">
      <c r="A1054" s="14" t="s">
        <v>21</v>
      </c>
      <c r="B1054" s="8">
        <v>2024</v>
      </c>
      <c r="C1054" s="8" t="s">
        <v>8</v>
      </c>
      <c r="D1054" s="9" t="s">
        <v>185</v>
      </c>
      <c r="E1054" s="9" t="s">
        <v>10</v>
      </c>
      <c r="F1054" s="9" t="s">
        <v>186</v>
      </c>
      <c r="G1054" s="8"/>
      <c r="H1054" s="8"/>
      <c r="I1054" s="9" t="s">
        <v>78</v>
      </c>
      <c r="J1054" s="9" t="s">
        <v>11</v>
      </c>
      <c r="K1054" s="9" t="s">
        <v>82</v>
      </c>
      <c r="L1054" s="9" t="s">
        <v>171</v>
      </c>
      <c r="M1054" s="9" t="s">
        <v>78</v>
      </c>
      <c r="N1054" s="9" t="s">
        <v>377</v>
      </c>
      <c r="O1054" s="9" t="s">
        <v>388</v>
      </c>
      <c r="P1054" s="9" t="s">
        <v>390</v>
      </c>
      <c r="Q1054" s="11"/>
      <c r="R1054" s="11">
        <v>471</v>
      </c>
      <c r="S1054" s="11">
        <f t="shared" si="140"/>
        <v>471</v>
      </c>
      <c r="T1054" s="9"/>
      <c r="U1054" s="14" t="s">
        <v>77</v>
      </c>
      <c r="V1054" s="9"/>
      <c r="W1054" s="12">
        <v>30</v>
      </c>
      <c r="X1054" s="13"/>
      <c r="Y1054" s="13"/>
      <c r="Z1054" s="13"/>
      <c r="AA1054" s="13"/>
      <c r="AB1054" s="13"/>
      <c r="AC1054" s="13">
        <f t="shared" ref="AC1054:AC1057" si="141">+S1054*W1054*20/1000000</f>
        <v>0.28260000000000002</v>
      </c>
      <c r="AD1054" s="13"/>
      <c r="AE1054" s="13"/>
      <c r="AF1054" s="13">
        <f t="shared" ref="AF1054:AF1057" si="142">+S1054*W1054*200/1000000</f>
        <v>2.8260000000000001</v>
      </c>
      <c r="AG1054" s="13"/>
      <c r="AH1054" s="13"/>
      <c r="AI1054" s="13"/>
      <c r="AJ1054" s="13">
        <f t="shared" si="139"/>
        <v>3.1086</v>
      </c>
      <c r="AK1054" s="9"/>
      <c r="AL1054" s="13"/>
      <c r="AM1054" s="9"/>
      <c r="AN1054" s="9"/>
      <c r="AO1054" s="9"/>
      <c r="AP1054" s="14"/>
    </row>
    <row r="1055" spans="1:42" s="45" customFormat="1" ht="22" customHeight="1">
      <c r="A1055" s="14" t="s">
        <v>21</v>
      </c>
      <c r="B1055" s="8">
        <v>2024</v>
      </c>
      <c r="C1055" s="8" t="s">
        <v>8</v>
      </c>
      <c r="D1055" s="9" t="s">
        <v>185</v>
      </c>
      <c r="E1055" s="9" t="s">
        <v>10</v>
      </c>
      <c r="F1055" s="9" t="s">
        <v>186</v>
      </c>
      <c r="G1055" s="8"/>
      <c r="H1055" s="8"/>
      <c r="I1055" s="9" t="s">
        <v>78</v>
      </c>
      <c r="J1055" s="9" t="s">
        <v>11</v>
      </c>
      <c r="K1055" s="9" t="s">
        <v>82</v>
      </c>
      <c r="L1055" s="9" t="s">
        <v>171</v>
      </c>
      <c r="M1055" s="9" t="s">
        <v>78</v>
      </c>
      <c r="N1055" s="9" t="s">
        <v>377</v>
      </c>
      <c r="O1055" s="9" t="s">
        <v>388</v>
      </c>
      <c r="P1055" s="9" t="s">
        <v>388</v>
      </c>
      <c r="Q1055" s="11"/>
      <c r="R1055" s="11">
        <v>0</v>
      </c>
      <c r="S1055" s="11">
        <f t="shared" si="140"/>
        <v>0</v>
      </c>
      <c r="T1055" s="9"/>
      <c r="U1055" s="14" t="s">
        <v>77</v>
      </c>
      <c r="V1055" s="9"/>
      <c r="W1055" s="12"/>
      <c r="X1055" s="13"/>
      <c r="Y1055" s="13"/>
      <c r="Z1055" s="13"/>
      <c r="AA1055" s="13"/>
      <c r="AB1055" s="13"/>
      <c r="AC1055" s="13">
        <f t="shared" si="141"/>
        <v>0</v>
      </c>
      <c r="AD1055" s="13"/>
      <c r="AE1055" s="13"/>
      <c r="AF1055" s="13">
        <f t="shared" si="142"/>
        <v>0</v>
      </c>
      <c r="AG1055" s="13"/>
      <c r="AH1055" s="13"/>
      <c r="AI1055" s="13"/>
      <c r="AJ1055" s="13">
        <f t="shared" si="139"/>
        <v>0</v>
      </c>
      <c r="AK1055" s="9"/>
      <c r="AL1055" s="13"/>
      <c r="AM1055" s="9"/>
      <c r="AN1055" s="9"/>
      <c r="AO1055" s="9"/>
      <c r="AP1055" s="14"/>
    </row>
    <row r="1056" spans="1:42" s="45" customFormat="1" ht="22" customHeight="1">
      <c r="A1056" s="14" t="s">
        <v>21</v>
      </c>
      <c r="B1056" s="8">
        <v>2024</v>
      </c>
      <c r="C1056" s="8" t="s">
        <v>8</v>
      </c>
      <c r="D1056" s="9" t="s">
        <v>185</v>
      </c>
      <c r="E1056" s="9" t="s">
        <v>10</v>
      </c>
      <c r="F1056" s="9" t="s">
        <v>186</v>
      </c>
      <c r="G1056" s="8"/>
      <c r="H1056" s="8"/>
      <c r="I1056" s="9" t="s">
        <v>78</v>
      </c>
      <c r="J1056" s="9" t="s">
        <v>11</v>
      </c>
      <c r="K1056" s="9" t="s">
        <v>82</v>
      </c>
      <c r="L1056" s="9" t="s">
        <v>171</v>
      </c>
      <c r="M1056" s="9" t="s">
        <v>78</v>
      </c>
      <c r="N1056" s="9" t="s">
        <v>377</v>
      </c>
      <c r="O1056" s="9" t="s">
        <v>388</v>
      </c>
      <c r="P1056" s="9" t="s">
        <v>391</v>
      </c>
      <c r="Q1056" s="11"/>
      <c r="R1056" s="11"/>
      <c r="S1056" s="11">
        <f t="shared" si="140"/>
        <v>0</v>
      </c>
      <c r="T1056" s="9"/>
      <c r="U1056" s="14" t="s">
        <v>77</v>
      </c>
      <c r="V1056" s="9"/>
      <c r="W1056" s="12"/>
      <c r="X1056" s="13"/>
      <c r="Y1056" s="13"/>
      <c r="Z1056" s="13"/>
      <c r="AA1056" s="13"/>
      <c r="AB1056" s="13"/>
      <c r="AC1056" s="13">
        <f t="shared" si="141"/>
        <v>0</v>
      </c>
      <c r="AD1056" s="13"/>
      <c r="AE1056" s="13"/>
      <c r="AF1056" s="13">
        <f t="shared" si="142"/>
        <v>0</v>
      </c>
      <c r="AG1056" s="13"/>
      <c r="AH1056" s="13"/>
      <c r="AI1056" s="13"/>
      <c r="AJ1056" s="13">
        <f t="shared" si="139"/>
        <v>0</v>
      </c>
      <c r="AK1056" s="9"/>
      <c r="AL1056" s="13"/>
      <c r="AM1056" s="9"/>
      <c r="AN1056" s="9"/>
      <c r="AO1056" s="9"/>
      <c r="AP1056" s="14"/>
    </row>
    <row r="1057" spans="1:42" s="45" customFormat="1" ht="22" customHeight="1">
      <c r="A1057" s="14" t="s">
        <v>21</v>
      </c>
      <c r="B1057" s="8">
        <v>2024</v>
      </c>
      <c r="C1057" s="8" t="s">
        <v>8</v>
      </c>
      <c r="D1057" s="9" t="s">
        <v>185</v>
      </c>
      <c r="E1057" s="9" t="s">
        <v>10</v>
      </c>
      <c r="F1057" s="9" t="s">
        <v>186</v>
      </c>
      <c r="G1057" s="8"/>
      <c r="H1057" s="8"/>
      <c r="I1057" s="9" t="s">
        <v>78</v>
      </c>
      <c r="J1057" s="9" t="s">
        <v>11</v>
      </c>
      <c r="K1057" s="9" t="s">
        <v>82</v>
      </c>
      <c r="L1057" s="9" t="s">
        <v>171</v>
      </c>
      <c r="M1057" s="9" t="s">
        <v>78</v>
      </c>
      <c r="N1057" s="9" t="s">
        <v>377</v>
      </c>
      <c r="O1057" s="9" t="s">
        <v>388</v>
      </c>
      <c r="P1057" s="9" t="s">
        <v>392</v>
      </c>
      <c r="Q1057" s="11"/>
      <c r="R1057" s="11">
        <v>305</v>
      </c>
      <c r="S1057" s="11">
        <f t="shared" si="140"/>
        <v>305</v>
      </c>
      <c r="T1057" s="9"/>
      <c r="U1057" s="14" t="s">
        <v>77</v>
      </c>
      <c r="V1057" s="9"/>
      <c r="W1057" s="12">
        <v>30</v>
      </c>
      <c r="X1057" s="13"/>
      <c r="Y1057" s="13"/>
      <c r="Z1057" s="13"/>
      <c r="AA1057" s="13"/>
      <c r="AB1057" s="13"/>
      <c r="AC1057" s="13">
        <f t="shared" si="141"/>
        <v>0.183</v>
      </c>
      <c r="AD1057" s="13"/>
      <c r="AE1057" s="13"/>
      <c r="AF1057" s="13">
        <f t="shared" si="142"/>
        <v>1.83</v>
      </c>
      <c r="AG1057" s="13"/>
      <c r="AH1057" s="13"/>
      <c r="AI1057" s="13"/>
      <c r="AJ1057" s="13">
        <f t="shared" si="139"/>
        <v>2.0129999999999999</v>
      </c>
      <c r="AK1057" s="9"/>
      <c r="AL1057" s="13"/>
      <c r="AM1057" s="9"/>
      <c r="AN1057" s="9"/>
      <c r="AO1057" s="9"/>
      <c r="AP1057" s="14"/>
    </row>
    <row r="1058" spans="1:42" s="45" customFormat="1" ht="22" customHeight="1">
      <c r="A1058" s="14" t="s">
        <v>21</v>
      </c>
      <c r="B1058" s="8">
        <v>2024</v>
      </c>
      <c r="C1058" s="8" t="s">
        <v>8</v>
      </c>
      <c r="D1058" s="9" t="s">
        <v>185</v>
      </c>
      <c r="E1058" s="9" t="s">
        <v>15</v>
      </c>
      <c r="F1058" s="9" t="s">
        <v>186</v>
      </c>
      <c r="G1058" s="8"/>
      <c r="H1058" s="8"/>
      <c r="I1058" s="9" t="s">
        <v>78</v>
      </c>
      <c r="J1058" s="9" t="s">
        <v>11</v>
      </c>
      <c r="K1058" s="9" t="s">
        <v>82</v>
      </c>
      <c r="L1058" s="9" t="s">
        <v>171</v>
      </c>
      <c r="M1058" s="9" t="s">
        <v>78</v>
      </c>
      <c r="N1058" s="9" t="s">
        <v>377</v>
      </c>
      <c r="O1058" s="9" t="s">
        <v>217</v>
      </c>
      <c r="P1058" s="9" t="s">
        <v>378</v>
      </c>
      <c r="Q1058" s="11"/>
      <c r="R1058" s="11"/>
      <c r="S1058" s="11">
        <f t="shared" si="140"/>
        <v>0</v>
      </c>
      <c r="T1058" s="9"/>
      <c r="U1058" s="14" t="s">
        <v>77</v>
      </c>
      <c r="V1058" s="9"/>
      <c r="W1058" s="12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>
        <f t="shared" ref="AH1058:AH1073" si="143">+S1058*W1058*50/1000000</f>
        <v>0</v>
      </c>
      <c r="AI1058" s="13"/>
      <c r="AJ1058" s="13">
        <f t="shared" si="139"/>
        <v>0</v>
      </c>
      <c r="AK1058" s="9"/>
      <c r="AL1058" s="13"/>
      <c r="AM1058" s="9"/>
      <c r="AN1058" s="9"/>
      <c r="AO1058" s="9"/>
      <c r="AP1058" s="14"/>
    </row>
    <row r="1059" spans="1:42" s="45" customFormat="1" ht="22" customHeight="1">
      <c r="A1059" s="14" t="s">
        <v>21</v>
      </c>
      <c r="B1059" s="8">
        <v>2024</v>
      </c>
      <c r="C1059" s="8" t="s">
        <v>8</v>
      </c>
      <c r="D1059" s="9" t="s">
        <v>185</v>
      </c>
      <c r="E1059" s="9" t="s">
        <v>15</v>
      </c>
      <c r="F1059" s="9" t="s">
        <v>186</v>
      </c>
      <c r="G1059" s="8"/>
      <c r="H1059" s="8"/>
      <c r="I1059" s="9" t="s">
        <v>78</v>
      </c>
      <c r="J1059" s="9" t="s">
        <v>11</v>
      </c>
      <c r="K1059" s="9" t="s">
        <v>82</v>
      </c>
      <c r="L1059" s="9" t="s">
        <v>171</v>
      </c>
      <c r="M1059" s="9" t="s">
        <v>78</v>
      </c>
      <c r="N1059" s="9" t="s">
        <v>377</v>
      </c>
      <c r="O1059" s="9" t="s">
        <v>217</v>
      </c>
      <c r="P1059" s="9" t="s">
        <v>379</v>
      </c>
      <c r="Q1059" s="11">
        <v>280</v>
      </c>
      <c r="R1059" s="11">
        <v>217</v>
      </c>
      <c r="S1059" s="11">
        <f t="shared" si="140"/>
        <v>497</v>
      </c>
      <c r="T1059" s="9"/>
      <c r="U1059" s="14" t="s">
        <v>77</v>
      </c>
      <c r="V1059" s="9"/>
      <c r="W1059" s="12">
        <v>30</v>
      </c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>
        <f t="shared" si="143"/>
        <v>0.74550000000000005</v>
      </c>
      <c r="AI1059" s="13"/>
      <c r="AJ1059" s="13">
        <f t="shared" si="139"/>
        <v>0.74550000000000005</v>
      </c>
      <c r="AK1059" s="9"/>
      <c r="AL1059" s="13"/>
      <c r="AM1059" s="9"/>
      <c r="AN1059" s="9"/>
      <c r="AO1059" s="9"/>
      <c r="AP1059" s="14"/>
    </row>
    <row r="1060" spans="1:42" s="45" customFormat="1" ht="22" customHeight="1">
      <c r="A1060" s="14" t="s">
        <v>21</v>
      </c>
      <c r="B1060" s="8">
        <v>2024</v>
      </c>
      <c r="C1060" s="8" t="s">
        <v>8</v>
      </c>
      <c r="D1060" s="9" t="s">
        <v>185</v>
      </c>
      <c r="E1060" s="9" t="s">
        <v>15</v>
      </c>
      <c r="F1060" s="9" t="s">
        <v>186</v>
      </c>
      <c r="G1060" s="8"/>
      <c r="H1060" s="8"/>
      <c r="I1060" s="9" t="s">
        <v>78</v>
      </c>
      <c r="J1060" s="9" t="s">
        <v>11</v>
      </c>
      <c r="K1060" s="9" t="s">
        <v>82</v>
      </c>
      <c r="L1060" s="9" t="s">
        <v>171</v>
      </c>
      <c r="M1060" s="9" t="s">
        <v>78</v>
      </c>
      <c r="N1060" s="9" t="s">
        <v>377</v>
      </c>
      <c r="O1060" s="9" t="s">
        <v>217</v>
      </c>
      <c r="P1060" s="9" t="s">
        <v>217</v>
      </c>
      <c r="Q1060" s="11">
        <v>350</v>
      </c>
      <c r="R1060" s="11">
        <v>317</v>
      </c>
      <c r="S1060" s="11">
        <f t="shared" si="140"/>
        <v>667</v>
      </c>
      <c r="T1060" s="9"/>
      <c r="U1060" s="14" t="s">
        <v>77</v>
      </c>
      <c r="V1060" s="9"/>
      <c r="W1060" s="12">
        <v>30</v>
      </c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>
        <f t="shared" si="143"/>
        <v>1.0004999999999999</v>
      </c>
      <c r="AI1060" s="13"/>
      <c r="AJ1060" s="13">
        <f t="shared" si="139"/>
        <v>1.0004999999999999</v>
      </c>
      <c r="AK1060" s="9"/>
      <c r="AL1060" s="13"/>
      <c r="AM1060" s="9"/>
      <c r="AN1060" s="9"/>
      <c r="AO1060" s="9"/>
      <c r="AP1060" s="14"/>
    </row>
    <row r="1061" spans="1:42" s="45" customFormat="1" ht="22" customHeight="1">
      <c r="A1061" s="14" t="s">
        <v>21</v>
      </c>
      <c r="B1061" s="8">
        <v>2024</v>
      </c>
      <c r="C1061" s="8" t="s">
        <v>8</v>
      </c>
      <c r="D1061" s="9" t="s">
        <v>185</v>
      </c>
      <c r="E1061" s="9" t="s">
        <v>15</v>
      </c>
      <c r="F1061" s="9" t="s">
        <v>186</v>
      </c>
      <c r="G1061" s="8"/>
      <c r="H1061" s="8"/>
      <c r="I1061" s="9" t="s">
        <v>78</v>
      </c>
      <c r="J1061" s="9" t="s">
        <v>11</v>
      </c>
      <c r="K1061" s="9" t="s">
        <v>82</v>
      </c>
      <c r="L1061" s="9" t="s">
        <v>171</v>
      </c>
      <c r="M1061" s="9" t="s">
        <v>78</v>
      </c>
      <c r="N1061" s="9" t="s">
        <v>377</v>
      </c>
      <c r="O1061" s="9" t="s">
        <v>217</v>
      </c>
      <c r="P1061" s="9" t="s">
        <v>380</v>
      </c>
      <c r="Q1061" s="11"/>
      <c r="R1061" s="11"/>
      <c r="S1061" s="11">
        <f t="shared" si="140"/>
        <v>0</v>
      </c>
      <c r="T1061" s="9"/>
      <c r="U1061" s="14" t="s">
        <v>77</v>
      </c>
      <c r="V1061" s="9"/>
      <c r="W1061" s="12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>
        <f t="shared" si="143"/>
        <v>0</v>
      </c>
      <c r="AI1061" s="13"/>
      <c r="AJ1061" s="13">
        <f t="shared" si="139"/>
        <v>0</v>
      </c>
      <c r="AK1061" s="9"/>
      <c r="AL1061" s="13"/>
      <c r="AM1061" s="9"/>
      <c r="AN1061" s="9"/>
      <c r="AO1061" s="9"/>
      <c r="AP1061" s="14"/>
    </row>
    <row r="1062" spans="1:42" s="45" customFormat="1" ht="22" customHeight="1">
      <c r="A1062" s="14" t="s">
        <v>21</v>
      </c>
      <c r="B1062" s="8">
        <v>2024</v>
      </c>
      <c r="C1062" s="8" t="s">
        <v>8</v>
      </c>
      <c r="D1062" s="9" t="s">
        <v>185</v>
      </c>
      <c r="E1062" s="9" t="s">
        <v>15</v>
      </c>
      <c r="F1062" s="9" t="s">
        <v>186</v>
      </c>
      <c r="G1062" s="8"/>
      <c r="H1062" s="8"/>
      <c r="I1062" s="9" t="s">
        <v>78</v>
      </c>
      <c r="J1062" s="9" t="s">
        <v>11</v>
      </c>
      <c r="K1062" s="9" t="s">
        <v>82</v>
      </c>
      <c r="L1062" s="9" t="s">
        <v>171</v>
      </c>
      <c r="M1062" s="9" t="s">
        <v>78</v>
      </c>
      <c r="N1062" s="9" t="s">
        <v>377</v>
      </c>
      <c r="O1062" s="9" t="s">
        <v>217</v>
      </c>
      <c r="P1062" s="9" t="s">
        <v>381</v>
      </c>
      <c r="Q1062" s="11"/>
      <c r="R1062" s="11"/>
      <c r="S1062" s="11">
        <f t="shared" si="140"/>
        <v>0</v>
      </c>
      <c r="T1062" s="9"/>
      <c r="U1062" s="14" t="s">
        <v>77</v>
      </c>
      <c r="V1062" s="9"/>
      <c r="W1062" s="12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>
        <f t="shared" si="143"/>
        <v>0</v>
      </c>
      <c r="AI1062" s="13"/>
      <c r="AJ1062" s="13">
        <f t="shared" si="139"/>
        <v>0</v>
      </c>
      <c r="AK1062" s="9"/>
      <c r="AL1062" s="13"/>
      <c r="AM1062" s="9"/>
      <c r="AN1062" s="9"/>
      <c r="AO1062" s="9"/>
      <c r="AP1062" s="14"/>
    </row>
    <row r="1063" spans="1:42" s="45" customFormat="1" ht="22" customHeight="1">
      <c r="A1063" s="14" t="s">
        <v>21</v>
      </c>
      <c r="B1063" s="8">
        <v>2024</v>
      </c>
      <c r="C1063" s="8" t="s">
        <v>8</v>
      </c>
      <c r="D1063" s="9" t="s">
        <v>185</v>
      </c>
      <c r="E1063" s="9" t="s">
        <v>15</v>
      </c>
      <c r="F1063" s="9" t="s">
        <v>186</v>
      </c>
      <c r="G1063" s="8"/>
      <c r="H1063" s="8"/>
      <c r="I1063" s="9" t="s">
        <v>78</v>
      </c>
      <c r="J1063" s="9" t="s">
        <v>11</v>
      </c>
      <c r="K1063" s="9" t="s">
        <v>82</v>
      </c>
      <c r="L1063" s="9" t="s">
        <v>171</v>
      </c>
      <c r="M1063" s="9" t="s">
        <v>78</v>
      </c>
      <c r="N1063" s="9" t="s">
        <v>377</v>
      </c>
      <c r="O1063" s="9" t="s">
        <v>192</v>
      </c>
      <c r="P1063" s="9" t="s">
        <v>382</v>
      </c>
      <c r="Q1063" s="11">
        <v>640</v>
      </c>
      <c r="R1063" s="11">
        <v>374</v>
      </c>
      <c r="S1063" s="11">
        <f t="shared" si="140"/>
        <v>1014</v>
      </c>
      <c r="T1063" s="9"/>
      <c r="U1063" s="14" t="s">
        <v>77</v>
      </c>
      <c r="V1063" s="9"/>
      <c r="W1063" s="12">
        <v>30</v>
      </c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>
        <f t="shared" si="143"/>
        <v>1.5209999999999999</v>
      </c>
      <c r="AI1063" s="13"/>
      <c r="AJ1063" s="13">
        <f t="shared" si="139"/>
        <v>1.5209999999999999</v>
      </c>
      <c r="AK1063" s="9"/>
      <c r="AL1063" s="13"/>
      <c r="AM1063" s="9"/>
      <c r="AN1063" s="9"/>
      <c r="AO1063" s="9"/>
      <c r="AP1063" s="14"/>
    </row>
    <row r="1064" spans="1:42" s="45" customFormat="1" ht="22" customHeight="1">
      <c r="A1064" s="14" t="s">
        <v>21</v>
      </c>
      <c r="B1064" s="8">
        <v>2024</v>
      </c>
      <c r="C1064" s="8" t="s">
        <v>8</v>
      </c>
      <c r="D1064" s="9" t="s">
        <v>185</v>
      </c>
      <c r="E1064" s="9" t="s">
        <v>15</v>
      </c>
      <c r="F1064" s="9" t="s">
        <v>186</v>
      </c>
      <c r="G1064" s="8"/>
      <c r="H1064" s="8"/>
      <c r="I1064" s="9" t="s">
        <v>78</v>
      </c>
      <c r="J1064" s="9" t="s">
        <v>11</v>
      </c>
      <c r="K1064" s="9" t="s">
        <v>82</v>
      </c>
      <c r="L1064" s="9" t="s">
        <v>171</v>
      </c>
      <c r="M1064" s="9" t="s">
        <v>78</v>
      </c>
      <c r="N1064" s="9" t="s">
        <v>377</v>
      </c>
      <c r="O1064" s="9" t="s">
        <v>192</v>
      </c>
      <c r="P1064" s="9" t="s">
        <v>192</v>
      </c>
      <c r="Q1064" s="11">
        <v>887</v>
      </c>
      <c r="R1064" s="11">
        <v>672</v>
      </c>
      <c r="S1064" s="11">
        <f t="shared" si="140"/>
        <v>1559</v>
      </c>
      <c r="T1064" s="9"/>
      <c r="U1064" s="14" t="s">
        <v>77</v>
      </c>
      <c r="V1064" s="9"/>
      <c r="W1064" s="12">
        <v>30</v>
      </c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>
        <f t="shared" si="143"/>
        <v>2.3384999999999998</v>
      </c>
      <c r="AI1064" s="13"/>
      <c r="AJ1064" s="13">
        <f t="shared" si="139"/>
        <v>2.3384999999999998</v>
      </c>
      <c r="AK1064" s="9"/>
      <c r="AL1064" s="13"/>
      <c r="AM1064" s="9"/>
      <c r="AN1064" s="9"/>
      <c r="AO1064" s="9"/>
      <c r="AP1064" s="14"/>
    </row>
    <row r="1065" spans="1:42" s="45" customFormat="1" ht="22" customHeight="1">
      <c r="A1065" s="14" t="s">
        <v>21</v>
      </c>
      <c r="B1065" s="8">
        <v>2024</v>
      </c>
      <c r="C1065" s="8" t="s">
        <v>8</v>
      </c>
      <c r="D1065" s="9" t="s">
        <v>185</v>
      </c>
      <c r="E1065" s="9" t="s">
        <v>15</v>
      </c>
      <c r="F1065" s="9" t="s">
        <v>186</v>
      </c>
      <c r="G1065" s="8"/>
      <c r="H1065" s="8"/>
      <c r="I1065" s="9" t="s">
        <v>78</v>
      </c>
      <c r="J1065" s="9" t="s">
        <v>11</v>
      </c>
      <c r="K1065" s="9" t="s">
        <v>82</v>
      </c>
      <c r="L1065" s="9" t="s">
        <v>171</v>
      </c>
      <c r="M1065" s="9" t="s">
        <v>78</v>
      </c>
      <c r="N1065" s="9" t="s">
        <v>377</v>
      </c>
      <c r="O1065" s="9" t="s">
        <v>192</v>
      </c>
      <c r="P1065" s="9" t="s">
        <v>383</v>
      </c>
      <c r="Q1065" s="11"/>
      <c r="R1065" s="11"/>
      <c r="S1065" s="11">
        <f t="shared" si="140"/>
        <v>0</v>
      </c>
      <c r="T1065" s="9"/>
      <c r="U1065" s="14" t="s">
        <v>77</v>
      </c>
      <c r="V1065" s="9"/>
      <c r="W1065" s="12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>
        <f t="shared" si="143"/>
        <v>0</v>
      </c>
      <c r="AI1065" s="13"/>
      <c r="AJ1065" s="13">
        <f t="shared" si="139"/>
        <v>0</v>
      </c>
      <c r="AK1065" s="9"/>
      <c r="AL1065" s="13"/>
      <c r="AM1065" s="9"/>
      <c r="AN1065" s="9"/>
      <c r="AO1065" s="9"/>
      <c r="AP1065" s="14"/>
    </row>
    <row r="1066" spans="1:42" s="45" customFormat="1" ht="22" customHeight="1">
      <c r="A1066" s="14" t="s">
        <v>21</v>
      </c>
      <c r="B1066" s="8">
        <v>2024</v>
      </c>
      <c r="C1066" s="8" t="s">
        <v>8</v>
      </c>
      <c r="D1066" s="9" t="s">
        <v>185</v>
      </c>
      <c r="E1066" s="9" t="s">
        <v>15</v>
      </c>
      <c r="F1066" s="9" t="s">
        <v>186</v>
      </c>
      <c r="G1066" s="8"/>
      <c r="H1066" s="8"/>
      <c r="I1066" s="9" t="s">
        <v>78</v>
      </c>
      <c r="J1066" s="9" t="s">
        <v>11</v>
      </c>
      <c r="K1066" s="9" t="s">
        <v>82</v>
      </c>
      <c r="L1066" s="9" t="s">
        <v>171</v>
      </c>
      <c r="M1066" s="9" t="s">
        <v>78</v>
      </c>
      <c r="N1066" s="9" t="s">
        <v>377</v>
      </c>
      <c r="O1066" s="9" t="s">
        <v>192</v>
      </c>
      <c r="P1066" s="9" t="s">
        <v>384</v>
      </c>
      <c r="Q1066" s="11"/>
      <c r="R1066" s="11"/>
      <c r="S1066" s="11">
        <f t="shared" si="140"/>
        <v>0</v>
      </c>
      <c r="T1066" s="9"/>
      <c r="U1066" s="14" t="s">
        <v>77</v>
      </c>
      <c r="V1066" s="9"/>
      <c r="W1066" s="12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>
        <f t="shared" si="143"/>
        <v>0</v>
      </c>
      <c r="AI1066" s="13"/>
      <c r="AJ1066" s="13">
        <f t="shared" si="139"/>
        <v>0</v>
      </c>
      <c r="AK1066" s="9"/>
      <c r="AL1066" s="13"/>
      <c r="AM1066" s="9"/>
      <c r="AN1066" s="9"/>
      <c r="AO1066" s="9"/>
      <c r="AP1066" s="14"/>
    </row>
    <row r="1067" spans="1:42" s="45" customFormat="1" ht="22" customHeight="1">
      <c r="A1067" s="14" t="s">
        <v>21</v>
      </c>
      <c r="B1067" s="8">
        <v>2024</v>
      </c>
      <c r="C1067" s="8" t="s">
        <v>8</v>
      </c>
      <c r="D1067" s="9" t="s">
        <v>185</v>
      </c>
      <c r="E1067" s="9" t="s">
        <v>15</v>
      </c>
      <c r="F1067" s="9" t="s">
        <v>186</v>
      </c>
      <c r="G1067" s="8"/>
      <c r="H1067" s="8"/>
      <c r="I1067" s="9" t="s">
        <v>78</v>
      </c>
      <c r="J1067" s="9" t="s">
        <v>11</v>
      </c>
      <c r="K1067" s="9" t="s">
        <v>82</v>
      </c>
      <c r="L1067" s="9" t="s">
        <v>171</v>
      </c>
      <c r="M1067" s="9" t="s">
        <v>78</v>
      </c>
      <c r="N1067" s="9" t="s">
        <v>377</v>
      </c>
      <c r="O1067" s="9" t="s">
        <v>192</v>
      </c>
      <c r="P1067" s="9" t="s">
        <v>385</v>
      </c>
      <c r="Q1067" s="11"/>
      <c r="R1067" s="11"/>
      <c r="S1067" s="11">
        <f t="shared" si="140"/>
        <v>0</v>
      </c>
      <c r="T1067" s="9"/>
      <c r="U1067" s="14" t="s">
        <v>77</v>
      </c>
      <c r="V1067" s="9"/>
      <c r="W1067" s="12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>
        <f t="shared" si="143"/>
        <v>0</v>
      </c>
      <c r="AI1067" s="13"/>
      <c r="AJ1067" s="13">
        <f t="shared" si="139"/>
        <v>0</v>
      </c>
      <c r="AK1067" s="9"/>
      <c r="AL1067" s="13"/>
      <c r="AM1067" s="9"/>
      <c r="AN1067" s="9"/>
      <c r="AO1067" s="9"/>
      <c r="AP1067" s="14"/>
    </row>
    <row r="1068" spans="1:42" s="45" customFormat="1" ht="22" customHeight="1">
      <c r="A1068" s="14" t="s">
        <v>21</v>
      </c>
      <c r="B1068" s="8">
        <v>2024</v>
      </c>
      <c r="C1068" s="8" t="s">
        <v>8</v>
      </c>
      <c r="D1068" s="9" t="s">
        <v>185</v>
      </c>
      <c r="E1068" s="9" t="s">
        <v>15</v>
      </c>
      <c r="F1068" s="9" t="s">
        <v>186</v>
      </c>
      <c r="G1068" s="8"/>
      <c r="H1068" s="8"/>
      <c r="I1068" s="9" t="s">
        <v>78</v>
      </c>
      <c r="J1068" s="9" t="s">
        <v>11</v>
      </c>
      <c r="K1068" s="9" t="s">
        <v>82</v>
      </c>
      <c r="L1068" s="9" t="s">
        <v>171</v>
      </c>
      <c r="M1068" s="9" t="s">
        <v>78</v>
      </c>
      <c r="N1068" s="9" t="s">
        <v>377</v>
      </c>
      <c r="O1068" s="9" t="s">
        <v>192</v>
      </c>
      <c r="P1068" s="9" t="s">
        <v>386</v>
      </c>
      <c r="Q1068" s="11"/>
      <c r="R1068" s="11"/>
      <c r="S1068" s="11">
        <f t="shared" si="140"/>
        <v>0</v>
      </c>
      <c r="T1068" s="9"/>
      <c r="U1068" s="14" t="s">
        <v>77</v>
      </c>
      <c r="V1068" s="9"/>
      <c r="W1068" s="12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>
        <f t="shared" si="143"/>
        <v>0</v>
      </c>
      <c r="AI1068" s="13"/>
      <c r="AJ1068" s="13">
        <f t="shared" si="139"/>
        <v>0</v>
      </c>
      <c r="AK1068" s="9"/>
      <c r="AL1068" s="13"/>
      <c r="AM1068" s="9"/>
      <c r="AN1068" s="9"/>
      <c r="AO1068" s="9"/>
      <c r="AP1068" s="14"/>
    </row>
    <row r="1069" spans="1:42" s="45" customFormat="1" ht="22" customHeight="1">
      <c r="A1069" s="14" t="s">
        <v>21</v>
      </c>
      <c r="B1069" s="8">
        <v>2024</v>
      </c>
      <c r="C1069" s="8" t="s">
        <v>8</v>
      </c>
      <c r="D1069" s="9" t="s">
        <v>185</v>
      </c>
      <c r="E1069" s="9" t="s">
        <v>15</v>
      </c>
      <c r="F1069" s="9" t="s">
        <v>186</v>
      </c>
      <c r="G1069" s="8"/>
      <c r="H1069" s="8"/>
      <c r="I1069" s="9" t="s">
        <v>78</v>
      </c>
      <c r="J1069" s="9" t="s">
        <v>11</v>
      </c>
      <c r="K1069" s="9" t="s">
        <v>82</v>
      </c>
      <c r="L1069" s="9" t="s">
        <v>171</v>
      </c>
      <c r="M1069" s="9" t="s">
        <v>78</v>
      </c>
      <c r="N1069" s="9" t="s">
        <v>377</v>
      </c>
      <c r="O1069" s="9" t="s">
        <v>192</v>
      </c>
      <c r="P1069" s="9" t="s">
        <v>387</v>
      </c>
      <c r="Q1069" s="11"/>
      <c r="R1069" s="11"/>
      <c r="S1069" s="11">
        <f t="shared" si="140"/>
        <v>0</v>
      </c>
      <c r="T1069" s="9"/>
      <c r="U1069" s="14" t="s">
        <v>77</v>
      </c>
      <c r="V1069" s="9"/>
      <c r="W1069" s="12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>
        <f t="shared" si="143"/>
        <v>0</v>
      </c>
      <c r="AI1069" s="13"/>
      <c r="AJ1069" s="13">
        <f t="shared" si="139"/>
        <v>0</v>
      </c>
      <c r="AK1069" s="9"/>
      <c r="AL1069" s="13"/>
      <c r="AM1069" s="9"/>
      <c r="AN1069" s="9"/>
      <c r="AO1069" s="9"/>
      <c r="AP1069" s="14"/>
    </row>
    <row r="1070" spans="1:42" s="45" customFormat="1" ht="22" customHeight="1">
      <c r="A1070" s="14" t="s">
        <v>21</v>
      </c>
      <c r="B1070" s="8">
        <v>2024</v>
      </c>
      <c r="C1070" s="8" t="s">
        <v>8</v>
      </c>
      <c r="D1070" s="9" t="s">
        <v>185</v>
      </c>
      <c r="E1070" s="9" t="s">
        <v>15</v>
      </c>
      <c r="F1070" s="9" t="s">
        <v>186</v>
      </c>
      <c r="G1070" s="8"/>
      <c r="H1070" s="8"/>
      <c r="I1070" s="9" t="s">
        <v>78</v>
      </c>
      <c r="J1070" s="9" t="s">
        <v>11</v>
      </c>
      <c r="K1070" s="9" t="s">
        <v>82</v>
      </c>
      <c r="L1070" s="9" t="s">
        <v>171</v>
      </c>
      <c r="M1070" s="9" t="s">
        <v>78</v>
      </c>
      <c r="N1070" s="9" t="s">
        <v>377</v>
      </c>
      <c r="O1070" s="9" t="s">
        <v>388</v>
      </c>
      <c r="P1070" s="9" t="s">
        <v>389</v>
      </c>
      <c r="Q1070" s="11"/>
      <c r="R1070" s="11"/>
      <c r="S1070" s="11">
        <f t="shared" si="140"/>
        <v>0</v>
      </c>
      <c r="T1070" s="9"/>
      <c r="U1070" s="14" t="s">
        <v>77</v>
      </c>
      <c r="V1070" s="9"/>
      <c r="W1070" s="12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>
        <f t="shared" si="143"/>
        <v>0</v>
      </c>
      <c r="AI1070" s="13"/>
      <c r="AJ1070" s="13">
        <f t="shared" si="139"/>
        <v>0</v>
      </c>
      <c r="AK1070" s="9"/>
      <c r="AL1070" s="13"/>
      <c r="AM1070" s="9"/>
      <c r="AN1070" s="9"/>
      <c r="AO1070" s="9"/>
      <c r="AP1070" s="14"/>
    </row>
    <row r="1071" spans="1:42" s="45" customFormat="1" ht="22" customHeight="1">
      <c r="A1071" s="14" t="s">
        <v>21</v>
      </c>
      <c r="B1071" s="8">
        <v>2024</v>
      </c>
      <c r="C1071" s="8" t="s">
        <v>8</v>
      </c>
      <c r="D1071" s="9" t="s">
        <v>185</v>
      </c>
      <c r="E1071" s="9" t="s">
        <v>15</v>
      </c>
      <c r="F1071" s="9" t="s">
        <v>186</v>
      </c>
      <c r="G1071" s="8"/>
      <c r="H1071" s="8"/>
      <c r="I1071" s="9" t="s">
        <v>78</v>
      </c>
      <c r="J1071" s="9" t="s">
        <v>11</v>
      </c>
      <c r="K1071" s="9" t="s">
        <v>82</v>
      </c>
      <c r="L1071" s="9" t="s">
        <v>171</v>
      </c>
      <c r="M1071" s="9" t="s">
        <v>78</v>
      </c>
      <c r="N1071" s="9" t="s">
        <v>377</v>
      </c>
      <c r="O1071" s="9" t="s">
        <v>388</v>
      </c>
      <c r="P1071" s="9" t="s">
        <v>390</v>
      </c>
      <c r="Q1071" s="11">
        <v>280</v>
      </c>
      <c r="R1071" s="11">
        <v>238</v>
      </c>
      <c r="S1071" s="11">
        <f t="shared" si="140"/>
        <v>518</v>
      </c>
      <c r="T1071" s="9"/>
      <c r="U1071" s="14" t="s">
        <v>77</v>
      </c>
      <c r="V1071" s="9"/>
      <c r="W1071" s="12">
        <v>30</v>
      </c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>
        <f t="shared" si="143"/>
        <v>0.77700000000000002</v>
      </c>
      <c r="AI1071" s="13"/>
      <c r="AJ1071" s="13">
        <f t="shared" si="139"/>
        <v>0.77700000000000002</v>
      </c>
      <c r="AK1071" s="9"/>
      <c r="AL1071" s="13"/>
      <c r="AM1071" s="9"/>
      <c r="AN1071" s="9"/>
      <c r="AO1071" s="9"/>
      <c r="AP1071" s="14"/>
    </row>
    <row r="1072" spans="1:42" s="45" customFormat="1" ht="22" customHeight="1">
      <c r="A1072" s="14" t="s">
        <v>21</v>
      </c>
      <c r="B1072" s="8">
        <v>2024</v>
      </c>
      <c r="C1072" s="8" t="s">
        <v>8</v>
      </c>
      <c r="D1072" s="9" t="s">
        <v>185</v>
      </c>
      <c r="E1072" s="9" t="s">
        <v>15</v>
      </c>
      <c r="F1072" s="9" t="s">
        <v>186</v>
      </c>
      <c r="G1072" s="8"/>
      <c r="H1072" s="8"/>
      <c r="I1072" s="9" t="s">
        <v>78</v>
      </c>
      <c r="J1072" s="9" t="s">
        <v>11</v>
      </c>
      <c r="K1072" s="9" t="s">
        <v>82</v>
      </c>
      <c r="L1072" s="9" t="s">
        <v>171</v>
      </c>
      <c r="M1072" s="9" t="s">
        <v>78</v>
      </c>
      <c r="N1072" s="9" t="s">
        <v>377</v>
      </c>
      <c r="O1072" s="9" t="s">
        <v>388</v>
      </c>
      <c r="P1072" s="9" t="s">
        <v>388</v>
      </c>
      <c r="Q1072" s="11"/>
      <c r="R1072" s="11"/>
      <c r="S1072" s="11">
        <f t="shared" si="140"/>
        <v>0</v>
      </c>
      <c r="T1072" s="9"/>
      <c r="U1072" s="14" t="s">
        <v>77</v>
      </c>
      <c r="V1072" s="9"/>
      <c r="W1072" s="12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>
        <f t="shared" si="143"/>
        <v>0</v>
      </c>
      <c r="AI1072" s="13"/>
      <c r="AJ1072" s="13">
        <f t="shared" si="139"/>
        <v>0</v>
      </c>
      <c r="AK1072" s="9"/>
      <c r="AL1072" s="13"/>
      <c r="AM1072" s="9"/>
      <c r="AN1072" s="9"/>
      <c r="AO1072" s="9"/>
      <c r="AP1072" s="14"/>
    </row>
    <row r="1073" spans="1:42" s="45" customFormat="1" ht="22" customHeight="1">
      <c r="A1073" s="14" t="s">
        <v>21</v>
      </c>
      <c r="B1073" s="8">
        <v>2024</v>
      </c>
      <c r="C1073" s="8" t="s">
        <v>8</v>
      </c>
      <c r="D1073" s="9" t="s">
        <v>185</v>
      </c>
      <c r="E1073" s="9" t="s">
        <v>15</v>
      </c>
      <c r="F1073" s="9" t="s">
        <v>186</v>
      </c>
      <c r="G1073" s="8"/>
      <c r="H1073" s="8"/>
      <c r="I1073" s="9" t="s">
        <v>78</v>
      </c>
      <c r="J1073" s="9" t="s">
        <v>11</v>
      </c>
      <c r="K1073" s="9" t="s">
        <v>82</v>
      </c>
      <c r="L1073" s="9" t="s">
        <v>171</v>
      </c>
      <c r="M1073" s="9" t="s">
        <v>78</v>
      </c>
      <c r="N1073" s="9" t="s">
        <v>377</v>
      </c>
      <c r="O1073" s="9" t="s">
        <v>388</v>
      </c>
      <c r="P1073" s="9" t="s">
        <v>392</v>
      </c>
      <c r="Q1073" s="11">
        <v>154</v>
      </c>
      <c r="R1073" s="11">
        <v>110</v>
      </c>
      <c r="S1073" s="11">
        <f t="shared" si="140"/>
        <v>264</v>
      </c>
      <c r="T1073" s="9"/>
      <c r="U1073" s="14" t="s">
        <v>77</v>
      </c>
      <c r="V1073" s="9"/>
      <c r="W1073" s="12">
        <v>30</v>
      </c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>
        <f t="shared" si="143"/>
        <v>0.39600000000000002</v>
      </c>
      <c r="AI1073" s="13"/>
      <c r="AJ1073" s="13">
        <f t="shared" si="139"/>
        <v>0.39600000000000002</v>
      </c>
      <c r="AK1073" s="9"/>
      <c r="AL1073" s="13"/>
      <c r="AM1073" s="9"/>
      <c r="AN1073" s="9"/>
      <c r="AO1073" s="9"/>
      <c r="AP1073" s="14"/>
    </row>
    <row r="1074" spans="1:42" s="45" customFormat="1" ht="22" customHeight="1">
      <c r="A1074" s="14" t="s">
        <v>21</v>
      </c>
      <c r="B1074" s="8">
        <v>2024</v>
      </c>
      <c r="C1074" s="8" t="s">
        <v>8</v>
      </c>
      <c r="D1074" s="9" t="s">
        <v>185</v>
      </c>
      <c r="E1074" s="9" t="s">
        <v>10</v>
      </c>
      <c r="F1074" s="9" t="s">
        <v>186</v>
      </c>
      <c r="G1074" s="8"/>
      <c r="H1074" s="8"/>
      <c r="I1074" s="9" t="s">
        <v>14</v>
      </c>
      <c r="J1074" s="14" t="s">
        <v>14</v>
      </c>
      <c r="K1074" s="10" t="s">
        <v>14</v>
      </c>
      <c r="L1074" s="9" t="s">
        <v>209</v>
      </c>
      <c r="M1074" s="9" t="s">
        <v>99</v>
      </c>
      <c r="N1074" s="9" t="s">
        <v>377</v>
      </c>
      <c r="O1074" s="9" t="s">
        <v>393</v>
      </c>
      <c r="P1074" s="9" t="s">
        <v>394</v>
      </c>
      <c r="Q1074" s="41"/>
      <c r="R1074" s="41">
        <v>535</v>
      </c>
      <c r="S1074" s="11">
        <f t="shared" ref="S1074:S1083" si="144">R1074</f>
        <v>535</v>
      </c>
      <c r="T1074" s="9"/>
      <c r="U1074" s="14" t="s">
        <v>77</v>
      </c>
      <c r="V1074" s="9"/>
      <c r="W1074" s="12">
        <v>30</v>
      </c>
      <c r="X1074" s="13"/>
      <c r="Y1074" s="13"/>
      <c r="Z1074" s="13"/>
      <c r="AA1074" s="13"/>
      <c r="AB1074" s="13"/>
      <c r="AC1074" s="13">
        <f t="shared" ref="AC1074:AC1082" si="145">+S1074*W1074*20/1000000</f>
        <v>0.32100000000000001</v>
      </c>
      <c r="AD1074" s="34"/>
      <c r="AE1074" s="13"/>
      <c r="AF1074" s="13">
        <f t="shared" ref="AF1074:AF1082" si="146">+S1074*W1074*200/1000000</f>
        <v>3.21</v>
      </c>
      <c r="AG1074" s="13"/>
      <c r="AH1074" s="34"/>
      <c r="AI1074" s="13"/>
      <c r="AJ1074" s="13">
        <f t="shared" si="139"/>
        <v>3.5310000000000001</v>
      </c>
      <c r="AK1074" s="9"/>
      <c r="AL1074" s="13"/>
      <c r="AM1074" s="9"/>
      <c r="AN1074" s="9"/>
      <c r="AO1074" s="9"/>
      <c r="AP1074" s="14"/>
    </row>
    <row r="1075" spans="1:42" s="45" customFormat="1" ht="22" customHeight="1">
      <c r="A1075" s="14" t="s">
        <v>21</v>
      </c>
      <c r="B1075" s="8">
        <v>2024</v>
      </c>
      <c r="C1075" s="8" t="s">
        <v>8</v>
      </c>
      <c r="D1075" s="9" t="s">
        <v>185</v>
      </c>
      <c r="E1075" s="9" t="s">
        <v>10</v>
      </c>
      <c r="F1075" s="9" t="s">
        <v>186</v>
      </c>
      <c r="G1075" s="8"/>
      <c r="H1075" s="8"/>
      <c r="I1075" s="9" t="s">
        <v>14</v>
      </c>
      <c r="J1075" s="14" t="s">
        <v>14</v>
      </c>
      <c r="K1075" s="10" t="s">
        <v>14</v>
      </c>
      <c r="L1075" s="9" t="s">
        <v>209</v>
      </c>
      <c r="M1075" s="9" t="s">
        <v>99</v>
      </c>
      <c r="N1075" s="9" t="s">
        <v>377</v>
      </c>
      <c r="O1075" s="9" t="s">
        <v>393</v>
      </c>
      <c r="P1075" s="9" t="s">
        <v>395</v>
      </c>
      <c r="Q1075" s="41"/>
      <c r="R1075" s="41">
        <v>270</v>
      </c>
      <c r="S1075" s="11">
        <f t="shared" si="144"/>
        <v>270</v>
      </c>
      <c r="T1075" s="9"/>
      <c r="U1075" s="14" t="s">
        <v>77</v>
      </c>
      <c r="V1075" s="9"/>
      <c r="W1075" s="12">
        <v>30</v>
      </c>
      <c r="X1075" s="13"/>
      <c r="Y1075" s="13"/>
      <c r="Z1075" s="13"/>
      <c r="AA1075" s="13"/>
      <c r="AB1075" s="13"/>
      <c r="AC1075" s="13">
        <f t="shared" si="145"/>
        <v>0.16200000000000001</v>
      </c>
      <c r="AD1075" s="34"/>
      <c r="AE1075" s="13"/>
      <c r="AF1075" s="13">
        <f t="shared" si="146"/>
        <v>1.62</v>
      </c>
      <c r="AG1075" s="13"/>
      <c r="AH1075" s="34"/>
      <c r="AI1075" s="13"/>
      <c r="AJ1075" s="13">
        <f t="shared" si="139"/>
        <v>1.782</v>
      </c>
      <c r="AK1075" s="9"/>
      <c r="AL1075" s="13"/>
      <c r="AM1075" s="9"/>
      <c r="AN1075" s="9"/>
      <c r="AO1075" s="9"/>
      <c r="AP1075" s="14"/>
    </row>
    <row r="1076" spans="1:42" s="45" customFormat="1" ht="22" customHeight="1">
      <c r="A1076" s="14" t="s">
        <v>21</v>
      </c>
      <c r="B1076" s="8">
        <v>2024</v>
      </c>
      <c r="C1076" s="8" t="s">
        <v>8</v>
      </c>
      <c r="D1076" s="9" t="s">
        <v>185</v>
      </c>
      <c r="E1076" s="9" t="s">
        <v>10</v>
      </c>
      <c r="F1076" s="9" t="s">
        <v>186</v>
      </c>
      <c r="G1076" s="8"/>
      <c r="H1076" s="8"/>
      <c r="I1076" s="9" t="s">
        <v>14</v>
      </c>
      <c r="J1076" s="14" t="s">
        <v>14</v>
      </c>
      <c r="K1076" s="10" t="s">
        <v>14</v>
      </c>
      <c r="L1076" s="9" t="s">
        <v>209</v>
      </c>
      <c r="M1076" s="9" t="s">
        <v>99</v>
      </c>
      <c r="N1076" s="9" t="s">
        <v>377</v>
      </c>
      <c r="O1076" s="9" t="s">
        <v>393</v>
      </c>
      <c r="P1076" s="9" t="s">
        <v>396</v>
      </c>
      <c r="Q1076" s="41"/>
      <c r="R1076" s="41">
        <v>300</v>
      </c>
      <c r="S1076" s="11">
        <f t="shared" si="144"/>
        <v>300</v>
      </c>
      <c r="T1076" s="9"/>
      <c r="U1076" s="14" t="s">
        <v>77</v>
      </c>
      <c r="V1076" s="9"/>
      <c r="W1076" s="12">
        <v>30</v>
      </c>
      <c r="X1076" s="13"/>
      <c r="Y1076" s="13"/>
      <c r="Z1076" s="13"/>
      <c r="AA1076" s="13"/>
      <c r="AB1076" s="13"/>
      <c r="AC1076" s="13">
        <f t="shared" si="145"/>
        <v>0.18</v>
      </c>
      <c r="AD1076" s="34"/>
      <c r="AE1076" s="13"/>
      <c r="AF1076" s="13">
        <f t="shared" si="146"/>
        <v>1.8</v>
      </c>
      <c r="AG1076" s="13"/>
      <c r="AH1076" s="34"/>
      <c r="AI1076" s="13"/>
      <c r="AJ1076" s="13">
        <f t="shared" si="139"/>
        <v>1.98</v>
      </c>
      <c r="AK1076" s="9"/>
      <c r="AL1076" s="13"/>
      <c r="AM1076" s="9"/>
      <c r="AN1076" s="9"/>
      <c r="AO1076" s="9"/>
      <c r="AP1076" s="14"/>
    </row>
    <row r="1077" spans="1:42" s="45" customFormat="1" ht="22" customHeight="1">
      <c r="A1077" s="14" t="s">
        <v>21</v>
      </c>
      <c r="B1077" s="8">
        <v>2024</v>
      </c>
      <c r="C1077" s="8" t="s">
        <v>8</v>
      </c>
      <c r="D1077" s="9" t="s">
        <v>185</v>
      </c>
      <c r="E1077" s="9" t="s">
        <v>10</v>
      </c>
      <c r="F1077" s="9" t="s">
        <v>186</v>
      </c>
      <c r="G1077" s="8"/>
      <c r="H1077" s="8"/>
      <c r="I1077" s="9" t="s">
        <v>14</v>
      </c>
      <c r="J1077" s="14" t="s">
        <v>14</v>
      </c>
      <c r="K1077" s="10" t="s">
        <v>14</v>
      </c>
      <c r="L1077" s="9" t="s">
        <v>209</v>
      </c>
      <c r="M1077" s="9" t="s">
        <v>99</v>
      </c>
      <c r="N1077" s="9" t="s">
        <v>377</v>
      </c>
      <c r="O1077" s="9" t="s">
        <v>393</v>
      </c>
      <c r="P1077" s="9" t="s">
        <v>397</v>
      </c>
      <c r="Q1077" s="41"/>
      <c r="R1077" s="41">
        <v>385</v>
      </c>
      <c r="S1077" s="11">
        <f t="shared" si="144"/>
        <v>385</v>
      </c>
      <c r="T1077" s="9"/>
      <c r="U1077" s="14" t="s">
        <v>77</v>
      </c>
      <c r="V1077" s="9"/>
      <c r="W1077" s="12">
        <v>30</v>
      </c>
      <c r="X1077" s="13"/>
      <c r="Y1077" s="13"/>
      <c r="Z1077" s="13"/>
      <c r="AA1077" s="13"/>
      <c r="AB1077" s="13"/>
      <c r="AC1077" s="13">
        <f t="shared" si="145"/>
        <v>0.23100000000000001</v>
      </c>
      <c r="AD1077" s="34"/>
      <c r="AE1077" s="13"/>
      <c r="AF1077" s="13">
        <f t="shared" si="146"/>
        <v>2.31</v>
      </c>
      <c r="AG1077" s="13"/>
      <c r="AH1077" s="34"/>
      <c r="AI1077" s="13"/>
      <c r="AJ1077" s="13">
        <f t="shared" si="139"/>
        <v>2.5409999999999999</v>
      </c>
      <c r="AK1077" s="9"/>
      <c r="AL1077" s="13"/>
      <c r="AM1077" s="9"/>
      <c r="AN1077" s="9"/>
      <c r="AO1077" s="9"/>
      <c r="AP1077" s="14"/>
    </row>
    <row r="1078" spans="1:42" s="45" customFormat="1" ht="22" customHeight="1">
      <c r="A1078" s="14" t="s">
        <v>21</v>
      </c>
      <c r="B1078" s="8">
        <v>2024</v>
      </c>
      <c r="C1078" s="8" t="s">
        <v>8</v>
      </c>
      <c r="D1078" s="9" t="s">
        <v>185</v>
      </c>
      <c r="E1078" s="9" t="s">
        <v>10</v>
      </c>
      <c r="F1078" s="9" t="s">
        <v>186</v>
      </c>
      <c r="G1078" s="8"/>
      <c r="H1078" s="8"/>
      <c r="I1078" s="9" t="s">
        <v>14</v>
      </c>
      <c r="J1078" s="14" t="s">
        <v>14</v>
      </c>
      <c r="K1078" s="10" t="s">
        <v>14</v>
      </c>
      <c r="L1078" s="9" t="s">
        <v>209</v>
      </c>
      <c r="M1078" s="9" t="s">
        <v>99</v>
      </c>
      <c r="N1078" s="9" t="s">
        <v>377</v>
      </c>
      <c r="O1078" s="9" t="s">
        <v>393</v>
      </c>
      <c r="P1078" s="9" t="s">
        <v>398</v>
      </c>
      <c r="Q1078" s="41"/>
      <c r="R1078" s="41">
        <v>150</v>
      </c>
      <c r="S1078" s="11">
        <f t="shared" si="144"/>
        <v>150</v>
      </c>
      <c r="T1078" s="9"/>
      <c r="U1078" s="14" t="s">
        <v>77</v>
      </c>
      <c r="V1078" s="9"/>
      <c r="W1078" s="12">
        <v>30</v>
      </c>
      <c r="X1078" s="13"/>
      <c r="Y1078" s="13"/>
      <c r="Z1078" s="13"/>
      <c r="AA1078" s="13"/>
      <c r="AB1078" s="13"/>
      <c r="AC1078" s="13">
        <f t="shared" si="145"/>
        <v>0.09</v>
      </c>
      <c r="AD1078" s="34"/>
      <c r="AE1078" s="13"/>
      <c r="AF1078" s="13">
        <f t="shared" si="146"/>
        <v>0.9</v>
      </c>
      <c r="AG1078" s="13"/>
      <c r="AH1078" s="34"/>
      <c r="AI1078" s="13"/>
      <c r="AJ1078" s="13">
        <f t="shared" si="139"/>
        <v>0.99</v>
      </c>
      <c r="AK1078" s="9"/>
      <c r="AL1078" s="13"/>
      <c r="AM1078" s="9"/>
      <c r="AN1078" s="9"/>
      <c r="AO1078" s="9"/>
      <c r="AP1078" s="14"/>
    </row>
    <row r="1079" spans="1:42" s="45" customFormat="1" ht="22" customHeight="1">
      <c r="A1079" s="14" t="s">
        <v>21</v>
      </c>
      <c r="B1079" s="8">
        <v>2024</v>
      </c>
      <c r="C1079" s="8" t="s">
        <v>8</v>
      </c>
      <c r="D1079" s="9" t="s">
        <v>185</v>
      </c>
      <c r="E1079" s="9" t="s">
        <v>10</v>
      </c>
      <c r="F1079" s="9" t="s">
        <v>186</v>
      </c>
      <c r="G1079" s="8"/>
      <c r="H1079" s="8"/>
      <c r="I1079" s="9" t="s">
        <v>14</v>
      </c>
      <c r="J1079" s="14" t="s">
        <v>14</v>
      </c>
      <c r="K1079" s="10" t="s">
        <v>14</v>
      </c>
      <c r="L1079" s="9" t="s">
        <v>209</v>
      </c>
      <c r="M1079" s="9" t="s">
        <v>99</v>
      </c>
      <c r="N1079" s="9" t="s">
        <v>377</v>
      </c>
      <c r="O1079" s="9" t="s">
        <v>399</v>
      </c>
      <c r="P1079" s="9" t="s">
        <v>400</v>
      </c>
      <c r="Q1079" s="41"/>
      <c r="R1079" s="41">
        <v>325</v>
      </c>
      <c r="S1079" s="11">
        <f t="shared" si="144"/>
        <v>325</v>
      </c>
      <c r="T1079" s="9"/>
      <c r="U1079" s="14" t="s">
        <v>77</v>
      </c>
      <c r="V1079" s="9"/>
      <c r="W1079" s="12">
        <v>30</v>
      </c>
      <c r="X1079" s="13"/>
      <c r="Y1079" s="13"/>
      <c r="Z1079" s="13"/>
      <c r="AA1079" s="13"/>
      <c r="AB1079" s="13"/>
      <c r="AC1079" s="13">
        <f t="shared" si="145"/>
        <v>0.19500000000000001</v>
      </c>
      <c r="AD1079" s="34"/>
      <c r="AE1079" s="13"/>
      <c r="AF1079" s="13">
        <f t="shared" si="146"/>
        <v>1.95</v>
      </c>
      <c r="AG1079" s="13"/>
      <c r="AH1079" s="34"/>
      <c r="AI1079" s="13"/>
      <c r="AJ1079" s="13">
        <f t="shared" si="139"/>
        <v>2.145</v>
      </c>
      <c r="AK1079" s="9"/>
      <c r="AL1079" s="13"/>
      <c r="AM1079" s="9"/>
      <c r="AN1079" s="9"/>
      <c r="AO1079" s="9"/>
      <c r="AP1079" s="14"/>
    </row>
    <row r="1080" spans="1:42" s="45" customFormat="1" ht="22" customHeight="1">
      <c r="A1080" s="14" t="s">
        <v>21</v>
      </c>
      <c r="B1080" s="8">
        <v>2024</v>
      </c>
      <c r="C1080" s="8" t="s">
        <v>8</v>
      </c>
      <c r="D1080" s="9" t="s">
        <v>185</v>
      </c>
      <c r="E1080" s="9" t="s">
        <v>10</v>
      </c>
      <c r="F1080" s="9" t="s">
        <v>186</v>
      </c>
      <c r="G1080" s="8"/>
      <c r="H1080" s="8"/>
      <c r="I1080" s="9" t="s">
        <v>14</v>
      </c>
      <c r="J1080" s="14" t="s">
        <v>14</v>
      </c>
      <c r="K1080" s="10" t="s">
        <v>14</v>
      </c>
      <c r="L1080" s="9" t="s">
        <v>209</v>
      </c>
      <c r="M1080" s="9" t="s">
        <v>99</v>
      </c>
      <c r="N1080" s="9" t="s">
        <v>377</v>
      </c>
      <c r="O1080" s="9" t="s">
        <v>399</v>
      </c>
      <c r="P1080" s="9" t="s">
        <v>401</v>
      </c>
      <c r="Q1080" s="41"/>
      <c r="R1080" s="41">
        <v>465</v>
      </c>
      <c r="S1080" s="11">
        <f t="shared" si="144"/>
        <v>465</v>
      </c>
      <c r="T1080" s="9"/>
      <c r="U1080" s="14" t="s">
        <v>77</v>
      </c>
      <c r="V1080" s="9"/>
      <c r="W1080" s="12">
        <v>30</v>
      </c>
      <c r="X1080" s="13"/>
      <c r="Y1080" s="13"/>
      <c r="Z1080" s="13"/>
      <c r="AA1080" s="13"/>
      <c r="AB1080" s="13"/>
      <c r="AC1080" s="13">
        <f t="shared" si="145"/>
        <v>0.27900000000000003</v>
      </c>
      <c r="AD1080" s="34"/>
      <c r="AE1080" s="13"/>
      <c r="AF1080" s="13">
        <f t="shared" si="146"/>
        <v>2.79</v>
      </c>
      <c r="AG1080" s="13"/>
      <c r="AH1080" s="34"/>
      <c r="AI1080" s="13"/>
      <c r="AJ1080" s="13">
        <f t="shared" si="139"/>
        <v>3.069</v>
      </c>
      <c r="AK1080" s="9"/>
      <c r="AL1080" s="13"/>
      <c r="AM1080" s="9"/>
      <c r="AN1080" s="9"/>
      <c r="AO1080" s="9"/>
      <c r="AP1080" s="14"/>
    </row>
    <row r="1081" spans="1:42" s="45" customFormat="1" ht="22" customHeight="1">
      <c r="A1081" s="14" t="s">
        <v>21</v>
      </c>
      <c r="B1081" s="8">
        <v>2024</v>
      </c>
      <c r="C1081" s="8" t="s">
        <v>8</v>
      </c>
      <c r="D1081" s="9" t="s">
        <v>185</v>
      </c>
      <c r="E1081" s="9" t="s">
        <v>10</v>
      </c>
      <c r="F1081" s="9" t="s">
        <v>186</v>
      </c>
      <c r="G1081" s="8"/>
      <c r="H1081" s="8"/>
      <c r="I1081" s="9" t="s">
        <v>14</v>
      </c>
      <c r="J1081" s="14" t="s">
        <v>14</v>
      </c>
      <c r="K1081" s="10" t="s">
        <v>14</v>
      </c>
      <c r="L1081" s="9" t="s">
        <v>209</v>
      </c>
      <c r="M1081" s="9" t="s">
        <v>99</v>
      </c>
      <c r="N1081" s="9" t="s">
        <v>377</v>
      </c>
      <c r="O1081" s="9" t="s">
        <v>399</v>
      </c>
      <c r="P1081" s="9" t="s">
        <v>402</v>
      </c>
      <c r="Q1081" s="41"/>
      <c r="R1081" s="41">
        <v>90</v>
      </c>
      <c r="S1081" s="11">
        <f t="shared" si="144"/>
        <v>90</v>
      </c>
      <c r="T1081" s="9"/>
      <c r="U1081" s="14" t="s">
        <v>77</v>
      </c>
      <c r="V1081" s="9"/>
      <c r="W1081" s="12">
        <v>30</v>
      </c>
      <c r="X1081" s="13"/>
      <c r="Y1081" s="13"/>
      <c r="Z1081" s="13"/>
      <c r="AA1081" s="13"/>
      <c r="AB1081" s="13"/>
      <c r="AC1081" s="13">
        <f t="shared" si="145"/>
        <v>5.3999999999999999E-2</v>
      </c>
      <c r="AD1081" s="34"/>
      <c r="AE1081" s="13"/>
      <c r="AF1081" s="13">
        <f t="shared" si="146"/>
        <v>0.54</v>
      </c>
      <c r="AG1081" s="13"/>
      <c r="AH1081" s="34"/>
      <c r="AI1081" s="13"/>
      <c r="AJ1081" s="13">
        <f t="shared" si="139"/>
        <v>0.59400000000000008</v>
      </c>
      <c r="AK1081" s="9"/>
      <c r="AL1081" s="13"/>
      <c r="AM1081" s="9"/>
      <c r="AN1081" s="9"/>
      <c r="AO1081" s="9"/>
      <c r="AP1081" s="14"/>
    </row>
    <row r="1082" spans="1:42" s="45" customFormat="1" ht="22" customHeight="1">
      <c r="A1082" s="14" t="s">
        <v>21</v>
      </c>
      <c r="B1082" s="8">
        <v>2024</v>
      </c>
      <c r="C1082" s="8" t="s">
        <v>8</v>
      </c>
      <c r="D1082" s="9" t="s">
        <v>185</v>
      </c>
      <c r="E1082" s="9" t="s">
        <v>10</v>
      </c>
      <c r="F1082" s="9" t="s">
        <v>186</v>
      </c>
      <c r="G1082" s="8"/>
      <c r="H1082" s="8"/>
      <c r="I1082" s="9" t="s">
        <v>14</v>
      </c>
      <c r="J1082" s="14" t="s">
        <v>14</v>
      </c>
      <c r="K1082" s="10" t="s">
        <v>14</v>
      </c>
      <c r="L1082" s="9" t="s">
        <v>209</v>
      </c>
      <c r="M1082" s="9" t="s">
        <v>99</v>
      </c>
      <c r="N1082" s="9" t="s">
        <v>377</v>
      </c>
      <c r="O1082" s="9" t="s">
        <v>403</v>
      </c>
      <c r="P1082" s="9" t="s">
        <v>404</v>
      </c>
      <c r="Q1082" s="41"/>
      <c r="R1082" s="41">
        <v>225</v>
      </c>
      <c r="S1082" s="11">
        <f t="shared" si="144"/>
        <v>225</v>
      </c>
      <c r="T1082" s="9"/>
      <c r="U1082" s="14" t="s">
        <v>77</v>
      </c>
      <c r="V1082" s="9"/>
      <c r="W1082" s="12">
        <v>30</v>
      </c>
      <c r="X1082" s="13"/>
      <c r="Y1082" s="13"/>
      <c r="Z1082" s="13"/>
      <c r="AA1082" s="13"/>
      <c r="AB1082" s="13"/>
      <c r="AC1082" s="13">
        <f t="shared" si="145"/>
        <v>0.13500000000000001</v>
      </c>
      <c r="AD1082" s="34"/>
      <c r="AE1082" s="13"/>
      <c r="AF1082" s="13">
        <f t="shared" si="146"/>
        <v>1.35</v>
      </c>
      <c r="AG1082" s="13"/>
      <c r="AH1082" s="34"/>
      <c r="AI1082" s="13"/>
      <c r="AJ1082" s="13">
        <f t="shared" si="139"/>
        <v>1.4850000000000001</v>
      </c>
      <c r="AK1082" s="9"/>
      <c r="AL1082" s="13"/>
      <c r="AM1082" s="9"/>
      <c r="AN1082" s="9"/>
      <c r="AO1082" s="9"/>
      <c r="AP1082" s="14"/>
    </row>
    <row r="1083" spans="1:42" s="45" customFormat="1" ht="22" customHeight="1">
      <c r="A1083" s="14" t="s">
        <v>21</v>
      </c>
      <c r="B1083" s="8">
        <v>2024</v>
      </c>
      <c r="C1083" s="8" t="s">
        <v>8</v>
      </c>
      <c r="D1083" s="9" t="s">
        <v>185</v>
      </c>
      <c r="E1083" s="9" t="s">
        <v>10</v>
      </c>
      <c r="F1083" s="9" t="s">
        <v>186</v>
      </c>
      <c r="G1083" s="8"/>
      <c r="H1083" s="8"/>
      <c r="I1083" s="9" t="s">
        <v>14</v>
      </c>
      <c r="J1083" s="14" t="s">
        <v>14</v>
      </c>
      <c r="K1083" s="10" t="s">
        <v>14</v>
      </c>
      <c r="L1083" s="9" t="s">
        <v>209</v>
      </c>
      <c r="M1083" s="9" t="s">
        <v>99</v>
      </c>
      <c r="N1083" s="9" t="s">
        <v>377</v>
      </c>
      <c r="O1083" s="9" t="s">
        <v>403</v>
      </c>
      <c r="P1083" s="9" t="s">
        <v>405</v>
      </c>
      <c r="Q1083" s="11"/>
      <c r="R1083" s="11">
        <v>135</v>
      </c>
      <c r="S1083" s="11">
        <f t="shared" si="144"/>
        <v>135</v>
      </c>
      <c r="T1083" s="9"/>
      <c r="U1083" s="14" t="s">
        <v>77</v>
      </c>
      <c r="V1083" s="9"/>
      <c r="W1083" s="12">
        <v>30</v>
      </c>
      <c r="X1083" s="13"/>
      <c r="Y1083" s="13"/>
      <c r="Z1083" s="13"/>
      <c r="AA1083" s="13"/>
      <c r="AB1083" s="13"/>
      <c r="AC1083" s="13">
        <f>+S1083*W1083*20/1000000</f>
        <v>8.1000000000000003E-2</v>
      </c>
      <c r="AD1083" s="13"/>
      <c r="AE1083" s="13"/>
      <c r="AF1083" s="13">
        <f>+S1083*W1083*200/1000000</f>
        <v>0.81</v>
      </c>
      <c r="AG1083" s="13"/>
      <c r="AH1083" s="13"/>
      <c r="AI1083" s="13"/>
      <c r="AJ1083" s="13">
        <f t="shared" si="139"/>
        <v>0.89100000000000001</v>
      </c>
      <c r="AK1083" s="9"/>
      <c r="AL1083" s="13"/>
      <c r="AM1083" s="9"/>
      <c r="AN1083" s="9"/>
      <c r="AO1083" s="9"/>
      <c r="AP1083" s="14"/>
    </row>
    <row r="1084" spans="1:42" s="45" customFormat="1" ht="22" customHeight="1">
      <c r="A1084" s="14" t="s">
        <v>21</v>
      </c>
      <c r="B1084" s="8">
        <v>2024</v>
      </c>
      <c r="C1084" s="8" t="s">
        <v>8</v>
      </c>
      <c r="D1084" s="9" t="s">
        <v>185</v>
      </c>
      <c r="E1084" s="9" t="s">
        <v>15</v>
      </c>
      <c r="F1084" s="9" t="s">
        <v>186</v>
      </c>
      <c r="G1084" s="8"/>
      <c r="H1084" s="8"/>
      <c r="I1084" s="9" t="s">
        <v>14</v>
      </c>
      <c r="J1084" s="14" t="s">
        <v>14</v>
      </c>
      <c r="K1084" s="10" t="s">
        <v>14</v>
      </c>
      <c r="L1084" s="9" t="s">
        <v>209</v>
      </c>
      <c r="M1084" s="9" t="s">
        <v>99</v>
      </c>
      <c r="N1084" s="9" t="s">
        <v>377</v>
      </c>
      <c r="O1084" s="9" t="s">
        <v>393</v>
      </c>
      <c r="P1084" s="9" t="s">
        <v>394</v>
      </c>
      <c r="Q1084" s="11">
        <v>685</v>
      </c>
      <c r="R1084" s="11"/>
      <c r="S1084" s="11">
        <f t="shared" ref="S1084:S1093" si="147">Q1084</f>
        <v>685</v>
      </c>
      <c r="T1084" s="9"/>
      <c r="U1084" s="14" t="s">
        <v>77</v>
      </c>
      <c r="V1084" s="9"/>
      <c r="W1084" s="12">
        <v>30</v>
      </c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>
        <f t="shared" ref="AH1084:AH1093" si="148">+S1084*W1084*50/1000000</f>
        <v>1.0275000000000001</v>
      </c>
      <c r="AI1084" s="13"/>
      <c r="AJ1084" s="13">
        <f t="shared" si="139"/>
        <v>1.0275000000000001</v>
      </c>
      <c r="AK1084" s="9"/>
      <c r="AL1084" s="13"/>
      <c r="AM1084" s="9"/>
      <c r="AN1084" s="9"/>
      <c r="AO1084" s="9"/>
      <c r="AP1084" s="14"/>
    </row>
    <row r="1085" spans="1:42" s="45" customFormat="1" ht="22" customHeight="1">
      <c r="A1085" s="14" t="s">
        <v>21</v>
      </c>
      <c r="B1085" s="8">
        <v>2024</v>
      </c>
      <c r="C1085" s="8" t="s">
        <v>8</v>
      </c>
      <c r="D1085" s="9" t="s">
        <v>185</v>
      </c>
      <c r="E1085" s="9" t="s">
        <v>15</v>
      </c>
      <c r="F1085" s="9" t="s">
        <v>186</v>
      </c>
      <c r="G1085" s="8"/>
      <c r="H1085" s="8"/>
      <c r="I1085" s="9" t="s">
        <v>14</v>
      </c>
      <c r="J1085" s="14" t="s">
        <v>14</v>
      </c>
      <c r="K1085" s="10" t="s">
        <v>14</v>
      </c>
      <c r="L1085" s="9" t="s">
        <v>209</v>
      </c>
      <c r="M1085" s="9" t="s">
        <v>99</v>
      </c>
      <c r="N1085" s="9" t="s">
        <v>377</v>
      </c>
      <c r="O1085" s="9" t="s">
        <v>393</v>
      </c>
      <c r="P1085" s="9" t="s">
        <v>395</v>
      </c>
      <c r="Q1085" s="11">
        <v>725</v>
      </c>
      <c r="R1085" s="11"/>
      <c r="S1085" s="11">
        <f t="shared" si="147"/>
        <v>725</v>
      </c>
      <c r="T1085" s="9"/>
      <c r="U1085" s="14" t="s">
        <v>77</v>
      </c>
      <c r="V1085" s="9"/>
      <c r="W1085" s="12">
        <v>30</v>
      </c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>
        <f t="shared" si="148"/>
        <v>1.0874999999999999</v>
      </c>
      <c r="AI1085" s="13"/>
      <c r="AJ1085" s="13">
        <f t="shared" si="139"/>
        <v>1.0874999999999999</v>
      </c>
      <c r="AK1085" s="9"/>
      <c r="AL1085" s="13"/>
      <c r="AM1085" s="9"/>
      <c r="AN1085" s="9"/>
      <c r="AO1085" s="9"/>
      <c r="AP1085" s="14"/>
    </row>
    <row r="1086" spans="1:42" s="45" customFormat="1" ht="22" customHeight="1">
      <c r="A1086" s="14" t="s">
        <v>21</v>
      </c>
      <c r="B1086" s="8">
        <v>2024</v>
      </c>
      <c r="C1086" s="8" t="s">
        <v>8</v>
      </c>
      <c r="D1086" s="9" t="s">
        <v>185</v>
      </c>
      <c r="E1086" s="9" t="s">
        <v>15</v>
      </c>
      <c r="F1086" s="9" t="s">
        <v>186</v>
      </c>
      <c r="G1086" s="8"/>
      <c r="H1086" s="8"/>
      <c r="I1086" s="9" t="s">
        <v>14</v>
      </c>
      <c r="J1086" s="14" t="s">
        <v>14</v>
      </c>
      <c r="K1086" s="10" t="s">
        <v>14</v>
      </c>
      <c r="L1086" s="9" t="s">
        <v>209</v>
      </c>
      <c r="M1086" s="9" t="s">
        <v>99</v>
      </c>
      <c r="N1086" s="9" t="s">
        <v>377</v>
      </c>
      <c r="O1086" s="9" t="s">
        <v>393</v>
      </c>
      <c r="P1086" s="9" t="s">
        <v>396</v>
      </c>
      <c r="Q1086" s="11">
        <v>580</v>
      </c>
      <c r="R1086" s="11"/>
      <c r="S1086" s="11">
        <f t="shared" si="147"/>
        <v>580</v>
      </c>
      <c r="T1086" s="9"/>
      <c r="U1086" s="14" t="s">
        <v>77</v>
      </c>
      <c r="V1086" s="9"/>
      <c r="W1086" s="12">
        <v>30</v>
      </c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>
        <f t="shared" si="148"/>
        <v>0.87</v>
      </c>
      <c r="AI1086" s="13"/>
      <c r="AJ1086" s="13">
        <f t="shared" si="139"/>
        <v>0.87</v>
      </c>
      <c r="AK1086" s="9"/>
      <c r="AL1086" s="13"/>
      <c r="AM1086" s="9"/>
      <c r="AN1086" s="9"/>
      <c r="AO1086" s="9"/>
      <c r="AP1086" s="14"/>
    </row>
    <row r="1087" spans="1:42" s="45" customFormat="1" ht="22" customHeight="1">
      <c r="A1087" s="14" t="s">
        <v>21</v>
      </c>
      <c r="B1087" s="8">
        <v>2024</v>
      </c>
      <c r="C1087" s="8" t="s">
        <v>8</v>
      </c>
      <c r="D1087" s="9" t="s">
        <v>185</v>
      </c>
      <c r="E1087" s="9" t="s">
        <v>15</v>
      </c>
      <c r="F1087" s="9" t="s">
        <v>186</v>
      </c>
      <c r="G1087" s="8"/>
      <c r="H1087" s="8"/>
      <c r="I1087" s="9" t="s">
        <v>14</v>
      </c>
      <c r="J1087" s="14" t="s">
        <v>14</v>
      </c>
      <c r="K1087" s="10" t="s">
        <v>14</v>
      </c>
      <c r="L1087" s="9" t="s">
        <v>209</v>
      </c>
      <c r="M1087" s="9" t="s">
        <v>99</v>
      </c>
      <c r="N1087" s="9" t="s">
        <v>377</v>
      </c>
      <c r="O1087" s="9" t="s">
        <v>393</v>
      </c>
      <c r="P1087" s="9" t="s">
        <v>397</v>
      </c>
      <c r="Q1087" s="11">
        <v>795</v>
      </c>
      <c r="R1087" s="11"/>
      <c r="S1087" s="11">
        <f t="shared" si="147"/>
        <v>795</v>
      </c>
      <c r="T1087" s="9"/>
      <c r="U1087" s="14" t="s">
        <v>77</v>
      </c>
      <c r="V1087" s="9"/>
      <c r="W1087" s="12">
        <v>30</v>
      </c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>
        <f t="shared" si="148"/>
        <v>1.1924999999999999</v>
      </c>
      <c r="AI1087" s="13"/>
      <c r="AJ1087" s="13">
        <f t="shared" si="139"/>
        <v>1.1924999999999999</v>
      </c>
      <c r="AK1087" s="9"/>
      <c r="AL1087" s="13"/>
      <c r="AM1087" s="9"/>
      <c r="AN1087" s="9"/>
      <c r="AO1087" s="9"/>
      <c r="AP1087" s="14"/>
    </row>
    <row r="1088" spans="1:42" s="45" customFormat="1" ht="22" customHeight="1">
      <c r="A1088" s="14" t="s">
        <v>21</v>
      </c>
      <c r="B1088" s="8">
        <v>2024</v>
      </c>
      <c r="C1088" s="8" t="s">
        <v>8</v>
      </c>
      <c r="D1088" s="9" t="s">
        <v>185</v>
      </c>
      <c r="E1088" s="9" t="s">
        <v>15</v>
      </c>
      <c r="F1088" s="9" t="s">
        <v>186</v>
      </c>
      <c r="G1088" s="8"/>
      <c r="H1088" s="8"/>
      <c r="I1088" s="9" t="s">
        <v>14</v>
      </c>
      <c r="J1088" s="14" t="s">
        <v>14</v>
      </c>
      <c r="K1088" s="10" t="s">
        <v>14</v>
      </c>
      <c r="L1088" s="9" t="s">
        <v>209</v>
      </c>
      <c r="M1088" s="9" t="s">
        <v>99</v>
      </c>
      <c r="N1088" s="9" t="s">
        <v>377</v>
      </c>
      <c r="O1088" s="9" t="s">
        <v>393</v>
      </c>
      <c r="P1088" s="9" t="s">
        <v>398</v>
      </c>
      <c r="Q1088" s="11">
        <v>670</v>
      </c>
      <c r="R1088" s="11"/>
      <c r="S1088" s="11">
        <f t="shared" si="147"/>
        <v>670</v>
      </c>
      <c r="T1088" s="9"/>
      <c r="U1088" s="14" t="s">
        <v>77</v>
      </c>
      <c r="V1088" s="9"/>
      <c r="W1088" s="12">
        <v>30</v>
      </c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>
        <f t="shared" si="148"/>
        <v>1.0049999999999999</v>
      </c>
      <c r="AI1088" s="13"/>
      <c r="AJ1088" s="13">
        <f t="shared" si="139"/>
        <v>1.0049999999999999</v>
      </c>
      <c r="AK1088" s="9"/>
      <c r="AL1088" s="13"/>
      <c r="AM1088" s="9"/>
      <c r="AN1088" s="9"/>
      <c r="AO1088" s="9"/>
      <c r="AP1088" s="14"/>
    </row>
    <row r="1089" spans="1:42" s="45" customFormat="1" ht="22" customHeight="1">
      <c r="A1089" s="14" t="s">
        <v>21</v>
      </c>
      <c r="B1089" s="8">
        <v>2024</v>
      </c>
      <c r="C1089" s="8" t="s">
        <v>8</v>
      </c>
      <c r="D1089" s="9" t="s">
        <v>185</v>
      </c>
      <c r="E1089" s="9" t="s">
        <v>15</v>
      </c>
      <c r="F1089" s="9" t="s">
        <v>186</v>
      </c>
      <c r="G1089" s="8"/>
      <c r="H1089" s="8"/>
      <c r="I1089" s="9" t="s">
        <v>14</v>
      </c>
      <c r="J1089" s="14" t="s">
        <v>14</v>
      </c>
      <c r="K1089" s="10" t="s">
        <v>14</v>
      </c>
      <c r="L1089" s="9" t="s">
        <v>209</v>
      </c>
      <c r="M1089" s="9" t="s">
        <v>99</v>
      </c>
      <c r="N1089" s="9" t="s">
        <v>377</v>
      </c>
      <c r="O1089" s="9" t="s">
        <v>399</v>
      </c>
      <c r="P1089" s="9" t="s">
        <v>400</v>
      </c>
      <c r="Q1089" s="11">
        <v>625</v>
      </c>
      <c r="R1089" s="11"/>
      <c r="S1089" s="11">
        <f t="shared" si="147"/>
        <v>625</v>
      </c>
      <c r="T1089" s="9"/>
      <c r="U1089" s="14" t="s">
        <v>77</v>
      </c>
      <c r="V1089" s="9"/>
      <c r="W1089" s="12">
        <v>30</v>
      </c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>
        <f t="shared" si="148"/>
        <v>0.9375</v>
      </c>
      <c r="AI1089" s="13"/>
      <c r="AJ1089" s="13">
        <f t="shared" si="139"/>
        <v>0.9375</v>
      </c>
      <c r="AK1089" s="9"/>
      <c r="AL1089" s="13"/>
      <c r="AM1089" s="9"/>
      <c r="AN1089" s="9"/>
      <c r="AO1089" s="9"/>
      <c r="AP1089" s="14"/>
    </row>
    <row r="1090" spans="1:42" s="45" customFormat="1" ht="22" customHeight="1">
      <c r="A1090" s="14" t="s">
        <v>21</v>
      </c>
      <c r="B1090" s="8">
        <v>2024</v>
      </c>
      <c r="C1090" s="8" t="s">
        <v>8</v>
      </c>
      <c r="D1090" s="9" t="s">
        <v>185</v>
      </c>
      <c r="E1090" s="9" t="s">
        <v>15</v>
      </c>
      <c r="F1090" s="9" t="s">
        <v>186</v>
      </c>
      <c r="G1090" s="8"/>
      <c r="H1090" s="8"/>
      <c r="I1090" s="9" t="s">
        <v>14</v>
      </c>
      <c r="J1090" s="14" t="s">
        <v>14</v>
      </c>
      <c r="K1090" s="10" t="s">
        <v>14</v>
      </c>
      <c r="L1090" s="9" t="s">
        <v>209</v>
      </c>
      <c r="M1090" s="9" t="s">
        <v>99</v>
      </c>
      <c r="N1090" s="9" t="s">
        <v>377</v>
      </c>
      <c r="O1090" s="9" t="s">
        <v>399</v>
      </c>
      <c r="P1090" s="9" t="s">
        <v>401</v>
      </c>
      <c r="Q1090" s="11">
        <v>1100</v>
      </c>
      <c r="R1090" s="11"/>
      <c r="S1090" s="11">
        <f t="shared" si="147"/>
        <v>1100</v>
      </c>
      <c r="T1090" s="9"/>
      <c r="U1090" s="14" t="s">
        <v>77</v>
      </c>
      <c r="V1090" s="9"/>
      <c r="W1090" s="12">
        <v>30</v>
      </c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>
        <f t="shared" si="148"/>
        <v>1.65</v>
      </c>
      <c r="AI1090" s="13"/>
      <c r="AJ1090" s="13">
        <f t="shared" si="139"/>
        <v>1.65</v>
      </c>
      <c r="AK1090" s="9"/>
      <c r="AL1090" s="13"/>
      <c r="AM1090" s="9"/>
      <c r="AN1090" s="9"/>
      <c r="AO1090" s="9"/>
      <c r="AP1090" s="14"/>
    </row>
    <row r="1091" spans="1:42" s="45" customFormat="1" ht="22" customHeight="1">
      <c r="A1091" s="14" t="s">
        <v>21</v>
      </c>
      <c r="B1091" s="8">
        <v>2024</v>
      </c>
      <c r="C1091" s="8" t="s">
        <v>8</v>
      </c>
      <c r="D1091" s="9" t="s">
        <v>185</v>
      </c>
      <c r="E1091" s="9" t="s">
        <v>15</v>
      </c>
      <c r="F1091" s="9" t="s">
        <v>186</v>
      </c>
      <c r="G1091" s="8"/>
      <c r="H1091" s="8"/>
      <c r="I1091" s="9" t="s">
        <v>14</v>
      </c>
      <c r="J1091" s="14" t="s">
        <v>14</v>
      </c>
      <c r="K1091" s="10" t="s">
        <v>14</v>
      </c>
      <c r="L1091" s="9" t="s">
        <v>209</v>
      </c>
      <c r="M1091" s="9" t="s">
        <v>99</v>
      </c>
      <c r="N1091" s="9" t="s">
        <v>377</v>
      </c>
      <c r="O1091" s="9" t="s">
        <v>399</v>
      </c>
      <c r="P1091" s="9" t="s">
        <v>402</v>
      </c>
      <c r="Q1091" s="11">
        <v>230</v>
      </c>
      <c r="R1091" s="11"/>
      <c r="S1091" s="11">
        <f t="shared" si="147"/>
        <v>230</v>
      </c>
      <c r="T1091" s="9"/>
      <c r="U1091" s="14" t="s">
        <v>77</v>
      </c>
      <c r="V1091" s="9"/>
      <c r="W1091" s="12">
        <v>30</v>
      </c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>
        <f t="shared" si="148"/>
        <v>0.34499999999999997</v>
      </c>
      <c r="AI1091" s="13"/>
      <c r="AJ1091" s="13">
        <f t="shared" si="139"/>
        <v>0.34499999999999997</v>
      </c>
      <c r="AK1091" s="9"/>
      <c r="AL1091" s="13"/>
      <c r="AM1091" s="9"/>
      <c r="AN1091" s="9"/>
      <c r="AO1091" s="9"/>
      <c r="AP1091" s="14"/>
    </row>
    <row r="1092" spans="1:42" s="45" customFormat="1" ht="22" customHeight="1">
      <c r="A1092" s="14" t="s">
        <v>21</v>
      </c>
      <c r="B1092" s="8">
        <v>2024</v>
      </c>
      <c r="C1092" s="8" t="s">
        <v>8</v>
      </c>
      <c r="D1092" s="9" t="s">
        <v>185</v>
      </c>
      <c r="E1092" s="9" t="s">
        <v>15</v>
      </c>
      <c r="F1092" s="9" t="s">
        <v>186</v>
      </c>
      <c r="G1092" s="8"/>
      <c r="H1092" s="8"/>
      <c r="I1092" s="9" t="s">
        <v>14</v>
      </c>
      <c r="J1092" s="14" t="s">
        <v>14</v>
      </c>
      <c r="K1092" s="10" t="s">
        <v>14</v>
      </c>
      <c r="L1092" s="9" t="s">
        <v>209</v>
      </c>
      <c r="M1092" s="9" t="s">
        <v>99</v>
      </c>
      <c r="N1092" s="9" t="s">
        <v>377</v>
      </c>
      <c r="O1092" s="9" t="s">
        <v>403</v>
      </c>
      <c r="P1092" s="9" t="s">
        <v>404</v>
      </c>
      <c r="Q1092" s="11">
        <v>450</v>
      </c>
      <c r="R1092" s="11"/>
      <c r="S1092" s="11">
        <f t="shared" si="147"/>
        <v>450</v>
      </c>
      <c r="T1092" s="9"/>
      <c r="U1092" s="14" t="s">
        <v>77</v>
      </c>
      <c r="V1092" s="9"/>
      <c r="W1092" s="12">
        <v>30</v>
      </c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>
        <f t="shared" si="148"/>
        <v>0.67500000000000004</v>
      </c>
      <c r="AI1092" s="13"/>
      <c r="AJ1092" s="13">
        <f t="shared" si="139"/>
        <v>0.67500000000000004</v>
      </c>
      <c r="AK1092" s="9"/>
      <c r="AL1092" s="13"/>
      <c r="AM1092" s="9"/>
      <c r="AN1092" s="9"/>
      <c r="AO1092" s="9"/>
      <c r="AP1092" s="14"/>
    </row>
    <row r="1093" spans="1:42" s="45" customFormat="1" ht="22" customHeight="1">
      <c r="A1093" s="14" t="s">
        <v>21</v>
      </c>
      <c r="B1093" s="8">
        <v>2024</v>
      </c>
      <c r="C1093" s="8" t="s">
        <v>8</v>
      </c>
      <c r="D1093" s="9" t="s">
        <v>185</v>
      </c>
      <c r="E1093" s="9" t="s">
        <v>15</v>
      </c>
      <c r="F1093" s="9" t="s">
        <v>186</v>
      </c>
      <c r="G1093" s="8"/>
      <c r="H1093" s="8"/>
      <c r="I1093" s="9" t="s">
        <v>14</v>
      </c>
      <c r="J1093" s="14" t="s">
        <v>14</v>
      </c>
      <c r="K1093" s="10" t="s">
        <v>14</v>
      </c>
      <c r="L1093" s="9" t="s">
        <v>209</v>
      </c>
      <c r="M1093" s="9" t="s">
        <v>99</v>
      </c>
      <c r="N1093" s="9" t="s">
        <v>377</v>
      </c>
      <c r="O1093" s="9" t="s">
        <v>403</v>
      </c>
      <c r="P1093" s="9" t="s">
        <v>405</v>
      </c>
      <c r="Q1093" s="11">
        <v>220</v>
      </c>
      <c r="R1093" s="11"/>
      <c r="S1093" s="11">
        <f t="shared" si="147"/>
        <v>220</v>
      </c>
      <c r="T1093" s="9"/>
      <c r="U1093" s="14" t="s">
        <v>77</v>
      </c>
      <c r="V1093" s="9"/>
      <c r="W1093" s="12">
        <v>30</v>
      </c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>
        <f t="shared" si="148"/>
        <v>0.33</v>
      </c>
      <c r="AI1093" s="13"/>
      <c r="AJ1093" s="13">
        <f t="shared" si="139"/>
        <v>0.33</v>
      </c>
      <c r="AK1093" s="9"/>
      <c r="AL1093" s="13"/>
      <c r="AM1093" s="9"/>
      <c r="AN1093" s="9"/>
      <c r="AO1093" s="9"/>
      <c r="AP1093" s="14"/>
    </row>
    <row r="1094" spans="1:42" s="45" customFormat="1" ht="22" customHeight="1">
      <c r="A1094" s="14" t="s">
        <v>21</v>
      </c>
      <c r="B1094" s="8">
        <v>2024</v>
      </c>
      <c r="C1094" s="8" t="s">
        <v>8</v>
      </c>
      <c r="D1094" s="9" t="s">
        <v>185</v>
      </c>
      <c r="E1094" s="9" t="s">
        <v>15</v>
      </c>
      <c r="F1094" s="9" t="s">
        <v>186</v>
      </c>
      <c r="G1094" s="8"/>
      <c r="H1094" s="8"/>
      <c r="I1094" s="9" t="s">
        <v>187</v>
      </c>
      <c r="J1094" s="9" t="s">
        <v>11</v>
      </c>
      <c r="K1094" s="9" t="s">
        <v>82</v>
      </c>
      <c r="L1094" s="9" t="s">
        <v>166</v>
      </c>
      <c r="M1094" s="9" t="s">
        <v>28</v>
      </c>
      <c r="N1094" s="9" t="s">
        <v>266</v>
      </c>
      <c r="O1094" s="9" t="s">
        <v>189</v>
      </c>
      <c r="P1094" s="9" t="s">
        <v>190</v>
      </c>
      <c r="Q1094" s="11">
        <v>15</v>
      </c>
      <c r="R1094" s="11"/>
      <c r="S1094" s="11">
        <f t="shared" ref="S1094:S1121" si="149">Q1094+R1094</f>
        <v>15</v>
      </c>
      <c r="T1094" s="9"/>
      <c r="U1094" s="9" t="s">
        <v>191</v>
      </c>
      <c r="V1094" s="9"/>
      <c r="W1094" s="12">
        <v>30</v>
      </c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2">
        <f>+S1094*21000</f>
        <v>315000</v>
      </c>
      <c r="AL1094" s="161">
        <f t="shared" ref="AL1094:AL1121" si="150">AK1094/$AL$4</f>
        <v>69.0919778730199</v>
      </c>
      <c r="AM1094" s="9"/>
      <c r="AN1094" s="9"/>
      <c r="AO1094" s="9"/>
      <c r="AP1094" s="14"/>
    </row>
    <row r="1095" spans="1:42" s="45" customFormat="1" ht="22" customHeight="1">
      <c r="A1095" s="14" t="s">
        <v>21</v>
      </c>
      <c r="B1095" s="8">
        <v>2024</v>
      </c>
      <c r="C1095" s="8" t="s">
        <v>8</v>
      </c>
      <c r="D1095" s="9" t="s">
        <v>185</v>
      </c>
      <c r="E1095" s="9" t="s">
        <v>15</v>
      </c>
      <c r="F1095" s="9" t="s">
        <v>186</v>
      </c>
      <c r="G1095" s="8"/>
      <c r="H1095" s="8"/>
      <c r="I1095" s="9" t="s">
        <v>187</v>
      </c>
      <c r="J1095" s="9" t="s">
        <v>11</v>
      </c>
      <c r="K1095" s="9" t="s">
        <v>82</v>
      </c>
      <c r="L1095" s="9" t="s">
        <v>166</v>
      </c>
      <c r="M1095" s="9" t="s">
        <v>28</v>
      </c>
      <c r="N1095" s="9" t="s">
        <v>266</v>
      </c>
      <c r="O1095" s="9" t="s">
        <v>189</v>
      </c>
      <c r="P1095" s="9" t="s">
        <v>192</v>
      </c>
      <c r="Q1095" s="11">
        <v>17</v>
      </c>
      <c r="R1095" s="11"/>
      <c r="S1095" s="11">
        <f t="shared" si="149"/>
        <v>17</v>
      </c>
      <c r="T1095" s="9"/>
      <c r="U1095" s="9" t="s">
        <v>191</v>
      </c>
      <c r="V1095" s="9"/>
      <c r="W1095" s="12">
        <v>30</v>
      </c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2">
        <f t="shared" ref="AK1095:AK1108" si="151">+S1095*21000</f>
        <v>357000</v>
      </c>
      <c r="AL1095" s="161">
        <f t="shared" si="150"/>
        <v>78.30424158942256</v>
      </c>
      <c r="AM1095" s="9"/>
      <c r="AN1095" s="9"/>
      <c r="AO1095" s="9"/>
      <c r="AP1095" s="14"/>
    </row>
    <row r="1096" spans="1:42" s="45" customFormat="1" ht="22" customHeight="1">
      <c r="A1096" s="14" t="s">
        <v>21</v>
      </c>
      <c r="B1096" s="8">
        <v>2024</v>
      </c>
      <c r="C1096" s="8" t="s">
        <v>8</v>
      </c>
      <c r="D1096" s="9" t="s">
        <v>185</v>
      </c>
      <c r="E1096" s="9" t="s">
        <v>15</v>
      </c>
      <c r="F1096" s="9" t="s">
        <v>186</v>
      </c>
      <c r="G1096" s="8"/>
      <c r="H1096" s="8"/>
      <c r="I1096" s="9" t="s">
        <v>187</v>
      </c>
      <c r="J1096" s="9" t="s">
        <v>11</v>
      </c>
      <c r="K1096" s="9" t="s">
        <v>82</v>
      </c>
      <c r="L1096" s="9" t="s">
        <v>166</v>
      </c>
      <c r="M1096" s="9" t="s">
        <v>28</v>
      </c>
      <c r="N1096" s="9" t="s">
        <v>266</v>
      </c>
      <c r="O1096" s="9" t="s">
        <v>193</v>
      </c>
      <c r="P1096" s="9" t="s">
        <v>194</v>
      </c>
      <c r="Q1096" s="11">
        <v>37</v>
      </c>
      <c r="R1096" s="11"/>
      <c r="S1096" s="11">
        <f t="shared" si="149"/>
        <v>37</v>
      </c>
      <c r="T1096" s="9"/>
      <c r="U1096" s="9" t="s">
        <v>191</v>
      </c>
      <c r="V1096" s="9"/>
      <c r="W1096" s="12">
        <v>30</v>
      </c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2">
        <f t="shared" si="151"/>
        <v>777000</v>
      </c>
      <c r="AL1096" s="161">
        <f t="shared" si="150"/>
        <v>170.4268787534491</v>
      </c>
      <c r="AM1096" s="9"/>
      <c r="AN1096" s="9"/>
      <c r="AO1096" s="9"/>
      <c r="AP1096" s="14"/>
    </row>
    <row r="1097" spans="1:42" s="45" customFormat="1" ht="22" customHeight="1">
      <c r="A1097" s="14" t="s">
        <v>21</v>
      </c>
      <c r="B1097" s="8">
        <v>2024</v>
      </c>
      <c r="C1097" s="8" t="s">
        <v>8</v>
      </c>
      <c r="D1097" s="9" t="s">
        <v>185</v>
      </c>
      <c r="E1097" s="9" t="s">
        <v>15</v>
      </c>
      <c r="F1097" s="9" t="s">
        <v>186</v>
      </c>
      <c r="G1097" s="8"/>
      <c r="H1097" s="8"/>
      <c r="I1097" s="9" t="s">
        <v>187</v>
      </c>
      <c r="J1097" s="9" t="s">
        <v>11</v>
      </c>
      <c r="K1097" s="9" t="s">
        <v>82</v>
      </c>
      <c r="L1097" s="9" t="s">
        <v>166</v>
      </c>
      <c r="M1097" s="9" t="s">
        <v>28</v>
      </c>
      <c r="N1097" s="9" t="s">
        <v>266</v>
      </c>
      <c r="O1097" s="9" t="s">
        <v>193</v>
      </c>
      <c r="P1097" s="9" t="s">
        <v>195</v>
      </c>
      <c r="Q1097" s="11">
        <v>52</v>
      </c>
      <c r="R1097" s="11"/>
      <c r="S1097" s="11">
        <f t="shared" si="149"/>
        <v>52</v>
      </c>
      <c r="T1097" s="9"/>
      <c r="U1097" s="9" t="s">
        <v>191</v>
      </c>
      <c r="V1097" s="9"/>
      <c r="W1097" s="12">
        <v>30</v>
      </c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2">
        <f t="shared" si="151"/>
        <v>1092000</v>
      </c>
      <c r="AL1097" s="161">
        <f t="shared" si="150"/>
        <v>239.51885662646902</v>
      </c>
      <c r="AM1097" s="9"/>
      <c r="AN1097" s="9"/>
      <c r="AO1097" s="9"/>
      <c r="AP1097" s="14"/>
    </row>
    <row r="1098" spans="1:42" s="45" customFormat="1" ht="22" customHeight="1">
      <c r="A1098" s="14" t="s">
        <v>21</v>
      </c>
      <c r="B1098" s="8">
        <v>2024</v>
      </c>
      <c r="C1098" s="8" t="s">
        <v>8</v>
      </c>
      <c r="D1098" s="9" t="s">
        <v>185</v>
      </c>
      <c r="E1098" s="9" t="s">
        <v>15</v>
      </c>
      <c r="F1098" s="9" t="s">
        <v>186</v>
      </c>
      <c r="G1098" s="8"/>
      <c r="H1098" s="8"/>
      <c r="I1098" s="9" t="s">
        <v>187</v>
      </c>
      <c r="J1098" s="9" t="s">
        <v>11</v>
      </c>
      <c r="K1098" s="9" t="s">
        <v>82</v>
      </c>
      <c r="L1098" s="9" t="s">
        <v>166</v>
      </c>
      <c r="M1098" s="9" t="s">
        <v>28</v>
      </c>
      <c r="N1098" s="9" t="s">
        <v>266</v>
      </c>
      <c r="O1098" s="9" t="s">
        <v>193</v>
      </c>
      <c r="P1098" s="9" t="s">
        <v>196</v>
      </c>
      <c r="Q1098" s="11">
        <v>3</v>
      </c>
      <c r="R1098" s="11"/>
      <c r="S1098" s="11">
        <f t="shared" si="149"/>
        <v>3</v>
      </c>
      <c r="T1098" s="9"/>
      <c r="U1098" s="9" t="s">
        <v>191</v>
      </c>
      <c r="V1098" s="9"/>
      <c r="W1098" s="12">
        <v>30</v>
      </c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2">
        <f t="shared" si="151"/>
        <v>63000</v>
      </c>
      <c r="AL1098" s="161">
        <f t="shared" si="150"/>
        <v>13.818395574603981</v>
      </c>
      <c r="AM1098" s="9"/>
      <c r="AN1098" s="9"/>
      <c r="AO1098" s="9"/>
      <c r="AP1098" s="14"/>
    </row>
    <row r="1099" spans="1:42" s="45" customFormat="1" ht="22" customHeight="1">
      <c r="A1099" s="14" t="s">
        <v>21</v>
      </c>
      <c r="B1099" s="8">
        <v>2024</v>
      </c>
      <c r="C1099" s="8" t="s">
        <v>8</v>
      </c>
      <c r="D1099" s="9" t="s">
        <v>185</v>
      </c>
      <c r="E1099" s="9" t="s">
        <v>15</v>
      </c>
      <c r="F1099" s="9" t="s">
        <v>186</v>
      </c>
      <c r="G1099" s="8"/>
      <c r="H1099" s="8"/>
      <c r="I1099" s="9" t="s">
        <v>187</v>
      </c>
      <c r="J1099" s="9" t="s">
        <v>11</v>
      </c>
      <c r="K1099" s="9" t="s">
        <v>82</v>
      </c>
      <c r="L1099" s="9" t="s">
        <v>166</v>
      </c>
      <c r="M1099" s="9" t="s">
        <v>28</v>
      </c>
      <c r="N1099" s="9" t="s">
        <v>266</v>
      </c>
      <c r="O1099" s="9" t="s">
        <v>193</v>
      </c>
      <c r="P1099" s="9" t="s">
        <v>197</v>
      </c>
      <c r="Q1099" s="11">
        <v>25</v>
      </c>
      <c r="R1099" s="11"/>
      <c r="S1099" s="11">
        <f t="shared" si="149"/>
        <v>25</v>
      </c>
      <c r="T1099" s="9"/>
      <c r="U1099" s="9" t="s">
        <v>191</v>
      </c>
      <c r="V1099" s="9"/>
      <c r="W1099" s="12">
        <v>30</v>
      </c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2">
        <f t="shared" si="151"/>
        <v>525000</v>
      </c>
      <c r="AL1099" s="161">
        <f t="shared" si="150"/>
        <v>115.15329645503317</v>
      </c>
      <c r="AM1099" s="9"/>
      <c r="AN1099" s="9"/>
      <c r="AO1099" s="9"/>
      <c r="AP1099" s="14"/>
    </row>
    <row r="1100" spans="1:42" s="45" customFormat="1" ht="22" customHeight="1">
      <c r="A1100" s="14" t="s">
        <v>21</v>
      </c>
      <c r="B1100" s="8">
        <v>2024</v>
      </c>
      <c r="C1100" s="8" t="s">
        <v>8</v>
      </c>
      <c r="D1100" s="9" t="s">
        <v>185</v>
      </c>
      <c r="E1100" s="9" t="s">
        <v>15</v>
      </c>
      <c r="F1100" s="9" t="s">
        <v>186</v>
      </c>
      <c r="G1100" s="8"/>
      <c r="H1100" s="8"/>
      <c r="I1100" s="9" t="s">
        <v>187</v>
      </c>
      <c r="J1100" s="9" t="s">
        <v>11</v>
      </c>
      <c r="K1100" s="9" t="s">
        <v>82</v>
      </c>
      <c r="L1100" s="9" t="s">
        <v>166</v>
      </c>
      <c r="M1100" s="9" t="s">
        <v>28</v>
      </c>
      <c r="N1100" s="9" t="s">
        <v>266</v>
      </c>
      <c r="O1100" s="9" t="s">
        <v>193</v>
      </c>
      <c r="P1100" s="9" t="s">
        <v>198</v>
      </c>
      <c r="Q1100" s="11">
        <v>25</v>
      </c>
      <c r="R1100" s="11"/>
      <c r="S1100" s="11">
        <f t="shared" si="149"/>
        <v>25</v>
      </c>
      <c r="T1100" s="9"/>
      <c r="U1100" s="9" t="s">
        <v>191</v>
      </c>
      <c r="V1100" s="9"/>
      <c r="W1100" s="12">
        <v>30</v>
      </c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2">
        <f t="shared" si="151"/>
        <v>525000</v>
      </c>
      <c r="AL1100" s="161">
        <f t="shared" si="150"/>
        <v>115.15329645503317</v>
      </c>
      <c r="AM1100" s="9"/>
      <c r="AN1100" s="9"/>
      <c r="AO1100" s="9"/>
      <c r="AP1100" s="14"/>
    </row>
    <row r="1101" spans="1:42" s="45" customFormat="1" ht="22" customHeight="1">
      <c r="A1101" s="14" t="s">
        <v>21</v>
      </c>
      <c r="B1101" s="8">
        <v>2024</v>
      </c>
      <c r="C1101" s="8" t="s">
        <v>8</v>
      </c>
      <c r="D1101" s="9" t="s">
        <v>185</v>
      </c>
      <c r="E1101" s="9" t="s">
        <v>15</v>
      </c>
      <c r="F1101" s="9" t="s">
        <v>186</v>
      </c>
      <c r="G1101" s="8"/>
      <c r="H1101" s="8"/>
      <c r="I1101" s="9" t="s">
        <v>187</v>
      </c>
      <c r="J1101" s="9" t="s">
        <v>11</v>
      </c>
      <c r="K1101" s="9" t="s">
        <v>82</v>
      </c>
      <c r="L1101" s="9" t="s">
        <v>166</v>
      </c>
      <c r="M1101" s="9" t="s">
        <v>28</v>
      </c>
      <c r="N1101" s="9" t="s">
        <v>266</v>
      </c>
      <c r="O1101" s="9" t="s">
        <v>193</v>
      </c>
      <c r="P1101" s="9" t="s">
        <v>199</v>
      </c>
      <c r="Q1101" s="11">
        <v>61</v>
      </c>
      <c r="R1101" s="11"/>
      <c r="S1101" s="11">
        <f t="shared" si="149"/>
        <v>61</v>
      </c>
      <c r="T1101" s="9"/>
      <c r="U1101" s="9" t="s">
        <v>191</v>
      </c>
      <c r="V1101" s="9"/>
      <c r="W1101" s="12">
        <v>30</v>
      </c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2">
        <f t="shared" si="151"/>
        <v>1281000</v>
      </c>
      <c r="AL1101" s="161">
        <f t="shared" si="150"/>
        <v>280.97404335028097</v>
      </c>
      <c r="AM1101" s="9"/>
      <c r="AN1101" s="9"/>
      <c r="AO1101" s="9"/>
      <c r="AP1101" s="14"/>
    </row>
    <row r="1102" spans="1:42" s="45" customFormat="1" ht="22" customHeight="1">
      <c r="A1102" s="14" t="s">
        <v>21</v>
      </c>
      <c r="B1102" s="8">
        <v>2024</v>
      </c>
      <c r="C1102" s="8" t="s">
        <v>8</v>
      </c>
      <c r="D1102" s="9" t="s">
        <v>185</v>
      </c>
      <c r="E1102" s="9" t="s">
        <v>15</v>
      </c>
      <c r="F1102" s="9" t="s">
        <v>186</v>
      </c>
      <c r="G1102" s="8"/>
      <c r="H1102" s="8"/>
      <c r="I1102" s="9" t="s">
        <v>187</v>
      </c>
      <c r="J1102" s="9" t="s">
        <v>11</v>
      </c>
      <c r="K1102" s="9" t="s">
        <v>82</v>
      </c>
      <c r="L1102" s="9" t="s">
        <v>166</v>
      </c>
      <c r="M1102" s="9" t="s">
        <v>28</v>
      </c>
      <c r="N1102" s="9" t="s">
        <v>266</v>
      </c>
      <c r="O1102" s="9" t="s">
        <v>193</v>
      </c>
      <c r="P1102" s="9" t="s">
        <v>200</v>
      </c>
      <c r="Q1102" s="11">
        <v>35</v>
      </c>
      <c r="R1102" s="11"/>
      <c r="S1102" s="11">
        <f t="shared" si="149"/>
        <v>35</v>
      </c>
      <c r="T1102" s="9"/>
      <c r="U1102" s="9" t="s">
        <v>191</v>
      </c>
      <c r="V1102" s="9"/>
      <c r="W1102" s="12">
        <v>30</v>
      </c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2">
        <f t="shared" si="151"/>
        <v>735000</v>
      </c>
      <c r="AL1102" s="161">
        <f t="shared" si="150"/>
        <v>161.21461503704646</v>
      </c>
      <c r="AM1102" s="9"/>
      <c r="AN1102" s="9"/>
      <c r="AO1102" s="9"/>
      <c r="AP1102" s="14"/>
    </row>
    <row r="1103" spans="1:42" s="45" customFormat="1" ht="22" customHeight="1">
      <c r="A1103" s="14" t="s">
        <v>21</v>
      </c>
      <c r="B1103" s="8">
        <v>2024</v>
      </c>
      <c r="C1103" s="8" t="s">
        <v>8</v>
      </c>
      <c r="D1103" s="9" t="s">
        <v>185</v>
      </c>
      <c r="E1103" s="9" t="s">
        <v>15</v>
      </c>
      <c r="F1103" s="9" t="s">
        <v>186</v>
      </c>
      <c r="G1103" s="8"/>
      <c r="H1103" s="8"/>
      <c r="I1103" s="9" t="s">
        <v>187</v>
      </c>
      <c r="J1103" s="9" t="s">
        <v>11</v>
      </c>
      <c r="K1103" s="9" t="s">
        <v>82</v>
      </c>
      <c r="L1103" s="9" t="s">
        <v>166</v>
      </c>
      <c r="M1103" s="9" t="s">
        <v>28</v>
      </c>
      <c r="N1103" s="9" t="s">
        <v>266</v>
      </c>
      <c r="O1103" s="9" t="s">
        <v>193</v>
      </c>
      <c r="P1103" s="9" t="s">
        <v>201</v>
      </c>
      <c r="Q1103" s="11">
        <v>52</v>
      </c>
      <c r="R1103" s="11"/>
      <c r="S1103" s="11">
        <f t="shared" si="149"/>
        <v>52</v>
      </c>
      <c r="T1103" s="9"/>
      <c r="U1103" s="9" t="s">
        <v>191</v>
      </c>
      <c r="V1103" s="9"/>
      <c r="W1103" s="12">
        <v>30</v>
      </c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2">
        <f t="shared" si="151"/>
        <v>1092000</v>
      </c>
      <c r="AL1103" s="161">
        <f t="shared" si="150"/>
        <v>239.51885662646902</v>
      </c>
      <c r="AM1103" s="9"/>
      <c r="AN1103" s="9"/>
      <c r="AO1103" s="9"/>
      <c r="AP1103" s="14"/>
    </row>
    <row r="1104" spans="1:42" s="45" customFormat="1" ht="22" customHeight="1">
      <c r="A1104" s="14" t="s">
        <v>21</v>
      </c>
      <c r="B1104" s="8">
        <v>2024</v>
      </c>
      <c r="C1104" s="8" t="s">
        <v>8</v>
      </c>
      <c r="D1104" s="9" t="s">
        <v>185</v>
      </c>
      <c r="E1104" s="9" t="s">
        <v>15</v>
      </c>
      <c r="F1104" s="9" t="s">
        <v>186</v>
      </c>
      <c r="G1104" s="8"/>
      <c r="H1104" s="8"/>
      <c r="I1104" s="9" t="s">
        <v>187</v>
      </c>
      <c r="J1104" s="9" t="s">
        <v>11</v>
      </c>
      <c r="K1104" s="9" t="s">
        <v>82</v>
      </c>
      <c r="L1104" s="9" t="s">
        <v>166</v>
      </c>
      <c r="M1104" s="9" t="s">
        <v>28</v>
      </c>
      <c r="N1104" s="9" t="s">
        <v>266</v>
      </c>
      <c r="O1104" s="9" t="s">
        <v>193</v>
      </c>
      <c r="P1104" s="9" t="s">
        <v>202</v>
      </c>
      <c r="Q1104" s="11">
        <v>56</v>
      </c>
      <c r="R1104" s="11"/>
      <c r="S1104" s="11">
        <f t="shared" si="149"/>
        <v>56</v>
      </c>
      <c r="T1104" s="9"/>
      <c r="U1104" s="9" t="s">
        <v>191</v>
      </c>
      <c r="V1104" s="9"/>
      <c r="W1104" s="12">
        <v>30</v>
      </c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2">
        <f t="shared" si="151"/>
        <v>1176000</v>
      </c>
      <c r="AL1104" s="161">
        <f t="shared" si="150"/>
        <v>257.94338405927431</v>
      </c>
      <c r="AM1104" s="9"/>
      <c r="AN1104" s="9"/>
      <c r="AO1104" s="9"/>
      <c r="AP1104" s="14"/>
    </row>
    <row r="1105" spans="1:42" s="45" customFormat="1" ht="22" customHeight="1">
      <c r="A1105" s="14" t="s">
        <v>21</v>
      </c>
      <c r="B1105" s="8">
        <v>2024</v>
      </c>
      <c r="C1105" s="8" t="s">
        <v>8</v>
      </c>
      <c r="D1105" s="9" t="s">
        <v>185</v>
      </c>
      <c r="E1105" s="9" t="s">
        <v>15</v>
      </c>
      <c r="F1105" s="9" t="s">
        <v>186</v>
      </c>
      <c r="G1105" s="8"/>
      <c r="H1105" s="8"/>
      <c r="I1105" s="9" t="s">
        <v>187</v>
      </c>
      <c r="J1105" s="9" t="s">
        <v>11</v>
      </c>
      <c r="K1105" s="9" t="s">
        <v>82</v>
      </c>
      <c r="L1105" s="9" t="s">
        <v>166</v>
      </c>
      <c r="M1105" s="9" t="s">
        <v>28</v>
      </c>
      <c r="N1105" s="9" t="s">
        <v>266</v>
      </c>
      <c r="O1105" s="9" t="s">
        <v>193</v>
      </c>
      <c r="P1105" s="9" t="s">
        <v>203</v>
      </c>
      <c r="Q1105" s="11">
        <v>33</v>
      </c>
      <c r="R1105" s="11"/>
      <c r="S1105" s="11">
        <f t="shared" si="149"/>
        <v>33</v>
      </c>
      <c r="T1105" s="9"/>
      <c r="U1105" s="9" t="s">
        <v>191</v>
      </c>
      <c r="V1105" s="9"/>
      <c r="W1105" s="12">
        <v>30</v>
      </c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2">
        <f t="shared" si="151"/>
        <v>693000</v>
      </c>
      <c r="AL1105" s="161">
        <f t="shared" si="150"/>
        <v>152.00235132064378</v>
      </c>
      <c r="AM1105" s="9"/>
      <c r="AN1105" s="9"/>
      <c r="AO1105" s="9"/>
      <c r="AP1105" s="14"/>
    </row>
    <row r="1106" spans="1:42" s="45" customFormat="1" ht="22" customHeight="1">
      <c r="A1106" s="14" t="s">
        <v>21</v>
      </c>
      <c r="B1106" s="8">
        <v>2024</v>
      </c>
      <c r="C1106" s="8" t="s">
        <v>8</v>
      </c>
      <c r="D1106" s="9" t="s">
        <v>185</v>
      </c>
      <c r="E1106" s="9" t="s">
        <v>15</v>
      </c>
      <c r="F1106" s="9" t="s">
        <v>186</v>
      </c>
      <c r="G1106" s="8"/>
      <c r="H1106" s="8"/>
      <c r="I1106" s="9" t="s">
        <v>187</v>
      </c>
      <c r="J1106" s="9" t="s">
        <v>11</v>
      </c>
      <c r="K1106" s="9" t="s">
        <v>82</v>
      </c>
      <c r="L1106" s="9" t="s">
        <v>166</v>
      </c>
      <c r="M1106" s="9" t="s">
        <v>28</v>
      </c>
      <c r="N1106" s="9" t="s">
        <v>266</v>
      </c>
      <c r="O1106" s="9" t="s">
        <v>193</v>
      </c>
      <c r="P1106" s="9" t="s">
        <v>204</v>
      </c>
      <c r="Q1106" s="11">
        <v>33</v>
      </c>
      <c r="R1106" s="11"/>
      <c r="S1106" s="11">
        <f t="shared" si="149"/>
        <v>33</v>
      </c>
      <c r="T1106" s="9"/>
      <c r="U1106" s="9" t="s">
        <v>191</v>
      </c>
      <c r="V1106" s="9"/>
      <c r="W1106" s="12">
        <v>30</v>
      </c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2">
        <f t="shared" si="151"/>
        <v>693000</v>
      </c>
      <c r="AL1106" s="161">
        <f t="shared" si="150"/>
        <v>152.00235132064378</v>
      </c>
      <c r="AM1106" s="9"/>
      <c r="AN1106" s="9"/>
      <c r="AO1106" s="9"/>
      <c r="AP1106" s="14"/>
    </row>
    <row r="1107" spans="1:42" s="45" customFormat="1" ht="22" customHeight="1">
      <c r="A1107" s="14" t="s">
        <v>21</v>
      </c>
      <c r="B1107" s="8">
        <v>2024</v>
      </c>
      <c r="C1107" s="8" t="s">
        <v>8</v>
      </c>
      <c r="D1107" s="9" t="s">
        <v>185</v>
      </c>
      <c r="E1107" s="9" t="s">
        <v>15</v>
      </c>
      <c r="F1107" s="9" t="s">
        <v>186</v>
      </c>
      <c r="G1107" s="8"/>
      <c r="H1107" s="8"/>
      <c r="I1107" s="9" t="s">
        <v>187</v>
      </c>
      <c r="J1107" s="9" t="s">
        <v>11</v>
      </c>
      <c r="K1107" s="9" t="s">
        <v>82</v>
      </c>
      <c r="L1107" s="9" t="s">
        <v>166</v>
      </c>
      <c r="M1107" s="9" t="s">
        <v>28</v>
      </c>
      <c r="N1107" s="9" t="s">
        <v>266</v>
      </c>
      <c r="O1107" s="9" t="s">
        <v>193</v>
      </c>
      <c r="P1107" s="9" t="s">
        <v>205</v>
      </c>
      <c r="Q1107" s="11">
        <v>42</v>
      </c>
      <c r="R1107" s="11"/>
      <c r="S1107" s="11">
        <f t="shared" si="149"/>
        <v>42</v>
      </c>
      <c r="T1107" s="9"/>
      <c r="U1107" s="9" t="s">
        <v>191</v>
      </c>
      <c r="V1107" s="9"/>
      <c r="W1107" s="12">
        <v>30</v>
      </c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2">
        <f t="shared" si="151"/>
        <v>882000</v>
      </c>
      <c r="AL1107" s="161">
        <f t="shared" si="150"/>
        <v>193.45753804445573</v>
      </c>
      <c r="AM1107" s="9"/>
      <c r="AN1107" s="9"/>
      <c r="AO1107" s="9"/>
      <c r="AP1107" s="14"/>
    </row>
    <row r="1108" spans="1:42" s="45" customFormat="1" ht="22" customHeight="1">
      <c r="A1108" s="14" t="s">
        <v>21</v>
      </c>
      <c r="B1108" s="8">
        <v>2024</v>
      </c>
      <c r="C1108" s="8" t="s">
        <v>8</v>
      </c>
      <c r="D1108" s="9" t="s">
        <v>185</v>
      </c>
      <c r="E1108" s="9" t="s">
        <v>10</v>
      </c>
      <c r="F1108" s="9" t="s">
        <v>186</v>
      </c>
      <c r="G1108" s="8"/>
      <c r="H1108" s="8"/>
      <c r="I1108" s="9" t="s">
        <v>187</v>
      </c>
      <c r="J1108" s="9" t="s">
        <v>11</v>
      </c>
      <c r="K1108" s="9" t="s">
        <v>82</v>
      </c>
      <c r="L1108" s="9" t="s">
        <v>188</v>
      </c>
      <c r="M1108" s="9" t="s">
        <v>28</v>
      </c>
      <c r="N1108" s="9" t="s">
        <v>266</v>
      </c>
      <c r="O1108" s="9" t="s">
        <v>189</v>
      </c>
      <c r="P1108" s="9" t="s">
        <v>190</v>
      </c>
      <c r="Q1108" s="11"/>
      <c r="R1108" s="11">
        <v>15</v>
      </c>
      <c r="S1108" s="11">
        <f t="shared" si="149"/>
        <v>15</v>
      </c>
      <c r="T1108" s="9"/>
      <c r="U1108" s="9" t="s">
        <v>191</v>
      </c>
      <c r="V1108" s="9"/>
      <c r="W1108" s="12">
        <v>31</v>
      </c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2">
        <f t="shared" si="151"/>
        <v>315000</v>
      </c>
      <c r="AL1108" s="161">
        <f t="shared" si="150"/>
        <v>69.0919778730199</v>
      </c>
      <c r="AM1108" s="9"/>
      <c r="AN1108" s="9"/>
      <c r="AO1108" s="9"/>
      <c r="AP1108" s="14"/>
    </row>
    <row r="1109" spans="1:42" s="45" customFormat="1" ht="22" customHeight="1">
      <c r="A1109" s="14" t="s">
        <v>21</v>
      </c>
      <c r="B1109" s="8">
        <v>2024</v>
      </c>
      <c r="C1109" s="8" t="s">
        <v>8</v>
      </c>
      <c r="D1109" s="9" t="s">
        <v>185</v>
      </c>
      <c r="E1109" s="9" t="s">
        <v>10</v>
      </c>
      <c r="F1109" s="9" t="s">
        <v>186</v>
      </c>
      <c r="G1109" s="8"/>
      <c r="H1109" s="8"/>
      <c r="I1109" s="9" t="s">
        <v>187</v>
      </c>
      <c r="J1109" s="9" t="s">
        <v>11</v>
      </c>
      <c r="K1109" s="9" t="s">
        <v>82</v>
      </c>
      <c r="L1109" s="9" t="s">
        <v>188</v>
      </c>
      <c r="M1109" s="9" t="s">
        <v>28</v>
      </c>
      <c r="N1109" s="9" t="s">
        <v>266</v>
      </c>
      <c r="O1109" s="9" t="s">
        <v>189</v>
      </c>
      <c r="P1109" s="9" t="s">
        <v>192</v>
      </c>
      <c r="Q1109" s="11"/>
      <c r="R1109" s="11">
        <v>19</v>
      </c>
      <c r="S1109" s="11">
        <f t="shared" si="149"/>
        <v>19</v>
      </c>
      <c r="T1109" s="9"/>
      <c r="U1109" s="9" t="s">
        <v>191</v>
      </c>
      <c r="V1109" s="9"/>
      <c r="W1109" s="12">
        <v>32</v>
      </c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2">
        <f>+S1109*60000</f>
        <v>1140000</v>
      </c>
      <c r="AL1109" s="161">
        <f t="shared" si="150"/>
        <v>250.04715801664346</v>
      </c>
      <c r="AM1109" s="9"/>
      <c r="AN1109" s="9"/>
      <c r="AO1109" s="9"/>
      <c r="AP1109" s="14"/>
    </row>
    <row r="1110" spans="1:42" s="45" customFormat="1" ht="22" customHeight="1">
      <c r="A1110" s="14" t="s">
        <v>21</v>
      </c>
      <c r="B1110" s="8">
        <v>2024</v>
      </c>
      <c r="C1110" s="8" t="s">
        <v>8</v>
      </c>
      <c r="D1110" s="9" t="s">
        <v>185</v>
      </c>
      <c r="E1110" s="9" t="s">
        <v>10</v>
      </c>
      <c r="F1110" s="9" t="s">
        <v>186</v>
      </c>
      <c r="G1110" s="8"/>
      <c r="H1110" s="8"/>
      <c r="I1110" s="9" t="s">
        <v>187</v>
      </c>
      <c r="J1110" s="9" t="s">
        <v>11</v>
      </c>
      <c r="K1110" s="9" t="s">
        <v>82</v>
      </c>
      <c r="L1110" s="9" t="s">
        <v>188</v>
      </c>
      <c r="M1110" s="9" t="s">
        <v>28</v>
      </c>
      <c r="N1110" s="9" t="s">
        <v>266</v>
      </c>
      <c r="O1110" s="9" t="s">
        <v>193</v>
      </c>
      <c r="P1110" s="9" t="s">
        <v>194</v>
      </c>
      <c r="Q1110" s="11"/>
      <c r="R1110" s="11">
        <v>31</v>
      </c>
      <c r="S1110" s="11">
        <f t="shared" si="149"/>
        <v>31</v>
      </c>
      <c r="T1110" s="9"/>
      <c r="U1110" s="9" t="s">
        <v>191</v>
      </c>
      <c r="V1110" s="9"/>
      <c r="W1110" s="12">
        <v>33</v>
      </c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2">
        <f t="shared" ref="AK1110:AK1121" si="152">+S1110*60000</f>
        <v>1860000</v>
      </c>
      <c r="AL1110" s="161">
        <f t="shared" si="150"/>
        <v>407.97167886926042</v>
      </c>
      <c r="AM1110" s="9"/>
      <c r="AN1110" s="9"/>
      <c r="AO1110" s="9"/>
      <c r="AP1110" s="14"/>
    </row>
    <row r="1111" spans="1:42" s="45" customFormat="1" ht="22" customHeight="1">
      <c r="A1111" s="14" t="s">
        <v>21</v>
      </c>
      <c r="B1111" s="8">
        <v>2024</v>
      </c>
      <c r="C1111" s="8" t="s">
        <v>8</v>
      </c>
      <c r="D1111" s="9" t="s">
        <v>185</v>
      </c>
      <c r="E1111" s="9" t="s">
        <v>10</v>
      </c>
      <c r="F1111" s="9" t="s">
        <v>186</v>
      </c>
      <c r="G1111" s="8"/>
      <c r="H1111" s="8"/>
      <c r="I1111" s="9" t="s">
        <v>187</v>
      </c>
      <c r="J1111" s="9" t="s">
        <v>11</v>
      </c>
      <c r="K1111" s="9" t="s">
        <v>82</v>
      </c>
      <c r="L1111" s="9" t="s">
        <v>188</v>
      </c>
      <c r="M1111" s="9" t="s">
        <v>28</v>
      </c>
      <c r="N1111" s="9" t="s">
        <v>266</v>
      </c>
      <c r="O1111" s="9" t="s">
        <v>193</v>
      </c>
      <c r="P1111" s="9" t="s">
        <v>195</v>
      </c>
      <c r="Q1111" s="11"/>
      <c r="R1111" s="11">
        <v>18</v>
      </c>
      <c r="S1111" s="11">
        <f t="shared" si="149"/>
        <v>18</v>
      </c>
      <c r="T1111" s="9"/>
      <c r="U1111" s="9" t="s">
        <v>191</v>
      </c>
      <c r="V1111" s="9"/>
      <c r="W1111" s="12">
        <v>34</v>
      </c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2">
        <f t="shared" si="152"/>
        <v>1080000</v>
      </c>
      <c r="AL1111" s="161">
        <f t="shared" si="150"/>
        <v>236.88678127892538</v>
      </c>
      <c r="AM1111" s="9"/>
      <c r="AN1111" s="9"/>
      <c r="AO1111" s="9"/>
      <c r="AP1111" s="14"/>
    </row>
    <row r="1112" spans="1:42" s="45" customFormat="1" ht="22" customHeight="1">
      <c r="A1112" s="14" t="s">
        <v>21</v>
      </c>
      <c r="B1112" s="8">
        <v>2024</v>
      </c>
      <c r="C1112" s="8" t="s">
        <v>8</v>
      </c>
      <c r="D1112" s="9" t="s">
        <v>185</v>
      </c>
      <c r="E1112" s="9" t="s">
        <v>10</v>
      </c>
      <c r="F1112" s="9" t="s">
        <v>186</v>
      </c>
      <c r="G1112" s="8"/>
      <c r="H1112" s="8"/>
      <c r="I1112" s="9" t="s">
        <v>187</v>
      </c>
      <c r="J1112" s="9" t="s">
        <v>11</v>
      </c>
      <c r="K1112" s="9" t="s">
        <v>82</v>
      </c>
      <c r="L1112" s="9" t="s">
        <v>188</v>
      </c>
      <c r="M1112" s="9" t="s">
        <v>28</v>
      </c>
      <c r="N1112" s="9" t="s">
        <v>266</v>
      </c>
      <c r="O1112" s="9" t="s">
        <v>193</v>
      </c>
      <c r="P1112" s="9" t="s">
        <v>196</v>
      </c>
      <c r="Q1112" s="11"/>
      <c r="R1112" s="11">
        <v>16</v>
      </c>
      <c r="S1112" s="11">
        <f t="shared" si="149"/>
        <v>16</v>
      </c>
      <c r="T1112" s="9"/>
      <c r="U1112" s="9" t="s">
        <v>191</v>
      </c>
      <c r="V1112" s="9"/>
      <c r="W1112" s="12">
        <v>35</v>
      </c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2">
        <f t="shared" si="152"/>
        <v>960000</v>
      </c>
      <c r="AL1112" s="161">
        <f t="shared" si="150"/>
        <v>210.56602780348925</v>
      </c>
      <c r="AM1112" s="9"/>
      <c r="AN1112" s="9"/>
      <c r="AO1112" s="9"/>
      <c r="AP1112" s="14"/>
    </row>
    <row r="1113" spans="1:42" s="45" customFormat="1" ht="22" customHeight="1">
      <c r="A1113" s="14" t="s">
        <v>21</v>
      </c>
      <c r="B1113" s="8">
        <v>2024</v>
      </c>
      <c r="C1113" s="8" t="s">
        <v>8</v>
      </c>
      <c r="D1113" s="9" t="s">
        <v>185</v>
      </c>
      <c r="E1113" s="9" t="s">
        <v>10</v>
      </c>
      <c r="F1113" s="9" t="s">
        <v>186</v>
      </c>
      <c r="G1113" s="8"/>
      <c r="H1113" s="8"/>
      <c r="I1113" s="9" t="s">
        <v>187</v>
      </c>
      <c r="J1113" s="9" t="s">
        <v>11</v>
      </c>
      <c r="K1113" s="9" t="s">
        <v>82</v>
      </c>
      <c r="L1113" s="9" t="s">
        <v>188</v>
      </c>
      <c r="M1113" s="9" t="s">
        <v>28</v>
      </c>
      <c r="N1113" s="9" t="s">
        <v>266</v>
      </c>
      <c r="O1113" s="9" t="s">
        <v>193</v>
      </c>
      <c r="P1113" s="9" t="s">
        <v>197</v>
      </c>
      <c r="Q1113" s="11"/>
      <c r="R1113" s="11">
        <v>8</v>
      </c>
      <c r="S1113" s="11">
        <f t="shared" si="149"/>
        <v>8</v>
      </c>
      <c r="T1113" s="9"/>
      <c r="U1113" s="9" t="s">
        <v>191</v>
      </c>
      <c r="V1113" s="9"/>
      <c r="W1113" s="12">
        <v>36</v>
      </c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2">
        <f t="shared" si="152"/>
        <v>480000</v>
      </c>
      <c r="AL1113" s="161">
        <f t="shared" si="150"/>
        <v>105.28301390174462</v>
      </c>
      <c r="AM1113" s="9"/>
      <c r="AN1113" s="9"/>
      <c r="AO1113" s="9"/>
      <c r="AP1113" s="14"/>
    </row>
    <row r="1114" spans="1:42" s="45" customFormat="1" ht="22" customHeight="1">
      <c r="A1114" s="14" t="s">
        <v>21</v>
      </c>
      <c r="B1114" s="8">
        <v>2024</v>
      </c>
      <c r="C1114" s="8" t="s">
        <v>8</v>
      </c>
      <c r="D1114" s="9" t="s">
        <v>185</v>
      </c>
      <c r="E1114" s="9" t="s">
        <v>10</v>
      </c>
      <c r="F1114" s="9" t="s">
        <v>186</v>
      </c>
      <c r="G1114" s="8"/>
      <c r="H1114" s="8"/>
      <c r="I1114" s="9" t="s">
        <v>187</v>
      </c>
      <c r="J1114" s="9" t="s">
        <v>11</v>
      </c>
      <c r="K1114" s="9" t="s">
        <v>82</v>
      </c>
      <c r="L1114" s="9" t="s">
        <v>188</v>
      </c>
      <c r="M1114" s="9" t="s">
        <v>28</v>
      </c>
      <c r="N1114" s="9" t="s">
        <v>266</v>
      </c>
      <c r="O1114" s="9" t="s">
        <v>193</v>
      </c>
      <c r="P1114" s="9" t="s">
        <v>198</v>
      </c>
      <c r="Q1114" s="11"/>
      <c r="R1114" s="11">
        <v>13</v>
      </c>
      <c r="S1114" s="11">
        <f t="shared" si="149"/>
        <v>13</v>
      </c>
      <c r="T1114" s="9"/>
      <c r="U1114" s="9" t="s">
        <v>191</v>
      </c>
      <c r="V1114" s="9"/>
      <c r="W1114" s="12">
        <v>37</v>
      </c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2">
        <f t="shared" si="152"/>
        <v>780000</v>
      </c>
      <c r="AL1114" s="161">
        <f t="shared" si="150"/>
        <v>171.084897590335</v>
      </c>
      <c r="AM1114" s="9"/>
      <c r="AN1114" s="9"/>
      <c r="AO1114" s="9"/>
      <c r="AP1114" s="14"/>
    </row>
    <row r="1115" spans="1:42" s="45" customFormat="1" ht="22" customHeight="1">
      <c r="A1115" s="14" t="s">
        <v>21</v>
      </c>
      <c r="B1115" s="8">
        <v>2024</v>
      </c>
      <c r="C1115" s="8" t="s">
        <v>8</v>
      </c>
      <c r="D1115" s="9" t="s">
        <v>185</v>
      </c>
      <c r="E1115" s="9" t="s">
        <v>10</v>
      </c>
      <c r="F1115" s="9" t="s">
        <v>186</v>
      </c>
      <c r="G1115" s="8"/>
      <c r="H1115" s="8"/>
      <c r="I1115" s="9" t="s">
        <v>187</v>
      </c>
      <c r="J1115" s="9" t="s">
        <v>11</v>
      </c>
      <c r="K1115" s="9" t="s">
        <v>82</v>
      </c>
      <c r="L1115" s="9" t="s">
        <v>188</v>
      </c>
      <c r="M1115" s="9" t="s">
        <v>28</v>
      </c>
      <c r="N1115" s="9" t="s">
        <v>266</v>
      </c>
      <c r="O1115" s="9" t="s">
        <v>193</v>
      </c>
      <c r="P1115" s="9" t="s">
        <v>199</v>
      </c>
      <c r="Q1115" s="11"/>
      <c r="R1115" s="11">
        <v>38</v>
      </c>
      <c r="S1115" s="11">
        <f t="shared" si="149"/>
        <v>38</v>
      </c>
      <c r="T1115" s="9"/>
      <c r="U1115" s="9" t="s">
        <v>191</v>
      </c>
      <c r="V1115" s="9"/>
      <c r="W1115" s="12">
        <v>38</v>
      </c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2">
        <f t="shared" si="152"/>
        <v>2280000</v>
      </c>
      <c r="AL1115" s="161">
        <f t="shared" si="150"/>
        <v>500.09431603328693</v>
      </c>
      <c r="AM1115" s="9"/>
      <c r="AN1115" s="9"/>
      <c r="AO1115" s="9"/>
      <c r="AP1115" s="14"/>
    </row>
    <row r="1116" spans="1:42" s="45" customFormat="1" ht="22" customHeight="1">
      <c r="A1116" s="14" t="s">
        <v>21</v>
      </c>
      <c r="B1116" s="8">
        <v>2024</v>
      </c>
      <c r="C1116" s="8" t="s">
        <v>8</v>
      </c>
      <c r="D1116" s="9" t="s">
        <v>185</v>
      </c>
      <c r="E1116" s="9" t="s">
        <v>10</v>
      </c>
      <c r="F1116" s="9" t="s">
        <v>186</v>
      </c>
      <c r="G1116" s="8"/>
      <c r="H1116" s="8"/>
      <c r="I1116" s="9" t="s">
        <v>187</v>
      </c>
      <c r="J1116" s="9" t="s">
        <v>11</v>
      </c>
      <c r="K1116" s="9" t="s">
        <v>82</v>
      </c>
      <c r="L1116" s="9" t="s">
        <v>188</v>
      </c>
      <c r="M1116" s="9" t="s">
        <v>28</v>
      </c>
      <c r="N1116" s="9" t="s">
        <v>266</v>
      </c>
      <c r="O1116" s="9" t="s">
        <v>193</v>
      </c>
      <c r="P1116" s="9" t="s">
        <v>200</v>
      </c>
      <c r="Q1116" s="11"/>
      <c r="R1116" s="11">
        <v>25</v>
      </c>
      <c r="S1116" s="11">
        <f t="shared" si="149"/>
        <v>25</v>
      </c>
      <c r="T1116" s="9"/>
      <c r="U1116" s="9" t="s">
        <v>191</v>
      </c>
      <c r="V1116" s="9"/>
      <c r="W1116" s="12">
        <v>39</v>
      </c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2">
        <f t="shared" si="152"/>
        <v>1500000</v>
      </c>
      <c r="AL1116" s="161">
        <f t="shared" si="150"/>
        <v>329.00941844295193</v>
      </c>
      <c r="AM1116" s="9"/>
      <c r="AN1116" s="9"/>
      <c r="AO1116" s="9"/>
      <c r="AP1116" s="14"/>
    </row>
    <row r="1117" spans="1:42" s="45" customFormat="1" ht="22" customHeight="1">
      <c r="A1117" s="14" t="s">
        <v>21</v>
      </c>
      <c r="B1117" s="8">
        <v>2024</v>
      </c>
      <c r="C1117" s="8" t="s">
        <v>8</v>
      </c>
      <c r="D1117" s="9" t="s">
        <v>185</v>
      </c>
      <c r="E1117" s="9" t="s">
        <v>10</v>
      </c>
      <c r="F1117" s="9" t="s">
        <v>186</v>
      </c>
      <c r="G1117" s="8"/>
      <c r="H1117" s="8"/>
      <c r="I1117" s="9" t="s">
        <v>187</v>
      </c>
      <c r="J1117" s="9" t="s">
        <v>11</v>
      </c>
      <c r="K1117" s="9" t="s">
        <v>82</v>
      </c>
      <c r="L1117" s="9" t="s">
        <v>188</v>
      </c>
      <c r="M1117" s="9" t="s">
        <v>28</v>
      </c>
      <c r="N1117" s="9" t="s">
        <v>266</v>
      </c>
      <c r="O1117" s="9" t="s">
        <v>193</v>
      </c>
      <c r="P1117" s="9" t="s">
        <v>201</v>
      </c>
      <c r="Q1117" s="11"/>
      <c r="R1117" s="11">
        <v>45</v>
      </c>
      <c r="S1117" s="11">
        <f t="shared" si="149"/>
        <v>45</v>
      </c>
      <c r="T1117" s="9"/>
      <c r="U1117" s="9" t="s">
        <v>191</v>
      </c>
      <c r="V1117" s="9"/>
      <c r="W1117" s="12">
        <v>40</v>
      </c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2">
        <f t="shared" si="152"/>
        <v>2700000</v>
      </c>
      <c r="AL1117" s="161">
        <f t="shared" si="150"/>
        <v>592.2169531973135</v>
      </c>
      <c r="AM1117" s="9"/>
      <c r="AN1117" s="9"/>
      <c r="AO1117" s="9"/>
      <c r="AP1117" s="14"/>
    </row>
    <row r="1118" spans="1:42" s="45" customFormat="1" ht="22" customHeight="1">
      <c r="A1118" s="14" t="s">
        <v>21</v>
      </c>
      <c r="B1118" s="8">
        <v>2024</v>
      </c>
      <c r="C1118" s="8" t="s">
        <v>8</v>
      </c>
      <c r="D1118" s="9" t="s">
        <v>185</v>
      </c>
      <c r="E1118" s="9" t="s">
        <v>10</v>
      </c>
      <c r="F1118" s="9" t="s">
        <v>186</v>
      </c>
      <c r="G1118" s="8"/>
      <c r="H1118" s="8"/>
      <c r="I1118" s="9" t="s">
        <v>187</v>
      </c>
      <c r="J1118" s="9" t="s">
        <v>11</v>
      </c>
      <c r="K1118" s="9" t="s">
        <v>82</v>
      </c>
      <c r="L1118" s="9" t="s">
        <v>188</v>
      </c>
      <c r="M1118" s="9" t="s">
        <v>28</v>
      </c>
      <c r="N1118" s="9" t="s">
        <v>266</v>
      </c>
      <c r="O1118" s="9" t="s">
        <v>193</v>
      </c>
      <c r="P1118" s="9" t="s">
        <v>202</v>
      </c>
      <c r="Q1118" s="11"/>
      <c r="R1118" s="11">
        <v>17</v>
      </c>
      <c r="S1118" s="11">
        <f t="shared" si="149"/>
        <v>17</v>
      </c>
      <c r="T1118" s="9"/>
      <c r="U1118" s="9" t="s">
        <v>191</v>
      </c>
      <c r="V1118" s="9"/>
      <c r="W1118" s="12">
        <v>41</v>
      </c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2">
        <f t="shared" si="152"/>
        <v>1020000</v>
      </c>
      <c r="AL1118" s="161">
        <f t="shared" si="150"/>
        <v>223.72640454120733</v>
      </c>
      <c r="AM1118" s="9"/>
      <c r="AN1118" s="9"/>
      <c r="AO1118" s="9"/>
      <c r="AP1118" s="14"/>
    </row>
    <row r="1119" spans="1:42" s="45" customFormat="1" ht="22" customHeight="1">
      <c r="A1119" s="14" t="s">
        <v>21</v>
      </c>
      <c r="B1119" s="8">
        <v>2024</v>
      </c>
      <c r="C1119" s="8" t="s">
        <v>8</v>
      </c>
      <c r="D1119" s="9" t="s">
        <v>185</v>
      </c>
      <c r="E1119" s="9" t="s">
        <v>10</v>
      </c>
      <c r="F1119" s="9" t="s">
        <v>186</v>
      </c>
      <c r="G1119" s="8"/>
      <c r="H1119" s="8"/>
      <c r="I1119" s="9" t="s">
        <v>187</v>
      </c>
      <c r="J1119" s="9" t="s">
        <v>11</v>
      </c>
      <c r="K1119" s="9" t="s">
        <v>82</v>
      </c>
      <c r="L1119" s="9" t="s">
        <v>188</v>
      </c>
      <c r="M1119" s="9" t="s">
        <v>28</v>
      </c>
      <c r="N1119" s="9" t="s">
        <v>266</v>
      </c>
      <c r="O1119" s="9" t="s">
        <v>193</v>
      </c>
      <c r="P1119" s="9" t="s">
        <v>203</v>
      </c>
      <c r="Q1119" s="11"/>
      <c r="R1119" s="11">
        <v>40</v>
      </c>
      <c r="S1119" s="11">
        <f t="shared" si="149"/>
        <v>40</v>
      </c>
      <c r="T1119" s="9"/>
      <c r="U1119" s="9" t="s">
        <v>191</v>
      </c>
      <c r="V1119" s="9"/>
      <c r="W1119" s="12">
        <v>42</v>
      </c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2">
        <f t="shared" si="152"/>
        <v>2400000</v>
      </c>
      <c r="AL1119" s="161">
        <f t="shared" si="150"/>
        <v>526.41506950872315</v>
      </c>
      <c r="AM1119" s="9"/>
      <c r="AN1119" s="9"/>
      <c r="AO1119" s="9"/>
      <c r="AP1119" s="14"/>
    </row>
    <row r="1120" spans="1:42" s="45" customFormat="1" ht="22" customHeight="1">
      <c r="A1120" s="14" t="s">
        <v>21</v>
      </c>
      <c r="B1120" s="8">
        <v>2024</v>
      </c>
      <c r="C1120" s="8" t="s">
        <v>8</v>
      </c>
      <c r="D1120" s="9" t="s">
        <v>185</v>
      </c>
      <c r="E1120" s="9" t="s">
        <v>10</v>
      </c>
      <c r="F1120" s="9" t="s">
        <v>186</v>
      </c>
      <c r="G1120" s="8"/>
      <c r="H1120" s="8"/>
      <c r="I1120" s="9" t="s">
        <v>187</v>
      </c>
      <c r="J1120" s="9" t="s">
        <v>11</v>
      </c>
      <c r="K1120" s="9" t="s">
        <v>82</v>
      </c>
      <c r="L1120" s="9" t="s">
        <v>188</v>
      </c>
      <c r="M1120" s="9" t="s">
        <v>28</v>
      </c>
      <c r="N1120" s="9" t="s">
        <v>266</v>
      </c>
      <c r="O1120" s="9" t="s">
        <v>193</v>
      </c>
      <c r="P1120" s="9" t="s">
        <v>204</v>
      </c>
      <c r="Q1120" s="11"/>
      <c r="R1120" s="11">
        <v>31</v>
      </c>
      <c r="S1120" s="11">
        <f t="shared" si="149"/>
        <v>31</v>
      </c>
      <c r="T1120" s="9"/>
      <c r="U1120" s="9" t="s">
        <v>191</v>
      </c>
      <c r="V1120" s="9"/>
      <c r="W1120" s="12">
        <v>43</v>
      </c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2">
        <f t="shared" si="152"/>
        <v>1860000</v>
      </c>
      <c r="AL1120" s="161">
        <f t="shared" si="150"/>
        <v>407.97167886926042</v>
      </c>
      <c r="AM1120" s="9"/>
      <c r="AN1120" s="9"/>
      <c r="AO1120" s="9"/>
      <c r="AP1120" s="14"/>
    </row>
    <row r="1121" spans="1:42" s="45" customFormat="1" ht="22" customHeight="1">
      <c r="A1121" s="14" t="s">
        <v>21</v>
      </c>
      <c r="B1121" s="8">
        <v>2024</v>
      </c>
      <c r="C1121" s="8" t="s">
        <v>8</v>
      </c>
      <c r="D1121" s="9" t="s">
        <v>185</v>
      </c>
      <c r="E1121" s="9" t="s">
        <v>10</v>
      </c>
      <c r="F1121" s="9" t="s">
        <v>186</v>
      </c>
      <c r="G1121" s="8"/>
      <c r="H1121" s="8"/>
      <c r="I1121" s="9" t="s">
        <v>187</v>
      </c>
      <c r="J1121" s="9" t="s">
        <v>11</v>
      </c>
      <c r="K1121" s="9" t="s">
        <v>82</v>
      </c>
      <c r="L1121" s="9" t="s">
        <v>188</v>
      </c>
      <c r="M1121" s="9" t="s">
        <v>28</v>
      </c>
      <c r="N1121" s="9" t="s">
        <v>266</v>
      </c>
      <c r="O1121" s="9" t="s">
        <v>193</v>
      </c>
      <c r="P1121" s="9" t="s">
        <v>205</v>
      </c>
      <c r="Q1121" s="11"/>
      <c r="R1121" s="11">
        <v>19</v>
      </c>
      <c r="S1121" s="11">
        <f t="shared" si="149"/>
        <v>19</v>
      </c>
      <c r="T1121" s="9"/>
      <c r="U1121" s="9" t="s">
        <v>191</v>
      </c>
      <c r="V1121" s="9"/>
      <c r="W1121" s="12">
        <v>44</v>
      </c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2">
        <f t="shared" si="152"/>
        <v>1140000</v>
      </c>
      <c r="AL1121" s="161">
        <f t="shared" si="150"/>
        <v>250.04715801664346</v>
      </c>
      <c r="AM1121" s="9"/>
      <c r="AN1121" s="9"/>
      <c r="AO1121" s="9"/>
      <c r="AP1121" s="14"/>
    </row>
    <row r="1122" spans="1:42" s="14" customFormat="1" ht="22" customHeight="1">
      <c r="A1122" s="14" t="s">
        <v>19</v>
      </c>
      <c r="B1122" s="15">
        <v>2024</v>
      </c>
      <c r="C1122" s="15" t="s">
        <v>24</v>
      </c>
      <c r="D1122" s="14" t="s">
        <v>206</v>
      </c>
      <c r="E1122" s="14" t="s">
        <v>25</v>
      </c>
      <c r="F1122" s="16" t="s">
        <v>207</v>
      </c>
      <c r="G1122" s="14">
        <v>1</v>
      </c>
      <c r="I1122" s="14" t="s">
        <v>78</v>
      </c>
      <c r="J1122" s="14" t="s">
        <v>11</v>
      </c>
      <c r="K1122" s="16" t="s">
        <v>82</v>
      </c>
      <c r="L1122" s="14" t="s">
        <v>171</v>
      </c>
      <c r="M1122" s="14" t="s">
        <v>78</v>
      </c>
      <c r="N1122" s="17"/>
      <c r="O1122" s="18" t="s">
        <v>208</v>
      </c>
      <c r="P1122" s="18"/>
      <c r="Q1122" s="19"/>
      <c r="R1122" s="19"/>
      <c r="S1122" s="182">
        <v>16706</v>
      </c>
      <c r="T1122" s="19">
        <v>3341.2</v>
      </c>
      <c r="U1122" s="14" t="s">
        <v>77</v>
      </c>
      <c r="W1122" s="21">
        <v>15</v>
      </c>
      <c r="X1122" s="13">
        <f t="shared" ref="X1122:X1162" si="153">+S1122*$X$2*W1122/1000000</f>
        <v>100.236</v>
      </c>
      <c r="Y1122" s="13">
        <v>0</v>
      </c>
      <c r="Z1122" s="13">
        <v>0</v>
      </c>
      <c r="AA1122" s="13"/>
      <c r="AB1122" s="13">
        <f t="shared" ref="AB1122:AB1162" si="154">+S1122*$AB$2*W1122/1000000</f>
        <v>15.035399999999999</v>
      </c>
      <c r="AC1122" s="13">
        <f t="shared" ref="AC1122:AC1162" si="155">+S1122*$AC$2*W1122/1000000</f>
        <v>8.7706499999999998</v>
      </c>
      <c r="AD1122" s="13"/>
      <c r="AE1122" s="13">
        <v>0</v>
      </c>
      <c r="AF1122" s="13">
        <v>0</v>
      </c>
      <c r="AG1122" s="13">
        <v>0</v>
      </c>
      <c r="AH1122" s="13"/>
      <c r="AI1122" s="13">
        <v>0</v>
      </c>
      <c r="AJ1122" s="13">
        <f>SUBTOTAL(9,X1122:AI1122)</f>
        <v>124.04205</v>
      </c>
      <c r="AK1122" s="22"/>
      <c r="AL1122" s="23">
        <v>0</v>
      </c>
    </row>
    <row r="1123" spans="1:42" s="14" customFormat="1" ht="22" customHeight="1">
      <c r="A1123" s="14" t="s">
        <v>19</v>
      </c>
      <c r="B1123" s="15">
        <v>2024</v>
      </c>
      <c r="C1123" s="15" t="s">
        <v>24</v>
      </c>
      <c r="D1123" s="14" t="s">
        <v>206</v>
      </c>
      <c r="E1123" s="14" t="s">
        <v>25</v>
      </c>
      <c r="F1123" s="16" t="s">
        <v>207</v>
      </c>
      <c r="G1123" s="14">
        <v>1</v>
      </c>
      <c r="I1123" s="14" t="s">
        <v>12</v>
      </c>
      <c r="J1123" s="14" t="s">
        <v>12</v>
      </c>
      <c r="K1123" s="16" t="s">
        <v>14</v>
      </c>
      <c r="L1123" s="14" t="s">
        <v>209</v>
      </c>
      <c r="M1123" s="14" t="s">
        <v>84</v>
      </c>
      <c r="N1123" s="24"/>
      <c r="O1123" s="25" t="s">
        <v>210</v>
      </c>
      <c r="P1123" s="25"/>
      <c r="Q1123" s="26"/>
      <c r="R1123" s="26"/>
      <c r="S1123" s="182">
        <v>17635</v>
      </c>
      <c r="T1123" s="19">
        <v>3527</v>
      </c>
      <c r="U1123" s="14" t="s">
        <v>77</v>
      </c>
      <c r="W1123" s="21">
        <v>15</v>
      </c>
      <c r="X1123" s="13">
        <f t="shared" si="153"/>
        <v>105.81</v>
      </c>
      <c r="Y1123" s="13">
        <v>0</v>
      </c>
      <c r="Z1123" s="13">
        <v>0</v>
      </c>
      <c r="AA1123" s="13"/>
      <c r="AB1123" s="13">
        <f t="shared" si="154"/>
        <v>15.871499999999999</v>
      </c>
      <c r="AC1123" s="13">
        <f t="shared" si="155"/>
        <v>9.2583749999999991</v>
      </c>
      <c r="AD1123" s="13"/>
      <c r="AE1123" s="13">
        <v>0</v>
      </c>
      <c r="AF1123" s="13">
        <v>0</v>
      </c>
      <c r="AG1123" s="13">
        <v>0</v>
      </c>
      <c r="AH1123" s="13"/>
      <c r="AI1123" s="13">
        <v>0</v>
      </c>
      <c r="AJ1123" s="13">
        <f t="shared" ref="AJ1123:AJ1161" si="156">SUBTOTAL(9,X1123:AI1123)</f>
        <v>130.939875</v>
      </c>
      <c r="AK1123" s="22"/>
      <c r="AL1123" s="23">
        <v>0</v>
      </c>
    </row>
    <row r="1124" spans="1:42" s="14" customFormat="1" ht="22" customHeight="1">
      <c r="A1124" s="14" t="s">
        <v>19</v>
      </c>
      <c r="B1124" s="15">
        <v>2024</v>
      </c>
      <c r="C1124" s="15" t="s">
        <v>24</v>
      </c>
      <c r="D1124" s="14" t="s">
        <v>206</v>
      </c>
      <c r="E1124" s="14" t="s">
        <v>25</v>
      </c>
      <c r="F1124" s="16" t="s">
        <v>207</v>
      </c>
      <c r="G1124" s="14">
        <v>1</v>
      </c>
      <c r="I1124" s="14" t="s">
        <v>11</v>
      </c>
      <c r="J1124" s="14" t="s">
        <v>11</v>
      </c>
      <c r="K1124" s="16" t="s">
        <v>82</v>
      </c>
      <c r="L1124" s="14" t="s">
        <v>171</v>
      </c>
      <c r="M1124" s="14" t="s">
        <v>11</v>
      </c>
      <c r="N1124" s="24"/>
      <c r="O1124" s="25" t="s">
        <v>211</v>
      </c>
      <c r="P1124" s="25"/>
      <c r="Q1124" s="26"/>
      <c r="R1124" s="26"/>
      <c r="S1124" s="183">
        <v>33828</v>
      </c>
      <c r="T1124" s="19">
        <v>6765.6</v>
      </c>
      <c r="U1124" s="14" t="s">
        <v>77</v>
      </c>
      <c r="W1124" s="21">
        <v>15</v>
      </c>
      <c r="X1124" s="13">
        <f t="shared" si="153"/>
        <v>202.96799999999999</v>
      </c>
      <c r="Y1124" s="13">
        <v>0</v>
      </c>
      <c r="Z1124" s="13">
        <v>0</v>
      </c>
      <c r="AA1124" s="13"/>
      <c r="AB1124" s="13">
        <f t="shared" si="154"/>
        <v>30.4452</v>
      </c>
      <c r="AC1124" s="13">
        <f t="shared" si="155"/>
        <v>17.759699999999999</v>
      </c>
      <c r="AD1124" s="13"/>
      <c r="AE1124" s="13">
        <v>0</v>
      </c>
      <c r="AF1124" s="13">
        <v>0</v>
      </c>
      <c r="AG1124" s="13">
        <v>0</v>
      </c>
      <c r="AH1124" s="13"/>
      <c r="AI1124" s="13">
        <v>0</v>
      </c>
      <c r="AJ1124" s="13">
        <f t="shared" si="156"/>
        <v>251.1729</v>
      </c>
      <c r="AK1124" s="22"/>
      <c r="AL1124" s="23">
        <v>0</v>
      </c>
    </row>
    <row r="1125" spans="1:42" s="14" customFormat="1" ht="22" customHeight="1">
      <c r="A1125" s="14" t="s">
        <v>19</v>
      </c>
      <c r="B1125" s="15">
        <v>2024</v>
      </c>
      <c r="C1125" s="15" t="s">
        <v>24</v>
      </c>
      <c r="D1125" s="14" t="s">
        <v>206</v>
      </c>
      <c r="E1125" s="14" t="s">
        <v>25</v>
      </c>
      <c r="F1125" s="16" t="s">
        <v>207</v>
      </c>
      <c r="G1125" s="14">
        <v>2</v>
      </c>
      <c r="I1125" s="14" t="s">
        <v>28</v>
      </c>
      <c r="J1125" s="14" t="s">
        <v>11</v>
      </c>
      <c r="K1125" s="16" t="s">
        <v>82</v>
      </c>
      <c r="L1125" s="14" t="s">
        <v>166</v>
      </c>
      <c r="M1125" s="14" t="s">
        <v>82</v>
      </c>
      <c r="N1125" s="27"/>
      <c r="O1125" s="28" t="s">
        <v>212</v>
      </c>
      <c r="P1125" s="28"/>
      <c r="Q1125" s="26"/>
      <c r="R1125" s="26"/>
      <c r="S1125" s="182">
        <v>7275</v>
      </c>
      <c r="T1125" s="19">
        <v>1455</v>
      </c>
      <c r="U1125" s="14" t="s">
        <v>77</v>
      </c>
      <c r="W1125" s="21">
        <v>15</v>
      </c>
      <c r="X1125" s="13">
        <f t="shared" si="153"/>
        <v>43.65</v>
      </c>
      <c r="Y1125" s="13">
        <v>0</v>
      </c>
      <c r="Z1125" s="13">
        <v>0</v>
      </c>
      <c r="AA1125" s="13"/>
      <c r="AB1125" s="13">
        <f t="shared" si="154"/>
        <v>6.5475000000000003</v>
      </c>
      <c r="AC1125" s="13">
        <f t="shared" si="155"/>
        <v>3.819375</v>
      </c>
      <c r="AD1125" s="13"/>
      <c r="AE1125" s="13">
        <v>0</v>
      </c>
      <c r="AF1125" s="13">
        <v>0</v>
      </c>
      <c r="AG1125" s="13">
        <v>0</v>
      </c>
      <c r="AH1125" s="13"/>
      <c r="AI1125" s="13">
        <v>0</v>
      </c>
      <c r="AJ1125" s="13">
        <f t="shared" si="156"/>
        <v>54.016874999999999</v>
      </c>
      <c r="AK1125" s="22"/>
      <c r="AL1125" s="23">
        <v>0</v>
      </c>
    </row>
    <row r="1126" spans="1:42" s="14" customFormat="1" ht="22" customHeight="1">
      <c r="A1126" s="14" t="s">
        <v>19</v>
      </c>
      <c r="B1126" s="15">
        <v>2024</v>
      </c>
      <c r="C1126" s="15" t="s">
        <v>24</v>
      </c>
      <c r="D1126" s="14" t="s">
        <v>206</v>
      </c>
      <c r="E1126" s="14" t="s">
        <v>25</v>
      </c>
      <c r="F1126" s="16" t="s">
        <v>207</v>
      </c>
      <c r="G1126" s="14">
        <v>1</v>
      </c>
      <c r="I1126" s="14" t="s">
        <v>12</v>
      </c>
      <c r="J1126" s="14" t="s">
        <v>12</v>
      </c>
      <c r="K1126" s="16" t="s">
        <v>14</v>
      </c>
      <c r="L1126" s="14" t="s">
        <v>209</v>
      </c>
      <c r="M1126" s="14" t="s">
        <v>84</v>
      </c>
      <c r="N1126" s="24"/>
      <c r="O1126" s="25" t="s">
        <v>213</v>
      </c>
      <c r="P1126" s="25"/>
      <c r="Q1126" s="26"/>
      <c r="R1126" s="26"/>
      <c r="S1126" s="182">
        <v>11555</v>
      </c>
      <c r="T1126" s="19">
        <v>2311</v>
      </c>
      <c r="U1126" s="14" t="s">
        <v>77</v>
      </c>
      <c r="W1126" s="21">
        <v>15</v>
      </c>
      <c r="X1126" s="13">
        <f t="shared" si="153"/>
        <v>69.33</v>
      </c>
      <c r="Y1126" s="13">
        <v>0</v>
      </c>
      <c r="Z1126" s="13">
        <v>0</v>
      </c>
      <c r="AA1126" s="13"/>
      <c r="AB1126" s="13">
        <f t="shared" si="154"/>
        <v>10.3995</v>
      </c>
      <c r="AC1126" s="13">
        <f t="shared" si="155"/>
        <v>6.0663749999999999</v>
      </c>
      <c r="AD1126" s="13"/>
      <c r="AE1126" s="13">
        <v>0</v>
      </c>
      <c r="AF1126" s="13">
        <v>0</v>
      </c>
      <c r="AG1126" s="13">
        <v>0</v>
      </c>
      <c r="AH1126" s="13"/>
      <c r="AI1126" s="13">
        <v>0</v>
      </c>
      <c r="AJ1126" s="13">
        <f t="shared" si="156"/>
        <v>85.795874999999995</v>
      </c>
      <c r="AK1126" s="22"/>
      <c r="AL1126" s="23">
        <v>0</v>
      </c>
    </row>
    <row r="1127" spans="1:42" s="14" customFormat="1" ht="22" customHeight="1">
      <c r="A1127" s="14" t="s">
        <v>19</v>
      </c>
      <c r="B1127" s="15">
        <v>2024</v>
      </c>
      <c r="C1127" s="15" t="s">
        <v>24</v>
      </c>
      <c r="D1127" s="14" t="s">
        <v>206</v>
      </c>
      <c r="E1127" s="14" t="s">
        <v>25</v>
      </c>
      <c r="F1127" s="16" t="s">
        <v>207</v>
      </c>
      <c r="G1127" s="14">
        <v>1</v>
      </c>
      <c r="I1127" s="14" t="s">
        <v>12</v>
      </c>
      <c r="J1127" s="14" t="s">
        <v>12</v>
      </c>
      <c r="K1127" s="16" t="s">
        <v>14</v>
      </c>
      <c r="L1127" s="14" t="s">
        <v>209</v>
      </c>
      <c r="M1127" s="14" t="s">
        <v>84</v>
      </c>
      <c r="N1127" s="24"/>
      <c r="O1127" s="25" t="s">
        <v>214</v>
      </c>
      <c r="P1127" s="25"/>
      <c r="Q1127" s="26"/>
      <c r="R1127" s="26"/>
      <c r="S1127" s="182">
        <v>35000</v>
      </c>
      <c r="T1127" s="19">
        <v>7000</v>
      </c>
      <c r="U1127" s="14" t="s">
        <v>77</v>
      </c>
      <c r="W1127" s="21">
        <v>15</v>
      </c>
      <c r="X1127" s="13">
        <f t="shared" si="153"/>
        <v>210</v>
      </c>
      <c r="Y1127" s="13">
        <v>0</v>
      </c>
      <c r="Z1127" s="13">
        <v>0</v>
      </c>
      <c r="AA1127" s="13"/>
      <c r="AB1127" s="13">
        <f t="shared" si="154"/>
        <v>31.5</v>
      </c>
      <c r="AC1127" s="13">
        <f t="shared" si="155"/>
        <v>18.375</v>
      </c>
      <c r="AD1127" s="13"/>
      <c r="AE1127" s="13">
        <v>0</v>
      </c>
      <c r="AF1127" s="13">
        <v>0</v>
      </c>
      <c r="AG1127" s="13">
        <v>0</v>
      </c>
      <c r="AH1127" s="13"/>
      <c r="AI1127" s="13">
        <v>0</v>
      </c>
      <c r="AJ1127" s="13">
        <f t="shared" si="156"/>
        <v>259.875</v>
      </c>
      <c r="AK1127" s="22"/>
      <c r="AL1127" s="23">
        <v>0</v>
      </c>
    </row>
    <row r="1128" spans="1:42" s="14" customFormat="1" ht="22" customHeight="1">
      <c r="A1128" s="14" t="s">
        <v>19</v>
      </c>
      <c r="B1128" s="15">
        <v>2024</v>
      </c>
      <c r="C1128" s="15" t="s">
        <v>24</v>
      </c>
      <c r="D1128" s="14" t="s">
        <v>206</v>
      </c>
      <c r="E1128" s="14" t="s">
        <v>25</v>
      </c>
      <c r="F1128" s="16" t="s">
        <v>207</v>
      </c>
      <c r="G1128" s="14">
        <v>1</v>
      </c>
      <c r="I1128" s="14" t="s">
        <v>78</v>
      </c>
      <c r="J1128" s="14" t="s">
        <v>11</v>
      </c>
      <c r="K1128" s="16" t="s">
        <v>82</v>
      </c>
      <c r="L1128" s="14" t="s">
        <v>171</v>
      </c>
      <c r="M1128" s="14" t="s">
        <v>78</v>
      </c>
      <c r="N1128" s="24"/>
      <c r="O1128" s="25" t="s">
        <v>217</v>
      </c>
      <c r="P1128" s="25"/>
      <c r="Q1128" s="26"/>
      <c r="R1128" s="26"/>
      <c r="S1128" s="182">
        <v>6800</v>
      </c>
      <c r="T1128" s="19">
        <v>1360</v>
      </c>
      <c r="U1128" s="14" t="s">
        <v>77</v>
      </c>
      <c r="W1128" s="21">
        <v>15</v>
      </c>
      <c r="X1128" s="13">
        <f t="shared" si="153"/>
        <v>40.799999999999997</v>
      </c>
      <c r="Y1128" s="13">
        <v>0</v>
      </c>
      <c r="Z1128" s="13">
        <v>0</v>
      </c>
      <c r="AA1128" s="13"/>
      <c r="AB1128" s="13">
        <f t="shared" si="154"/>
        <v>6.12</v>
      </c>
      <c r="AC1128" s="13">
        <f t="shared" si="155"/>
        <v>3.57</v>
      </c>
      <c r="AD1128" s="13"/>
      <c r="AE1128" s="13">
        <v>0</v>
      </c>
      <c r="AF1128" s="13">
        <v>0</v>
      </c>
      <c r="AG1128" s="13">
        <v>0</v>
      </c>
      <c r="AH1128" s="13"/>
      <c r="AI1128" s="13">
        <v>0</v>
      </c>
      <c r="AJ1128" s="13">
        <f t="shared" si="156"/>
        <v>50.489999999999995</v>
      </c>
      <c r="AK1128" s="22"/>
      <c r="AL1128" s="23">
        <v>0</v>
      </c>
    </row>
    <row r="1129" spans="1:42" s="14" customFormat="1" ht="22" customHeight="1">
      <c r="A1129" s="14" t="s">
        <v>19</v>
      </c>
      <c r="B1129" s="15">
        <v>2024</v>
      </c>
      <c r="C1129" s="15" t="s">
        <v>24</v>
      </c>
      <c r="D1129" s="14" t="s">
        <v>206</v>
      </c>
      <c r="E1129" s="14" t="s">
        <v>25</v>
      </c>
      <c r="F1129" s="16" t="s">
        <v>207</v>
      </c>
      <c r="G1129" s="14">
        <v>1</v>
      </c>
      <c r="I1129" s="14" t="s">
        <v>78</v>
      </c>
      <c r="J1129" s="14" t="s">
        <v>11</v>
      </c>
      <c r="K1129" s="16" t="s">
        <v>82</v>
      </c>
      <c r="L1129" s="14" t="s">
        <v>171</v>
      </c>
      <c r="M1129" s="14" t="s">
        <v>78</v>
      </c>
      <c r="N1129" s="24"/>
      <c r="O1129" s="25" t="s">
        <v>219</v>
      </c>
      <c r="P1129" s="25"/>
      <c r="Q1129" s="19"/>
      <c r="R1129" s="19"/>
      <c r="S1129" s="182">
        <v>3770</v>
      </c>
      <c r="T1129" s="19">
        <v>754</v>
      </c>
      <c r="U1129" s="14" t="s">
        <v>77</v>
      </c>
      <c r="W1129" s="21">
        <v>15</v>
      </c>
      <c r="X1129" s="13">
        <f t="shared" si="153"/>
        <v>22.62</v>
      </c>
      <c r="Y1129" s="13">
        <v>0</v>
      </c>
      <c r="Z1129" s="13">
        <v>0</v>
      </c>
      <c r="AA1129" s="13"/>
      <c r="AB1129" s="13">
        <f t="shared" si="154"/>
        <v>3.3929999999999998</v>
      </c>
      <c r="AC1129" s="13">
        <f t="shared" si="155"/>
        <v>1.97925</v>
      </c>
      <c r="AD1129" s="13"/>
      <c r="AE1129" s="13">
        <v>0</v>
      </c>
      <c r="AF1129" s="13">
        <v>0</v>
      </c>
      <c r="AG1129" s="13">
        <v>0</v>
      </c>
      <c r="AH1129" s="13"/>
      <c r="AI1129" s="13">
        <v>0</v>
      </c>
      <c r="AJ1129" s="13">
        <f t="shared" si="156"/>
        <v>27.992250000000002</v>
      </c>
      <c r="AK1129" s="22"/>
      <c r="AL1129" s="23">
        <v>0</v>
      </c>
    </row>
    <row r="1130" spans="1:42" s="14" customFormat="1" ht="22" customHeight="1">
      <c r="A1130" s="14" t="s">
        <v>19</v>
      </c>
      <c r="B1130" s="15">
        <v>2024</v>
      </c>
      <c r="C1130" s="15" t="s">
        <v>24</v>
      </c>
      <c r="D1130" s="14" t="s">
        <v>206</v>
      </c>
      <c r="E1130" s="14" t="s">
        <v>25</v>
      </c>
      <c r="F1130" s="16" t="s">
        <v>207</v>
      </c>
      <c r="G1130" s="14">
        <v>1</v>
      </c>
      <c r="I1130" s="14" t="s">
        <v>11</v>
      </c>
      <c r="J1130" s="14" t="s">
        <v>11</v>
      </c>
      <c r="K1130" s="16" t="s">
        <v>82</v>
      </c>
      <c r="L1130" s="14" t="s">
        <v>171</v>
      </c>
      <c r="M1130" s="14" t="s">
        <v>11</v>
      </c>
      <c r="N1130" s="24"/>
      <c r="O1130" s="25" t="s">
        <v>220</v>
      </c>
      <c r="P1130" s="25"/>
      <c r="Q1130" s="19"/>
      <c r="R1130" s="19"/>
      <c r="S1130" s="181">
        <v>10150</v>
      </c>
      <c r="T1130" s="19">
        <v>2030</v>
      </c>
      <c r="U1130" s="14" t="s">
        <v>77</v>
      </c>
      <c r="W1130" s="21">
        <v>15</v>
      </c>
      <c r="X1130" s="13">
        <f t="shared" si="153"/>
        <v>60.9</v>
      </c>
      <c r="Y1130" s="13">
        <v>0</v>
      </c>
      <c r="Z1130" s="13">
        <v>0</v>
      </c>
      <c r="AA1130" s="13"/>
      <c r="AB1130" s="13">
        <f t="shared" si="154"/>
        <v>9.1349999999999998</v>
      </c>
      <c r="AC1130" s="13">
        <f t="shared" si="155"/>
        <v>5.3287500000000003</v>
      </c>
      <c r="AD1130" s="13"/>
      <c r="AE1130" s="13">
        <v>0</v>
      </c>
      <c r="AF1130" s="13">
        <v>0</v>
      </c>
      <c r="AG1130" s="13">
        <v>0</v>
      </c>
      <c r="AH1130" s="13"/>
      <c r="AI1130" s="13">
        <v>0</v>
      </c>
      <c r="AJ1130" s="13">
        <f t="shared" si="156"/>
        <v>75.363749999999996</v>
      </c>
      <c r="AK1130" s="29"/>
      <c r="AL1130" s="23">
        <v>0</v>
      </c>
    </row>
    <row r="1131" spans="1:42" s="14" customFormat="1" ht="22" customHeight="1">
      <c r="A1131" s="14" t="s">
        <v>19</v>
      </c>
      <c r="B1131" s="15">
        <v>2024</v>
      </c>
      <c r="C1131" s="15" t="s">
        <v>24</v>
      </c>
      <c r="D1131" s="14" t="s">
        <v>206</v>
      </c>
      <c r="E1131" s="14" t="s">
        <v>25</v>
      </c>
      <c r="F1131" s="16" t="s">
        <v>207</v>
      </c>
      <c r="G1131" s="14">
        <v>1</v>
      </c>
      <c r="I1131" s="14" t="s">
        <v>11</v>
      </c>
      <c r="J1131" s="14" t="s">
        <v>11</v>
      </c>
      <c r="K1131" s="16" t="s">
        <v>82</v>
      </c>
      <c r="L1131" s="14" t="s">
        <v>171</v>
      </c>
      <c r="M1131" s="14" t="s">
        <v>11</v>
      </c>
      <c r="N1131" s="24"/>
      <c r="O1131" s="25" t="s">
        <v>221</v>
      </c>
      <c r="P1131" s="25"/>
      <c r="Q1131" s="19"/>
      <c r="R1131" s="19"/>
      <c r="S1131" s="182">
        <v>18880</v>
      </c>
      <c r="T1131" s="19">
        <v>3776</v>
      </c>
      <c r="U1131" s="14" t="s">
        <v>77</v>
      </c>
      <c r="W1131" s="21">
        <v>15</v>
      </c>
      <c r="X1131" s="13">
        <f t="shared" si="153"/>
        <v>113.28</v>
      </c>
      <c r="Y1131" s="13">
        <v>0</v>
      </c>
      <c r="Z1131" s="13">
        <v>0</v>
      </c>
      <c r="AA1131" s="13"/>
      <c r="AB1131" s="13">
        <f t="shared" si="154"/>
        <v>16.992000000000001</v>
      </c>
      <c r="AC1131" s="13">
        <f t="shared" si="155"/>
        <v>9.9120000000000008</v>
      </c>
      <c r="AD1131" s="13"/>
      <c r="AE1131" s="13">
        <v>0</v>
      </c>
      <c r="AF1131" s="13">
        <v>0</v>
      </c>
      <c r="AG1131" s="13">
        <v>0</v>
      </c>
      <c r="AH1131" s="13"/>
      <c r="AI1131" s="13">
        <v>0</v>
      </c>
      <c r="AJ1131" s="13">
        <f t="shared" si="156"/>
        <v>140.184</v>
      </c>
      <c r="AK1131" s="22"/>
      <c r="AL1131" s="23">
        <v>0</v>
      </c>
    </row>
    <row r="1132" spans="1:42" s="14" customFormat="1" ht="22" customHeight="1">
      <c r="A1132" s="14" t="s">
        <v>19</v>
      </c>
      <c r="B1132" s="15">
        <v>2024</v>
      </c>
      <c r="C1132" s="15" t="s">
        <v>24</v>
      </c>
      <c r="D1132" s="14" t="s">
        <v>206</v>
      </c>
      <c r="E1132" s="14" t="s">
        <v>25</v>
      </c>
      <c r="F1132" s="16" t="s">
        <v>207</v>
      </c>
      <c r="G1132" s="14">
        <v>2</v>
      </c>
      <c r="I1132" s="14" t="s">
        <v>14</v>
      </c>
      <c r="J1132" s="14" t="s">
        <v>14</v>
      </c>
      <c r="K1132" s="16" t="s">
        <v>14</v>
      </c>
      <c r="L1132" s="14" t="s">
        <v>209</v>
      </c>
      <c r="M1132" s="14" t="s">
        <v>99</v>
      </c>
      <c r="N1132" s="30"/>
      <c r="O1132" s="31" t="s">
        <v>222</v>
      </c>
      <c r="P1132" s="31"/>
      <c r="Q1132" s="19"/>
      <c r="R1132" s="19"/>
      <c r="S1132" s="189">
        <v>12000</v>
      </c>
      <c r="T1132" s="19">
        <v>2400</v>
      </c>
      <c r="U1132" s="14" t="s">
        <v>77</v>
      </c>
      <c r="W1132" s="21">
        <v>15</v>
      </c>
      <c r="X1132" s="13">
        <f t="shared" si="153"/>
        <v>72</v>
      </c>
      <c r="Y1132" s="34">
        <v>0</v>
      </c>
      <c r="Z1132" s="34">
        <v>0</v>
      </c>
      <c r="AA1132" s="13"/>
      <c r="AB1132" s="13">
        <f t="shared" si="154"/>
        <v>10.8</v>
      </c>
      <c r="AC1132" s="13">
        <f t="shared" si="155"/>
        <v>6.3</v>
      </c>
      <c r="AD1132" s="13"/>
      <c r="AE1132" s="34">
        <v>0</v>
      </c>
      <c r="AF1132" s="34">
        <v>0</v>
      </c>
      <c r="AG1132" s="34">
        <v>0</v>
      </c>
      <c r="AH1132" s="34"/>
      <c r="AI1132" s="34">
        <v>0</v>
      </c>
      <c r="AJ1132" s="13">
        <f t="shared" si="156"/>
        <v>89.1</v>
      </c>
      <c r="AK1132" s="22"/>
      <c r="AL1132" s="35">
        <v>0</v>
      </c>
    </row>
    <row r="1133" spans="1:42" s="14" customFormat="1" ht="22" customHeight="1">
      <c r="A1133" s="14" t="s">
        <v>19</v>
      </c>
      <c r="B1133" s="15">
        <v>2024</v>
      </c>
      <c r="C1133" s="15" t="s">
        <v>24</v>
      </c>
      <c r="D1133" s="14" t="s">
        <v>206</v>
      </c>
      <c r="E1133" s="14" t="s">
        <v>25</v>
      </c>
      <c r="F1133" s="16" t="s">
        <v>207</v>
      </c>
      <c r="G1133" s="14">
        <v>2</v>
      </c>
      <c r="J1133" s="14" t="s">
        <v>13</v>
      </c>
      <c r="K1133" s="16"/>
      <c r="L1133" s="14" t="s">
        <v>223</v>
      </c>
      <c r="M1133" s="14" t="s">
        <v>97</v>
      </c>
      <c r="N1133" s="30"/>
      <c r="O1133" s="31" t="s">
        <v>224</v>
      </c>
      <c r="P1133" s="31"/>
      <c r="Q1133" s="19"/>
      <c r="R1133" s="19"/>
      <c r="S1133" s="180">
        <v>4797</v>
      </c>
      <c r="T1133" s="19">
        <v>959.4</v>
      </c>
      <c r="U1133" s="14" t="s">
        <v>77</v>
      </c>
      <c r="W1133" s="21">
        <v>15</v>
      </c>
      <c r="X1133" s="13">
        <f t="shared" si="153"/>
        <v>28.782</v>
      </c>
      <c r="Y1133" s="34">
        <v>0</v>
      </c>
      <c r="Z1133" s="34">
        <v>0</v>
      </c>
      <c r="AA1133" s="13"/>
      <c r="AB1133" s="13">
        <f t="shared" si="154"/>
        <v>4.3173000000000004</v>
      </c>
      <c r="AC1133" s="13">
        <f t="shared" si="155"/>
        <v>2.5184250000000001</v>
      </c>
      <c r="AD1133" s="13"/>
      <c r="AE1133" s="34">
        <v>0</v>
      </c>
      <c r="AF1133" s="34">
        <v>0</v>
      </c>
      <c r="AG1133" s="34">
        <v>0</v>
      </c>
      <c r="AH1133" s="34"/>
      <c r="AI1133" s="34">
        <v>0</v>
      </c>
      <c r="AJ1133" s="13">
        <f t="shared" si="156"/>
        <v>35.617725</v>
      </c>
      <c r="AK1133" s="22"/>
      <c r="AL1133" s="35">
        <v>0</v>
      </c>
    </row>
    <row r="1134" spans="1:42" s="14" customFormat="1" ht="22" customHeight="1">
      <c r="A1134" s="14" t="s">
        <v>19</v>
      </c>
      <c r="B1134" s="15">
        <v>2024</v>
      </c>
      <c r="C1134" s="15" t="s">
        <v>24</v>
      </c>
      <c r="D1134" s="14" t="s">
        <v>206</v>
      </c>
      <c r="E1134" s="14" t="s">
        <v>25</v>
      </c>
      <c r="F1134" s="16" t="s">
        <v>207</v>
      </c>
      <c r="G1134" s="14">
        <v>2</v>
      </c>
      <c r="I1134" s="14" t="s">
        <v>12</v>
      </c>
      <c r="J1134" s="14" t="s">
        <v>12</v>
      </c>
      <c r="K1134" s="16" t="s">
        <v>14</v>
      </c>
      <c r="L1134" s="14" t="s">
        <v>209</v>
      </c>
      <c r="M1134" s="14" t="s">
        <v>84</v>
      </c>
      <c r="N1134" s="24"/>
      <c r="O1134" s="25" t="s">
        <v>225</v>
      </c>
      <c r="P1134" s="25"/>
      <c r="Q1134" s="19"/>
      <c r="R1134" s="19"/>
      <c r="S1134" s="182">
        <v>18100</v>
      </c>
      <c r="T1134" s="19">
        <v>3620</v>
      </c>
      <c r="U1134" s="14" t="s">
        <v>77</v>
      </c>
      <c r="W1134" s="21">
        <v>15</v>
      </c>
      <c r="X1134" s="13">
        <f t="shared" si="153"/>
        <v>108.6</v>
      </c>
      <c r="Y1134" s="13">
        <v>0</v>
      </c>
      <c r="Z1134" s="13">
        <v>0</v>
      </c>
      <c r="AA1134" s="13"/>
      <c r="AB1134" s="13">
        <f t="shared" si="154"/>
        <v>16.29</v>
      </c>
      <c r="AC1134" s="13">
        <f t="shared" si="155"/>
        <v>9.5024999999999995</v>
      </c>
      <c r="AD1134" s="13"/>
      <c r="AE1134" s="13">
        <v>0</v>
      </c>
      <c r="AF1134" s="13">
        <v>0</v>
      </c>
      <c r="AG1134" s="13">
        <v>0</v>
      </c>
      <c r="AH1134" s="13"/>
      <c r="AI1134" s="13">
        <v>0</v>
      </c>
      <c r="AJ1134" s="13">
        <f t="shared" si="156"/>
        <v>134.39249999999998</v>
      </c>
      <c r="AK1134" s="22"/>
      <c r="AL1134" s="23">
        <v>0</v>
      </c>
    </row>
    <row r="1135" spans="1:42" s="14" customFormat="1" ht="22" customHeight="1">
      <c r="A1135" s="14" t="s">
        <v>19</v>
      </c>
      <c r="B1135" s="15">
        <v>2024</v>
      </c>
      <c r="C1135" s="15" t="s">
        <v>24</v>
      </c>
      <c r="D1135" s="14" t="s">
        <v>206</v>
      </c>
      <c r="E1135" s="14" t="s">
        <v>25</v>
      </c>
      <c r="F1135" s="16" t="s">
        <v>207</v>
      </c>
      <c r="G1135" s="14">
        <v>1</v>
      </c>
      <c r="I1135" s="14" t="s">
        <v>78</v>
      </c>
      <c r="J1135" s="14" t="s">
        <v>11</v>
      </c>
      <c r="K1135" s="16" t="s">
        <v>82</v>
      </c>
      <c r="L1135" s="14" t="s">
        <v>171</v>
      </c>
      <c r="M1135" s="14" t="s">
        <v>78</v>
      </c>
      <c r="N1135" s="24"/>
      <c r="O1135" s="25" t="s">
        <v>226</v>
      </c>
      <c r="P1135" s="25"/>
      <c r="Q1135" s="19"/>
      <c r="R1135" s="19"/>
      <c r="S1135" s="182">
        <v>6201</v>
      </c>
      <c r="T1135" s="19">
        <v>1240.2</v>
      </c>
      <c r="U1135" s="14" t="s">
        <v>77</v>
      </c>
      <c r="W1135" s="21">
        <v>15</v>
      </c>
      <c r="X1135" s="13">
        <f t="shared" si="153"/>
        <v>37.206000000000003</v>
      </c>
      <c r="Y1135" s="13">
        <v>0</v>
      </c>
      <c r="Z1135" s="13">
        <v>0</v>
      </c>
      <c r="AA1135" s="13"/>
      <c r="AB1135" s="13">
        <f t="shared" si="154"/>
        <v>5.5808999999999997</v>
      </c>
      <c r="AC1135" s="13">
        <f t="shared" si="155"/>
        <v>3.255525</v>
      </c>
      <c r="AD1135" s="13"/>
      <c r="AE1135" s="13">
        <v>0</v>
      </c>
      <c r="AF1135" s="13">
        <v>0</v>
      </c>
      <c r="AG1135" s="13">
        <v>0</v>
      </c>
      <c r="AH1135" s="13"/>
      <c r="AI1135" s="13">
        <v>0</v>
      </c>
      <c r="AJ1135" s="13">
        <f>SUBTOTAL(9,X1135:AI1135)</f>
        <v>46.042425000000001</v>
      </c>
      <c r="AK1135" s="22"/>
      <c r="AL1135" s="23">
        <v>0</v>
      </c>
    </row>
    <row r="1136" spans="1:42" s="14" customFormat="1" ht="22" customHeight="1">
      <c r="A1136" s="14" t="s">
        <v>19</v>
      </c>
      <c r="B1136" s="15">
        <v>2024</v>
      </c>
      <c r="C1136" s="15" t="s">
        <v>24</v>
      </c>
      <c r="D1136" s="14" t="s">
        <v>206</v>
      </c>
      <c r="E1136" s="14" t="s">
        <v>25</v>
      </c>
      <c r="F1136" s="16" t="s">
        <v>207</v>
      </c>
      <c r="G1136" s="14">
        <v>1</v>
      </c>
      <c r="I1136" s="14" t="s">
        <v>12</v>
      </c>
      <c r="J1136" s="14" t="s">
        <v>12</v>
      </c>
      <c r="K1136" s="16" t="s">
        <v>14</v>
      </c>
      <c r="L1136" s="14" t="s">
        <v>209</v>
      </c>
      <c r="M1136" s="14" t="s">
        <v>84</v>
      </c>
      <c r="N1136" s="17"/>
      <c r="O1136" s="18" t="s">
        <v>227</v>
      </c>
      <c r="P1136" s="18"/>
      <c r="Q1136" s="19"/>
      <c r="R1136" s="19"/>
      <c r="S1136" s="182">
        <v>10195</v>
      </c>
      <c r="T1136" s="19">
        <v>2039</v>
      </c>
      <c r="U1136" s="14" t="s">
        <v>77</v>
      </c>
      <c r="W1136" s="21">
        <v>15</v>
      </c>
      <c r="X1136" s="13">
        <f t="shared" si="153"/>
        <v>61.17</v>
      </c>
      <c r="Y1136" s="13">
        <v>0</v>
      </c>
      <c r="Z1136" s="13">
        <v>0</v>
      </c>
      <c r="AA1136" s="13"/>
      <c r="AB1136" s="13">
        <f t="shared" si="154"/>
        <v>9.1754999999999995</v>
      </c>
      <c r="AC1136" s="13">
        <f t="shared" si="155"/>
        <v>5.3523750000000003</v>
      </c>
      <c r="AD1136" s="13"/>
      <c r="AE1136" s="13">
        <v>0</v>
      </c>
      <c r="AF1136" s="13">
        <v>0</v>
      </c>
      <c r="AG1136" s="13">
        <v>0</v>
      </c>
      <c r="AH1136" s="13"/>
      <c r="AI1136" s="13">
        <v>0</v>
      </c>
      <c r="AJ1136" s="13">
        <f t="shared" si="156"/>
        <v>75.697874999999996</v>
      </c>
      <c r="AK1136" s="22"/>
      <c r="AL1136" s="23">
        <v>0</v>
      </c>
    </row>
    <row r="1137" spans="1:38" s="14" customFormat="1" ht="22" customHeight="1">
      <c r="A1137" s="14" t="s">
        <v>19</v>
      </c>
      <c r="B1137" s="15">
        <v>2024</v>
      </c>
      <c r="C1137" s="15" t="s">
        <v>24</v>
      </c>
      <c r="D1137" s="14" t="s">
        <v>206</v>
      </c>
      <c r="E1137" s="14" t="s">
        <v>25</v>
      </c>
      <c r="F1137" s="16" t="s">
        <v>207</v>
      </c>
      <c r="G1137" s="14">
        <v>1</v>
      </c>
      <c r="I1137" s="14" t="s">
        <v>78</v>
      </c>
      <c r="J1137" s="14" t="s">
        <v>11</v>
      </c>
      <c r="K1137" s="16" t="s">
        <v>82</v>
      </c>
      <c r="L1137" s="14" t="s">
        <v>171</v>
      </c>
      <c r="M1137" s="14" t="s">
        <v>78</v>
      </c>
      <c r="N1137" s="17"/>
      <c r="O1137" s="18" t="s">
        <v>228</v>
      </c>
      <c r="P1137" s="18"/>
      <c r="Q1137" s="19"/>
      <c r="R1137" s="19"/>
      <c r="S1137" s="182">
        <v>15000</v>
      </c>
      <c r="T1137" s="19">
        <v>3000</v>
      </c>
      <c r="U1137" s="14" t="s">
        <v>77</v>
      </c>
      <c r="W1137" s="21">
        <v>15</v>
      </c>
      <c r="X1137" s="13">
        <f t="shared" si="153"/>
        <v>90</v>
      </c>
      <c r="Y1137" s="13">
        <v>0</v>
      </c>
      <c r="Z1137" s="13">
        <v>0</v>
      </c>
      <c r="AA1137" s="13"/>
      <c r="AB1137" s="13">
        <f t="shared" si="154"/>
        <v>13.5</v>
      </c>
      <c r="AC1137" s="13">
        <f t="shared" si="155"/>
        <v>7.875</v>
      </c>
      <c r="AD1137" s="13"/>
      <c r="AE1137" s="13">
        <v>0</v>
      </c>
      <c r="AF1137" s="13">
        <v>0</v>
      </c>
      <c r="AG1137" s="13">
        <v>0</v>
      </c>
      <c r="AH1137" s="13"/>
      <c r="AI1137" s="13">
        <v>0</v>
      </c>
      <c r="AJ1137" s="13">
        <f>SUBTOTAL(9,X1137:AI1137)</f>
        <v>111.375</v>
      </c>
      <c r="AK1137" s="22"/>
      <c r="AL1137" s="23">
        <v>0</v>
      </c>
    </row>
    <row r="1138" spans="1:38" s="14" customFormat="1" ht="22" customHeight="1">
      <c r="A1138" s="14" t="s">
        <v>19</v>
      </c>
      <c r="B1138" s="15">
        <v>2024</v>
      </c>
      <c r="C1138" s="15" t="s">
        <v>24</v>
      </c>
      <c r="D1138" s="14" t="s">
        <v>206</v>
      </c>
      <c r="E1138" s="14" t="s">
        <v>25</v>
      </c>
      <c r="F1138" s="16" t="s">
        <v>207</v>
      </c>
      <c r="G1138" s="14">
        <v>1</v>
      </c>
      <c r="I1138" s="14" t="s">
        <v>14</v>
      </c>
      <c r="J1138" s="14" t="s">
        <v>14</v>
      </c>
      <c r="K1138" s="16" t="s">
        <v>14</v>
      </c>
      <c r="L1138" s="14" t="s">
        <v>209</v>
      </c>
      <c r="M1138" s="14" t="s">
        <v>99</v>
      </c>
      <c r="N1138" s="30"/>
      <c r="O1138" s="31" t="s">
        <v>231</v>
      </c>
      <c r="P1138" s="31"/>
      <c r="Q1138" s="19"/>
      <c r="R1138" s="19"/>
      <c r="S1138" s="189">
        <v>1000</v>
      </c>
      <c r="T1138" s="19">
        <v>200</v>
      </c>
      <c r="U1138" s="14" t="s">
        <v>77</v>
      </c>
      <c r="W1138" s="21">
        <v>15</v>
      </c>
      <c r="X1138" s="13">
        <f t="shared" si="153"/>
        <v>6</v>
      </c>
      <c r="Y1138" s="34">
        <v>0</v>
      </c>
      <c r="Z1138" s="34">
        <v>0</v>
      </c>
      <c r="AA1138" s="13"/>
      <c r="AB1138" s="13">
        <f t="shared" si="154"/>
        <v>0.9</v>
      </c>
      <c r="AC1138" s="13">
        <f t="shared" si="155"/>
        <v>0.52500000000000002</v>
      </c>
      <c r="AD1138" s="13"/>
      <c r="AE1138" s="34">
        <v>0</v>
      </c>
      <c r="AF1138" s="34">
        <v>0</v>
      </c>
      <c r="AG1138" s="34">
        <v>0</v>
      </c>
      <c r="AH1138" s="34"/>
      <c r="AI1138" s="34">
        <v>0</v>
      </c>
      <c r="AJ1138" s="13">
        <f t="shared" si="156"/>
        <v>7.4250000000000007</v>
      </c>
      <c r="AK1138" s="22"/>
      <c r="AL1138" s="35">
        <v>0</v>
      </c>
    </row>
    <row r="1139" spans="1:38" s="14" customFormat="1" ht="22" customHeight="1">
      <c r="A1139" s="14" t="s">
        <v>19</v>
      </c>
      <c r="B1139" s="15">
        <v>2024</v>
      </c>
      <c r="C1139" s="15" t="s">
        <v>24</v>
      </c>
      <c r="D1139" s="14" t="s">
        <v>206</v>
      </c>
      <c r="E1139" s="14" t="s">
        <v>25</v>
      </c>
      <c r="F1139" s="16" t="s">
        <v>207</v>
      </c>
      <c r="G1139" s="14">
        <v>1</v>
      </c>
      <c r="I1139" s="14" t="s">
        <v>78</v>
      </c>
      <c r="J1139" s="14" t="s">
        <v>11</v>
      </c>
      <c r="K1139" s="16" t="s">
        <v>82</v>
      </c>
      <c r="L1139" s="14" t="s">
        <v>171</v>
      </c>
      <c r="M1139" s="14" t="s">
        <v>78</v>
      </c>
      <c r="N1139" s="17"/>
      <c r="O1139" s="18" t="s">
        <v>232</v>
      </c>
      <c r="P1139" s="18"/>
      <c r="Q1139" s="19"/>
      <c r="R1139" s="19"/>
      <c r="S1139" s="182">
        <v>6341</v>
      </c>
      <c r="T1139" s="19">
        <v>1268.2</v>
      </c>
      <c r="U1139" s="14" t="s">
        <v>77</v>
      </c>
      <c r="W1139" s="21">
        <v>15</v>
      </c>
      <c r="X1139" s="13">
        <f t="shared" si="153"/>
        <v>38.045999999999999</v>
      </c>
      <c r="Y1139" s="13">
        <v>0</v>
      </c>
      <c r="Z1139" s="13">
        <v>0</v>
      </c>
      <c r="AA1139" s="13"/>
      <c r="AB1139" s="13">
        <f t="shared" si="154"/>
        <v>5.7069000000000001</v>
      </c>
      <c r="AC1139" s="13">
        <f t="shared" si="155"/>
        <v>3.3290250000000001</v>
      </c>
      <c r="AD1139" s="13"/>
      <c r="AE1139" s="13">
        <v>0</v>
      </c>
      <c r="AF1139" s="13">
        <v>0</v>
      </c>
      <c r="AG1139" s="13">
        <v>0</v>
      </c>
      <c r="AH1139" s="13"/>
      <c r="AI1139" s="13">
        <v>0</v>
      </c>
      <c r="AJ1139" s="13">
        <f t="shared" si="156"/>
        <v>47.081924999999998</v>
      </c>
      <c r="AK1139" s="22"/>
      <c r="AL1139" s="23">
        <v>0</v>
      </c>
    </row>
    <row r="1140" spans="1:38" s="14" customFormat="1" ht="22" customHeight="1">
      <c r="A1140" s="14" t="s">
        <v>19</v>
      </c>
      <c r="B1140" s="15">
        <v>2024</v>
      </c>
      <c r="C1140" s="15" t="s">
        <v>24</v>
      </c>
      <c r="D1140" s="14" t="s">
        <v>206</v>
      </c>
      <c r="E1140" s="14" t="s">
        <v>25</v>
      </c>
      <c r="F1140" s="16" t="s">
        <v>207</v>
      </c>
      <c r="G1140" s="14">
        <v>1</v>
      </c>
      <c r="I1140" s="14" t="s">
        <v>28</v>
      </c>
      <c r="J1140" s="14" t="s">
        <v>11</v>
      </c>
      <c r="K1140" s="16" t="s">
        <v>82</v>
      </c>
      <c r="L1140" s="14" t="s">
        <v>166</v>
      </c>
      <c r="M1140" s="14" t="s">
        <v>28</v>
      </c>
      <c r="N1140" s="27"/>
      <c r="O1140" s="28" t="s">
        <v>233</v>
      </c>
      <c r="P1140" s="28"/>
      <c r="Q1140" s="19"/>
      <c r="R1140" s="19"/>
      <c r="S1140" s="182">
        <v>13542</v>
      </c>
      <c r="T1140" s="19">
        <v>2708.4</v>
      </c>
      <c r="U1140" s="14" t="s">
        <v>77</v>
      </c>
      <c r="W1140" s="21">
        <v>15</v>
      </c>
      <c r="X1140" s="13">
        <f t="shared" si="153"/>
        <v>81.251999999999995</v>
      </c>
      <c r="Y1140" s="13">
        <v>0</v>
      </c>
      <c r="Z1140" s="13">
        <v>0</v>
      </c>
      <c r="AA1140" s="13"/>
      <c r="AB1140" s="13">
        <f t="shared" si="154"/>
        <v>12.187799999999999</v>
      </c>
      <c r="AC1140" s="13">
        <f t="shared" si="155"/>
        <v>7.1095499999999996</v>
      </c>
      <c r="AD1140" s="13"/>
      <c r="AE1140" s="13">
        <v>0</v>
      </c>
      <c r="AF1140" s="13">
        <v>0</v>
      </c>
      <c r="AG1140" s="13">
        <v>0</v>
      </c>
      <c r="AH1140" s="13"/>
      <c r="AI1140" s="13">
        <v>0</v>
      </c>
      <c r="AJ1140" s="13">
        <f t="shared" si="156"/>
        <v>100.54934999999999</v>
      </c>
      <c r="AK1140" s="22"/>
      <c r="AL1140" s="23">
        <v>0</v>
      </c>
    </row>
    <row r="1141" spans="1:38" s="14" customFormat="1" ht="22" customHeight="1">
      <c r="A1141" s="14" t="s">
        <v>19</v>
      </c>
      <c r="B1141" s="15">
        <v>2024</v>
      </c>
      <c r="C1141" s="15" t="s">
        <v>24</v>
      </c>
      <c r="D1141" s="14" t="s">
        <v>206</v>
      </c>
      <c r="E1141" s="14" t="s">
        <v>25</v>
      </c>
      <c r="F1141" s="16" t="s">
        <v>207</v>
      </c>
      <c r="G1141" s="14">
        <v>1</v>
      </c>
      <c r="I1141" s="14" t="s">
        <v>12</v>
      </c>
      <c r="J1141" s="14" t="s">
        <v>12</v>
      </c>
      <c r="K1141" s="16" t="s">
        <v>14</v>
      </c>
      <c r="L1141" s="14" t="s">
        <v>209</v>
      </c>
      <c r="M1141" s="14" t="s">
        <v>84</v>
      </c>
      <c r="N1141" s="27"/>
      <c r="O1141" s="28" t="s">
        <v>234</v>
      </c>
      <c r="P1141" s="28"/>
      <c r="Q1141" s="19"/>
      <c r="R1141" s="19"/>
      <c r="S1141" s="182">
        <v>18955</v>
      </c>
      <c r="T1141" s="19">
        <v>3791</v>
      </c>
      <c r="U1141" s="14" t="s">
        <v>77</v>
      </c>
      <c r="W1141" s="21">
        <v>15</v>
      </c>
      <c r="X1141" s="13">
        <f t="shared" si="153"/>
        <v>113.73</v>
      </c>
      <c r="Y1141" s="13">
        <v>0</v>
      </c>
      <c r="Z1141" s="13">
        <v>0</v>
      </c>
      <c r="AA1141" s="13"/>
      <c r="AB1141" s="13">
        <f t="shared" si="154"/>
        <v>17.0595</v>
      </c>
      <c r="AC1141" s="13">
        <f t="shared" si="155"/>
        <v>9.9513750000000005</v>
      </c>
      <c r="AD1141" s="13"/>
      <c r="AE1141" s="13">
        <v>0</v>
      </c>
      <c r="AF1141" s="13">
        <v>0</v>
      </c>
      <c r="AG1141" s="13">
        <v>0</v>
      </c>
      <c r="AH1141" s="13"/>
      <c r="AI1141" s="13">
        <v>0</v>
      </c>
      <c r="AJ1141" s="13">
        <f t="shared" si="156"/>
        <v>140.74087500000002</v>
      </c>
      <c r="AK1141" s="22"/>
      <c r="AL1141" s="23">
        <v>0</v>
      </c>
    </row>
    <row r="1142" spans="1:38" s="14" customFormat="1" ht="22" customHeight="1">
      <c r="A1142" s="14" t="s">
        <v>19</v>
      </c>
      <c r="B1142" s="15">
        <v>2024</v>
      </c>
      <c r="C1142" s="15" t="s">
        <v>24</v>
      </c>
      <c r="D1142" s="14" t="s">
        <v>206</v>
      </c>
      <c r="E1142" s="14" t="s">
        <v>25</v>
      </c>
      <c r="F1142" s="16" t="s">
        <v>207</v>
      </c>
      <c r="G1142" s="14">
        <v>2</v>
      </c>
      <c r="I1142" s="14" t="s">
        <v>14</v>
      </c>
      <c r="J1142" s="14" t="s">
        <v>14</v>
      </c>
      <c r="K1142" s="16" t="s">
        <v>14</v>
      </c>
      <c r="L1142" s="14" t="s">
        <v>209</v>
      </c>
      <c r="M1142" s="14" t="s">
        <v>99</v>
      </c>
      <c r="N1142" s="30"/>
      <c r="O1142" s="31" t="s">
        <v>235</v>
      </c>
      <c r="P1142" s="31"/>
      <c r="Q1142" s="19"/>
      <c r="R1142" s="19"/>
      <c r="S1142" s="189">
        <v>10900</v>
      </c>
      <c r="T1142" s="19">
        <v>2180</v>
      </c>
      <c r="U1142" s="14" t="s">
        <v>77</v>
      </c>
      <c r="W1142" s="21">
        <v>15</v>
      </c>
      <c r="X1142" s="13">
        <f t="shared" si="153"/>
        <v>65.400000000000006</v>
      </c>
      <c r="Y1142" s="34">
        <v>0</v>
      </c>
      <c r="Z1142" s="34">
        <v>0</v>
      </c>
      <c r="AA1142" s="13"/>
      <c r="AB1142" s="13">
        <f t="shared" si="154"/>
        <v>9.81</v>
      </c>
      <c r="AC1142" s="13">
        <f t="shared" si="155"/>
        <v>5.7225000000000001</v>
      </c>
      <c r="AD1142" s="13"/>
      <c r="AE1142" s="34">
        <v>0</v>
      </c>
      <c r="AF1142" s="34">
        <v>0</v>
      </c>
      <c r="AG1142" s="34">
        <v>0</v>
      </c>
      <c r="AH1142" s="34"/>
      <c r="AI1142" s="34">
        <v>0</v>
      </c>
      <c r="AJ1142" s="13">
        <f t="shared" si="156"/>
        <v>80.932500000000005</v>
      </c>
      <c r="AK1142" s="22"/>
      <c r="AL1142" s="35">
        <v>0</v>
      </c>
    </row>
    <row r="1143" spans="1:38" s="14" customFormat="1" ht="22" customHeight="1">
      <c r="A1143" s="14" t="s">
        <v>19</v>
      </c>
      <c r="B1143" s="15">
        <v>2024</v>
      </c>
      <c r="C1143" s="15" t="s">
        <v>24</v>
      </c>
      <c r="D1143" s="14" t="s">
        <v>206</v>
      </c>
      <c r="E1143" s="14" t="s">
        <v>25</v>
      </c>
      <c r="F1143" s="16" t="s">
        <v>207</v>
      </c>
      <c r="G1143" s="14">
        <v>1</v>
      </c>
      <c r="I1143" s="14" t="s">
        <v>28</v>
      </c>
      <c r="J1143" s="14" t="s">
        <v>11</v>
      </c>
      <c r="K1143" s="16" t="s">
        <v>82</v>
      </c>
      <c r="L1143" s="14" t="s">
        <v>166</v>
      </c>
      <c r="M1143" s="14" t="s">
        <v>28</v>
      </c>
      <c r="N1143" s="24"/>
      <c r="O1143" s="25" t="s">
        <v>236</v>
      </c>
      <c r="P1143" s="25"/>
      <c r="Q1143" s="19"/>
      <c r="R1143" s="19"/>
      <c r="S1143" s="182">
        <v>5759</v>
      </c>
      <c r="T1143" s="19">
        <v>1151.8</v>
      </c>
      <c r="U1143" s="14" t="s">
        <v>77</v>
      </c>
      <c r="W1143" s="21">
        <v>15</v>
      </c>
      <c r="X1143" s="13">
        <f t="shared" si="153"/>
        <v>34.554000000000002</v>
      </c>
      <c r="Y1143" s="13">
        <v>0</v>
      </c>
      <c r="Z1143" s="13">
        <v>0</v>
      </c>
      <c r="AA1143" s="13"/>
      <c r="AB1143" s="13">
        <f t="shared" si="154"/>
        <v>5.1830999999999996</v>
      </c>
      <c r="AC1143" s="13">
        <f t="shared" si="155"/>
        <v>3.0234749999999999</v>
      </c>
      <c r="AD1143" s="13"/>
      <c r="AE1143" s="13">
        <v>0</v>
      </c>
      <c r="AF1143" s="13">
        <v>0</v>
      </c>
      <c r="AG1143" s="13">
        <v>0</v>
      </c>
      <c r="AH1143" s="13"/>
      <c r="AI1143" s="13">
        <v>0</v>
      </c>
      <c r="AJ1143" s="13">
        <f t="shared" si="156"/>
        <v>42.760574999999996</v>
      </c>
      <c r="AK1143" s="22"/>
      <c r="AL1143" s="23">
        <v>0</v>
      </c>
    </row>
    <row r="1144" spans="1:38" s="14" customFormat="1" ht="22" customHeight="1">
      <c r="A1144" s="14" t="s">
        <v>19</v>
      </c>
      <c r="B1144" s="15">
        <v>2024</v>
      </c>
      <c r="C1144" s="15" t="s">
        <v>24</v>
      </c>
      <c r="D1144" s="14" t="s">
        <v>206</v>
      </c>
      <c r="E1144" s="14" t="s">
        <v>25</v>
      </c>
      <c r="F1144" s="16" t="s">
        <v>207</v>
      </c>
      <c r="G1144" s="14">
        <v>1</v>
      </c>
      <c r="I1144" s="14" t="s">
        <v>28</v>
      </c>
      <c r="J1144" s="14" t="s">
        <v>11</v>
      </c>
      <c r="K1144" s="16" t="s">
        <v>82</v>
      </c>
      <c r="L1144" s="14" t="s">
        <v>166</v>
      </c>
      <c r="M1144" s="14" t="s">
        <v>28</v>
      </c>
      <c r="N1144" s="24"/>
      <c r="O1144" s="25" t="s">
        <v>237</v>
      </c>
      <c r="P1144" s="25"/>
      <c r="Q1144" s="19"/>
      <c r="R1144" s="19"/>
      <c r="S1144" s="182">
        <v>20745</v>
      </c>
      <c r="T1144" s="19">
        <v>4149</v>
      </c>
      <c r="U1144" s="14" t="s">
        <v>77</v>
      </c>
      <c r="W1144" s="21">
        <v>15</v>
      </c>
      <c r="X1144" s="13">
        <f t="shared" si="153"/>
        <v>124.47</v>
      </c>
      <c r="Y1144" s="13">
        <v>0</v>
      </c>
      <c r="Z1144" s="13">
        <v>0</v>
      </c>
      <c r="AA1144" s="13"/>
      <c r="AB1144" s="13">
        <f t="shared" si="154"/>
        <v>18.670500000000001</v>
      </c>
      <c r="AC1144" s="13">
        <f t="shared" si="155"/>
        <v>10.891125000000001</v>
      </c>
      <c r="AD1144" s="13"/>
      <c r="AE1144" s="13">
        <v>0</v>
      </c>
      <c r="AF1144" s="13">
        <v>0</v>
      </c>
      <c r="AG1144" s="13">
        <v>0</v>
      </c>
      <c r="AH1144" s="13"/>
      <c r="AI1144" s="13">
        <v>0</v>
      </c>
      <c r="AJ1144" s="13">
        <f t="shared" si="156"/>
        <v>154.03162499999999</v>
      </c>
      <c r="AK1144" s="22"/>
      <c r="AL1144" s="23">
        <v>0</v>
      </c>
    </row>
    <row r="1145" spans="1:38" s="14" customFormat="1" ht="22" customHeight="1">
      <c r="A1145" s="14" t="s">
        <v>19</v>
      </c>
      <c r="B1145" s="15">
        <v>2024</v>
      </c>
      <c r="C1145" s="15" t="s">
        <v>24</v>
      </c>
      <c r="D1145" s="14" t="s">
        <v>206</v>
      </c>
      <c r="E1145" s="14" t="s">
        <v>25</v>
      </c>
      <c r="F1145" s="16" t="s">
        <v>207</v>
      </c>
      <c r="G1145" s="14">
        <v>2</v>
      </c>
      <c r="J1145" s="14" t="s">
        <v>13</v>
      </c>
      <c r="K1145" s="16"/>
      <c r="L1145" s="14" t="s">
        <v>223</v>
      </c>
      <c r="M1145" s="14" t="s">
        <v>97</v>
      </c>
      <c r="N1145" s="30"/>
      <c r="O1145" s="31" t="s">
        <v>238</v>
      </c>
      <c r="P1145" s="31"/>
      <c r="Q1145" s="19"/>
      <c r="R1145" s="19"/>
      <c r="S1145" s="184">
        <v>7686</v>
      </c>
      <c r="T1145" s="19">
        <v>1537.2</v>
      </c>
      <c r="U1145" s="14" t="s">
        <v>77</v>
      </c>
      <c r="W1145" s="21">
        <v>15</v>
      </c>
      <c r="X1145" s="13">
        <f t="shared" si="153"/>
        <v>46.116</v>
      </c>
      <c r="Y1145" s="34">
        <v>0</v>
      </c>
      <c r="Z1145" s="34">
        <v>0</v>
      </c>
      <c r="AA1145" s="13"/>
      <c r="AB1145" s="13">
        <f t="shared" si="154"/>
        <v>6.9173999999999998</v>
      </c>
      <c r="AC1145" s="13">
        <f t="shared" si="155"/>
        <v>4.0351499999999998</v>
      </c>
      <c r="AD1145" s="13"/>
      <c r="AE1145" s="34">
        <v>0</v>
      </c>
      <c r="AF1145" s="34">
        <v>0</v>
      </c>
      <c r="AG1145" s="34">
        <v>0</v>
      </c>
      <c r="AH1145" s="34"/>
      <c r="AI1145" s="34">
        <v>0</v>
      </c>
      <c r="AJ1145" s="13">
        <f t="shared" si="156"/>
        <v>57.068550000000002</v>
      </c>
      <c r="AK1145" s="22"/>
      <c r="AL1145" s="35">
        <v>0</v>
      </c>
    </row>
    <row r="1146" spans="1:38" s="14" customFormat="1" ht="22" customHeight="1">
      <c r="A1146" s="14" t="s">
        <v>19</v>
      </c>
      <c r="B1146" s="15">
        <v>2024</v>
      </c>
      <c r="C1146" s="15" t="s">
        <v>24</v>
      </c>
      <c r="D1146" s="14" t="s">
        <v>206</v>
      </c>
      <c r="E1146" s="14" t="s">
        <v>25</v>
      </c>
      <c r="F1146" s="16" t="s">
        <v>207</v>
      </c>
      <c r="G1146" s="14">
        <v>1</v>
      </c>
      <c r="I1146" s="14" t="s">
        <v>78</v>
      </c>
      <c r="J1146" s="14" t="s">
        <v>11</v>
      </c>
      <c r="K1146" s="16" t="s">
        <v>82</v>
      </c>
      <c r="L1146" s="14" t="s">
        <v>171</v>
      </c>
      <c r="M1146" s="14" t="s">
        <v>78</v>
      </c>
      <c r="N1146" s="24"/>
      <c r="O1146" s="25" t="s">
        <v>239</v>
      </c>
      <c r="P1146" s="25"/>
      <c r="Q1146" s="19"/>
      <c r="R1146" s="19"/>
      <c r="S1146" s="182">
        <v>6759</v>
      </c>
      <c r="T1146" s="19">
        <v>1351.8</v>
      </c>
      <c r="U1146" s="14" t="s">
        <v>77</v>
      </c>
      <c r="W1146" s="21">
        <v>15</v>
      </c>
      <c r="X1146" s="13">
        <f t="shared" si="153"/>
        <v>40.554000000000002</v>
      </c>
      <c r="Y1146" s="13">
        <v>0</v>
      </c>
      <c r="Z1146" s="13">
        <v>0</v>
      </c>
      <c r="AA1146" s="13"/>
      <c r="AB1146" s="13">
        <f t="shared" si="154"/>
        <v>6.0831</v>
      </c>
      <c r="AC1146" s="13">
        <f t="shared" si="155"/>
        <v>3.5484749999999998</v>
      </c>
      <c r="AD1146" s="13"/>
      <c r="AE1146" s="13">
        <v>0</v>
      </c>
      <c r="AF1146" s="13">
        <v>0</v>
      </c>
      <c r="AG1146" s="13">
        <v>0</v>
      </c>
      <c r="AH1146" s="13"/>
      <c r="AI1146" s="13">
        <v>0</v>
      </c>
      <c r="AJ1146" s="13">
        <f t="shared" si="156"/>
        <v>50.185575</v>
      </c>
      <c r="AK1146" s="22"/>
      <c r="AL1146" s="23">
        <v>0</v>
      </c>
    </row>
    <row r="1147" spans="1:38" s="14" customFormat="1" ht="22" customHeight="1">
      <c r="A1147" s="14" t="s">
        <v>19</v>
      </c>
      <c r="B1147" s="15">
        <v>2024</v>
      </c>
      <c r="C1147" s="15" t="s">
        <v>24</v>
      </c>
      <c r="D1147" s="14" t="s">
        <v>206</v>
      </c>
      <c r="E1147" s="14" t="s">
        <v>25</v>
      </c>
      <c r="F1147" s="16" t="s">
        <v>207</v>
      </c>
      <c r="G1147" s="14">
        <v>2</v>
      </c>
      <c r="I1147" s="14" t="s">
        <v>28</v>
      </c>
      <c r="J1147" s="14" t="s">
        <v>11</v>
      </c>
      <c r="K1147" s="16" t="s">
        <v>82</v>
      </c>
      <c r="L1147" s="14" t="s">
        <v>166</v>
      </c>
      <c r="M1147" s="14" t="s">
        <v>28</v>
      </c>
      <c r="N1147" s="24"/>
      <c r="O1147" s="25" t="s">
        <v>240</v>
      </c>
      <c r="P1147" s="25"/>
      <c r="Q1147" s="19"/>
      <c r="R1147" s="19"/>
      <c r="S1147" s="182">
        <v>15242</v>
      </c>
      <c r="T1147" s="19">
        <v>3048.4</v>
      </c>
      <c r="U1147" s="14" t="s">
        <v>77</v>
      </c>
      <c r="W1147" s="21">
        <v>15</v>
      </c>
      <c r="X1147" s="13">
        <f t="shared" si="153"/>
        <v>91.451999999999998</v>
      </c>
      <c r="Y1147" s="13">
        <v>0</v>
      </c>
      <c r="Z1147" s="13">
        <v>0</v>
      </c>
      <c r="AA1147" s="13"/>
      <c r="AB1147" s="13">
        <f t="shared" si="154"/>
        <v>13.7178</v>
      </c>
      <c r="AC1147" s="13">
        <f t="shared" si="155"/>
        <v>8.0020500000000006</v>
      </c>
      <c r="AD1147" s="13"/>
      <c r="AE1147" s="13">
        <v>0</v>
      </c>
      <c r="AF1147" s="13">
        <v>0</v>
      </c>
      <c r="AG1147" s="13">
        <v>0</v>
      </c>
      <c r="AH1147" s="13"/>
      <c r="AI1147" s="13">
        <v>0</v>
      </c>
      <c r="AJ1147" s="13">
        <f t="shared" si="156"/>
        <v>113.17184999999999</v>
      </c>
      <c r="AK1147" s="22"/>
      <c r="AL1147" s="23">
        <v>0</v>
      </c>
    </row>
    <row r="1148" spans="1:38" s="14" customFormat="1" ht="22" customHeight="1">
      <c r="A1148" s="14" t="s">
        <v>19</v>
      </c>
      <c r="B1148" s="15">
        <v>2024</v>
      </c>
      <c r="C1148" s="15" t="s">
        <v>24</v>
      </c>
      <c r="D1148" s="14" t="s">
        <v>206</v>
      </c>
      <c r="E1148" s="14" t="s">
        <v>25</v>
      </c>
      <c r="F1148" s="16" t="s">
        <v>207</v>
      </c>
      <c r="G1148" s="14">
        <v>1</v>
      </c>
      <c r="I1148" s="14" t="s">
        <v>12</v>
      </c>
      <c r="J1148" s="14" t="s">
        <v>12</v>
      </c>
      <c r="K1148" s="16" t="s">
        <v>14</v>
      </c>
      <c r="L1148" s="14" t="s">
        <v>209</v>
      </c>
      <c r="M1148" s="14" t="s">
        <v>84</v>
      </c>
      <c r="N1148" s="17"/>
      <c r="O1148" s="18" t="s">
        <v>241</v>
      </c>
      <c r="P1148" s="18"/>
      <c r="Q1148" s="19"/>
      <c r="R1148" s="19"/>
      <c r="S1148" s="181">
        <v>7940</v>
      </c>
      <c r="T1148" s="19">
        <v>1588</v>
      </c>
      <c r="U1148" s="14" t="s">
        <v>77</v>
      </c>
      <c r="W1148" s="21">
        <v>15</v>
      </c>
      <c r="X1148" s="13">
        <f t="shared" si="153"/>
        <v>47.64</v>
      </c>
      <c r="Y1148" s="34">
        <v>0</v>
      </c>
      <c r="Z1148" s="34">
        <v>0</v>
      </c>
      <c r="AA1148" s="13"/>
      <c r="AB1148" s="13">
        <f t="shared" si="154"/>
        <v>7.1459999999999999</v>
      </c>
      <c r="AC1148" s="13">
        <f t="shared" si="155"/>
        <v>4.1684999999999999</v>
      </c>
      <c r="AD1148" s="13"/>
      <c r="AE1148" s="34">
        <v>0</v>
      </c>
      <c r="AF1148" s="34">
        <v>0</v>
      </c>
      <c r="AG1148" s="34">
        <v>0</v>
      </c>
      <c r="AH1148" s="34"/>
      <c r="AI1148" s="34">
        <v>0</v>
      </c>
      <c r="AJ1148" s="13">
        <f t="shared" si="156"/>
        <v>58.954500000000003</v>
      </c>
      <c r="AK1148" s="22"/>
      <c r="AL1148" s="35">
        <v>0</v>
      </c>
    </row>
    <row r="1149" spans="1:38" s="14" customFormat="1" ht="22" customHeight="1">
      <c r="A1149" s="14" t="s">
        <v>19</v>
      </c>
      <c r="B1149" s="15">
        <v>2024</v>
      </c>
      <c r="C1149" s="15" t="s">
        <v>24</v>
      </c>
      <c r="D1149" s="14" t="s">
        <v>206</v>
      </c>
      <c r="E1149" s="14" t="s">
        <v>25</v>
      </c>
      <c r="F1149" s="16" t="s">
        <v>207</v>
      </c>
      <c r="G1149" s="14">
        <v>1</v>
      </c>
      <c r="I1149" s="14" t="s">
        <v>14</v>
      </c>
      <c r="J1149" s="14" t="s">
        <v>14</v>
      </c>
      <c r="K1149" s="16" t="s">
        <v>14</v>
      </c>
      <c r="L1149" s="14" t="s">
        <v>209</v>
      </c>
      <c r="M1149" s="14" t="s">
        <v>99</v>
      </c>
      <c r="N1149" s="30"/>
      <c r="O1149" s="31" t="s">
        <v>242</v>
      </c>
      <c r="P1149" s="31"/>
      <c r="Q1149" s="19"/>
      <c r="R1149" s="19"/>
      <c r="S1149" s="189">
        <v>3766</v>
      </c>
      <c r="T1149" s="19">
        <v>753.2</v>
      </c>
      <c r="U1149" s="14" t="s">
        <v>77</v>
      </c>
      <c r="W1149" s="21">
        <v>15</v>
      </c>
      <c r="X1149" s="13">
        <f t="shared" si="153"/>
        <v>22.596</v>
      </c>
      <c r="Y1149" s="34">
        <v>0</v>
      </c>
      <c r="Z1149" s="34">
        <v>0</v>
      </c>
      <c r="AA1149" s="13"/>
      <c r="AB1149" s="13">
        <f t="shared" si="154"/>
        <v>3.3894000000000002</v>
      </c>
      <c r="AC1149" s="13">
        <f t="shared" si="155"/>
        <v>1.97715</v>
      </c>
      <c r="AD1149" s="13"/>
      <c r="AE1149" s="34">
        <v>0</v>
      </c>
      <c r="AF1149" s="34">
        <v>0</v>
      </c>
      <c r="AG1149" s="34">
        <v>0</v>
      </c>
      <c r="AH1149" s="34"/>
      <c r="AI1149" s="34">
        <v>0</v>
      </c>
      <c r="AJ1149" s="13">
        <f t="shared" si="156"/>
        <v>27.96255</v>
      </c>
      <c r="AK1149" s="22"/>
      <c r="AL1149" s="35">
        <v>0</v>
      </c>
    </row>
    <row r="1150" spans="1:38" s="14" customFormat="1" ht="22" customHeight="1">
      <c r="A1150" s="14" t="s">
        <v>19</v>
      </c>
      <c r="B1150" s="15">
        <v>2024</v>
      </c>
      <c r="C1150" s="15" t="s">
        <v>24</v>
      </c>
      <c r="D1150" s="14" t="s">
        <v>206</v>
      </c>
      <c r="E1150" s="14" t="s">
        <v>25</v>
      </c>
      <c r="F1150" s="16" t="s">
        <v>207</v>
      </c>
      <c r="G1150" s="14">
        <v>1</v>
      </c>
      <c r="I1150" s="14" t="s">
        <v>78</v>
      </c>
      <c r="J1150" s="14" t="s">
        <v>11</v>
      </c>
      <c r="K1150" s="16" t="s">
        <v>82</v>
      </c>
      <c r="L1150" s="14" t="s">
        <v>171</v>
      </c>
      <c r="M1150" s="14" t="s">
        <v>78</v>
      </c>
      <c r="N1150" s="24"/>
      <c r="O1150" s="25" t="s">
        <v>243</v>
      </c>
      <c r="P1150" s="25"/>
      <c r="Q1150" s="19"/>
      <c r="R1150" s="19"/>
      <c r="S1150" s="182">
        <v>12420</v>
      </c>
      <c r="T1150" s="19">
        <v>2484</v>
      </c>
      <c r="U1150" s="14" t="s">
        <v>77</v>
      </c>
      <c r="W1150" s="21">
        <v>15</v>
      </c>
      <c r="X1150" s="13">
        <f t="shared" si="153"/>
        <v>74.52</v>
      </c>
      <c r="Y1150" s="13">
        <v>0</v>
      </c>
      <c r="Z1150" s="13">
        <v>0</v>
      </c>
      <c r="AA1150" s="13"/>
      <c r="AB1150" s="13">
        <f t="shared" si="154"/>
        <v>11.178000000000001</v>
      </c>
      <c r="AC1150" s="13">
        <f t="shared" si="155"/>
        <v>6.5205000000000002</v>
      </c>
      <c r="AD1150" s="13"/>
      <c r="AE1150" s="13">
        <v>0</v>
      </c>
      <c r="AF1150" s="13">
        <v>0</v>
      </c>
      <c r="AG1150" s="13">
        <v>0</v>
      </c>
      <c r="AH1150" s="13"/>
      <c r="AI1150" s="13">
        <v>0</v>
      </c>
      <c r="AJ1150" s="13">
        <f>SUBTOTAL(9,X1150:AI1150)</f>
        <v>92.218499999999992</v>
      </c>
      <c r="AK1150" s="22"/>
      <c r="AL1150" s="23">
        <v>0</v>
      </c>
    </row>
    <row r="1151" spans="1:38" s="14" customFormat="1" ht="22" customHeight="1">
      <c r="A1151" s="14" t="s">
        <v>19</v>
      </c>
      <c r="B1151" s="15">
        <v>2024</v>
      </c>
      <c r="C1151" s="15" t="s">
        <v>24</v>
      </c>
      <c r="D1151" s="14" t="s">
        <v>206</v>
      </c>
      <c r="E1151" s="14" t="s">
        <v>25</v>
      </c>
      <c r="F1151" s="16" t="s">
        <v>207</v>
      </c>
      <c r="G1151" s="14">
        <v>1</v>
      </c>
      <c r="J1151" s="14" t="s">
        <v>13</v>
      </c>
      <c r="K1151" s="16"/>
      <c r="L1151" s="14" t="s">
        <v>223</v>
      </c>
      <c r="M1151" s="14" t="s">
        <v>96</v>
      </c>
      <c r="N1151" s="30"/>
      <c r="O1151" s="31" t="s">
        <v>245</v>
      </c>
      <c r="P1151" s="31"/>
      <c r="Q1151" s="19"/>
      <c r="R1151" s="19"/>
      <c r="S1151" s="184">
        <v>13734</v>
      </c>
      <c r="T1151" s="19">
        <v>2746.8</v>
      </c>
      <c r="U1151" s="14" t="s">
        <v>77</v>
      </c>
      <c r="W1151" s="21">
        <v>15</v>
      </c>
      <c r="X1151" s="13">
        <f t="shared" si="153"/>
        <v>82.403999999999996</v>
      </c>
      <c r="Y1151" s="34">
        <v>0</v>
      </c>
      <c r="Z1151" s="34">
        <v>0</v>
      </c>
      <c r="AA1151" s="13"/>
      <c r="AB1151" s="13">
        <f t="shared" si="154"/>
        <v>12.3606</v>
      </c>
      <c r="AC1151" s="13">
        <f t="shared" si="155"/>
        <v>7.21035</v>
      </c>
      <c r="AD1151" s="13"/>
      <c r="AE1151" s="34">
        <v>0</v>
      </c>
      <c r="AF1151" s="34">
        <v>0</v>
      </c>
      <c r="AG1151" s="34">
        <v>0</v>
      </c>
      <c r="AH1151" s="34"/>
      <c r="AI1151" s="34">
        <v>0</v>
      </c>
      <c r="AJ1151" s="13">
        <f t="shared" si="156"/>
        <v>101.97495000000001</v>
      </c>
      <c r="AK1151" s="22"/>
      <c r="AL1151" s="35">
        <v>0</v>
      </c>
    </row>
    <row r="1152" spans="1:38" s="14" customFormat="1" ht="22" customHeight="1">
      <c r="A1152" s="14" t="s">
        <v>19</v>
      </c>
      <c r="B1152" s="15">
        <v>2024</v>
      </c>
      <c r="C1152" s="15" t="s">
        <v>24</v>
      </c>
      <c r="D1152" s="14" t="s">
        <v>206</v>
      </c>
      <c r="E1152" s="14" t="s">
        <v>25</v>
      </c>
      <c r="F1152" s="16" t="s">
        <v>207</v>
      </c>
      <c r="G1152" s="14">
        <v>1</v>
      </c>
      <c r="J1152" s="14" t="s">
        <v>13</v>
      </c>
      <c r="K1152" s="16"/>
      <c r="L1152" s="14" t="s">
        <v>223</v>
      </c>
      <c r="M1152" s="14" t="s">
        <v>93</v>
      </c>
      <c r="N1152" s="30"/>
      <c r="O1152" s="31" t="s">
        <v>246</v>
      </c>
      <c r="P1152" s="31"/>
      <c r="Q1152" s="19"/>
      <c r="R1152" s="19"/>
      <c r="S1152" s="180">
        <v>5174</v>
      </c>
      <c r="T1152" s="19">
        <v>1034.8</v>
      </c>
      <c r="U1152" s="14" t="s">
        <v>77</v>
      </c>
      <c r="W1152" s="21">
        <v>15</v>
      </c>
      <c r="X1152" s="13">
        <f t="shared" si="153"/>
        <v>31.044</v>
      </c>
      <c r="Y1152" s="34">
        <v>0</v>
      </c>
      <c r="Z1152" s="34">
        <v>0</v>
      </c>
      <c r="AA1152" s="13"/>
      <c r="AB1152" s="13">
        <f t="shared" si="154"/>
        <v>4.6566000000000001</v>
      </c>
      <c r="AC1152" s="13">
        <f t="shared" si="155"/>
        <v>2.7163499999999998</v>
      </c>
      <c r="AD1152" s="13"/>
      <c r="AE1152" s="34">
        <v>0</v>
      </c>
      <c r="AF1152" s="34">
        <v>0</v>
      </c>
      <c r="AG1152" s="34">
        <v>0</v>
      </c>
      <c r="AH1152" s="34"/>
      <c r="AI1152" s="34">
        <v>0</v>
      </c>
      <c r="AJ1152" s="13">
        <f t="shared" si="156"/>
        <v>38.41695</v>
      </c>
      <c r="AK1152" s="22"/>
      <c r="AL1152" s="35"/>
    </row>
    <row r="1153" spans="1:38" s="14" customFormat="1" ht="22" customHeight="1">
      <c r="A1153" s="14" t="s">
        <v>19</v>
      </c>
      <c r="B1153" s="15">
        <v>2024</v>
      </c>
      <c r="C1153" s="15" t="s">
        <v>24</v>
      </c>
      <c r="D1153" s="14" t="s">
        <v>206</v>
      </c>
      <c r="E1153" s="14" t="s">
        <v>25</v>
      </c>
      <c r="F1153" s="16" t="s">
        <v>207</v>
      </c>
      <c r="G1153" s="14">
        <v>1</v>
      </c>
      <c r="I1153" s="14" t="s">
        <v>28</v>
      </c>
      <c r="J1153" s="14" t="s">
        <v>11</v>
      </c>
      <c r="K1153" s="16" t="s">
        <v>82</v>
      </c>
      <c r="L1153" s="14" t="s">
        <v>166</v>
      </c>
      <c r="M1153" s="14" t="s">
        <v>28</v>
      </c>
      <c r="N1153" s="24"/>
      <c r="O1153" s="25" t="s">
        <v>247</v>
      </c>
      <c r="P1153" s="25"/>
      <c r="Q1153" s="19"/>
      <c r="R1153" s="19"/>
      <c r="S1153" s="182">
        <v>8462</v>
      </c>
      <c r="T1153" s="19">
        <v>1692.4</v>
      </c>
      <c r="U1153" s="14" t="s">
        <v>77</v>
      </c>
      <c r="W1153" s="21">
        <v>15</v>
      </c>
      <c r="X1153" s="13">
        <f t="shared" si="153"/>
        <v>50.771999999999998</v>
      </c>
      <c r="Y1153" s="13">
        <v>0</v>
      </c>
      <c r="Z1153" s="13">
        <v>0</v>
      </c>
      <c r="AA1153" s="13"/>
      <c r="AB1153" s="13">
        <f t="shared" si="154"/>
        <v>7.6158000000000001</v>
      </c>
      <c r="AC1153" s="13">
        <f t="shared" si="155"/>
        <v>4.4425499999999998</v>
      </c>
      <c r="AD1153" s="13"/>
      <c r="AE1153" s="13">
        <v>0</v>
      </c>
      <c r="AF1153" s="13">
        <v>0</v>
      </c>
      <c r="AG1153" s="13">
        <v>0</v>
      </c>
      <c r="AH1153" s="13"/>
      <c r="AI1153" s="13">
        <v>0</v>
      </c>
      <c r="AJ1153" s="13">
        <f t="shared" si="156"/>
        <v>62.830349999999996</v>
      </c>
      <c r="AK1153" s="22"/>
      <c r="AL1153" s="23">
        <v>0</v>
      </c>
    </row>
    <row r="1154" spans="1:38" s="14" customFormat="1" ht="22" customHeight="1">
      <c r="A1154" s="14" t="s">
        <v>19</v>
      </c>
      <c r="B1154" s="15">
        <v>2024</v>
      </c>
      <c r="C1154" s="15" t="s">
        <v>24</v>
      </c>
      <c r="D1154" s="14" t="s">
        <v>206</v>
      </c>
      <c r="E1154" s="14" t="s">
        <v>25</v>
      </c>
      <c r="F1154" s="16" t="s">
        <v>207</v>
      </c>
      <c r="G1154" s="14">
        <v>2</v>
      </c>
      <c r="I1154" s="14" t="s">
        <v>28</v>
      </c>
      <c r="J1154" s="14" t="s">
        <v>11</v>
      </c>
      <c r="K1154" s="16" t="s">
        <v>82</v>
      </c>
      <c r="L1154" s="14" t="s">
        <v>166</v>
      </c>
      <c r="M1154" s="14" t="s">
        <v>28</v>
      </c>
      <c r="N1154" s="27"/>
      <c r="O1154" s="28" t="s">
        <v>248</v>
      </c>
      <c r="P1154" s="28"/>
      <c r="Q1154" s="19"/>
      <c r="R1154" s="19"/>
      <c r="S1154" s="182">
        <v>11033</v>
      </c>
      <c r="T1154" s="19">
        <v>2206.6</v>
      </c>
      <c r="U1154" s="14" t="s">
        <v>77</v>
      </c>
      <c r="W1154" s="21">
        <v>15</v>
      </c>
      <c r="X1154" s="13">
        <f t="shared" si="153"/>
        <v>66.197999999999993</v>
      </c>
      <c r="Y1154" s="13">
        <v>0</v>
      </c>
      <c r="Z1154" s="13">
        <v>0</v>
      </c>
      <c r="AA1154" s="13"/>
      <c r="AB1154" s="13">
        <f t="shared" si="154"/>
        <v>9.9297000000000004</v>
      </c>
      <c r="AC1154" s="13">
        <f t="shared" si="155"/>
        <v>5.7923249999999999</v>
      </c>
      <c r="AD1154" s="13"/>
      <c r="AE1154" s="13">
        <v>0</v>
      </c>
      <c r="AF1154" s="13">
        <v>0</v>
      </c>
      <c r="AG1154" s="13">
        <v>0</v>
      </c>
      <c r="AH1154" s="13"/>
      <c r="AI1154" s="13">
        <v>0</v>
      </c>
      <c r="AJ1154" s="13">
        <f t="shared" si="156"/>
        <v>81.920024999999995</v>
      </c>
      <c r="AK1154" s="22"/>
      <c r="AL1154" s="23">
        <v>0</v>
      </c>
    </row>
    <row r="1155" spans="1:38" s="14" customFormat="1" ht="22" customHeight="1">
      <c r="A1155" s="14" t="s">
        <v>19</v>
      </c>
      <c r="B1155" s="15">
        <v>2024</v>
      </c>
      <c r="C1155" s="15" t="s">
        <v>24</v>
      </c>
      <c r="D1155" s="14" t="s">
        <v>206</v>
      </c>
      <c r="E1155" s="14" t="s">
        <v>25</v>
      </c>
      <c r="F1155" s="16" t="s">
        <v>207</v>
      </c>
      <c r="G1155" s="14">
        <v>1</v>
      </c>
      <c r="I1155" s="14" t="s">
        <v>11</v>
      </c>
      <c r="J1155" s="14" t="s">
        <v>11</v>
      </c>
      <c r="K1155" s="16" t="s">
        <v>82</v>
      </c>
      <c r="L1155" s="14" t="s">
        <v>171</v>
      </c>
      <c r="M1155" s="14" t="s">
        <v>11</v>
      </c>
      <c r="N1155" s="24"/>
      <c r="O1155" s="25" t="s">
        <v>253</v>
      </c>
      <c r="P1155" s="25"/>
      <c r="Q1155" s="19"/>
      <c r="R1155" s="19"/>
      <c r="S1155" s="181">
        <v>26677</v>
      </c>
      <c r="T1155" s="19">
        <v>5335.4</v>
      </c>
      <c r="U1155" s="14" t="s">
        <v>77</v>
      </c>
      <c r="W1155" s="21">
        <v>15</v>
      </c>
      <c r="X1155" s="13">
        <f t="shared" si="153"/>
        <v>160.06200000000001</v>
      </c>
      <c r="Y1155" s="13">
        <v>0</v>
      </c>
      <c r="Z1155" s="13">
        <v>0</v>
      </c>
      <c r="AA1155" s="13"/>
      <c r="AB1155" s="13">
        <f t="shared" si="154"/>
        <v>24.0093</v>
      </c>
      <c r="AC1155" s="13">
        <f t="shared" si="155"/>
        <v>14.005425000000001</v>
      </c>
      <c r="AD1155" s="13"/>
      <c r="AE1155" s="13">
        <v>0</v>
      </c>
      <c r="AF1155" s="13">
        <v>0</v>
      </c>
      <c r="AG1155" s="13">
        <v>0</v>
      </c>
      <c r="AH1155" s="13"/>
      <c r="AI1155" s="13">
        <v>0</v>
      </c>
      <c r="AJ1155" s="13">
        <f t="shared" si="156"/>
        <v>198.07672500000001</v>
      </c>
      <c r="AK1155" s="29"/>
      <c r="AL1155" s="23">
        <v>0</v>
      </c>
    </row>
    <row r="1156" spans="1:38" s="14" customFormat="1" ht="22" customHeight="1">
      <c r="A1156" s="14" t="s">
        <v>19</v>
      </c>
      <c r="B1156" s="15">
        <v>2024</v>
      </c>
      <c r="C1156" s="15" t="s">
        <v>24</v>
      </c>
      <c r="D1156" s="14" t="s">
        <v>206</v>
      </c>
      <c r="E1156" s="14" t="s">
        <v>25</v>
      </c>
      <c r="F1156" s="16" t="s">
        <v>207</v>
      </c>
      <c r="G1156" s="14">
        <v>2</v>
      </c>
      <c r="I1156" s="14" t="s">
        <v>14</v>
      </c>
      <c r="J1156" s="14" t="s">
        <v>14</v>
      </c>
      <c r="K1156" s="16" t="s">
        <v>14</v>
      </c>
      <c r="L1156" s="14" t="s">
        <v>209</v>
      </c>
      <c r="M1156" s="14" t="s">
        <v>99</v>
      </c>
      <c r="N1156" s="30"/>
      <c r="O1156" s="31" t="s">
        <v>254</v>
      </c>
      <c r="P1156" s="31"/>
      <c r="Q1156" s="19"/>
      <c r="R1156" s="19"/>
      <c r="S1156" s="189">
        <v>8716</v>
      </c>
      <c r="T1156" s="19">
        <v>1743.2</v>
      </c>
      <c r="U1156" s="14" t="s">
        <v>77</v>
      </c>
      <c r="W1156" s="21">
        <v>15</v>
      </c>
      <c r="X1156" s="13">
        <f t="shared" si="153"/>
        <v>52.295999999999999</v>
      </c>
      <c r="Y1156" s="34">
        <v>0</v>
      </c>
      <c r="Z1156" s="34">
        <v>0</v>
      </c>
      <c r="AA1156" s="13"/>
      <c r="AB1156" s="13">
        <f t="shared" si="154"/>
        <v>7.8444000000000003</v>
      </c>
      <c r="AC1156" s="13">
        <f t="shared" si="155"/>
        <v>4.5758999999999999</v>
      </c>
      <c r="AD1156" s="13"/>
      <c r="AE1156" s="34">
        <v>0</v>
      </c>
      <c r="AF1156" s="34">
        <v>0</v>
      </c>
      <c r="AG1156" s="34">
        <v>0</v>
      </c>
      <c r="AH1156" s="34"/>
      <c r="AI1156" s="34">
        <v>0</v>
      </c>
      <c r="AJ1156" s="13">
        <f t="shared" si="156"/>
        <v>64.716300000000004</v>
      </c>
      <c r="AK1156" s="22"/>
      <c r="AL1156" s="35">
        <v>0</v>
      </c>
    </row>
    <row r="1157" spans="1:38" s="14" customFormat="1" ht="22" customHeight="1">
      <c r="A1157" s="14" t="s">
        <v>19</v>
      </c>
      <c r="B1157" s="15">
        <v>2024</v>
      </c>
      <c r="C1157" s="15" t="s">
        <v>24</v>
      </c>
      <c r="D1157" s="14" t="s">
        <v>206</v>
      </c>
      <c r="E1157" s="14" t="s">
        <v>25</v>
      </c>
      <c r="F1157" s="16" t="s">
        <v>207</v>
      </c>
      <c r="G1157" s="14">
        <v>1</v>
      </c>
      <c r="J1157" s="14" t="s">
        <v>13</v>
      </c>
      <c r="K1157" s="16"/>
      <c r="L1157" s="14" t="s">
        <v>223</v>
      </c>
      <c r="M1157" s="14" t="s">
        <v>96</v>
      </c>
      <c r="N1157" s="30"/>
      <c r="O1157" s="31" t="s">
        <v>255</v>
      </c>
      <c r="P1157" s="31"/>
      <c r="Q1157" s="19"/>
      <c r="R1157" s="19"/>
      <c r="S1157" s="180">
        <v>4868</v>
      </c>
      <c r="T1157" s="19">
        <v>973.6</v>
      </c>
      <c r="U1157" s="14" t="s">
        <v>77</v>
      </c>
      <c r="W1157" s="21">
        <v>15</v>
      </c>
      <c r="X1157" s="13">
        <f t="shared" si="153"/>
        <v>29.207999999999998</v>
      </c>
      <c r="Y1157" s="34">
        <v>0</v>
      </c>
      <c r="Z1157" s="34">
        <v>0</v>
      </c>
      <c r="AA1157" s="13"/>
      <c r="AB1157" s="13">
        <f t="shared" si="154"/>
        <v>4.3811999999999998</v>
      </c>
      <c r="AC1157" s="13">
        <f t="shared" si="155"/>
        <v>2.5556999999999999</v>
      </c>
      <c r="AD1157" s="13"/>
      <c r="AE1157" s="34">
        <v>0</v>
      </c>
      <c r="AF1157" s="34">
        <v>0</v>
      </c>
      <c r="AG1157" s="34">
        <v>0</v>
      </c>
      <c r="AH1157" s="34"/>
      <c r="AI1157" s="34">
        <v>0</v>
      </c>
      <c r="AJ1157" s="13">
        <f t="shared" si="156"/>
        <v>36.1449</v>
      </c>
      <c r="AK1157" s="22"/>
      <c r="AL1157" s="35">
        <v>0</v>
      </c>
    </row>
    <row r="1158" spans="1:38" s="14" customFormat="1" ht="22" customHeight="1">
      <c r="A1158" s="14" t="s">
        <v>19</v>
      </c>
      <c r="B1158" s="15">
        <v>2024</v>
      </c>
      <c r="C1158" s="15" t="s">
        <v>24</v>
      </c>
      <c r="D1158" s="14" t="s">
        <v>206</v>
      </c>
      <c r="E1158" s="14" t="s">
        <v>25</v>
      </c>
      <c r="F1158" s="16" t="s">
        <v>207</v>
      </c>
      <c r="G1158" s="14">
        <v>1</v>
      </c>
      <c r="J1158" s="14" t="s">
        <v>13</v>
      </c>
      <c r="K1158" s="16"/>
      <c r="L1158" s="14" t="s">
        <v>223</v>
      </c>
      <c r="M1158" s="14" t="s">
        <v>96</v>
      </c>
      <c r="N1158" s="30"/>
      <c r="O1158" s="31" t="s">
        <v>258</v>
      </c>
      <c r="P1158" s="31"/>
      <c r="Q1158" s="19"/>
      <c r="R1158" s="19"/>
      <c r="S1158" s="180">
        <v>4267</v>
      </c>
      <c r="T1158" s="19">
        <v>853.4</v>
      </c>
      <c r="U1158" s="14" t="s">
        <v>77</v>
      </c>
      <c r="W1158" s="21">
        <v>15</v>
      </c>
      <c r="X1158" s="13">
        <f t="shared" si="153"/>
        <v>25.602</v>
      </c>
      <c r="Y1158" s="34">
        <v>0</v>
      </c>
      <c r="Z1158" s="34">
        <v>0</v>
      </c>
      <c r="AA1158" s="13"/>
      <c r="AB1158" s="13">
        <f t="shared" si="154"/>
        <v>3.8403</v>
      </c>
      <c r="AC1158" s="13">
        <f t="shared" si="155"/>
        <v>2.2401749999999998</v>
      </c>
      <c r="AD1158" s="13"/>
      <c r="AE1158" s="34">
        <v>0</v>
      </c>
      <c r="AF1158" s="34">
        <v>0</v>
      </c>
      <c r="AG1158" s="34">
        <v>0</v>
      </c>
      <c r="AH1158" s="34"/>
      <c r="AI1158" s="34">
        <v>0</v>
      </c>
      <c r="AJ1158" s="13">
        <f t="shared" si="156"/>
        <v>31.682475</v>
      </c>
      <c r="AK1158" s="22"/>
      <c r="AL1158" s="35">
        <v>0</v>
      </c>
    </row>
    <row r="1159" spans="1:38" s="14" customFormat="1" ht="22" customHeight="1">
      <c r="A1159" s="14" t="s">
        <v>19</v>
      </c>
      <c r="B1159" s="15">
        <v>2024</v>
      </c>
      <c r="C1159" s="15" t="s">
        <v>24</v>
      </c>
      <c r="D1159" s="14" t="s">
        <v>206</v>
      </c>
      <c r="E1159" s="14" t="s">
        <v>25</v>
      </c>
      <c r="F1159" s="16" t="s">
        <v>207</v>
      </c>
      <c r="G1159" s="14">
        <v>1</v>
      </c>
      <c r="I1159" s="14" t="s">
        <v>114</v>
      </c>
      <c r="J1159" s="14" t="s">
        <v>11</v>
      </c>
      <c r="K1159" s="16" t="s">
        <v>82</v>
      </c>
      <c r="L1159" s="14" t="s">
        <v>171</v>
      </c>
      <c r="M1159" s="14" t="s">
        <v>80</v>
      </c>
      <c r="N1159" s="24"/>
      <c r="O1159" s="25" t="s">
        <v>259</v>
      </c>
      <c r="P1159" s="25"/>
      <c r="Q1159" s="19"/>
      <c r="R1159" s="19"/>
      <c r="S1159" s="182">
        <v>12629</v>
      </c>
      <c r="T1159" s="19">
        <v>2525.8000000000002</v>
      </c>
      <c r="U1159" s="14" t="s">
        <v>77</v>
      </c>
      <c r="W1159" s="21">
        <v>15</v>
      </c>
      <c r="X1159" s="13">
        <f t="shared" si="153"/>
        <v>75.774000000000001</v>
      </c>
      <c r="Y1159" s="13">
        <v>0</v>
      </c>
      <c r="Z1159" s="13">
        <v>0</v>
      </c>
      <c r="AA1159" s="13"/>
      <c r="AB1159" s="13">
        <f t="shared" si="154"/>
        <v>11.366099999999999</v>
      </c>
      <c r="AC1159" s="13">
        <f t="shared" si="155"/>
        <v>6.6302250000000003</v>
      </c>
      <c r="AD1159" s="13"/>
      <c r="AE1159" s="13">
        <v>0</v>
      </c>
      <c r="AF1159" s="13">
        <v>0</v>
      </c>
      <c r="AG1159" s="13">
        <v>0</v>
      </c>
      <c r="AH1159" s="13"/>
      <c r="AI1159" s="13">
        <v>0</v>
      </c>
      <c r="AJ1159" s="13">
        <f>SUBTOTAL(9,X1159:AI1159)</f>
        <v>93.770325</v>
      </c>
      <c r="AK1159" s="22"/>
      <c r="AL1159" s="23">
        <v>0</v>
      </c>
    </row>
    <row r="1160" spans="1:38" s="14" customFormat="1" ht="22" customHeight="1">
      <c r="A1160" s="14" t="s">
        <v>19</v>
      </c>
      <c r="B1160" s="15">
        <v>2024</v>
      </c>
      <c r="C1160" s="15" t="s">
        <v>24</v>
      </c>
      <c r="D1160" s="14" t="s">
        <v>206</v>
      </c>
      <c r="E1160" s="14" t="s">
        <v>25</v>
      </c>
      <c r="F1160" s="16" t="s">
        <v>207</v>
      </c>
      <c r="G1160" s="14">
        <v>1</v>
      </c>
      <c r="J1160" s="14" t="s">
        <v>13</v>
      </c>
      <c r="K1160" s="16"/>
      <c r="L1160" s="14" t="s">
        <v>223</v>
      </c>
      <c r="M1160" s="14" t="s">
        <v>96</v>
      </c>
      <c r="N1160" s="30"/>
      <c r="O1160" s="31" t="s">
        <v>260</v>
      </c>
      <c r="P1160" s="31"/>
      <c r="Q1160" s="19"/>
      <c r="R1160" s="19"/>
      <c r="S1160" s="180">
        <v>19824</v>
      </c>
      <c r="T1160" s="19">
        <v>3964.8</v>
      </c>
      <c r="U1160" s="14" t="s">
        <v>77</v>
      </c>
      <c r="W1160" s="21">
        <v>15</v>
      </c>
      <c r="X1160" s="13">
        <f t="shared" si="153"/>
        <v>118.944</v>
      </c>
      <c r="Y1160" s="34">
        <v>0</v>
      </c>
      <c r="Z1160" s="34">
        <v>0</v>
      </c>
      <c r="AA1160" s="13"/>
      <c r="AB1160" s="13">
        <f t="shared" si="154"/>
        <v>17.8416</v>
      </c>
      <c r="AC1160" s="13">
        <f t="shared" si="155"/>
        <v>10.4076</v>
      </c>
      <c r="AD1160" s="13"/>
      <c r="AE1160" s="34">
        <v>0</v>
      </c>
      <c r="AF1160" s="34">
        <v>0</v>
      </c>
      <c r="AG1160" s="34">
        <v>0</v>
      </c>
      <c r="AH1160" s="34"/>
      <c r="AI1160" s="34">
        <v>0</v>
      </c>
      <c r="AJ1160" s="13">
        <f t="shared" si="156"/>
        <v>147.19319999999999</v>
      </c>
      <c r="AK1160" s="22"/>
      <c r="AL1160" s="35">
        <v>0</v>
      </c>
    </row>
    <row r="1161" spans="1:38" s="14" customFormat="1" ht="22" customHeight="1">
      <c r="A1161" s="14" t="s">
        <v>19</v>
      </c>
      <c r="B1161" s="15">
        <v>2024</v>
      </c>
      <c r="C1161" s="15" t="s">
        <v>24</v>
      </c>
      <c r="D1161" s="14" t="s">
        <v>206</v>
      </c>
      <c r="E1161" s="14" t="s">
        <v>25</v>
      </c>
      <c r="F1161" s="16" t="s">
        <v>207</v>
      </c>
      <c r="G1161" s="14">
        <v>1</v>
      </c>
      <c r="J1161" s="14" t="s">
        <v>13</v>
      </c>
      <c r="K1161" s="16"/>
      <c r="L1161" s="14" t="s">
        <v>223</v>
      </c>
      <c r="M1161" s="14" t="s">
        <v>96</v>
      </c>
      <c r="N1161" s="30"/>
      <c r="O1161" s="31" t="s">
        <v>261</v>
      </c>
      <c r="P1161" s="31"/>
      <c r="Q1161" s="19"/>
      <c r="R1161" s="19"/>
      <c r="S1161" s="180">
        <v>17521</v>
      </c>
      <c r="T1161" s="19">
        <v>3504.2</v>
      </c>
      <c r="U1161" s="14" t="s">
        <v>77</v>
      </c>
      <c r="W1161" s="21">
        <v>15</v>
      </c>
      <c r="X1161" s="13">
        <f t="shared" si="153"/>
        <v>105.126</v>
      </c>
      <c r="Y1161" s="34">
        <v>0</v>
      </c>
      <c r="Z1161" s="34">
        <v>0</v>
      </c>
      <c r="AA1161" s="13"/>
      <c r="AB1161" s="13">
        <f t="shared" si="154"/>
        <v>15.7689</v>
      </c>
      <c r="AC1161" s="13">
        <f t="shared" si="155"/>
        <v>9.1985250000000001</v>
      </c>
      <c r="AD1161" s="13"/>
      <c r="AE1161" s="34">
        <v>0</v>
      </c>
      <c r="AF1161" s="34">
        <v>0</v>
      </c>
      <c r="AG1161" s="34">
        <v>0</v>
      </c>
      <c r="AH1161" s="34"/>
      <c r="AI1161" s="34">
        <v>0</v>
      </c>
      <c r="AJ1161" s="13">
        <f t="shared" si="156"/>
        <v>130.093425</v>
      </c>
      <c r="AK1161" s="22"/>
      <c r="AL1161" s="35">
        <v>0</v>
      </c>
    </row>
    <row r="1162" spans="1:38" s="14" customFormat="1" ht="22" customHeight="1">
      <c r="A1162" s="14" t="s">
        <v>19</v>
      </c>
      <c r="B1162" s="15">
        <v>2024</v>
      </c>
      <c r="C1162" s="15" t="s">
        <v>24</v>
      </c>
      <c r="D1162" s="14" t="s">
        <v>206</v>
      </c>
      <c r="E1162" s="14" t="s">
        <v>25</v>
      </c>
      <c r="F1162" s="16" t="s">
        <v>207</v>
      </c>
      <c r="G1162" s="14">
        <v>1</v>
      </c>
      <c r="I1162" s="14" t="s">
        <v>78</v>
      </c>
      <c r="J1162" s="14" t="s">
        <v>11</v>
      </c>
      <c r="K1162" s="16" t="s">
        <v>82</v>
      </c>
      <c r="L1162" s="14" t="s">
        <v>171</v>
      </c>
      <c r="M1162" s="14" t="s">
        <v>78</v>
      </c>
      <c r="N1162" s="24"/>
      <c r="O1162" s="25" t="s">
        <v>262</v>
      </c>
      <c r="P1162" s="25"/>
      <c r="Q1162" s="19"/>
      <c r="R1162" s="19"/>
      <c r="S1162" s="182">
        <v>5748</v>
      </c>
      <c r="T1162" s="19">
        <v>1149.5999999999999</v>
      </c>
      <c r="U1162" s="14" t="s">
        <v>77</v>
      </c>
      <c r="W1162" s="21">
        <v>15</v>
      </c>
      <c r="X1162" s="13">
        <f t="shared" si="153"/>
        <v>34.488</v>
      </c>
      <c r="Y1162" s="13">
        <v>0</v>
      </c>
      <c r="Z1162" s="13">
        <v>0</v>
      </c>
      <c r="AA1162" s="13"/>
      <c r="AB1162" s="13">
        <f t="shared" si="154"/>
        <v>5.1731999999999996</v>
      </c>
      <c r="AC1162" s="13">
        <f t="shared" si="155"/>
        <v>3.0177</v>
      </c>
      <c r="AD1162" s="13"/>
      <c r="AE1162" s="13">
        <v>0</v>
      </c>
      <c r="AF1162" s="13">
        <v>0</v>
      </c>
      <c r="AG1162" s="13">
        <v>0</v>
      </c>
      <c r="AH1162" s="13"/>
      <c r="AI1162" s="13">
        <v>0</v>
      </c>
      <c r="AJ1162" s="13">
        <f>SUBTOTAL(9,X1162:AI1162)</f>
        <v>42.678899999999999</v>
      </c>
      <c r="AK1162" s="22"/>
      <c r="AL1162" s="23">
        <v>0</v>
      </c>
    </row>
    <row r="1163" spans="1:38" s="14" customFormat="1" ht="22" customHeight="1">
      <c r="A1163" s="14" t="s">
        <v>19</v>
      </c>
      <c r="B1163" s="15">
        <v>2024</v>
      </c>
      <c r="C1163" s="15" t="s">
        <v>24</v>
      </c>
      <c r="D1163" s="14" t="s">
        <v>206</v>
      </c>
      <c r="E1163" s="14" t="s">
        <v>25</v>
      </c>
      <c r="F1163" s="16" t="s">
        <v>207</v>
      </c>
      <c r="G1163" s="14">
        <v>1</v>
      </c>
      <c r="J1163" s="14" t="s">
        <v>13</v>
      </c>
      <c r="K1163" s="16"/>
      <c r="L1163" s="14" t="s">
        <v>215</v>
      </c>
      <c r="M1163" s="14" t="s">
        <v>95</v>
      </c>
      <c r="N1163" s="27"/>
      <c r="O1163" s="28" t="s">
        <v>216</v>
      </c>
      <c r="P1163" s="28"/>
      <c r="Q1163" s="26"/>
      <c r="R1163" s="26"/>
      <c r="S1163" s="20">
        <v>3744</v>
      </c>
      <c r="T1163" s="26">
        <v>748.8</v>
      </c>
      <c r="U1163" s="14" t="s">
        <v>76</v>
      </c>
      <c r="W1163" s="21">
        <v>15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29">
        <f>+T1163*120000</f>
        <v>89856000</v>
      </c>
      <c r="AL1163" s="161">
        <f t="shared" ref="AL1163" si="157">AK1163/$AL$4</f>
        <v>19708.980202406594</v>
      </c>
    </row>
    <row r="1164" spans="1:38" s="14" customFormat="1" ht="22" customHeight="1">
      <c r="A1164" s="14" t="s">
        <v>19</v>
      </c>
      <c r="B1164" s="15">
        <v>2024</v>
      </c>
      <c r="C1164" s="15" t="s">
        <v>24</v>
      </c>
      <c r="D1164" s="14" t="s">
        <v>206</v>
      </c>
      <c r="E1164" s="14" t="s">
        <v>25</v>
      </c>
      <c r="F1164" s="16" t="s">
        <v>207</v>
      </c>
      <c r="G1164" s="14">
        <v>1</v>
      </c>
      <c r="J1164" s="14" t="s">
        <v>13</v>
      </c>
      <c r="K1164" s="16"/>
      <c r="L1164" s="14" t="s">
        <v>215</v>
      </c>
      <c r="M1164" s="14" t="s">
        <v>95</v>
      </c>
      <c r="N1164" s="27"/>
      <c r="O1164" s="28" t="s">
        <v>218</v>
      </c>
      <c r="P1164" s="28"/>
      <c r="Q1164" s="26"/>
      <c r="R1164" s="26"/>
      <c r="S1164" s="20">
        <v>18225</v>
      </c>
      <c r="T1164" s="26">
        <v>3645</v>
      </c>
      <c r="U1164" s="14" t="s">
        <v>76</v>
      </c>
      <c r="W1164" s="21">
        <v>15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29">
        <f t="shared" ref="AK1164:AK1174" si="158">+T1164*120000</f>
        <v>437400000</v>
      </c>
      <c r="AL1164" s="161">
        <f t="shared" ref="AL1164" si="159">AK1164/$AL$4</f>
        <v>95939.146417964788</v>
      </c>
    </row>
    <row r="1165" spans="1:38" s="14" customFormat="1" ht="22" customHeight="1">
      <c r="A1165" s="14" t="s">
        <v>19</v>
      </c>
      <c r="B1165" s="15">
        <v>2024</v>
      </c>
      <c r="C1165" s="15" t="s">
        <v>24</v>
      </c>
      <c r="D1165" s="14" t="s">
        <v>206</v>
      </c>
      <c r="E1165" s="14" t="s">
        <v>25</v>
      </c>
      <c r="F1165" s="16" t="s">
        <v>207</v>
      </c>
      <c r="G1165" s="14">
        <v>2</v>
      </c>
      <c r="J1165" s="14" t="s">
        <v>13</v>
      </c>
      <c r="K1165" s="16"/>
      <c r="L1165" s="14" t="s">
        <v>223</v>
      </c>
      <c r="M1165" s="14" t="s">
        <v>94</v>
      </c>
      <c r="N1165" s="36"/>
      <c r="O1165" s="37" t="s">
        <v>229</v>
      </c>
      <c r="P1165" s="37"/>
      <c r="Q1165" s="19"/>
      <c r="R1165" s="19"/>
      <c r="S1165" s="20">
        <v>7334</v>
      </c>
      <c r="T1165" s="19">
        <v>1466.8</v>
      </c>
      <c r="U1165" s="14" t="s">
        <v>76</v>
      </c>
      <c r="W1165" s="21">
        <v>15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29">
        <f t="shared" si="158"/>
        <v>176016000</v>
      </c>
      <c r="AL1165" s="161">
        <f t="shared" ref="AL1165:AL1166" si="160">AK1165/$AL$4</f>
        <v>38607.281197769749</v>
      </c>
    </row>
    <row r="1166" spans="1:38" s="14" customFormat="1" ht="22" customHeight="1">
      <c r="A1166" s="14" t="s">
        <v>19</v>
      </c>
      <c r="B1166" s="15">
        <v>2024</v>
      </c>
      <c r="C1166" s="15" t="s">
        <v>24</v>
      </c>
      <c r="D1166" s="14" t="s">
        <v>206</v>
      </c>
      <c r="E1166" s="14" t="s">
        <v>25</v>
      </c>
      <c r="F1166" s="16" t="s">
        <v>207</v>
      </c>
      <c r="G1166" s="14">
        <v>2</v>
      </c>
      <c r="I1166" s="14" t="s">
        <v>14</v>
      </c>
      <c r="J1166" s="14" t="s">
        <v>14</v>
      </c>
      <c r="K1166" s="16" t="s">
        <v>14</v>
      </c>
      <c r="L1166" s="14" t="s">
        <v>209</v>
      </c>
      <c r="M1166" s="14" t="s">
        <v>99</v>
      </c>
      <c r="N1166" s="27"/>
      <c r="O1166" s="28" t="s">
        <v>230</v>
      </c>
      <c r="P1166" s="28"/>
      <c r="Q1166" s="19"/>
      <c r="R1166" s="19"/>
      <c r="S1166" s="20">
        <v>3627</v>
      </c>
      <c r="T1166" s="19">
        <v>725.4</v>
      </c>
      <c r="U1166" s="14" t="s">
        <v>76</v>
      </c>
      <c r="W1166" s="21">
        <v>15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29">
        <f t="shared" si="158"/>
        <v>87048000</v>
      </c>
      <c r="AL1166" s="161">
        <f t="shared" si="160"/>
        <v>19093.074571081386</v>
      </c>
    </row>
    <row r="1167" spans="1:38" s="14" customFormat="1" ht="22" customHeight="1">
      <c r="A1167" s="14" t="s">
        <v>19</v>
      </c>
      <c r="B1167" s="15">
        <v>2024</v>
      </c>
      <c r="C1167" s="15" t="s">
        <v>24</v>
      </c>
      <c r="D1167" s="14" t="s">
        <v>206</v>
      </c>
      <c r="E1167" s="14" t="s">
        <v>25</v>
      </c>
      <c r="F1167" s="16" t="s">
        <v>207</v>
      </c>
      <c r="G1167" s="14">
        <v>1</v>
      </c>
      <c r="I1167" s="14" t="s">
        <v>11</v>
      </c>
      <c r="J1167" s="14" t="s">
        <v>11</v>
      </c>
      <c r="K1167" s="16" t="s">
        <v>82</v>
      </c>
      <c r="L1167" s="14" t="s">
        <v>171</v>
      </c>
      <c r="M1167" s="14" t="s">
        <v>11</v>
      </c>
      <c r="N1167" s="24"/>
      <c r="O1167" s="25" t="s">
        <v>244</v>
      </c>
      <c r="P1167" s="25"/>
      <c r="Q1167" s="19"/>
      <c r="R1167" s="19"/>
      <c r="S1167" s="20">
        <v>26403</v>
      </c>
      <c r="T1167" s="29">
        <f>S1167/5</f>
        <v>5280.6</v>
      </c>
      <c r="U1167" s="14" t="s">
        <v>76</v>
      </c>
      <c r="W1167" s="21">
        <v>15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29">
        <f t="shared" si="158"/>
        <v>633672000</v>
      </c>
      <c r="AL1167" s="161">
        <f t="shared" ref="AL1167" si="161">AK1167/$AL$4</f>
        <v>138989.37080238815</v>
      </c>
    </row>
    <row r="1168" spans="1:38" s="14" customFormat="1" ht="22" customHeight="1">
      <c r="A1168" s="14" t="s">
        <v>19</v>
      </c>
      <c r="B1168" s="15">
        <v>2024</v>
      </c>
      <c r="C1168" s="15" t="s">
        <v>24</v>
      </c>
      <c r="D1168" s="14" t="s">
        <v>206</v>
      </c>
      <c r="E1168" s="14" t="s">
        <v>25</v>
      </c>
      <c r="F1168" s="16" t="s">
        <v>207</v>
      </c>
      <c r="G1168" s="14">
        <v>1</v>
      </c>
      <c r="J1168" s="14" t="s">
        <v>13</v>
      </c>
      <c r="K1168" s="16"/>
      <c r="L1168" s="14" t="s">
        <v>223</v>
      </c>
      <c r="M1168" s="14" t="s">
        <v>93</v>
      </c>
      <c r="N1168" s="27"/>
      <c r="O1168" s="28" t="s">
        <v>249</v>
      </c>
      <c r="P1168" s="28"/>
      <c r="Q1168" s="19"/>
      <c r="R1168" s="19"/>
      <c r="S1168" s="20">
        <v>10257</v>
      </c>
      <c r="T1168" s="19">
        <v>2051.4</v>
      </c>
      <c r="U1168" s="14" t="s">
        <v>76</v>
      </c>
      <c r="W1168" s="21">
        <v>15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29">
        <f t="shared" si="158"/>
        <v>246168000</v>
      </c>
      <c r="AL1168" s="161">
        <f t="shared" ref="AL1168:AL1171" si="162">AK1168/$AL$4</f>
        <v>53994.393679509725</v>
      </c>
    </row>
    <row r="1169" spans="1:42" s="14" customFormat="1" ht="22" customHeight="1">
      <c r="A1169" s="14" t="s">
        <v>19</v>
      </c>
      <c r="B1169" s="15">
        <v>2024</v>
      </c>
      <c r="C1169" s="15" t="s">
        <v>24</v>
      </c>
      <c r="D1169" s="14" t="s">
        <v>206</v>
      </c>
      <c r="E1169" s="14" t="s">
        <v>25</v>
      </c>
      <c r="F1169" s="16" t="s">
        <v>207</v>
      </c>
      <c r="G1169" s="14">
        <v>1</v>
      </c>
      <c r="J1169" s="14" t="s">
        <v>13</v>
      </c>
      <c r="K1169" s="16"/>
      <c r="L1169" s="14" t="s">
        <v>215</v>
      </c>
      <c r="M1169" s="14" t="s">
        <v>95</v>
      </c>
      <c r="N1169" s="27"/>
      <c r="O1169" s="28" t="s">
        <v>250</v>
      </c>
      <c r="P1169" s="28"/>
      <c r="Q1169" s="19"/>
      <c r="R1169" s="19"/>
      <c r="S1169" s="20">
        <v>10240</v>
      </c>
      <c r="T1169" s="19">
        <v>2048</v>
      </c>
      <c r="U1169" s="14" t="s">
        <v>76</v>
      </c>
      <c r="W1169" s="21">
        <v>15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29">
        <f t="shared" si="158"/>
        <v>245760000</v>
      </c>
      <c r="AL1169" s="161">
        <f t="shared" si="162"/>
        <v>53904.903117693248</v>
      </c>
    </row>
    <row r="1170" spans="1:42" s="14" customFormat="1" ht="22" customHeight="1">
      <c r="A1170" s="14" t="s">
        <v>19</v>
      </c>
      <c r="B1170" s="15">
        <v>2024</v>
      </c>
      <c r="C1170" s="15" t="s">
        <v>24</v>
      </c>
      <c r="D1170" s="14" t="s">
        <v>206</v>
      </c>
      <c r="E1170" s="14" t="s">
        <v>25</v>
      </c>
      <c r="F1170" s="16" t="s">
        <v>207</v>
      </c>
      <c r="G1170" s="14">
        <v>1</v>
      </c>
      <c r="J1170" s="14" t="s">
        <v>13</v>
      </c>
      <c r="K1170" s="16"/>
      <c r="L1170" s="14" t="s">
        <v>215</v>
      </c>
      <c r="M1170" s="14" t="s">
        <v>95</v>
      </c>
      <c r="N1170" s="27"/>
      <c r="O1170" s="28" t="s">
        <v>251</v>
      </c>
      <c r="P1170" s="28"/>
      <c r="Q1170" s="19"/>
      <c r="R1170" s="19"/>
      <c r="S1170" s="20">
        <v>12803</v>
      </c>
      <c r="T1170" s="19">
        <v>2560.6</v>
      </c>
      <c r="U1170" s="14" t="s">
        <v>76</v>
      </c>
      <c r="W1170" s="21">
        <v>15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29">
        <f t="shared" si="158"/>
        <v>307272000</v>
      </c>
      <c r="AL1170" s="161">
        <f t="shared" si="162"/>
        <v>67396.921349201817</v>
      </c>
    </row>
    <row r="1171" spans="1:42" s="14" customFormat="1" ht="22" customHeight="1">
      <c r="A1171" s="14" t="s">
        <v>19</v>
      </c>
      <c r="B1171" s="15">
        <v>2024</v>
      </c>
      <c r="C1171" s="15" t="s">
        <v>24</v>
      </c>
      <c r="D1171" s="14" t="s">
        <v>206</v>
      </c>
      <c r="E1171" s="14" t="s">
        <v>25</v>
      </c>
      <c r="F1171" s="16" t="s">
        <v>207</v>
      </c>
      <c r="G1171" s="14">
        <v>2</v>
      </c>
      <c r="J1171" s="14" t="s">
        <v>13</v>
      </c>
      <c r="K1171" s="16"/>
      <c r="L1171" s="14" t="s">
        <v>223</v>
      </c>
      <c r="M1171" s="14" t="s">
        <v>94</v>
      </c>
      <c r="N1171" s="36"/>
      <c r="O1171" s="37" t="s">
        <v>252</v>
      </c>
      <c r="P1171" s="37"/>
      <c r="Q1171" s="19"/>
      <c r="R1171" s="19"/>
      <c r="S1171" s="20">
        <v>7475</v>
      </c>
      <c r="T1171" s="19">
        <v>1495</v>
      </c>
      <c r="U1171" s="14" t="s">
        <v>76</v>
      </c>
      <c r="W1171" s="21">
        <v>15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29">
        <f t="shared" si="158"/>
        <v>179400000</v>
      </c>
      <c r="AL1171" s="161">
        <f t="shared" si="162"/>
        <v>39349.526445777054</v>
      </c>
    </row>
    <row r="1172" spans="1:42" s="14" customFormat="1" ht="22" customHeight="1">
      <c r="A1172" s="14" t="s">
        <v>19</v>
      </c>
      <c r="B1172" s="15">
        <v>2024</v>
      </c>
      <c r="C1172" s="15" t="s">
        <v>24</v>
      </c>
      <c r="D1172" s="14" t="s">
        <v>206</v>
      </c>
      <c r="E1172" s="14" t="s">
        <v>25</v>
      </c>
      <c r="F1172" s="16" t="s">
        <v>207</v>
      </c>
      <c r="G1172" s="14">
        <v>1</v>
      </c>
      <c r="I1172" s="14" t="s">
        <v>14</v>
      </c>
      <c r="J1172" s="14" t="s">
        <v>14</v>
      </c>
      <c r="K1172" s="16" t="s">
        <v>14</v>
      </c>
      <c r="L1172" s="14" t="s">
        <v>209</v>
      </c>
      <c r="M1172" s="14" t="s">
        <v>99</v>
      </c>
      <c r="N1172" s="27"/>
      <c r="O1172" s="28" t="s">
        <v>257</v>
      </c>
      <c r="P1172" s="28"/>
      <c r="Q1172" s="19"/>
      <c r="R1172" s="19"/>
      <c r="S1172" s="20">
        <v>6455</v>
      </c>
      <c r="T1172" s="19">
        <v>1291</v>
      </c>
      <c r="U1172" s="14" t="s">
        <v>76</v>
      </c>
      <c r="W1172" s="21">
        <v>15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29">
        <f t="shared" si="158"/>
        <v>154920000</v>
      </c>
      <c r="AL1172" s="161">
        <f t="shared" ref="AL1172" si="163">AK1172/$AL$4</f>
        <v>33980.092736788079</v>
      </c>
    </row>
    <row r="1173" spans="1:42" s="14" customFormat="1" ht="22" customHeight="1">
      <c r="A1173" s="14" t="s">
        <v>19</v>
      </c>
      <c r="B1173" s="15">
        <v>2024</v>
      </c>
      <c r="C1173" s="15" t="s">
        <v>24</v>
      </c>
      <c r="D1173" s="14" t="s">
        <v>206</v>
      </c>
      <c r="E1173" s="14" t="s">
        <v>25</v>
      </c>
      <c r="F1173" s="16" t="s">
        <v>207</v>
      </c>
      <c r="G1173" s="14">
        <v>2</v>
      </c>
      <c r="I1173" s="14" t="s">
        <v>14</v>
      </c>
      <c r="J1173" s="14" t="s">
        <v>14</v>
      </c>
      <c r="K1173" s="16" t="s">
        <v>14</v>
      </c>
      <c r="L1173" s="14" t="s">
        <v>209</v>
      </c>
      <c r="M1173" s="14" t="s">
        <v>99</v>
      </c>
      <c r="N1173" s="27"/>
      <c r="O1173" s="28" t="s">
        <v>263</v>
      </c>
      <c r="P1173" s="28"/>
      <c r="Q1173" s="19"/>
      <c r="R1173" s="19"/>
      <c r="S1173" s="20">
        <v>4446</v>
      </c>
      <c r="T1173" s="19">
        <v>889.2</v>
      </c>
      <c r="U1173" s="14" t="s">
        <v>76</v>
      </c>
      <c r="W1173" s="21">
        <v>15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29">
        <f t="shared" si="158"/>
        <v>106704000</v>
      </c>
      <c r="AL1173" s="161">
        <f t="shared" ref="AL1173:AL1174" si="164">AK1173/$AL$4</f>
        <v>23404.413990357829</v>
      </c>
    </row>
    <row r="1174" spans="1:42" s="14" customFormat="1" ht="22" customHeight="1">
      <c r="A1174" s="14" t="s">
        <v>19</v>
      </c>
      <c r="B1174" s="15">
        <v>2024</v>
      </c>
      <c r="C1174" s="15" t="s">
        <v>24</v>
      </c>
      <c r="D1174" s="14" t="s">
        <v>206</v>
      </c>
      <c r="E1174" s="14" t="s">
        <v>25</v>
      </c>
      <c r="F1174" s="16" t="s">
        <v>207</v>
      </c>
      <c r="G1174" s="14">
        <v>2</v>
      </c>
      <c r="I1174" s="14" t="s">
        <v>14</v>
      </c>
      <c r="J1174" s="14" t="s">
        <v>14</v>
      </c>
      <c r="K1174" s="16" t="s">
        <v>14</v>
      </c>
      <c r="L1174" s="14" t="s">
        <v>209</v>
      </c>
      <c r="M1174" s="14" t="s">
        <v>99</v>
      </c>
      <c r="N1174" s="27"/>
      <c r="O1174" s="28" t="s">
        <v>264</v>
      </c>
      <c r="P1174" s="28"/>
      <c r="Q1174" s="19"/>
      <c r="R1174" s="19"/>
      <c r="S1174" s="20">
        <v>5765</v>
      </c>
      <c r="T1174" s="19">
        <v>1153</v>
      </c>
      <c r="U1174" s="14" t="s">
        <v>76</v>
      </c>
      <c r="W1174" s="21">
        <v>15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29">
        <f t="shared" si="158"/>
        <v>138360000</v>
      </c>
      <c r="AL1174" s="161">
        <f t="shared" si="164"/>
        <v>30347.828757177886</v>
      </c>
    </row>
    <row r="1175" spans="1:42" s="45" customFormat="1" ht="22" customHeight="1">
      <c r="A1175" s="14" t="s">
        <v>19</v>
      </c>
      <c r="B1175" s="8">
        <v>2024</v>
      </c>
      <c r="C1175" s="8" t="s">
        <v>8</v>
      </c>
      <c r="D1175" s="9" t="s">
        <v>185</v>
      </c>
      <c r="E1175" s="9" t="s">
        <v>10</v>
      </c>
      <c r="F1175" s="9" t="s">
        <v>186</v>
      </c>
      <c r="G1175" s="8"/>
      <c r="H1175" s="8"/>
      <c r="I1175" s="9" t="s">
        <v>116</v>
      </c>
      <c r="J1175" s="9" t="s">
        <v>116</v>
      </c>
      <c r="K1175" s="9" t="s">
        <v>269</v>
      </c>
      <c r="L1175" s="9" t="s">
        <v>270</v>
      </c>
      <c r="M1175" s="14" t="s">
        <v>84</v>
      </c>
      <c r="N1175" s="9" t="s">
        <v>271</v>
      </c>
      <c r="O1175" s="9" t="s">
        <v>272</v>
      </c>
      <c r="P1175" s="9" t="s">
        <v>273</v>
      </c>
      <c r="Q1175" s="11"/>
      <c r="R1175" s="11"/>
      <c r="S1175" s="11"/>
      <c r="T1175" s="9"/>
      <c r="U1175" s="14" t="s">
        <v>77</v>
      </c>
      <c r="V1175" s="9"/>
      <c r="W1175" s="12">
        <v>30</v>
      </c>
      <c r="X1175" s="13"/>
      <c r="Y1175" s="13"/>
      <c r="Z1175" s="13"/>
      <c r="AA1175" s="13"/>
      <c r="AB1175" s="13"/>
      <c r="AC1175" s="13">
        <f t="shared" ref="AC1175:AC1186" si="165">+S1175*W1175*20/1000000</f>
        <v>0</v>
      </c>
      <c r="AD1175" s="13"/>
      <c r="AE1175" s="13"/>
      <c r="AF1175" s="13">
        <f t="shared" ref="AF1175:AF1186" si="166">+S1175*W1175*200/1000000</f>
        <v>0</v>
      </c>
      <c r="AG1175" s="13"/>
      <c r="AH1175" s="13"/>
      <c r="AI1175" s="13"/>
      <c r="AJ1175" s="13">
        <f t="shared" ref="AJ1175:AJ1238" si="167">SUBTOTAL(9,X1175:AI1175)</f>
        <v>0</v>
      </c>
      <c r="AK1175" s="9"/>
      <c r="AL1175" s="13"/>
      <c r="AM1175" s="9"/>
      <c r="AN1175" s="9"/>
      <c r="AO1175" s="9"/>
      <c r="AP1175" s="14"/>
    </row>
    <row r="1176" spans="1:42" s="45" customFormat="1" ht="22" customHeight="1">
      <c r="A1176" s="14" t="s">
        <v>19</v>
      </c>
      <c r="B1176" s="8">
        <v>2024</v>
      </c>
      <c r="C1176" s="8" t="s">
        <v>8</v>
      </c>
      <c r="D1176" s="9" t="s">
        <v>185</v>
      </c>
      <c r="E1176" s="9" t="s">
        <v>10</v>
      </c>
      <c r="F1176" s="9" t="s">
        <v>186</v>
      </c>
      <c r="G1176" s="8"/>
      <c r="H1176" s="8"/>
      <c r="I1176" s="9" t="s">
        <v>116</v>
      </c>
      <c r="J1176" s="9" t="s">
        <v>116</v>
      </c>
      <c r="K1176" s="9" t="s">
        <v>269</v>
      </c>
      <c r="L1176" s="9" t="s">
        <v>270</v>
      </c>
      <c r="M1176" s="14" t="s">
        <v>84</v>
      </c>
      <c r="N1176" s="9" t="s">
        <v>271</v>
      </c>
      <c r="O1176" s="9" t="s">
        <v>272</v>
      </c>
      <c r="P1176" s="9" t="s">
        <v>274</v>
      </c>
      <c r="Q1176" s="11"/>
      <c r="R1176" s="11"/>
      <c r="S1176" s="11"/>
      <c r="T1176" s="9"/>
      <c r="U1176" s="14" t="s">
        <v>77</v>
      </c>
      <c r="V1176" s="9"/>
      <c r="W1176" s="12">
        <v>30</v>
      </c>
      <c r="X1176" s="13"/>
      <c r="Y1176" s="13"/>
      <c r="Z1176" s="13"/>
      <c r="AA1176" s="13"/>
      <c r="AB1176" s="13"/>
      <c r="AC1176" s="13">
        <f t="shared" si="165"/>
        <v>0</v>
      </c>
      <c r="AD1176" s="13"/>
      <c r="AE1176" s="13"/>
      <c r="AF1176" s="13">
        <f t="shared" si="166"/>
        <v>0</v>
      </c>
      <c r="AG1176" s="13"/>
      <c r="AH1176" s="13"/>
      <c r="AI1176" s="13"/>
      <c r="AJ1176" s="13">
        <f t="shared" si="167"/>
        <v>0</v>
      </c>
      <c r="AK1176" s="9"/>
      <c r="AL1176" s="13"/>
      <c r="AM1176" s="9"/>
      <c r="AN1176" s="9"/>
      <c r="AO1176" s="9"/>
      <c r="AP1176" s="14"/>
    </row>
    <row r="1177" spans="1:42" s="45" customFormat="1" ht="22" customHeight="1">
      <c r="A1177" s="14" t="s">
        <v>19</v>
      </c>
      <c r="B1177" s="8">
        <v>2024</v>
      </c>
      <c r="C1177" s="8" t="s">
        <v>8</v>
      </c>
      <c r="D1177" s="9" t="s">
        <v>185</v>
      </c>
      <c r="E1177" s="9" t="s">
        <v>10</v>
      </c>
      <c r="F1177" s="9" t="s">
        <v>186</v>
      </c>
      <c r="G1177" s="8"/>
      <c r="H1177" s="8"/>
      <c r="I1177" s="9" t="s">
        <v>116</v>
      </c>
      <c r="J1177" s="9" t="s">
        <v>116</v>
      </c>
      <c r="K1177" s="9" t="s">
        <v>269</v>
      </c>
      <c r="L1177" s="9" t="s">
        <v>270</v>
      </c>
      <c r="M1177" s="14" t="s">
        <v>84</v>
      </c>
      <c r="N1177" s="9" t="s">
        <v>271</v>
      </c>
      <c r="O1177" s="9" t="s">
        <v>272</v>
      </c>
      <c r="P1177" s="9" t="s">
        <v>275</v>
      </c>
      <c r="Q1177" s="11"/>
      <c r="R1177" s="11"/>
      <c r="S1177" s="11"/>
      <c r="T1177" s="9"/>
      <c r="U1177" s="14" t="s">
        <v>77</v>
      </c>
      <c r="V1177" s="9"/>
      <c r="W1177" s="12">
        <v>30</v>
      </c>
      <c r="X1177" s="13"/>
      <c r="Y1177" s="13"/>
      <c r="Z1177" s="13"/>
      <c r="AA1177" s="13"/>
      <c r="AB1177" s="13"/>
      <c r="AC1177" s="13">
        <f t="shared" si="165"/>
        <v>0</v>
      </c>
      <c r="AD1177" s="13"/>
      <c r="AE1177" s="13"/>
      <c r="AF1177" s="13">
        <f t="shared" si="166"/>
        <v>0</v>
      </c>
      <c r="AG1177" s="13"/>
      <c r="AH1177" s="13"/>
      <c r="AI1177" s="13"/>
      <c r="AJ1177" s="13">
        <f t="shared" si="167"/>
        <v>0</v>
      </c>
      <c r="AK1177" s="9"/>
      <c r="AL1177" s="13"/>
      <c r="AM1177" s="9"/>
      <c r="AN1177" s="9"/>
      <c r="AO1177" s="9"/>
      <c r="AP1177" s="14"/>
    </row>
    <row r="1178" spans="1:42" s="45" customFormat="1" ht="22" customHeight="1">
      <c r="A1178" s="14" t="s">
        <v>19</v>
      </c>
      <c r="B1178" s="8">
        <v>2024</v>
      </c>
      <c r="C1178" s="8" t="s">
        <v>8</v>
      </c>
      <c r="D1178" s="9" t="s">
        <v>185</v>
      </c>
      <c r="E1178" s="9" t="s">
        <v>10</v>
      </c>
      <c r="F1178" s="9" t="s">
        <v>186</v>
      </c>
      <c r="G1178" s="8"/>
      <c r="H1178" s="8"/>
      <c r="I1178" s="9" t="s">
        <v>116</v>
      </c>
      <c r="J1178" s="9" t="s">
        <v>116</v>
      </c>
      <c r="K1178" s="9" t="s">
        <v>269</v>
      </c>
      <c r="L1178" s="9" t="s">
        <v>270</v>
      </c>
      <c r="M1178" s="14" t="s">
        <v>84</v>
      </c>
      <c r="N1178" s="9" t="s">
        <v>271</v>
      </c>
      <c r="O1178" s="9" t="s">
        <v>272</v>
      </c>
      <c r="P1178" s="9" t="s">
        <v>276</v>
      </c>
      <c r="Q1178" s="11"/>
      <c r="R1178" s="11"/>
      <c r="S1178" s="11"/>
      <c r="T1178" s="9"/>
      <c r="U1178" s="14" t="s">
        <v>77</v>
      </c>
      <c r="V1178" s="9"/>
      <c r="W1178" s="12">
        <v>30</v>
      </c>
      <c r="X1178" s="13"/>
      <c r="Y1178" s="13"/>
      <c r="Z1178" s="13"/>
      <c r="AA1178" s="13"/>
      <c r="AB1178" s="13"/>
      <c r="AC1178" s="13">
        <f t="shared" si="165"/>
        <v>0</v>
      </c>
      <c r="AD1178" s="13"/>
      <c r="AE1178" s="13"/>
      <c r="AF1178" s="13">
        <f t="shared" si="166"/>
        <v>0</v>
      </c>
      <c r="AG1178" s="13"/>
      <c r="AH1178" s="13"/>
      <c r="AI1178" s="13"/>
      <c r="AJ1178" s="13">
        <f t="shared" si="167"/>
        <v>0</v>
      </c>
      <c r="AK1178" s="9"/>
      <c r="AL1178" s="13"/>
      <c r="AM1178" s="9"/>
      <c r="AN1178" s="9"/>
      <c r="AO1178" s="9"/>
      <c r="AP1178" s="14"/>
    </row>
    <row r="1179" spans="1:42" s="45" customFormat="1" ht="22" customHeight="1">
      <c r="A1179" s="14" t="s">
        <v>19</v>
      </c>
      <c r="B1179" s="8">
        <v>2024</v>
      </c>
      <c r="C1179" s="8" t="s">
        <v>8</v>
      </c>
      <c r="D1179" s="9" t="s">
        <v>185</v>
      </c>
      <c r="E1179" s="9" t="s">
        <v>10</v>
      </c>
      <c r="F1179" s="9" t="s">
        <v>186</v>
      </c>
      <c r="G1179" s="8"/>
      <c r="H1179" s="8"/>
      <c r="I1179" s="9" t="s">
        <v>116</v>
      </c>
      <c r="J1179" s="9" t="s">
        <v>116</v>
      </c>
      <c r="K1179" s="9" t="s">
        <v>269</v>
      </c>
      <c r="L1179" s="9" t="s">
        <v>270</v>
      </c>
      <c r="M1179" s="14" t="s">
        <v>84</v>
      </c>
      <c r="N1179" s="9" t="s">
        <v>271</v>
      </c>
      <c r="O1179" s="9" t="s">
        <v>272</v>
      </c>
      <c r="P1179" s="9" t="s">
        <v>277</v>
      </c>
      <c r="Q1179" s="11"/>
      <c r="R1179" s="11"/>
      <c r="S1179" s="11"/>
      <c r="T1179" s="9"/>
      <c r="U1179" s="14" t="s">
        <v>77</v>
      </c>
      <c r="V1179" s="9"/>
      <c r="W1179" s="12">
        <v>30</v>
      </c>
      <c r="X1179" s="13"/>
      <c r="Y1179" s="13"/>
      <c r="Z1179" s="13"/>
      <c r="AA1179" s="13"/>
      <c r="AB1179" s="13"/>
      <c r="AC1179" s="13">
        <f t="shared" si="165"/>
        <v>0</v>
      </c>
      <c r="AD1179" s="13"/>
      <c r="AE1179" s="13"/>
      <c r="AF1179" s="13">
        <f t="shared" si="166"/>
        <v>0</v>
      </c>
      <c r="AG1179" s="13"/>
      <c r="AH1179" s="13"/>
      <c r="AI1179" s="13"/>
      <c r="AJ1179" s="13">
        <f t="shared" si="167"/>
        <v>0</v>
      </c>
      <c r="AK1179" s="9"/>
      <c r="AL1179" s="13"/>
      <c r="AM1179" s="9"/>
      <c r="AN1179" s="9"/>
      <c r="AO1179" s="9"/>
      <c r="AP1179" s="14"/>
    </row>
    <row r="1180" spans="1:42" s="45" customFormat="1" ht="22" customHeight="1">
      <c r="A1180" s="14" t="s">
        <v>19</v>
      </c>
      <c r="B1180" s="8">
        <v>2024</v>
      </c>
      <c r="C1180" s="8" t="s">
        <v>8</v>
      </c>
      <c r="D1180" s="9" t="s">
        <v>185</v>
      </c>
      <c r="E1180" s="9" t="s">
        <v>10</v>
      </c>
      <c r="F1180" s="9" t="s">
        <v>186</v>
      </c>
      <c r="G1180" s="8"/>
      <c r="H1180" s="8"/>
      <c r="I1180" s="9" t="s">
        <v>116</v>
      </c>
      <c r="J1180" s="9" t="s">
        <v>116</v>
      </c>
      <c r="K1180" s="9" t="s">
        <v>269</v>
      </c>
      <c r="L1180" s="9" t="s">
        <v>270</v>
      </c>
      <c r="M1180" s="14" t="s">
        <v>84</v>
      </c>
      <c r="N1180" s="9" t="s">
        <v>271</v>
      </c>
      <c r="O1180" s="9" t="s">
        <v>272</v>
      </c>
      <c r="P1180" s="9" t="s">
        <v>278</v>
      </c>
      <c r="Q1180" s="11"/>
      <c r="R1180" s="11"/>
      <c r="S1180" s="11"/>
      <c r="T1180" s="9"/>
      <c r="U1180" s="14" t="s">
        <v>77</v>
      </c>
      <c r="V1180" s="9"/>
      <c r="W1180" s="12">
        <v>30</v>
      </c>
      <c r="X1180" s="13"/>
      <c r="Y1180" s="13"/>
      <c r="Z1180" s="13"/>
      <c r="AA1180" s="13"/>
      <c r="AB1180" s="13"/>
      <c r="AC1180" s="13">
        <f t="shared" si="165"/>
        <v>0</v>
      </c>
      <c r="AD1180" s="13"/>
      <c r="AE1180" s="13"/>
      <c r="AF1180" s="13">
        <f t="shared" si="166"/>
        <v>0</v>
      </c>
      <c r="AG1180" s="13"/>
      <c r="AH1180" s="13"/>
      <c r="AI1180" s="13"/>
      <c r="AJ1180" s="13">
        <f t="shared" si="167"/>
        <v>0</v>
      </c>
      <c r="AK1180" s="9"/>
      <c r="AL1180" s="13"/>
      <c r="AM1180" s="9"/>
      <c r="AN1180" s="9"/>
      <c r="AO1180" s="9"/>
      <c r="AP1180" s="14"/>
    </row>
    <row r="1181" spans="1:42" s="45" customFormat="1" ht="22" customHeight="1">
      <c r="A1181" s="14" t="s">
        <v>19</v>
      </c>
      <c r="B1181" s="8">
        <v>2024</v>
      </c>
      <c r="C1181" s="8" t="s">
        <v>8</v>
      </c>
      <c r="D1181" s="9" t="s">
        <v>185</v>
      </c>
      <c r="E1181" s="9" t="s">
        <v>10</v>
      </c>
      <c r="F1181" s="9" t="s">
        <v>186</v>
      </c>
      <c r="G1181" s="8"/>
      <c r="H1181" s="8"/>
      <c r="I1181" s="9" t="s">
        <v>116</v>
      </c>
      <c r="J1181" s="9" t="s">
        <v>116</v>
      </c>
      <c r="K1181" s="9" t="s">
        <v>269</v>
      </c>
      <c r="L1181" s="9" t="s">
        <v>270</v>
      </c>
      <c r="M1181" s="14" t="s">
        <v>84</v>
      </c>
      <c r="N1181" s="9" t="s">
        <v>271</v>
      </c>
      <c r="O1181" s="9" t="s">
        <v>272</v>
      </c>
      <c r="P1181" s="9" t="s">
        <v>279</v>
      </c>
      <c r="Q1181" s="11"/>
      <c r="R1181" s="11"/>
      <c r="S1181" s="11"/>
      <c r="T1181" s="9"/>
      <c r="U1181" s="14" t="s">
        <v>77</v>
      </c>
      <c r="V1181" s="9"/>
      <c r="W1181" s="12">
        <v>30</v>
      </c>
      <c r="X1181" s="13"/>
      <c r="Y1181" s="13"/>
      <c r="Z1181" s="13"/>
      <c r="AA1181" s="13"/>
      <c r="AB1181" s="13"/>
      <c r="AC1181" s="13">
        <f t="shared" si="165"/>
        <v>0</v>
      </c>
      <c r="AD1181" s="13"/>
      <c r="AE1181" s="13"/>
      <c r="AF1181" s="13">
        <f t="shared" si="166"/>
        <v>0</v>
      </c>
      <c r="AG1181" s="13"/>
      <c r="AH1181" s="13"/>
      <c r="AI1181" s="13"/>
      <c r="AJ1181" s="13">
        <f t="shared" si="167"/>
        <v>0</v>
      </c>
      <c r="AK1181" s="9"/>
      <c r="AL1181" s="13"/>
      <c r="AM1181" s="9"/>
      <c r="AN1181" s="9"/>
      <c r="AO1181" s="9"/>
      <c r="AP1181" s="14"/>
    </row>
    <row r="1182" spans="1:42" s="45" customFormat="1" ht="22" customHeight="1">
      <c r="A1182" s="14" t="s">
        <v>19</v>
      </c>
      <c r="B1182" s="8">
        <v>2024</v>
      </c>
      <c r="C1182" s="8" t="s">
        <v>8</v>
      </c>
      <c r="D1182" s="9" t="s">
        <v>185</v>
      </c>
      <c r="E1182" s="9" t="s">
        <v>10</v>
      </c>
      <c r="F1182" s="9" t="s">
        <v>186</v>
      </c>
      <c r="G1182" s="8"/>
      <c r="H1182" s="8"/>
      <c r="I1182" s="9" t="s">
        <v>116</v>
      </c>
      <c r="J1182" s="9" t="s">
        <v>116</v>
      </c>
      <c r="K1182" s="9" t="s">
        <v>269</v>
      </c>
      <c r="L1182" s="9" t="s">
        <v>270</v>
      </c>
      <c r="M1182" s="14" t="s">
        <v>84</v>
      </c>
      <c r="N1182" s="9" t="s">
        <v>271</v>
      </c>
      <c r="O1182" s="9" t="s">
        <v>272</v>
      </c>
      <c r="P1182" s="9" t="s">
        <v>280</v>
      </c>
      <c r="Q1182" s="11"/>
      <c r="R1182" s="11"/>
      <c r="S1182" s="11"/>
      <c r="T1182" s="9"/>
      <c r="U1182" s="14" t="s">
        <v>77</v>
      </c>
      <c r="V1182" s="9"/>
      <c r="W1182" s="12">
        <v>30</v>
      </c>
      <c r="X1182" s="13"/>
      <c r="Y1182" s="13"/>
      <c r="Z1182" s="13"/>
      <c r="AA1182" s="13"/>
      <c r="AB1182" s="13"/>
      <c r="AC1182" s="13">
        <f t="shared" si="165"/>
        <v>0</v>
      </c>
      <c r="AD1182" s="13"/>
      <c r="AE1182" s="13"/>
      <c r="AF1182" s="13">
        <f t="shared" si="166"/>
        <v>0</v>
      </c>
      <c r="AG1182" s="13"/>
      <c r="AH1182" s="13"/>
      <c r="AI1182" s="13"/>
      <c r="AJ1182" s="13">
        <f t="shared" si="167"/>
        <v>0</v>
      </c>
      <c r="AK1182" s="9"/>
      <c r="AL1182" s="13"/>
      <c r="AM1182" s="9"/>
      <c r="AN1182" s="9"/>
      <c r="AO1182" s="9"/>
      <c r="AP1182" s="14"/>
    </row>
    <row r="1183" spans="1:42" s="45" customFormat="1" ht="22" customHeight="1">
      <c r="A1183" s="14" t="s">
        <v>19</v>
      </c>
      <c r="B1183" s="8">
        <v>2024</v>
      </c>
      <c r="C1183" s="8" t="s">
        <v>8</v>
      </c>
      <c r="D1183" s="9" t="s">
        <v>185</v>
      </c>
      <c r="E1183" s="9" t="s">
        <v>10</v>
      </c>
      <c r="F1183" s="9" t="s">
        <v>186</v>
      </c>
      <c r="G1183" s="8"/>
      <c r="H1183" s="8"/>
      <c r="I1183" s="9" t="s">
        <v>116</v>
      </c>
      <c r="J1183" s="9" t="s">
        <v>116</v>
      </c>
      <c r="K1183" s="9" t="s">
        <v>269</v>
      </c>
      <c r="L1183" s="9" t="s">
        <v>270</v>
      </c>
      <c r="M1183" s="14" t="s">
        <v>84</v>
      </c>
      <c r="N1183" s="9" t="s">
        <v>271</v>
      </c>
      <c r="O1183" s="9" t="s">
        <v>272</v>
      </c>
      <c r="P1183" s="9" t="s">
        <v>281</v>
      </c>
      <c r="Q1183" s="11"/>
      <c r="R1183" s="11"/>
      <c r="S1183" s="11"/>
      <c r="T1183" s="9"/>
      <c r="U1183" s="14" t="s">
        <v>77</v>
      </c>
      <c r="V1183" s="9"/>
      <c r="W1183" s="12">
        <v>30</v>
      </c>
      <c r="X1183" s="13"/>
      <c r="Y1183" s="13"/>
      <c r="Z1183" s="13"/>
      <c r="AA1183" s="13"/>
      <c r="AB1183" s="13"/>
      <c r="AC1183" s="13">
        <f t="shared" si="165"/>
        <v>0</v>
      </c>
      <c r="AD1183" s="13"/>
      <c r="AE1183" s="13"/>
      <c r="AF1183" s="13">
        <f t="shared" si="166"/>
        <v>0</v>
      </c>
      <c r="AG1183" s="13"/>
      <c r="AH1183" s="13"/>
      <c r="AI1183" s="13"/>
      <c r="AJ1183" s="13">
        <f t="shared" si="167"/>
        <v>0</v>
      </c>
      <c r="AK1183" s="9"/>
      <c r="AL1183" s="13"/>
      <c r="AM1183" s="9"/>
      <c r="AN1183" s="9"/>
      <c r="AO1183" s="9"/>
      <c r="AP1183" s="14"/>
    </row>
    <row r="1184" spans="1:42" s="45" customFormat="1" ht="22" customHeight="1">
      <c r="A1184" s="14" t="s">
        <v>19</v>
      </c>
      <c r="B1184" s="8">
        <v>2024</v>
      </c>
      <c r="C1184" s="8" t="s">
        <v>8</v>
      </c>
      <c r="D1184" s="9" t="s">
        <v>185</v>
      </c>
      <c r="E1184" s="9" t="s">
        <v>10</v>
      </c>
      <c r="F1184" s="9" t="s">
        <v>186</v>
      </c>
      <c r="G1184" s="8"/>
      <c r="H1184" s="8"/>
      <c r="I1184" s="9" t="s">
        <v>116</v>
      </c>
      <c r="J1184" s="9" t="s">
        <v>116</v>
      </c>
      <c r="K1184" s="9" t="s">
        <v>269</v>
      </c>
      <c r="L1184" s="9" t="s">
        <v>270</v>
      </c>
      <c r="M1184" s="14" t="s">
        <v>84</v>
      </c>
      <c r="N1184" s="9" t="s">
        <v>271</v>
      </c>
      <c r="O1184" s="9" t="s">
        <v>272</v>
      </c>
      <c r="P1184" s="9" t="s">
        <v>282</v>
      </c>
      <c r="Q1184" s="11"/>
      <c r="R1184" s="11"/>
      <c r="S1184" s="11"/>
      <c r="T1184" s="9"/>
      <c r="U1184" s="14" t="s">
        <v>77</v>
      </c>
      <c r="V1184" s="9"/>
      <c r="W1184" s="12">
        <v>30</v>
      </c>
      <c r="X1184" s="13"/>
      <c r="Y1184" s="13"/>
      <c r="Z1184" s="13"/>
      <c r="AA1184" s="13"/>
      <c r="AB1184" s="13"/>
      <c r="AC1184" s="13">
        <f t="shared" si="165"/>
        <v>0</v>
      </c>
      <c r="AD1184" s="13"/>
      <c r="AE1184" s="13"/>
      <c r="AF1184" s="13">
        <f t="shared" si="166"/>
        <v>0</v>
      </c>
      <c r="AG1184" s="13"/>
      <c r="AH1184" s="13"/>
      <c r="AI1184" s="13"/>
      <c r="AJ1184" s="13">
        <f t="shared" si="167"/>
        <v>0</v>
      </c>
      <c r="AK1184" s="9"/>
      <c r="AL1184" s="13"/>
      <c r="AM1184" s="9"/>
      <c r="AN1184" s="9"/>
      <c r="AO1184" s="9"/>
      <c r="AP1184" s="14"/>
    </row>
    <row r="1185" spans="1:42" s="45" customFormat="1" ht="22" customHeight="1">
      <c r="A1185" s="14" t="s">
        <v>19</v>
      </c>
      <c r="B1185" s="8">
        <v>2024</v>
      </c>
      <c r="C1185" s="8" t="s">
        <v>8</v>
      </c>
      <c r="D1185" s="9" t="s">
        <v>185</v>
      </c>
      <c r="E1185" s="9" t="s">
        <v>10</v>
      </c>
      <c r="F1185" s="9" t="s">
        <v>186</v>
      </c>
      <c r="G1185" s="8"/>
      <c r="H1185" s="8"/>
      <c r="I1185" s="9" t="s">
        <v>116</v>
      </c>
      <c r="J1185" s="9" t="s">
        <v>116</v>
      </c>
      <c r="K1185" s="9" t="s">
        <v>269</v>
      </c>
      <c r="L1185" s="9" t="s">
        <v>270</v>
      </c>
      <c r="M1185" s="14" t="s">
        <v>84</v>
      </c>
      <c r="N1185" s="9" t="s">
        <v>271</v>
      </c>
      <c r="O1185" s="9" t="s">
        <v>272</v>
      </c>
      <c r="P1185" s="9" t="s">
        <v>283</v>
      </c>
      <c r="Q1185" s="11"/>
      <c r="R1185" s="11"/>
      <c r="S1185" s="11"/>
      <c r="T1185" s="9"/>
      <c r="U1185" s="14" t="s">
        <v>77</v>
      </c>
      <c r="V1185" s="9"/>
      <c r="W1185" s="12">
        <v>30</v>
      </c>
      <c r="X1185" s="13"/>
      <c r="Y1185" s="13"/>
      <c r="Z1185" s="13"/>
      <c r="AA1185" s="13"/>
      <c r="AB1185" s="13"/>
      <c r="AC1185" s="13">
        <f t="shared" si="165"/>
        <v>0</v>
      </c>
      <c r="AD1185" s="13"/>
      <c r="AE1185" s="13"/>
      <c r="AF1185" s="13">
        <f t="shared" si="166"/>
        <v>0</v>
      </c>
      <c r="AG1185" s="13"/>
      <c r="AH1185" s="13"/>
      <c r="AI1185" s="13"/>
      <c r="AJ1185" s="13">
        <f t="shared" si="167"/>
        <v>0</v>
      </c>
      <c r="AK1185" s="9"/>
      <c r="AL1185" s="13"/>
      <c r="AM1185" s="9"/>
      <c r="AN1185" s="9"/>
      <c r="AO1185" s="9"/>
      <c r="AP1185" s="14"/>
    </row>
    <row r="1186" spans="1:42" s="45" customFormat="1" ht="22" customHeight="1">
      <c r="A1186" s="14" t="s">
        <v>19</v>
      </c>
      <c r="B1186" s="8">
        <v>2024</v>
      </c>
      <c r="C1186" s="8" t="s">
        <v>8</v>
      </c>
      <c r="D1186" s="9" t="s">
        <v>185</v>
      </c>
      <c r="E1186" s="9" t="s">
        <v>10</v>
      </c>
      <c r="F1186" s="9" t="s">
        <v>186</v>
      </c>
      <c r="G1186" s="8"/>
      <c r="H1186" s="8"/>
      <c r="I1186" s="9" t="s">
        <v>116</v>
      </c>
      <c r="J1186" s="9" t="s">
        <v>116</v>
      </c>
      <c r="K1186" s="9" t="s">
        <v>269</v>
      </c>
      <c r="L1186" s="9" t="s">
        <v>270</v>
      </c>
      <c r="M1186" s="14" t="s">
        <v>84</v>
      </c>
      <c r="N1186" s="9" t="s">
        <v>271</v>
      </c>
      <c r="O1186" s="9" t="s">
        <v>272</v>
      </c>
      <c r="P1186" s="9" t="s">
        <v>284</v>
      </c>
      <c r="Q1186" s="11"/>
      <c r="R1186" s="11"/>
      <c r="S1186" s="11"/>
      <c r="T1186" s="9"/>
      <c r="U1186" s="14" t="s">
        <v>77</v>
      </c>
      <c r="V1186" s="9"/>
      <c r="W1186" s="12">
        <v>30</v>
      </c>
      <c r="X1186" s="13"/>
      <c r="Y1186" s="13"/>
      <c r="Z1186" s="13"/>
      <c r="AA1186" s="13"/>
      <c r="AB1186" s="13"/>
      <c r="AC1186" s="13">
        <f t="shared" si="165"/>
        <v>0</v>
      </c>
      <c r="AD1186" s="13"/>
      <c r="AE1186" s="13"/>
      <c r="AF1186" s="13">
        <f t="shared" si="166"/>
        <v>0</v>
      </c>
      <c r="AG1186" s="13"/>
      <c r="AH1186" s="13"/>
      <c r="AI1186" s="13"/>
      <c r="AJ1186" s="13">
        <f t="shared" si="167"/>
        <v>0</v>
      </c>
      <c r="AK1186" s="9"/>
      <c r="AL1186" s="13"/>
      <c r="AM1186" s="9"/>
      <c r="AN1186" s="9"/>
      <c r="AO1186" s="9"/>
      <c r="AP1186" s="14"/>
    </row>
    <row r="1187" spans="1:42" s="45" customFormat="1" ht="22" customHeight="1">
      <c r="A1187" s="14" t="s">
        <v>19</v>
      </c>
      <c r="B1187" s="8">
        <v>2024</v>
      </c>
      <c r="C1187" s="8" t="s">
        <v>8</v>
      </c>
      <c r="D1187" s="9" t="s">
        <v>185</v>
      </c>
      <c r="E1187" s="9" t="s">
        <v>10</v>
      </c>
      <c r="F1187" s="9" t="s">
        <v>186</v>
      </c>
      <c r="G1187" s="8"/>
      <c r="H1187" s="8"/>
      <c r="I1187" s="9" t="s">
        <v>116</v>
      </c>
      <c r="J1187" s="9" t="s">
        <v>116</v>
      </c>
      <c r="K1187" s="9" t="s">
        <v>269</v>
      </c>
      <c r="L1187" s="9" t="s">
        <v>270</v>
      </c>
      <c r="M1187" s="14" t="s">
        <v>84</v>
      </c>
      <c r="N1187" s="9" t="s">
        <v>271</v>
      </c>
      <c r="O1187" s="9" t="s">
        <v>272</v>
      </c>
      <c r="P1187" s="9" t="s">
        <v>285</v>
      </c>
      <c r="Q1187" s="11"/>
      <c r="R1187" s="11"/>
      <c r="S1187" s="11"/>
      <c r="T1187" s="9"/>
      <c r="U1187" s="14" t="s">
        <v>77</v>
      </c>
      <c r="V1187" s="9"/>
      <c r="W1187" s="12">
        <v>30</v>
      </c>
      <c r="X1187" s="13"/>
      <c r="Y1187" s="13"/>
      <c r="Z1187" s="13"/>
      <c r="AA1187" s="13"/>
      <c r="AB1187" s="13"/>
      <c r="AC1187" s="13">
        <f t="shared" ref="AC1187:AC1196" si="168">+S1187*W1187*20/1000000</f>
        <v>0</v>
      </c>
      <c r="AD1187" s="13"/>
      <c r="AE1187" s="13"/>
      <c r="AF1187" s="13">
        <f t="shared" ref="AF1187:AF1196" si="169">+S1187*W1187*200/1000000</f>
        <v>0</v>
      </c>
      <c r="AG1187" s="13"/>
      <c r="AH1187" s="13"/>
      <c r="AI1187" s="13"/>
      <c r="AJ1187" s="13">
        <f t="shared" si="167"/>
        <v>0</v>
      </c>
      <c r="AK1187" s="9"/>
      <c r="AL1187" s="13"/>
      <c r="AM1187" s="9"/>
      <c r="AN1187" s="9"/>
      <c r="AO1187" s="9"/>
      <c r="AP1187" s="14"/>
    </row>
    <row r="1188" spans="1:42" s="45" customFormat="1" ht="22" customHeight="1">
      <c r="A1188" s="14" t="s">
        <v>19</v>
      </c>
      <c r="B1188" s="8">
        <v>2024</v>
      </c>
      <c r="C1188" s="8" t="s">
        <v>8</v>
      </c>
      <c r="D1188" s="9" t="s">
        <v>185</v>
      </c>
      <c r="E1188" s="9" t="s">
        <v>10</v>
      </c>
      <c r="F1188" s="9" t="s">
        <v>186</v>
      </c>
      <c r="G1188" s="8"/>
      <c r="H1188" s="8"/>
      <c r="I1188" s="9" t="s">
        <v>116</v>
      </c>
      <c r="J1188" s="9" t="s">
        <v>116</v>
      </c>
      <c r="K1188" s="9" t="s">
        <v>269</v>
      </c>
      <c r="L1188" s="9" t="s">
        <v>270</v>
      </c>
      <c r="M1188" s="14" t="s">
        <v>84</v>
      </c>
      <c r="N1188" s="9" t="s">
        <v>271</v>
      </c>
      <c r="O1188" s="9" t="s">
        <v>272</v>
      </c>
      <c r="P1188" s="9" t="s">
        <v>286</v>
      </c>
      <c r="Q1188" s="11"/>
      <c r="R1188" s="11"/>
      <c r="S1188" s="11"/>
      <c r="T1188" s="9"/>
      <c r="U1188" s="14" t="s">
        <v>77</v>
      </c>
      <c r="V1188" s="9"/>
      <c r="W1188" s="12">
        <v>30</v>
      </c>
      <c r="X1188" s="13"/>
      <c r="Y1188" s="13"/>
      <c r="Z1188" s="13"/>
      <c r="AA1188" s="13"/>
      <c r="AB1188" s="13"/>
      <c r="AC1188" s="13">
        <f t="shared" si="168"/>
        <v>0</v>
      </c>
      <c r="AD1188" s="13"/>
      <c r="AE1188" s="13"/>
      <c r="AF1188" s="13">
        <f t="shared" si="169"/>
        <v>0</v>
      </c>
      <c r="AG1188" s="13"/>
      <c r="AH1188" s="13"/>
      <c r="AI1188" s="13"/>
      <c r="AJ1188" s="13">
        <f t="shared" si="167"/>
        <v>0</v>
      </c>
      <c r="AK1188" s="9"/>
      <c r="AL1188" s="13"/>
      <c r="AM1188" s="9"/>
      <c r="AN1188" s="9"/>
      <c r="AO1188" s="9"/>
      <c r="AP1188" s="14"/>
    </row>
    <row r="1189" spans="1:42" s="45" customFormat="1" ht="22" customHeight="1">
      <c r="A1189" s="14" t="s">
        <v>19</v>
      </c>
      <c r="B1189" s="8">
        <v>2024</v>
      </c>
      <c r="C1189" s="8" t="s">
        <v>8</v>
      </c>
      <c r="D1189" s="9" t="s">
        <v>185</v>
      </c>
      <c r="E1189" s="9" t="s">
        <v>10</v>
      </c>
      <c r="F1189" s="9" t="s">
        <v>186</v>
      </c>
      <c r="G1189" s="8"/>
      <c r="H1189" s="8"/>
      <c r="I1189" s="9" t="s">
        <v>116</v>
      </c>
      <c r="J1189" s="9" t="s">
        <v>116</v>
      </c>
      <c r="K1189" s="9" t="s">
        <v>269</v>
      </c>
      <c r="L1189" s="9" t="s">
        <v>270</v>
      </c>
      <c r="M1189" s="14" t="s">
        <v>84</v>
      </c>
      <c r="N1189" s="9" t="s">
        <v>271</v>
      </c>
      <c r="O1189" s="9" t="s">
        <v>272</v>
      </c>
      <c r="P1189" s="9" t="s">
        <v>287</v>
      </c>
      <c r="Q1189" s="11"/>
      <c r="R1189" s="11"/>
      <c r="S1189" s="11"/>
      <c r="T1189" s="9"/>
      <c r="U1189" s="14" t="s">
        <v>77</v>
      </c>
      <c r="V1189" s="9"/>
      <c r="W1189" s="12">
        <v>30</v>
      </c>
      <c r="X1189" s="13"/>
      <c r="Y1189" s="13"/>
      <c r="Z1189" s="13"/>
      <c r="AA1189" s="13"/>
      <c r="AB1189" s="13"/>
      <c r="AC1189" s="13">
        <f t="shared" si="168"/>
        <v>0</v>
      </c>
      <c r="AD1189" s="13"/>
      <c r="AE1189" s="13"/>
      <c r="AF1189" s="13">
        <f t="shared" si="169"/>
        <v>0</v>
      </c>
      <c r="AG1189" s="13"/>
      <c r="AH1189" s="13"/>
      <c r="AI1189" s="13"/>
      <c r="AJ1189" s="13">
        <f t="shared" si="167"/>
        <v>0</v>
      </c>
      <c r="AK1189" s="9"/>
      <c r="AL1189" s="13"/>
      <c r="AM1189" s="9"/>
      <c r="AN1189" s="9"/>
      <c r="AO1189" s="9"/>
      <c r="AP1189" s="14"/>
    </row>
    <row r="1190" spans="1:42" s="45" customFormat="1" ht="22" customHeight="1">
      <c r="A1190" s="14" t="s">
        <v>19</v>
      </c>
      <c r="B1190" s="8">
        <v>2024</v>
      </c>
      <c r="C1190" s="8" t="s">
        <v>8</v>
      </c>
      <c r="D1190" s="9" t="s">
        <v>185</v>
      </c>
      <c r="E1190" s="9" t="s">
        <v>10</v>
      </c>
      <c r="F1190" s="9" t="s">
        <v>186</v>
      </c>
      <c r="G1190" s="8"/>
      <c r="H1190" s="8"/>
      <c r="I1190" s="9" t="s">
        <v>116</v>
      </c>
      <c r="J1190" s="9" t="s">
        <v>116</v>
      </c>
      <c r="K1190" s="9" t="s">
        <v>269</v>
      </c>
      <c r="L1190" s="9" t="s">
        <v>270</v>
      </c>
      <c r="M1190" s="14" t="s">
        <v>84</v>
      </c>
      <c r="N1190" s="9" t="s">
        <v>271</v>
      </c>
      <c r="O1190" s="9" t="s">
        <v>272</v>
      </c>
      <c r="P1190" s="9" t="s">
        <v>288</v>
      </c>
      <c r="Q1190" s="11"/>
      <c r="R1190" s="11"/>
      <c r="S1190" s="11"/>
      <c r="T1190" s="9"/>
      <c r="U1190" s="14" t="s">
        <v>77</v>
      </c>
      <c r="V1190" s="9"/>
      <c r="W1190" s="12">
        <v>30</v>
      </c>
      <c r="X1190" s="13"/>
      <c r="Y1190" s="13"/>
      <c r="Z1190" s="13"/>
      <c r="AA1190" s="13"/>
      <c r="AB1190" s="13"/>
      <c r="AC1190" s="13">
        <f t="shared" si="168"/>
        <v>0</v>
      </c>
      <c r="AD1190" s="13"/>
      <c r="AE1190" s="13"/>
      <c r="AF1190" s="13">
        <f t="shared" si="169"/>
        <v>0</v>
      </c>
      <c r="AG1190" s="13"/>
      <c r="AH1190" s="13"/>
      <c r="AI1190" s="13"/>
      <c r="AJ1190" s="13">
        <f t="shared" si="167"/>
        <v>0</v>
      </c>
      <c r="AK1190" s="9"/>
      <c r="AL1190" s="13"/>
      <c r="AM1190" s="9"/>
      <c r="AN1190" s="9"/>
      <c r="AO1190" s="9"/>
      <c r="AP1190" s="14"/>
    </row>
    <row r="1191" spans="1:42" s="45" customFormat="1" ht="22" customHeight="1">
      <c r="A1191" s="14" t="s">
        <v>19</v>
      </c>
      <c r="B1191" s="8">
        <v>2024</v>
      </c>
      <c r="C1191" s="8" t="s">
        <v>8</v>
      </c>
      <c r="D1191" s="9" t="s">
        <v>185</v>
      </c>
      <c r="E1191" s="9" t="s">
        <v>10</v>
      </c>
      <c r="F1191" s="9" t="s">
        <v>186</v>
      </c>
      <c r="G1191" s="8"/>
      <c r="H1191" s="8"/>
      <c r="I1191" s="9" t="s">
        <v>116</v>
      </c>
      <c r="J1191" s="9" t="s">
        <v>116</v>
      </c>
      <c r="K1191" s="9" t="s">
        <v>269</v>
      </c>
      <c r="L1191" s="9" t="s">
        <v>270</v>
      </c>
      <c r="M1191" s="14" t="s">
        <v>84</v>
      </c>
      <c r="N1191" s="9" t="s">
        <v>271</v>
      </c>
      <c r="O1191" s="9" t="s">
        <v>272</v>
      </c>
      <c r="P1191" s="9" t="s">
        <v>289</v>
      </c>
      <c r="Q1191" s="11"/>
      <c r="R1191" s="11"/>
      <c r="S1191" s="11"/>
      <c r="T1191" s="9"/>
      <c r="U1191" s="14" t="s">
        <v>77</v>
      </c>
      <c r="V1191" s="9"/>
      <c r="W1191" s="12">
        <v>30</v>
      </c>
      <c r="X1191" s="13"/>
      <c r="Y1191" s="13"/>
      <c r="Z1191" s="13"/>
      <c r="AA1191" s="13"/>
      <c r="AB1191" s="13"/>
      <c r="AC1191" s="13">
        <f t="shared" si="168"/>
        <v>0</v>
      </c>
      <c r="AD1191" s="13"/>
      <c r="AE1191" s="13"/>
      <c r="AF1191" s="13">
        <f t="shared" si="169"/>
        <v>0</v>
      </c>
      <c r="AG1191" s="13"/>
      <c r="AH1191" s="13"/>
      <c r="AI1191" s="13"/>
      <c r="AJ1191" s="13">
        <f t="shared" si="167"/>
        <v>0</v>
      </c>
      <c r="AK1191" s="9"/>
      <c r="AL1191" s="13"/>
      <c r="AM1191" s="9"/>
      <c r="AN1191" s="9"/>
      <c r="AO1191" s="9"/>
      <c r="AP1191" s="14"/>
    </row>
    <row r="1192" spans="1:42" s="45" customFormat="1" ht="22" customHeight="1">
      <c r="A1192" s="14" t="s">
        <v>19</v>
      </c>
      <c r="B1192" s="8">
        <v>2024</v>
      </c>
      <c r="C1192" s="8" t="s">
        <v>8</v>
      </c>
      <c r="D1192" s="9" t="s">
        <v>185</v>
      </c>
      <c r="E1192" s="9" t="s">
        <v>10</v>
      </c>
      <c r="F1192" s="9" t="s">
        <v>186</v>
      </c>
      <c r="G1192" s="8"/>
      <c r="H1192" s="8"/>
      <c r="I1192" s="9" t="s">
        <v>116</v>
      </c>
      <c r="J1192" s="9" t="s">
        <v>116</v>
      </c>
      <c r="K1192" s="9" t="s">
        <v>269</v>
      </c>
      <c r="L1192" s="9" t="s">
        <v>270</v>
      </c>
      <c r="M1192" s="14" t="s">
        <v>84</v>
      </c>
      <c r="N1192" s="9" t="s">
        <v>271</v>
      </c>
      <c r="O1192" s="9" t="s">
        <v>290</v>
      </c>
      <c r="P1192" s="9" t="s">
        <v>291</v>
      </c>
      <c r="Q1192" s="11"/>
      <c r="R1192" s="11"/>
      <c r="S1192" s="11"/>
      <c r="T1192" s="9"/>
      <c r="U1192" s="14" t="s">
        <v>77</v>
      </c>
      <c r="V1192" s="9"/>
      <c r="W1192" s="12">
        <v>30</v>
      </c>
      <c r="X1192" s="13"/>
      <c r="Y1192" s="13"/>
      <c r="Z1192" s="13"/>
      <c r="AA1192" s="13"/>
      <c r="AB1192" s="13"/>
      <c r="AC1192" s="13">
        <f t="shared" si="168"/>
        <v>0</v>
      </c>
      <c r="AD1192" s="13"/>
      <c r="AE1192" s="13"/>
      <c r="AF1192" s="13">
        <f t="shared" si="169"/>
        <v>0</v>
      </c>
      <c r="AG1192" s="13"/>
      <c r="AH1192" s="13"/>
      <c r="AI1192" s="13"/>
      <c r="AJ1192" s="13">
        <f t="shared" si="167"/>
        <v>0</v>
      </c>
      <c r="AK1192" s="9"/>
      <c r="AL1192" s="13"/>
      <c r="AM1192" s="9"/>
      <c r="AN1192" s="9"/>
      <c r="AO1192" s="9"/>
      <c r="AP1192" s="14"/>
    </row>
    <row r="1193" spans="1:42" s="45" customFormat="1" ht="22" customHeight="1">
      <c r="A1193" s="14" t="s">
        <v>19</v>
      </c>
      <c r="B1193" s="8">
        <v>2024</v>
      </c>
      <c r="C1193" s="8" t="s">
        <v>8</v>
      </c>
      <c r="D1193" s="9" t="s">
        <v>185</v>
      </c>
      <c r="E1193" s="9" t="s">
        <v>10</v>
      </c>
      <c r="F1193" s="9" t="s">
        <v>186</v>
      </c>
      <c r="G1193" s="8"/>
      <c r="H1193" s="8"/>
      <c r="I1193" s="9" t="s">
        <v>116</v>
      </c>
      <c r="J1193" s="9" t="s">
        <v>116</v>
      </c>
      <c r="K1193" s="9" t="s">
        <v>269</v>
      </c>
      <c r="L1193" s="9" t="s">
        <v>270</v>
      </c>
      <c r="M1193" s="14" t="s">
        <v>84</v>
      </c>
      <c r="N1193" s="9" t="s">
        <v>271</v>
      </c>
      <c r="O1193" s="9" t="s">
        <v>290</v>
      </c>
      <c r="P1193" s="9" t="s">
        <v>292</v>
      </c>
      <c r="Q1193" s="11"/>
      <c r="R1193" s="11"/>
      <c r="S1193" s="11"/>
      <c r="T1193" s="9"/>
      <c r="U1193" s="14" t="s">
        <v>77</v>
      </c>
      <c r="V1193" s="9"/>
      <c r="W1193" s="12">
        <v>30</v>
      </c>
      <c r="X1193" s="13"/>
      <c r="Y1193" s="13"/>
      <c r="Z1193" s="13"/>
      <c r="AA1193" s="13"/>
      <c r="AB1193" s="13"/>
      <c r="AC1193" s="13">
        <f t="shared" si="168"/>
        <v>0</v>
      </c>
      <c r="AD1193" s="13"/>
      <c r="AE1193" s="13"/>
      <c r="AF1193" s="13">
        <f t="shared" si="169"/>
        <v>0</v>
      </c>
      <c r="AG1193" s="13"/>
      <c r="AH1193" s="13"/>
      <c r="AI1193" s="13"/>
      <c r="AJ1193" s="13">
        <f t="shared" si="167"/>
        <v>0</v>
      </c>
      <c r="AK1193" s="9"/>
      <c r="AL1193" s="13"/>
      <c r="AM1193" s="9"/>
      <c r="AN1193" s="9"/>
      <c r="AO1193" s="9"/>
      <c r="AP1193" s="14"/>
    </row>
    <row r="1194" spans="1:42" s="45" customFormat="1" ht="22" customHeight="1">
      <c r="A1194" s="14" t="s">
        <v>19</v>
      </c>
      <c r="B1194" s="8">
        <v>2024</v>
      </c>
      <c r="C1194" s="8" t="s">
        <v>8</v>
      </c>
      <c r="D1194" s="9" t="s">
        <v>185</v>
      </c>
      <c r="E1194" s="9" t="s">
        <v>10</v>
      </c>
      <c r="F1194" s="9" t="s">
        <v>186</v>
      </c>
      <c r="G1194" s="8"/>
      <c r="H1194" s="8"/>
      <c r="I1194" s="9" t="s">
        <v>116</v>
      </c>
      <c r="J1194" s="9" t="s">
        <v>116</v>
      </c>
      <c r="K1194" s="9" t="s">
        <v>269</v>
      </c>
      <c r="L1194" s="9" t="s">
        <v>270</v>
      </c>
      <c r="M1194" s="14" t="s">
        <v>84</v>
      </c>
      <c r="N1194" s="9" t="s">
        <v>271</v>
      </c>
      <c r="O1194" s="9" t="s">
        <v>290</v>
      </c>
      <c r="P1194" s="9" t="s">
        <v>293</v>
      </c>
      <c r="Q1194" s="11"/>
      <c r="R1194" s="11"/>
      <c r="S1194" s="11"/>
      <c r="T1194" s="9"/>
      <c r="U1194" s="14" t="s">
        <v>77</v>
      </c>
      <c r="V1194" s="9"/>
      <c r="W1194" s="12">
        <v>30</v>
      </c>
      <c r="X1194" s="13"/>
      <c r="Y1194" s="13"/>
      <c r="Z1194" s="13"/>
      <c r="AA1194" s="13"/>
      <c r="AB1194" s="13"/>
      <c r="AC1194" s="13">
        <f t="shared" si="168"/>
        <v>0</v>
      </c>
      <c r="AD1194" s="13"/>
      <c r="AE1194" s="13"/>
      <c r="AF1194" s="13">
        <f t="shared" si="169"/>
        <v>0</v>
      </c>
      <c r="AG1194" s="13"/>
      <c r="AH1194" s="13"/>
      <c r="AI1194" s="13"/>
      <c r="AJ1194" s="13">
        <f t="shared" si="167"/>
        <v>0</v>
      </c>
      <c r="AK1194" s="9"/>
      <c r="AL1194" s="13"/>
      <c r="AM1194" s="9"/>
      <c r="AN1194" s="9"/>
      <c r="AO1194" s="9"/>
      <c r="AP1194" s="14"/>
    </row>
    <row r="1195" spans="1:42" s="45" customFormat="1" ht="22" customHeight="1">
      <c r="A1195" s="14" t="s">
        <v>19</v>
      </c>
      <c r="B1195" s="8">
        <v>2024</v>
      </c>
      <c r="C1195" s="8" t="s">
        <v>8</v>
      </c>
      <c r="D1195" s="9" t="s">
        <v>185</v>
      </c>
      <c r="E1195" s="9" t="s">
        <v>10</v>
      </c>
      <c r="F1195" s="9" t="s">
        <v>186</v>
      </c>
      <c r="G1195" s="8"/>
      <c r="H1195" s="8"/>
      <c r="I1195" s="9" t="s">
        <v>116</v>
      </c>
      <c r="J1195" s="9" t="s">
        <v>116</v>
      </c>
      <c r="K1195" s="9" t="s">
        <v>269</v>
      </c>
      <c r="L1195" s="9" t="s">
        <v>270</v>
      </c>
      <c r="M1195" s="14" t="s">
        <v>84</v>
      </c>
      <c r="N1195" s="9" t="s">
        <v>271</v>
      </c>
      <c r="O1195" s="9" t="s">
        <v>290</v>
      </c>
      <c r="P1195" s="9" t="s">
        <v>294</v>
      </c>
      <c r="Q1195" s="11"/>
      <c r="R1195" s="11"/>
      <c r="S1195" s="11"/>
      <c r="T1195" s="9"/>
      <c r="U1195" s="14" t="s">
        <v>77</v>
      </c>
      <c r="V1195" s="9"/>
      <c r="W1195" s="12">
        <v>30</v>
      </c>
      <c r="X1195" s="13"/>
      <c r="Y1195" s="13"/>
      <c r="Z1195" s="13"/>
      <c r="AA1195" s="13"/>
      <c r="AB1195" s="13"/>
      <c r="AC1195" s="13">
        <f t="shared" si="168"/>
        <v>0</v>
      </c>
      <c r="AD1195" s="13"/>
      <c r="AE1195" s="13"/>
      <c r="AF1195" s="13">
        <f t="shared" si="169"/>
        <v>0</v>
      </c>
      <c r="AG1195" s="13"/>
      <c r="AH1195" s="13"/>
      <c r="AI1195" s="13"/>
      <c r="AJ1195" s="13">
        <f t="shared" si="167"/>
        <v>0</v>
      </c>
      <c r="AK1195" s="9"/>
      <c r="AL1195" s="13"/>
      <c r="AM1195" s="9"/>
      <c r="AN1195" s="9"/>
      <c r="AO1195" s="9"/>
      <c r="AP1195" s="14"/>
    </row>
    <row r="1196" spans="1:42" s="45" customFormat="1" ht="22" customHeight="1">
      <c r="A1196" s="14" t="s">
        <v>19</v>
      </c>
      <c r="B1196" s="8">
        <v>2024</v>
      </c>
      <c r="C1196" s="8" t="s">
        <v>8</v>
      </c>
      <c r="D1196" s="9" t="s">
        <v>185</v>
      </c>
      <c r="E1196" s="9" t="s">
        <v>10</v>
      </c>
      <c r="F1196" s="9" t="s">
        <v>186</v>
      </c>
      <c r="G1196" s="8"/>
      <c r="H1196" s="8"/>
      <c r="I1196" s="9" t="s">
        <v>116</v>
      </c>
      <c r="J1196" s="9" t="s">
        <v>116</v>
      </c>
      <c r="K1196" s="9" t="s">
        <v>269</v>
      </c>
      <c r="L1196" s="9" t="s">
        <v>270</v>
      </c>
      <c r="M1196" s="14" t="s">
        <v>84</v>
      </c>
      <c r="N1196" s="9" t="s">
        <v>271</v>
      </c>
      <c r="O1196" s="9" t="s">
        <v>290</v>
      </c>
      <c r="P1196" s="9" t="s">
        <v>295</v>
      </c>
      <c r="Q1196" s="11"/>
      <c r="R1196" s="11"/>
      <c r="S1196" s="11"/>
      <c r="T1196" s="9"/>
      <c r="U1196" s="14" t="s">
        <v>77</v>
      </c>
      <c r="V1196" s="9"/>
      <c r="W1196" s="12">
        <v>30</v>
      </c>
      <c r="X1196" s="13"/>
      <c r="Y1196" s="13"/>
      <c r="Z1196" s="13"/>
      <c r="AA1196" s="13"/>
      <c r="AB1196" s="13"/>
      <c r="AC1196" s="13">
        <f t="shared" si="168"/>
        <v>0</v>
      </c>
      <c r="AD1196" s="13"/>
      <c r="AE1196" s="13"/>
      <c r="AF1196" s="13">
        <f t="shared" si="169"/>
        <v>0</v>
      </c>
      <c r="AG1196" s="13"/>
      <c r="AH1196" s="13"/>
      <c r="AI1196" s="13"/>
      <c r="AJ1196" s="13">
        <f t="shared" si="167"/>
        <v>0</v>
      </c>
      <c r="AK1196" s="9"/>
      <c r="AL1196" s="13"/>
      <c r="AM1196" s="9"/>
      <c r="AN1196" s="9"/>
      <c r="AO1196" s="9"/>
      <c r="AP1196" s="14"/>
    </row>
    <row r="1197" spans="1:42" s="45" customFormat="1" ht="22" customHeight="1">
      <c r="A1197" s="14" t="s">
        <v>19</v>
      </c>
      <c r="B1197" s="8">
        <v>2024</v>
      </c>
      <c r="C1197" s="8" t="s">
        <v>8</v>
      </c>
      <c r="D1197" s="9" t="s">
        <v>185</v>
      </c>
      <c r="E1197" s="9" t="s">
        <v>15</v>
      </c>
      <c r="F1197" s="9" t="s">
        <v>186</v>
      </c>
      <c r="G1197" s="8"/>
      <c r="H1197" s="8"/>
      <c r="I1197" s="9" t="s">
        <v>116</v>
      </c>
      <c r="J1197" s="9" t="s">
        <v>116</v>
      </c>
      <c r="K1197" s="9" t="s">
        <v>269</v>
      </c>
      <c r="L1197" s="9" t="s">
        <v>270</v>
      </c>
      <c r="M1197" s="14" t="s">
        <v>84</v>
      </c>
      <c r="N1197" s="9" t="s">
        <v>271</v>
      </c>
      <c r="O1197" s="9" t="s">
        <v>272</v>
      </c>
      <c r="P1197" s="9" t="s">
        <v>273</v>
      </c>
      <c r="Q1197" s="11"/>
      <c r="R1197" s="9"/>
      <c r="S1197" s="11">
        <f>Q1197+R1197</f>
        <v>0</v>
      </c>
      <c r="T1197" s="9"/>
      <c r="U1197" s="14" t="s">
        <v>77</v>
      </c>
      <c r="V1197" s="9"/>
      <c r="W1197" s="12">
        <v>30</v>
      </c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>
        <f t="shared" ref="AH1197:AH1218" si="170">+S1197*W1197*50/1000000</f>
        <v>0</v>
      </c>
      <c r="AI1197" s="13"/>
      <c r="AJ1197" s="13">
        <f t="shared" si="167"/>
        <v>0</v>
      </c>
      <c r="AK1197" s="9"/>
      <c r="AL1197" s="13"/>
      <c r="AM1197" s="9"/>
      <c r="AN1197" s="9"/>
      <c r="AO1197" s="9"/>
      <c r="AP1197" s="14"/>
    </row>
    <row r="1198" spans="1:42" s="45" customFormat="1" ht="22" customHeight="1">
      <c r="A1198" s="14" t="s">
        <v>19</v>
      </c>
      <c r="B1198" s="8">
        <v>2024</v>
      </c>
      <c r="C1198" s="8" t="s">
        <v>8</v>
      </c>
      <c r="D1198" s="9" t="s">
        <v>185</v>
      </c>
      <c r="E1198" s="9" t="s">
        <v>15</v>
      </c>
      <c r="F1198" s="9" t="s">
        <v>186</v>
      </c>
      <c r="G1198" s="8"/>
      <c r="H1198" s="8"/>
      <c r="I1198" s="9" t="s">
        <v>116</v>
      </c>
      <c r="J1198" s="9" t="s">
        <v>116</v>
      </c>
      <c r="K1198" s="9" t="s">
        <v>269</v>
      </c>
      <c r="L1198" s="9" t="s">
        <v>270</v>
      </c>
      <c r="M1198" s="14" t="s">
        <v>84</v>
      </c>
      <c r="N1198" s="9" t="s">
        <v>271</v>
      </c>
      <c r="O1198" s="9" t="s">
        <v>272</v>
      </c>
      <c r="P1198" s="9" t="s">
        <v>274</v>
      </c>
      <c r="Q1198" s="11"/>
      <c r="R1198" s="9"/>
      <c r="S1198" s="11">
        <f t="shared" ref="S1198:S1218" si="171">Q1198+R1198</f>
        <v>0</v>
      </c>
      <c r="T1198" s="9"/>
      <c r="U1198" s="14" t="s">
        <v>77</v>
      </c>
      <c r="V1198" s="9"/>
      <c r="W1198" s="12">
        <v>30</v>
      </c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>
        <f t="shared" si="170"/>
        <v>0</v>
      </c>
      <c r="AI1198" s="13"/>
      <c r="AJ1198" s="13">
        <f t="shared" si="167"/>
        <v>0</v>
      </c>
      <c r="AK1198" s="9"/>
      <c r="AL1198" s="13"/>
      <c r="AM1198" s="9"/>
      <c r="AN1198" s="9"/>
      <c r="AO1198" s="9"/>
      <c r="AP1198" s="14"/>
    </row>
    <row r="1199" spans="1:42" s="45" customFormat="1" ht="22" customHeight="1">
      <c r="A1199" s="14" t="s">
        <v>19</v>
      </c>
      <c r="B1199" s="8">
        <v>2024</v>
      </c>
      <c r="C1199" s="8" t="s">
        <v>8</v>
      </c>
      <c r="D1199" s="9" t="s">
        <v>185</v>
      </c>
      <c r="E1199" s="9" t="s">
        <v>15</v>
      </c>
      <c r="F1199" s="9" t="s">
        <v>186</v>
      </c>
      <c r="G1199" s="8"/>
      <c r="H1199" s="8"/>
      <c r="I1199" s="9" t="s">
        <v>116</v>
      </c>
      <c r="J1199" s="9" t="s">
        <v>116</v>
      </c>
      <c r="K1199" s="9" t="s">
        <v>269</v>
      </c>
      <c r="L1199" s="9" t="s">
        <v>270</v>
      </c>
      <c r="M1199" s="14" t="s">
        <v>84</v>
      </c>
      <c r="N1199" s="9" t="s">
        <v>271</v>
      </c>
      <c r="O1199" s="9" t="s">
        <v>272</v>
      </c>
      <c r="P1199" s="9" t="s">
        <v>275</v>
      </c>
      <c r="Q1199" s="11"/>
      <c r="R1199" s="9"/>
      <c r="S1199" s="11">
        <f t="shared" si="171"/>
        <v>0</v>
      </c>
      <c r="T1199" s="9"/>
      <c r="U1199" s="14" t="s">
        <v>77</v>
      </c>
      <c r="V1199" s="9"/>
      <c r="W1199" s="12">
        <v>30</v>
      </c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>
        <f t="shared" si="170"/>
        <v>0</v>
      </c>
      <c r="AI1199" s="13"/>
      <c r="AJ1199" s="13">
        <f t="shared" si="167"/>
        <v>0</v>
      </c>
      <c r="AK1199" s="9"/>
      <c r="AL1199" s="13"/>
      <c r="AM1199" s="9"/>
      <c r="AN1199" s="9"/>
      <c r="AO1199" s="9"/>
      <c r="AP1199" s="14"/>
    </row>
    <row r="1200" spans="1:42" s="45" customFormat="1" ht="22" customHeight="1">
      <c r="A1200" s="14" t="s">
        <v>19</v>
      </c>
      <c r="B1200" s="8">
        <v>2024</v>
      </c>
      <c r="C1200" s="8" t="s">
        <v>8</v>
      </c>
      <c r="D1200" s="9" t="s">
        <v>185</v>
      </c>
      <c r="E1200" s="9" t="s">
        <v>15</v>
      </c>
      <c r="F1200" s="9" t="s">
        <v>186</v>
      </c>
      <c r="G1200" s="8"/>
      <c r="H1200" s="8"/>
      <c r="I1200" s="9" t="s">
        <v>116</v>
      </c>
      <c r="J1200" s="9" t="s">
        <v>116</v>
      </c>
      <c r="K1200" s="9" t="s">
        <v>269</v>
      </c>
      <c r="L1200" s="9" t="s">
        <v>270</v>
      </c>
      <c r="M1200" s="14" t="s">
        <v>84</v>
      </c>
      <c r="N1200" s="9" t="s">
        <v>271</v>
      </c>
      <c r="O1200" s="9" t="s">
        <v>272</v>
      </c>
      <c r="P1200" s="9" t="s">
        <v>276</v>
      </c>
      <c r="Q1200" s="11"/>
      <c r="R1200" s="9"/>
      <c r="S1200" s="11">
        <f t="shared" si="171"/>
        <v>0</v>
      </c>
      <c r="T1200" s="9"/>
      <c r="U1200" s="14" t="s">
        <v>77</v>
      </c>
      <c r="V1200" s="9"/>
      <c r="W1200" s="12">
        <v>30</v>
      </c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>
        <f t="shared" si="170"/>
        <v>0</v>
      </c>
      <c r="AI1200" s="13"/>
      <c r="AJ1200" s="13">
        <f t="shared" si="167"/>
        <v>0</v>
      </c>
      <c r="AK1200" s="9"/>
      <c r="AL1200" s="13"/>
      <c r="AM1200" s="9"/>
      <c r="AN1200" s="9"/>
      <c r="AO1200" s="9"/>
      <c r="AP1200" s="14"/>
    </row>
    <row r="1201" spans="1:42" s="45" customFormat="1" ht="22" customHeight="1">
      <c r="A1201" s="14" t="s">
        <v>19</v>
      </c>
      <c r="B1201" s="8">
        <v>2024</v>
      </c>
      <c r="C1201" s="8" t="s">
        <v>8</v>
      </c>
      <c r="D1201" s="9" t="s">
        <v>185</v>
      </c>
      <c r="E1201" s="9" t="s">
        <v>15</v>
      </c>
      <c r="F1201" s="9" t="s">
        <v>186</v>
      </c>
      <c r="G1201" s="8"/>
      <c r="H1201" s="8"/>
      <c r="I1201" s="9" t="s">
        <v>116</v>
      </c>
      <c r="J1201" s="9" t="s">
        <v>116</v>
      </c>
      <c r="K1201" s="9" t="s">
        <v>269</v>
      </c>
      <c r="L1201" s="9" t="s">
        <v>270</v>
      </c>
      <c r="M1201" s="14" t="s">
        <v>84</v>
      </c>
      <c r="N1201" s="9" t="s">
        <v>271</v>
      </c>
      <c r="O1201" s="9" t="s">
        <v>272</v>
      </c>
      <c r="P1201" s="9" t="s">
        <v>277</v>
      </c>
      <c r="Q1201" s="11"/>
      <c r="R1201" s="9"/>
      <c r="S1201" s="11">
        <f t="shared" si="171"/>
        <v>0</v>
      </c>
      <c r="T1201" s="9"/>
      <c r="U1201" s="14" t="s">
        <v>77</v>
      </c>
      <c r="V1201" s="9"/>
      <c r="W1201" s="12">
        <v>30</v>
      </c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>
        <f t="shared" si="170"/>
        <v>0</v>
      </c>
      <c r="AI1201" s="13"/>
      <c r="AJ1201" s="13">
        <f t="shared" si="167"/>
        <v>0</v>
      </c>
      <c r="AK1201" s="9"/>
      <c r="AL1201" s="13"/>
      <c r="AM1201" s="9"/>
      <c r="AN1201" s="9"/>
      <c r="AO1201" s="9"/>
      <c r="AP1201" s="14"/>
    </row>
    <row r="1202" spans="1:42" s="45" customFormat="1" ht="22" customHeight="1">
      <c r="A1202" s="14" t="s">
        <v>19</v>
      </c>
      <c r="B1202" s="8">
        <v>2024</v>
      </c>
      <c r="C1202" s="8" t="s">
        <v>8</v>
      </c>
      <c r="D1202" s="9" t="s">
        <v>185</v>
      </c>
      <c r="E1202" s="9" t="s">
        <v>15</v>
      </c>
      <c r="F1202" s="9" t="s">
        <v>186</v>
      </c>
      <c r="G1202" s="8"/>
      <c r="H1202" s="8"/>
      <c r="I1202" s="9" t="s">
        <v>116</v>
      </c>
      <c r="J1202" s="9" t="s">
        <v>116</v>
      </c>
      <c r="K1202" s="9" t="s">
        <v>269</v>
      </c>
      <c r="L1202" s="9" t="s">
        <v>270</v>
      </c>
      <c r="M1202" s="14" t="s">
        <v>84</v>
      </c>
      <c r="N1202" s="9" t="s">
        <v>271</v>
      </c>
      <c r="O1202" s="9" t="s">
        <v>272</v>
      </c>
      <c r="P1202" s="9" t="s">
        <v>278</v>
      </c>
      <c r="Q1202" s="11"/>
      <c r="R1202" s="9"/>
      <c r="S1202" s="11">
        <f t="shared" si="171"/>
        <v>0</v>
      </c>
      <c r="T1202" s="9"/>
      <c r="U1202" s="14" t="s">
        <v>77</v>
      </c>
      <c r="V1202" s="9"/>
      <c r="W1202" s="12">
        <v>30</v>
      </c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>
        <f t="shared" si="170"/>
        <v>0</v>
      </c>
      <c r="AI1202" s="13"/>
      <c r="AJ1202" s="13">
        <f t="shared" si="167"/>
        <v>0</v>
      </c>
      <c r="AK1202" s="9"/>
      <c r="AL1202" s="13"/>
      <c r="AM1202" s="9"/>
      <c r="AN1202" s="9"/>
      <c r="AO1202" s="9"/>
      <c r="AP1202" s="14"/>
    </row>
    <row r="1203" spans="1:42" s="45" customFormat="1" ht="22" customHeight="1">
      <c r="A1203" s="14" t="s">
        <v>19</v>
      </c>
      <c r="B1203" s="8">
        <v>2024</v>
      </c>
      <c r="C1203" s="8" t="s">
        <v>8</v>
      </c>
      <c r="D1203" s="9" t="s">
        <v>185</v>
      </c>
      <c r="E1203" s="9" t="s">
        <v>15</v>
      </c>
      <c r="F1203" s="9" t="s">
        <v>186</v>
      </c>
      <c r="G1203" s="8"/>
      <c r="H1203" s="8"/>
      <c r="I1203" s="9" t="s">
        <v>116</v>
      </c>
      <c r="J1203" s="9" t="s">
        <v>116</v>
      </c>
      <c r="K1203" s="9" t="s">
        <v>269</v>
      </c>
      <c r="L1203" s="9" t="s">
        <v>270</v>
      </c>
      <c r="M1203" s="14" t="s">
        <v>84</v>
      </c>
      <c r="N1203" s="9" t="s">
        <v>271</v>
      </c>
      <c r="O1203" s="9" t="s">
        <v>272</v>
      </c>
      <c r="P1203" s="9" t="s">
        <v>279</v>
      </c>
      <c r="Q1203" s="11"/>
      <c r="R1203" s="9"/>
      <c r="S1203" s="11">
        <f t="shared" si="171"/>
        <v>0</v>
      </c>
      <c r="T1203" s="9"/>
      <c r="U1203" s="14" t="s">
        <v>77</v>
      </c>
      <c r="V1203" s="9"/>
      <c r="W1203" s="12">
        <v>30</v>
      </c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>
        <f t="shared" si="170"/>
        <v>0</v>
      </c>
      <c r="AI1203" s="13"/>
      <c r="AJ1203" s="13">
        <f t="shared" si="167"/>
        <v>0</v>
      </c>
      <c r="AK1203" s="9"/>
      <c r="AL1203" s="13"/>
      <c r="AM1203" s="9"/>
      <c r="AN1203" s="9"/>
      <c r="AO1203" s="9"/>
      <c r="AP1203" s="14"/>
    </row>
    <row r="1204" spans="1:42" s="45" customFormat="1" ht="22" customHeight="1">
      <c r="A1204" s="14" t="s">
        <v>19</v>
      </c>
      <c r="B1204" s="8">
        <v>2024</v>
      </c>
      <c r="C1204" s="8" t="s">
        <v>8</v>
      </c>
      <c r="D1204" s="9" t="s">
        <v>185</v>
      </c>
      <c r="E1204" s="9" t="s">
        <v>15</v>
      </c>
      <c r="F1204" s="9" t="s">
        <v>186</v>
      </c>
      <c r="G1204" s="8"/>
      <c r="H1204" s="8"/>
      <c r="I1204" s="9" t="s">
        <v>116</v>
      </c>
      <c r="J1204" s="9" t="s">
        <v>116</v>
      </c>
      <c r="K1204" s="9" t="s">
        <v>269</v>
      </c>
      <c r="L1204" s="9" t="s">
        <v>270</v>
      </c>
      <c r="M1204" s="14" t="s">
        <v>84</v>
      </c>
      <c r="N1204" s="9" t="s">
        <v>271</v>
      </c>
      <c r="O1204" s="9" t="s">
        <v>272</v>
      </c>
      <c r="P1204" s="9" t="s">
        <v>280</v>
      </c>
      <c r="Q1204" s="11"/>
      <c r="R1204" s="9"/>
      <c r="S1204" s="11">
        <f t="shared" si="171"/>
        <v>0</v>
      </c>
      <c r="T1204" s="9"/>
      <c r="U1204" s="14" t="s">
        <v>77</v>
      </c>
      <c r="V1204" s="9"/>
      <c r="W1204" s="12">
        <v>30</v>
      </c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>
        <f t="shared" si="170"/>
        <v>0</v>
      </c>
      <c r="AI1204" s="13"/>
      <c r="AJ1204" s="13">
        <f t="shared" si="167"/>
        <v>0</v>
      </c>
      <c r="AK1204" s="9"/>
      <c r="AL1204" s="13"/>
      <c r="AM1204" s="9"/>
      <c r="AN1204" s="9"/>
      <c r="AO1204" s="9"/>
      <c r="AP1204" s="14"/>
    </row>
    <row r="1205" spans="1:42" s="45" customFormat="1" ht="22" customHeight="1">
      <c r="A1205" s="14" t="s">
        <v>19</v>
      </c>
      <c r="B1205" s="8">
        <v>2024</v>
      </c>
      <c r="C1205" s="8" t="s">
        <v>8</v>
      </c>
      <c r="D1205" s="9" t="s">
        <v>185</v>
      </c>
      <c r="E1205" s="9" t="s">
        <v>15</v>
      </c>
      <c r="F1205" s="9" t="s">
        <v>186</v>
      </c>
      <c r="G1205" s="8"/>
      <c r="H1205" s="8"/>
      <c r="I1205" s="9" t="s">
        <v>116</v>
      </c>
      <c r="J1205" s="9" t="s">
        <v>116</v>
      </c>
      <c r="K1205" s="9" t="s">
        <v>269</v>
      </c>
      <c r="L1205" s="9" t="s">
        <v>270</v>
      </c>
      <c r="M1205" s="14" t="s">
        <v>84</v>
      </c>
      <c r="N1205" s="9" t="s">
        <v>271</v>
      </c>
      <c r="O1205" s="9" t="s">
        <v>272</v>
      </c>
      <c r="P1205" s="9" t="s">
        <v>281</v>
      </c>
      <c r="Q1205" s="11"/>
      <c r="R1205" s="9"/>
      <c r="S1205" s="11">
        <f t="shared" si="171"/>
        <v>0</v>
      </c>
      <c r="T1205" s="9"/>
      <c r="U1205" s="14" t="s">
        <v>77</v>
      </c>
      <c r="V1205" s="9"/>
      <c r="W1205" s="12">
        <v>30</v>
      </c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>
        <f t="shared" si="170"/>
        <v>0</v>
      </c>
      <c r="AI1205" s="13"/>
      <c r="AJ1205" s="13">
        <f t="shared" si="167"/>
        <v>0</v>
      </c>
      <c r="AK1205" s="9"/>
      <c r="AL1205" s="13"/>
      <c r="AM1205" s="9"/>
      <c r="AN1205" s="9"/>
      <c r="AO1205" s="9"/>
      <c r="AP1205" s="14"/>
    </row>
    <row r="1206" spans="1:42" s="45" customFormat="1" ht="22" customHeight="1">
      <c r="A1206" s="14" t="s">
        <v>19</v>
      </c>
      <c r="B1206" s="8">
        <v>2024</v>
      </c>
      <c r="C1206" s="8" t="s">
        <v>8</v>
      </c>
      <c r="D1206" s="9" t="s">
        <v>185</v>
      </c>
      <c r="E1206" s="9" t="s">
        <v>15</v>
      </c>
      <c r="F1206" s="9" t="s">
        <v>186</v>
      </c>
      <c r="G1206" s="8"/>
      <c r="H1206" s="8"/>
      <c r="I1206" s="9" t="s">
        <v>116</v>
      </c>
      <c r="J1206" s="9" t="s">
        <v>116</v>
      </c>
      <c r="K1206" s="9" t="s">
        <v>269</v>
      </c>
      <c r="L1206" s="9" t="s">
        <v>270</v>
      </c>
      <c r="M1206" s="14" t="s">
        <v>84</v>
      </c>
      <c r="N1206" s="9" t="s">
        <v>271</v>
      </c>
      <c r="O1206" s="9" t="s">
        <v>272</v>
      </c>
      <c r="P1206" s="9" t="s">
        <v>282</v>
      </c>
      <c r="Q1206" s="11"/>
      <c r="R1206" s="9"/>
      <c r="S1206" s="11">
        <f t="shared" si="171"/>
        <v>0</v>
      </c>
      <c r="T1206" s="9"/>
      <c r="U1206" s="14" t="s">
        <v>77</v>
      </c>
      <c r="V1206" s="9"/>
      <c r="W1206" s="12">
        <v>30</v>
      </c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>
        <f t="shared" si="170"/>
        <v>0</v>
      </c>
      <c r="AI1206" s="13"/>
      <c r="AJ1206" s="13">
        <f t="shared" si="167"/>
        <v>0</v>
      </c>
      <c r="AK1206" s="9"/>
      <c r="AL1206" s="13"/>
      <c r="AM1206" s="9"/>
      <c r="AN1206" s="9"/>
      <c r="AO1206" s="9"/>
      <c r="AP1206" s="14"/>
    </row>
    <row r="1207" spans="1:42" s="45" customFormat="1" ht="22" customHeight="1">
      <c r="A1207" s="14" t="s">
        <v>19</v>
      </c>
      <c r="B1207" s="8">
        <v>2024</v>
      </c>
      <c r="C1207" s="8" t="s">
        <v>8</v>
      </c>
      <c r="D1207" s="9" t="s">
        <v>185</v>
      </c>
      <c r="E1207" s="9" t="s">
        <v>15</v>
      </c>
      <c r="F1207" s="9" t="s">
        <v>186</v>
      </c>
      <c r="G1207" s="8"/>
      <c r="H1207" s="8"/>
      <c r="I1207" s="9" t="s">
        <v>116</v>
      </c>
      <c r="J1207" s="9" t="s">
        <v>116</v>
      </c>
      <c r="K1207" s="9" t="s">
        <v>269</v>
      </c>
      <c r="L1207" s="9" t="s">
        <v>270</v>
      </c>
      <c r="M1207" s="14" t="s">
        <v>84</v>
      </c>
      <c r="N1207" s="9" t="s">
        <v>271</v>
      </c>
      <c r="O1207" s="9" t="s">
        <v>272</v>
      </c>
      <c r="P1207" s="9" t="s">
        <v>283</v>
      </c>
      <c r="Q1207" s="11"/>
      <c r="R1207" s="9"/>
      <c r="S1207" s="11">
        <f t="shared" si="171"/>
        <v>0</v>
      </c>
      <c r="T1207" s="9"/>
      <c r="U1207" s="14" t="s">
        <v>77</v>
      </c>
      <c r="V1207" s="9"/>
      <c r="W1207" s="12">
        <v>30</v>
      </c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>
        <f t="shared" si="170"/>
        <v>0</v>
      </c>
      <c r="AI1207" s="13"/>
      <c r="AJ1207" s="13">
        <f t="shared" si="167"/>
        <v>0</v>
      </c>
      <c r="AK1207" s="9"/>
      <c r="AL1207" s="13"/>
      <c r="AM1207" s="9"/>
      <c r="AN1207" s="9"/>
      <c r="AO1207" s="9"/>
      <c r="AP1207" s="14"/>
    </row>
    <row r="1208" spans="1:42" s="45" customFormat="1" ht="22" customHeight="1">
      <c r="A1208" s="14" t="s">
        <v>19</v>
      </c>
      <c r="B1208" s="8">
        <v>2024</v>
      </c>
      <c r="C1208" s="8" t="s">
        <v>8</v>
      </c>
      <c r="D1208" s="9" t="s">
        <v>185</v>
      </c>
      <c r="E1208" s="9" t="s">
        <v>15</v>
      </c>
      <c r="F1208" s="9" t="s">
        <v>186</v>
      </c>
      <c r="G1208" s="8"/>
      <c r="H1208" s="8"/>
      <c r="I1208" s="9" t="s">
        <v>116</v>
      </c>
      <c r="J1208" s="9" t="s">
        <v>116</v>
      </c>
      <c r="K1208" s="9" t="s">
        <v>269</v>
      </c>
      <c r="L1208" s="9" t="s">
        <v>270</v>
      </c>
      <c r="M1208" s="14" t="s">
        <v>84</v>
      </c>
      <c r="N1208" s="9" t="s">
        <v>271</v>
      </c>
      <c r="O1208" s="9" t="s">
        <v>272</v>
      </c>
      <c r="P1208" s="9" t="s">
        <v>284</v>
      </c>
      <c r="Q1208" s="11"/>
      <c r="R1208" s="9"/>
      <c r="S1208" s="11">
        <f t="shared" si="171"/>
        <v>0</v>
      </c>
      <c r="T1208" s="9"/>
      <c r="U1208" s="14" t="s">
        <v>77</v>
      </c>
      <c r="V1208" s="9"/>
      <c r="W1208" s="12">
        <v>30</v>
      </c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>
        <f t="shared" si="170"/>
        <v>0</v>
      </c>
      <c r="AI1208" s="13"/>
      <c r="AJ1208" s="13">
        <f t="shared" si="167"/>
        <v>0</v>
      </c>
      <c r="AK1208" s="9"/>
      <c r="AL1208" s="13"/>
      <c r="AM1208" s="9"/>
      <c r="AN1208" s="9"/>
      <c r="AO1208" s="9"/>
      <c r="AP1208" s="14"/>
    </row>
    <row r="1209" spans="1:42" s="45" customFormat="1" ht="22" customHeight="1">
      <c r="A1209" s="14" t="s">
        <v>19</v>
      </c>
      <c r="B1209" s="8">
        <v>2024</v>
      </c>
      <c r="C1209" s="8" t="s">
        <v>8</v>
      </c>
      <c r="D1209" s="9" t="s">
        <v>185</v>
      </c>
      <c r="E1209" s="9" t="s">
        <v>15</v>
      </c>
      <c r="F1209" s="9" t="s">
        <v>186</v>
      </c>
      <c r="G1209" s="8"/>
      <c r="H1209" s="8"/>
      <c r="I1209" s="9" t="s">
        <v>116</v>
      </c>
      <c r="J1209" s="9" t="s">
        <v>116</v>
      </c>
      <c r="K1209" s="9" t="s">
        <v>269</v>
      </c>
      <c r="L1209" s="9" t="s">
        <v>270</v>
      </c>
      <c r="M1209" s="14" t="s">
        <v>84</v>
      </c>
      <c r="N1209" s="9" t="s">
        <v>271</v>
      </c>
      <c r="O1209" s="9" t="s">
        <v>272</v>
      </c>
      <c r="P1209" s="9" t="s">
        <v>285</v>
      </c>
      <c r="Q1209" s="11"/>
      <c r="R1209" s="9"/>
      <c r="S1209" s="11">
        <f t="shared" si="171"/>
        <v>0</v>
      </c>
      <c r="T1209" s="9"/>
      <c r="U1209" s="14" t="s">
        <v>77</v>
      </c>
      <c r="V1209" s="9"/>
      <c r="W1209" s="12">
        <v>30</v>
      </c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>
        <f t="shared" si="170"/>
        <v>0</v>
      </c>
      <c r="AI1209" s="13"/>
      <c r="AJ1209" s="13">
        <f t="shared" si="167"/>
        <v>0</v>
      </c>
      <c r="AK1209" s="9"/>
      <c r="AL1209" s="13"/>
      <c r="AM1209" s="9"/>
      <c r="AN1209" s="9"/>
      <c r="AO1209" s="9"/>
      <c r="AP1209" s="14"/>
    </row>
    <row r="1210" spans="1:42" s="45" customFormat="1" ht="22" customHeight="1">
      <c r="A1210" s="14" t="s">
        <v>19</v>
      </c>
      <c r="B1210" s="8">
        <v>2024</v>
      </c>
      <c r="C1210" s="8" t="s">
        <v>8</v>
      </c>
      <c r="D1210" s="9" t="s">
        <v>185</v>
      </c>
      <c r="E1210" s="9" t="s">
        <v>15</v>
      </c>
      <c r="F1210" s="9" t="s">
        <v>186</v>
      </c>
      <c r="G1210" s="8"/>
      <c r="H1210" s="8"/>
      <c r="I1210" s="9" t="s">
        <v>116</v>
      </c>
      <c r="J1210" s="9" t="s">
        <v>116</v>
      </c>
      <c r="K1210" s="9" t="s">
        <v>269</v>
      </c>
      <c r="L1210" s="9" t="s">
        <v>270</v>
      </c>
      <c r="M1210" s="14" t="s">
        <v>84</v>
      </c>
      <c r="N1210" s="9" t="s">
        <v>271</v>
      </c>
      <c r="O1210" s="9" t="s">
        <v>272</v>
      </c>
      <c r="P1210" s="9" t="s">
        <v>286</v>
      </c>
      <c r="Q1210" s="11"/>
      <c r="R1210" s="9"/>
      <c r="S1210" s="11">
        <f t="shared" si="171"/>
        <v>0</v>
      </c>
      <c r="T1210" s="9"/>
      <c r="U1210" s="14" t="s">
        <v>77</v>
      </c>
      <c r="V1210" s="9"/>
      <c r="W1210" s="12">
        <v>30</v>
      </c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>
        <f t="shared" si="170"/>
        <v>0</v>
      </c>
      <c r="AI1210" s="13"/>
      <c r="AJ1210" s="13">
        <f t="shared" si="167"/>
        <v>0</v>
      </c>
      <c r="AK1210" s="9"/>
      <c r="AL1210" s="13"/>
      <c r="AM1210" s="9"/>
      <c r="AN1210" s="9"/>
      <c r="AO1210" s="9"/>
      <c r="AP1210" s="14"/>
    </row>
    <row r="1211" spans="1:42" s="45" customFormat="1" ht="22" customHeight="1">
      <c r="A1211" s="14" t="s">
        <v>19</v>
      </c>
      <c r="B1211" s="8">
        <v>2024</v>
      </c>
      <c r="C1211" s="8" t="s">
        <v>8</v>
      </c>
      <c r="D1211" s="9" t="s">
        <v>185</v>
      </c>
      <c r="E1211" s="9" t="s">
        <v>15</v>
      </c>
      <c r="F1211" s="9" t="s">
        <v>186</v>
      </c>
      <c r="G1211" s="8"/>
      <c r="H1211" s="8"/>
      <c r="I1211" s="9" t="s">
        <v>116</v>
      </c>
      <c r="J1211" s="9" t="s">
        <v>116</v>
      </c>
      <c r="K1211" s="9" t="s">
        <v>269</v>
      </c>
      <c r="L1211" s="9" t="s">
        <v>270</v>
      </c>
      <c r="M1211" s="14" t="s">
        <v>84</v>
      </c>
      <c r="N1211" s="9" t="s">
        <v>271</v>
      </c>
      <c r="O1211" s="9" t="s">
        <v>272</v>
      </c>
      <c r="P1211" s="9" t="s">
        <v>287</v>
      </c>
      <c r="Q1211" s="11"/>
      <c r="R1211" s="9"/>
      <c r="S1211" s="11">
        <f t="shared" si="171"/>
        <v>0</v>
      </c>
      <c r="T1211" s="9"/>
      <c r="U1211" s="14" t="s">
        <v>77</v>
      </c>
      <c r="V1211" s="9"/>
      <c r="W1211" s="12">
        <v>30</v>
      </c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>
        <f t="shared" si="170"/>
        <v>0</v>
      </c>
      <c r="AI1211" s="13"/>
      <c r="AJ1211" s="13">
        <f t="shared" si="167"/>
        <v>0</v>
      </c>
      <c r="AK1211" s="9"/>
      <c r="AL1211" s="13"/>
      <c r="AM1211" s="9"/>
      <c r="AN1211" s="9"/>
      <c r="AO1211" s="9"/>
      <c r="AP1211" s="14"/>
    </row>
    <row r="1212" spans="1:42" s="45" customFormat="1" ht="22" customHeight="1">
      <c r="A1212" s="14" t="s">
        <v>19</v>
      </c>
      <c r="B1212" s="8">
        <v>2024</v>
      </c>
      <c r="C1212" s="8" t="s">
        <v>8</v>
      </c>
      <c r="D1212" s="9" t="s">
        <v>185</v>
      </c>
      <c r="E1212" s="9" t="s">
        <v>15</v>
      </c>
      <c r="F1212" s="9" t="s">
        <v>186</v>
      </c>
      <c r="G1212" s="8"/>
      <c r="H1212" s="8"/>
      <c r="I1212" s="9" t="s">
        <v>116</v>
      </c>
      <c r="J1212" s="9" t="s">
        <v>116</v>
      </c>
      <c r="K1212" s="9" t="s">
        <v>269</v>
      </c>
      <c r="L1212" s="9" t="s">
        <v>270</v>
      </c>
      <c r="M1212" s="14" t="s">
        <v>84</v>
      </c>
      <c r="N1212" s="9" t="s">
        <v>271</v>
      </c>
      <c r="O1212" s="9" t="s">
        <v>272</v>
      </c>
      <c r="P1212" s="9" t="s">
        <v>288</v>
      </c>
      <c r="Q1212" s="11"/>
      <c r="R1212" s="9"/>
      <c r="S1212" s="11">
        <f t="shared" si="171"/>
        <v>0</v>
      </c>
      <c r="T1212" s="9"/>
      <c r="U1212" s="14" t="s">
        <v>77</v>
      </c>
      <c r="V1212" s="9"/>
      <c r="W1212" s="12">
        <v>30</v>
      </c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>
        <f t="shared" si="170"/>
        <v>0</v>
      </c>
      <c r="AI1212" s="13"/>
      <c r="AJ1212" s="13">
        <f t="shared" si="167"/>
        <v>0</v>
      </c>
      <c r="AK1212" s="9"/>
      <c r="AL1212" s="13"/>
      <c r="AM1212" s="9"/>
      <c r="AN1212" s="9"/>
      <c r="AO1212" s="9"/>
      <c r="AP1212" s="14"/>
    </row>
    <row r="1213" spans="1:42" s="45" customFormat="1" ht="22" customHeight="1">
      <c r="A1213" s="14" t="s">
        <v>19</v>
      </c>
      <c r="B1213" s="8">
        <v>2024</v>
      </c>
      <c r="C1213" s="8" t="s">
        <v>8</v>
      </c>
      <c r="D1213" s="9" t="s">
        <v>185</v>
      </c>
      <c r="E1213" s="9" t="s">
        <v>15</v>
      </c>
      <c r="F1213" s="9" t="s">
        <v>186</v>
      </c>
      <c r="G1213" s="8"/>
      <c r="H1213" s="8"/>
      <c r="I1213" s="9" t="s">
        <v>116</v>
      </c>
      <c r="J1213" s="9" t="s">
        <v>116</v>
      </c>
      <c r="K1213" s="9" t="s">
        <v>269</v>
      </c>
      <c r="L1213" s="9" t="s">
        <v>270</v>
      </c>
      <c r="M1213" s="14" t="s">
        <v>84</v>
      </c>
      <c r="N1213" s="9" t="s">
        <v>271</v>
      </c>
      <c r="O1213" s="9" t="s">
        <v>272</v>
      </c>
      <c r="P1213" s="9" t="s">
        <v>289</v>
      </c>
      <c r="Q1213" s="11"/>
      <c r="R1213" s="9"/>
      <c r="S1213" s="11">
        <f t="shared" si="171"/>
        <v>0</v>
      </c>
      <c r="T1213" s="9"/>
      <c r="U1213" s="14" t="s">
        <v>77</v>
      </c>
      <c r="V1213" s="9"/>
      <c r="W1213" s="12">
        <v>30</v>
      </c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>
        <f t="shared" si="170"/>
        <v>0</v>
      </c>
      <c r="AI1213" s="13"/>
      <c r="AJ1213" s="13">
        <f t="shared" si="167"/>
        <v>0</v>
      </c>
      <c r="AK1213" s="9"/>
      <c r="AL1213" s="13"/>
      <c r="AM1213" s="9"/>
      <c r="AN1213" s="9"/>
      <c r="AO1213" s="9"/>
      <c r="AP1213" s="14"/>
    </row>
    <row r="1214" spans="1:42" s="45" customFormat="1" ht="22" customHeight="1">
      <c r="A1214" s="14" t="s">
        <v>19</v>
      </c>
      <c r="B1214" s="8">
        <v>2024</v>
      </c>
      <c r="C1214" s="8" t="s">
        <v>8</v>
      </c>
      <c r="D1214" s="9" t="s">
        <v>185</v>
      </c>
      <c r="E1214" s="9" t="s">
        <v>15</v>
      </c>
      <c r="F1214" s="9" t="s">
        <v>186</v>
      </c>
      <c r="G1214" s="8"/>
      <c r="H1214" s="8"/>
      <c r="I1214" s="9" t="s">
        <v>116</v>
      </c>
      <c r="J1214" s="9" t="s">
        <v>116</v>
      </c>
      <c r="K1214" s="9" t="s">
        <v>269</v>
      </c>
      <c r="L1214" s="9" t="s">
        <v>270</v>
      </c>
      <c r="M1214" s="14" t="s">
        <v>84</v>
      </c>
      <c r="N1214" s="9" t="s">
        <v>271</v>
      </c>
      <c r="O1214" s="9" t="s">
        <v>290</v>
      </c>
      <c r="P1214" s="9" t="s">
        <v>291</v>
      </c>
      <c r="Q1214" s="11"/>
      <c r="R1214" s="9"/>
      <c r="S1214" s="11">
        <f t="shared" si="171"/>
        <v>0</v>
      </c>
      <c r="T1214" s="9"/>
      <c r="U1214" s="14" t="s">
        <v>77</v>
      </c>
      <c r="V1214" s="9"/>
      <c r="W1214" s="12">
        <v>30</v>
      </c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>
        <f t="shared" si="170"/>
        <v>0</v>
      </c>
      <c r="AI1214" s="13"/>
      <c r="AJ1214" s="13">
        <f t="shared" si="167"/>
        <v>0</v>
      </c>
      <c r="AK1214" s="9"/>
      <c r="AL1214" s="13"/>
      <c r="AM1214" s="9"/>
      <c r="AN1214" s="9"/>
      <c r="AO1214" s="9"/>
      <c r="AP1214" s="14"/>
    </row>
    <row r="1215" spans="1:42" s="45" customFormat="1" ht="22" customHeight="1">
      <c r="A1215" s="14" t="s">
        <v>19</v>
      </c>
      <c r="B1215" s="8">
        <v>2024</v>
      </c>
      <c r="C1215" s="8" t="s">
        <v>8</v>
      </c>
      <c r="D1215" s="9" t="s">
        <v>185</v>
      </c>
      <c r="E1215" s="9" t="s">
        <v>15</v>
      </c>
      <c r="F1215" s="9" t="s">
        <v>186</v>
      </c>
      <c r="G1215" s="8"/>
      <c r="H1215" s="8"/>
      <c r="I1215" s="9" t="s">
        <v>116</v>
      </c>
      <c r="J1215" s="9" t="s">
        <v>116</v>
      </c>
      <c r="K1215" s="9" t="s">
        <v>269</v>
      </c>
      <c r="L1215" s="9" t="s">
        <v>270</v>
      </c>
      <c r="M1215" s="14" t="s">
        <v>84</v>
      </c>
      <c r="N1215" s="9" t="s">
        <v>271</v>
      </c>
      <c r="O1215" s="9" t="s">
        <v>290</v>
      </c>
      <c r="P1215" s="9" t="s">
        <v>292</v>
      </c>
      <c r="Q1215" s="11"/>
      <c r="R1215" s="9"/>
      <c r="S1215" s="11">
        <f t="shared" si="171"/>
        <v>0</v>
      </c>
      <c r="T1215" s="9"/>
      <c r="U1215" s="14" t="s">
        <v>77</v>
      </c>
      <c r="V1215" s="9"/>
      <c r="W1215" s="12">
        <v>30</v>
      </c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>
        <f t="shared" si="170"/>
        <v>0</v>
      </c>
      <c r="AI1215" s="13"/>
      <c r="AJ1215" s="13">
        <f t="shared" si="167"/>
        <v>0</v>
      </c>
      <c r="AK1215" s="9"/>
      <c r="AL1215" s="13"/>
      <c r="AM1215" s="9"/>
      <c r="AN1215" s="9"/>
      <c r="AO1215" s="9"/>
      <c r="AP1215" s="14"/>
    </row>
    <row r="1216" spans="1:42" s="45" customFormat="1" ht="22" customHeight="1">
      <c r="A1216" s="14" t="s">
        <v>19</v>
      </c>
      <c r="B1216" s="8">
        <v>2024</v>
      </c>
      <c r="C1216" s="8" t="s">
        <v>8</v>
      </c>
      <c r="D1216" s="9" t="s">
        <v>185</v>
      </c>
      <c r="E1216" s="9" t="s">
        <v>15</v>
      </c>
      <c r="F1216" s="9" t="s">
        <v>186</v>
      </c>
      <c r="G1216" s="8"/>
      <c r="H1216" s="8"/>
      <c r="I1216" s="9" t="s">
        <v>116</v>
      </c>
      <c r="J1216" s="9" t="s">
        <v>116</v>
      </c>
      <c r="K1216" s="9" t="s">
        <v>269</v>
      </c>
      <c r="L1216" s="9" t="s">
        <v>270</v>
      </c>
      <c r="M1216" s="14" t="s">
        <v>84</v>
      </c>
      <c r="N1216" s="9" t="s">
        <v>271</v>
      </c>
      <c r="O1216" s="9" t="s">
        <v>290</v>
      </c>
      <c r="P1216" s="9" t="s">
        <v>293</v>
      </c>
      <c r="Q1216" s="11"/>
      <c r="R1216" s="9"/>
      <c r="S1216" s="11">
        <f t="shared" si="171"/>
        <v>0</v>
      </c>
      <c r="T1216" s="9"/>
      <c r="U1216" s="14" t="s">
        <v>77</v>
      </c>
      <c r="V1216" s="9"/>
      <c r="W1216" s="12">
        <v>30</v>
      </c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>
        <f t="shared" si="170"/>
        <v>0</v>
      </c>
      <c r="AI1216" s="13"/>
      <c r="AJ1216" s="13">
        <f t="shared" si="167"/>
        <v>0</v>
      </c>
      <c r="AK1216" s="9"/>
      <c r="AL1216" s="13"/>
      <c r="AM1216" s="9"/>
      <c r="AN1216" s="9"/>
      <c r="AO1216" s="9"/>
      <c r="AP1216" s="14"/>
    </row>
    <row r="1217" spans="1:42" s="45" customFormat="1" ht="22" customHeight="1">
      <c r="A1217" s="14" t="s">
        <v>19</v>
      </c>
      <c r="B1217" s="8">
        <v>2024</v>
      </c>
      <c r="C1217" s="8" t="s">
        <v>8</v>
      </c>
      <c r="D1217" s="9" t="s">
        <v>185</v>
      </c>
      <c r="E1217" s="9" t="s">
        <v>15</v>
      </c>
      <c r="F1217" s="9" t="s">
        <v>186</v>
      </c>
      <c r="G1217" s="8"/>
      <c r="H1217" s="8"/>
      <c r="I1217" s="9" t="s">
        <v>116</v>
      </c>
      <c r="J1217" s="9" t="s">
        <v>116</v>
      </c>
      <c r="K1217" s="9" t="s">
        <v>269</v>
      </c>
      <c r="L1217" s="9" t="s">
        <v>270</v>
      </c>
      <c r="M1217" s="14" t="s">
        <v>84</v>
      </c>
      <c r="N1217" s="9" t="s">
        <v>271</v>
      </c>
      <c r="O1217" s="9" t="s">
        <v>290</v>
      </c>
      <c r="P1217" s="9" t="s">
        <v>294</v>
      </c>
      <c r="Q1217" s="11"/>
      <c r="R1217" s="9"/>
      <c r="S1217" s="11">
        <f t="shared" si="171"/>
        <v>0</v>
      </c>
      <c r="T1217" s="9"/>
      <c r="U1217" s="14" t="s">
        <v>77</v>
      </c>
      <c r="V1217" s="9"/>
      <c r="W1217" s="12">
        <v>30</v>
      </c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>
        <f t="shared" si="170"/>
        <v>0</v>
      </c>
      <c r="AI1217" s="13"/>
      <c r="AJ1217" s="13">
        <f t="shared" si="167"/>
        <v>0</v>
      </c>
      <c r="AK1217" s="9"/>
      <c r="AL1217" s="13"/>
      <c r="AM1217" s="9"/>
      <c r="AN1217" s="9"/>
      <c r="AO1217" s="9"/>
      <c r="AP1217" s="14"/>
    </row>
    <row r="1218" spans="1:42" s="45" customFormat="1" ht="22" customHeight="1">
      <c r="A1218" s="14" t="s">
        <v>19</v>
      </c>
      <c r="B1218" s="8">
        <v>2024</v>
      </c>
      <c r="C1218" s="8" t="s">
        <v>8</v>
      </c>
      <c r="D1218" s="9" t="s">
        <v>185</v>
      </c>
      <c r="E1218" s="9" t="s">
        <v>15</v>
      </c>
      <c r="F1218" s="9" t="s">
        <v>186</v>
      </c>
      <c r="G1218" s="8"/>
      <c r="H1218" s="8"/>
      <c r="I1218" s="9" t="s">
        <v>116</v>
      </c>
      <c r="J1218" s="9" t="s">
        <v>116</v>
      </c>
      <c r="K1218" s="9" t="s">
        <v>269</v>
      </c>
      <c r="L1218" s="9" t="s">
        <v>270</v>
      </c>
      <c r="M1218" s="14" t="s">
        <v>84</v>
      </c>
      <c r="N1218" s="9" t="s">
        <v>271</v>
      </c>
      <c r="O1218" s="9" t="s">
        <v>290</v>
      </c>
      <c r="P1218" s="9" t="s">
        <v>295</v>
      </c>
      <c r="Q1218" s="11"/>
      <c r="R1218" s="9"/>
      <c r="S1218" s="11">
        <f t="shared" si="171"/>
        <v>0</v>
      </c>
      <c r="T1218" s="9"/>
      <c r="U1218" s="14" t="s">
        <v>77</v>
      </c>
      <c r="V1218" s="9"/>
      <c r="W1218" s="12">
        <v>30</v>
      </c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>
        <f t="shared" si="170"/>
        <v>0</v>
      </c>
      <c r="AI1218" s="13"/>
      <c r="AJ1218" s="13">
        <f t="shared" si="167"/>
        <v>0</v>
      </c>
      <c r="AK1218" s="9"/>
      <c r="AL1218" s="13"/>
      <c r="AM1218" s="9"/>
      <c r="AN1218" s="9"/>
      <c r="AO1218" s="9"/>
      <c r="AP1218" s="14"/>
    </row>
    <row r="1219" spans="1:42" s="45" customFormat="1" ht="22" customHeight="1">
      <c r="A1219" s="14" t="s">
        <v>19</v>
      </c>
      <c r="B1219" s="8">
        <v>2024</v>
      </c>
      <c r="C1219" s="8" t="s">
        <v>8</v>
      </c>
      <c r="D1219" s="9" t="s">
        <v>185</v>
      </c>
      <c r="E1219" s="9" t="s">
        <v>10</v>
      </c>
      <c r="F1219" s="9" t="s">
        <v>186</v>
      </c>
      <c r="G1219" s="8"/>
      <c r="H1219" s="8"/>
      <c r="I1219" s="9" t="s">
        <v>116</v>
      </c>
      <c r="J1219" s="9" t="s">
        <v>116</v>
      </c>
      <c r="K1219" s="9" t="s">
        <v>269</v>
      </c>
      <c r="L1219" s="9" t="s">
        <v>270</v>
      </c>
      <c r="M1219" s="14" t="s">
        <v>84</v>
      </c>
      <c r="N1219" s="9" t="s">
        <v>271</v>
      </c>
      <c r="O1219" s="9" t="s">
        <v>296</v>
      </c>
      <c r="P1219" s="9" t="s">
        <v>297</v>
      </c>
      <c r="Q1219" s="11"/>
      <c r="R1219" s="11"/>
      <c r="S1219" s="11"/>
      <c r="T1219" s="9"/>
      <c r="U1219" s="14" t="s">
        <v>77</v>
      </c>
      <c r="V1219" s="9"/>
      <c r="W1219" s="12">
        <v>30</v>
      </c>
      <c r="X1219" s="13"/>
      <c r="Y1219" s="13"/>
      <c r="Z1219" s="13"/>
      <c r="AA1219" s="13"/>
      <c r="AB1219" s="13"/>
      <c r="AC1219" s="13">
        <f t="shared" ref="AC1219:AC1244" si="172">+S1219*W1219*20/1000000</f>
        <v>0</v>
      </c>
      <c r="AD1219" s="13"/>
      <c r="AE1219" s="13"/>
      <c r="AF1219" s="13">
        <f t="shared" ref="AF1219:AF1244" si="173">+S1219*W1219*200/1000000</f>
        <v>0</v>
      </c>
      <c r="AG1219" s="13"/>
      <c r="AH1219" s="13"/>
      <c r="AI1219" s="13"/>
      <c r="AJ1219" s="13">
        <f t="shared" si="167"/>
        <v>0</v>
      </c>
      <c r="AK1219" s="9"/>
      <c r="AL1219" s="13"/>
      <c r="AM1219" s="9"/>
      <c r="AN1219" s="9"/>
      <c r="AO1219" s="9"/>
      <c r="AP1219" s="14"/>
    </row>
    <row r="1220" spans="1:42" s="45" customFormat="1" ht="22" customHeight="1">
      <c r="A1220" s="14" t="s">
        <v>19</v>
      </c>
      <c r="B1220" s="8">
        <v>2024</v>
      </c>
      <c r="C1220" s="8" t="s">
        <v>8</v>
      </c>
      <c r="D1220" s="9" t="s">
        <v>185</v>
      </c>
      <c r="E1220" s="9" t="s">
        <v>10</v>
      </c>
      <c r="F1220" s="9" t="s">
        <v>186</v>
      </c>
      <c r="G1220" s="8"/>
      <c r="H1220" s="8"/>
      <c r="I1220" s="9" t="s">
        <v>116</v>
      </c>
      <c r="J1220" s="9" t="s">
        <v>116</v>
      </c>
      <c r="K1220" s="9" t="s">
        <v>269</v>
      </c>
      <c r="L1220" s="9" t="s">
        <v>270</v>
      </c>
      <c r="M1220" s="14" t="s">
        <v>84</v>
      </c>
      <c r="N1220" s="9" t="s">
        <v>271</v>
      </c>
      <c r="O1220" s="9" t="s">
        <v>296</v>
      </c>
      <c r="P1220" s="9" t="s">
        <v>298</v>
      </c>
      <c r="Q1220" s="11"/>
      <c r="R1220" s="11"/>
      <c r="S1220" s="11"/>
      <c r="T1220" s="9"/>
      <c r="U1220" s="14" t="s">
        <v>77</v>
      </c>
      <c r="V1220" s="9"/>
      <c r="W1220" s="12">
        <v>30</v>
      </c>
      <c r="X1220" s="13"/>
      <c r="Y1220" s="13"/>
      <c r="Z1220" s="13"/>
      <c r="AA1220" s="13"/>
      <c r="AB1220" s="13"/>
      <c r="AC1220" s="13">
        <f t="shared" si="172"/>
        <v>0</v>
      </c>
      <c r="AD1220" s="13"/>
      <c r="AE1220" s="13"/>
      <c r="AF1220" s="13">
        <f t="shared" si="173"/>
        <v>0</v>
      </c>
      <c r="AG1220" s="13"/>
      <c r="AH1220" s="13"/>
      <c r="AI1220" s="13"/>
      <c r="AJ1220" s="13">
        <f t="shared" si="167"/>
        <v>0</v>
      </c>
      <c r="AK1220" s="9"/>
      <c r="AL1220" s="13"/>
      <c r="AM1220" s="9"/>
      <c r="AN1220" s="9"/>
      <c r="AO1220" s="9"/>
      <c r="AP1220" s="14"/>
    </row>
    <row r="1221" spans="1:42" s="45" customFormat="1" ht="22" customHeight="1">
      <c r="A1221" s="14" t="s">
        <v>19</v>
      </c>
      <c r="B1221" s="8">
        <v>2024</v>
      </c>
      <c r="C1221" s="8" t="s">
        <v>8</v>
      </c>
      <c r="D1221" s="9" t="s">
        <v>185</v>
      </c>
      <c r="E1221" s="9" t="s">
        <v>10</v>
      </c>
      <c r="F1221" s="9" t="s">
        <v>186</v>
      </c>
      <c r="G1221" s="8"/>
      <c r="H1221" s="8"/>
      <c r="I1221" s="9" t="s">
        <v>116</v>
      </c>
      <c r="J1221" s="9" t="s">
        <v>116</v>
      </c>
      <c r="K1221" s="9" t="s">
        <v>269</v>
      </c>
      <c r="L1221" s="9" t="s">
        <v>270</v>
      </c>
      <c r="M1221" s="14" t="s">
        <v>84</v>
      </c>
      <c r="N1221" s="9" t="s">
        <v>271</v>
      </c>
      <c r="O1221" s="9" t="s">
        <v>296</v>
      </c>
      <c r="P1221" s="9" t="s">
        <v>299</v>
      </c>
      <c r="Q1221" s="11"/>
      <c r="R1221" s="11"/>
      <c r="S1221" s="11"/>
      <c r="T1221" s="9"/>
      <c r="U1221" s="14" t="s">
        <v>77</v>
      </c>
      <c r="V1221" s="9"/>
      <c r="W1221" s="12">
        <v>30</v>
      </c>
      <c r="X1221" s="13"/>
      <c r="Y1221" s="13"/>
      <c r="Z1221" s="13"/>
      <c r="AA1221" s="13"/>
      <c r="AB1221" s="13"/>
      <c r="AC1221" s="13">
        <f t="shared" si="172"/>
        <v>0</v>
      </c>
      <c r="AD1221" s="13"/>
      <c r="AE1221" s="13"/>
      <c r="AF1221" s="13">
        <f t="shared" si="173"/>
        <v>0</v>
      </c>
      <c r="AG1221" s="13"/>
      <c r="AH1221" s="13"/>
      <c r="AI1221" s="13"/>
      <c r="AJ1221" s="13">
        <f t="shared" si="167"/>
        <v>0</v>
      </c>
      <c r="AK1221" s="9"/>
      <c r="AL1221" s="13"/>
      <c r="AM1221" s="9"/>
      <c r="AN1221" s="9"/>
      <c r="AO1221" s="9"/>
      <c r="AP1221" s="14"/>
    </row>
    <row r="1222" spans="1:42" s="45" customFormat="1" ht="22" customHeight="1">
      <c r="A1222" s="14" t="s">
        <v>19</v>
      </c>
      <c r="B1222" s="8">
        <v>2024</v>
      </c>
      <c r="C1222" s="8" t="s">
        <v>8</v>
      </c>
      <c r="D1222" s="9" t="s">
        <v>185</v>
      </c>
      <c r="E1222" s="9" t="s">
        <v>10</v>
      </c>
      <c r="F1222" s="9" t="s">
        <v>186</v>
      </c>
      <c r="G1222" s="8"/>
      <c r="H1222" s="8"/>
      <c r="I1222" s="9" t="s">
        <v>116</v>
      </c>
      <c r="J1222" s="9" t="s">
        <v>116</v>
      </c>
      <c r="K1222" s="9" t="s">
        <v>269</v>
      </c>
      <c r="L1222" s="9" t="s">
        <v>270</v>
      </c>
      <c r="M1222" s="14" t="s">
        <v>84</v>
      </c>
      <c r="N1222" s="9" t="s">
        <v>271</v>
      </c>
      <c r="O1222" s="9" t="s">
        <v>296</v>
      </c>
      <c r="P1222" s="9" t="s">
        <v>300</v>
      </c>
      <c r="Q1222" s="11"/>
      <c r="R1222" s="11"/>
      <c r="S1222" s="11"/>
      <c r="T1222" s="9"/>
      <c r="U1222" s="14" t="s">
        <v>77</v>
      </c>
      <c r="V1222" s="9"/>
      <c r="W1222" s="12">
        <v>30</v>
      </c>
      <c r="X1222" s="13"/>
      <c r="Y1222" s="13"/>
      <c r="Z1222" s="13"/>
      <c r="AA1222" s="13"/>
      <c r="AB1222" s="13"/>
      <c r="AC1222" s="13">
        <f t="shared" si="172"/>
        <v>0</v>
      </c>
      <c r="AD1222" s="13"/>
      <c r="AE1222" s="13"/>
      <c r="AF1222" s="13">
        <f t="shared" si="173"/>
        <v>0</v>
      </c>
      <c r="AG1222" s="13"/>
      <c r="AH1222" s="13"/>
      <c r="AI1222" s="13"/>
      <c r="AJ1222" s="13">
        <f t="shared" si="167"/>
        <v>0</v>
      </c>
      <c r="AK1222" s="9"/>
      <c r="AL1222" s="13"/>
      <c r="AM1222" s="9"/>
      <c r="AN1222" s="9"/>
      <c r="AO1222" s="9"/>
      <c r="AP1222" s="14"/>
    </row>
    <row r="1223" spans="1:42" s="45" customFormat="1" ht="22" customHeight="1">
      <c r="A1223" s="14" t="s">
        <v>19</v>
      </c>
      <c r="B1223" s="8">
        <v>2024</v>
      </c>
      <c r="C1223" s="8" t="s">
        <v>8</v>
      </c>
      <c r="D1223" s="9" t="s">
        <v>185</v>
      </c>
      <c r="E1223" s="9" t="s">
        <v>10</v>
      </c>
      <c r="F1223" s="9" t="s">
        <v>186</v>
      </c>
      <c r="G1223" s="8"/>
      <c r="H1223" s="8"/>
      <c r="I1223" s="9" t="s">
        <v>116</v>
      </c>
      <c r="J1223" s="9" t="s">
        <v>116</v>
      </c>
      <c r="K1223" s="9" t="s">
        <v>269</v>
      </c>
      <c r="L1223" s="9" t="s">
        <v>270</v>
      </c>
      <c r="M1223" s="14" t="s">
        <v>84</v>
      </c>
      <c r="N1223" s="9" t="s">
        <v>271</v>
      </c>
      <c r="O1223" s="9" t="s">
        <v>296</v>
      </c>
      <c r="P1223" s="9" t="s">
        <v>301</v>
      </c>
      <c r="Q1223" s="11"/>
      <c r="R1223" s="11"/>
      <c r="S1223" s="11"/>
      <c r="T1223" s="9"/>
      <c r="U1223" s="14" t="s">
        <v>77</v>
      </c>
      <c r="V1223" s="9"/>
      <c r="W1223" s="12">
        <v>30</v>
      </c>
      <c r="X1223" s="13"/>
      <c r="Y1223" s="13"/>
      <c r="Z1223" s="13"/>
      <c r="AA1223" s="13"/>
      <c r="AB1223" s="13"/>
      <c r="AC1223" s="13">
        <f t="shared" si="172"/>
        <v>0</v>
      </c>
      <c r="AD1223" s="13"/>
      <c r="AE1223" s="13"/>
      <c r="AF1223" s="13">
        <f t="shared" si="173"/>
        <v>0</v>
      </c>
      <c r="AG1223" s="13"/>
      <c r="AH1223" s="13"/>
      <c r="AI1223" s="13"/>
      <c r="AJ1223" s="13">
        <f t="shared" si="167"/>
        <v>0</v>
      </c>
      <c r="AK1223" s="9"/>
      <c r="AL1223" s="13"/>
      <c r="AM1223" s="9"/>
      <c r="AN1223" s="9"/>
      <c r="AO1223" s="9"/>
      <c r="AP1223" s="14"/>
    </row>
    <row r="1224" spans="1:42" s="45" customFormat="1" ht="22" customHeight="1">
      <c r="A1224" s="14" t="s">
        <v>19</v>
      </c>
      <c r="B1224" s="8">
        <v>2024</v>
      </c>
      <c r="C1224" s="8" t="s">
        <v>8</v>
      </c>
      <c r="D1224" s="9" t="s">
        <v>185</v>
      </c>
      <c r="E1224" s="9" t="s">
        <v>10</v>
      </c>
      <c r="F1224" s="9" t="s">
        <v>186</v>
      </c>
      <c r="G1224" s="8"/>
      <c r="H1224" s="8"/>
      <c r="I1224" s="9" t="s">
        <v>116</v>
      </c>
      <c r="J1224" s="9" t="s">
        <v>116</v>
      </c>
      <c r="K1224" s="9" t="s">
        <v>269</v>
      </c>
      <c r="L1224" s="9" t="s">
        <v>270</v>
      </c>
      <c r="M1224" s="14" t="s">
        <v>84</v>
      </c>
      <c r="N1224" s="9" t="s">
        <v>271</v>
      </c>
      <c r="O1224" s="9" t="s">
        <v>296</v>
      </c>
      <c r="P1224" s="9" t="s">
        <v>302</v>
      </c>
      <c r="Q1224" s="11"/>
      <c r="R1224" s="11"/>
      <c r="S1224" s="11"/>
      <c r="T1224" s="9"/>
      <c r="U1224" s="14" t="s">
        <v>77</v>
      </c>
      <c r="V1224" s="9"/>
      <c r="W1224" s="12">
        <v>30</v>
      </c>
      <c r="X1224" s="13"/>
      <c r="Y1224" s="13"/>
      <c r="Z1224" s="13"/>
      <c r="AA1224" s="13"/>
      <c r="AB1224" s="13"/>
      <c r="AC1224" s="13">
        <f t="shared" si="172"/>
        <v>0</v>
      </c>
      <c r="AD1224" s="13"/>
      <c r="AE1224" s="13"/>
      <c r="AF1224" s="13">
        <f t="shared" si="173"/>
        <v>0</v>
      </c>
      <c r="AG1224" s="13"/>
      <c r="AH1224" s="13"/>
      <c r="AI1224" s="13"/>
      <c r="AJ1224" s="13">
        <f t="shared" si="167"/>
        <v>0</v>
      </c>
      <c r="AK1224" s="9"/>
      <c r="AL1224" s="13"/>
      <c r="AM1224" s="9"/>
      <c r="AN1224" s="9"/>
      <c r="AO1224" s="9"/>
      <c r="AP1224" s="14"/>
    </row>
    <row r="1225" spans="1:42" s="45" customFormat="1" ht="22" customHeight="1">
      <c r="A1225" s="14" t="s">
        <v>19</v>
      </c>
      <c r="B1225" s="8">
        <v>2024</v>
      </c>
      <c r="C1225" s="8" t="s">
        <v>8</v>
      </c>
      <c r="D1225" s="9" t="s">
        <v>185</v>
      </c>
      <c r="E1225" s="9" t="s">
        <v>10</v>
      </c>
      <c r="F1225" s="9" t="s">
        <v>186</v>
      </c>
      <c r="G1225" s="8"/>
      <c r="H1225" s="8"/>
      <c r="I1225" s="9" t="s">
        <v>116</v>
      </c>
      <c r="J1225" s="9" t="s">
        <v>116</v>
      </c>
      <c r="K1225" s="9" t="s">
        <v>269</v>
      </c>
      <c r="L1225" s="9" t="s">
        <v>270</v>
      </c>
      <c r="M1225" s="14" t="s">
        <v>84</v>
      </c>
      <c r="N1225" s="9" t="s">
        <v>271</v>
      </c>
      <c r="O1225" s="9" t="s">
        <v>296</v>
      </c>
      <c r="P1225" s="9" t="s">
        <v>303</v>
      </c>
      <c r="Q1225" s="11"/>
      <c r="R1225" s="11"/>
      <c r="S1225" s="11"/>
      <c r="T1225" s="9"/>
      <c r="U1225" s="14" t="s">
        <v>77</v>
      </c>
      <c r="V1225" s="9"/>
      <c r="W1225" s="12">
        <v>30</v>
      </c>
      <c r="X1225" s="13"/>
      <c r="Y1225" s="13"/>
      <c r="Z1225" s="13"/>
      <c r="AA1225" s="13"/>
      <c r="AB1225" s="13"/>
      <c r="AC1225" s="13">
        <f t="shared" si="172"/>
        <v>0</v>
      </c>
      <c r="AD1225" s="13"/>
      <c r="AE1225" s="13"/>
      <c r="AF1225" s="13">
        <f t="shared" si="173"/>
        <v>0</v>
      </c>
      <c r="AG1225" s="13"/>
      <c r="AH1225" s="13"/>
      <c r="AI1225" s="13"/>
      <c r="AJ1225" s="13">
        <f t="shared" si="167"/>
        <v>0</v>
      </c>
      <c r="AK1225" s="9"/>
      <c r="AL1225" s="13"/>
      <c r="AM1225" s="9"/>
      <c r="AN1225" s="9"/>
      <c r="AO1225" s="9"/>
      <c r="AP1225" s="14"/>
    </row>
    <row r="1226" spans="1:42" s="45" customFormat="1" ht="22" customHeight="1">
      <c r="A1226" s="14" t="s">
        <v>19</v>
      </c>
      <c r="B1226" s="8">
        <v>2024</v>
      </c>
      <c r="C1226" s="8" t="s">
        <v>8</v>
      </c>
      <c r="D1226" s="9" t="s">
        <v>185</v>
      </c>
      <c r="E1226" s="9" t="s">
        <v>10</v>
      </c>
      <c r="F1226" s="9" t="s">
        <v>186</v>
      </c>
      <c r="G1226" s="8"/>
      <c r="H1226" s="8"/>
      <c r="I1226" s="9" t="s">
        <v>116</v>
      </c>
      <c r="J1226" s="9" t="s">
        <v>116</v>
      </c>
      <c r="K1226" s="9" t="s">
        <v>269</v>
      </c>
      <c r="L1226" s="9" t="s">
        <v>270</v>
      </c>
      <c r="M1226" s="14" t="s">
        <v>84</v>
      </c>
      <c r="N1226" s="9" t="s">
        <v>271</v>
      </c>
      <c r="O1226" s="9" t="s">
        <v>296</v>
      </c>
      <c r="P1226" s="9" t="s">
        <v>304</v>
      </c>
      <c r="Q1226" s="11"/>
      <c r="R1226" s="11"/>
      <c r="S1226" s="11"/>
      <c r="T1226" s="9"/>
      <c r="U1226" s="14" t="s">
        <v>77</v>
      </c>
      <c r="V1226" s="9"/>
      <c r="W1226" s="12">
        <v>30</v>
      </c>
      <c r="X1226" s="13"/>
      <c r="Y1226" s="13"/>
      <c r="Z1226" s="13"/>
      <c r="AA1226" s="13"/>
      <c r="AB1226" s="13"/>
      <c r="AC1226" s="13">
        <f t="shared" si="172"/>
        <v>0</v>
      </c>
      <c r="AD1226" s="13"/>
      <c r="AE1226" s="13"/>
      <c r="AF1226" s="13">
        <f t="shared" si="173"/>
        <v>0</v>
      </c>
      <c r="AG1226" s="13"/>
      <c r="AH1226" s="13"/>
      <c r="AI1226" s="13"/>
      <c r="AJ1226" s="13">
        <f t="shared" si="167"/>
        <v>0</v>
      </c>
      <c r="AK1226" s="9"/>
      <c r="AL1226" s="13"/>
      <c r="AM1226" s="9"/>
      <c r="AN1226" s="9"/>
      <c r="AO1226" s="9"/>
      <c r="AP1226" s="14"/>
    </row>
    <row r="1227" spans="1:42" s="45" customFormat="1" ht="22" customHeight="1">
      <c r="A1227" s="14" t="s">
        <v>19</v>
      </c>
      <c r="B1227" s="8">
        <v>2024</v>
      </c>
      <c r="C1227" s="8" t="s">
        <v>8</v>
      </c>
      <c r="D1227" s="9" t="s">
        <v>185</v>
      </c>
      <c r="E1227" s="9" t="s">
        <v>10</v>
      </c>
      <c r="F1227" s="9" t="s">
        <v>186</v>
      </c>
      <c r="G1227" s="8"/>
      <c r="H1227" s="8"/>
      <c r="I1227" s="9" t="s">
        <v>116</v>
      </c>
      <c r="J1227" s="9" t="s">
        <v>116</v>
      </c>
      <c r="K1227" s="9" t="s">
        <v>269</v>
      </c>
      <c r="L1227" s="9" t="s">
        <v>270</v>
      </c>
      <c r="M1227" s="14" t="s">
        <v>84</v>
      </c>
      <c r="N1227" s="9" t="s">
        <v>271</v>
      </c>
      <c r="O1227" s="9" t="s">
        <v>296</v>
      </c>
      <c r="P1227" s="9" t="s">
        <v>305</v>
      </c>
      <c r="Q1227" s="11"/>
      <c r="R1227" s="11"/>
      <c r="S1227" s="11"/>
      <c r="T1227" s="9"/>
      <c r="U1227" s="14" t="s">
        <v>77</v>
      </c>
      <c r="V1227" s="9"/>
      <c r="W1227" s="12">
        <v>30</v>
      </c>
      <c r="X1227" s="13"/>
      <c r="Y1227" s="13"/>
      <c r="Z1227" s="13"/>
      <c r="AA1227" s="13"/>
      <c r="AB1227" s="13"/>
      <c r="AC1227" s="13">
        <f t="shared" si="172"/>
        <v>0</v>
      </c>
      <c r="AD1227" s="13"/>
      <c r="AE1227" s="13"/>
      <c r="AF1227" s="13">
        <f t="shared" si="173"/>
        <v>0</v>
      </c>
      <c r="AG1227" s="13"/>
      <c r="AH1227" s="13"/>
      <c r="AI1227" s="13"/>
      <c r="AJ1227" s="13">
        <f t="shared" si="167"/>
        <v>0</v>
      </c>
      <c r="AK1227" s="9"/>
      <c r="AL1227" s="13"/>
      <c r="AM1227" s="9"/>
      <c r="AN1227" s="9"/>
      <c r="AO1227" s="9"/>
      <c r="AP1227" s="14"/>
    </row>
    <row r="1228" spans="1:42" s="45" customFormat="1" ht="22" customHeight="1">
      <c r="A1228" s="14" t="s">
        <v>19</v>
      </c>
      <c r="B1228" s="8">
        <v>2024</v>
      </c>
      <c r="C1228" s="8" t="s">
        <v>8</v>
      </c>
      <c r="D1228" s="9" t="s">
        <v>185</v>
      </c>
      <c r="E1228" s="9" t="s">
        <v>10</v>
      </c>
      <c r="F1228" s="9" t="s">
        <v>186</v>
      </c>
      <c r="G1228" s="8"/>
      <c r="H1228" s="8"/>
      <c r="I1228" s="9" t="s">
        <v>116</v>
      </c>
      <c r="J1228" s="9" t="s">
        <v>116</v>
      </c>
      <c r="K1228" s="9" t="s">
        <v>269</v>
      </c>
      <c r="L1228" s="9" t="s">
        <v>270</v>
      </c>
      <c r="M1228" s="14" t="s">
        <v>84</v>
      </c>
      <c r="N1228" s="9" t="s">
        <v>271</v>
      </c>
      <c r="O1228" s="9" t="s">
        <v>296</v>
      </c>
      <c r="P1228" s="9" t="s">
        <v>306</v>
      </c>
      <c r="Q1228" s="11"/>
      <c r="R1228" s="11"/>
      <c r="S1228" s="11"/>
      <c r="T1228" s="9"/>
      <c r="U1228" s="14" t="s">
        <v>77</v>
      </c>
      <c r="V1228" s="9"/>
      <c r="W1228" s="12">
        <v>30</v>
      </c>
      <c r="X1228" s="13"/>
      <c r="Y1228" s="13"/>
      <c r="Z1228" s="13"/>
      <c r="AA1228" s="13"/>
      <c r="AB1228" s="13"/>
      <c r="AC1228" s="13">
        <f t="shared" si="172"/>
        <v>0</v>
      </c>
      <c r="AD1228" s="13"/>
      <c r="AE1228" s="13"/>
      <c r="AF1228" s="13">
        <f t="shared" si="173"/>
        <v>0</v>
      </c>
      <c r="AG1228" s="13"/>
      <c r="AH1228" s="13"/>
      <c r="AI1228" s="13"/>
      <c r="AJ1228" s="13">
        <f t="shared" si="167"/>
        <v>0</v>
      </c>
      <c r="AK1228" s="9"/>
      <c r="AL1228" s="13"/>
      <c r="AM1228" s="9"/>
      <c r="AN1228" s="9"/>
      <c r="AO1228" s="9"/>
      <c r="AP1228" s="14"/>
    </row>
    <row r="1229" spans="1:42" s="45" customFormat="1" ht="22" customHeight="1">
      <c r="A1229" s="14" t="s">
        <v>19</v>
      </c>
      <c r="B1229" s="8">
        <v>2024</v>
      </c>
      <c r="C1229" s="8" t="s">
        <v>8</v>
      </c>
      <c r="D1229" s="9" t="s">
        <v>185</v>
      </c>
      <c r="E1229" s="9" t="s">
        <v>10</v>
      </c>
      <c r="F1229" s="9" t="s">
        <v>186</v>
      </c>
      <c r="G1229" s="8"/>
      <c r="H1229" s="8"/>
      <c r="I1229" s="9" t="s">
        <v>116</v>
      </c>
      <c r="J1229" s="9" t="s">
        <v>116</v>
      </c>
      <c r="K1229" s="9" t="s">
        <v>269</v>
      </c>
      <c r="L1229" s="9" t="s">
        <v>270</v>
      </c>
      <c r="M1229" s="14" t="s">
        <v>84</v>
      </c>
      <c r="N1229" s="9" t="s">
        <v>271</v>
      </c>
      <c r="O1229" s="9" t="s">
        <v>296</v>
      </c>
      <c r="P1229" s="9" t="s">
        <v>307</v>
      </c>
      <c r="Q1229" s="11"/>
      <c r="R1229" s="11"/>
      <c r="S1229" s="11"/>
      <c r="T1229" s="9"/>
      <c r="U1229" s="14" t="s">
        <v>77</v>
      </c>
      <c r="V1229" s="9"/>
      <c r="W1229" s="12">
        <v>30</v>
      </c>
      <c r="X1229" s="13"/>
      <c r="Y1229" s="13"/>
      <c r="Z1229" s="13"/>
      <c r="AA1229" s="13"/>
      <c r="AB1229" s="13"/>
      <c r="AC1229" s="13">
        <f t="shared" si="172"/>
        <v>0</v>
      </c>
      <c r="AD1229" s="13"/>
      <c r="AE1229" s="13"/>
      <c r="AF1229" s="13">
        <f t="shared" si="173"/>
        <v>0</v>
      </c>
      <c r="AG1229" s="13"/>
      <c r="AH1229" s="13"/>
      <c r="AI1229" s="13"/>
      <c r="AJ1229" s="13">
        <f t="shared" si="167"/>
        <v>0</v>
      </c>
      <c r="AK1229" s="9"/>
      <c r="AL1229" s="13"/>
      <c r="AM1229" s="9"/>
      <c r="AN1229" s="9"/>
      <c r="AO1229" s="9"/>
      <c r="AP1229" s="14"/>
    </row>
    <row r="1230" spans="1:42" s="45" customFormat="1" ht="22" customHeight="1">
      <c r="A1230" s="14" t="s">
        <v>19</v>
      </c>
      <c r="B1230" s="8">
        <v>2024</v>
      </c>
      <c r="C1230" s="8" t="s">
        <v>8</v>
      </c>
      <c r="D1230" s="9" t="s">
        <v>185</v>
      </c>
      <c r="E1230" s="9" t="s">
        <v>10</v>
      </c>
      <c r="F1230" s="9" t="s">
        <v>186</v>
      </c>
      <c r="G1230" s="8"/>
      <c r="H1230" s="8"/>
      <c r="I1230" s="9" t="s">
        <v>116</v>
      </c>
      <c r="J1230" s="9" t="s">
        <v>116</v>
      </c>
      <c r="K1230" s="9" t="s">
        <v>269</v>
      </c>
      <c r="L1230" s="9" t="s">
        <v>270</v>
      </c>
      <c r="M1230" s="14" t="s">
        <v>84</v>
      </c>
      <c r="N1230" s="9" t="s">
        <v>271</v>
      </c>
      <c r="O1230" s="9" t="s">
        <v>296</v>
      </c>
      <c r="P1230" s="9" t="s">
        <v>308</v>
      </c>
      <c r="Q1230" s="11"/>
      <c r="R1230" s="11"/>
      <c r="S1230" s="11"/>
      <c r="T1230" s="9"/>
      <c r="U1230" s="14" t="s">
        <v>77</v>
      </c>
      <c r="V1230" s="9"/>
      <c r="W1230" s="12">
        <v>30</v>
      </c>
      <c r="X1230" s="13"/>
      <c r="Y1230" s="13"/>
      <c r="Z1230" s="13"/>
      <c r="AA1230" s="13"/>
      <c r="AB1230" s="13"/>
      <c r="AC1230" s="13">
        <f t="shared" si="172"/>
        <v>0</v>
      </c>
      <c r="AD1230" s="13"/>
      <c r="AE1230" s="13"/>
      <c r="AF1230" s="13">
        <f t="shared" si="173"/>
        <v>0</v>
      </c>
      <c r="AG1230" s="13"/>
      <c r="AH1230" s="13"/>
      <c r="AI1230" s="13"/>
      <c r="AJ1230" s="13">
        <f t="shared" si="167"/>
        <v>0</v>
      </c>
      <c r="AK1230" s="9"/>
      <c r="AL1230" s="13"/>
      <c r="AM1230" s="9"/>
      <c r="AN1230" s="9"/>
      <c r="AO1230" s="9"/>
      <c r="AP1230" s="14"/>
    </row>
    <row r="1231" spans="1:42" s="45" customFormat="1" ht="22" customHeight="1">
      <c r="A1231" s="14" t="s">
        <v>19</v>
      </c>
      <c r="B1231" s="8">
        <v>2024</v>
      </c>
      <c r="C1231" s="8" t="s">
        <v>8</v>
      </c>
      <c r="D1231" s="9" t="s">
        <v>185</v>
      </c>
      <c r="E1231" s="9" t="s">
        <v>10</v>
      </c>
      <c r="F1231" s="9" t="s">
        <v>186</v>
      </c>
      <c r="G1231" s="8"/>
      <c r="H1231" s="8"/>
      <c r="I1231" s="9" t="s">
        <v>116</v>
      </c>
      <c r="J1231" s="9" t="s">
        <v>116</v>
      </c>
      <c r="K1231" s="9" t="s">
        <v>269</v>
      </c>
      <c r="L1231" s="9" t="s">
        <v>270</v>
      </c>
      <c r="M1231" s="14" t="s">
        <v>84</v>
      </c>
      <c r="N1231" s="9" t="s">
        <v>271</v>
      </c>
      <c r="O1231" s="9" t="s">
        <v>296</v>
      </c>
      <c r="P1231" s="9" t="s">
        <v>309</v>
      </c>
      <c r="Q1231" s="11"/>
      <c r="R1231" s="11"/>
      <c r="S1231" s="11"/>
      <c r="T1231" s="9"/>
      <c r="U1231" s="14" t="s">
        <v>77</v>
      </c>
      <c r="V1231" s="9"/>
      <c r="W1231" s="12">
        <v>30</v>
      </c>
      <c r="X1231" s="13"/>
      <c r="Y1231" s="13"/>
      <c r="Z1231" s="13"/>
      <c r="AA1231" s="13"/>
      <c r="AB1231" s="13"/>
      <c r="AC1231" s="13">
        <f t="shared" si="172"/>
        <v>0</v>
      </c>
      <c r="AD1231" s="13"/>
      <c r="AE1231" s="13"/>
      <c r="AF1231" s="13">
        <f t="shared" si="173"/>
        <v>0</v>
      </c>
      <c r="AG1231" s="13"/>
      <c r="AH1231" s="13"/>
      <c r="AI1231" s="13"/>
      <c r="AJ1231" s="13">
        <f t="shared" si="167"/>
        <v>0</v>
      </c>
      <c r="AK1231" s="9"/>
      <c r="AL1231" s="13"/>
      <c r="AM1231" s="9"/>
      <c r="AN1231" s="9"/>
      <c r="AO1231" s="9"/>
      <c r="AP1231" s="14"/>
    </row>
    <row r="1232" spans="1:42" s="45" customFormat="1" ht="22" customHeight="1">
      <c r="A1232" s="14" t="s">
        <v>19</v>
      </c>
      <c r="B1232" s="8">
        <v>2024</v>
      </c>
      <c r="C1232" s="8" t="s">
        <v>8</v>
      </c>
      <c r="D1232" s="9" t="s">
        <v>185</v>
      </c>
      <c r="E1232" s="9" t="s">
        <v>10</v>
      </c>
      <c r="F1232" s="9" t="s">
        <v>186</v>
      </c>
      <c r="G1232" s="8"/>
      <c r="H1232" s="8"/>
      <c r="I1232" s="9" t="s">
        <v>116</v>
      </c>
      <c r="J1232" s="9" t="s">
        <v>116</v>
      </c>
      <c r="K1232" s="9" t="s">
        <v>269</v>
      </c>
      <c r="L1232" s="9" t="s">
        <v>270</v>
      </c>
      <c r="M1232" s="14" t="s">
        <v>84</v>
      </c>
      <c r="N1232" s="9" t="s">
        <v>271</v>
      </c>
      <c r="O1232" s="9" t="s">
        <v>296</v>
      </c>
      <c r="P1232" s="9" t="s">
        <v>310</v>
      </c>
      <c r="Q1232" s="11"/>
      <c r="R1232" s="11"/>
      <c r="S1232" s="11"/>
      <c r="T1232" s="9"/>
      <c r="U1232" s="14" t="s">
        <v>77</v>
      </c>
      <c r="V1232" s="9"/>
      <c r="W1232" s="12">
        <v>30</v>
      </c>
      <c r="X1232" s="13"/>
      <c r="Y1232" s="13"/>
      <c r="Z1232" s="13"/>
      <c r="AA1232" s="13"/>
      <c r="AB1232" s="13"/>
      <c r="AC1232" s="13">
        <f t="shared" si="172"/>
        <v>0</v>
      </c>
      <c r="AD1232" s="13"/>
      <c r="AE1232" s="13"/>
      <c r="AF1232" s="13">
        <f t="shared" si="173"/>
        <v>0</v>
      </c>
      <c r="AG1232" s="13"/>
      <c r="AH1232" s="13"/>
      <c r="AI1232" s="13"/>
      <c r="AJ1232" s="13">
        <f t="shared" si="167"/>
        <v>0</v>
      </c>
      <c r="AK1232" s="9"/>
      <c r="AL1232" s="13"/>
      <c r="AM1232" s="9"/>
      <c r="AN1232" s="9"/>
      <c r="AO1232" s="9"/>
      <c r="AP1232" s="14"/>
    </row>
    <row r="1233" spans="1:42" s="45" customFormat="1" ht="22" customHeight="1">
      <c r="A1233" s="14" t="s">
        <v>19</v>
      </c>
      <c r="B1233" s="8">
        <v>2024</v>
      </c>
      <c r="C1233" s="8" t="s">
        <v>8</v>
      </c>
      <c r="D1233" s="9" t="s">
        <v>185</v>
      </c>
      <c r="E1233" s="9" t="s">
        <v>10</v>
      </c>
      <c r="F1233" s="9" t="s">
        <v>186</v>
      </c>
      <c r="G1233" s="8"/>
      <c r="H1233" s="8"/>
      <c r="I1233" s="9" t="s">
        <v>116</v>
      </c>
      <c r="J1233" s="9" t="s">
        <v>116</v>
      </c>
      <c r="K1233" s="9" t="s">
        <v>269</v>
      </c>
      <c r="L1233" s="9" t="s">
        <v>270</v>
      </c>
      <c r="M1233" s="14" t="s">
        <v>84</v>
      </c>
      <c r="N1233" s="9" t="s">
        <v>271</v>
      </c>
      <c r="O1233" s="9" t="s">
        <v>296</v>
      </c>
      <c r="P1233" s="9" t="s">
        <v>311</v>
      </c>
      <c r="Q1233" s="11"/>
      <c r="R1233" s="11"/>
      <c r="S1233" s="11"/>
      <c r="T1233" s="9"/>
      <c r="U1233" s="14" t="s">
        <v>77</v>
      </c>
      <c r="V1233" s="9"/>
      <c r="W1233" s="12">
        <v>30</v>
      </c>
      <c r="X1233" s="13"/>
      <c r="Y1233" s="13"/>
      <c r="Z1233" s="13"/>
      <c r="AA1233" s="13"/>
      <c r="AB1233" s="13"/>
      <c r="AC1233" s="13">
        <f t="shared" si="172"/>
        <v>0</v>
      </c>
      <c r="AD1233" s="13"/>
      <c r="AE1233" s="13"/>
      <c r="AF1233" s="13">
        <f t="shared" si="173"/>
        <v>0</v>
      </c>
      <c r="AG1233" s="13"/>
      <c r="AH1233" s="13"/>
      <c r="AI1233" s="13"/>
      <c r="AJ1233" s="13">
        <f t="shared" si="167"/>
        <v>0</v>
      </c>
      <c r="AK1233" s="9"/>
      <c r="AL1233" s="13"/>
      <c r="AM1233" s="9"/>
      <c r="AN1233" s="9"/>
      <c r="AO1233" s="9"/>
      <c r="AP1233" s="14"/>
    </row>
    <row r="1234" spans="1:42" s="45" customFormat="1" ht="22" customHeight="1">
      <c r="A1234" s="14" t="s">
        <v>19</v>
      </c>
      <c r="B1234" s="8">
        <v>2024</v>
      </c>
      <c r="C1234" s="8" t="s">
        <v>8</v>
      </c>
      <c r="D1234" s="9" t="s">
        <v>185</v>
      </c>
      <c r="E1234" s="9" t="s">
        <v>10</v>
      </c>
      <c r="F1234" s="9" t="s">
        <v>186</v>
      </c>
      <c r="G1234" s="8"/>
      <c r="H1234" s="8"/>
      <c r="I1234" s="9" t="s">
        <v>116</v>
      </c>
      <c r="J1234" s="9" t="s">
        <v>116</v>
      </c>
      <c r="K1234" s="9" t="s">
        <v>269</v>
      </c>
      <c r="L1234" s="9" t="s">
        <v>270</v>
      </c>
      <c r="M1234" s="14" t="s">
        <v>84</v>
      </c>
      <c r="N1234" s="9" t="s">
        <v>271</v>
      </c>
      <c r="O1234" s="9" t="s">
        <v>296</v>
      </c>
      <c r="P1234" s="9" t="s">
        <v>312</v>
      </c>
      <c r="Q1234" s="11"/>
      <c r="R1234" s="11"/>
      <c r="S1234" s="11"/>
      <c r="T1234" s="9"/>
      <c r="U1234" s="14" t="s">
        <v>77</v>
      </c>
      <c r="V1234" s="9"/>
      <c r="W1234" s="12">
        <v>30</v>
      </c>
      <c r="X1234" s="13"/>
      <c r="Y1234" s="13"/>
      <c r="Z1234" s="13"/>
      <c r="AA1234" s="13"/>
      <c r="AB1234" s="13"/>
      <c r="AC1234" s="13">
        <f t="shared" si="172"/>
        <v>0</v>
      </c>
      <c r="AD1234" s="13"/>
      <c r="AE1234" s="13"/>
      <c r="AF1234" s="13">
        <f t="shared" si="173"/>
        <v>0</v>
      </c>
      <c r="AG1234" s="13"/>
      <c r="AH1234" s="13"/>
      <c r="AI1234" s="13"/>
      <c r="AJ1234" s="13">
        <f t="shared" si="167"/>
        <v>0</v>
      </c>
      <c r="AK1234" s="9"/>
      <c r="AL1234" s="13"/>
      <c r="AM1234" s="9"/>
      <c r="AN1234" s="9"/>
      <c r="AO1234" s="9"/>
      <c r="AP1234" s="14"/>
    </row>
    <row r="1235" spans="1:42" s="45" customFormat="1" ht="22" customHeight="1">
      <c r="A1235" s="14" t="s">
        <v>19</v>
      </c>
      <c r="B1235" s="8">
        <v>2024</v>
      </c>
      <c r="C1235" s="8" t="s">
        <v>8</v>
      </c>
      <c r="D1235" s="9" t="s">
        <v>185</v>
      </c>
      <c r="E1235" s="9" t="s">
        <v>10</v>
      </c>
      <c r="F1235" s="9" t="s">
        <v>186</v>
      </c>
      <c r="G1235" s="8"/>
      <c r="H1235" s="8"/>
      <c r="I1235" s="9" t="s">
        <v>116</v>
      </c>
      <c r="J1235" s="9" t="s">
        <v>116</v>
      </c>
      <c r="K1235" s="9" t="s">
        <v>269</v>
      </c>
      <c r="L1235" s="9" t="s">
        <v>270</v>
      </c>
      <c r="M1235" s="14" t="s">
        <v>84</v>
      </c>
      <c r="N1235" s="9" t="s">
        <v>271</v>
      </c>
      <c r="O1235" s="9" t="s">
        <v>296</v>
      </c>
      <c r="P1235" s="9" t="s">
        <v>313</v>
      </c>
      <c r="Q1235" s="11"/>
      <c r="R1235" s="11"/>
      <c r="S1235" s="11"/>
      <c r="T1235" s="9"/>
      <c r="U1235" s="14" t="s">
        <v>77</v>
      </c>
      <c r="V1235" s="9"/>
      <c r="W1235" s="12">
        <v>30</v>
      </c>
      <c r="X1235" s="13"/>
      <c r="Y1235" s="13"/>
      <c r="Z1235" s="13"/>
      <c r="AA1235" s="13"/>
      <c r="AB1235" s="13"/>
      <c r="AC1235" s="13">
        <f t="shared" si="172"/>
        <v>0</v>
      </c>
      <c r="AD1235" s="13"/>
      <c r="AE1235" s="13"/>
      <c r="AF1235" s="13">
        <f t="shared" si="173"/>
        <v>0</v>
      </c>
      <c r="AG1235" s="13"/>
      <c r="AH1235" s="13"/>
      <c r="AI1235" s="13"/>
      <c r="AJ1235" s="13">
        <f t="shared" si="167"/>
        <v>0</v>
      </c>
      <c r="AK1235" s="9"/>
      <c r="AL1235" s="13"/>
      <c r="AM1235" s="9"/>
      <c r="AN1235" s="9"/>
      <c r="AO1235" s="9"/>
      <c r="AP1235" s="14"/>
    </row>
    <row r="1236" spans="1:42" s="45" customFormat="1" ht="22" customHeight="1">
      <c r="A1236" s="14" t="s">
        <v>19</v>
      </c>
      <c r="B1236" s="8">
        <v>2024</v>
      </c>
      <c r="C1236" s="8" t="s">
        <v>8</v>
      </c>
      <c r="D1236" s="9" t="s">
        <v>185</v>
      </c>
      <c r="E1236" s="9" t="s">
        <v>10</v>
      </c>
      <c r="F1236" s="9" t="s">
        <v>186</v>
      </c>
      <c r="G1236" s="8"/>
      <c r="H1236" s="8"/>
      <c r="I1236" s="9" t="s">
        <v>116</v>
      </c>
      <c r="J1236" s="9" t="s">
        <v>116</v>
      </c>
      <c r="K1236" s="9" t="s">
        <v>269</v>
      </c>
      <c r="L1236" s="9" t="s">
        <v>270</v>
      </c>
      <c r="M1236" s="14" t="s">
        <v>84</v>
      </c>
      <c r="N1236" s="9" t="s">
        <v>271</v>
      </c>
      <c r="O1236" s="9" t="s">
        <v>296</v>
      </c>
      <c r="P1236" s="9" t="s">
        <v>314</v>
      </c>
      <c r="Q1236" s="11"/>
      <c r="R1236" s="11"/>
      <c r="S1236" s="11"/>
      <c r="T1236" s="9"/>
      <c r="U1236" s="14" t="s">
        <v>77</v>
      </c>
      <c r="V1236" s="9"/>
      <c r="W1236" s="12">
        <v>30</v>
      </c>
      <c r="X1236" s="13"/>
      <c r="Y1236" s="13"/>
      <c r="Z1236" s="13"/>
      <c r="AA1236" s="13"/>
      <c r="AB1236" s="13"/>
      <c r="AC1236" s="13">
        <f t="shared" si="172"/>
        <v>0</v>
      </c>
      <c r="AD1236" s="13"/>
      <c r="AE1236" s="13"/>
      <c r="AF1236" s="13">
        <f t="shared" si="173"/>
        <v>0</v>
      </c>
      <c r="AG1236" s="13"/>
      <c r="AH1236" s="13"/>
      <c r="AI1236" s="13"/>
      <c r="AJ1236" s="13">
        <f t="shared" si="167"/>
        <v>0</v>
      </c>
      <c r="AK1236" s="9"/>
      <c r="AL1236" s="13"/>
      <c r="AM1236" s="9"/>
      <c r="AN1236" s="9"/>
      <c r="AO1236" s="9"/>
      <c r="AP1236" s="14"/>
    </row>
    <row r="1237" spans="1:42" s="45" customFormat="1" ht="22" customHeight="1">
      <c r="A1237" s="14" t="s">
        <v>19</v>
      </c>
      <c r="B1237" s="8">
        <v>2024</v>
      </c>
      <c r="C1237" s="8" t="s">
        <v>8</v>
      </c>
      <c r="D1237" s="9" t="s">
        <v>185</v>
      </c>
      <c r="E1237" s="9" t="s">
        <v>10</v>
      </c>
      <c r="F1237" s="9" t="s">
        <v>186</v>
      </c>
      <c r="G1237" s="8"/>
      <c r="H1237" s="8"/>
      <c r="I1237" s="9" t="s">
        <v>116</v>
      </c>
      <c r="J1237" s="9" t="s">
        <v>116</v>
      </c>
      <c r="K1237" s="9" t="s">
        <v>269</v>
      </c>
      <c r="L1237" s="9" t="s">
        <v>270</v>
      </c>
      <c r="M1237" s="14" t="s">
        <v>84</v>
      </c>
      <c r="N1237" s="9" t="s">
        <v>271</v>
      </c>
      <c r="O1237" s="9" t="s">
        <v>296</v>
      </c>
      <c r="P1237" s="9" t="s">
        <v>315</v>
      </c>
      <c r="Q1237" s="11"/>
      <c r="R1237" s="11"/>
      <c r="S1237" s="11"/>
      <c r="T1237" s="9"/>
      <c r="U1237" s="14" t="s">
        <v>77</v>
      </c>
      <c r="V1237" s="9"/>
      <c r="W1237" s="12">
        <v>30</v>
      </c>
      <c r="X1237" s="13"/>
      <c r="Y1237" s="13"/>
      <c r="Z1237" s="13"/>
      <c r="AA1237" s="13"/>
      <c r="AB1237" s="13"/>
      <c r="AC1237" s="13">
        <f t="shared" si="172"/>
        <v>0</v>
      </c>
      <c r="AD1237" s="13"/>
      <c r="AE1237" s="13"/>
      <c r="AF1237" s="13">
        <f t="shared" si="173"/>
        <v>0</v>
      </c>
      <c r="AG1237" s="13"/>
      <c r="AH1237" s="13"/>
      <c r="AI1237" s="13"/>
      <c r="AJ1237" s="13">
        <f t="shared" si="167"/>
        <v>0</v>
      </c>
      <c r="AK1237" s="9"/>
      <c r="AL1237" s="13"/>
      <c r="AM1237" s="9"/>
      <c r="AN1237" s="9"/>
      <c r="AO1237" s="9"/>
      <c r="AP1237" s="14"/>
    </row>
    <row r="1238" spans="1:42" s="45" customFormat="1" ht="22" customHeight="1">
      <c r="A1238" s="14" t="s">
        <v>19</v>
      </c>
      <c r="B1238" s="8">
        <v>2024</v>
      </c>
      <c r="C1238" s="8" t="s">
        <v>8</v>
      </c>
      <c r="D1238" s="9" t="s">
        <v>185</v>
      </c>
      <c r="E1238" s="9" t="s">
        <v>10</v>
      </c>
      <c r="F1238" s="9" t="s">
        <v>186</v>
      </c>
      <c r="G1238" s="8"/>
      <c r="H1238" s="8"/>
      <c r="I1238" s="9" t="s">
        <v>116</v>
      </c>
      <c r="J1238" s="9" t="s">
        <v>116</v>
      </c>
      <c r="K1238" s="9" t="s">
        <v>269</v>
      </c>
      <c r="L1238" s="9" t="s">
        <v>270</v>
      </c>
      <c r="M1238" s="14" t="s">
        <v>84</v>
      </c>
      <c r="N1238" s="9" t="s">
        <v>271</v>
      </c>
      <c r="O1238" s="9" t="s">
        <v>296</v>
      </c>
      <c r="P1238" s="9" t="s">
        <v>316</v>
      </c>
      <c r="Q1238" s="11"/>
      <c r="R1238" s="11"/>
      <c r="S1238" s="11"/>
      <c r="T1238" s="9"/>
      <c r="U1238" s="14" t="s">
        <v>77</v>
      </c>
      <c r="V1238" s="9"/>
      <c r="W1238" s="12">
        <v>30</v>
      </c>
      <c r="X1238" s="13"/>
      <c r="Y1238" s="13"/>
      <c r="Z1238" s="13"/>
      <c r="AA1238" s="13"/>
      <c r="AB1238" s="13"/>
      <c r="AC1238" s="13">
        <f t="shared" si="172"/>
        <v>0</v>
      </c>
      <c r="AD1238" s="13"/>
      <c r="AE1238" s="13"/>
      <c r="AF1238" s="13">
        <f t="shared" si="173"/>
        <v>0</v>
      </c>
      <c r="AG1238" s="13"/>
      <c r="AH1238" s="13"/>
      <c r="AI1238" s="13"/>
      <c r="AJ1238" s="13">
        <f t="shared" si="167"/>
        <v>0</v>
      </c>
      <c r="AK1238" s="9"/>
      <c r="AL1238" s="13"/>
      <c r="AM1238" s="9"/>
      <c r="AN1238" s="9"/>
      <c r="AO1238" s="9"/>
      <c r="AP1238" s="14"/>
    </row>
    <row r="1239" spans="1:42" s="45" customFormat="1" ht="22" customHeight="1">
      <c r="A1239" s="14" t="s">
        <v>19</v>
      </c>
      <c r="B1239" s="8">
        <v>2024</v>
      </c>
      <c r="C1239" s="8" t="s">
        <v>8</v>
      </c>
      <c r="D1239" s="9" t="s">
        <v>185</v>
      </c>
      <c r="E1239" s="9" t="s">
        <v>10</v>
      </c>
      <c r="F1239" s="9" t="s">
        <v>186</v>
      </c>
      <c r="G1239" s="8"/>
      <c r="H1239" s="8"/>
      <c r="I1239" s="9" t="s">
        <v>116</v>
      </c>
      <c r="J1239" s="9" t="s">
        <v>116</v>
      </c>
      <c r="K1239" s="9" t="s">
        <v>269</v>
      </c>
      <c r="L1239" s="9" t="s">
        <v>270</v>
      </c>
      <c r="M1239" s="14" t="s">
        <v>84</v>
      </c>
      <c r="N1239" s="9" t="s">
        <v>271</v>
      </c>
      <c r="O1239" s="9" t="s">
        <v>296</v>
      </c>
      <c r="P1239" s="9" t="s">
        <v>317</v>
      </c>
      <c r="Q1239" s="11"/>
      <c r="R1239" s="11"/>
      <c r="S1239" s="11"/>
      <c r="T1239" s="9"/>
      <c r="U1239" s="14" t="s">
        <v>77</v>
      </c>
      <c r="V1239" s="9"/>
      <c r="W1239" s="12">
        <v>30</v>
      </c>
      <c r="X1239" s="13"/>
      <c r="Y1239" s="13"/>
      <c r="Z1239" s="13"/>
      <c r="AA1239" s="13"/>
      <c r="AB1239" s="13"/>
      <c r="AC1239" s="13">
        <f t="shared" si="172"/>
        <v>0</v>
      </c>
      <c r="AD1239" s="13"/>
      <c r="AE1239" s="13"/>
      <c r="AF1239" s="13">
        <f t="shared" si="173"/>
        <v>0</v>
      </c>
      <c r="AG1239" s="13"/>
      <c r="AH1239" s="13"/>
      <c r="AI1239" s="13"/>
      <c r="AJ1239" s="13">
        <f t="shared" ref="AJ1239:AJ1302" si="174">SUBTOTAL(9,X1239:AI1239)</f>
        <v>0</v>
      </c>
      <c r="AK1239" s="9"/>
      <c r="AL1239" s="13"/>
      <c r="AM1239" s="9"/>
      <c r="AN1239" s="9"/>
      <c r="AO1239" s="9"/>
      <c r="AP1239" s="14"/>
    </row>
    <row r="1240" spans="1:42" s="45" customFormat="1" ht="22" customHeight="1">
      <c r="A1240" s="14" t="s">
        <v>19</v>
      </c>
      <c r="B1240" s="8">
        <v>2024</v>
      </c>
      <c r="C1240" s="8" t="s">
        <v>8</v>
      </c>
      <c r="D1240" s="9" t="s">
        <v>185</v>
      </c>
      <c r="E1240" s="9" t="s">
        <v>10</v>
      </c>
      <c r="F1240" s="9" t="s">
        <v>186</v>
      </c>
      <c r="G1240" s="8"/>
      <c r="H1240" s="8"/>
      <c r="I1240" s="9" t="s">
        <v>116</v>
      </c>
      <c r="J1240" s="9" t="s">
        <v>116</v>
      </c>
      <c r="K1240" s="9" t="s">
        <v>269</v>
      </c>
      <c r="L1240" s="9" t="s">
        <v>270</v>
      </c>
      <c r="M1240" s="14" t="s">
        <v>84</v>
      </c>
      <c r="N1240" s="9" t="s">
        <v>271</v>
      </c>
      <c r="O1240" s="9" t="s">
        <v>318</v>
      </c>
      <c r="P1240" s="9" t="s">
        <v>319</v>
      </c>
      <c r="Q1240" s="11"/>
      <c r="R1240" s="11"/>
      <c r="S1240" s="11"/>
      <c r="T1240" s="9"/>
      <c r="U1240" s="14" t="s">
        <v>77</v>
      </c>
      <c r="V1240" s="9"/>
      <c r="W1240" s="12">
        <v>30</v>
      </c>
      <c r="X1240" s="13"/>
      <c r="Y1240" s="13"/>
      <c r="Z1240" s="13"/>
      <c r="AA1240" s="13"/>
      <c r="AB1240" s="13"/>
      <c r="AC1240" s="13">
        <f t="shared" si="172"/>
        <v>0</v>
      </c>
      <c r="AD1240" s="13"/>
      <c r="AE1240" s="13"/>
      <c r="AF1240" s="13">
        <f t="shared" si="173"/>
        <v>0</v>
      </c>
      <c r="AG1240" s="13"/>
      <c r="AH1240" s="13"/>
      <c r="AI1240" s="13"/>
      <c r="AJ1240" s="13">
        <f t="shared" si="174"/>
        <v>0</v>
      </c>
      <c r="AK1240" s="9"/>
      <c r="AL1240" s="13"/>
      <c r="AM1240" s="9"/>
      <c r="AN1240" s="9"/>
      <c r="AO1240" s="9"/>
      <c r="AP1240" s="14"/>
    </row>
    <row r="1241" spans="1:42" s="45" customFormat="1" ht="22" customHeight="1">
      <c r="A1241" s="14" t="s">
        <v>19</v>
      </c>
      <c r="B1241" s="8">
        <v>2024</v>
      </c>
      <c r="C1241" s="8" t="s">
        <v>8</v>
      </c>
      <c r="D1241" s="9" t="s">
        <v>185</v>
      </c>
      <c r="E1241" s="9" t="s">
        <v>10</v>
      </c>
      <c r="F1241" s="9" t="s">
        <v>186</v>
      </c>
      <c r="G1241" s="8"/>
      <c r="H1241" s="8"/>
      <c r="I1241" s="9" t="s">
        <v>116</v>
      </c>
      <c r="J1241" s="9" t="s">
        <v>116</v>
      </c>
      <c r="K1241" s="9" t="s">
        <v>269</v>
      </c>
      <c r="L1241" s="9" t="s">
        <v>270</v>
      </c>
      <c r="M1241" s="14" t="s">
        <v>84</v>
      </c>
      <c r="N1241" s="9" t="s">
        <v>271</v>
      </c>
      <c r="O1241" s="9" t="s">
        <v>318</v>
      </c>
      <c r="P1241" s="9" t="s">
        <v>320</v>
      </c>
      <c r="Q1241" s="11"/>
      <c r="R1241" s="11"/>
      <c r="S1241" s="11"/>
      <c r="T1241" s="9"/>
      <c r="U1241" s="14" t="s">
        <v>77</v>
      </c>
      <c r="V1241" s="9"/>
      <c r="W1241" s="12">
        <v>30</v>
      </c>
      <c r="X1241" s="13"/>
      <c r="Y1241" s="13"/>
      <c r="Z1241" s="13"/>
      <c r="AA1241" s="13"/>
      <c r="AB1241" s="13"/>
      <c r="AC1241" s="13">
        <f t="shared" si="172"/>
        <v>0</v>
      </c>
      <c r="AD1241" s="13"/>
      <c r="AE1241" s="13"/>
      <c r="AF1241" s="13">
        <f t="shared" si="173"/>
        <v>0</v>
      </c>
      <c r="AG1241" s="13"/>
      <c r="AH1241" s="13"/>
      <c r="AI1241" s="13"/>
      <c r="AJ1241" s="13">
        <f t="shared" si="174"/>
        <v>0</v>
      </c>
      <c r="AK1241" s="9"/>
      <c r="AL1241" s="13"/>
      <c r="AM1241" s="9"/>
      <c r="AN1241" s="9"/>
      <c r="AO1241" s="9"/>
      <c r="AP1241" s="14"/>
    </row>
    <row r="1242" spans="1:42" s="45" customFormat="1" ht="22" customHeight="1">
      <c r="A1242" s="14" t="s">
        <v>19</v>
      </c>
      <c r="B1242" s="8">
        <v>2024</v>
      </c>
      <c r="C1242" s="8" t="s">
        <v>8</v>
      </c>
      <c r="D1242" s="9" t="s">
        <v>185</v>
      </c>
      <c r="E1242" s="9" t="s">
        <v>10</v>
      </c>
      <c r="F1242" s="9" t="s">
        <v>186</v>
      </c>
      <c r="G1242" s="8"/>
      <c r="H1242" s="8"/>
      <c r="I1242" s="9" t="s">
        <v>116</v>
      </c>
      <c r="J1242" s="9" t="s">
        <v>116</v>
      </c>
      <c r="K1242" s="9" t="s">
        <v>269</v>
      </c>
      <c r="L1242" s="9" t="s">
        <v>270</v>
      </c>
      <c r="M1242" s="14" t="s">
        <v>84</v>
      </c>
      <c r="N1242" s="9" t="s">
        <v>271</v>
      </c>
      <c r="O1242" s="9" t="s">
        <v>318</v>
      </c>
      <c r="P1242" s="9" t="s">
        <v>321</v>
      </c>
      <c r="Q1242" s="11"/>
      <c r="R1242" s="11"/>
      <c r="S1242" s="11"/>
      <c r="T1242" s="9"/>
      <c r="U1242" s="14" t="s">
        <v>77</v>
      </c>
      <c r="V1242" s="9"/>
      <c r="W1242" s="12">
        <v>30</v>
      </c>
      <c r="X1242" s="13"/>
      <c r="Y1242" s="13"/>
      <c r="Z1242" s="13"/>
      <c r="AA1242" s="13"/>
      <c r="AB1242" s="13"/>
      <c r="AC1242" s="13">
        <f t="shared" si="172"/>
        <v>0</v>
      </c>
      <c r="AD1242" s="13"/>
      <c r="AE1242" s="13"/>
      <c r="AF1242" s="13">
        <f t="shared" si="173"/>
        <v>0</v>
      </c>
      <c r="AG1242" s="13"/>
      <c r="AH1242" s="13"/>
      <c r="AI1242" s="13"/>
      <c r="AJ1242" s="13">
        <f t="shared" si="174"/>
        <v>0</v>
      </c>
      <c r="AK1242" s="9"/>
      <c r="AL1242" s="13"/>
      <c r="AM1242" s="9"/>
      <c r="AN1242" s="9"/>
      <c r="AO1242" s="9"/>
      <c r="AP1242" s="14"/>
    </row>
    <row r="1243" spans="1:42" s="45" customFormat="1" ht="22" customHeight="1">
      <c r="A1243" s="14" t="s">
        <v>19</v>
      </c>
      <c r="B1243" s="8">
        <v>2024</v>
      </c>
      <c r="C1243" s="8" t="s">
        <v>8</v>
      </c>
      <c r="D1243" s="9" t="s">
        <v>185</v>
      </c>
      <c r="E1243" s="9" t="s">
        <v>10</v>
      </c>
      <c r="F1243" s="9" t="s">
        <v>186</v>
      </c>
      <c r="G1243" s="8"/>
      <c r="H1243" s="8"/>
      <c r="I1243" s="9" t="s">
        <v>116</v>
      </c>
      <c r="J1243" s="9" t="s">
        <v>116</v>
      </c>
      <c r="K1243" s="9" t="s">
        <v>269</v>
      </c>
      <c r="L1243" s="9" t="s">
        <v>270</v>
      </c>
      <c r="M1243" s="14" t="s">
        <v>84</v>
      </c>
      <c r="N1243" s="9" t="s">
        <v>271</v>
      </c>
      <c r="O1243" s="9" t="s">
        <v>318</v>
      </c>
      <c r="P1243" s="9" t="s">
        <v>322</v>
      </c>
      <c r="Q1243" s="11"/>
      <c r="R1243" s="11"/>
      <c r="S1243" s="11"/>
      <c r="T1243" s="9"/>
      <c r="U1243" s="14" t="s">
        <v>77</v>
      </c>
      <c r="V1243" s="9"/>
      <c r="W1243" s="12">
        <v>30</v>
      </c>
      <c r="X1243" s="13"/>
      <c r="Y1243" s="13"/>
      <c r="Z1243" s="13"/>
      <c r="AA1243" s="13"/>
      <c r="AB1243" s="13"/>
      <c r="AC1243" s="13">
        <f t="shared" si="172"/>
        <v>0</v>
      </c>
      <c r="AD1243" s="13"/>
      <c r="AE1243" s="13"/>
      <c r="AF1243" s="13">
        <f t="shared" si="173"/>
        <v>0</v>
      </c>
      <c r="AG1243" s="13"/>
      <c r="AH1243" s="13"/>
      <c r="AI1243" s="13"/>
      <c r="AJ1243" s="13">
        <f t="shared" si="174"/>
        <v>0</v>
      </c>
      <c r="AK1243" s="9"/>
      <c r="AL1243" s="13"/>
      <c r="AM1243" s="9"/>
      <c r="AN1243" s="9"/>
      <c r="AO1243" s="9"/>
      <c r="AP1243" s="14"/>
    </row>
    <row r="1244" spans="1:42" s="45" customFormat="1" ht="22" customHeight="1">
      <c r="A1244" s="14" t="s">
        <v>19</v>
      </c>
      <c r="B1244" s="8">
        <v>2024</v>
      </c>
      <c r="C1244" s="8" t="s">
        <v>8</v>
      </c>
      <c r="D1244" s="9" t="s">
        <v>185</v>
      </c>
      <c r="E1244" s="9" t="s">
        <v>10</v>
      </c>
      <c r="F1244" s="9" t="s">
        <v>186</v>
      </c>
      <c r="G1244" s="8"/>
      <c r="H1244" s="8"/>
      <c r="I1244" s="9" t="s">
        <v>116</v>
      </c>
      <c r="J1244" s="9" t="s">
        <v>116</v>
      </c>
      <c r="K1244" s="9" t="s">
        <v>269</v>
      </c>
      <c r="L1244" s="9" t="s">
        <v>270</v>
      </c>
      <c r="M1244" s="14" t="s">
        <v>84</v>
      </c>
      <c r="N1244" s="9" t="s">
        <v>271</v>
      </c>
      <c r="O1244" s="9" t="s">
        <v>318</v>
      </c>
      <c r="P1244" s="9" t="s">
        <v>323</v>
      </c>
      <c r="Q1244" s="11"/>
      <c r="R1244" s="11"/>
      <c r="S1244" s="11"/>
      <c r="T1244" s="9"/>
      <c r="U1244" s="14" t="s">
        <v>77</v>
      </c>
      <c r="V1244" s="9"/>
      <c r="W1244" s="12">
        <v>30</v>
      </c>
      <c r="X1244" s="13"/>
      <c r="Y1244" s="13"/>
      <c r="Z1244" s="13"/>
      <c r="AA1244" s="13"/>
      <c r="AB1244" s="13"/>
      <c r="AC1244" s="13">
        <f t="shared" si="172"/>
        <v>0</v>
      </c>
      <c r="AD1244" s="13"/>
      <c r="AE1244" s="13"/>
      <c r="AF1244" s="13">
        <f t="shared" si="173"/>
        <v>0</v>
      </c>
      <c r="AG1244" s="13"/>
      <c r="AH1244" s="13"/>
      <c r="AI1244" s="13"/>
      <c r="AJ1244" s="13">
        <f t="shared" si="174"/>
        <v>0</v>
      </c>
      <c r="AK1244" s="9"/>
      <c r="AL1244" s="13"/>
      <c r="AM1244" s="9"/>
      <c r="AN1244" s="9"/>
      <c r="AO1244" s="9"/>
      <c r="AP1244" s="14"/>
    </row>
    <row r="1245" spans="1:42" s="45" customFormat="1" ht="22" customHeight="1">
      <c r="A1245" s="14" t="s">
        <v>19</v>
      </c>
      <c r="B1245" s="8">
        <v>2024</v>
      </c>
      <c r="C1245" s="8" t="s">
        <v>8</v>
      </c>
      <c r="D1245" s="9" t="s">
        <v>185</v>
      </c>
      <c r="E1245" s="9" t="s">
        <v>15</v>
      </c>
      <c r="F1245" s="9" t="s">
        <v>186</v>
      </c>
      <c r="G1245" s="8"/>
      <c r="H1245" s="8"/>
      <c r="I1245" s="9" t="s">
        <v>116</v>
      </c>
      <c r="J1245" s="9" t="s">
        <v>116</v>
      </c>
      <c r="K1245" s="9" t="s">
        <v>269</v>
      </c>
      <c r="L1245" s="9" t="s">
        <v>270</v>
      </c>
      <c r="M1245" s="14" t="s">
        <v>84</v>
      </c>
      <c r="N1245" s="9" t="s">
        <v>271</v>
      </c>
      <c r="O1245" s="9" t="s">
        <v>296</v>
      </c>
      <c r="P1245" s="9" t="s">
        <v>297</v>
      </c>
      <c r="Q1245" s="11"/>
      <c r="R1245" s="11"/>
      <c r="S1245" s="11"/>
      <c r="T1245" s="9"/>
      <c r="U1245" s="14" t="s">
        <v>77</v>
      </c>
      <c r="V1245" s="9"/>
      <c r="W1245" s="12">
        <v>30</v>
      </c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>
        <f t="shared" ref="AH1245:AH1308" si="175">+S1245*W1245*50/1000000</f>
        <v>0</v>
      </c>
      <c r="AI1245" s="13"/>
      <c r="AJ1245" s="13">
        <f t="shared" si="174"/>
        <v>0</v>
      </c>
      <c r="AK1245" s="9"/>
      <c r="AL1245" s="13"/>
      <c r="AM1245" s="9"/>
      <c r="AN1245" s="9"/>
      <c r="AO1245" s="9"/>
      <c r="AP1245" s="14"/>
    </row>
    <row r="1246" spans="1:42" s="45" customFormat="1" ht="22" customHeight="1">
      <c r="A1246" s="14" t="s">
        <v>19</v>
      </c>
      <c r="B1246" s="8">
        <v>2024</v>
      </c>
      <c r="C1246" s="8" t="s">
        <v>8</v>
      </c>
      <c r="D1246" s="9" t="s">
        <v>185</v>
      </c>
      <c r="E1246" s="9" t="s">
        <v>15</v>
      </c>
      <c r="F1246" s="9" t="s">
        <v>186</v>
      </c>
      <c r="G1246" s="8"/>
      <c r="H1246" s="8"/>
      <c r="I1246" s="9" t="s">
        <v>116</v>
      </c>
      <c r="J1246" s="9" t="s">
        <v>116</v>
      </c>
      <c r="K1246" s="9" t="s">
        <v>269</v>
      </c>
      <c r="L1246" s="9" t="s">
        <v>270</v>
      </c>
      <c r="M1246" s="14" t="s">
        <v>84</v>
      </c>
      <c r="N1246" s="9" t="s">
        <v>271</v>
      </c>
      <c r="O1246" s="9" t="s">
        <v>296</v>
      </c>
      <c r="P1246" s="9" t="s">
        <v>298</v>
      </c>
      <c r="Q1246" s="11"/>
      <c r="R1246" s="11"/>
      <c r="S1246" s="11"/>
      <c r="T1246" s="9"/>
      <c r="U1246" s="14" t="s">
        <v>77</v>
      </c>
      <c r="V1246" s="9"/>
      <c r="W1246" s="12">
        <v>30</v>
      </c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>
        <f t="shared" si="175"/>
        <v>0</v>
      </c>
      <c r="AI1246" s="13"/>
      <c r="AJ1246" s="13">
        <f t="shared" si="174"/>
        <v>0</v>
      </c>
      <c r="AK1246" s="9"/>
      <c r="AL1246" s="13"/>
      <c r="AM1246" s="9"/>
      <c r="AN1246" s="9"/>
      <c r="AO1246" s="9"/>
      <c r="AP1246" s="14"/>
    </row>
    <row r="1247" spans="1:42" s="45" customFormat="1" ht="22" customHeight="1">
      <c r="A1247" s="14" t="s">
        <v>19</v>
      </c>
      <c r="B1247" s="8">
        <v>2024</v>
      </c>
      <c r="C1247" s="8" t="s">
        <v>8</v>
      </c>
      <c r="D1247" s="9" t="s">
        <v>185</v>
      </c>
      <c r="E1247" s="9" t="s">
        <v>15</v>
      </c>
      <c r="F1247" s="9" t="s">
        <v>186</v>
      </c>
      <c r="G1247" s="8"/>
      <c r="H1247" s="8"/>
      <c r="I1247" s="9" t="s">
        <v>116</v>
      </c>
      <c r="J1247" s="9" t="s">
        <v>116</v>
      </c>
      <c r="K1247" s="9" t="s">
        <v>269</v>
      </c>
      <c r="L1247" s="9" t="s">
        <v>270</v>
      </c>
      <c r="M1247" s="14" t="s">
        <v>84</v>
      </c>
      <c r="N1247" s="9" t="s">
        <v>271</v>
      </c>
      <c r="O1247" s="9" t="s">
        <v>296</v>
      </c>
      <c r="P1247" s="9" t="s">
        <v>299</v>
      </c>
      <c r="Q1247" s="11"/>
      <c r="R1247" s="11"/>
      <c r="S1247" s="11"/>
      <c r="T1247" s="9"/>
      <c r="U1247" s="14" t="s">
        <v>77</v>
      </c>
      <c r="V1247" s="9"/>
      <c r="W1247" s="12">
        <v>30</v>
      </c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>
        <f t="shared" si="175"/>
        <v>0</v>
      </c>
      <c r="AI1247" s="13"/>
      <c r="AJ1247" s="13">
        <f t="shared" si="174"/>
        <v>0</v>
      </c>
      <c r="AK1247" s="9"/>
      <c r="AL1247" s="13"/>
      <c r="AM1247" s="9"/>
      <c r="AN1247" s="9"/>
      <c r="AO1247" s="9"/>
      <c r="AP1247" s="14"/>
    </row>
    <row r="1248" spans="1:42" s="45" customFormat="1" ht="22" customHeight="1">
      <c r="A1248" s="14" t="s">
        <v>19</v>
      </c>
      <c r="B1248" s="8">
        <v>2024</v>
      </c>
      <c r="C1248" s="8" t="s">
        <v>8</v>
      </c>
      <c r="D1248" s="9" t="s">
        <v>185</v>
      </c>
      <c r="E1248" s="9" t="s">
        <v>15</v>
      </c>
      <c r="F1248" s="9" t="s">
        <v>186</v>
      </c>
      <c r="G1248" s="8"/>
      <c r="H1248" s="8"/>
      <c r="I1248" s="9" t="s">
        <v>116</v>
      </c>
      <c r="J1248" s="9" t="s">
        <v>116</v>
      </c>
      <c r="K1248" s="9" t="s">
        <v>269</v>
      </c>
      <c r="L1248" s="9" t="s">
        <v>270</v>
      </c>
      <c r="M1248" s="14" t="s">
        <v>84</v>
      </c>
      <c r="N1248" s="9" t="s">
        <v>271</v>
      </c>
      <c r="O1248" s="9" t="s">
        <v>296</v>
      </c>
      <c r="P1248" s="9" t="s">
        <v>300</v>
      </c>
      <c r="Q1248" s="11"/>
      <c r="R1248" s="11"/>
      <c r="S1248" s="11"/>
      <c r="T1248" s="9"/>
      <c r="U1248" s="14" t="s">
        <v>77</v>
      </c>
      <c r="V1248" s="9"/>
      <c r="W1248" s="12">
        <v>30</v>
      </c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>
        <f t="shared" si="175"/>
        <v>0</v>
      </c>
      <c r="AI1248" s="13"/>
      <c r="AJ1248" s="13">
        <f t="shared" si="174"/>
        <v>0</v>
      </c>
      <c r="AK1248" s="9"/>
      <c r="AL1248" s="13"/>
      <c r="AM1248" s="9"/>
      <c r="AN1248" s="9"/>
      <c r="AO1248" s="9"/>
      <c r="AP1248" s="14"/>
    </row>
    <row r="1249" spans="1:42" s="45" customFormat="1" ht="22" customHeight="1">
      <c r="A1249" s="14" t="s">
        <v>19</v>
      </c>
      <c r="B1249" s="8">
        <v>2024</v>
      </c>
      <c r="C1249" s="8" t="s">
        <v>8</v>
      </c>
      <c r="D1249" s="9" t="s">
        <v>185</v>
      </c>
      <c r="E1249" s="9" t="s">
        <v>15</v>
      </c>
      <c r="F1249" s="9" t="s">
        <v>186</v>
      </c>
      <c r="G1249" s="8"/>
      <c r="H1249" s="8"/>
      <c r="I1249" s="9" t="s">
        <v>116</v>
      </c>
      <c r="J1249" s="9" t="s">
        <v>116</v>
      </c>
      <c r="K1249" s="9" t="s">
        <v>269</v>
      </c>
      <c r="L1249" s="9" t="s">
        <v>270</v>
      </c>
      <c r="M1249" s="14" t="s">
        <v>84</v>
      </c>
      <c r="N1249" s="9" t="s">
        <v>271</v>
      </c>
      <c r="O1249" s="9" t="s">
        <v>296</v>
      </c>
      <c r="P1249" s="9" t="s">
        <v>301</v>
      </c>
      <c r="Q1249" s="11"/>
      <c r="R1249" s="11"/>
      <c r="S1249" s="11"/>
      <c r="T1249" s="9"/>
      <c r="U1249" s="14" t="s">
        <v>77</v>
      </c>
      <c r="V1249" s="9"/>
      <c r="W1249" s="12">
        <v>30</v>
      </c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>
        <f t="shared" si="175"/>
        <v>0</v>
      </c>
      <c r="AI1249" s="13"/>
      <c r="AJ1249" s="13">
        <f t="shared" si="174"/>
        <v>0</v>
      </c>
      <c r="AK1249" s="9"/>
      <c r="AL1249" s="13"/>
      <c r="AM1249" s="9"/>
      <c r="AN1249" s="9"/>
      <c r="AO1249" s="9"/>
      <c r="AP1249" s="14"/>
    </row>
    <row r="1250" spans="1:42" s="45" customFormat="1" ht="22" customHeight="1">
      <c r="A1250" s="14" t="s">
        <v>19</v>
      </c>
      <c r="B1250" s="8">
        <v>2024</v>
      </c>
      <c r="C1250" s="8" t="s">
        <v>8</v>
      </c>
      <c r="D1250" s="9" t="s">
        <v>185</v>
      </c>
      <c r="E1250" s="9" t="s">
        <v>15</v>
      </c>
      <c r="F1250" s="9" t="s">
        <v>186</v>
      </c>
      <c r="G1250" s="8"/>
      <c r="H1250" s="8"/>
      <c r="I1250" s="9" t="s">
        <v>116</v>
      </c>
      <c r="J1250" s="9" t="s">
        <v>116</v>
      </c>
      <c r="K1250" s="9" t="s">
        <v>269</v>
      </c>
      <c r="L1250" s="9" t="s">
        <v>270</v>
      </c>
      <c r="M1250" s="14" t="s">
        <v>84</v>
      </c>
      <c r="N1250" s="9" t="s">
        <v>271</v>
      </c>
      <c r="O1250" s="9" t="s">
        <v>296</v>
      </c>
      <c r="P1250" s="9" t="s">
        <v>302</v>
      </c>
      <c r="Q1250" s="11"/>
      <c r="R1250" s="11"/>
      <c r="S1250" s="11"/>
      <c r="T1250" s="9"/>
      <c r="U1250" s="14" t="s">
        <v>77</v>
      </c>
      <c r="V1250" s="9"/>
      <c r="W1250" s="12">
        <v>30</v>
      </c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>
        <f t="shared" si="175"/>
        <v>0</v>
      </c>
      <c r="AI1250" s="13"/>
      <c r="AJ1250" s="13">
        <f t="shared" si="174"/>
        <v>0</v>
      </c>
      <c r="AK1250" s="9"/>
      <c r="AL1250" s="13"/>
      <c r="AM1250" s="9"/>
      <c r="AN1250" s="9"/>
      <c r="AO1250" s="9"/>
      <c r="AP1250" s="14"/>
    </row>
    <row r="1251" spans="1:42" s="45" customFormat="1" ht="22" customHeight="1">
      <c r="A1251" s="14" t="s">
        <v>19</v>
      </c>
      <c r="B1251" s="8">
        <v>2024</v>
      </c>
      <c r="C1251" s="8" t="s">
        <v>8</v>
      </c>
      <c r="D1251" s="9" t="s">
        <v>185</v>
      </c>
      <c r="E1251" s="9" t="s">
        <v>15</v>
      </c>
      <c r="F1251" s="9" t="s">
        <v>186</v>
      </c>
      <c r="G1251" s="8"/>
      <c r="H1251" s="8"/>
      <c r="I1251" s="9" t="s">
        <v>116</v>
      </c>
      <c r="J1251" s="9" t="s">
        <v>116</v>
      </c>
      <c r="K1251" s="9" t="s">
        <v>269</v>
      </c>
      <c r="L1251" s="9" t="s">
        <v>270</v>
      </c>
      <c r="M1251" s="14" t="s">
        <v>84</v>
      </c>
      <c r="N1251" s="9" t="s">
        <v>271</v>
      </c>
      <c r="O1251" s="9" t="s">
        <v>296</v>
      </c>
      <c r="P1251" s="9" t="s">
        <v>303</v>
      </c>
      <c r="Q1251" s="11"/>
      <c r="R1251" s="11"/>
      <c r="S1251" s="11"/>
      <c r="T1251" s="9"/>
      <c r="U1251" s="14" t="s">
        <v>77</v>
      </c>
      <c r="V1251" s="9"/>
      <c r="W1251" s="12">
        <v>30</v>
      </c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>
        <f t="shared" si="175"/>
        <v>0</v>
      </c>
      <c r="AI1251" s="13"/>
      <c r="AJ1251" s="13">
        <f t="shared" si="174"/>
        <v>0</v>
      </c>
      <c r="AK1251" s="9"/>
      <c r="AL1251" s="13"/>
      <c r="AM1251" s="9"/>
      <c r="AN1251" s="9"/>
      <c r="AO1251" s="9"/>
      <c r="AP1251" s="14"/>
    </row>
    <row r="1252" spans="1:42" s="45" customFormat="1" ht="22" customHeight="1">
      <c r="A1252" s="14" t="s">
        <v>19</v>
      </c>
      <c r="B1252" s="8">
        <v>2024</v>
      </c>
      <c r="C1252" s="8" t="s">
        <v>8</v>
      </c>
      <c r="D1252" s="9" t="s">
        <v>185</v>
      </c>
      <c r="E1252" s="9" t="s">
        <v>15</v>
      </c>
      <c r="F1252" s="9" t="s">
        <v>186</v>
      </c>
      <c r="G1252" s="8"/>
      <c r="H1252" s="8"/>
      <c r="I1252" s="9" t="s">
        <v>116</v>
      </c>
      <c r="J1252" s="9" t="s">
        <v>116</v>
      </c>
      <c r="K1252" s="9" t="s">
        <v>269</v>
      </c>
      <c r="L1252" s="9" t="s">
        <v>270</v>
      </c>
      <c r="M1252" s="14" t="s">
        <v>84</v>
      </c>
      <c r="N1252" s="9" t="s">
        <v>271</v>
      </c>
      <c r="O1252" s="9" t="s">
        <v>296</v>
      </c>
      <c r="P1252" s="9" t="s">
        <v>304</v>
      </c>
      <c r="Q1252" s="11"/>
      <c r="R1252" s="11"/>
      <c r="S1252" s="11"/>
      <c r="T1252" s="9"/>
      <c r="U1252" s="14" t="s">
        <v>77</v>
      </c>
      <c r="V1252" s="9"/>
      <c r="W1252" s="12">
        <v>30</v>
      </c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>
        <f t="shared" si="175"/>
        <v>0</v>
      </c>
      <c r="AI1252" s="13"/>
      <c r="AJ1252" s="13">
        <f t="shared" si="174"/>
        <v>0</v>
      </c>
      <c r="AK1252" s="9"/>
      <c r="AL1252" s="13"/>
      <c r="AM1252" s="9"/>
      <c r="AN1252" s="9"/>
      <c r="AO1252" s="9"/>
      <c r="AP1252" s="14"/>
    </row>
    <row r="1253" spans="1:42" s="45" customFormat="1" ht="22" customHeight="1">
      <c r="A1253" s="14" t="s">
        <v>19</v>
      </c>
      <c r="B1253" s="8">
        <v>2024</v>
      </c>
      <c r="C1253" s="8" t="s">
        <v>8</v>
      </c>
      <c r="D1253" s="9" t="s">
        <v>185</v>
      </c>
      <c r="E1253" s="9" t="s">
        <v>15</v>
      </c>
      <c r="F1253" s="9" t="s">
        <v>186</v>
      </c>
      <c r="G1253" s="8"/>
      <c r="H1253" s="8"/>
      <c r="I1253" s="9" t="s">
        <v>116</v>
      </c>
      <c r="J1253" s="9" t="s">
        <v>116</v>
      </c>
      <c r="K1253" s="9" t="s">
        <v>269</v>
      </c>
      <c r="L1253" s="9" t="s">
        <v>270</v>
      </c>
      <c r="M1253" s="14" t="s">
        <v>84</v>
      </c>
      <c r="N1253" s="9" t="s">
        <v>271</v>
      </c>
      <c r="O1253" s="9" t="s">
        <v>296</v>
      </c>
      <c r="P1253" s="9" t="s">
        <v>305</v>
      </c>
      <c r="Q1253" s="11"/>
      <c r="R1253" s="11"/>
      <c r="S1253" s="11"/>
      <c r="T1253" s="9"/>
      <c r="U1253" s="14" t="s">
        <v>77</v>
      </c>
      <c r="V1253" s="9"/>
      <c r="W1253" s="12">
        <v>30</v>
      </c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>
        <f t="shared" si="175"/>
        <v>0</v>
      </c>
      <c r="AI1253" s="13"/>
      <c r="AJ1253" s="13">
        <f t="shared" si="174"/>
        <v>0</v>
      </c>
      <c r="AK1253" s="9"/>
      <c r="AL1253" s="13"/>
      <c r="AM1253" s="9"/>
      <c r="AN1253" s="9"/>
      <c r="AO1253" s="9"/>
      <c r="AP1253" s="14"/>
    </row>
    <row r="1254" spans="1:42" s="45" customFormat="1" ht="22" customHeight="1">
      <c r="A1254" s="14" t="s">
        <v>19</v>
      </c>
      <c r="B1254" s="8">
        <v>2024</v>
      </c>
      <c r="C1254" s="8" t="s">
        <v>8</v>
      </c>
      <c r="D1254" s="9" t="s">
        <v>185</v>
      </c>
      <c r="E1254" s="9" t="s">
        <v>15</v>
      </c>
      <c r="F1254" s="9" t="s">
        <v>186</v>
      </c>
      <c r="G1254" s="8"/>
      <c r="H1254" s="8"/>
      <c r="I1254" s="9" t="s">
        <v>116</v>
      </c>
      <c r="J1254" s="9" t="s">
        <v>116</v>
      </c>
      <c r="K1254" s="9" t="s">
        <v>269</v>
      </c>
      <c r="L1254" s="9" t="s">
        <v>270</v>
      </c>
      <c r="M1254" s="14" t="s">
        <v>84</v>
      </c>
      <c r="N1254" s="9" t="s">
        <v>271</v>
      </c>
      <c r="O1254" s="9" t="s">
        <v>296</v>
      </c>
      <c r="P1254" s="9" t="s">
        <v>306</v>
      </c>
      <c r="Q1254" s="11"/>
      <c r="R1254" s="11"/>
      <c r="S1254" s="11"/>
      <c r="T1254" s="9"/>
      <c r="U1254" s="14" t="s">
        <v>77</v>
      </c>
      <c r="V1254" s="9"/>
      <c r="W1254" s="12">
        <v>30</v>
      </c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>
        <f t="shared" si="175"/>
        <v>0</v>
      </c>
      <c r="AI1254" s="13"/>
      <c r="AJ1254" s="13">
        <f t="shared" si="174"/>
        <v>0</v>
      </c>
      <c r="AK1254" s="9"/>
      <c r="AL1254" s="13"/>
      <c r="AM1254" s="9"/>
      <c r="AN1254" s="9"/>
      <c r="AO1254" s="9"/>
      <c r="AP1254" s="14"/>
    </row>
    <row r="1255" spans="1:42" s="45" customFormat="1" ht="22" customHeight="1">
      <c r="A1255" s="14" t="s">
        <v>19</v>
      </c>
      <c r="B1255" s="8">
        <v>2024</v>
      </c>
      <c r="C1255" s="8" t="s">
        <v>8</v>
      </c>
      <c r="D1255" s="9" t="s">
        <v>185</v>
      </c>
      <c r="E1255" s="9" t="s">
        <v>15</v>
      </c>
      <c r="F1255" s="9" t="s">
        <v>186</v>
      </c>
      <c r="G1255" s="8"/>
      <c r="H1255" s="8"/>
      <c r="I1255" s="9" t="s">
        <v>116</v>
      </c>
      <c r="J1255" s="9" t="s">
        <v>116</v>
      </c>
      <c r="K1255" s="9" t="s">
        <v>269</v>
      </c>
      <c r="L1255" s="9" t="s">
        <v>270</v>
      </c>
      <c r="M1255" s="14" t="s">
        <v>84</v>
      </c>
      <c r="N1255" s="9" t="s">
        <v>271</v>
      </c>
      <c r="O1255" s="9" t="s">
        <v>296</v>
      </c>
      <c r="P1255" s="9" t="s">
        <v>307</v>
      </c>
      <c r="Q1255" s="11"/>
      <c r="R1255" s="11"/>
      <c r="S1255" s="11"/>
      <c r="T1255" s="9"/>
      <c r="U1255" s="14" t="s">
        <v>77</v>
      </c>
      <c r="V1255" s="9"/>
      <c r="W1255" s="12">
        <v>30</v>
      </c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>
        <f t="shared" si="175"/>
        <v>0</v>
      </c>
      <c r="AI1255" s="13"/>
      <c r="AJ1255" s="13">
        <f t="shared" si="174"/>
        <v>0</v>
      </c>
      <c r="AK1255" s="9"/>
      <c r="AL1255" s="13"/>
      <c r="AM1255" s="9"/>
      <c r="AN1255" s="9"/>
      <c r="AO1255" s="9"/>
      <c r="AP1255" s="14"/>
    </row>
    <row r="1256" spans="1:42" s="45" customFormat="1" ht="22" customHeight="1">
      <c r="A1256" s="14" t="s">
        <v>19</v>
      </c>
      <c r="B1256" s="8">
        <v>2024</v>
      </c>
      <c r="C1256" s="8" t="s">
        <v>8</v>
      </c>
      <c r="D1256" s="9" t="s">
        <v>185</v>
      </c>
      <c r="E1256" s="9" t="s">
        <v>15</v>
      </c>
      <c r="F1256" s="9" t="s">
        <v>186</v>
      </c>
      <c r="G1256" s="8"/>
      <c r="H1256" s="8"/>
      <c r="I1256" s="9" t="s">
        <v>116</v>
      </c>
      <c r="J1256" s="9" t="s">
        <v>116</v>
      </c>
      <c r="K1256" s="9" t="s">
        <v>269</v>
      </c>
      <c r="L1256" s="9" t="s">
        <v>270</v>
      </c>
      <c r="M1256" s="14" t="s">
        <v>84</v>
      </c>
      <c r="N1256" s="9" t="s">
        <v>271</v>
      </c>
      <c r="O1256" s="9" t="s">
        <v>296</v>
      </c>
      <c r="P1256" s="9" t="s">
        <v>308</v>
      </c>
      <c r="Q1256" s="11"/>
      <c r="R1256" s="11"/>
      <c r="S1256" s="11"/>
      <c r="T1256" s="9"/>
      <c r="U1256" s="14" t="s">
        <v>77</v>
      </c>
      <c r="V1256" s="9"/>
      <c r="W1256" s="12">
        <v>30</v>
      </c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>
        <f t="shared" si="175"/>
        <v>0</v>
      </c>
      <c r="AI1256" s="13"/>
      <c r="AJ1256" s="13">
        <f t="shared" si="174"/>
        <v>0</v>
      </c>
      <c r="AK1256" s="9"/>
      <c r="AL1256" s="13"/>
      <c r="AM1256" s="9"/>
      <c r="AN1256" s="9"/>
      <c r="AO1256" s="9"/>
      <c r="AP1256" s="14"/>
    </row>
    <row r="1257" spans="1:42" s="45" customFormat="1" ht="22" customHeight="1">
      <c r="A1257" s="14" t="s">
        <v>19</v>
      </c>
      <c r="B1257" s="8">
        <v>2024</v>
      </c>
      <c r="C1257" s="8" t="s">
        <v>8</v>
      </c>
      <c r="D1257" s="9" t="s">
        <v>185</v>
      </c>
      <c r="E1257" s="9" t="s">
        <v>15</v>
      </c>
      <c r="F1257" s="9" t="s">
        <v>186</v>
      </c>
      <c r="G1257" s="8"/>
      <c r="H1257" s="8"/>
      <c r="I1257" s="9" t="s">
        <v>116</v>
      </c>
      <c r="J1257" s="9" t="s">
        <v>116</v>
      </c>
      <c r="K1257" s="9" t="s">
        <v>269</v>
      </c>
      <c r="L1257" s="9" t="s">
        <v>270</v>
      </c>
      <c r="M1257" s="14" t="s">
        <v>84</v>
      </c>
      <c r="N1257" s="9" t="s">
        <v>271</v>
      </c>
      <c r="O1257" s="9" t="s">
        <v>296</v>
      </c>
      <c r="P1257" s="9" t="s">
        <v>309</v>
      </c>
      <c r="Q1257" s="11"/>
      <c r="R1257" s="11"/>
      <c r="S1257" s="11"/>
      <c r="T1257" s="9"/>
      <c r="U1257" s="14" t="s">
        <v>77</v>
      </c>
      <c r="V1257" s="9"/>
      <c r="W1257" s="12">
        <v>30</v>
      </c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>
        <f t="shared" si="175"/>
        <v>0</v>
      </c>
      <c r="AI1257" s="13"/>
      <c r="AJ1257" s="13">
        <f t="shared" si="174"/>
        <v>0</v>
      </c>
      <c r="AK1257" s="9"/>
      <c r="AL1257" s="13"/>
      <c r="AM1257" s="9"/>
      <c r="AN1257" s="9"/>
      <c r="AO1257" s="9"/>
      <c r="AP1257" s="14"/>
    </row>
    <row r="1258" spans="1:42" s="45" customFormat="1" ht="22" customHeight="1">
      <c r="A1258" s="14" t="s">
        <v>19</v>
      </c>
      <c r="B1258" s="8">
        <v>2024</v>
      </c>
      <c r="C1258" s="8" t="s">
        <v>8</v>
      </c>
      <c r="D1258" s="9" t="s">
        <v>185</v>
      </c>
      <c r="E1258" s="9" t="s">
        <v>15</v>
      </c>
      <c r="F1258" s="9" t="s">
        <v>186</v>
      </c>
      <c r="G1258" s="8"/>
      <c r="H1258" s="8"/>
      <c r="I1258" s="9" t="s">
        <v>116</v>
      </c>
      <c r="J1258" s="9" t="s">
        <v>116</v>
      </c>
      <c r="K1258" s="9" t="s">
        <v>269</v>
      </c>
      <c r="L1258" s="9" t="s">
        <v>270</v>
      </c>
      <c r="M1258" s="14" t="s">
        <v>84</v>
      </c>
      <c r="N1258" s="9" t="s">
        <v>271</v>
      </c>
      <c r="O1258" s="9" t="s">
        <v>296</v>
      </c>
      <c r="P1258" s="9" t="s">
        <v>310</v>
      </c>
      <c r="Q1258" s="11"/>
      <c r="R1258" s="11"/>
      <c r="S1258" s="11"/>
      <c r="T1258" s="9"/>
      <c r="U1258" s="14" t="s">
        <v>77</v>
      </c>
      <c r="V1258" s="9"/>
      <c r="W1258" s="12">
        <v>30</v>
      </c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>
        <f t="shared" si="175"/>
        <v>0</v>
      </c>
      <c r="AI1258" s="13"/>
      <c r="AJ1258" s="13">
        <f t="shared" si="174"/>
        <v>0</v>
      </c>
      <c r="AK1258" s="9"/>
      <c r="AL1258" s="13"/>
      <c r="AM1258" s="9"/>
      <c r="AN1258" s="9"/>
      <c r="AO1258" s="9"/>
      <c r="AP1258" s="14"/>
    </row>
    <row r="1259" spans="1:42" s="45" customFormat="1" ht="22" customHeight="1">
      <c r="A1259" s="14" t="s">
        <v>19</v>
      </c>
      <c r="B1259" s="8">
        <v>2024</v>
      </c>
      <c r="C1259" s="8" t="s">
        <v>8</v>
      </c>
      <c r="D1259" s="9" t="s">
        <v>185</v>
      </c>
      <c r="E1259" s="9" t="s">
        <v>15</v>
      </c>
      <c r="F1259" s="9" t="s">
        <v>186</v>
      </c>
      <c r="G1259" s="8"/>
      <c r="H1259" s="8"/>
      <c r="I1259" s="9" t="s">
        <v>116</v>
      </c>
      <c r="J1259" s="9" t="s">
        <v>116</v>
      </c>
      <c r="K1259" s="9" t="s">
        <v>269</v>
      </c>
      <c r="L1259" s="9" t="s">
        <v>270</v>
      </c>
      <c r="M1259" s="14" t="s">
        <v>84</v>
      </c>
      <c r="N1259" s="9" t="s">
        <v>271</v>
      </c>
      <c r="O1259" s="9" t="s">
        <v>296</v>
      </c>
      <c r="P1259" s="9" t="s">
        <v>311</v>
      </c>
      <c r="Q1259" s="11"/>
      <c r="R1259" s="11"/>
      <c r="S1259" s="11"/>
      <c r="T1259" s="9"/>
      <c r="U1259" s="14" t="s">
        <v>77</v>
      </c>
      <c r="V1259" s="9"/>
      <c r="W1259" s="12">
        <v>30</v>
      </c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>
        <f t="shared" si="175"/>
        <v>0</v>
      </c>
      <c r="AI1259" s="13"/>
      <c r="AJ1259" s="13">
        <f t="shared" si="174"/>
        <v>0</v>
      </c>
      <c r="AK1259" s="9"/>
      <c r="AL1259" s="13"/>
      <c r="AM1259" s="9"/>
      <c r="AN1259" s="9"/>
      <c r="AO1259" s="9"/>
      <c r="AP1259" s="14"/>
    </row>
    <row r="1260" spans="1:42" s="45" customFormat="1" ht="22" customHeight="1">
      <c r="A1260" s="14" t="s">
        <v>19</v>
      </c>
      <c r="B1260" s="8">
        <v>2024</v>
      </c>
      <c r="C1260" s="8" t="s">
        <v>8</v>
      </c>
      <c r="D1260" s="9" t="s">
        <v>185</v>
      </c>
      <c r="E1260" s="9" t="s">
        <v>15</v>
      </c>
      <c r="F1260" s="9" t="s">
        <v>186</v>
      </c>
      <c r="G1260" s="8"/>
      <c r="H1260" s="8"/>
      <c r="I1260" s="9" t="s">
        <v>116</v>
      </c>
      <c r="J1260" s="9" t="s">
        <v>116</v>
      </c>
      <c r="K1260" s="9" t="s">
        <v>269</v>
      </c>
      <c r="L1260" s="9" t="s">
        <v>270</v>
      </c>
      <c r="M1260" s="14" t="s">
        <v>84</v>
      </c>
      <c r="N1260" s="9" t="s">
        <v>271</v>
      </c>
      <c r="O1260" s="9" t="s">
        <v>296</v>
      </c>
      <c r="P1260" s="9" t="s">
        <v>312</v>
      </c>
      <c r="Q1260" s="11"/>
      <c r="R1260" s="11"/>
      <c r="S1260" s="11"/>
      <c r="T1260" s="9"/>
      <c r="U1260" s="14" t="s">
        <v>77</v>
      </c>
      <c r="V1260" s="9"/>
      <c r="W1260" s="12">
        <v>30</v>
      </c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>
        <f t="shared" si="175"/>
        <v>0</v>
      </c>
      <c r="AI1260" s="13"/>
      <c r="AJ1260" s="13">
        <f t="shared" si="174"/>
        <v>0</v>
      </c>
      <c r="AK1260" s="9"/>
      <c r="AL1260" s="13"/>
      <c r="AM1260" s="9"/>
      <c r="AN1260" s="9"/>
      <c r="AO1260" s="9"/>
      <c r="AP1260" s="14"/>
    </row>
    <row r="1261" spans="1:42" s="45" customFormat="1" ht="22" customHeight="1">
      <c r="A1261" s="14" t="s">
        <v>19</v>
      </c>
      <c r="B1261" s="8">
        <v>2024</v>
      </c>
      <c r="C1261" s="8" t="s">
        <v>8</v>
      </c>
      <c r="D1261" s="9" t="s">
        <v>185</v>
      </c>
      <c r="E1261" s="9" t="s">
        <v>15</v>
      </c>
      <c r="F1261" s="9" t="s">
        <v>186</v>
      </c>
      <c r="G1261" s="8"/>
      <c r="H1261" s="8"/>
      <c r="I1261" s="9" t="s">
        <v>116</v>
      </c>
      <c r="J1261" s="9" t="s">
        <v>116</v>
      </c>
      <c r="K1261" s="9" t="s">
        <v>269</v>
      </c>
      <c r="L1261" s="9" t="s">
        <v>270</v>
      </c>
      <c r="M1261" s="14" t="s">
        <v>84</v>
      </c>
      <c r="N1261" s="9" t="s">
        <v>271</v>
      </c>
      <c r="O1261" s="9" t="s">
        <v>296</v>
      </c>
      <c r="P1261" s="9" t="s">
        <v>313</v>
      </c>
      <c r="Q1261" s="11"/>
      <c r="R1261" s="11"/>
      <c r="S1261" s="11"/>
      <c r="T1261" s="9"/>
      <c r="U1261" s="14" t="s">
        <v>77</v>
      </c>
      <c r="V1261" s="9"/>
      <c r="W1261" s="12">
        <v>30</v>
      </c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>
        <f t="shared" si="175"/>
        <v>0</v>
      </c>
      <c r="AI1261" s="13"/>
      <c r="AJ1261" s="13">
        <f t="shared" si="174"/>
        <v>0</v>
      </c>
      <c r="AK1261" s="9"/>
      <c r="AL1261" s="13"/>
      <c r="AM1261" s="9"/>
      <c r="AN1261" s="9"/>
      <c r="AO1261" s="9"/>
      <c r="AP1261" s="14"/>
    </row>
    <row r="1262" spans="1:42" s="45" customFormat="1" ht="22" customHeight="1">
      <c r="A1262" s="14" t="s">
        <v>19</v>
      </c>
      <c r="B1262" s="8">
        <v>2024</v>
      </c>
      <c r="C1262" s="8" t="s">
        <v>8</v>
      </c>
      <c r="D1262" s="9" t="s">
        <v>185</v>
      </c>
      <c r="E1262" s="9" t="s">
        <v>15</v>
      </c>
      <c r="F1262" s="9" t="s">
        <v>186</v>
      </c>
      <c r="G1262" s="8"/>
      <c r="H1262" s="8"/>
      <c r="I1262" s="9" t="s">
        <v>116</v>
      </c>
      <c r="J1262" s="9" t="s">
        <v>116</v>
      </c>
      <c r="K1262" s="9" t="s">
        <v>269</v>
      </c>
      <c r="L1262" s="9" t="s">
        <v>270</v>
      </c>
      <c r="M1262" s="14" t="s">
        <v>84</v>
      </c>
      <c r="N1262" s="9" t="s">
        <v>271</v>
      </c>
      <c r="O1262" s="9" t="s">
        <v>296</v>
      </c>
      <c r="P1262" s="9" t="s">
        <v>314</v>
      </c>
      <c r="Q1262" s="11"/>
      <c r="R1262" s="11"/>
      <c r="S1262" s="11"/>
      <c r="T1262" s="9"/>
      <c r="U1262" s="14" t="s">
        <v>77</v>
      </c>
      <c r="V1262" s="9"/>
      <c r="W1262" s="12">
        <v>30</v>
      </c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>
        <f t="shared" si="175"/>
        <v>0</v>
      </c>
      <c r="AI1262" s="13"/>
      <c r="AJ1262" s="13">
        <f t="shared" si="174"/>
        <v>0</v>
      </c>
      <c r="AK1262" s="9"/>
      <c r="AL1262" s="13"/>
      <c r="AM1262" s="9"/>
      <c r="AN1262" s="9"/>
      <c r="AO1262" s="9"/>
      <c r="AP1262" s="14"/>
    </row>
    <row r="1263" spans="1:42" s="45" customFormat="1" ht="22" customHeight="1">
      <c r="A1263" s="14" t="s">
        <v>19</v>
      </c>
      <c r="B1263" s="8">
        <v>2024</v>
      </c>
      <c r="C1263" s="8" t="s">
        <v>8</v>
      </c>
      <c r="D1263" s="9" t="s">
        <v>185</v>
      </c>
      <c r="E1263" s="9" t="s">
        <v>15</v>
      </c>
      <c r="F1263" s="9" t="s">
        <v>186</v>
      </c>
      <c r="G1263" s="8"/>
      <c r="H1263" s="8"/>
      <c r="I1263" s="9" t="s">
        <v>116</v>
      </c>
      <c r="J1263" s="9" t="s">
        <v>116</v>
      </c>
      <c r="K1263" s="9" t="s">
        <v>269</v>
      </c>
      <c r="L1263" s="9" t="s">
        <v>270</v>
      </c>
      <c r="M1263" s="14" t="s">
        <v>84</v>
      </c>
      <c r="N1263" s="9" t="s">
        <v>271</v>
      </c>
      <c r="O1263" s="9" t="s">
        <v>296</v>
      </c>
      <c r="P1263" s="9" t="s">
        <v>315</v>
      </c>
      <c r="Q1263" s="11"/>
      <c r="R1263" s="11"/>
      <c r="S1263" s="11"/>
      <c r="T1263" s="9"/>
      <c r="U1263" s="14" t="s">
        <v>77</v>
      </c>
      <c r="V1263" s="9"/>
      <c r="W1263" s="12">
        <v>30</v>
      </c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>
        <f t="shared" si="175"/>
        <v>0</v>
      </c>
      <c r="AI1263" s="13"/>
      <c r="AJ1263" s="13">
        <f t="shared" si="174"/>
        <v>0</v>
      </c>
      <c r="AK1263" s="9"/>
      <c r="AL1263" s="13"/>
      <c r="AM1263" s="9"/>
      <c r="AN1263" s="9"/>
      <c r="AO1263" s="9"/>
      <c r="AP1263" s="14"/>
    </row>
    <row r="1264" spans="1:42" s="45" customFormat="1" ht="22" customHeight="1">
      <c r="A1264" s="14" t="s">
        <v>19</v>
      </c>
      <c r="B1264" s="8">
        <v>2024</v>
      </c>
      <c r="C1264" s="8" t="s">
        <v>8</v>
      </c>
      <c r="D1264" s="9" t="s">
        <v>185</v>
      </c>
      <c r="E1264" s="9" t="s">
        <v>15</v>
      </c>
      <c r="F1264" s="9" t="s">
        <v>186</v>
      </c>
      <c r="G1264" s="8"/>
      <c r="H1264" s="8"/>
      <c r="I1264" s="9" t="s">
        <v>116</v>
      </c>
      <c r="J1264" s="9" t="s">
        <v>116</v>
      </c>
      <c r="K1264" s="9" t="s">
        <v>269</v>
      </c>
      <c r="L1264" s="9" t="s">
        <v>270</v>
      </c>
      <c r="M1264" s="14" t="s">
        <v>84</v>
      </c>
      <c r="N1264" s="9" t="s">
        <v>271</v>
      </c>
      <c r="O1264" s="9" t="s">
        <v>296</v>
      </c>
      <c r="P1264" s="9" t="s">
        <v>316</v>
      </c>
      <c r="Q1264" s="11"/>
      <c r="R1264" s="11"/>
      <c r="S1264" s="11"/>
      <c r="T1264" s="9"/>
      <c r="U1264" s="14" t="s">
        <v>77</v>
      </c>
      <c r="V1264" s="9"/>
      <c r="W1264" s="12">
        <v>30</v>
      </c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>
        <f t="shared" si="175"/>
        <v>0</v>
      </c>
      <c r="AI1264" s="13"/>
      <c r="AJ1264" s="13">
        <f t="shared" si="174"/>
        <v>0</v>
      </c>
      <c r="AK1264" s="9"/>
      <c r="AL1264" s="13"/>
      <c r="AM1264" s="9"/>
      <c r="AN1264" s="9"/>
      <c r="AO1264" s="9"/>
      <c r="AP1264" s="14"/>
    </row>
    <row r="1265" spans="1:42" s="45" customFormat="1" ht="22" customHeight="1">
      <c r="A1265" s="14" t="s">
        <v>19</v>
      </c>
      <c r="B1265" s="8">
        <v>2024</v>
      </c>
      <c r="C1265" s="8" t="s">
        <v>8</v>
      </c>
      <c r="D1265" s="9" t="s">
        <v>185</v>
      </c>
      <c r="E1265" s="9" t="s">
        <v>15</v>
      </c>
      <c r="F1265" s="9" t="s">
        <v>186</v>
      </c>
      <c r="G1265" s="8"/>
      <c r="H1265" s="8"/>
      <c r="I1265" s="9" t="s">
        <v>116</v>
      </c>
      <c r="J1265" s="9" t="s">
        <v>116</v>
      </c>
      <c r="K1265" s="9" t="s">
        <v>269</v>
      </c>
      <c r="L1265" s="9" t="s">
        <v>270</v>
      </c>
      <c r="M1265" s="14" t="s">
        <v>84</v>
      </c>
      <c r="N1265" s="9" t="s">
        <v>271</v>
      </c>
      <c r="O1265" s="9" t="s">
        <v>296</v>
      </c>
      <c r="P1265" s="9" t="s">
        <v>317</v>
      </c>
      <c r="Q1265" s="11"/>
      <c r="R1265" s="11"/>
      <c r="S1265" s="11"/>
      <c r="T1265" s="9"/>
      <c r="U1265" s="14" t="s">
        <v>77</v>
      </c>
      <c r="V1265" s="9"/>
      <c r="W1265" s="12">
        <v>30</v>
      </c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>
        <f t="shared" si="175"/>
        <v>0</v>
      </c>
      <c r="AI1265" s="13"/>
      <c r="AJ1265" s="13">
        <f t="shared" si="174"/>
        <v>0</v>
      </c>
      <c r="AK1265" s="9"/>
      <c r="AL1265" s="13"/>
      <c r="AM1265" s="9"/>
      <c r="AN1265" s="9"/>
      <c r="AO1265" s="9"/>
      <c r="AP1265" s="14"/>
    </row>
    <row r="1266" spans="1:42" s="45" customFormat="1" ht="22" customHeight="1">
      <c r="A1266" s="14" t="s">
        <v>19</v>
      </c>
      <c r="B1266" s="8">
        <v>2024</v>
      </c>
      <c r="C1266" s="8" t="s">
        <v>8</v>
      </c>
      <c r="D1266" s="9" t="s">
        <v>185</v>
      </c>
      <c r="E1266" s="9" t="s">
        <v>15</v>
      </c>
      <c r="F1266" s="9" t="s">
        <v>186</v>
      </c>
      <c r="G1266" s="8"/>
      <c r="H1266" s="8"/>
      <c r="I1266" s="9" t="s">
        <v>116</v>
      </c>
      <c r="J1266" s="9" t="s">
        <v>116</v>
      </c>
      <c r="K1266" s="9" t="s">
        <v>269</v>
      </c>
      <c r="L1266" s="9" t="s">
        <v>270</v>
      </c>
      <c r="M1266" s="14" t="s">
        <v>84</v>
      </c>
      <c r="N1266" s="9" t="s">
        <v>271</v>
      </c>
      <c r="O1266" s="9" t="s">
        <v>318</v>
      </c>
      <c r="P1266" s="9" t="s">
        <v>319</v>
      </c>
      <c r="Q1266" s="11"/>
      <c r="R1266" s="11"/>
      <c r="S1266" s="11"/>
      <c r="T1266" s="9"/>
      <c r="U1266" s="14" t="s">
        <v>77</v>
      </c>
      <c r="V1266" s="9"/>
      <c r="W1266" s="12">
        <v>30</v>
      </c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>
        <f t="shared" si="175"/>
        <v>0</v>
      </c>
      <c r="AI1266" s="13"/>
      <c r="AJ1266" s="13">
        <f t="shared" si="174"/>
        <v>0</v>
      </c>
      <c r="AK1266" s="9"/>
      <c r="AL1266" s="13"/>
      <c r="AM1266" s="9"/>
      <c r="AN1266" s="9"/>
      <c r="AO1266" s="9"/>
      <c r="AP1266" s="14"/>
    </row>
    <row r="1267" spans="1:42" s="45" customFormat="1" ht="22" customHeight="1">
      <c r="A1267" s="14" t="s">
        <v>19</v>
      </c>
      <c r="B1267" s="8">
        <v>2024</v>
      </c>
      <c r="C1267" s="8" t="s">
        <v>8</v>
      </c>
      <c r="D1267" s="9" t="s">
        <v>185</v>
      </c>
      <c r="E1267" s="9" t="s">
        <v>15</v>
      </c>
      <c r="F1267" s="9" t="s">
        <v>186</v>
      </c>
      <c r="G1267" s="8"/>
      <c r="H1267" s="8"/>
      <c r="I1267" s="9" t="s">
        <v>116</v>
      </c>
      <c r="J1267" s="9" t="s">
        <v>116</v>
      </c>
      <c r="K1267" s="9" t="s">
        <v>269</v>
      </c>
      <c r="L1267" s="9" t="s">
        <v>270</v>
      </c>
      <c r="M1267" s="14" t="s">
        <v>84</v>
      </c>
      <c r="N1267" s="9" t="s">
        <v>271</v>
      </c>
      <c r="O1267" s="9" t="s">
        <v>318</v>
      </c>
      <c r="P1267" s="9" t="s">
        <v>320</v>
      </c>
      <c r="Q1267" s="11"/>
      <c r="R1267" s="11"/>
      <c r="S1267" s="11"/>
      <c r="T1267" s="9"/>
      <c r="U1267" s="14" t="s">
        <v>77</v>
      </c>
      <c r="V1267" s="9"/>
      <c r="W1267" s="12">
        <v>30</v>
      </c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>
        <f t="shared" si="175"/>
        <v>0</v>
      </c>
      <c r="AI1267" s="13"/>
      <c r="AJ1267" s="13">
        <f t="shared" si="174"/>
        <v>0</v>
      </c>
      <c r="AK1267" s="9"/>
      <c r="AL1267" s="13"/>
      <c r="AM1267" s="9"/>
      <c r="AN1267" s="9"/>
      <c r="AO1267" s="9"/>
      <c r="AP1267" s="14"/>
    </row>
    <row r="1268" spans="1:42" s="45" customFormat="1" ht="22" customHeight="1">
      <c r="A1268" s="14" t="s">
        <v>19</v>
      </c>
      <c r="B1268" s="8">
        <v>2024</v>
      </c>
      <c r="C1268" s="8" t="s">
        <v>8</v>
      </c>
      <c r="D1268" s="9" t="s">
        <v>185</v>
      </c>
      <c r="E1268" s="9" t="s">
        <v>15</v>
      </c>
      <c r="F1268" s="9" t="s">
        <v>186</v>
      </c>
      <c r="G1268" s="8"/>
      <c r="H1268" s="8"/>
      <c r="I1268" s="9" t="s">
        <v>116</v>
      </c>
      <c r="J1268" s="9" t="s">
        <v>116</v>
      </c>
      <c r="K1268" s="9" t="s">
        <v>269</v>
      </c>
      <c r="L1268" s="9" t="s">
        <v>270</v>
      </c>
      <c r="M1268" s="14" t="s">
        <v>84</v>
      </c>
      <c r="N1268" s="9" t="s">
        <v>271</v>
      </c>
      <c r="O1268" s="9" t="s">
        <v>318</v>
      </c>
      <c r="P1268" s="9" t="s">
        <v>321</v>
      </c>
      <c r="Q1268" s="11"/>
      <c r="R1268" s="11"/>
      <c r="S1268" s="11"/>
      <c r="T1268" s="9"/>
      <c r="U1268" s="14" t="s">
        <v>77</v>
      </c>
      <c r="V1268" s="9"/>
      <c r="W1268" s="12">
        <v>30</v>
      </c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>
        <f t="shared" si="175"/>
        <v>0</v>
      </c>
      <c r="AI1268" s="13"/>
      <c r="AJ1268" s="13">
        <f t="shared" si="174"/>
        <v>0</v>
      </c>
      <c r="AK1268" s="9"/>
      <c r="AL1268" s="13"/>
      <c r="AM1268" s="9"/>
      <c r="AN1268" s="9"/>
      <c r="AO1268" s="9"/>
      <c r="AP1268" s="14"/>
    </row>
    <row r="1269" spans="1:42" s="45" customFormat="1" ht="22" customHeight="1">
      <c r="A1269" s="14" t="s">
        <v>19</v>
      </c>
      <c r="B1269" s="8">
        <v>2024</v>
      </c>
      <c r="C1269" s="8" t="s">
        <v>8</v>
      </c>
      <c r="D1269" s="9" t="s">
        <v>185</v>
      </c>
      <c r="E1269" s="9" t="s">
        <v>15</v>
      </c>
      <c r="F1269" s="9" t="s">
        <v>186</v>
      </c>
      <c r="G1269" s="8"/>
      <c r="H1269" s="8"/>
      <c r="I1269" s="9" t="s">
        <v>116</v>
      </c>
      <c r="J1269" s="9" t="s">
        <v>116</v>
      </c>
      <c r="K1269" s="9" t="s">
        <v>269</v>
      </c>
      <c r="L1269" s="9" t="s">
        <v>270</v>
      </c>
      <c r="M1269" s="14" t="s">
        <v>84</v>
      </c>
      <c r="N1269" s="9" t="s">
        <v>271</v>
      </c>
      <c r="O1269" s="9" t="s">
        <v>318</v>
      </c>
      <c r="P1269" s="9" t="s">
        <v>322</v>
      </c>
      <c r="Q1269" s="11"/>
      <c r="R1269" s="11"/>
      <c r="S1269" s="11"/>
      <c r="T1269" s="9"/>
      <c r="U1269" s="14" t="s">
        <v>77</v>
      </c>
      <c r="V1269" s="9"/>
      <c r="W1269" s="12">
        <v>30</v>
      </c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>
        <f t="shared" si="175"/>
        <v>0</v>
      </c>
      <c r="AI1269" s="13"/>
      <c r="AJ1269" s="13">
        <f t="shared" si="174"/>
        <v>0</v>
      </c>
      <c r="AK1269" s="9"/>
      <c r="AL1269" s="13"/>
      <c r="AM1269" s="9"/>
      <c r="AN1269" s="9"/>
      <c r="AO1269" s="9"/>
      <c r="AP1269" s="14"/>
    </row>
    <row r="1270" spans="1:42" s="45" customFormat="1" ht="22" customHeight="1">
      <c r="A1270" s="14" t="s">
        <v>19</v>
      </c>
      <c r="B1270" s="8">
        <v>2024</v>
      </c>
      <c r="C1270" s="8" t="s">
        <v>8</v>
      </c>
      <c r="D1270" s="9" t="s">
        <v>185</v>
      </c>
      <c r="E1270" s="9" t="s">
        <v>15</v>
      </c>
      <c r="F1270" s="9" t="s">
        <v>186</v>
      </c>
      <c r="G1270" s="8"/>
      <c r="H1270" s="8"/>
      <c r="I1270" s="9" t="s">
        <v>116</v>
      </c>
      <c r="J1270" s="9" t="s">
        <v>116</v>
      </c>
      <c r="K1270" s="9" t="s">
        <v>269</v>
      </c>
      <c r="L1270" s="9" t="s">
        <v>270</v>
      </c>
      <c r="M1270" s="14" t="s">
        <v>84</v>
      </c>
      <c r="N1270" s="9" t="s">
        <v>271</v>
      </c>
      <c r="O1270" s="9" t="s">
        <v>318</v>
      </c>
      <c r="P1270" s="9" t="s">
        <v>323</v>
      </c>
      <c r="Q1270" s="11"/>
      <c r="R1270" s="11"/>
      <c r="S1270" s="11"/>
      <c r="T1270" s="9"/>
      <c r="U1270" s="14" t="s">
        <v>77</v>
      </c>
      <c r="V1270" s="9"/>
      <c r="W1270" s="12">
        <v>30</v>
      </c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>
        <f t="shared" si="175"/>
        <v>0</v>
      </c>
      <c r="AI1270" s="13"/>
      <c r="AJ1270" s="13">
        <f t="shared" si="174"/>
        <v>0</v>
      </c>
      <c r="AK1270" s="9"/>
      <c r="AL1270" s="13"/>
      <c r="AM1270" s="9"/>
      <c r="AN1270" s="9"/>
      <c r="AO1270" s="9"/>
      <c r="AP1270" s="14"/>
    </row>
    <row r="1271" spans="1:42" s="45" customFormat="1" ht="22" customHeight="1">
      <c r="A1271" s="14" t="s">
        <v>19</v>
      </c>
      <c r="B1271" s="8">
        <v>2024</v>
      </c>
      <c r="C1271" s="8" t="s">
        <v>8</v>
      </c>
      <c r="D1271" s="9" t="s">
        <v>185</v>
      </c>
      <c r="E1271" s="9" t="s">
        <v>15</v>
      </c>
      <c r="F1271" s="9" t="s">
        <v>186</v>
      </c>
      <c r="G1271" s="8"/>
      <c r="H1271" s="8"/>
      <c r="I1271" s="9" t="s">
        <v>28</v>
      </c>
      <c r="J1271" s="9" t="s">
        <v>11</v>
      </c>
      <c r="K1271" s="9" t="s">
        <v>82</v>
      </c>
      <c r="L1271" s="9" t="s">
        <v>166</v>
      </c>
      <c r="M1271" s="9" t="s">
        <v>28</v>
      </c>
      <c r="N1271" s="9" t="s">
        <v>271</v>
      </c>
      <c r="O1271" s="9" t="s">
        <v>324</v>
      </c>
      <c r="P1271" s="9" t="s">
        <v>325</v>
      </c>
      <c r="Q1271" s="11">
        <v>192</v>
      </c>
      <c r="R1271" s="11"/>
      <c r="S1271" s="11">
        <f t="shared" ref="S1271:S1308" si="176">Q1271+R1271</f>
        <v>192</v>
      </c>
      <c r="T1271" s="9"/>
      <c r="U1271" s="14" t="s">
        <v>77</v>
      </c>
      <c r="V1271" s="9"/>
      <c r="W1271" s="12">
        <v>30</v>
      </c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>
        <f t="shared" si="175"/>
        <v>0.28799999999999998</v>
      </c>
      <c r="AI1271" s="13"/>
      <c r="AJ1271" s="13">
        <f t="shared" si="174"/>
        <v>0.28799999999999998</v>
      </c>
      <c r="AK1271" s="9"/>
      <c r="AL1271" s="13"/>
      <c r="AM1271" s="9"/>
      <c r="AN1271" s="9"/>
      <c r="AO1271" s="9"/>
      <c r="AP1271" s="14"/>
    </row>
    <row r="1272" spans="1:42" s="45" customFormat="1" ht="22" customHeight="1">
      <c r="A1272" s="14" t="s">
        <v>19</v>
      </c>
      <c r="B1272" s="8">
        <v>2024</v>
      </c>
      <c r="C1272" s="8" t="s">
        <v>8</v>
      </c>
      <c r="D1272" s="9" t="s">
        <v>185</v>
      </c>
      <c r="E1272" s="9" t="s">
        <v>15</v>
      </c>
      <c r="F1272" s="9" t="s">
        <v>186</v>
      </c>
      <c r="G1272" s="8"/>
      <c r="H1272" s="8"/>
      <c r="I1272" s="9" t="s">
        <v>28</v>
      </c>
      <c r="J1272" s="9" t="s">
        <v>11</v>
      </c>
      <c r="K1272" s="9" t="s">
        <v>82</v>
      </c>
      <c r="L1272" s="9" t="s">
        <v>166</v>
      </c>
      <c r="M1272" s="9" t="s">
        <v>28</v>
      </c>
      <c r="N1272" s="9" t="s">
        <v>271</v>
      </c>
      <c r="O1272" s="9" t="s">
        <v>324</v>
      </c>
      <c r="P1272" s="9" t="s">
        <v>324</v>
      </c>
      <c r="Q1272" s="11">
        <v>168</v>
      </c>
      <c r="R1272" s="11"/>
      <c r="S1272" s="11">
        <f t="shared" si="176"/>
        <v>168</v>
      </c>
      <c r="T1272" s="9"/>
      <c r="U1272" s="14" t="s">
        <v>77</v>
      </c>
      <c r="V1272" s="9"/>
      <c r="W1272" s="12">
        <v>30</v>
      </c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>
        <f t="shared" si="175"/>
        <v>0.252</v>
      </c>
      <c r="AI1272" s="13"/>
      <c r="AJ1272" s="13">
        <f t="shared" si="174"/>
        <v>0.252</v>
      </c>
      <c r="AK1272" s="9"/>
      <c r="AL1272" s="13"/>
      <c r="AM1272" s="9"/>
      <c r="AN1272" s="9"/>
      <c r="AO1272" s="9"/>
      <c r="AP1272" s="14"/>
    </row>
    <row r="1273" spans="1:42" s="45" customFormat="1" ht="22" customHeight="1">
      <c r="A1273" s="14" t="s">
        <v>19</v>
      </c>
      <c r="B1273" s="8">
        <v>2024</v>
      </c>
      <c r="C1273" s="8" t="s">
        <v>8</v>
      </c>
      <c r="D1273" s="9" t="s">
        <v>185</v>
      </c>
      <c r="E1273" s="9" t="s">
        <v>15</v>
      </c>
      <c r="F1273" s="9" t="s">
        <v>186</v>
      </c>
      <c r="G1273" s="8"/>
      <c r="H1273" s="8"/>
      <c r="I1273" s="9" t="s">
        <v>28</v>
      </c>
      <c r="J1273" s="9" t="s">
        <v>11</v>
      </c>
      <c r="K1273" s="9" t="s">
        <v>82</v>
      </c>
      <c r="L1273" s="9" t="s">
        <v>166</v>
      </c>
      <c r="M1273" s="9" t="s">
        <v>28</v>
      </c>
      <c r="N1273" s="9" t="s">
        <v>271</v>
      </c>
      <c r="O1273" s="9" t="s">
        <v>324</v>
      </c>
      <c r="P1273" s="9" t="s">
        <v>326</v>
      </c>
      <c r="Q1273" s="11">
        <v>186</v>
      </c>
      <c r="R1273" s="11"/>
      <c r="S1273" s="11">
        <f t="shared" si="176"/>
        <v>186</v>
      </c>
      <c r="T1273" s="9"/>
      <c r="U1273" s="14" t="s">
        <v>77</v>
      </c>
      <c r="V1273" s="9"/>
      <c r="W1273" s="12">
        <v>30</v>
      </c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>
        <f t="shared" si="175"/>
        <v>0.27900000000000003</v>
      </c>
      <c r="AI1273" s="13"/>
      <c r="AJ1273" s="13">
        <f t="shared" si="174"/>
        <v>0.27900000000000003</v>
      </c>
      <c r="AK1273" s="9"/>
      <c r="AL1273" s="13"/>
      <c r="AM1273" s="9"/>
      <c r="AN1273" s="9"/>
      <c r="AO1273" s="9"/>
      <c r="AP1273" s="14"/>
    </row>
    <row r="1274" spans="1:42" s="45" customFormat="1" ht="22" customHeight="1">
      <c r="A1274" s="14" t="s">
        <v>19</v>
      </c>
      <c r="B1274" s="8">
        <v>2024</v>
      </c>
      <c r="C1274" s="8" t="s">
        <v>8</v>
      </c>
      <c r="D1274" s="9" t="s">
        <v>185</v>
      </c>
      <c r="E1274" s="9" t="s">
        <v>15</v>
      </c>
      <c r="F1274" s="9" t="s">
        <v>186</v>
      </c>
      <c r="G1274" s="8"/>
      <c r="H1274" s="8"/>
      <c r="I1274" s="9" t="s">
        <v>28</v>
      </c>
      <c r="J1274" s="9" t="s">
        <v>11</v>
      </c>
      <c r="K1274" s="9" t="s">
        <v>82</v>
      </c>
      <c r="L1274" s="9" t="s">
        <v>166</v>
      </c>
      <c r="M1274" s="9" t="s">
        <v>28</v>
      </c>
      <c r="N1274" s="9" t="s">
        <v>271</v>
      </c>
      <c r="O1274" s="9" t="s">
        <v>324</v>
      </c>
      <c r="P1274" s="9" t="s">
        <v>327</v>
      </c>
      <c r="Q1274" s="11">
        <v>179</v>
      </c>
      <c r="R1274" s="11"/>
      <c r="S1274" s="11">
        <f t="shared" si="176"/>
        <v>179</v>
      </c>
      <c r="T1274" s="9"/>
      <c r="U1274" s="14" t="s">
        <v>77</v>
      </c>
      <c r="V1274" s="9"/>
      <c r="W1274" s="12">
        <v>30</v>
      </c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>
        <f t="shared" si="175"/>
        <v>0.26850000000000002</v>
      </c>
      <c r="AI1274" s="13"/>
      <c r="AJ1274" s="13">
        <f t="shared" si="174"/>
        <v>0.26850000000000002</v>
      </c>
      <c r="AK1274" s="9"/>
      <c r="AL1274" s="13"/>
      <c r="AM1274" s="9"/>
      <c r="AN1274" s="9"/>
      <c r="AO1274" s="9"/>
      <c r="AP1274" s="14"/>
    </row>
    <row r="1275" spans="1:42" s="45" customFormat="1" ht="22" customHeight="1">
      <c r="A1275" s="14" t="s">
        <v>19</v>
      </c>
      <c r="B1275" s="8">
        <v>2024</v>
      </c>
      <c r="C1275" s="8" t="s">
        <v>8</v>
      </c>
      <c r="D1275" s="9" t="s">
        <v>185</v>
      </c>
      <c r="E1275" s="9" t="s">
        <v>15</v>
      </c>
      <c r="F1275" s="9" t="s">
        <v>186</v>
      </c>
      <c r="G1275" s="8"/>
      <c r="H1275" s="8"/>
      <c r="I1275" s="9" t="s">
        <v>28</v>
      </c>
      <c r="J1275" s="9" t="s">
        <v>11</v>
      </c>
      <c r="K1275" s="9" t="s">
        <v>82</v>
      </c>
      <c r="L1275" s="9" t="s">
        <v>166</v>
      </c>
      <c r="M1275" s="9" t="s">
        <v>28</v>
      </c>
      <c r="N1275" s="9" t="s">
        <v>271</v>
      </c>
      <c r="O1275" s="9" t="s">
        <v>324</v>
      </c>
      <c r="P1275" s="9" t="s">
        <v>328</v>
      </c>
      <c r="Q1275" s="11">
        <v>164</v>
      </c>
      <c r="R1275" s="11"/>
      <c r="S1275" s="11">
        <f t="shared" si="176"/>
        <v>164</v>
      </c>
      <c r="T1275" s="9"/>
      <c r="U1275" s="14" t="s">
        <v>77</v>
      </c>
      <c r="V1275" s="9"/>
      <c r="W1275" s="12">
        <v>30</v>
      </c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>
        <f t="shared" si="175"/>
        <v>0.246</v>
      </c>
      <c r="AI1275" s="13"/>
      <c r="AJ1275" s="13">
        <f t="shared" si="174"/>
        <v>0.246</v>
      </c>
      <c r="AK1275" s="9"/>
      <c r="AL1275" s="13"/>
      <c r="AM1275" s="9"/>
      <c r="AN1275" s="9"/>
      <c r="AO1275" s="9"/>
      <c r="AP1275" s="14"/>
    </row>
    <row r="1276" spans="1:42" s="45" customFormat="1" ht="22" customHeight="1">
      <c r="A1276" s="14" t="s">
        <v>19</v>
      </c>
      <c r="B1276" s="8">
        <v>2024</v>
      </c>
      <c r="C1276" s="8" t="s">
        <v>8</v>
      </c>
      <c r="D1276" s="9" t="s">
        <v>185</v>
      </c>
      <c r="E1276" s="9" t="s">
        <v>15</v>
      </c>
      <c r="F1276" s="9" t="s">
        <v>186</v>
      </c>
      <c r="G1276" s="8"/>
      <c r="H1276" s="8"/>
      <c r="I1276" s="9" t="s">
        <v>28</v>
      </c>
      <c r="J1276" s="9" t="s">
        <v>11</v>
      </c>
      <c r="K1276" s="9" t="s">
        <v>82</v>
      </c>
      <c r="L1276" s="9" t="s">
        <v>166</v>
      </c>
      <c r="M1276" s="9" t="s">
        <v>28</v>
      </c>
      <c r="N1276" s="9" t="s">
        <v>271</v>
      </c>
      <c r="O1276" s="9" t="s">
        <v>324</v>
      </c>
      <c r="P1276" s="9" t="s">
        <v>329</v>
      </c>
      <c r="Q1276" s="11">
        <v>174</v>
      </c>
      <c r="R1276" s="11"/>
      <c r="S1276" s="11">
        <f t="shared" si="176"/>
        <v>174</v>
      </c>
      <c r="T1276" s="9"/>
      <c r="U1276" s="14" t="s">
        <v>77</v>
      </c>
      <c r="V1276" s="9"/>
      <c r="W1276" s="12">
        <v>30</v>
      </c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>
        <f t="shared" si="175"/>
        <v>0.26100000000000001</v>
      </c>
      <c r="AI1276" s="13"/>
      <c r="AJ1276" s="13">
        <f t="shared" si="174"/>
        <v>0.26100000000000001</v>
      </c>
      <c r="AK1276" s="9"/>
      <c r="AL1276" s="13"/>
      <c r="AM1276" s="9"/>
      <c r="AN1276" s="9"/>
      <c r="AO1276" s="9"/>
      <c r="AP1276" s="14"/>
    </row>
    <row r="1277" spans="1:42" s="45" customFormat="1" ht="22" customHeight="1">
      <c r="A1277" s="14" t="s">
        <v>19</v>
      </c>
      <c r="B1277" s="8">
        <v>2024</v>
      </c>
      <c r="C1277" s="8" t="s">
        <v>8</v>
      </c>
      <c r="D1277" s="9" t="s">
        <v>185</v>
      </c>
      <c r="E1277" s="9" t="s">
        <v>15</v>
      </c>
      <c r="F1277" s="9" t="s">
        <v>186</v>
      </c>
      <c r="G1277" s="8"/>
      <c r="H1277" s="8"/>
      <c r="I1277" s="9" t="s">
        <v>28</v>
      </c>
      <c r="J1277" s="9" t="s">
        <v>11</v>
      </c>
      <c r="K1277" s="9" t="s">
        <v>82</v>
      </c>
      <c r="L1277" s="9" t="s">
        <v>166</v>
      </c>
      <c r="M1277" s="9" t="s">
        <v>28</v>
      </c>
      <c r="N1277" s="9" t="s">
        <v>271</v>
      </c>
      <c r="O1277" s="9" t="s">
        <v>324</v>
      </c>
      <c r="P1277" s="9" t="s">
        <v>330</v>
      </c>
      <c r="Q1277" s="11">
        <v>168</v>
      </c>
      <c r="R1277" s="11"/>
      <c r="S1277" s="11">
        <f t="shared" si="176"/>
        <v>168</v>
      </c>
      <c r="T1277" s="9"/>
      <c r="U1277" s="14" t="s">
        <v>77</v>
      </c>
      <c r="V1277" s="9"/>
      <c r="W1277" s="12">
        <v>30</v>
      </c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>
        <f t="shared" si="175"/>
        <v>0.252</v>
      </c>
      <c r="AI1277" s="13"/>
      <c r="AJ1277" s="13">
        <f t="shared" si="174"/>
        <v>0.252</v>
      </c>
      <c r="AK1277" s="9"/>
      <c r="AL1277" s="13"/>
      <c r="AM1277" s="9"/>
      <c r="AN1277" s="9"/>
      <c r="AO1277" s="9"/>
      <c r="AP1277" s="14"/>
    </row>
    <row r="1278" spans="1:42" s="45" customFormat="1" ht="22" customHeight="1">
      <c r="A1278" s="14" t="s">
        <v>19</v>
      </c>
      <c r="B1278" s="8">
        <v>2024</v>
      </c>
      <c r="C1278" s="8" t="s">
        <v>8</v>
      </c>
      <c r="D1278" s="9" t="s">
        <v>185</v>
      </c>
      <c r="E1278" s="9" t="s">
        <v>15</v>
      </c>
      <c r="F1278" s="9" t="s">
        <v>186</v>
      </c>
      <c r="G1278" s="8"/>
      <c r="H1278" s="8"/>
      <c r="I1278" s="9" t="s">
        <v>28</v>
      </c>
      <c r="J1278" s="9" t="s">
        <v>11</v>
      </c>
      <c r="K1278" s="9" t="s">
        <v>82</v>
      </c>
      <c r="L1278" s="9" t="s">
        <v>166</v>
      </c>
      <c r="M1278" s="9" t="s">
        <v>28</v>
      </c>
      <c r="N1278" s="9" t="s">
        <v>271</v>
      </c>
      <c r="O1278" s="9" t="s">
        <v>324</v>
      </c>
      <c r="P1278" s="9" t="s">
        <v>331</v>
      </c>
      <c r="Q1278" s="11">
        <v>320</v>
      </c>
      <c r="R1278" s="11"/>
      <c r="S1278" s="11">
        <f t="shared" si="176"/>
        <v>320</v>
      </c>
      <c r="T1278" s="9"/>
      <c r="U1278" s="14" t="s">
        <v>77</v>
      </c>
      <c r="V1278" s="9"/>
      <c r="W1278" s="12">
        <v>30</v>
      </c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>
        <f t="shared" si="175"/>
        <v>0.48</v>
      </c>
      <c r="AI1278" s="13"/>
      <c r="AJ1278" s="13">
        <f t="shared" si="174"/>
        <v>0.48</v>
      </c>
      <c r="AK1278" s="9"/>
      <c r="AL1278" s="13"/>
      <c r="AM1278" s="9"/>
      <c r="AN1278" s="9"/>
      <c r="AO1278" s="9"/>
      <c r="AP1278" s="14"/>
    </row>
    <row r="1279" spans="1:42" s="45" customFormat="1" ht="22" customHeight="1">
      <c r="A1279" s="14" t="s">
        <v>19</v>
      </c>
      <c r="B1279" s="8">
        <v>2024</v>
      </c>
      <c r="C1279" s="8" t="s">
        <v>8</v>
      </c>
      <c r="D1279" s="9" t="s">
        <v>185</v>
      </c>
      <c r="E1279" s="9" t="s">
        <v>15</v>
      </c>
      <c r="F1279" s="9" t="s">
        <v>186</v>
      </c>
      <c r="G1279" s="8"/>
      <c r="H1279" s="8"/>
      <c r="I1279" s="9" t="s">
        <v>28</v>
      </c>
      <c r="J1279" s="9" t="s">
        <v>11</v>
      </c>
      <c r="K1279" s="9" t="s">
        <v>82</v>
      </c>
      <c r="L1279" s="9" t="s">
        <v>166</v>
      </c>
      <c r="M1279" s="9" t="s">
        <v>28</v>
      </c>
      <c r="N1279" s="9" t="s">
        <v>271</v>
      </c>
      <c r="O1279" s="9" t="s">
        <v>324</v>
      </c>
      <c r="P1279" s="9" t="s">
        <v>332</v>
      </c>
      <c r="Q1279" s="11">
        <v>180</v>
      </c>
      <c r="R1279" s="11"/>
      <c r="S1279" s="11">
        <f t="shared" si="176"/>
        <v>180</v>
      </c>
      <c r="T1279" s="9"/>
      <c r="U1279" s="14" t="s">
        <v>77</v>
      </c>
      <c r="V1279" s="9"/>
      <c r="W1279" s="12">
        <v>30</v>
      </c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>
        <f t="shared" si="175"/>
        <v>0.27</v>
      </c>
      <c r="AI1279" s="13"/>
      <c r="AJ1279" s="13">
        <f t="shared" si="174"/>
        <v>0.27</v>
      </c>
      <c r="AK1279" s="9"/>
      <c r="AL1279" s="13"/>
      <c r="AM1279" s="9"/>
      <c r="AN1279" s="9"/>
      <c r="AO1279" s="9"/>
      <c r="AP1279" s="14"/>
    </row>
    <row r="1280" spans="1:42" s="45" customFormat="1" ht="22" customHeight="1">
      <c r="A1280" s="14" t="s">
        <v>19</v>
      </c>
      <c r="B1280" s="8">
        <v>2024</v>
      </c>
      <c r="C1280" s="8" t="s">
        <v>8</v>
      </c>
      <c r="D1280" s="9" t="s">
        <v>185</v>
      </c>
      <c r="E1280" s="9" t="s">
        <v>15</v>
      </c>
      <c r="F1280" s="9" t="s">
        <v>186</v>
      </c>
      <c r="G1280" s="8"/>
      <c r="H1280" s="8"/>
      <c r="I1280" s="9" t="s">
        <v>28</v>
      </c>
      <c r="J1280" s="9" t="s">
        <v>11</v>
      </c>
      <c r="K1280" s="9" t="s">
        <v>82</v>
      </c>
      <c r="L1280" s="9" t="s">
        <v>166</v>
      </c>
      <c r="M1280" s="9" t="s">
        <v>28</v>
      </c>
      <c r="N1280" s="9" t="s">
        <v>271</v>
      </c>
      <c r="O1280" s="9" t="s">
        <v>324</v>
      </c>
      <c r="P1280" s="9" t="s">
        <v>333</v>
      </c>
      <c r="Q1280" s="11">
        <v>193</v>
      </c>
      <c r="R1280" s="11"/>
      <c r="S1280" s="11">
        <f t="shared" si="176"/>
        <v>193</v>
      </c>
      <c r="T1280" s="9"/>
      <c r="U1280" s="14" t="s">
        <v>77</v>
      </c>
      <c r="V1280" s="9"/>
      <c r="W1280" s="12">
        <v>30</v>
      </c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>
        <f t="shared" si="175"/>
        <v>0.28949999999999998</v>
      </c>
      <c r="AI1280" s="13"/>
      <c r="AJ1280" s="13">
        <f t="shared" si="174"/>
        <v>0.28949999999999998</v>
      </c>
      <c r="AK1280" s="9"/>
      <c r="AL1280" s="13"/>
      <c r="AM1280" s="9"/>
      <c r="AN1280" s="9"/>
      <c r="AO1280" s="9"/>
      <c r="AP1280" s="14"/>
    </row>
    <row r="1281" spans="1:42" s="45" customFormat="1" ht="22" customHeight="1">
      <c r="A1281" s="14" t="s">
        <v>19</v>
      </c>
      <c r="B1281" s="8">
        <v>2024</v>
      </c>
      <c r="C1281" s="8" t="s">
        <v>8</v>
      </c>
      <c r="D1281" s="9" t="s">
        <v>185</v>
      </c>
      <c r="E1281" s="9" t="s">
        <v>15</v>
      </c>
      <c r="F1281" s="9" t="s">
        <v>186</v>
      </c>
      <c r="G1281" s="8"/>
      <c r="H1281" s="8"/>
      <c r="I1281" s="9" t="s">
        <v>28</v>
      </c>
      <c r="J1281" s="9" t="s">
        <v>11</v>
      </c>
      <c r="K1281" s="9" t="s">
        <v>82</v>
      </c>
      <c r="L1281" s="9" t="s">
        <v>166</v>
      </c>
      <c r="M1281" s="9" t="s">
        <v>28</v>
      </c>
      <c r="N1281" s="9" t="s">
        <v>271</v>
      </c>
      <c r="O1281" s="9" t="s">
        <v>324</v>
      </c>
      <c r="P1281" s="9" t="s">
        <v>334</v>
      </c>
      <c r="Q1281" s="11">
        <v>173</v>
      </c>
      <c r="R1281" s="11"/>
      <c r="S1281" s="11">
        <f t="shared" si="176"/>
        <v>173</v>
      </c>
      <c r="T1281" s="9"/>
      <c r="U1281" s="14" t="s">
        <v>77</v>
      </c>
      <c r="V1281" s="9"/>
      <c r="W1281" s="12">
        <v>30</v>
      </c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>
        <f t="shared" si="175"/>
        <v>0.25950000000000001</v>
      </c>
      <c r="AI1281" s="13"/>
      <c r="AJ1281" s="13">
        <f t="shared" si="174"/>
        <v>0.25950000000000001</v>
      </c>
      <c r="AK1281" s="9"/>
      <c r="AL1281" s="13"/>
      <c r="AM1281" s="9"/>
      <c r="AN1281" s="9"/>
      <c r="AO1281" s="9"/>
      <c r="AP1281" s="14"/>
    </row>
    <row r="1282" spans="1:42" s="45" customFormat="1" ht="22" customHeight="1">
      <c r="A1282" s="14" t="s">
        <v>19</v>
      </c>
      <c r="B1282" s="8">
        <v>2024</v>
      </c>
      <c r="C1282" s="8" t="s">
        <v>8</v>
      </c>
      <c r="D1282" s="9" t="s">
        <v>185</v>
      </c>
      <c r="E1282" s="9" t="s">
        <v>15</v>
      </c>
      <c r="F1282" s="9" t="s">
        <v>186</v>
      </c>
      <c r="G1282" s="8"/>
      <c r="H1282" s="8"/>
      <c r="I1282" s="9" t="s">
        <v>28</v>
      </c>
      <c r="J1282" s="9" t="s">
        <v>11</v>
      </c>
      <c r="K1282" s="9" t="s">
        <v>82</v>
      </c>
      <c r="L1282" s="9" t="s">
        <v>166</v>
      </c>
      <c r="M1282" s="9" t="s">
        <v>28</v>
      </c>
      <c r="N1282" s="9" t="s">
        <v>271</v>
      </c>
      <c r="O1282" s="9" t="s">
        <v>324</v>
      </c>
      <c r="P1282" s="9" t="s">
        <v>335</v>
      </c>
      <c r="Q1282" s="11">
        <v>173</v>
      </c>
      <c r="R1282" s="11"/>
      <c r="S1282" s="11">
        <f t="shared" si="176"/>
        <v>173</v>
      </c>
      <c r="T1282" s="9"/>
      <c r="U1282" s="14" t="s">
        <v>77</v>
      </c>
      <c r="V1282" s="9"/>
      <c r="W1282" s="12">
        <v>30</v>
      </c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>
        <f t="shared" si="175"/>
        <v>0.25950000000000001</v>
      </c>
      <c r="AI1282" s="13"/>
      <c r="AJ1282" s="13">
        <f t="shared" si="174"/>
        <v>0.25950000000000001</v>
      </c>
      <c r="AK1282" s="9"/>
      <c r="AL1282" s="13"/>
      <c r="AM1282" s="9"/>
      <c r="AN1282" s="9"/>
      <c r="AO1282" s="9"/>
      <c r="AP1282" s="14"/>
    </row>
    <row r="1283" spans="1:42" s="45" customFormat="1" ht="22" customHeight="1">
      <c r="A1283" s="14" t="s">
        <v>19</v>
      </c>
      <c r="B1283" s="8">
        <v>2024</v>
      </c>
      <c r="C1283" s="8" t="s">
        <v>8</v>
      </c>
      <c r="D1283" s="9" t="s">
        <v>185</v>
      </c>
      <c r="E1283" s="9" t="s">
        <v>15</v>
      </c>
      <c r="F1283" s="9" t="s">
        <v>186</v>
      </c>
      <c r="G1283" s="8"/>
      <c r="H1283" s="8"/>
      <c r="I1283" s="9" t="s">
        <v>28</v>
      </c>
      <c r="J1283" s="9" t="s">
        <v>11</v>
      </c>
      <c r="K1283" s="9" t="s">
        <v>82</v>
      </c>
      <c r="L1283" s="9" t="s">
        <v>166</v>
      </c>
      <c r="M1283" s="9" t="s">
        <v>11</v>
      </c>
      <c r="N1283" s="9" t="s">
        <v>266</v>
      </c>
      <c r="O1283" s="9" t="s">
        <v>336</v>
      </c>
      <c r="P1283" s="9" t="s">
        <v>337</v>
      </c>
      <c r="Q1283" s="11">
        <v>103</v>
      </c>
      <c r="R1283" s="11"/>
      <c r="S1283" s="11">
        <f t="shared" si="176"/>
        <v>103</v>
      </c>
      <c r="T1283" s="9"/>
      <c r="U1283" s="14" t="s">
        <v>77</v>
      </c>
      <c r="V1283" s="9"/>
      <c r="W1283" s="12">
        <v>30</v>
      </c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>
        <f t="shared" si="175"/>
        <v>0.1545</v>
      </c>
      <c r="AI1283" s="13"/>
      <c r="AJ1283" s="13">
        <f t="shared" si="174"/>
        <v>0.1545</v>
      </c>
      <c r="AK1283" s="9"/>
      <c r="AL1283" s="13"/>
      <c r="AM1283" s="9"/>
      <c r="AN1283" s="9"/>
      <c r="AO1283" s="9"/>
      <c r="AP1283" s="14"/>
    </row>
    <row r="1284" spans="1:42" s="45" customFormat="1" ht="22" customHeight="1">
      <c r="A1284" s="14" t="s">
        <v>19</v>
      </c>
      <c r="B1284" s="8">
        <v>2024</v>
      </c>
      <c r="C1284" s="8" t="s">
        <v>8</v>
      </c>
      <c r="D1284" s="9" t="s">
        <v>185</v>
      </c>
      <c r="E1284" s="9" t="s">
        <v>15</v>
      </c>
      <c r="F1284" s="9" t="s">
        <v>186</v>
      </c>
      <c r="G1284" s="8"/>
      <c r="H1284" s="8"/>
      <c r="I1284" s="9" t="s">
        <v>28</v>
      </c>
      <c r="J1284" s="9" t="s">
        <v>11</v>
      </c>
      <c r="K1284" s="9" t="s">
        <v>82</v>
      </c>
      <c r="L1284" s="9" t="s">
        <v>166</v>
      </c>
      <c r="M1284" s="9" t="s">
        <v>11</v>
      </c>
      <c r="N1284" s="9" t="s">
        <v>266</v>
      </c>
      <c r="O1284" s="9" t="s">
        <v>336</v>
      </c>
      <c r="P1284" s="9" t="s">
        <v>326</v>
      </c>
      <c r="Q1284" s="11">
        <v>367</v>
      </c>
      <c r="R1284" s="11"/>
      <c r="S1284" s="11">
        <f t="shared" si="176"/>
        <v>367</v>
      </c>
      <c r="T1284" s="9"/>
      <c r="U1284" s="14" t="s">
        <v>77</v>
      </c>
      <c r="V1284" s="9"/>
      <c r="W1284" s="12">
        <v>30</v>
      </c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>
        <f t="shared" si="175"/>
        <v>0.55049999999999999</v>
      </c>
      <c r="AI1284" s="13"/>
      <c r="AJ1284" s="13">
        <f t="shared" si="174"/>
        <v>0.55049999999999999</v>
      </c>
      <c r="AK1284" s="9"/>
      <c r="AL1284" s="13"/>
      <c r="AM1284" s="9"/>
      <c r="AN1284" s="9"/>
      <c r="AO1284" s="9"/>
      <c r="AP1284" s="14"/>
    </row>
    <row r="1285" spans="1:42" s="45" customFormat="1" ht="22" customHeight="1">
      <c r="A1285" s="14" t="s">
        <v>19</v>
      </c>
      <c r="B1285" s="8">
        <v>2024</v>
      </c>
      <c r="C1285" s="8" t="s">
        <v>8</v>
      </c>
      <c r="D1285" s="9" t="s">
        <v>185</v>
      </c>
      <c r="E1285" s="9" t="s">
        <v>15</v>
      </c>
      <c r="F1285" s="9" t="s">
        <v>186</v>
      </c>
      <c r="G1285" s="8"/>
      <c r="H1285" s="8"/>
      <c r="I1285" s="9" t="s">
        <v>28</v>
      </c>
      <c r="J1285" s="9" t="s">
        <v>11</v>
      </c>
      <c r="K1285" s="9" t="s">
        <v>82</v>
      </c>
      <c r="L1285" s="9" t="s">
        <v>166</v>
      </c>
      <c r="M1285" s="9" t="s">
        <v>11</v>
      </c>
      <c r="N1285" s="9" t="s">
        <v>266</v>
      </c>
      <c r="O1285" s="9" t="s">
        <v>336</v>
      </c>
      <c r="P1285" s="9" t="s">
        <v>338</v>
      </c>
      <c r="Q1285" s="11">
        <v>578</v>
      </c>
      <c r="R1285" s="11"/>
      <c r="S1285" s="11">
        <f t="shared" si="176"/>
        <v>578</v>
      </c>
      <c r="T1285" s="9"/>
      <c r="U1285" s="14" t="s">
        <v>77</v>
      </c>
      <c r="V1285" s="9"/>
      <c r="W1285" s="12">
        <v>30</v>
      </c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>
        <f t="shared" si="175"/>
        <v>0.86699999999999999</v>
      </c>
      <c r="AI1285" s="13"/>
      <c r="AJ1285" s="13">
        <f t="shared" si="174"/>
        <v>0.86699999999999999</v>
      </c>
      <c r="AK1285" s="9"/>
      <c r="AL1285" s="13"/>
      <c r="AM1285" s="9"/>
      <c r="AN1285" s="9"/>
      <c r="AO1285" s="9"/>
      <c r="AP1285" s="14"/>
    </row>
    <row r="1286" spans="1:42" s="45" customFormat="1" ht="22" customHeight="1">
      <c r="A1286" s="14" t="s">
        <v>19</v>
      </c>
      <c r="B1286" s="8">
        <v>2024</v>
      </c>
      <c r="C1286" s="8" t="s">
        <v>8</v>
      </c>
      <c r="D1286" s="9" t="s">
        <v>185</v>
      </c>
      <c r="E1286" s="9" t="s">
        <v>15</v>
      </c>
      <c r="F1286" s="9" t="s">
        <v>186</v>
      </c>
      <c r="G1286" s="8"/>
      <c r="H1286" s="8"/>
      <c r="I1286" s="9" t="s">
        <v>28</v>
      </c>
      <c r="J1286" s="9" t="s">
        <v>11</v>
      </c>
      <c r="K1286" s="9" t="s">
        <v>82</v>
      </c>
      <c r="L1286" s="9" t="s">
        <v>166</v>
      </c>
      <c r="M1286" s="9" t="s">
        <v>11</v>
      </c>
      <c r="N1286" s="9" t="s">
        <v>266</v>
      </c>
      <c r="O1286" s="9" t="s">
        <v>336</v>
      </c>
      <c r="P1286" s="9" t="s">
        <v>339</v>
      </c>
      <c r="Q1286" s="11">
        <v>501</v>
      </c>
      <c r="R1286" s="11"/>
      <c r="S1286" s="11">
        <f t="shared" si="176"/>
        <v>501</v>
      </c>
      <c r="T1286" s="9"/>
      <c r="U1286" s="14" t="s">
        <v>77</v>
      </c>
      <c r="V1286" s="9"/>
      <c r="W1286" s="12">
        <v>30</v>
      </c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>
        <f t="shared" si="175"/>
        <v>0.75149999999999995</v>
      </c>
      <c r="AI1286" s="13"/>
      <c r="AJ1286" s="13">
        <f t="shared" si="174"/>
        <v>0.75149999999999995</v>
      </c>
      <c r="AK1286" s="9"/>
      <c r="AL1286" s="13"/>
      <c r="AM1286" s="9"/>
      <c r="AN1286" s="9"/>
      <c r="AO1286" s="9"/>
      <c r="AP1286" s="14"/>
    </row>
    <row r="1287" spans="1:42" s="45" customFormat="1" ht="22" customHeight="1">
      <c r="A1287" s="14" t="s">
        <v>19</v>
      </c>
      <c r="B1287" s="8">
        <v>2024</v>
      </c>
      <c r="C1287" s="8" t="s">
        <v>8</v>
      </c>
      <c r="D1287" s="9" t="s">
        <v>185</v>
      </c>
      <c r="E1287" s="9" t="s">
        <v>15</v>
      </c>
      <c r="F1287" s="9" t="s">
        <v>186</v>
      </c>
      <c r="G1287" s="8"/>
      <c r="H1287" s="8"/>
      <c r="I1287" s="9" t="s">
        <v>28</v>
      </c>
      <c r="J1287" s="9" t="s">
        <v>11</v>
      </c>
      <c r="K1287" s="9" t="s">
        <v>82</v>
      </c>
      <c r="L1287" s="9" t="s">
        <v>166</v>
      </c>
      <c r="M1287" s="9" t="s">
        <v>11</v>
      </c>
      <c r="N1287" s="9" t="s">
        <v>266</v>
      </c>
      <c r="O1287" s="9" t="s">
        <v>336</v>
      </c>
      <c r="P1287" s="9" t="s">
        <v>340</v>
      </c>
      <c r="Q1287" s="11">
        <v>392</v>
      </c>
      <c r="R1287" s="11"/>
      <c r="S1287" s="11">
        <f t="shared" si="176"/>
        <v>392</v>
      </c>
      <c r="T1287" s="9"/>
      <c r="U1287" s="14" t="s">
        <v>77</v>
      </c>
      <c r="V1287" s="9"/>
      <c r="W1287" s="12">
        <v>30</v>
      </c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>
        <f t="shared" si="175"/>
        <v>0.58799999999999997</v>
      </c>
      <c r="AI1287" s="13"/>
      <c r="AJ1287" s="13">
        <f t="shared" si="174"/>
        <v>0.58799999999999997</v>
      </c>
      <c r="AK1287" s="9"/>
      <c r="AL1287" s="13"/>
      <c r="AM1287" s="9"/>
      <c r="AN1287" s="9"/>
      <c r="AO1287" s="9"/>
      <c r="AP1287" s="14"/>
    </row>
    <row r="1288" spans="1:42" s="45" customFormat="1" ht="22" customHeight="1">
      <c r="A1288" s="14" t="s">
        <v>19</v>
      </c>
      <c r="B1288" s="8">
        <v>2024</v>
      </c>
      <c r="C1288" s="8" t="s">
        <v>8</v>
      </c>
      <c r="D1288" s="9" t="s">
        <v>185</v>
      </c>
      <c r="E1288" s="9" t="s">
        <v>15</v>
      </c>
      <c r="F1288" s="9" t="s">
        <v>186</v>
      </c>
      <c r="G1288" s="8"/>
      <c r="H1288" s="8"/>
      <c r="I1288" s="9" t="s">
        <v>28</v>
      </c>
      <c r="J1288" s="9" t="s">
        <v>11</v>
      </c>
      <c r="K1288" s="9" t="s">
        <v>82</v>
      </c>
      <c r="L1288" s="9" t="s">
        <v>166</v>
      </c>
      <c r="M1288" s="9" t="s">
        <v>11</v>
      </c>
      <c r="N1288" s="9" t="s">
        <v>266</v>
      </c>
      <c r="O1288" s="9" t="s">
        <v>336</v>
      </c>
      <c r="P1288" s="9" t="s">
        <v>341</v>
      </c>
      <c r="Q1288" s="11">
        <v>556</v>
      </c>
      <c r="R1288" s="11"/>
      <c r="S1288" s="11">
        <f t="shared" si="176"/>
        <v>556</v>
      </c>
      <c r="T1288" s="9"/>
      <c r="U1288" s="14" t="s">
        <v>77</v>
      </c>
      <c r="V1288" s="9"/>
      <c r="W1288" s="12">
        <v>30</v>
      </c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>
        <f t="shared" si="175"/>
        <v>0.83399999999999996</v>
      </c>
      <c r="AI1288" s="13"/>
      <c r="AJ1288" s="13">
        <f t="shared" si="174"/>
        <v>0.83399999999999996</v>
      </c>
      <c r="AK1288" s="9"/>
      <c r="AL1288" s="13"/>
      <c r="AM1288" s="9"/>
      <c r="AN1288" s="9"/>
      <c r="AO1288" s="9"/>
      <c r="AP1288" s="14"/>
    </row>
    <row r="1289" spans="1:42" s="45" customFormat="1" ht="22" customHeight="1">
      <c r="A1289" s="14" t="s">
        <v>19</v>
      </c>
      <c r="B1289" s="8">
        <v>2024</v>
      </c>
      <c r="C1289" s="8" t="s">
        <v>8</v>
      </c>
      <c r="D1289" s="9" t="s">
        <v>185</v>
      </c>
      <c r="E1289" s="9" t="s">
        <v>15</v>
      </c>
      <c r="F1289" s="9" t="s">
        <v>186</v>
      </c>
      <c r="G1289" s="8"/>
      <c r="H1289" s="8"/>
      <c r="I1289" s="9" t="s">
        <v>28</v>
      </c>
      <c r="J1289" s="9" t="s">
        <v>11</v>
      </c>
      <c r="K1289" s="9" t="s">
        <v>82</v>
      </c>
      <c r="L1289" s="9" t="s">
        <v>166</v>
      </c>
      <c r="M1289" s="9" t="s">
        <v>28</v>
      </c>
      <c r="N1289" s="9" t="s">
        <v>266</v>
      </c>
      <c r="O1289" s="9" t="s">
        <v>342</v>
      </c>
      <c r="P1289" s="9" t="s">
        <v>343</v>
      </c>
      <c r="Q1289" s="11">
        <v>234</v>
      </c>
      <c r="R1289" s="11"/>
      <c r="S1289" s="11">
        <f t="shared" si="176"/>
        <v>234</v>
      </c>
      <c r="T1289" s="9"/>
      <c r="U1289" s="14" t="s">
        <v>77</v>
      </c>
      <c r="V1289" s="9"/>
      <c r="W1289" s="12">
        <v>30</v>
      </c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>
        <f t="shared" si="175"/>
        <v>0.35099999999999998</v>
      </c>
      <c r="AI1289" s="13"/>
      <c r="AJ1289" s="13">
        <f t="shared" si="174"/>
        <v>0.35099999999999998</v>
      </c>
      <c r="AK1289" s="9"/>
      <c r="AL1289" s="13"/>
      <c r="AM1289" s="9"/>
      <c r="AN1289" s="9"/>
      <c r="AO1289" s="9"/>
      <c r="AP1289" s="14"/>
    </row>
    <row r="1290" spans="1:42" s="45" customFormat="1" ht="22" customHeight="1">
      <c r="A1290" s="14" t="s">
        <v>19</v>
      </c>
      <c r="B1290" s="8">
        <v>2024</v>
      </c>
      <c r="C1290" s="8" t="s">
        <v>8</v>
      </c>
      <c r="D1290" s="9" t="s">
        <v>185</v>
      </c>
      <c r="E1290" s="9" t="s">
        <v>15</v>
      </c>
      <c r="F1290" s="9" t="s">
        <v>186</v>
      </c>
      <c r="G1290" s="8"/>
      <c r="H1290" s="8"/>
      <c r="I1290" s="9" t="s">
        <v>28</v>
      </c>
      <c r="J1290" s="9" t="s">
        <v>11</v>
      </c>
      <c r="K1290" s="9" t="s">
        <v>82</v>
      </c>
      <c r="L1290" s="9" t="s">
        <v>166</v>
      </c>
      <c r="M1290" s="9" t="s">
        <v>28</v>
      </c>
      <c r="N1290" s="9" t="s">
        <v>266</v>
      </c>
      <c r="O1290" s="9" t="s">
        <v>342</v>
      </c>
      <c r="P1290" s="9" t="s">
        <v>344</v>
      </c>
      <c r="Q1290" s="11">
        <v>104</v>
      </c>
      <c r="R1290" s="11"/>
      <c r="S1290" s="11">
        <f t="shared" si="176"/>
        <v>104</v>
      </c>
      <c r="T1290" s="9"/>
      <c r="U1290" s="14" t="s">
        <v>77</v>
      </c>
      <c r="V1290" s="9"/>
      <c r="W1290" s="12">
        <v>30</v>
      </c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>
        <f t="shared" si="175"/>
        <v>0.156</v>
      </c>
      <c r="AI1290" s="13"/>
      <c r="AJ1290" s="13">
        <f t="shared" si="174"/>
        <v>0.156</v>
      </c>
      <c r="AK1290" s="9"/>
      <c r="AL1290" s="13"/>
      <c r="AM1290" s="9"/>
      <c r="AN1290" s="9"/>
      <c r="AO1290" s="9"/>
      <c r="AP1290" s="14"/>
    </row>
    <row r="1291" spans="1:42" s="45" customFormat="1" ht="22" customHeight="1">
      <c r="A1291" s="14" t="s">
        <v>19</v>
      </c>
      <c r="B1291" s="8">
        <v>2024</v>
      </c>
      <c r="C1291" s="8" t="s">
        <v>8</v>
      </c>
      <c r="D1291" s="9" t="s">
        <v>185</v>
      </c>
      <c r="E1291" s="9" t="s">
        <v>15</v>
      </c>
      <c r="F1291" s="9" t="s">
        <v>186</v>
      </c>
      <c r="G1291" s="8"/>
      <c r="H1291" s="8"/>
      <c r="I1291" s="9" t="s">
        <v>28</v>
      </c>
      <c r="J1291" s="9" t="s">
        <v>11</v>
      </c>
      <c r="K1291" s="9" t="s">
        <v>82</v>
      </c>
      <c r="L1291" s="9" t="s">
        <v>166</v>
      </c>
      <c r="M1291" s="9" t="s">
        <v>28</v>
      </c>
      <c r="N1291" s="9" t="s">
        <v>266</v>
      </c>
      <c r="O1291" s="9" t="s">
        <v>342</v>
      </c>
      <c r="P1291" s="9" t="s">
        <v>193</v>
      </c>
      <c r="Q1291" s="11">
        <v>471</v>
      </c>
      <c r="R1291" s="11"/>
      <c r="S1291" s="11">
        <f t="shared" si="176"/>
        <v>471</v>
      </c>
      <c r="T1291" s="9"/>
      <c r="U1291" s="14" t="s">
        <v>77</v>
      </c>
      <c r="V1291" s="9"/>
      <c r="W1291" s="12">
        <v>30</v>
      </c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>
        <f t="shared" si="175"/>
        <v>0.70650000000000002</v>
      </c>
      <c r="AI1291" s="13"/>
      <c r="AJ1291" s="13">
        <f t="shared" si="174"/>
        <v>0.70650000000000002</v>
      </c>
      <c r="AK1291" s="9"/>
      <c r="AL1291" s="13"/>
      <c r="AM1291" s="9"/>
      <c r="AN1291" s="9"/>
      <c r="AO1291" s="9"/>
      <c r="AP1291" s="14"/>
    </row>
    <row r="1292" spans="1:42" s="45" customFormat="1" ht="22" customHeight="1">
      <c r="A1292" s="14" t="s">
        <v>19</v>
      </c>
      <c r="B1292" s="8">
        <v>2024</v>
      </c>
      <c r="C1292" s="8" t="s">
        <v>8</v>
      </c>
      <c r="D1292" s="9" t="s">
        <v>185</v>
      </c>
      <c r="E1292" s="9" t="s">
        <v>15</v>
      </c>
      <c r="F1292" s="9" t="s">
        <v>186</v>
      </c>
      <c r="G1292" s="8"/>
      <c r="H1292" s="8"/>
      <c r="I1292" s="9" t="s">
        <v>28</v>
      </c>
      <c r="J1292" s="9" t="s">
        <v>11</v>
      </c>
      <c r="K1292" s="9" t="s">
        <v>82</v>
      </c>
      <c r="L1292" s="9" t="s">
        <v>166</v>
      </c>
      <c r="M1292" s="9" t="s">
        <v>28</v>
      </c>
      <c r="N1292" s="9" t="s">
        <v>266</v>
      </c>
      <c r="O1292" s="9" t="s">
        <v>342</v>
      </c>
      <c r="P1292" s="9" t="s">
        <v>345</v>
      </c>
      <c r="Q1292" s="11">
        <v>215</v>
      </c>
      <c r="R1292" s="11"/>
      <c r="S1292" s="11">
        <f t="shared" si="176"/>
        <v>215</v>
      </c>
      <c r="T1292" s="9"/>
      <c r="U1292" s="14" t="s">
        <v>77</v>
      </c>
      <c r="V1292" s="9"/>
      <c r="W1292" s="12">
        <v>30</v>
      </c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>
        <f t="shared" si="175"/>
        <v>0.32250000000000001</v>
      </c>
      <c r="AI1292" s="13"/>
      <c r="AJ1292" s="13">
        <f t="shared" si="174"/>
        <v>0.32250000000000001</v>
      </c>
      <c r="AK1292" s="9"/>
      <c r="AL1292" s="13"/>
      <c r="AM1292" s="9"/>
      <c r="AN1292" s="9"/>
      <c r="AO1292" s="9"/>
      <c r="AP1292" s="14"/>
    </row>
    <row r="1293" spans="1:42" s="45" customFormat="1" ht="22" customHeight="1">
      <c r="A1293" s="14" t="s">
        <v>19</v>
      </c>
      <c r="B1293" s="8">
        <v>2024</v>
      </c>
      <c r="C1293" s="8" t="s">
        <v>8</v>
      </c>
      <c r="D1293" s="9" t="s">
        <v>185</v>
      </c>
      <c r="E1293" s="9" t="s">
        <v>15</v>
      </c>
      <c r="F1293" s="9" t="s">
        <v>186</v>
      </c>
      <c r="G1293" s="8"/>
      <c r="H1293" s="8"/>
      <c r="I1293" s="9" t="s">
        <v>28</v>
      </c>
      <c r="J1293" s="9" t="s">
        <v>11</v>
      </c>
      <c r="K1293" s="9" t="s">
        <v>82</v>
      </c>
      <c r="L1293" s="9" t="s">
        <v>166</v>
      </c>
      <c r="M1293" s="9" t="s">
        <v>28</v>
      </c>
      <c r="N1293" s="9" t="s">
        <v>266</v>
      </c>
      <c r="O1293" s="9" t="s">
        <v>342</v>
      </c>
      <c r="P1293" s="9" t="s">
        <v>346</v>
      </c>
      <c r="Q1293" s="11">
        <v>199</v>
      </c>
      <c r="R1293" s="11"/>
      <c r="S1293" s="11">
        <f t="shared" si="176"/>
        <v>199</v>
      </c>
      <c r="T1293" s="9"/>
      <c r="U1293" s="14" t="s">
        <v>77</v>
      </c>
      <c r="V1293" s="9"/>
      <c r="W1293" s="12">
        <v>30</v>
      </c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>
        <f t="shared" si="175"/>
        <v>0.29849999999999999</v>
      </c>
      <c r="AI1293" s="13"/>
      <c r="AJ1293" s="13">
        <f t="shared" si="174"/>
        <v>0.29849999999999999</v>
      </c>
      <c r="AK1293" s="9"/>
      <c r="AL1293" s="13"/>
      <c r="AM1293" s="9"/>
      <c r="AN1293" s="9"/>
      <c r="AO1293" s="9"/>
      <c r="AP1293" s="14"/>
    </row>
    <row r="1294" spans="1:42" s="45" customFormat="1" ht="22" customHeight="1">
      <c r="A1294" s="14" t="s">
        <v>19</v>
      </c>
      <c r="B1294" s="8">
        <v>2024</v>
      </c>
      <c r="C1294" s="8" t="s">
        <v>8</v>
      </c>
      <c r="D1294" s="9" t="s">
        <v>185</v>
      </c>
      <c r="E1294" s="9" t="s">
        <v>15</v>
      </c>
      <c r="F1294" s="9" t="s">
        <v>186</v>
      </c>
      <c r="G1294" s="8"/>
      <c r="H1294" s="8"/>
      <c r="I1294" s="9" t="s">
        <v>28</v>
      </c>
      <c r="J1294" s="9" t="s">
        <v>11</v>
      </c>
      <c r="K1294" s="9" t="s">
        <v>82</v>
      </c>
      <c r="L1294" s="9" t="s">
        <v>166</v>
      </c>
      <c r="M1294" s="9" t="s">
        <v>28</v>
      </c>
      <c r="N1294" s="9" t="s">
        <v>266</v>
      </c>
      <c r="O1294" s="9" t="s">
        <v>342</v>
      </c>
      <c r="P1294" s="9" t="s">
        <v>347</v>
      </c>
      <c r="Q1294" s="11">
        <v>194</v>
      </c>
      <c r="R1294" s="11"/>
      <c r="S1294" s="11">
        <f t="shared" si="176"/>
        <v>194</v>
      </c>
      <c r="T1294" s="9"/>
      <c r="U1294" s="14" t="s">
        <v>77</v>
      </c>
      <c r="V1294" s="9"/>
      <c r="W1294" s="12">
        <v>30</v>
      </c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>
        <f t="shared" si="175"/>
        <v>0.29099999999999998</v>
      </c>
      <c r="AI1294" s="13"/>
      <c r="AJ1294" s="13">
        <f t="shared" si="174"/>
        <v>0.29099999999999998</v>
      </c>
      <c r="AK1294" s="9"/>
      <c r="AL1294" s="13"/>
      <c r="AM1294" s="9"/>
      <c r="AN1294" s="9"/>
      <c r="AO1294" s="9"/>
      <c r="AP1294" s="14"/>
    </row>
    <row r="1295" spans="1:42" s="45" customFormat="1" ht="22" customHeight="1">
      <c r="A1295" s="14" t="s">
        <v>19</v>
      </c>
      <c r="B1295" s="8">
        <v>2024</v>
      </c>
      <c r="C1295" s="8" t="s">
        <v>8</v>
      </c>
      <c r="D1295" s="9" t="s">
        <v>185</v>
      </c>
      <c r="E1295" s="9" t="s">
        <v>15</v>
      </c>
      <c r="F1295" s="9" t="s">
        <v>186</v>
      </c>
      <c r="G1295" s="8"/>
      <c r="H1295" s="8"/>
      <c r="I1295" s="9" t="s">
        <v>28</v>
      </c>
      <c r="J1295" s="9" t="s">
        <v>11</v>
      </c>
      <c r="K1295" s="9" t="s">
        <v>82</v>
      </c>
      <c r="L1295" s="9" t="s">
        <v>166</v>
      </c>
      <c r="M1295" s="9" t="s">
        <v>28</v>
      </c>
      <c r="N1295" s="9" t="s">
        <v>266</v>
      </c>
      <c r="O1295" s="9" t="s">
        <v>342</v>
      </c>
      <c r="P1295" s="9" t="s">
        <v>348</v>
      </c>
      <c r="Q1295" s="11">
        <v>230</v>
      </c>
      <c r="R1295" s="11"/>
      <c r="S1295" s="11">
        <f t="shared" si="176"/>
        <v>230</v>
      </c>
      <c r="T1295" s="9"/>
      <c r="U1295" s="14" t="s">
        <v>77</v>
      </c>
      <c r="V1295" s="9"/>
      <c r="W1295" s="12">
        <v>30</v>
      </c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>
        <f t="shared" si="175"/>
        <v>0.34499999999999997</v>
      </c>
      <c r="AI1295" s="13"/>
      <c r="AJ1295" s="13">
        <f t="shared" si="174"/>
        <v>0.34499999999999997</v>
      </c>
      <c r="AK1295" s="9"/>
      <c r="AL1295" s="13"/>
      <c r="AM1295" s="9"/>
      <c r="AN1295" s="9"/>
      <c r="AO1295" s="9"/>
      <c r="AP1295" s="14"/>
    </row>
    <row r="1296" spans="1:42" s="45" customFormat="1" ht="22" customHeight="1">
      <c r="A1296" s="14" t="s">
        <v>19</v>
      </c>
      <c r="B1296" s="8">
        <v>2024</v>
      </c>
      <c r="C1296" s="8" t="s">
        <v>8</v>
      </c>
      <c r="D1296" s="9" t="s">
        <v>185</v>
      </c>
      <c r="E1296" s="9" t="s">
        <v>15</v>
      </c>
      <c r="F1296" s="9" t="s">
        <v>186</v>
      </c>
      <c r="G1296" s="8"/>
      <c r="H1296" s="8"/>
      <c r="I1296" s="9" t="s">
        <v>28</v>
      </c>
      <c r="J1296" s="9" t="s">
        <v>11</v>
      </c>
      <c r="K1296" s="9" t="s">
        <v>82</v>
      </c>
      <c r="L1296" s="9" t="s">
        <v>166</v>
      </c>
      <c r="M1296" s="9" t="s">
        <v>28</v>
      </c>
      <c r="N1296" s="9" t="s">
        <v>266</v>
      </c>
      <c r="O1296" s="9" t="s">
        <v>342</v>
      </c>
      <c r="P1296" s="9" t="s">
        <v>349</v>
      </c>
      <c r="Q1296" s="11">
        <v>151</v>
      </c>
      <c r="R1296" s="11"/>
      <c r="S1296" s="11">
        <f t="shared" si="176"/>
        <v>151</v>
      </c>
      <c r="T1296" s="9"/>
      <c r="U1296" s="14" t="s">
        <v>77</v>
      </c>
      <c r="V1296" s="9"/>
      <c r="W1296" s="12">
        <v>30</v>
      </c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>
        <f t="shared" si="175"/>
        <v>0.22650000000000001</v>
      </c>
      <c r="AI1296" s="13"/>
      <c r="AJ1296" s="13">
        <f t="shared" si="174"/>
        <v>0.22650000000000001</v>
      </c>
      <c r="AK1296" s="9"/>
      <c r="AL1296" s="13"/>
      <c r="AM1296" s="9"/>
      <c r="AN1296" s="9"/>
      <c r="AO1296" s="9"/>
      <c r="AP1296" s="14"/>
    </row>
    <row r="1297" spans="1:42" s="45" customFormat="1" ht="22" customHeight="1">
      <c r="A1297" s="14" t="s">
        <v>19</v>
      </c>
      <c r="B1297" s="8">
        <v>2024</v>
      </c>
      <c r="C1297" s="8" t="s">
        <v>8</v>
      </c>
      <c r="D1297" s="9" t="s">
        <v>185</v>
      </c>
      <c r="E1297" s="9" t="s">
        <v>15</v>
      </c>
      <c r="F1297" s="9" t="s">
        <v>186</v>
      </c>
      <c r="G1297" s="8"/>
      <c r="H1297" s="8"/>
      <c r="I1297" s="9" t="s">
        <v>28</v>
      </c>
      <c r="J1297" s="9" t="s">
        <v>11</v>
      </c>
      <c r="K1297" s="9" t="s">
        <v>82</v>
      </c>
      <c r="L1297" s="9" t="s">
        <v>166</v>
      </c>
      <c r="M1297" s="9" t="s">
        <v>28</v>
      </c>
      <c r="N1297" s="9" t="s">
        <v>266</v>
      </c>
      <c r="O1297" s="9" t="s">
        <v>342</v>
      </c>
      <c r="P1297" s="9" t="s">
        <v>350</v>
      </c>
      <c r="Q1297" s="11">
        <v>523</v>
      </c>
      <c r="R1297" s="11"/>
      <c r="S1297" s="11">
        <f t="shared" si="176"/>
        <v>523</v>
      </c>
      <c r="T1297" s="9"/>
      <c r="U1297" s="14" t="s">
        <v>77</v>
      </c>
      <c r="V1297" s="9"/>
      <c r="W1297" s="12">
        <v>30</v>
      </c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>
        <f t="shared" si="175"/>
        <v>0.78449999999999998</v>
      </c>
      <c r="AI1297" s="13"/>
      <c r="AJ1297" s="13">
        <f t="shared" si="174"/>
        <v>0.78449999999999998</v>
      </c>
      <c r="AK1297" s="9"/>
      <c r="AL1297" s="13"/>
      <c r="AM1297" s="9"/>
      <c r="AN1297" s="9"/>
      <c r="AO1297" s="9"/>
      <c r="AP1297" s="14"/>
    </row>
    <row r="1298" spans="1:42" s="45" customFormat="1" ht="22" customHeight="1">
      <c r="A1298" s="14" t="s">
        <v>19</v>
      </c>
      <c r="B1298" s="8">
        <v>2024</v>
      </c>
      <c r="C1298" s="8" t="s">
        <v>8</v>
      </c>
      <c r="D1298" s="9" t="s">
        <v>185</v>
      </c>
      <c r="E1298" s="9" t="s">
        <v>15</v>
      </c>
      <c r="F1298" s="9" t="s">
        <v>186</v>
      </c>
      <c r="G1298" s="8"/>
      <c r="H1298" s="8"/>
      <c r="I1298" s="9" t="s">
        <v>28</v>
      </c>
      <c r="J1298" s="9" t="s">
        <v>11</v>
      </c>
      <c r="K1298" s="9" t="s">
        <v>82</v>
      </c>
      <c r="L1298" s="9" t="s">
        <v>166</v>
      </c>
      <c r="M1298" s="9" t="s">
        <v>28</v>
      </c>
      <c r="N1298" s="9" t="s">
        <v>266</v>
      </c>
      <c r="O1298" s="9" t="s">
        <v>351</v>
      </c>
      <c r="P1298" s="9" t="s">
        <v>352</v>
      </c>
      <c r="Q1298" s="11">
        <v>163</v>
      </c>
      <c r="R1298" s="11"/>
      <c r="S1298" s="11">
        <f t="shared" si="176"/>
        <v>163</v>
      </c>
      <c r="T1298" s="9"/>
      <c r="U1298" s="14" t="s">
        <v>77</v>
      </c>
      <c r="V1298" s="9"/>
      <c r="W1298" s="12">
        <v>30</v>
      </c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>
        <f t="shared" si="175"/>
        <v>0.2445</v>
      </c>
      <c r="AI1298" s="13"/>
      <c r="AJ1298" s="13">
        <f t="shared" si="174"/>
        <v>0.2445</v>
      </c>
      <c r="AK1298" s="9"/>
      <c r="AL1298" s="13"/>
      <c r="AM1298" s="9"/>
      <c r="AN1298" s="9"/>
      <c r="AO1298" s="9"/>
      <c r="AP1298" s="14"/>
    </row>
    <row r="1299" spans="1:42" s="45" customFormat="1" ht="22" customHeight="1">
      <c r="A1299" s="14" t="s">
        <v>19</v>
      </c>
      <c r="B1299" s="8">
        <v>2024</v>
      </c>
      <c r="C1299" s="8" t="s">
        <v>8</v>
      </c>
      <c r="D1299" s="9" t="s">
        <v>185</v>
      </c>
      <c r="E1299" s="9" t="s">
        <v>15</v>
      </c>
      <c r="F1299" s="9" t="s">
        <v>186</v>
      </c>
      <c r="G1299" s="8"/>
      <c r="H1299" s="8"/>
      <c r="I1299" s="9" t="s">
        <v>28</v>
      </c>
      <c r="J1299" s="9" t="s">
        <v>11</v>
      </c>
      <c r="K1299" s="9" t="s">
        <v>82</v>
      </c>
      <c r="L1299" s="9" t="s">
        <v>166</v>
      </c>
      <c r="M1299" s="9" t="s">
        <v>28</v>
      </c>
      <c r="N1299" s="9" t="s">
        <v>266</v>
      </c>
      <c r="O1299" s="9" t="s">
        <v>351</v>
      </c>
      <c r="P1299" s="9" t="s">
        <v>353</v>
      </c>
      <c r="Q1299" s="11">
        <v>187</v>
      </c>
      <c r="R1299" s="11"/>
      <c r="S1299" s="11">
        <f t="shared" si="176"/>
        <v>187</v>
      </c>
      <c r="T1299" s="9"/>
      <c r="U1299" s="14" t="s">
        <v>77</v>
      </c>
      <c r="V1299" s="9"/>
      <c r="W1299" s="12">
        <v>30</v>
      </c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>
        <f t="shared" si="175"/>
        <v>0.28050000000000003</v>
      </c>
      <c r="AI1299" s="13"/>
      <c r="AJ1299" s="13">
        <f t="shared" si="174"/>
        <v>0.28050000000000003</v>
      </c>
      <c r="AK1299" s="9"/>
      <c r="AL1299" s="13"/>
      <c r="AM1299" s="9"/>
      <c r="AN1299" s="9"/>
      <c r="AO1299" s="9"/>
      <c r="AP1299" s="14"/>
    </row>
    <row r="1300" spans="1:42" s="45" customFormat="1" ht="22" customHeight="1">
      <c r="A1300" s="14" t="s">
        <v>19</v>
      </c>
      <c r="B1300" s="8">
        <v>2024</v>
      </c>
      <c r="C1300" s="8" t="s">
        <v>8</v>
      </c>
      <c r="D1300" s="9" t="s">
        <v>185</v>
      </c>
      <c r="E1300" s="9" t="s">
        <v>15</v>
      </c>
      <c r="F1300" s="9" t="s">
        <v>186</v>
      </c>
      <c r="G1300" s="8"/>
      <c r="H1300" s="8"/>
      <c r="I1300" s="9" t="s">
        <v>28</v>
      </c>
      <c r="J1300" s="9" t="s">
        <v>11</v>
      </c>
      <c r="K1300" s="9" t="s">
        <v>82</v>
      </c>
      <c r="L1300" s="9" t="s">
        <v>166</v>
      </c>
      <c r="M1300" s="9" t="s">
        <v>28</v>
      </c>
      <c r="N1300" s="9" t="s">
        <v>266</v>
      </c>
      <c r="O1300" s="9" t="s">
        <v>351</v>
      </c>
      <c r="P1300" s="9" t="s">
        <v>354</v>
      </c>
      <c r="Q1300" s="11">
        <v>127</v>
      </c>
      <c r="R1300" s="11"/>
      <c r="S1300" s="11">
        <f t="shared" si="176"/>
        <v>127</v>
      </c>
      <c r="T1300" s="9"/>
      <c r="U1300" s="14" t="s">
        <v>77</v>
      </c>
      <c r="V1300" s="9"/>
      <c r="W1300" s="12">
        <v>30</v>
      </c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>
        <f t="shared" si="175"/>
        <v>0.1905</v>
      </c>
      <c r="AI1300" s="13"/>
      <c r="AJ1300" s="13">
        <f t="shared" si="174"/>
        <v>0.1905</v>
      </c>
      <c r="AK1300" s="9"/>
      <c r="AL1300" s="13"/>
      <c r="AM1300" s="9"/>
      <c r="AN1300" s="9"/>
      <c r="AO1300" s="9"/>
      <c r="AP1300" s="14"/>
    </row>
    <row r="1301" spans="1:42" s="45" customFormat="1" ht="22" customHeight="1">
      <c r="A1301" s="14" t="s">
        <v>19</v>
      </c>
      <c r="B1301" s="8">
        <v>2024</v>
      </c>
      <c r="C1301" s="8" t="s">
        <v>8</v>
      </c>
      <c r="D1301" s="9" t="s">
        <v>185</v>
      </c>
      <c r="E1301" s="9" t="s">
        <v>15</v>
      </c>
      <c r="F1301" s="9" t="s">
        <v>186</v>
      </c>
      <c r="G1301" s="8"/>
      <c r="H1301" s="8"/>
      <c r="I1301" s="9" t="s">
        <v>28</v>
      </c>
      <c r="J1301" s="9" t="s">
        <v>11</v>
      </c>
      <c r="K1301" s="9" t="s">
        <v>82</v>
      </c>
      <c r="L1301" s="9" t="s">
        <v>166</v>
      </c>
      <c r="M1301" s="9" t="s">
        <v>28</v>
      </c>
      <c r="N1301" s="9" t="s">
        <v>266</v>
      </c>
      <c r="O1301" s="9" t="s">
        <v>351</v>
      </c>
      <c r="P1301" s="9" t="s">
        <v>355</v>
      </c>
      <c r="Q1301" s="11">
        <v>190</v>
      </c>
      <c r="R1301" s="11"/>
      <c r="S1301" s="11">
        <f t="shared" si="176"/>
        <v>190</v>
      </c>
      <c r="T1301" s="9"/>
      <c r="U1301" s="14" t="s">
        <v>77</v>
      </c>
      <c r="V1301" s="9"/>
      <c r="W1301" s="12">
        <v>30</v>
      </c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>
        <f t="shared" si="175"/>
        <v>0.28499999999999998</v>
      </c>
      <c r="AI1301" s="13"/>
      <c r="AJ1301" s="13">
        <f t="shared" si="174"/>
        <v>0.28499999999999998</v>
      </c>
      <c r="AK1301" s="9"/>
      <c r="AL1301" s="13"/>
      <c r="AM1301" s="9"/>
      <c r="AN1301" s="9"/>
      <c r="AO1301" s="9"/>
      <c r="AP1301" s="14"/>
    </row>
    <row r="1302" spans="1:42" s="45" customFormat="1" ht="22" customHeight="1">
      <c r="A1302" s="14" t="s">
        <v>19</v>
      </c>
      <c r="B1302" s="8">
        <v>2024</v>
      </c>
      <c r="C1302" s="8" t="s">
        <v>8</v>
      </c>
      <c r="D1302" s="9" t="s">
        <v>185</v>
      </c>
      <c r="E1302" s="9" t="s">
        <v>15</v>
      </c>
      <c r="F1302" s="9" t="s">
        <v>186</v>
      </c>
      <c r="G1302" s="8"/>
      <c r="H1302" s="8"/>
      <c r="I1302" s="9" t="s">
        <v>28</v>
      </c>
      <c r="J1302" s="9" t="s">
        <v>11</v>
      </c>
      <c r="K1302" s="9" t="s">
        <v>82</v>
      </c>
      <c r="L1302" s="9" t="s">
        <v>166</v>
      </c>
      <c r="M1302" s="9" t="s">
        <v>28</v>
      </c>
      <c r="N1302" s="9" t="s">
        <v>266</v>
      </c>
      <c r="O1302" s="9" t="s">
        <v>351</v>
      </c>
      <c r="P1302" s="9" t="s">
        <v>356</v>
      </c>
      <c r="Q1302" s="11">
        <v>278</v>
      </c>
      <c r="R1302" s="11"/>
      <c r="S1302" s="11">
        <f t="shared" si="176"/>
        <v>278</v>
      </c>
      <c r="T1302" s="9"/>
      <c r="U1302" s="14" t="s">
        <v>77</v>
      </c>
      <c r="V1302" s="9"/>
      <c r="W1302" s="12">
        <v>30</v>
      </c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>
        <f t="shared" si="175"/>
        <v>0.41699999999999998</v>
      </c>
      <c r="AI1302" s="13"/>
      <c r="AJ1302" s="13">
        <f t="shared" si="174"/>
        <v>0.41699999999999998</v>
      </c>
      <c r="AK1302" s="9"/>
      <c r="AL1302" s="13"/>
      <c r="AM1302" s="9"/>
      <c r="AN1302" s="9"/>
      <c r="AO1302" s="9"/>
      <c r="AP1302" s="14"/>
    </row>
    <row r="1303" spans="1:42" s="45" customFormat="1" ht="22" customHeight="1">
      <c r="A1303" s="14" t="s">
        <v>19</v>
      </c>
      <c r="B1303" s="8">
        <v>2024</v>
      </c>
      <c r="C1303" s="8" t="s">
        <v>8</v>
      </c>
      <c r="D1303" s="9" t="s">
        <v>185</v>
      </c>
      <c r="E1303" s="9" t="s">
        <v>15</v>
      </c>
      <c r="F1303" s="9" t="s">
        <v>186</v>
      </c>
      <c r="G1303" s="8"/>
      <c r="H1303" s="8"/>
      <c r="I1303" s="9" t="s">
        <v>28</v>
      </c>
      <c r="J1303" s="9" t="s">
        <v>11</v>
      </c>
      <c r="K1303" s="9" t="s">
        <v>82</v>
      </c>
      <c r="L1303" s="9" t="s">
        <v>166</v>
      </c>
      <c r="M1303" s="9" t="s">
        <v>28</v>
      </c>
      <c r="N1303" s="9" t="s">
        <v>266</v>
      </c>
      <c r="O1303" s="9" t="s">
        <v>357</v>
      </c>
      <c r="P1303" s="9" t="s">
        <v>358</v>
      </c>
      <c r="Q1303" s="11">
        <v>205</v>
      </c>
      <c r="R1303" s="11"/>
      <c r="S1303" s="11">
        <f t="shared" si="176"/>
        <v>205</v>
      </c>
      <c r="T1303" s="9"/>
      <c r="U1303" s="14" t="s">
        <v>77</v>
      </c>
      <c r="V1303" s="9"/>
      <c r="W1303" s="12">
        <v>30</v>
      </c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>
        <f t="shared" si="175"/>
        <v>0.3075</v>
      </c>
      <c r="AI1303" s="13"/>
      <c r="AJ1303" s="13">
        <f t="shared" ref="AJ1303:AJ1366" si="177">SUBTOTAL(9,X1303:AI1303)</f>
        <v>0.3075</v>
      </c>
      <c r="AK1303" s="9"/>
      <c r="AL1303" s="13"/>
      <c r="AM1303" s="9"/>
      <c r="AN1303" s="9"/>
      <c r="AO1303" s="9"/>
      <c r="AP1303" s="14"/>
    </row>
    <row r="1304" spans="1:42" s="45" customFormat="1" ht="22" customHeight="1">
      <c r="A1304" s="14" t="s">
        <v>19</v>
      </c>
      <c r="B1304" s="8">
        <v>2024</v>
      </c>
      <c r="C1304" s="8" t="s">
        <v>8</v>
      </c>
      <c r="D1304" s="9" t="s">
        <v>185</v>
      </c>
      <c r="E1304" s="9" t="s">
        <v>15</v>
      </c>
      <c r="F1304" s="9" t="s">
        <v>186</v>
      </c>
      <c r="G1304" s="8"/>
      <c r="H1304" s="8"/>
      <c r="I1304" s="9" t="s">
        <v>28</v>
      </c>
      <c r="J1304" s="9" t="s">
        <v>11</v>
      </c>
      <c r="K1304" s="9" t="s">
        <v>82</v>
      </c>
      <c r="L1304" s="9" t="s">
        <v>166</v>
      </c>
      <c r="M1304" s="9" t="s">
        <v>28</v>
      </c>
      <c r="N1304" s="9" t="s">
        <v>266</v>
      </c>
      <c r="O1304" s="9" t="s">
        <v>357</v>
      </c>
      <c r="P1304" s="9" t="s">
        <v>359</v>
      </c>
      <c r="Q1304" s="11">
        <v>395</v>
      </c>
      <c r="R1304" s="11"/>
      <c r="S1304" s="11">
        <f t="shared" si="176"/>
        <v>395</v>
      </c>
      <c r="T1304" s="9"/>
      <c r="U1304" s="14" t="s">
        <v>77</v>
      </c>
      <c r="V1304" s="9"/>
      <c r="W1304" s="12">
        <v>30</v>
      </c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>
        <f t="shared" si="175"/>
        <v>0.59250000000000003</v>
      </c>
      <c r="AI1304" s="13"/>
      <c r="AJ1304" s="13">
        <f t="shared" si="177"/>
        <v>0.59250000000000003</v>
      </c>
      <c r="AK1304" s="9"/>
      <c r="AL1304" s="13"/>
      <c r="AM1304" s="9"/>
      <c r="AN1304" s="9"/>
      <c r="AO1304" s="9"/>
      <c r="AP1304" s="14"/>
    </row>
    <row r="1305" spans="1:42" s="45" customFormat="1" ht="22" customHeight="1">
      <c r="A1305" s="14" t="s">
        <v>19</v>
      </c>
      <c r="B1305" s="8">
        <v>2024</v>
      </c>
      <c r="C1305" s="8" t="s">
        <v>8</v>
      </c>
      <c r="D1305" s="9" t="s">
        <v>185</v>
      </c>
      <c r="E1305" s="9" t="s">
        <v>15</v>
      </c>
      <c r="F1305" s="9" t="s">
        <v>186</v>
      </c>
      <c r="G1305" s="8"/>
      <c r="H1305" s="8"/>
      <c r="I1305" s="9" t="s">
        <v>28</v>
      </c>
      <c r="J1305" s="9" t="s">
        <v>11</v>
      </c>
      <c r="K1305" s="9" t="s">
        <v>82</v>
      </c>
      <c r="L1305" s="9" t="s">
        <v>166</v>
      </c>
      <c r="M1305" s="9" t="s">
        <v>28</v>
      </c>
      <c r="N1305" s="9" t="s">
        <v>266</v>
      </c>
      <c r="O1305" s="9" t="s">
        <v>357</v>
      </c>
      <c r="P1305" s="9" t="s">
        <v>360</v>
      </c>
      <c r="Q1305" s="11">
        <v>239</v>
      </c>
      <c r="R1305" s="11"/>
      <c r="S1305" s="11">
        <f t="shared" si="176"/>
        <v>239</v>
      </c>
      <c r="T1305" s="9"/>
      <c r="U1305" s="14" t="s">
        <v>77</v>
      </c>
      <c r="V1305" s="9"/>
      <c r="W1305" s="12">
        <v>30</v>
      </c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>
        <f t="shared" si="175"/>
        <v>0.35849999999999999</v>
      </c>
      <c r="AI1305" s="13"/>
      <c r="AJ1305" s="13">
        <f t="shared" si="177"/>
        <v>0.35849999999999999</v>
      </c>
      <c r="AK1305" s="9"/>
      <c r="AL1305" s="13"/>
      <c r="AM1305" s="9"/>
      <c r="AN1305" s="9"/>
      <c r="AO1305" s="9"/>
      <c r="AP1305" s="14"/>
    </row>
    <row r="1306" spans="1:42" s="45" customFormat="1" ht="22" customHeight="1">
      <c r="A1306" s="14" t="s">
        <v>19</v>
      </c>
      <c r="B1306" s="8">
        <v>2024</v>
      </c>
      <c r="C1306" s="8" t="s">
        <v>8</v>
      </c>
      <c r="D1306" s="9" t="s">
        <v>185</v>
      </c>
      <c r="E1306" s="9" t="s">
        <v>15</v>
      </c>
      <c r="F1306" s="9" t="s">
        <v>186</v>
      </c>
      <c r="G1306" s="8"/>
      <c r="H1306" s="8"/>
      <c r="I1306" s="9" t="s">
        <v>28</v>
      </c>
      <c r="J1306" s="9" t="s">
        <v>11</v>
      </c>
      <c r="K1306" s="9" t="s">
        <v>82</v>
      </c>
      <c r="L1306" s="9" t="s">
        <v>166</v>
      </c>
      <c r="M1306" s="9" t="s">
        <v>28</v>
      </c>
      <c r="N1306" s="9" t="s">
        <v>266</v>
      </c>
      <c r="O1306" s="9" t="s">
        <v>357</v>
      </c>
      <c r="P1306" s="9" t="s">
        <v>361</v>
      </c>
      <c r="Q1306" s="11">
        <v>263</v>
      </c>
      <c r="R1306" s="11"/>
      <c r="S1306" s="11">
        <f t="shared" si="176"/>
        <v>263</v>
      </c>
      <c r="T1306" s="9"/>
      <c r="U1306" s="14" t="s">
        <v>77</v>
      </c>
      <c r="V1306" s="9"/>
      <c r="W1306" s="12">
        <v>30</v>
      </c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>
        <f t="shared" si="175"/>
        <v>0.39450000000000002</v>
      </c>
      <c r="AI1306" s="13"/>
      <c r="AJ1306" s="13">
        <f t="shared" si="177"/>
        <v>0.39450000000000002</v>
      </c>
      <c r="AK1306" s="9"/>
      <c r="AL1306" s="13"/>
      <c r="AM1306" s="9"/>
      <c r="AN1306" s="9"/>
      <c r="AO1306" s="9"/>
      <c r="AP1306" s="14"/>
    </row>
    <row r="1307" spans="1:42" s="45" customFormat="1" ht="22" customHeight="1">
      <c r="A1307" s="14" t="s">
        <v>19</v>
      </c>
      <c r="B1307" s="8">
        <v>2024</v>
      </c>
      <c r="C1307" s="8" t="s">
        <v>8</v>
      </c>
      <c r="D1307" s="9" t="s">
        <v>185</v>
      </c>
      <c r="E1307" s="9" t="s">
        <v>15</v>
      </c>
      <c r="F1307" s="9" t="s">
        <v>186</v>
      </c>
      <c r="G1307" s="8"/>
      <c r="H1307" s="8"/>
      <c r="I1307" s="9" t="s">
        <v>28</v>
      </c>
      <c r="J1307" s="9" t="s">
        <v>11</v>
      </c>
      <c r="K1307" s="9" t="s">
        <v>82</v>
      </c>
      <c r="L1307" s="9" t="s">
        <v>166</v>
      </c>
      <c r="M1307" s="9" t="s">
        <v>28</v>
      </c>
      <c r="N1307" s="9" t="s">
        <v>266</v>
      </c>
      <c r="O1307" s="9" t="s">
        <v>357</v>
      </c>
      <c r="P1307" s="9" t="s">
        <v>362</v>
      </c>
      <c r="Q1307" s="11">
        <v>301</v>
      </c>
      <c r="R1307" s="11"/>
      <c r="S1307" s="11">
        <f t="shared" si="176"/>
        <v>301</v>
      </c>
      <c r="T1307" s="9"/>
      <c r="U1307" s="14" t="s">
        <v>77</v>
      </c>
      <c r="V1307" s="9"/>
      <c r="W1307" s="12">
        <v>30</v>
      </c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>
        <f t="shared" si="175"/>
        <v>0.45150000000000001</v>
      </c>
      <c r="AI1307" s="13"/>
      <c r="AJ1307" s="13">
        <f t="shared" si="177"/>
        <v>0.45150000000000001</v>
      </c>
      <c r="AK1307" s="9"/>
      <c r="AL1307" s="13"/>
      <c r="AM1307" s="9"/>
      <c r="AN1307" s="9"/>
      <c r="AO1307" s="9"/>
      <c r="AP1307" s="14"/>
    </row>
    <row r="1308" spans="1:42" s="45" customFormat="1" ht="22" customHeight="1">
      <c r="A1308" s="14" t="s">
        <v>19</v>
      </c>
      <c r="B1308" s="8">
        <v>2024</v>
      </c>
      <c r="C1308" s="8" t="s">
        <v>8</v>
      </c>
      <c r="D1308" s="9" t="s">
        <v>185</v>
      </c>
      <c r="E1308" s="9" t="s">
        <v>15</v>
      </c>
      <c r="F1308" s="9" t="s">
        <v>186</v>
      </c>
      <c r="G1308" s="8"/>
      <c r="H1308" s="8"/>
      <c r="I1308" s="9" t="s">
        <v>28</v>
      </c>
      <c r="J1308" s="9" t="s">
        <v>11</v>
      </c>
      <c r="K1308" s="9" t="s">
        <v>82</v>
      </c>
      <c r="L1308" s="9" t="s">
        <v>166</v>
      </c>
      <c r="M1308" s="9" t="s">
        <v>28</v>
      </c>
      <c r="N1308" s="9" t="s">
        <v>266</v>
      </c>
      <c r="O1308" s="9" t="s">
        <v>357</v>
      </c>
      <c r="P1308" s="9" t="s">
        <v>363</v>
      </c>
      <c r="Q1308" s="11">
        <v>146</v>
      </c>
      <c r="R1308" s="11"/>
      <c r="S1308" s="11">
        <f t="shared" si="176"/>
        <v>146</v>
      </c>
      <c r="T1308" s="9"/>
      <c r="U1308" s="14" t="s">
        <v>77</v>
      </c>
      <c r="V1308" s="9"/>
      <c r="W1308" s="12">
        <v>30</v>
      </c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>
        <f t="shared" si="175"/>
        <v>0.219</v>
      </c>
      <c r="AI1308" s="13"/>
      <c r="AJ1308" s="13">
        <f t="shared" si="177"/>
        <v>0.219</v>
      </c>
      <c r="AK1308" s="9"/>
      <c r="AL1308" s="13"/>
      <c r="AM1308" s="9"/>
      <c r="AN1308" s="9"/>
      <c r="AO1308" s="9"/>
      <c r="AP1308" s="14"/>
    </row>
    <row r="1309" spans="1:42" s="45" customFormat="1" ht="22" customHeight="1">
      <c r="A1309" s="14" t="s">
        <v>19</v>
      </c>
      <c r="B1309" s="8">
        <v>2024</v>
      </c>
      <c r="C1309" s="8" t="s">
        <v>8</v>
      </c>
      <c r="D1309" s="9" t="s">
        <v>185</v>
      </c>
      <c r="E1309" s="9" t="s">
        <v>15</v>
      </c>
      <c r="F1309" s="9" t="s">
        <v>186</v>
      </c>
      <c r="G1309" s="8"/>
      <c r="H1309" s="8"/>
      <c r="I1309" s="9" t="s">
        <v>28</v>
      </c>
      <c r="J1309" s="9" t="s">
        <v>11</v>
      </c>
      <c r="K1309" s="9" t="s">
        <v>82</v>
      </c>
      <c r="L1309" s="9" t="s">
        <v>166</v>
      </c>
      <c r="M1309" s="9" t="s">
        <v>28</v>
      </c>
      <c r="N1309" s="9" t="s">
        <v>266</v>
      </c>
      <c r="O1309" s="9" t="s">
        <v>357</v>
      </c>
      <c r="P1309" s="9" t="s">
        <v>364</v>
      </c>
      <c r="Q1309" s="11">
        <v>469</v>
      </c>
      <c r="R1309" s="11"/>
      <c r="S1309" s="11">
        <f t="shared" ref="S1309:S1372" si="178">Q1309+R1309</f>
        <v>469</v>
      </c>
      <c r="T1309" s="9"/>
      <c r="U1309" s="14" t="s">
        <v>77</v>
      </c>
      <c r="V1309" s="9"/>
      <c r="W1309" s="12">
        <v>30</v>
      </c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>
        <f t="shared" ref="AH1309:AH1321" si="179">+S1309*W1309*50/1000000</f>
        <v>0.70350000000000001</v>
      </c>
      <c r="AI1309" s="13"/>
      <c r="AJ1309" s="13">
        <f t="shared" si="177"/>
        <v>0.70350000000000001</v>
      </c>
      <c r="AK1309" s="9"/>
      <c r="AL1309" s="13"/>
      <c r="AM1309" s="9"/>
      <c r="AN1309" s="9"/>
      <c r="AO1309" s="9"/>
      <c r="AP1309" s="14"/>
    </row>
    <row r="1310" spans="1:42" s="45" customFormat="1" ht="22" customHeight="1">
      <c r="A1310" s="14" t="s">
        <v>19</v>
      </c>
      <c r="B1310" s="8">
        <v>2024</v>
      </c>
      <c r="C1310" s="8" t="s">
        <v>8</v>
      </c>
      <c r="D1310" s="9" t="s">
        <v>185</v>
      </c>
      <c r="E1310" s="9" t="s">
        <v>15</v>
      </c>
      <c r="F1310" s="9" t="s">
        <v>186</v>
      </c>
      <c r="G1310" s="8"/>
      <c r="H1310" s="8"/>
      <c r="I1310" s="9" t="s">
        <v>28</v>
      </c>
      <c r="J1310" s="9" t="s">
        <v>11</v>
      </c>
      <c r="K1310" s="9" t="s">
        <v>82</v>
      </c>
      <c r="L1310" s="9" t="s">
        <v>166</v>
      </c>
      <c r="M1310" s="9" t="s">
        <v>28</v>
      </c>
      <c r="N1310" s="9" t="s">
        <v>266</v>
      </c>
      <c r="O1310" s="9" t="s">
        <v>365</v>
      </c>
      <c r="P1310" s="9" t="s">
        <v>366</v>
      </c>
      <c r="Q1310" s="11">
        <v>233</v>
      </c>
      <c r="R1310" s="11"/>
      <c r="S1310" s="11">
        <f t="shared" si="178"/>
        <v>233</v>
      </c>
      <c r="T1310" s="9"/>
      <c r="U1310" s="14" t="s">
        <v>77</v>
      </c>
      <c r="V1310" s="9"/>
      <c r="W1310" s="12">
        <v>30</v>
      </c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>
        <f t="shared" si="179"/>
        <v>0.34949999999999998</v>
      </c>
      <c r="AI1310" s="13"/>
      <c r="AJ1310" s="13">
        <f t="shared" si="177"/>
        <v>0.34949999999999998</v>
      </c>
      <c r="AK1310" s="9"/>
      <c r="AL1310" s="13"/>
      <c r="AM1310" s="9"/>
      <c r="AN1310" s="9"/>
      <c r="AO1310" s="9"/>
      <c r="AP1310" s="14"/>
    </row>
    <row r="1311" spans="1:42" s="45" customFormat="1" ht="22" customHeight="1">
      <c r="A1311" s="14" t="s">
        <v>19</v>
      </c>
      <c r="B1311" s="8">
        <v>2024</v>
      </c>
      <c r="C1311" s="8" t="s">
        <v>8</v>
      </c>
      <c r="D1311" s="9" t="s">
        <v>185</v>
      </c>
      <c r="E1311" s="9" t="s">
        <v>15</v>
      </c>
      <c r="F1311" s="9" t="s">
        <v>186</v>
      </c>
      <c r="G1311" s="8"/>
      <c r="H1311" s="8"/>
      <c r="I1311" s="9" t="s">
        <v>28</v>
      </c>
      <c r="J1311" s="9" t="s">
        <v>11</v>
      </c>
      <c r="K1311" s="9" t="s">
        <v>82</v>
      </c>
      <c r="L1311" s="9" t="s">
        <v>166</v>
      </c>
      <c r="M1311" s="9" t="s">
        <v>28</v>
      </c>
      <c r="N1311" s="9" t="s">
        <v>266</v>
      </c>
      <c r="O1311" s="9" t="s">
        <v>365</v>
      </c>
      <c r="P1311" s="9" t="s">
        <v>367</v>
      </c>
      <c r="Q1311" s="11">
        <v>207</v>
      </c>
      <c r="R1311" s="11"/>
      <c r="S1311" s="11">
        <f t="shared" si="178"/>
        <v>207</v>
      </c>
      <c r="T1311" s="9"/>
      <c r="U1311" s="14" t="s">
        <v>77</v>
      </c>
      <c r="V1311" s="9"/>
      <c r="W1311" s="12">
        <v>30</v>
      </c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>
        <f t="shared" si="179"/>
        <v>0.3105</v>
      </c>
      <c r="AI1311" s="13"/>
      <c r="AJ1311" s="13">
        <f t="shared" si="177"/>
        <v>0.3105</v>
      </c>
      <c r="AK1311" s="9"/>
      <c r="AL1311" s="13"/>
      <c r="AM1311" s="9"/>
      <c r="AN1311" s="9"/>
      <c r="AO1311" s="9"/>
      <c r="AP1311" s="14"/>
    </row>
    <row r="1312" spans="1:42" s="45" customFormat="1" ht="22" customHeight="1">
      <c r="A1312" s="14" t="s">
        <v>19</v>
      </c>
      <c r="B1312" s="8">
        <v>2024</v>
      </c>
      <c r="C1312" s="8" t="s">
        <v>8</v>
      </c>
      <c r="D1312" s="9" t="s">
        <v>185</v>
      </c>
      <c r="E1312" s="9" t="s">
        <v>15</v>
      </c>
      <c r="F1312" s="9" t="s">
        <v>186</v>
      </c>
      <c r="G1312" s="8"/>
      <c r="H1312" s="8"/>
      <c r="I1312" s="9" t="s">
        <v>28</v>
      </c>
      <c r="J1312" s="9" t="s">
        <v>11</v>
      </c>
      <c r="K1312" s="9" t="s">
        <v>82</v>
      </c>
      <c r="L1312" s="9" t="s">
        <v>166</v>
      </c>
      <c r="M1312" s="9" t="s">
        <v>28</v>
      </c>
      <c r="N1312" s="9" t="s">
        <v>266</v>
      </c>
      <c r="O1312" s="9" t="s">
        <v>365</v>
      </c>
      <c r="P1312" s="9" t="s">
        <v>368</v>
      </c>
      <c r="Q1312" s="11">
        <v>159</v>
      </c>
      <c r="R1312" s="11"/>
      <c r="S1312" s="11">
        <f t="shared" si="178"/>
        <v>159</v>
      </c>
      <c r="T1312" s="9"/>
      <c r="U1312" s="14" t="s">
        <v>77</v>
      </c>
      <c r="V1312" s="9"/>
      <c r="W1312" s="12">
        <v>30</v>
      </c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>
        <f t="shared" si="179"/>
        <v>0.23849999999999999</v>
      </c>
      <c r="AI1312" s="13"/>
      <c r="AJ1312" s="13">
        <f t="shared" si="177"/>
        <v>0.23849999999999999</v>
      </c>
      <c r="AK1312" s="9"/>
      <c r="AL1312" s="13"/>
      <c r="AM1312" s="9"/>
      <c r="AN1312" s="9"/>
      <c r="AO1312" s="9"/>
      <c r="AP1312" s="14"/>
    </row>
    <row r="1313" spans="1:42" s="45" customFormat="1" ht="22" customHeight="1">
      <c r="A1313" s="14" t="s">
        <v>19</v>
      </c>
      <c r="B1313" s="8">
        <v>2024</v>
      </c>
      <c r="C1313" s="8" t="s">
        <v>8</v>
      </c>
      <c r="D1313" s="9" t="s">
        <v>185</v>
      </c>
      <c r="E1313" s="9" t="s">
        <v>15</v>
      </c>
      <c r="F1313" s="9" t="s">
        <v>186</v>
      </c>
      <c r="G1313" s="8"/>
      <c r="H1313" s="8"/>
      <c r="I1313" s="9" t="s">
        <v>28</v>
      </c>
      <c r="J1313" s="9" t="s">
        <v>11</v>
      </c>
      <c r="K1313" s="9" t="s">
        <v>82</v>
      </c>
      <c r="L1313" s="9" t="s">
        <v>166</v>
      </c>
      <c r="M1313" s="9" t="s">
        <v>28</v>
      </c>
      <c r="N1313" s="9" t="s">
        <v>266</v>
      </c>
      <c r="O1313" s="9" t="s">
        <v>365</v>
      </c>
      <c r="P1313" s="9" t="s">
        <v>369</v>
      </c>
      <c r="Q1313" s="11">
        <v>163</v>
      </c>
      <c r="R1313" s="11"/>
      <c r="S1313" s="11">
        <f t="shared" si="178"/>
        <v>163</v>
      </c>
      <c r="T1313" s="9"/>
      <c r="U1313" s="14" t="s">
        <v>77</v>
      </c>
      <c r="V1313" s="9"/>
      <c r="W1313" s="12">
        <v>30</v>
      </c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>
        <f t="shared" si="179"/>
        <v>0.2445</v>
      </c>
      <c r="AI1313" s="13"/>
      <c r="AJ1313" s="13">
        <f t="shared" si="177"/>
        <v>0.2445</v>
      </c>
      <c r="AK1313" s="9"/>
      <c r="AL1313" s="13"/>
      <c r="AM1313" s="9"/>
      <c r="AN1313" s="9"/>
      <c r="AO1313" s="9"/>
      <c r="AP1313" s="14"/>
    </row>
    <row r="1314" spans="1:42" s="45" customFormat="1" ht="22" customHeight="1">
      <c r="A1314" s="14" t="s">
        <v>19</v>
      </c>
      <c r="B1314" s="8">
        <v>2024</v>
      </c>
      <c r="C1314" s="8" t="s">
        <v>8</v>
      </c>
      <c r="D1314" s="9" t="s">
        <v>185</v>
      </c>
      <c r="E1314" s="9" t="s">
        <v>15</v>
      </c>
      <c r="F1314" s="9" t="s">
        <v>186</v>
      </c>
      <c r="G1314" s="8"/>
      <c r="H1314" s="8"/>
      <c r="I1314" s="9" t="s">
        <v>28</v>
      </c>
      <c r="J1314" s="9" t="s">
        <v>11</v>
      </c>
      <c r="K1314" s="9" t="s">
        <v>82</v>
      </c>
      <c r="L1314" s="9" t="s">
        <v>166</v>
      </c>
      <c r="M1314" s="9" t="s">
        <v>28</v>
      </c>
      <c r="N1314" s="9" t="s">
        <v>266</v>
      </c>
      <c r="O1314" s="9" t="s">
        <v>365</v>
      </c>
      <c r="P1314" s="9" t="s">
        <v>370</v>
      </c>
      <c r="Q1314" s="11">
        <v>164</v>
      </c>
      <c r="R1314" s="11"/>
      <c r="S1314" s="11">
        <f t="shared" si="178"/>
        <v>164</v>
      </c>
      <c r="T1314" s="9"/>
      <c r="U1314" s="14" t="s">
        <v>77</v>
      </c>
      <c r="V1314" s="9"/>
      <c r="W1314" s="12">
        <v>30</v>
      </c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>
        <f t="shared" si="179"/>
        <v>0.246</v>
      </c>
      <c r="AI1314" s="13"/>
      <c r="AJ1314" s="13">
        <f t="shared" si="177"/>
        <v>0.246</v>
      </c>
      <c r="AK1314" s="9"/>
      <c r="AL1314" s="13"/>
      <c r="AM1314" s="9"/>
      <c r="AN1314" s="9"/>
      <c r="AO1314" s="9"/>
      <c r="AP1314" s="14"/>
    </row>
    <row r="1315" spans="1:42" s="45" customFormat="1" ht="22" customHeight="1">
      <c r="A1315" s="14" t="s">
        <v>19</v>
      </c>
      <c r="B1315" s="8">
        <v>2024</v>
      </c>
      <c r="C1315" s="8" t="s">
        <v>8</v>
      </c>
      <c r="D1315" s="9" t="s">
        <v>185</v>
      </c>
      <c r="E1315" s="9" t="s">
        <v>15</v>
      </c>
      <c r="F1315" s="9" t="s">
        <v>186</v>
      </c>
      <c r="G1315" s="8"/>
      <c r="H1315" s="8"/>
      <c r="I1315" s="9" t="s">
        <v>28</v>
      </c>
      <c r="J1315" s="9" t="s">
        <v>11</v>
      </c>
      <c r="K1315" s="9" t="s">
        <v>82</v>
      </c>
      <c r="L1315" s="9" t="s">
        <v>166</v>
      </c>
      <c r="M1315" s="9" t="s">
        <v>28</v>
      </c>
      <c r="N1315" s="9" t="s">
        <v>266</v>
      </c>
      <c r="O1315" s="9" t="s">
        <v>365</v>
      </c>
      <c r="P1315" s="9" t="s">
        <v>371</v>
      </c>
      <c r="Q1315" s="11">
        <v>251</v>
      </c>
      <c r="R1315" s="11"/>
      <c r="S1315" s="11">
        <f t="shared" si="178"/>
        <v>251</v>
      </c>
      <c r="T1315" s="9"/>
      <c r="U1315" s="14" t="s">
        <v>77</v>
      </c>
      <c r="V1315" s="9"/>
      <c r="W1315" s="12">
        <v>30</v>
      </c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>
        <f t="shared" si="179"/>
        <v>0.3765</v>
      </c>
      <c r="AI1315" s="13"/>
      <c r="AJ1315" s="13">
        <f t="shared" si="177"/>
        <v>0.3765</v>
      </c>
      <c r="AK1315" s="9"/>
      <c r="AL1315" s="13"/>
      <c r="AM1315" s="9"/>
      <c r="AN1315" s="9"/>
      <c r="AO1315" s="9"/>
      <c r="AP1315" s="14"/>
    </row>
    <row r="1316" spans="1:42" s="45" customFormat="1" ht="22" customHeight="1">
      <c r="A1316" s="14" t="s">
        <v>19</v>
      </c>
      <c r="B1316" s="8">
        <v>2024</v>
      </c>
      <c r="C1316" s="8" t="s">
        <v>8</v>
      </c>
      <c r="D1316" s="9" t="s">
        <v>185</v>
      </c>
      <c r="E1316" s="9" t="s">
        <v>15</v>
      </c>
      <c r="F1316" s="9" t="s">
        <v>186</v>
      </c>
      <c r="G1316" s="8"/>
      <c r="H1316" s="8"/>
      <c r="I1316" s="9" t="s">
        <v>28</v>
      </c>
      <c r="J1316" s="9" t="s">
        <v>11</v>
      </c>
      <c r="K1316" s="9" t="s">
        <v>82</v>
      </c>
      <c r="L1316" s="9" t="s">
        <v>166</v>
      </c>
      <c r="M1316" s="9" t="s">
        <v>28</v>
      </c>
      <c r="N1316" s="9" t="s">
        <v>266</v>
      </c>
      <c r="O1316" s="9" t="s">
        <v>365</v>
      </c>
      <c r="P1316" s="9" t="s">
        <v>372</v>
      </c>
      <c r="Q1316" s="11">
        <v>204</v>
      </c>
      <c r="R1316" s="11"/>
      <c r="S1316" s="11">
        <f t="shared" si="178"/>
        <v>204</v>
      </c>
      <c r="T1316" s="9"/>
      <c r="U1316" s="14" t="s">
        <v>77</v>
      </c>
      <c r="V1316" s="9"/>
      <c r="W1316" s="12">
        <v>30</v>
      </c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>
        <f t="shared" si="179"/>
        <v>0.30599999999999999</v>
      </c>
      <c r="AI1316" s="13"/>
      <c r="AJ1316" s="13">
        <f t="shared" si="177"/>
        <v>0.30599999999999999</v>
      </c>
      <c r="AK1316" s="9"/>
      <c r="AL1316" s="13"/>
      <c r="AM1316" s="9"/>
      <c r="AN1316" s="9"/>
      <c r="AO1316" s="9"/>
      <c r="AP1316" s="14"/>
    </row>
    <row r="1317" spans="1:42" s="45" customFormat="1" ht="22" customHeight="1">
      <c r="A1317" s="14" t="s">
        <v>19</v>
      </c>
      <c r="B1317" s="8">
        <v>2024</v>
      </c>
      <c r="C1317" s="8" t="s">
        <v>8</v>
      </c>
      <c r="D1317" s="9" t="s">
        <v>185</v>
      </c>
      <c r="E1317" s="9" t="s">
        <v>15</v>
      </c>
      <c r="F1317" s="9" t="s">
        <v>186</v>
      </c>
      <c r="G1317" s="8"/>
      <c r="H1317" s="8"/>
      <c r="I1317" s="9" t="s">
        <v>28</v>
      </c>
      <c r="J1317" s="9" t="s">
        <v>11</v>
      </c>
      <c r="K1317" s="9" t="s">
        <v>82</v>
      </c>
      <c r="L1317" s="9" t="s">
        <v>166</v>
      </c>
      <c r="M1317" s="9" t="s">
        <v>28</v>
      </c>
      <c r="N1317" s="9" t="s">
        <v>266</v>
      </c>
      <c r="O1317" s="9" t="s">
        <v>339</v>
      </c>
      <c r="P1317" s="9" t="s">
        <v>373</v>
      </c>
      <c r="Q1317" s="11">
        <v>193</v>
      </c>
      <c r="R1317" s="11"/>
      <c r="S1317" s="11">
        <f t="shared" si="178"/>
        <v>193</v>
      </c>
      <c r="T1317" s="9"/>
      <c r="U1317" s="14" t="s">
        <v>77</v>
      </c>
      <c r="V1317" s="9"/>
      <c r="W1317" s="12">
        <v>30</v>
      </c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>
        <f t="shared" si="179"/>
        <v>0.28949999999999998</v>
      </c>
      <c r="AI1317" s="13"/>
      <c r="AJ1317" s="13">
        <f t="shared" si="177"/>
        <v>0.28949999999999998</v>
      </c>
      <c r="AK1317" s="9"/>
      <c r="AL1317" s="13"/>
      <c r="AM1317" s="9"/>
      <c r="AN1317" s="9"/>
      <c r="AO1317" s="9"/>
      <c r="AP1317" s="14"/>
    </row>
    <row r="1318" spans="1:42" s="45" customFormat="1" ht="22" customHeight="1">
      <c r="A1318" s="14" t="s">
        <v>19</v>
      </c>
      <c r="B1318" s="8">
        <v>2024</v>
      </c>
      <c r="C1318" s="8" t="s">
        <v>8</v>
      </c>
      <c r="D1318" s="9" t="s">
        <v>185</v>
      </c>
      <c r="E1318" s="9" t="s">
        <v>15</v>
      </c>
      <c r="F1318" s="9" t="s">
        <v>186</v>
      </c>
      <c r="G1318" s="8"/>
      <c r="H1318" s="8"/>
      <c r="I1318" s="9" t="s">
        <v>28</v>
      </c>
      <c r="J1318" s="9" t="s">
        <v>11</v>
      </c>
      <c r="K1318" s="9" t="s">
        <v>82</v>
      </c>
      <c r="L1318" s="9" t="s">
        <v>166</v>
      </c>
      <c r="M1318" s="9" t="s">
        <v>28</v>
      </c>
      <c r="N1318" s="9" t="s">
        <v>266</v>
      </c>
      <c r="O1318" s="9" t="s">
        <v>339</v>
      </c>
      <c r="P1318" s="9" t="s">
        <v>374</v>
      </c>
      <c r="Q1318" s="11">
        <v>356</v>
      </c>
      <c r="R1318" s="11"/>
      <c r="S1318" s="11">
        <f t="shared" si="178"/>
        <v>356</v>
      </c>
      <c r="T1318" s="9"/>
      <c r="U1318" s="14" t="s">
        <v>77</v>
      </c>
      <c r="V1318" s="9"/>
      <c r="W1318" s="12">
        <v>30</v>
      </c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>
        <f t="shared" si="179"/>
        <v>0.53400000000000003</v>
      </c>
      <c r="AI1318" s="13"/>
      <c r="AJ1318" s="13">
        <f t="shared" si="177"/>
        <v>0.53400000000000003</v>
      </c>
      <c r="AK1318" s="9"/>
      <c r="AL1318" s="13"/>
      <c r="AM1318" s="9"/>
      <c r="AN1318" s="9"/>
      <c r="AO1318" s="9"/>
      <c r="AP1318" s="14"/>
    </row>
    <row r="1319" spans="1:42" s="45" customFormat="1" ht="22" customHeight="1">
      <c r="A1319" s="14" t="s">
        <v>19</v>
      </c>
      <c r="B1319" s="8">
        <v>2024</v>
      </c>
      <c r="C1319" s="8" t="s">
        <v>8</v>
      </c>
      <c r="D1319" s="9" t="s">
        <v>185</v>
      </c>
      <c r="E1319" s="9" t="s">
        <v>15</v>
      </c>
      <c r="F1319" s="9" t="s">
        <v>186</v>
      </c>
      <c r="G1319" s="8"/>
      <c r="H1319" s="8"/>
      <c r="I1319" s="9" t="s">
        <v>28</v>
      </c>
      <c r="J1319" s="9" t="s">
        <v>11</v>
      </c>
      <c r="K1319" s="9" t="s">
        <v>82</v>
      </c>
      <c r="L1319" s="9" t="s">
        <v>166</v>
      </c>
      <c r="M1319" s="9" t="s">
        <v>28</v>
      </c>
      <c r="N1319" s="9" t="s">
        <v>266</v>
      </c>
      <c r="O1319" s="9" t="s">
        <v>339</v>
      </c>
      <c r="P1319" s="9" t="s">
        <v>375</v>
      </c>
      <c r="Q1319" s="11">
        <v>203</v>
      </c>
      <c r="R1319" s="11"/>
      <c r="S1319" s="11">
        <f t="shared" si="178"/>
        <v>203</v>
      </c>
      <c r="T1319" s="9"/>
      <c r="U1319" s="14" t="s">
        <v>77</v>
      </c>
      <c r="V1319" s="9"/>
      <c r="W1319" s="12">
        <v>30</v>
      </c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>
        <f t="shared" si="179"/>
        <v>0.30449999999999999</v>
      </c>
      <c r="AI1319" s="13"/>
      <c r="AJ1319" s="13">
        <f t="shared" si="177"/>
        <v>0.30449999999999999</v>
      </c>
      <c r="AK1319" s="9"/>
      <c r="AL1319" s="13"/>
      <c r="AM1319" s="9"/>
      <c r="AN1319" s="9"/>
      <c r="AO1319" s="9"/>
      <c r="AP1319" s="14"/>
    </row>
    <row r="1320" spans="1:42" s="45" customFormat="1" ht="22" customHeight="1">
      <c r="A1320" s="14" t="s">
        <v>19</v>
      </c>
      <c r="B1320" s="8">
        <v>2024</v>
      </c>
      <c r="C1320" s="8" t="s">
        <v>8</v>
      </c>
      <c r="D1320" s="9" t="s">
        <v>185</v>
      </c>
      <c r="E1320" s="9" t="s">
        <v>15</v>
      </c>
      <c r="F1320" s="9" t="s">
        <v>186</v>
      </c>
      <c r="G1320" s="8"/>
      <c r="H1320" s="8"/>
      <c r="I1320" s="9" t="s">
        <v>28</v>
      </c>
      <c r="J1320" s="9" t="s">
        <v>11</v>
      </c>
      <c r="K1320" s="9" t="s">
        <v>82</v>
      </c>
      <c r="L1320" s="9" t="s">
        <v>166</v>
      </c>
      <c r="M1320" s="9" t="s">
        <v>28</v>
      </c>
      <c r="N1320" s="9" t="s">
        <v>266</v>
      </c>
      <c r="O1320" s="9" t="s">
        <v>339</v>
      </c>
      <c r="P1320" s="9" t="s">
        <v>339</v>
      </c>
      <c r="Q1320" s="11">
        <v>379</v>
      </c>
      <c r="R1320" s="11"/>
      <c r="S1320" s="11">
        <f t="shared" si="178"/>
        <v>379</v>
      </c>
      <c r="T1320" s="9"/>
      <c r="U1320" s="14" t="s">
        <v>77</v>
      </c>
      <c r="V1320" s="9"/>
      <c r="W1320" s="12">
        <v>30</v>
      </c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>
        <f t="shared" si="179"/>
        <v>0.56850000000000001</v>
      </c>
      <c r="AI1320" s="13"/>
      <c r="AJ1320" s="13">
        <f t="shared" si="177"/>
        <v>0.56850000000000001</v>
      </c>
      <c r="AK1320" s="9"/>
      <c r="AL1320" s="13"/>
      <c r="AM1320" s="9"/>
      <c r="AN1320" s="9"/>
      <c r="AO1320" s="9"/>
      <c r="AP1320" s="14"/>
    </row>
    <row r="1321" spans="1:42" s="45" customFormat="1" ht="22" customHeight="1">
      <c r="A1321" s="14" t="s">
        <v>19</v>
      </c>
      <c r="B1321" s="8">
        <v>2024</v>
      </c>
      <c r="C1321" s="8" t="s">
        <v>8</v>
      </c>
      <c r="D1321" s="9" t="s">
        <v>185</v>
      </c>
      <c r="E1321" s="9" t="s">
        <v>15</v>
      </c>
      <c r="F1321" s="9" t="s">
        <v>186</v>
      </c>
      <c r="G1321" s="8"/>
      <c r="H1321" s="8"/>
      <c r="I1321" s="9" t="s">
        <v>28</v>
      </c>
      <c r="J1321" s="9" t="s">
        <v>11</v>
      </c>
      <c r="K1321" s="9" t="s">
        <v>82</v>
      </c>
      <c r="L1321" s="9" t="s">
        <v>166</v>
      </c>
      <c r="M1321" s="9" t="s">
        <v>28</v>
      </c>
      <c r="N1321" s="9" t="s">
        <v>266</v>
      </c>
      <c r="O1321" s="9" t="s">
        <v>339</v>
      </c>
      <c r="P1321" s="9" t="s">
        <v>376</v>
      </c>
      <c r="Q1321" s="11">
        <v>31</v>
      </c>
      <c r="R1321" s="11"/>
      <c r="S1321" s="11">
        <f t="shared" si="178"/>
        <v>31</v>
      </c>
      <c r="T1321" s="9"/>
      <c r="U1321" s="14" t="s">
        <v>77</v>
      </c>
      <c r="V1321" s="9"/>
      <c r="W1321" s="12">
        <v>30</v>
      </c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>
        <f t="shared" si="179"/>
        <v>4.65E-2</v>
      </c>
      <c r="AI1321" s="13"/>
      <c r="AJ1321" s="13">
        <f t="shared" si="177"/>
        <v>4.65E-2</v>
      </c>
      <c r="AK1321" s="9"/>
      <c r="AL1321" s="13"/>
      <c r="AM1321" s="9"/>
      <c r="AN1321" s="9"/>
      <c r="AO1321" s="9"/>
      <c r="AP1321" s="14"/>
    </row>
    <row r="1322" spans="1:42" s="45" customFormat="1" ht="22" customHeight="1">
      <c r="A1322" s="14" t="s">
        <v>19</v>
      </c>
      <c r="B1322" s="8">
        <v>2024</v>
      </c>
      <c r="C1322" s="8" t="s">
        <v>8</v>
      </c>
      <c r="D1322" s="9" t="s">
        <v>185</v>
      </c>
      <c r="E1322" s="9" t="s">
        <v>10</v>
      </c>
      <c r="F1322" s="9" t="s">
        <v>186</v>
      </c>
      <c r="G1322" s="8"/>
      <c r="H1322" s="8"/>
      <c r="I1322" s="9" t="s">
        <v>28</v>
      </c>
      <c r="J1322" s="9" t="s">
        <v>11</v>
      </c>
      <c r="K1322" s="9" t="s">
        <v>82</v>
      </c>
      <c r="L1322" s="9" t="s">
        <v>166</v>
      </c>
      <c r="M1322" s="9" t="s">
        <v>28</v>
      </c>
      <c r="N1322" s="9" t="s">
        <v>271</v>
      </c>
      <c r="O1322" s="9" t="s">
        <v>324</v>
      </c>
      <c r="P1322" s="9" t="s">
        <v>325</v>
      </c>
      <c r="Q1322" s="11"/>
      <c r="R1322" s="11">
        <v>157</v>
      </c>
      <c r="S1322" s="11">
        <f t="shared" si="178"/>
        <v>157</v>
      </c>
      <c r="T1322" s="9"/>
      <c r="U1322" s="14" t="s">
        <v>77</v>
      </c>
      <c r="V1322" s="9"/>
      <c r="W1322" s="12">
        <v>30</v>
      </c>
      <c r="X1322" s="13"/>
      <c r="Y1322" s="13"/>
      <c r="Z1322" s="13"/>
      <c r="AA1322" s="13"/>
      <c r="AB1322" s="13"/>
      <c r="AC1322" s="13">
        <f t="shared" ref="AC1322:AC1385" si="180">+S1322*W1322*20/1000000</f>
        <v>9.4200000000000006E-2</v>
      </c>
      <c r="AD1322" s="13"/>
      <c r="AE1322" s="13"/>
      <c r="AF1322" s="13">
        <f t="shared" ref="AF1322:AF1385" si="181">+S1322*W1322*200/1000000</f>
        <v>0.94199999999999995</v>
      </c>
      <c r="AG1322" s="13"/>
      <c r="AH1322" s="13"/>
      <c r="AI1322" s="13"/>
      <c r="AJ1322" s="13">
        <f t="shared" si="177"/>
        <v>1.0362</v>
      </c>
      <c r="AK1322" s="9"/>
      <c r="AL1322" s="13"/>
      <c r="AM1322" s="9"/>
      <c r="AN1322" s="9"/>
      <c r="AO1322" s="9"/>
      <c r="AP1322" s="14"/>
    </row>
    <row r="1323" spans="1:42" s="45" customFormat="1" ht="22" customHeight="1">
      <c r="A1323" s="14" t="s">
        <v>19</v>
      </c>
      <c r="B1323" s="8">
        <v>2024</v>
      </c>
      <c r="C1323" s="8" t="s">
        <v>8</v>
      </c>
      <c r="D1323" s="9" t="s">
        <v>185</v>
      </c>
      <c r="E1323" s="9" t="s">
        <v>10</v>
      </c>
      <c r="F1323" s="9" t="s">
        <v>186</v>
      </c>
      <c r="G1323" s="8"/>
      <c r="H1323" s="8"/>
      <c r="I1323" s="9" t="s">
        <v>28</v>
      </c>
      <c r="J1323" s="9" t="s">
        <v>11</v>
      </c>
      <c r="K1323" s="9" t="s">
        <v>82</v>
      </c>
      <c r="L1323" s="9" t="s">
        <v>166</v>
      </c>
      <c r="M1323" s="9" t="s">
        <v>28</v>
      </c>
      <c r="N1323" s="9" t="s">
        <v>271</v>
      </c>
      <c r="O1323" s="9" t="s">
        <v>324</v>
      </c>
      <c r="P1323" s="9" t="s">
        <v>324</v>
      </c>
      <c r="Q1323" s="11"/>
      <c r="R1323" s="11">
        <v>164</v>
      </c>
      <c r="S1323" s="11">
        <f t="shared" si="178"/>
        <v>164</v>
      </c>
      <c r="T1323" s="9"/>
      <c r="U1323" s="14" t="s">
        <v>77</v>
      </c>
      <c r="V1323" s="9"/>
      <c r="W1323" s="12">
        <v>30</v>
      </c>
      <c r="X1323" s="13"/>
      <c r="Y1323" s="13"/>
      <c r="Z1323" s="13"/>
      <c r="AA1323" s="13"/>
      <c r="AB1323" s="13"/>
      <c r="AC1323" s="13">
        <f t="shared" si="180"/>
        <v>9.8400000000000001E-2</v>
      </c>
      <c r="AD1323" s="13"/>
      <c r="AE1323" s="13"/>
      <c r="AF1323" s="13">
        <f t="shared" si="181"/>
        <v>0.98399999999999999</v>
      </c>
      <c r="AG1323" s="13"/>
      <c r="AH1323" s="13"/>
      <c r="AI1323" s="13"/>
      <c r="AJ1323" s="13">
        <f t="shared" si="177"/>
        <v>1.0824</v>
      </c>
      <c r="AK1323" s="9"/>
      <c r="AL1323" s="13"/>
      <c r="AM1323" s="9"/>
      <c r="AN1323" s="9"/>
      <c r="AO1323" s="9"/>
      <c r="AP1323" s="14"/>
    </row>
    <row r="1324" spans="1:42" s="45" customFormat="1" ht="22" customHeight="1">
      <c r="A1324" s="14" t="s">
        <v>19</v>
      </c>
      <c r="B1324" s="8">
        <v>2024</v>
      </c>
      <c r="C1324" s="8" t="s">
        <v>8</v>
      </c>
      <c r="D1324" s="9" t="s">
        <v>185</v>
      </c>
      <c r="E1324" s="9" t="s">
        <v>10</v>
      </c>
      <c r="F1324" s="9" t="s">
        <v>186</v>
      </c>
      <c r="G1324" s="8"/>
      <c r="H1324" s="8"/>
      <c r="I1324" s="9" t="s">
        <v>28</v>
      </c>
      <c r="J1324" s="9" t="s">
        <v>11</v>
      </c>
      <c r="K1324" s="9" t="s">
        <v>82</v>
      </c>
      <c r="L1324" s="9" t="s">
        <v>166</v>
      </c>
      <c r="M1324" s="9" t="s">
        <v>28</v>
      </c>
      <c r="N1324" s="9" t="s">
        <v>271</v>
      </c>
      <c r="O1324" s="9" t="s">
        <v>324</v>
      </c>
      <c r="P1324" s="9" t="s">
        <v>326</v>
      </c>
      <c r="Q1324" s="11"/>
      <c r="R1324" s="11">
        <v>102</v>
      </c>
      <c r="S1324" s="11">
        <f t="shared" si="178"/>
        <v>102</v>
      </c>
      <c r="T1324" s="9"/>
      <c r="U1324" s="14" t="s">
        <v>77</v>
      </c>
      <c r="V1324" s="9"/>
      <c r="W1324" s="12">
        <v>30</v>
      </c>
      <c r="X1324" s="13"/>
      <c r="Y1324" s="13"/>
      <c r="Z1324" s="13"/>
      <c r="AA1324" s="13"/>
      <c r="AB1324" s="13"/>
      <c r="AC1324" s="13">
        <f t="shared" si="180"/>
        <v>6.1199999999999997E-2</v>
      </c>
      <c r="AD1324" s="13"/>
      <c r="AE1324" s="13"/>
      <c r="AF1324" s="13">
        <f t="shared" si="181"/>
        <v>0.61199999999999999</v>
      </c>
      <c r="AG1324" s="13"/>
      <c r="AH1324" s="13"/>
      <c r="AI1324" s="13"/>
      <c r="AJ1324" s="13">
        <f t="shared" si="177"/>
        <v>0.67320000000000002</v>
      </c>
      <c r="AK1324" s="9"/>
      <c r="AL1324" s="13"/>
      <c r="AM1324" s="9"/>
      <c r="AN1324" s="9"/>
      <c r="AO1324" s="9"/>
      <c r="AP1324" s="14"/>
    </row>
    <row r="1325" spans="1:42" s="45" customFormat="1" ht="22" customHeight="1">
      <c r="A1325" s="14" t="s">
        <v>19</v>
      </c>
      <c r="B1325" s="8">
        <v>2024</v>
      </c>
      <c r="C1325" s="8" t="s">
        <v>8</v>
      </c>
      <c r="D1325" s="9" t="s">
        <v>185</v>
      </c>
      <c r="E1325" s="9" t="s">
        <v>10</v>
      </c>
      <c r="F1325" s="9" t="s">
        <v>186</v>
      </c>
      <c r="G1325" s="8"/>
      <c r="H1325" s="8"/>
      <c r="I1325" s="9" t="s">
        <v>28</v>
      </c>
      <c r="J1325" s="9" t="s">
        <v>11</v>
      </c>
      <c r="K1325" s="9" t="s">
        <v>82</v>
      </c>
      <c r="L1325" s="9" t="s">
        <v>166</v>
      </c>
      <c r="M1325" s="9" t="s">
        <v>28</v>
      </c>
      <c r="N1325" s="9" t="s">
        <v>271</v>
      </c>
      <c r="O1325" s="9" t="s">
        <v>324</v>
      </c>
      <c r="P1325" s="9" t="s">
        <v>327</v>
      </c>
      <c r="Q1325" s="11"/>
      <c r="R1325" s="11">
        <v>153</v>
      </c>
      <c r="S1325" s="11">
        <f t="shared" si="178"/>
        <v>153</v>
      </c>
      <c r="T1325" s="9"/>
      <c r="U1325" s="14" t="s">
        <v>77</v>
      </c>
      <c r="V1325" s="9"/>
      <c r="W1325" s="12">
        <v>30</v>
      </c>
      <c r="X1325" s="13"/>
      <c r="Y1325" s="13"/>
      <c r="Z1325" s="13"/>
      <c r="AA1325" s="13"/>
      <c r="AB1325" s="13"/>
      <c r="AC1325" s="13">
        <f t="shared" si="180"/>
        <v>9.1800000000000007E-2</v>
      </c>
      <c r="AD1325" s="13"/>
      <c r="AE1325" s="13"/>
      <c r="AF1325" s="13">
        <f t="shared" si="181"/>
        <v>0.91800000000000004</v>
      </c>
      <c r="AG1325" s="13"/>
      <c r="AH1325" s="13"/>
      <c r="AI1325" s="13"/>
      <c r="AJ1325" s="13">
        <f t="shared" si="177"/>
        <v>1.0098</v>
      </c>
      <c r="AK1325" s="9"/>
      <c r="AL1325" s="13"/>
      <c r="AM1325" s="9"/>
      <c r="AN1325" s="9"/>
      <c r="AO1325" s="9"/>
      <c r="AP1325" s="14"/>
    </row>
    <row r="1326" spans="1:42" s="45" customFormat="1" ht="22" customHeight="1">
      <c r="A1326" s="14" t="s">
        <v>19</v>
      </c>
      <c r="B1326" s="8">
        <v>2024</v>
      </c>
      <c r="C1326" s="8" t="s">
        <v>8</v>
      </c>
      <c r="D1326" s="9" t="s">
        <v>185</v>
      </c>
      <c r="E1326" s="9" t="s">
        <v>10</v>
      </c>
      <c r="F1326" s="9" t="s">
        <v>186</v>
      </c>
      <c r="G1326" s="8"/>
      <c r="H1326" s="8"/>
      <c r="I1326" s="9" t="s">
        <v>28</v>
      </c>
      <c r="J1326" s="9" t="s">
        <v>11</v>
      </c>
      <c r="K1326" s="9" t="s">
        <v>82</v>
      </c>
      <c r="L1326" s="9" t="s">
        <v>166</v>
      </c>
      <c r="M1326" s="9" t="s">
        <v>28</v>
      </c>
      <c r="N1326" s="9" t="s">
        <v>271</v>
      </c>
      <c r="O1326" s="9" t="s">
        <v>324</v>
      </c>
      <c r="P1326" s="9" t="s">
        <v>328</v>
      </c>
      <c r="Q1326" s="11"/>
      <c r="R1326" s="11">
        <v>118</v>
      </c>
      <c r="S1326" s="11">
        <f t="shared" si="178"/>
        <v>118</v>
      </c>
      <c r="T1326" s="9"/>
      <c r="U1326" s="14" t="s">
        <v>77</v>
      </c>
      <c r="V1326" s="9"/>
      <c r="W1326" s="12">
        <v>30</v>
      </c>
      <c r="X1326" s="13"/>
      <c r="Y1326" s="13"/>
      <c r="Z1326" s="13"/>
      <c r="AA1326" s="13"/>
      <c r="AB1326" s="13"/>
      <c r="AC1326" s="13">
        <f t="shared" si="180"/>
        <v>7.0800000000000002E-2</v>
      </c>
      <c r="AD1326" s="13"/>
      <c r="AE1326" s="13"/>
      <c r="AF1326" s="13">
        <f t="shared" si="181"/>
        <v>0.70799999999999996</v>
      </c>
      <c r="AG1326" s="13"/>
      <c r="AH1326" s="13"/>
      <c r="AI1326" s="13"/>
      <c r="AJ1326" s="13">
        <f t="shared" si="177"/>
        <v>0.77879999999999994</v>
      </c>
      <c r="AK1326" s="9"/>
      <c r="AL1326" s="13"/>
      <c r="AM1326" s="9"/>
      <c r="AN1326" s="9"/>
      <c r="AO1326" s="9"/>
      <c r="AP1326" s="14"/>
    </row>
    <row r="1327" spans="1:42" s="45" customFormat="1" ht="22" customHeight="1">
      <c r="A1327" s="14" t="s">
        <v>19</v>
      </c>
      <c r="B1327" s="8">
        <v>2024</v>
      </c>
      <c r="C1327" s="8" t="s">
        <v>8</v>
      </c>
      <c r="D1327" s="9" t="s">
        <v>185</v>
      </c>
      <c r="E1327" s="9" t="s">
        <v>10</v>
      </c>
      <c r="F1327" s="9" t="s">
        <v>186</v>
      </c>
      <c r="G1327" s="8"/>
      <c r="H1327" s="8"/>
      <c r="I1327" s="9" t="s">
        <v>28</v>
      </c>
      <c r="J1327" s="9" t="s">
        <v>11</v>
      </c>
      <c r="K1327" s="9" t="s">
        <v>82</v>
      </c>
      <c r="L1327" s="9" t="s">
        <v>166</v>
      </c>
      <c r="M1327" s="9" t="s">
        <v>28</v>
      </c>
      <c r="N1327" s="9" t="s">
        <v>271</v>
      </c>
      <c r="O1327" s="9" t="s">
        <v>324</v>
      </c>
      <c r="P1327" s="9" t="s">
        <v>329</v>
      </c>
      <c r="Q1327" s="11"/>
      <c r="R1327" s="11">
        <v>142</v>
      </c>
      <c r="S1327" s="11">
        <f t="shared" si="178"/>
        <v>142</v>
      </c>
      <c r="T1327" s="9"/>
      <c r="U1327" s="14" t="s">
        <v>77</v>
      </c>
      <c r="V1327" s="9"/>
      <c r="W1327" s="12">
        <v>30</v>
      </c>
      <c r="X1327" s="13"/>
      <c r="Y1327" s="13"/>
      <c r="Z1327" s="13"/>
      <c r="AA1327" s="13"/>
      <c r="AB1327" s="13"/>
      <c r="AC1327" s="13">
        <f t="shared" si="180"/>
        <v>8.5199999999999998E-2</v>
      </c>
      <c r="AD1327" s="13"/>
      <c r="AE1327" s="13"/>
      <c r="AF1327" s="13">
        <f t="shared" si="181"/>
        <v>0.85199999999999998</v>
      </c>
      <c r="AG1327" s="13"/>
      <c r="AH1327" s="13"/>
      <c r="AI1327" s="13"/>
      <c r="AJ1327" s="13">
        <f t="shared" si="177"/>
        <v>0.93720000000000003</v>
      </c>
      <c r="AK1327" s="9"/>
      <c r="AL1327" s="13"/>
      <c r="AM1327" s="9"/>
      <c r="AN1327" s="9"/>
      <c r="AO1327" s="9"/>
      <c r="AP1327" s="14"/>
    </row>
    <row r="1328" spans="1:42" s="45" customFormat="1" ht="22" customHeight="1">
      <c r="A1328" s="14" t="s">
        <v>19</v>
      </c>
      <c r="B1328" s="8">
        <v>2024</v>
      </c>
      <c r="C1328" s="8" t="s">
        <v>8</v>
      </c>
      <c r="D1328" s="9" t="s">
        <v>185</v>
      </c>
      <c r="E1328" s="9" t="s">
        <v>10</v>
      </c>
      <c r="F1328" s="9" t="s">
        <v>186</v>
      </c>
      <c r="G1328" s="8"/>
      <c r="H1328" s="8"/>
      <c r="I1328" s="9" t="s">
        <v>28</v>
      </c>
      <c r="J1328" s="9" t="s">
        <v>11</v>
      </c>
      <c r="K1328" s="9" t="s">
        <v>82</v>
      </c>
      <c r="L1328" s="9" t="s">
        <v>166</v>
      </c>
      <c r="M1328" s="9" t="s">
        <v>28</v>
      </c>
      <c r="N1328" s="9" t="s">
        <v>271</v>
      </c>
      <c r="O1328" s="9" t="s">
        <v>324</v>
      </c>
      <c r="P1328" s="9" t="s">
        <v>330</v>
      </c>
      <c r="Q1328" s="11"/>
      <c r="R1328" s="11">
        <v>137</v>
      </c>
      <c r="S1328" s="11">
        <f t="shared" si="178"/>
        <v>137</v>
      </c>
      <c r="T1328" s="9"/>
      <c r="U1328" s="14" t="s">
        <v>77</v>
      </c>
      <c r="V1328" s="9"/>
      <c r="W1328" s="12">
        <v>30</v>
      </c>
      <c r="X1328" s="13"/>
      <c r="Y1328" s="13"/>
      <c r="Z1328" s="13"/>
      <c r="AA1328" s="13"/>
      <c r="AB1328" s="13"/>
      <c r="AC1328" s="13">
        <f t="shared" si="180"/>
        <v>8.2199999999999995E-2</v>
      </c>
      <c r="AD1328" s="13"/>
      <c r="AE1328" s="13"/>
      <c r="AF1328" s="13">
        <f t="shared" si="181"/>
        <v>0.82199999999999995</v>
      </c>
      <c r="AG1328" s="13"/>
      <c r="AH1328" s="13"/>
      <c r="AI1328" s="13"/>
      <c r="AJ1328" s="13">
        <f t="shared" si="177"/>
        <v>0.90419999999999989</v>
      </c>
      <c r="AK1328" s="9"/>
      <c r="AL1328" s="13"/>
      <c r="AM1328" s="9"/>
      <c r="AN1328" s="9"/>
      <c r="AO1328" s="9"/>
      <c r="AP1328" s="14"/>
    </row>
    <row r="1329" spans="1:42" s="45" customFormat="1" ht="22" customHeight="1">
      <c r="A1329" s="14" t="s">
        <v>19</v>
      </c>
      <c r="B1329" s="8">
        <v>2024</v>
      </c>
      <c r="C1329" s="8" t="s">
        <v>8</v>
      </c>
      <c r="D1329" s="9" t="s">
        <v>185</v>
      </c>
      <c r="E1329" s="9" t="s">
        <v>10</v>
      </c>
      <c r="F1329" s="9" t="s">
        <v>186</v>
      </c>
      <c r="G1329" s="8"/>
      <c r="H1329" s="8"/>
      <c r="I1329" s="9" t="s">
        <v>28</v>
      </c>
      <c r="J1329" s="9" t="s">
        <v>11</v>
      </c>
      <c r="K1329" s="9" t="s">
        <v>82</v>
      </c>
      <c r="L1329" s="9" t="s">
        <v>166</v>
      </c>
      <c r="M1329" s="9" t="s">
        <v>28</v>
      </c>
      <c r="N1329" s="9" t="s">
        <v>271</v>
      </c>
      <c r="O1329" s="9" t="s">
        <v>324</v>
      </c>
      <c r="P1329" s="9" t="s">
        <v>331</v>
      </c>
      <c r="Q1329" s="11"/>
      <c r="R1329" s="11">
        <v>220</v>
      </c>
      <c r="S1329" s="11">
        <f t="shared" si="178"/>
        <v>220</v>
      </c>
      <c r="T1329" s="9"/>
      <c r="U1329" s="14" t="s">
        <v>77</v>
      </c>
      <c r="V1329" s="9"/>
      <c r="W1329" s="12">
        <v>30</v>
      </c>
      <c r="X1329" s="13"/>
      <c r="Y1329" s="13"/>
      <c r="Z1329" s="13"/>
      <c r="AA1329" s="13"/>
      <c r="AB1329" s="13"/>
      <c r="AC1329" s="13">
        <f t="shared" si="180"/>
        <v>0.13200000000000001</v>
      </c>
      <c r="AD1329" s="13"/>
      <c r="AE1329" s="13"/>
      <c r="AF1329" s="13">
        <f t="shared" si="181"/>
        <v>1.32</v>
      </c>
      <c r="AG1329" s="13"/>
      <c r="AH1329" s="13"/>
      <c r="AI1329" s="13"/>
      <c r="AJ1329" s="13">
        <f t="shared" si="177"/>
        <v>1.452</v>
      </c>
      <c r="AK1329" s="9"/>
      <c r="AL1329" s="13"/>
      <c r="AM1329" s="9"/>
      <c r="AN1329" s="9"/>
      <c r="AO1329" s="9"/>
      <c r="AP1329" s="14"/>
    </row>
    <row r="1330" spans="1:42" s="45" customFormat="1" ht="22" customHeight="1">
      <c r="A1330" s="14" t="s">
        <v>19</v>
      </c>
      <c r="B1330" s="8">
        <v>2024</v>
      </c>
      <c r="C1330" s="8" t="s">
        <v>8</v>
      </c>
      <c r="D1330" s="9" t="s">
        <v>185</v>
      </c>
      <c r="E1330" s="9" t="s">
        <v>10</v>
      </c>
      <c r="F1330" s="9" t="s">
        <v>186</v>
      </c>
      <c r="G1330" s="8"/>
      <c r="H1330" s="8"/>
      <c r="I1330" s="9" t="s">
        <v>28</v>
      </c>
      <c r="J1330" s="9" t="s">
        <v>11</v>
      </c>
      <c r="K1330" s="9" t="s">
        <v>82</v>
      </c>
      <c r="L1330" s="9" t="s">
        <v>166</v>
      </c>
      <c r="M1330" s="9" t="s">
        <v>28</v>
      </c>
      <c r="N1330" s="9" t="s">
        <v>271</v>
      </c>
      <c r="O1330" s="9" t="s">
        <v>324</v>
      </c>
      <c r="P1330" s="9" t="s">
        <v>332</v>
      </c>
      <c r="Q1330" s="11"/>
      <c r="R1330" s="11">
        <v>110</v>
      </c>
      <c r="S1330" s="11">
        <f t="shared" si="178"/>
        <v>110</v>
      </c>
      <c r="T1330" s="9"/>
      <c r="U1330" s="14" t="s">
        <v>77</v>
      </c>
      <c r="V1330" s="9"/>
      <c r="W1330" s="12">
        <v>30</v>
      </c>
      <c r="X1330" s="13"/>
      <c r="Y1330" s="13"/>
      <c r="Z1330" s="13"/>
      <c r="AA1330" s="13"/>
      <c r="AB1330" s="13"/>
      <c r="AC1330" s="13">
        <f t="shared" si="180"/>
        <v>6.6000000000000003E-2</v>
      </c>
      <c r="AD1330" s="13"/>
      <c r="AE1330" s="13"/>
      <c r="AF1330" s="13">
        <f t="shared" si="181"/>
        <v>0.66</v>
      </c>
      <c r="AG1330" s="13"/>
      <c r="AH1330" s="13"/>
      <c r="AI1330" s="13"/>
      <c r="AJ1330" s="13">
        <f t="shared" si="177"/>
        <v>0.72599999999999998</v>
      </c>
      <c r="AK1330" s="9"/>
      <c r="AL1330" s="13"/>
      <c r="AM1330" s="9"/>
      <c r="AN1330" s="9"/>
      <c r="AO1330" s="9"/>
      <c r="AP1330" s="14"/>
    </row>
    <row r="1331" spans="1:42" s="45" customFormat="1" ht="22" customHeight="1">
      <c r="A1331" s="14" t="s">
        <v>19</v>
      </c>
      <c r="B1331" s="8">
        <v>2024</v>
      </c>
      <c r="C1331" s="8" t="s">
        <v>8</v>
      </c>
      <c r="D1331" s="9" t="s">
        <v>185</v>
      </c>
      <c r="E1331" s="9" t="s">
        <v>10</v>
      </c>
      <c r="F1331" s="9" t="s">
        <v>186</v>
      </c>
      <c r="G1331" s="8"/>
      <c r="H1331" s="8"/>
      <c r="I1331" s="9" t="s">
        <v>28</v>
      </c>
      <c r="J1331" s="9" t="s">
        <v>11</v>
      </c>
      <c r="K1331" s="9" t="s">
        <v>82</v>
      </c>
      <c r="L1331" s="9" t="s">
        <v>166</v>
      </c>
      <c r="M1331" s="9" t="s">
        <v>28</v>
      </c>
      <c r="N1331" s="9" t="s">
        <v>271</v>
      </c>
      <c r="O1331" s="9" t="s">
        <v>324</v>
      </c>
      <c r="P1331" s="9" t="s">
        <v>333</v>
      </c>
      <c r="Q1331" s="11"/>
      <c r="R1331" s="11">
        <v>129</v>
      </c>
      <c r="S1331" s="11">
        <f t="shared" si="178"/>
        <v>129</v>
      </c>
      <c r="T1331" s="9"/>
      <c r="U1331" s="14" t="s">
        <v>77</v>
      </c>
      <c r="V1331" s="9"/>
      <c r="W1331" s="12">
        <v>30</v>
      </c>
      <c r="X1331" s="13"/>
      <c r="Y1331" s="13"/>
      <c r="Z1331" s="13"/>
      <c r="AA1331" s="13"/>
      <c r="AB1331" s="13"/>
      <c r="AC1331" s="13">
        <f t="shared" si="180"/>
        <v>7.7399999999999997E-2</v>
      </c>
      <c r="AD1331" s="13"/>
      <c r="AE1331" s="13"/>
      <c r="AF1331" s="13">
        <f t="shared" si="181"/>
        <v>0.77400000000000002</v>
      </c>
      <c r="AG1331" s="13"/>
      <c r="AH1331" s="13"/>
      <c r="AI1331" s="13"/>
      <c r="AJ1331" s="13">
        <f t="shared" si="177"/>
        <v>0.85140000000000005</v>
      </c>
      <c r="AK1331" s="9"/>
      <c r="AL1331" s="13"/>
      <c r="AM1331" s="9"/>
      <c r="AN1331" s="9"/>
      <c r="AO1331" s="9"/>
      <c r="AP1331" s="14"/>
    </row>
    <row r="1332" spans="1:42" s="45" customFormat="1" ht="22" customHeight="1">
      <c r="A1332" s="14" t="s">
        <v>19</v>
      </c>
      <c r="B1332" s="8">
        <v>2024</v>
      </c>
      <c r="C1332" s="8" t="s">
        <v>8</v>
      </c>
      <c r="D1332" s="9" t="s">
        <v>185</v>
      </c>
      <c r="E1332" s="9" t="s">
        <v>10</v>
      </c>
      <c r="F1332" s="9" t="s">
        <v>186</v>
      </c>
      <c r="G1332" s="8"/>
      <c r="H1332" s="8"/>
      <c r="I1332" s="9" t="s">
        <v>28</v>
      </c>
      <c r="J1332" s="9" t="s">
        <v>11</v>
      </c>
      <c r="K1332" s="9" t="s">
        <v>82</v>
      </c>
      <c r="L1332" s="9" t="s">
        <v>166</v>
      </c>
      <c r="M1332" s="9" t="s">
        <v>28</v>
      </c>
      <c r="N1332" s="9" t="s">
        <v>271</v>
      </c>
      <c r="O1332" s="9" t="s">
        <v>324</v>
      </c>
      <c r="P1332" s="9" t="s">
        <v>334</v>
      </c>
      <c r="Q1332" s="11"/>
      <c r="R1332" s="11">
        <v>187</v>
      </c>
      <c r="S1332" s="11">
        <f t="shared" si="178"/>
        <v>187</v>
      </c>
      <c r="T1332" s="9"/>
      <c r="U1332" s="14" t="s">
        <v>77</v>
      </c>
      <c r="V1332" s="9"/>
      <c r="W1332" s="12">
        <v>30</v>
      </c>
      <c r="X1332" s="13"/>
      <c r="Y1332" s="13"/>
      <c r="Z1332" s="13"/>
      <c r="AA1332" s="13"/>
      <c r="AB1332" s="13"/>
      <c r="AC1332" s="13">
        <f t="shared" si="180"/>
        <v>0.11219999999999999</v>
      </c>
      <c r="AD1332" s="13"/>
      <c r="AE1332" s="13"/>
      <c r="AF1332" s="13">
        <f t="shared" si="181"/>
        <v>1.1220000000000001</v>
      </c>
      <c r="AG1332" s="13"/>
      <c r="AH1332" s="13"/>
      <c r="AI1332" s="13"/>
      <c r="AJ1332" s="13">
        <f t="shared" si="177"/>
        <v>1.2342000000000002</v>
      </c>
      <c r="AK1332" s="9"/>
      <c r="AL1332" s="13"/>
      <c r="AM1332" s="9"/>
      <c r="AN1332" s="9"/>
      <c r="AO1332" s="9"/>
      <c r="AP1332" s="14"/>
    </row>
    <row r="1333" spans="1:42" s="45" customFormat="1" ht="22" customHeight="1">
      <c r="A1333" s="14" t="s">
        <v>19</v>
      </c>
      <c r="B1333" s="8">
        <v>2024</v>
      </c>
      <c r="C1333" s="8" t="s">
        <v>8</v>
      </c>
      <c r="D1333" s="9" t="s">
        <v>185</v>
      </c>
      <c r="E1333" s="9" t="s">
        <v>10</v>
      </c>
      <c r="F1333" s="9" t="s">
        <v>186</v>
      </c>
      <c r="G1333" s="8"/>
      <c r="H1333" s="8"/>
      <c r="I1333" s="9" t="s">
        <v>28</v>
      </c>
      <c r="J1333" s="9" t="s">
        <v>11</v>
      </c>
      <c r="K1333" s="9" t="s">
        <v>82</v>
      </c>
      <c r="L1333" s="9" t="s">
        <v>166</v>
      </c>
      <c r="M1333" s="9" t="s">
        <v>28</v>
      </c>
      <c r="N1333" s="9" t="s">
        <v>271</v>
      </c>
      <c r="O1333" s="9" t="s">
        <v>324</v>
      </c>
      <c r="P1333" s="9" t="s">
        <v>335</v>
      </c>
      <c r="Q1333" s="11"/>
      <c r="R1333" s="11">
        <v>151</v>
      </c>
      <c r="S1333" s="11">
        <f t="shared" si="178"/>
        <v>151</v>
      </c>
      <c r="T1333" s="9"/>
      <c r="U1333" s="14" t="s">
        <v>77</v>
      </c>
      <c r="V1333" s="9"/>
      <c r="W1333" s="12">
        <v>30</v>
      </c>
      <c r="X1333" s="13"/>
      <c r="Y1333" s="13"/>
      <c r="Z1333" s="13"/>
      <c r="AA1333" s="13"/>
      <c r="AB1333" s="13"/>
      <c r="AC1333" s="13">
        <f t="shared" si="180"/>
        <v>9.06E-2</v>
      </c>
      <c r="AD1333" s="13"/>
      <c r="AE1333" s="13"/>
      <c r="AF1333" s="13">
        <f t="shared" si="181"/>
        <v>0.90600000000000003</v>
      </c>
      <c r="AG1333" s="13"/>
      <c r="AH1333" s="13"/>
      <c r="AI1333" s="13"/>
      <c r="AJ1333" s="13">
        <f t="shared" si="177"/>
        <v>0.99660000000000004</v>
      </c>
      <c r="AK1333" s="9"/>
      <c r="AL1333" s="13"/>
      <c r="AM1333" s="9"/>
      <c r="AN1333" s="9"/>
      <c r="AO1333" s="9"/>
      <c r="AP1333" s="14"/>
    </row>
    <row r="1334" spans="1:42" s="45" customFormat="1" ht="22" customHeight="1">
      <c r="A1334" s="14" t="s">
        <v>19</v>
      </c>
      <c r="B1334" s="8">
        <v>2024</v>
      </c>
      <c r="C1334" s="8" t="s">
        <v>8</v>
      </c>
      <c r="D1334" s="9" t="s">
        <v>185</v>
      </c>
      <c r="E1334" s="9" t="s">
        <v>10</v>
      </c>
      <c r="F1334" s="9" t="s">
        <v>186</v>
      </c>
      <c r="G1334" s="8"/>
      <c r="H1334" s="8"/>
      <c r="I1334" s="9" t="s">
        <v>28</v>
      </c>
      <c r="J1334" s="9" t="s">
        <v>11</v>
      </c>
      <c r="K1334" s="9" t="s">
        <v>82</v>
      </c>
      <c r="L1334" s="9" t="s">
        <v>166</v>
      </c>
      <c r="M1334" s="9" t="s">
        <v>11</v>
      </c>
      <c r="N1334" s="9" t="s">
        <v>266</v>
      </c>
      <c r="O1334" s="9" t="s">
        <v>336</v>
      </c>
      <c r="P1334" s="9" t="s">
        <v>337</v>
      </c>
      <c r="Q1334" s="11"/>
      <c r="R1334" s="11">
        <v>75</v>
      </c>
      <c r="S1334" s="11">
        <f t="shared" si="178"/>
        <v>75</v>
      </c>
      <c r="T1334" s="9"/>
      <c r="U1334" s="14" t="s">
        <v>77</v>
      </c>
      <c r="V1334" s="9"/>
      <c r="W1334" s="12">
        <v>30</v>
      </c>
      <c r="X1334" s="13"/>
      <c r="Y1334" s="13"/>
      <c r="Z1334" s="13"/>
      <c r="AA1334" s="13"/>
      <c r="AB1334" s="13"/>
      <c r="AC1334" s="13">
        <f t="shared" si="180"/>
        <v>4.4999999999999998E-2</v>
      </c>
      <c r="AD1334" s="13"/>
      <c r="AE1334" s="13"/>
      <c r="AF1334" s="13">
        <f t="shared" si="181"/>
        <v>0.45</v>
      </c>
      <c r="AG1334" s="13"/>
      <c r="AH1334" s="13"/>
      <c r="AI1334" s="13"/>
      <c r="AJ1334" s="13">
        <f t="shared" si="177"/>
        <v>0.495</v>
      </c>
      <c r="AK1334" s="9"/>
      <c r="AL1334" s="13"/>
      <c r="AM1334" s="9"/>
      <c r="AN1334" s="9"/>
      <c r="AO1334" s="9"/>
      <c r="AP1334" s="14"/>
    </row>
    <row r="1335" spans="1:42" s="45" customFormat="1" ht="22" customHeight="1">
      <c r="A1335" s="14" t="s">
        <v>19</v>
      </c>
      <c r="B1335" s="8">
        <v>2024</v>
      </c>
      <c r="C1335" s="8" t="s">
        <v>8</v>
      </c>
      <c r="D1335" s="9" t="s">
        <v>185</v>
      </c>
      <c r="E1335" s="9" t="s">
        <v>10</v>
      </c>
      <c r="F1335" s="9" t="s">
        <v>186</v>
      </c>
      <c r="G1335" s="8"/>
      <c r="H1335" s="8"/>
      <c r="I1335" s="9" t="s">
        <v>28</v>
      </c>
      <c r="J1335" s="9" t="s">
        <v>11</v>
      </c>
      <c r="K1335" s="9" t="s">
        <v>82</v>
      </c>
      <c r="L1335" s="9" t="s">
        <v>166</v>
      </c>
      <c r="M1335" s="9" t="s">
        <v>11</v>
      </c>
      <c r="N1335" s="9" t="s">
        <v>266</v>
      </c>
      <c r="O1335" s="9" t="s">
        <v>336</v>
      </c>
      <c r="P1335" s="9" t="s">
        <v>326</v>
      </c>
      <c r="Q1335" s="11"/>
      <c r="R1335" s="11">
        <v>228</v>
      </c>
      <c r="S1335" s="11">
        <f t="shared" si="178"/>
        <v>228</v>
      </c>
      <c r="T1335" s="9"/>
      <c r="U1335" s="14" t="s">
        <v>77</v>
      </c>
      <c r="V1335" s="9"/>
      <c r="W1335" s="12">
        <v>30</v>
      </c>
      <c r="X1335" s="13"/>
      <c r="Y1335" s="13"/>
      <c r="Z1335" s="13"/>
      <c r="AA1335" s="13"/>
      <c r="AB1335" s="13"/>
      <c r="AC1335" s="13">
        <f t="shared" si="180"/>
        <v>0.1368</v>
      </c>
      <c r="AD1335" s="13"/>
      <c r="AE1335" s="13"/>
      <c r="AF1335" s="13">
        <f t="shared" si="181"/>
        <v>1.3680000000000001</v>
      </c>
      <c r="AG1335" s="13"/>
      <c r="AH1335" s="13"/>
      <c r="AI1335" s="13"/>
      <c r="AJ1335" s="13">
        <f t="shared" si="177"/>
        <v>1.5048000000000001</v>
      </c>
      <c r="AK1335" s="9"/>
      <c r="AL1335" s="13"/>
      <c r="AM1335" s="9"/>
      <c r="AN1335" s="9"/>
      <c r="AO1335" s="9"/>
      <c r="AP1335" s="14"/>
    </row>
    <row r="1336" spans="1:42" s="45" customFormat="1" ht="22" customHeight="1">
      <c r="A1336" s="14" t="s">
        <v>19</v>
      </c>
      <c r="B1336" s="8">
        <v>2024</v>
      </c>
      <c r="C1336" s="8" t="s">
        <v>8</v>
      </c>
      <c r="D1336" s="9" t="s">
        <v>185</v>
      </c>
      <c r="E1336" s="9" t="s">
        <v>10</v>
      </c>
      <c r="F1336" s="9" t="s">
        <v>186</v>
      </c>
      <c r="G1336" s="8"/>
      <c r="H1336" s="8"/>
      <c r="I1336" s="9" t="s">
        <v>28</v>
      </c>
      <c r="J1336" s="9" t="s">
        <v>11</v>
      </c>
      <c r="K1336" s="9" t="s">
        <v>82</v>
      </c>
      <c r="L1336" s="9" t="s">
        <v>166</v>
      </c>
      <c r="M1336" s="9" t="s">
        <v>11</v>
      </c>
      <c r="N1336" s="9" t="s">
        <v>266</v>
      </c>
      <c r="O1336" s="9" t="s">
        <v>336</v>
      </c>
      <c r="P1336" s="9" t="s">
        <v>338</v>
      </c>
      <c r="Q1336" s="11"/>
      <c r="R1336" s="11">
        <v>323</v>
      </c>
      <c r="S1336" s="11">
        <f t="shared" si="178"/>
        <v>323</v>
      </c>
      <c r="T1336" s="9"/>
      <c r="U1336" s="14" t="s">
        <v>77</v>
      </c>
      <c r="V1336" s="9"/>
      <c r="W1336" s="12">
        <v>30</v>
      </c>
      <c r="X1336" s="13"/>
      <c r="Y1336" s="13"/>
      <c r="Z1336" s="13"/>
      <c r="AA1336" s="13"/>
      <c r="AB1336" s="13"/>
      <c r="AC1336" s="13">
        <f t="shared" si="180"/>
        <v>0.1938</v>
      </c>
      <c r="AD1336" s="13"/>
      <c r="AE1336" s="13"/>
      <c r="AF1336" s="13">
        <f t="shared" si="181"/>
        <v>1.9379999999999999</v>
      </c>
      <c r="AG1336" s="13"/>
      <c r="AH1336" s="13"/>
      <c r="AI1336" s="13"/>
      <c r="AJ1336" s="13">
        <f t="shared" si="177"/>
        <v>2.1318000000000001</v>
      </c>
      <c r="AK1336" s="9"/>
      <c r="AL1336" s="13"/>
      <c r="AM1336" s="9"/>
      <c r="AN1336" s="9"/>
      <c r="AO1336" s="9"/>
      <c r="AP1336" s="14"/>
    </row>
    <row r="1337" spans="1:42" s="45" customFormat="1" ht="22" customHeight="1">
      <c r="A1337" s="14" t="s">
        <v>19</v>
      </c>
      <c r="B1337" s="8">
        <v>2024</v>
      </c>
      <c r="C1337" s="8" t="s">
        <v>8</v>
      </c>
      <c r="D1337" s="9" t="s">
        <v>185</v>
      </c>
      <c r="E1337" s="9" t="s">
        <v>10</v>
      </c>
      <c r="F1337" s="9" t="s">
        <v>186</v>
      </c>
      <c r="G1337" s="8"/>
      <c r="H1337" s="8"/>
      <c r="I1337" s="9" t="s">
        <v>28</v>
      </c>
      <c r="J1337" s="9" t="s">
        <v>11</v>
      </c>
      <c r="K1337" s="9" t="s">
        <v>82</v>
      </c>
      <c r="L1337" s="9" t="s">
        <v>166</v>
      </c>
      <c r="M1337" s="9" t="s">
        <v>11</v>
      </c>
      <c r="N1337" s="9" t="s">
        <v>266</v>
      </c>
      <c r="O1337" s="9" t="s">
        <v>336</v>
      </c>
      <c r="P1337" s="9" t="s">
        <v>339</v>
      </c>
      <c r="Q1337" s="11"/>
      <c r="R1337" s="11">
        <v>314</v>
      </c>
      <c r="S1337" s="11">
        <f t="shared" si="178"/>
        <v>314</v>
      </c>
      <c r="T1337" s="9"/>
      <c r="U1337" s="14" t="s">
        <v>77</v>
      </c>
      <c r="V1337" s="9"/>
      <c r="W1337" s="12">
        <v>30</v>
      </c>
      <c r="X1337" s="13"/>
      <c r="Y1337" s="13"/>
      <c r="Z1337" s="13"/>
      <c r="AA1337" s="13"/>
      <c r="AB1337" s="13"/>
      <c r="AC1337" s="13">
        <f t="shared" si="180"/>
        <v>0.18840000000000001</v>
      </c>
      <c r="AD1337" s="13"/>
      <c r="AE1337" s="13"/>
      <c r="AF1337" s="13">
        <f t="shared" si="181"/>
        <v>1.8839999999999999</v>
      </c>
      <c r="AG1337" s="13"/>
      <c r="AH1337" s="13"/>
      <c r="AI1337" s="13"/>
      <c r="AJ1337" s="13">
        <f t="shared" si="177"/>
        <v>2.0724</v>
      </c>
      <c r="AK1337" s="9"/>
      <c r="AL1337" s="13"/>
      <c r="AM1337" s="9"/>
      <c r="AN1337" s="9"/>
      <c r="AO1337" s="9"/>
      <c r="AP1337" s="14"/>
    </row>
    <row r="1338" spans="1:42" s="45" customFormat="1" ht="22" customHeight="1">
      <c r="A1338" s="14" t="s">
        <v>19</v>
      </c>
      <c r="B1338" s="8">
        <v>2024</v>
      </c>
      <c r="C1338" s="8" t="s">
        <v>8</v>
      </c>
      <c r="D1338" s="9" t="s">
        <v>185</v>
      </c>
      <c r="E1338" s="9" t="s">
        <v>10</v>
      </c>
      <c r="F1338" s="9" t="s">
        <v>186</v>
      </c>
      <c r="G1338" s="8"/>
      <c r="H1338" s="8"/>
      <c r="I1338" s="9" t="s">
        <v>28</v>
      </c>
      <c r="J1338" s="9" t="s">
        <v>11</v>
      </c>
      <c r="K1338" s="9" t="s">
        <v>82</v>
      </c>
      <c r="L1338" s="9" t="s">
        <v>166</v>
      </c>
      <c r="M1338" s="9" t="s">
        <v>11</v>
      </c>
      <c r="N1338" s="9" t="s">
        <v>266</v>
      </c>
      <c r="O1338" s="9" t="s">
        <v>336</v>
      </c>
      <c r="P1338" s="9" t="s">
        <v>340</v>
      </c>
      <c r="Q1338" s="11"/>
      <c r="R1338" s="11">
        <v>241</v>
      </c>
      <c r="S1338" s="11">
        <f t="shared" si="178"/>
        <v>241</v>
      </c>
      <c r="T1338" s="9"/>
      <c r="U1338" s="14" t="s">
        <v>77</v>
      </c>
      <c r="V1338" s="9"/>
      <c r="W1338" s="12">
        <v>30</v>
      </c>
      <c r="X1338" s="13"/>
      <c r="Y1338" s="13"/>
      <c r="Z1338" s="13"/>
      <c r="AA1338" s="13"/>
      <c r="AB1338" s="13"/>
      <c r="AC1338" s="13">
        <f t="shared" si="180"/>
        <v>0.14460000000000001</v>
      </c>
      <c r="AD1338" s="13"/>
      <c r="AE1338" s="13"/>
      <c r="AF1338" s="13">
        <f t="shared" si="181"/>
        <v>1.446</v>
      </c>
      <c r="AG1338" s="13"/>
      <c r="AH1338" s="13"/>
      <c r="AI1338" s="13"/>
      <c r="AJ1338" s="13">
        <f t="shared" si="177"/>
        <v>1.5906</v>
      </c>
      <c r="AK1338" s="9"/>
      <c r="AL1338" s="13"/>
      <c r="AM1338" s="9"/>
      <c r="AN1338" s="9"/>
      <c r="AO1338" s="9"/>
      <c r="AP1338" s="14"/>
    </row>
    <row r="1339" spans="1:42" s="45" customFormat="1" ht="22" customHeight="1">
      <c r="A1339" s="14" t="s">
        <v>19</v>
      </c>
      <c r="B1339" s="8">
        <v>2024</v>
      </c>
      <c r="C1339" s="8" t="s">
        <v>8</v>
      </c>
      <c r="D1339" s="9" t="s">
        <v>185</v>
      </c>
      <c r="E1339" s="9" t="s">
        <v>10</v>
      </c>
      <c r="F1339" s="9" t="s">
        <v>186</v>
      </c>
      <c r="G1339" s="8"/>
      <c r="H1339" s="8"/>
      <c r="I1339" s="9" t="s">
        <v>28</v>
      </c>
      <c r="J1339" s="9" t="s">
        <v>11</v>
      </c>
      <c r="K1339" s="9" t="s">
        <v>82</v>
      </c>
      <c r="L1339" s="9" t="s">
        <v>166</v>
      </c>
      <c r="M1339" s="9" t="s">
        <v>11</v>
      </c>
      <c r="N1339" s="9" t="s">
        <v>266</v>
      </c>
      <c r="O1339" s="9" t="s">
        <v>336</v>
      </c>
      <c r="P1339" s="9" t="s">
        <v>341</v>
      </c>
      <c r="Q1339" s="11"/>
      <c r="R1339" s="11">
        <v>343</v>
      </c>
      <c r="S1339" s="11">
        <f t="shared" si="178"/>
        <v>343</v>
      </c>
      <c r="T1339" s="9"/>
      <c r="U1339" s="14" t="s">
        <v>77</v>
      </c>
      <c r="V1339" s="9"/>
      <c r="W1339" s="12">
        <v>30</v>
      </c>
      <c r="X1339" s="13"/>
      <c r="Y1339" s="13"/>
      <c r="Z1339" s="13"/>
      <c r="AA1339" s="13"/>
      <c r="AB1339" s="13"/>
      <c r="AC1339" s="13">
        <f t="shared" si="180"/>
        <v>0.20580000000000001</v>
      </c>
      <c r="AD1339" s="13"/>
      <c r="AE1339" s="13"/>
      <c r="AF1339" s="13">
        <f t="shared" si="181"/>
        <v>2.0579999999999998</v>
      </c>
      <c r="AG1339" s="13"/>
      <c r="AH1339" s="13"/>
      <c r="AI1339" s="13"/>
      <c r="AJ1339" s="13">
        <f t="shared" si="177"/>
        <v>2.2637999999999998</v>
      </c>
      <c r="AK1339" s="9"/>
      <c r="AL1339" s="13"/>
      <c r="AM1339" s="9"/>
      <c r="AN1339" s="9"/>
      <c r="AO1339" s="9"/>
      <c r="AP1339" s="14"/>
    </row>
    <row r="1340" spans="1:42" s="45" customFormat="1" ht="22" customHeight="1">
      <c r="A1340" s="14" t="s">
        <v>19</v>
      </c>
      <c r="B1340" s="8">
        <v>2024</v>
      </c>
      <c r="C1340" s="8" t="s">
        <v>8</v>
      </c>
      <c r="D1340" s="9" t="s">
        <v>185</v>
      </c>
      <c r="E1340" s="9" t="s">
        <v>10</v>
      </c>
      <c r="F1340" s="9" t="s">
        <v>186</v>
      </c>
      <c r="G1340" s="8"/>
      <c r="H1340" s="8"/>
      <c r="I1340" s="9" t="s">
        <v>28</v>
      </c>
      <c r="J1340" s="9" t="s">
        <v>11</v>
      </c>
      <c r="K1340" s="9" t="s">
        <v>82</v>
      </c>
      <c r="L1340" s="9" t="s">
        <v>166</v>
      </c>
      <c r="M1340" s="9" t="s">
        <v>28</v>
      </c>
      <c r="N1340" s="9" t="s">
        <v>266</v>
      </c>
      <c r="O1340" s="9" t="s">
        <v>342</v>
      </c>
      <c r="P1340" s="9" t="s">
        <v>343</v>
      </c>
      <c r="Q1340" s="11"/>
      <c r="R1340" s="40">
        <v>159</v>
      </c>
      <c r="S1340" s="11">
        <f t="shared" si="178"/>
        <v>159</v>
      </c>
      <c r="T1340" s="9"/>
      <c r="U1340" s="14" t="s">
        <v>77</v>
      </c>
      <c r="V1340" s="9"/>
      <c r="W1340" s="12">
        <v>30</v>
      </c>
      <c r="X1340" s="13"/>
      <c r="Y1340" s="13"/>
      <c r="Z1340" s="13"/>
      <c r="AA1340" s="13"/>
      <c r="AB1340" s="13"/>
      <c r="AC1340" s="13">
        <f t="shared" si="180"/>
        <v>9.5399999999999999E-2</v>
      </c>
      <c r="AD1340" s="13"/>
      <c r="AE1340" s="13"/>
      <c r="AF1340" s="13">
        <f t="shared" si="181"/>
        <v>0.95399999999999996</v>
      </c>
      <c r="AG1340" s="13"/>
      <c r="AH1340" s="13"/>
      <c r="AI1340" s="13"/>
      <c r="AJ1340" s="13">
        <f t="shared" si="177"/>
        <v>1.0493999999999999</v>
      </c>
      <c r="AK1340" s="9"/>
      <c r="AL1340" s="13"/>
      <c r="AM1340" s="9"/>
      <c r="AN1340" s="9"/>
      <c r="AO1340" s="9"/>
      <c r="AP1340" s="14"/>
    </row>
    <row r="1341" spans="1:42" s="45" customFormat="1" ht="22" customHeight="1">
      <c r="A1341" s="14" t="s">
        <v>19</v>
      </c>
      <c r="B1341" s="8">
        <v>2024</v>
      </c>
      <c r="C1341" s="8" t="s">
        <v>8</v>
      </c>
      <c r="D1341" s="9" t="s">
        <v>185</v>
      </c>
      <c r="E1341" s="9" t="s">
        <v>10</v>
      </c>
      <c r="F1341" s="9" t="s">
        <v>186</v>
      </c>
      <c r="G1341" s="8"/>
      <c r="H1341" s="8"/>
      <c r="I1341" s="9" t="s">
        <v>28</v>
      </c>
      <c r="J1341" s="9" t="s">
        <v>11</v>
      </c>
      <c r="K1341" s="9" t="s">
        <v>82</v>
      </c>
      <c r="L1341" s="9" t="s">
        <v>166</v>
      </c>
      <c r="M1341" s="9" t="s">
        <v>28</v>
      </c>
      <c r="N1341" s="9" t="s">
        <v>266</v>
      </c>
      <c r="O1341" s="9" t="s">
        <v>342</v>
      </c>
      <c r="P1341" s="9" t="s">
        <v>344</v>
      </c>
      <c r="Q1341" s="11"/>
      <c r="R1341" s="40">
        <v>114</v>
      </c>
      <c r="S1341" s="11">
        <f t="shared" si="178"/>
        <v>114</v>
      </c>
      <c r="T1341" s="9"/>
      <c r="U1341" s="14" t="s">
        <v>77</v>
      </c>
      <c r="V1341" s="9"/>
      <c r="W1341" s="12">
        <v>30</v>
      </c>
      <c r="X1341" s="13"/>
      <c r="Y1341" s="13"/>
      <c r="Z1341" s="13"/>
      <c r="AA1341" s="13"/>
      <c r="AB1341" s="13"/>
      <c r="AC1341" s="13">
        <f t="shared" si="180"/>
        <v>6.8400000000000002E-2</v>
      </c>
      <c r="AD1341" s="13"/>
      <c r="AE1341" s="13"/>
      <c r="AF1341" s="13">
        <f t="shared" si="181"/>
        <v>0.68400000000000005</v>
      </c>
      <c r="AG1341" s="13"/>
      <c r="AH1341" s="13"/>
      <c r="AI1341" s="13"/>
      <c r="AJ1341" s="13">
        <f t="shared" si="177"/>
        <v>0.75240000000000007</v>
      </c>
      <c r="AK1341" s="9"/>
      <c r="AL1341" s="13"/>
      <c r="AM1341" s="9"/>
      <c r="AN1341" s="9"/>
      <c r="AO1341" s="9"/>
      <c r="AP1341" s="14"/>
    </row>
    <row r="1342" spans="1:42" s="45" customFormat="1" ht="22" customHeight="1">
      <c r="A1342" s="14" t="s">
        <v>19</v>
      </c>
      <c r="B1342" s="8">
        <v>2024</v>
      </c>
      <c r="C1342" s="8" t="s">
        <v>8</v>
      </c>
      <c r="D1342" s="9" t="s">
        <v>185</v>
      </c>
      <c r="E1342" s="9" t="s">
        <v>10</v>
      </c>
      <c r="F1342" s="9" t="s">
        <v>186</v>
      </c>
      <c r="G1342" s="8"/>
      <c r="H1342" s="8"/>
      <c r="I1342" s="9" t="s">
        <v>28</v>
      </c>
      <c r="J1342" s="9" t="s">
        <v>11</v>
      </c>
      <c r="K1342" s="9" t="s">
        <v>82</v>
      </c>
      <c r="L1342" s="9" t="s">
        <v>166</v>
      </c>
      <c r="M1342" s="9" t="s">
        <v>28</v>
      </c>
      <c r="N1342" s="9" t="s">
        <v>266</v>
      </c>
      <c r="O1342" s="9" t="s">
        <v>342</v>
      </c>
      <c r="P1342" s="9" t="s">
        <v>193</v>
      </c>
      <c r="Q1342" s="11"/>
      <c r="R1342" s="40">
        <v>301</v>
      </c>
      <c r="S1342" s="11">
        <f t="shared" si="178"/>
        <v>301</v>
      </c>
      <c r="T1342" s="9"/>
      <c r="U1342" s="14" t="s">
        <v>77</v>
      </c>
      <c r="V1342" s="9"/>
      <c r="W1342" s="12">
        <v>30</v>
      </c>
      <c r="X1342" s="13"/>
      <c r="Y1342" s="13"/>
      <c r="Z1342" s="13"/>
      <c r="AA1342" s="13"/>
      <c r="AB1342" s="13"/>
      <c r="AC1342" s="13">
        <f t="shared" si="180"/>
        <v>0.18060000000000001</v>
      </c>
      <c r="AD1342" s="13"/>
      <c r="AE1342" s="13"/>
      <c r="AF1342" s="13">
        <f t="shared" si="181"/>
        <v>1.806</v>
      </c>
      <c r="AG1342" s="13"/>
      <c r="AH1342" s="13"/>
      <c r="AI1342" s="13"/>
      <c r="AJ1342" s="13">
        <f t="shared" si="177"/>
        <v>1.9866000000000001</v>
      </c>
      <c r="AK1342" s="9"/>
      <c r="AL1342" s="13"/>
      <c r="AM1342" s="9"/>
      <c r="AN1342" s="9"/>
      <c r="AO1342" s="9"/>
      <c r="AP1342" s="14"/>
    </row>
    <row r="1343" spans="1:42" s="45" customFormat="1" ht="22" customHeight="1">
      <c r="A1343" s="14" t="s">
        <v>19</v>
      </c>
      <c r="B1343" s="8">
        <v>2024</v>
      </c>
      <c r="C1343" s="8" t="s">
        <v>8</v>
      </c>
      <c r="D1343" s="9" t="s">
        <v>185</v>
      </c>
      <c r="E1343" s="9" t="s">
        <v>10</v>
      </c>
      <c r="F1343" s="9" t="s">
        <v>186</v>
      </c>
      <c r="G1343" s="8"/>
      <c r="H1343" s="8"/>
      <c r="I1343" s="9" t="s">
        <v>28</v>
      </c>
      <c r="J1343" s="9" t="s">
        <v>11</v>
      </c>
      <c r="K1343" s="9" t="s">
        <v>82</v>
      </c>
      <c r="L1343" s="9" t="s">
        <v>166</v>
      </c>
      <c r="M1343" s="9" t="s">
        <v>28</v>
      </c>
      <c r="N1343" s="9" t="s">
        <v>266</v>
      </c>
      <c r="O1343" s="9" t="s">
        <v>342</v>
      </c>
      <c r="P1343" s="9" t="s">
        <v>345</v>
      </c>
      <c r="Q1343" s="11"/>
      <c r="R1343" s="40">
        <v>119</v>
      </c>
      <c r="S1343" s="11">
        <f t="shared" si="178"/>
        <v>119</v>
      </c>
      <c r="T1343" s="9"/>
      <c r="U1343" s="14" t="s">
        <v>77</v>
      </c>
      <c r="V1343" s="9"/>
      <c r="W1343" s="12">
        <v>30</v>
      </c>
      <c r="X1343" s="13"/>
      <c r="Y1343" s="13"/>
      <c r="Z1343" s="13"/>
      <c r="AA1343" s="13"/>
      <c r="AB1343" s="13"/>
      <c r="AC1343" s="13">
        <f t="shared" si="180"/>
        <v>7.1400000000000005E-2</v>
      </c>
      <c r="AD1343" s="13"/>
      <c r="AE1343" s="13"/>
      <c r="AF1343" s="13">
        <f t="shared" si="181"/>
        <v>0.71399999999999997</v>
      </c>
      <c r="AG1343" s="13"/>
      <c r="AH1343" s="13"/>
      <c r="AI1343" s="13"/>
      <c r="AJ1343" s="13">
        <f t="shared" si="177"/>
        <v>0.78539999999999999</v>
      </c>
      <c r="AK1343" s="9"/>
      <c r="AL1343" s="13"/>
      <c r="AM1343" s="9"/>
      <c r="AN1343" s="9"/>
      <c r="AO1343" s="9"/>
      <c r="AP1343" s="14"/>
    </row>
    <row r="1344" spans="1:42" s="45" customFormat="1" ht="22" customHeight="1">
      <c r="A1344" s="14" t="s">
        <v>19</v>
      </c>
      <c r="B1344" s="8">
        <v>2024</v>
      </c>
      <c r="C1344" s="8" t="s">
        <v>8</v>
      </c>
      <c r="D1344" s="9" t="s">
        <v>185</v>
      </c>
      <c r="E1344" s="9" t="s">
        <v>10</v>
      </c>
      <c r="F1344" s="9" t="s">
        <v>186</v>
      </c>
      <c r="G1344" s="8"/>
      <c r="H1344" s="8"/>
      <c r="I1344" s="9" t="s">
        <v>28</v>
      </c>
      <c r="J1344" s="9" t="s">
        <v>11</v>
      </c>
      <c r="K1344" s="9" t="s">
        <v>82</v>
      </c>
      <c r="L1344" s="9" t="s">
        <v>166</v>
      </c>
      <c r="M1344" s="9" t="s">
        <v>28</v>
      </c>
      <c r="N1344" s="9" t="s">
        <v>266</v>
      </c>
      <c r="O1344" s="9" t="s">
        <v>342</v>
      </c>
      <c r="P1344" s="9" t="s">
        <v>346</v>
      </c>
      <c r="Q1344" s="11"/>
      <c r="R1344" s="40">
        <v>166</v>
      </c>
      <c r="S1344" s="11">
        <f t="shared" si="178"/>
        <v>166</v>
      </c>
      <c r="T1344" s="9"/>
      <c r="U1344" s="14" t="s">
        <v>77</v>
      </c>
      <c r="V1344" s="9"/>
      <c r="W1344" s="12">
        <v>30</v>
      </c>
      <c r="X1344" s="13"/>
      <c r="Y1344" s="13"/>
      <c r="Z1344" s="13"/>
      <c r="AA1344" s="13"/>
      <c r="AB1344" s="13"/>
      <c r="AC1344" s="13">
        <f t="shared" si="180"/>
        <v>9.9599999999999994E-2</v>
      </c>
      <c r="AD1344" s="13"/>
      <c r="AE1344" s="13"/>
      <c r="AF1344" s="13">
        <f t="shared" si="181"/>
        <v>0.996</v>
      </c>
      <c r="AG1344" s="13"/>
      <c r="AH1344" s="13"/>
      <c r="AI1344" s="13"/>
      <c r="AJ1344" s="13">
        <f t="shared" si="177"/>
        <v>1.0955999999999999</v>
      </c>
      <c r="AK1344" s="9"/>
      <c r="AL1344" s="13"/>
      <c r="AM1344" s="9"/>
      <c r="AN1344" s="9"/>
      <c r="AO1344" s="9"/>
      <c r="AP1344" s="14"/>
    </row>
    <row r="1345" spans="1:42" s="45" customFormat="1" ht="22" customHeight="1">
      <c r="A1345" s="14" t="s">
        <v>19</v>
      </c>
      <c r="B1345" s="8">
        <v>2024</v>
      </c>
      <c r="C1345" s="8" t="s">
        <v>8</v>
      </c>
      <c r="D1345" s="9" t="s">
        <v>185</v>
      </c>
      <c r="E1345" s="9" t="s">
        <v>10</v>
      </c>
      <c r="F1345" s="9" t="s">
        <v>186</v>
      </c>
      <c r="G1345" s="8"/>
      <c r="H1345" s="8"/>
      <c r="I1345" s="9" t="s">
        <v>28</v>
      </c>
      <c r="J1345" s="9" t="s">
        <v>11</v>
      </c>
      <c r="K1345" s="9" t="s">
        <v>82</v>
      </c>
      <c r="L1345" s="9" t="s">
        <v>166</v>
      </c>
      <c r="M1345" s="9" t="s">
        <v>28</v>
      </c>
      <c r="N1345" s="9" t="s">
        <v>266</v>
      </c>
      <c r="O1345" s="9" t="s">
        <v>342</v>
      </c>
      <c r="P1345" s="9" t="s">
        <v>347</v>
      </c>
      <c r="Q1345" s="11"/>
      <c r="R1345" s="40">
        <v>130</v>
      </c>
      <c r="S1345" s="11">
        <f t="shared" si="178"/>
        <v>130</v>
      </c>
      <c r="T1345" s="9"/>
      <c r="U1345" s="14" t="s">
        <v>77</v>
      </c>
      <c r="V1345" s="9"/>
      <c r="W1345" s="12">
        <v>30</v>
      </c>
      <c r="X1345" s="13"/>
      <c r="Y1345" s="13"/>
      <c r="Z1345" s="13"/>
      <c r="AA1345" s="13"/>
      <c r="AB1345" s="13"/>
      <c r="AC1345" s="13">
        <f t="shared" si="180"/>
        <v>7.8E-2</v>
      </c>
      <c r="AD1345" s="13"/>
      <c r="AE1345" s="13"/>
      <c r="AF1345" s="13">
        <f t="shared" si="181"/>
        <v>0.78</v>
      </c>
      <c r="AG1345" s="13"/>
      <c r="AH1345" s="13"/>
      <c r="AI1345" s="13"/>
      <c r="AJ1345" s="13">
        <f t="shared" si="177"/>
        <v>0.85799999999999998</v>
      </c>
      <c r="AK1345" s="9"/>
      <c r="AL1345" s="13"/>
      <c r="AM1345" s="9"/>
      <c r="AN1345" s="9"/>
      <c r="AO1345" s="9"/>
      <c r="AP1345" s="14"/>
    </row>
    <row r="1346" spans="1:42" s="45" customFormat="1" ht="22" customHeight="1">
      <c r="A1346" s="14" t="s">
        <v>19</v>
      </c>
      <c r="B1346" s="8">
        <v>2024</v>
      </c>
      <c r="C1346" s="8" t="s">
        <v>8</v>
      </c>
      <c r="D1346" s="9" t="s">
        <v>185</v>
      </c>
      <c r="E1346" s="9" t="s">
        <v>10</v>
      </c>
      <c r="F1346" s="9" t="s">
        <v>186</v>
      </c>
      <c r="G1346" s="8"/>
      <c r="H1346" s="8"/>
      <c r="I1346" s="9" t="s">
        <v>28</v>
      </c>
      <c r="J1346" s="9" t="s">
        <v>11</v>
      </c>
      <c r="K1346" s="9" t="s">
        <v>82</v>
      </c>
      <c r="L1346" s="9" t="s">
        <v>166</v>
      </c>
      <c r="M1346" s="9" t="s">
        <v>28</v>
      </c>
      <c r="N1346" s="9" t="s">
        <v>266</v>
      </c>
      <c r="O1346" s="9" t="s">
        <v>342</v>
      </c>
      <c r="P1346" s="9" t="s">
        <v>348</v>
      </c>
      <c r="Q1346" s="11"/>
      <c r="R1346" s="40">
        <v>146</v>
      </c>
      <c r="S1346" s="11">
        <f t="shared" si="178"/>
        <v>146</v>
      </c>
      <c r="T1346" s="9"/>
      <c r="U1346" s="14" t="s">
        <v>77</v>
      </c>
      <c r="V1346" s="9"/>
      <c r="W1346" s="12">
        <v>30</v>
      </c>
      <c r="X1346" s="13"/>
      <c r="Y1346" s="13"/>
      <c r="Z1346" s="13"/>
      <c r="AA1346" s="13"/>
      <c r="AB1346" s="13"/>
      <c r="AC1346" s="13">
        <f t="shared" si="180"/>
        <v>8.7599999999999997E-2</v>
      </c>
      <c r="AD1346" s="13"/>
      <c r="AE1346" s="13"/>
      <c r="AF1346" s="13">
        <f t="shared" si="181"/>
        <v>0.876</v>
      </c>
      <c r="AG1346" s="13"/>
      <c r="AH1346" s="13"/>
      <c r="AI1346" s="13"/>
      <c r="AJ1346" s="13">
        <f t="shared" si="177"/>
        <v>0.96360000000000001</v>
      </c>
      <c r="AK1346" s="9"/>
      <c r="AL1346" s="13"/>
      <c r="AM1346" s="9"/>
      <c r="AN1346" s="9"/>
      <c r="AO1346" s="9"/>
      <c r="AP1346" s="14"/>
    </row>
    <row r="1347" spans="1:42" s="45" customFormat="1" ht="22" customHeight="1">
      <c r="A1347" s="14" t="s">
        <v>19</v>
      </c>
      <c r="B1347" s="8">
        <v>2024</v>
      </c>
      <c r="C1347" s="8" t="s">
        <v>8</v>
      </c>
      <c r="D1347" s="9" t="s">
        <v>185</v>
      </c>
      <c r="E1347" s="9" t="s">
        <v>10</v>
      </c>
      <c r="F1347" s="9" t="s">
        <v>186</v>
      </c>
      <c r="G1347" s="8"/>
      <c r="H1347" s="8"/>
      <c r="I1347" s="9" t="s">
        <v>28</v>
      </c>
      <c r="J1347" s="9" t="s">
        <v>11</v>
      </c>
      <c r="K1347" s="9" t="s">
        <v>82</v>
      </c>
      <c r="L1347" s="9" t="s">
        <v>166</v>
      </c>
      <c r="M1347" s="9" t="s">
        <v>28</v>
      </c>
      <c r="N1347" s="9" t="s">
        <v>266</v>
      </c>
      <c r="O1347" s="9" t="s">
        <v>342</v>
      </c>
      <c r="P1347" s="9" t="s">
        <v>349</v>
      </c>
      <c r="Q1347" s="11"/>
      <c r="R1347" s="40">
        <v>129</v>
      </c>
      <c r="S1347" s="11">
        <f t="shared" si="178"/>
        <v>129</v>
      </c>
      <c r="T1347" s="9"/>
      <c r="U1347" s="14" t="s">
        <v>77</v>
      </c>
      <c r="V1347" s="9"/>
      <c r="W1347" s="12">
        <v>30</v>
      </c>
      <c r="X1347" s="13"/>
      <c r="Y1347" s="13"/>
      <c r="Z1347" s="13"/>
      <c r="AA1347" s="13"/>
      <c r="AB1347" s="13"/>
      <c r="AC1347" s="13">
        <f t="shared" si="180"/>
        <v>7.7399999999999997E-2</v>
      </c>
      <c r="AD1347" s="13"/>
      <c r="AE1347" s="13"/>
      <c r="AF1347" s="13">
        <f t="shared" si="181"/>
        <v>0.77400000000000002</v>
      </c>
      <c r="AG1347" s="13"/>
      <c r="AH1347" s="13"/>
      <c r="AI1347" s="13"/>
      <c r="AJ1347" s="13">
        <f t="shared" si="177"/>
        <v>0.85140000000000005</v>
      </c>
      <c r="AK1347" s="9"/>
      <c r="AL1347" s="13"/>
      <c r="AM1347" s="9"/>
      <c r="AN1347" s="9"/>
      <c r="AO1347" s="9"/>
      <c r="AP1347" s="14"/>
    </row>
    <row r="1348" spans="1:42" s="45" customFormat="1" ht="22" customHeight="1">
      <c r="A1348" s="14" t="s">
        <v>19</v>
      </c>
      <c r="B1348" s="8">
        <v>2024</v>
      </c>
      <c r="C1348" s="8" t="s">
        <v>8</v>
      </c>
      <c r="D1348" s="9" t="s">
        <v>185</v>
      </c>
      <c r="E1348" s="9" t="s">
        <v>10</v>
      </c>
      <c r="F1348" s="9" t="s">
        <v>186</v>
      </c>
      <c r="G1348" s="8"/>
      <c r="H1348" s="8"/>
      <c r="I1348" s="9" t="s">
        <v>28</v>
      </c>
      <c r="J1348" s="9" t="s">
        <v>11</v>
      </c>
      <c r="K1348" s="9" t="s">
        <v>82</v>
      </c>
      <c r="L1348" s="9" t="s">
        <v>166</v>
      </c>
      <c r="M1348" s="9" t="s">
        <v>28</v>
      </c>
      <c r="N1348" s="9" t="s">
        <v>266</v>
      </c>
      <c r="O1348" s="9" t="s">
        <v>342</v>
      </c>
      <c r="P1348" s="9" t="s">
        <v>350</v>
      </c>
      <c r="Q1348" s="11"/>
      <c r="R1348" s="40">
        <v>353</v>
      </c>
      <c r="S1348" s="11">
        <f t="shared" si="178"/>
        <v>353</v>
      </c>
      <c r="T1348" s="9"/>
      <c r="U1348" s="14" t="s">
        <v>77</v>
      </c>
      <c r="V1348" s="9"/>
      <c r="W1348" s="12">
        <v>30</v>
      </c>
      <c r="X1348" s="13"/>
      <c r="Y1348" s="13"/>
      <c r="Z1348" s="13"/>
      <c r="AA1348" s="13"/>
      <c r="AB1348" s="13"/>
      <c r="AC1348" s="13">
        <f t="shared" si="180"/>
        <v>0.21179999999999999</v>
      </c>
      <c r="AD1348" s="13"/>
      <c r="AE1348" s="13"/>
      <c r="AF1348" s="13">
        <f t="shared" si="181"/>
        <v>2.1179999999999999</v>
      </c>
      <c r="AG1348" s="13"/>
      <c r="AH1348" s="13"/>
      <c r="AI1348" s="13"/>
      <c r="AJ1348" s="13">
        <f t="shared" si="177"/>
        <v>2.3297999999999996</v>
      </c>
      <c r="AK1348" s="9"/>
      <c r="AL1348" s="13"/>
      <c r="AM1348" s="9"/>
      <c r="AN1348" s="9"/>
      <c r="AO1348" s="9"/>
      <c r="AP1348" s="14"/>
    </row>
    <row r="1349" spans="1:42" s="45" customFormat="1" ht="22" customHeight="1">
      <c r="A1349" s="14" t="s">
        <v>19</v>
      </c>
      <c r="B1349" s="8">
        <v>2024</v>
      </c>
      <c r="C1349" s="8" t="s">
        <v>8</v>
      </c>
      <c r="D1349" s="9" t="s">
        <v>185</v>
      </c>
      <c r="E1349" s="9" t="s">
        <v>10</v>
      </c>
      <c r="F1349" s="9" t="s">
        <v>186</v>
      </c>
      <c r="G1349" s="8"/>
      <c r="H1349" s="8"/>
      <c r="I1349" s="9" t="s">
        <v>28</v>
      </c>
      <c r="J1349" s="9" t="s">
        <v>11</v>
      </c>
      <c r="K1349" s="9" t="s">
        <v>82</v>
      </c>
      <c r="L1349" s="9" t="s">
        <v>166</v>
      </c>
      <c r="M1349" s="9" t="s">
        <v>28</v>
      </c>
      <c r="N1349" s="9" t="s">
        <v>266</v>
      </c>
      <c r="O1349" s="9" t="s">
        <v>351</v>
      </c>
      <c r="P1349" s="9" t="s">
        <v>352</v>
      </c>
      <c r="Q1349" s="11"/>
      <c r="R1349" s="40">
        <v>141</v>
      </c>
      <c r="S1349" s="11">
        <f t="shared" si="178"/>
        <v>141</v>
      </c>
      <c r="T1349" s="9"/>
      <c r="U1349" s="14" t="s">
        <v>77</v>
      </c>
      <c r="V1349" s="9"/>
      <c r="W1349" s="12">
        <v>30</v>
      </c>
      <c r="X1349" s="13"/>
      <c r="Y1349" s="13"/>
      <c r="Z1349" s="13"/>
      <c r="AA1349" s="13"/>
      <c r="AB1349" s="13"/>
      <c r="AC1349" s="13">
        <f t="shared" si="180"/>
        <v>8.4599999999999995E-2</v>
      </c>
      <c r="AD1349" s="13"/>
      <c r="AE1349" s="13"/>
      <c r="AF1349" s="13">
        <f t="shared" si="181"/>
        <v>0.84599999999999997</v>
      </c>
      <c r="AG1349" s="13"/>
      <c r="AH1349" s="13"/>
      <c r="AI1349" s="13"/>
      <c r="AJ1349" s="13">
        <f t="shared" si="177"/>
        <v>0.93059999999999998</v>
      </c>
      <c r="AK1349" s="9"/>
      <c r="AL1349" s="13"/>
      <c r="AM1349" s="9"/>
      <c r="AN1349" s="9"/>
      <c r="AO1349" s="9"/>
      <c r="AP1349" s="14"/>
    </row>
    <row r="1350" spans="1:42" s="45" customFormat="1" ht="22" customHeight="1">
      <c r="A1350" s="14" t="s">
        <v>19</v>
      </c>
      <c r="B1350" s="8">
        <v>2024</v>
      </c>
      <c r="C1350" s="8" t="s">
        <v>8</v>
      </c>
      <c r="D1350" s="9" t="s">
        <v>185</v>
      </c>
      <c r="E1350" s="9" t="s">
        <v>10</v>
      </c>
      <c r="F1350" s="9" t="s">
        <v>186</v>
      </c>
      <c r="G1350" s="8"/>
      <c r="H1350" s="8"/>
      <c r="I1350" s="9" t="s">
        <v>28</v>
      </c>
      <c r="J1350" s="9" t="s">
        <v>11</v>
      </c>
      <c r="K1350" s="9" t="s">
        <v>82</v>
      </c>
      <c r="L1350" s="9" t="s">
        <v>166</v>
      </c>
      <c r="M1350" s="9" t="s">
        <v>28</v>
      </c>
      <c r="N1350" s="9" t="s">
        <v>266</v>
      </c>
      <c r="O1350" s="9" t="s">
        <v>351</v>
      </c>
      <c r="P1350" s="9" t="s">
        <v>353</v>
      </c>
      <c r="Q1350" s="11"/>
      <c r="R1350" s="40">
        <v>194</v>
      </c>
      <c r="S1350" s="11">
        <f t="shared" si="178"/>
        <v>194</v>
      </c>
      <c r="T1350" s="9"/>
      <c r="U1350" s="14" t="s">
        <v>77</v>
      </c>
      <c r="V1350" s="9"/>
      <c r="W1350" s="12">
        <v>30</v>
      </c>
      <c r="X1350" s="13"/>
      <c r="Y1350" s="13"/>
      <c r="Z1350" s="13"/>
      <c r="AA1350" s="13"/>
      <c r="AB1350" s="13"/>
      <c r="AC1350" s="13">
        <f t="shared" si="180"/>
        <v>0.1164</v>
      </c>
      <c r="AD1350" s="13"/>
      <c r="AE1350" s="13"/>
      <c r="AF1350" s="13">
        <f t="shared" si="181"/>
        <v>1.1639999999999999</v>
      </c>
      <c r="AG1350" s="13"/>
      <c r="AH1350" s="13"/>
      <c r="AI1350" s="13"/>
      <c r="AJ1350" s="13">
        <f t="shared" si="177"/>
        <v>1.2804</v>
      </c>
      <c r="AK1350" s="9"/>
      <c r="AL1350" s="13"/>
      <c r="AM1350" s="9"/>
      <c r="AN1350" s="9"/>
      <c r="AO1350" s="9"/>
      <c r="AP1350" s="14"/>
    </row>
    <row r="1351" spans="1:42" s="45" customFormat="1" ht="22" customHeight="1">
      <c r="A1351" s="14" t="s">
        <v>19</v>
      </c>
      <c r="B1351" s="8">
        <v>2024</v>
      </c>
      <c r="C1351" s="8" t="s">
        <v>8</v>
      </c>
      <c r="D1351" s="9" t="s">
        <v>185</v>
      </c>
      <c r="E1351" s="9" t="s">
        <v>10</v>
      </c>
      <c r="F1351" s="9" t="s">
        <v>186</v>
      </c>
      <c r="G1351" s="8"/>
      <c r="H1351" s="8"/>
      <c r="I1351" s="9" t="s">
        <v>28</v>
      </c>
      <c r="J1351" s="9" t="s">
        <v>11</v>
      </c>
      <c r="K1351" s="9" t="s">
        <v>82</v>
      </c>
      <c r="L1351" s="9" t="s">
        <v>166</v>
      </c>
      <c r="M1351" s="9" t="s">
        <v>28</v>
      </c>
      <c r="N1351" s="9" t="s">
        <v>266</v>
      </c>
      <c r="O1351" s="9" t="s">
        <v>351</v>
      </c>
      <c r="P1351" s="9" t="s">
        <v>354</v>
      </c>
      <c r="Q1351" s="11"/>
      <c r="R1351" s="40">
        <v>69</v>
      </c>
      <c r="S1351" s="11">
        <f t="shared" si="178"/>
        <v>69</v>
      </c>
      <c r="T1351" s="9"/>
      <c r="U1351" s="14" t="s">
        <v>77</v>
      </c>
      <c r="V1351" s="9"/>
      <c r="W1351" s="12">
        <v>30</v>
      </c>
      <c r="X1351" s="13"/>
      <c r="Y1351" s="13"/>
      <c r="Z1351" s="13"/>
      <c r="AA1351" s="13"/>
      <c r="AB1351" s="13"/>
      <c r="AC1351" s="13">
        <f t="shared" si="180"/>
        <v>4.1399999999999999E-2</v>
      </c>
      <c r="AD1351" s="13"/>
      <c r="AE1351" s="13"/>
      <c r="AF1351" s="13">
        <f t="shared" si="181"/>
        <v>0.41399999999999998</v>
      </c>
      <c r="AG1351" s="13"/>
      <c r="AH1351" s="13"/>
      <c r="AI1351" s="13"/>
      <c r="AJ1351" s="13">
        <f t="shared" si="177"/>
        <v>0.45539999999999997</v>
      </c>
      <c r="AK1351" s="9"/>
      <c r="AL1351" s="13"/>
      <c r="AM1351" s="9"/>
      <c r="AN1351" s="9"/>
      <c r="AO1351" s="9"/>
      <c r="AP1351" s="14"/>
    </row>
    <row r="1352" spans="1:42" s="45" customFormat="1" ht="22" customHeight="1">
      <c r="A1352" s="14" t="s">
        <v>19</v>
      </c>
      <c r="B1352" s="8">
        <v>2024</v>
      </c>
      <c r="C1352" s="8" t="s">
        <v>8</v>
      </c>
      <c r="D1352" s="9" t="s">
        <v>185</v>
      </c>
      <c r="E1352" s="9" t="s">
        <v>10</v>
      </c>
      <c r="F1352" s="9" t="s">
        <v>186</v>
      </c>
      <c r="G1352" s="8"/>
      <c r="H1352" s="8"/>
      <c r="I1352" s="9" t="s">
        <v>28</v>
      </c>
      <c r="J1352" s="9" t="s">
        <v>11</v>
      </c>
      <c r="K1352" s="9" t="s">
        <v>82</v>
      </c>
      <c r="L1352" s="9" t="s">
        <v>166</v>
      </c>
      <c r="M1352" s="9" t="s">
        <v>28</v>
      </c>
      <c r="N1352" s="9" t="s">
        <v>266</v>
      </c>
      <c r="O1352" s="9" t="s">
        <v>351</v>
      </c>
      <c r="P1352" s="9" t="s">
        <v>355</v>
      </c>
      <c r="Q1352" s="11"/>
      <c r="R1352" s="40">
        <v>131</v>
      </c>
      <c r="S1352" s="11">
        <f t="shared" si="178"/>
        <v>131</v>
      </c>
      <c r="T1352" s="9"/>
      <c r="U1352" s="14" t="s">
        <v>77</v>
      </c>
      <c r="V1352" s="9"/>
      <c r="W1352" s="12">
        <v>30</v>
      </c>
      <c r="X1352" s="13"/>
      <c r="Y1352" s="13"/>
      <c r="Z1352" s="13"/>
      <c r="AA1352" s="13"/>
      <c r="AB1352" s="13"/>
      <c r="AC1352" s="13">
        <f t="shared" si="180"/>
        <v>7.8600000000000003E-2</v>
      </c>
      <c r="AD1352" s="13"/>
      <c r="AE1352" s="13"/>
      <c r="AF1352" s="13">
        <f t="shared" si="181"/>
        <v>0.78600000000000003</v>
      </c>
      <c r="AG1352" s="13"/>
      <c r="AH1352" s="13"/>
      <c r="AI1352" s="13"/>
      <c r="AJ1352" s="13">
        <f t="shared" si="177"/>
        <v>0.86460000000000004</v>
      </c>
      <c r="AK1352" s="9"/>
      <c r="AL1352" s="13"/>
      <c r="AM1352" s="9"/>
      <c r="AN1352" s="9"/>
      <c r="AO1352" s="9"/>
      <c r="AP1352" s="14"/>
    </row>
    <row r="1353" spans="1:42" s="45" customFormat="1" ht="22" customHeight="1">
      <c r="A1353" s="14" t="s">
        <v>19</v>
      </c>
      <c r="B1353" s="8">
        <v>2024</v>
      </c>
      <c r="C1353" s="8" t="s">
        <v>8</v>
      </c>
      <c r="D1353" s="9" t="s">
        <v>185</v>
      </c>
      <c r="E1353" s="9" t="s">
        <v>10</v>
      </c>
      <c r="F1353" s="9" t="s">
        <v>186</v>
      </c>
      <c r="G1353" s="8"/>
      <c r="H1353" s="8"/>
      <c r="I1353" s="9" t="s">
        <v>28</v>
      </c>
      <c r="J1353" s="9" t="s">
        <v>11</v>
      </c>
      <c r="K1353" s="9" t="s">
        <v>82</v>
      </c>
      <c r="L1353" s="9" t="s">
        <v>166</v>
      </c>
      <c r="M1353" s="9" t="s">
        <v>28</v>
      </c>
      <c r="N1353" s="9" t="s">
        <v>266</v>
      </c>
      <c r="O1353" s="9" t="s">
        <v>351</v>
      </c>
      <c r="P1353" s="9" t="s">
        <v>356</v>
      </c>
      <c r="Q1353" s="11"/>
      <c r="R1353" s="40">
        <v>128</v>
      </c>
      <c r="S1353" s="11">
        <f t="shared" si="178"/>
        <v>128</v>
      </c>
      <c r="T1353" s="9"/>
      <c r="U1353" s="14" t="s">
        <v>77</v>
      </c>
      <c r="V1353" s="9"/>
      <c r="W1353" s="12">
        <v>30</v>
      </c>
      <c r="X1353" s="13"/>
      <c r="Y1353" s="13"/>
      <c r="Z1353" s="13"/>
      <c r="AA1353" s="13"/>
      <c r="AB1353" s="13"/>
      <c r="AC1353" s="13">
        <f t="shared" si="180"/>
        <v>7.6799999999999993E-2</v>
      </c>
      <c r="AD1353" s="13"/>
      <c r="AE1353" s="13"/>
      <c r="AF1353" s="13">
        <f t="shared" si="181"/>
        <v>0.76800000000000002</v>
      </c>
      <c r="AG1353" s="13"/>
      <c r="AH1353" s="13"/>
      <c r="AI1353" s="13"/>
      <c r="AJ1353" s="13">
        <f t="shared" si="177"/>
        <v>0.8448</v>
      </c>
      <c r="AK1353" s="9"/>
      <c r="AL1353" s="13"/>
      <c r="AM1353" s="9"/>
      <c r="AN1353" s="9"/>
      <c r="AO1353" s="9"/>
      <c r="AP1353" s="14"/>
    </row>
    <row r="1354" spans="1:42" s="45" customFormat="1" ht="22" customHeight="1">
      <c r="A1354" s="14" t="s">
        <v>19</v>
      </c>
      <c r="B1354" s="8">
        <v>2024</v>
      </c>
      <c r="C1354" s="8" t="s">
        <v>8</v>
      </c>
      <c r="D1354" s="9" t="s">
        <v>185</v>
      </c>
      <c r="E1354" s="9" t="s">
        <v>10</v>
      </c>
      <c r="F1354" s="9" t="s">
        <v>186</v>
      </c>
      <c r="G1354" s="8"/>
      <c r="H1354" s="8"/>
      <c r="I1354" s="9" t="s">
        <v>28</v>
      </c>
      <c r="J1354" s="9" t="s">
        <v>11</v>
      </c>
      <c r="K1354" s="9" t="s">
        <v>82</v>
      </c>
      <c r="L1354" s="9" t="s">
        <v>166</v>
      </c>
      <c r="M1354" s="9" t="s">
        <v>28</v>
      </c>
      <c r="N1354" s="9" t="s">
        <v>266</v>
      </c>
      <c r="O1354" s="9" t="s">
        <v>357</v>
      </c>
      <c r="P1354" s="9" t="s">
        <v>358</v>
      </c>
      <c r="Q1354" s="11"/>
      <c r="R1354" s="40">
        <v>96</v>
      </c>
      <c r="S1354" s="11">
        <f t="shared" si="178"/>
        <v>96</v>
      </c>
      <c r="T1354" s="9"/>
      <c r="U1354" s="14" t="s">
        <v>77</v>
      </c>
      <c r="V1354" s="9"/>
      <c r="W1354" s="12">
        <v>30</v>
      </c>
      <c r="X1354" s="13"/>
      <c r="Y1354" s="13"/>
      <c r="Z1354" s="13"/>
      <c r="AA1354" s="13"/>
      <c r="AB1354" s="13"/>
      <c r="AC1354" s="13">
        <f t="shared" si="180"/>
        <v>5.7599999999999998E-2</v>
      </c>
      <c r="AD1354" s="13"/>
      <c r="AE1354" s="13"/>
      <c r="AF1354" s="13">
        <f t="shared" si="181"/>
        <v>0.57599999999999996</v>
      </c>
      <c r="AG1354" s="13"/>
      <c r="AH1354" s="13"/>
      <c r="AI1354" s="13"/>
      <c r="AJ1354" s="13">
        <f t="shared" si="177"/>
        <v>0.63359999999999994</v>
      </c>
      <c r="AK1354" s="9"/>
      <c r="AL1354" s="13"/>
      <c r="AM1354" s="9"/>
      <c r="AN1354" s="9"/>
      <c r="AO1354" s="9"/>
      <c r="AP1354" s="14"/>
    </row>
    <row r="1355" spans="1:42" s="45" customFormat="1" ht="22" customHeight="1">
      <c r="A1355" s="14" t="s">
        <v>19</v>
      </c>
      <c r="B1355" s="8">
        <v>2024</v>
      </c>
      <c r="C1355" s="8" t="s">
        <v>8</v>
      </c>
      <c r="D1355" s="9" t="s">
        <v>185</v>
      </c>
      <c r="E1355" s="9" t="s">
        <v>10</v>
      </c>
      <c r="F1355" s="9" t="s">
        <v>186</v>
      </c>
      <c r="G1355" s="8"/>
      <c r="H1355" s="8"/>
      <c r="I1355" s="9" t="s">
        <v>28</v>
      </c>
      <c r="J1355" s="9" t="s">
        <v>11</v>
      </c>
      <c r="K1355" s="9" t="s">
        <v>82</v>
      </c>
      <c r="L1355" s="9" t="s">
        <v>166</v>
      </c>
      <c r="M1355" s="9" t="s">
        <v>28</v>
      </c>
      <c r="N1355" s="9" t="s">
        <v>266</v>
      </c>
      <c r="O1355" s="9" t="s">
        <v>357</v>
      </c>
      <c r="P1355" s="9" t="s">
        <v>359</v>
      </c>
      <c r="Q1355" s="11"/>
      <c r="R1355" s="40">
        <v>340</v>
      </c>
      <c r="S1355" s="11">
        <f t="shared" si="178"/>
        <v>340</v>
      </c>
      <c r="T1355" s="9"/>
      <c r="U1355" s="14" t="s">
        <v>77</v>
      </c>
      <c r="V1355" s="9"/>
      <c r="W1355" s="12">
        <v>30</v>
      </c>
      <c r="X1355" s="13"/>
      <c r="Y1355" s="13"/>
      <c r="Z1355" s="13"/>
      <c r="AA1355" s="13"/>
      <c r="AB1355" s="13"/>
      <c r="AC1355" s="13">
        <f t="shared" si="180"/>
        <v>0.20399999999999999</v>
      </c>
      <c r="AD1355" s="13"/>
      <c r="AE1355" s="13"/>
      <c r="AF1355" s="13">
        <f t="shared" si="181"/>
        <v>2.04</v>
      </c>
      <c r="AG1355" s="13"/>
      <c r="AH1355" s="13"/>
      <c r="AI1355" s="13"/>
      <c r="AJ1355" s="13">
        <f t="shared" si="177"/>
        <v>2.2440000000000002</v>
      </c>
      <c r="AK1355" s="9"/>
      <c r="AL1355" s="13"/>
      <c r="AM1355" s="9"/>
      <c r="AN1355" s="9"/>
      <c r="AO1355" s="9"/>
      <c r="AP1355" s="14"/>
    </row>
    <row r="1356" spans="1:42" s="45" customFormat="1" ht="22" customHeight="1">
      <c r="A1356" s="14" t="s">
        <v>19</v>
      </c>
      <c r="B1356" s="8">
        <v>2024</v>
      </c>
      <c r="C1356" s="8" t="s">
        <v>8</v>
      </c>
      <c r="D1356" s="9" t="s">
        <v>185</v>
      </c>
      <c r="E1356" s="9" t="s">
        <v>10</v>
      </c>
      <c r="F1356" s="9" t="s">
        <v>186</v>
      </c>
      <c r="G1356" s="8"/>
      <c r="H1356" s="8"/>
      <c r="I1356" s="9" t="s">
        <v>28</v>
      </c>
      <c r="J1356" s="9" t="s">
        <v>11</v>
      </c>
      <c r="K1356" s="9" t="s">
        <v>82</v>
      </c>
      <c r="L1356" s="9" t="s">
        <v>166</v>
      </c>
      <c r="M1356" s="9" t="s">
        <v>28</v>
      </c>
      <c r="N1356" s="9" t="s">
        <v>266</v>
      </c>
      <c r="O1356" s="9" t="s">
        <v>357</v>
      </c>
      <c r="P1356" s="9" t="s">
        <v>360</v>
      </c>
      <c r="Q1356" s="11"/>
      <c r="R1356" s="40">
        <v>120</v>
      </c>
      <c r="S1356" s="11">
        <f t="shared" si="178"/>
        <v>120</v>
      </c>
      <c r="T1356" s="9"/>
      <c r="U1356" s="14" t="s">
        <v>77</v>
      </c>
      <c r="V1356" s="9"/>
      <c r="W1356" s="12">
        <v>30</v>
      </c>
      <c r="X1356" s="13"/>
      <c r="Y1356" s="13"/>
      <c r="Z1356" s="13"/>
      <c r="AA1356" s="13"/>
      <c r="AB1356" s="13"/>
      <c r="AC1356" s="13">
        <f t="shared" si="180"/>
        <v>7.1999999999999995E-2</v>
      </c>
      <c r="AD1356" s="13"/>
      <c r="AE1356" s="13"/>
      <c r="AF1356" s="13">
        <f t="shared" si="181"/>
        <v>0.72</v>
      </c>
      <c r="AG1356" s="13"/>
      <c r="AH1356" s="13"/>
      <c r="AI1356" s="13"/>
      <c r="AJ1356" s="13">
        <f t="shared" si="177"/>
        <v>0.79199999999999993</v>
      </c>
      <c r="AK1356" s="9"/>
      <c r="AL1356" s="13"/>
      <c r="AM1356" s="9"/>
      <c r="AN1356" s="9"/>
      <c r="AO1356" s="9"/>
      <c r="AP1356" s="14"/>
    </row>
    <row r="1357" spans="1:42" s="45" customFormat="1" ht="22" customHeight="1">
      <c r="A1357" s="14" t="s">
        <v>19</v>
      </c>
      <c r="B1357" s="8">
        <v>2024</v>
      </c>
      <c r="C1357" s="8" t="s">
        <v>8</v>
      </c>
      <c r="D1357" s="9" t="s">
        <v>185</v>
      </c>
      <c r="E1357" s="9" t="s">
        <v>10</v>
      </c>
      <c r="F1357" s="9" t="s">
        <v>186</v>
      </c>
      <c r="G1357" s="8"/>
      <c r="H1357" s="8"/>
      <c r="I1357" s="9" t="s">
        <v>28</v>
      </c>
      <c r="J1357" s="9" t="s">
        <v>11</v>
      </c>
      <c r="K1357" s="9" t="s">
        <v>82</v>
      </c>
      <c r="L1357" s="9" t="s">
        <v>166</v>
      </c>
      <c r="M1357" s="9" t="s">
        <v>28</v>
      </c>
      <c r="N1357" s="9" t="s">
        <v>266</v>
      </c>
      <c r="O1357" s="9" t="s">
        <v>357</v>
      </c>
      <c r="P1357" s="9" t="s">
        <v>361</v>
      </c>
      <c r="Q1357" s="11"/>
      <c r="R1357" s="40">
        <v>173</v>
      </c>
      <c r="S1357" s="11">
        <f t="shared" si="178"/>
        <v>173</v>
      </c>
      <c r="T1357" s="9"/>
      <c r="U1357" s="14" t="s">
        <v>77</v>
      </c>
      <c r="V1357" s="9"/>
      <c r="W1357" s="12">
        <v>30</v>
      </c>
      <c r="X1357" s="13"/>
      <c r="Y1357" s="13"/>
      <c r="Z1357" s="13"/>
      <c r="AA1357" s="13"/>
      <c r="AB1357" s="13"/>
      <c r="AC1357" s="13">
        <f t="shared" si="180"/>
        <v>0.1038</v>
      </c>
      <c r="AD1357" s="13"/>
      <c r="AE1357" s="13"/>
      <c r="AF1357" s="13">
        <f t="shared" si="181"/>
        <v>1.038</v>
      </c>
      <c r="AG1357" s="13"/>
      <c r="AH1357" s="13"/>
      <c r="AI1357" s="13"/>
      <c r="AJ1357" s="13">
        <f t="shared" si="177"/>
        <v>1.1417999999999999</v>
      </c>
      <c r="AK1357" s="9"/>
      <c r="AL1357" s="13"/>
      <c r="AM1357" s="9"/>
      <c r="AN1357" s="9"/>
      <c r="AO1357" s="9"/>
      <c r="AP1357" s="14"/>
    </row>
    <row r="1358" spans="1:42" s="45" customFormat="1" ht="22" customHeight="1">
      <c r="A1358" s="14" t="s">
        <v>19</v>
      </c>
      <c r="B1358" s="8">
        <v>2024</v>
      </c>
      <c r="C1358" s="8" t="s">
        <v>8</v>
      </c>
      <c r="D1358" s="9" t="s">
        <v>185</v>
      </c>
      <c r="E1358" s="9" t="s">
        <v>10</v>
      </c>
      <c r="F1358" s="9" t="s">
        <v>186</v>
      </c>
      <c r="G1358" s="8"/>
      <c r="H1358" s="8"/>
      <c r="I1358" s="9" t="s">
        <v>28</v>
      </c>
      <c r="J1358" s="9" t="s">
        <v>11</v>
      </c>
      <c r="K1358" s="9" t="s">
        <v>82</v>
      </c>
      <c r="L1358" s="9" t="s">
        <v>166</v>
      </c>
      <c r="M1358" s="9" t="s">
        <v>28</v>
      </c>
      <c r="N1358" s="9" t="s">
        <v>266</v>
      </c>
      <c r="O1358" s="9" t="s">
        <v>357</v>
      </c>
      <c r="P1358" s="9" t="s">
        <v>362</v>
      </c>
      <c r="Q1358" s="11"/>
      <c r="R1358" s="40">
        <v>180</v>
      </c>
      <c r="S1358" s="11">
        <f t="shared" si="178"/>
        <v>180</v>
      </c>
      <c r="T1358" s="9"/>
      <c r="U1358" s="14" t="s">
        <v>77</v>
      </c>
      <c r="V1358" s="9"/>
      <c r="W1358" s="12">
        <v>30</v>
      </c>
      <c r="X1358" s="13"/>
      <c r="Y1358" s="13"/>
      <c r="Z1358" s="13"/>
      <c r="AA1358" s="13"/>
      <c r="AB1358" s="13"/>
      <c r="AC1358" s="13">
        <f t="shared" si="180"/>
        <v>0.108</v>
      </c>
      <c r="AD1358" s="13"/>
      <c r="AE1358" s="13"/>
      <c r="AF1358" s="13">
        <f t="shared" si="181"/>
        <v>1.08</v>
      </c>
      <c r="AG1358" s="13"/>
      <c r="AH1358" s="13"/>
      <c r="AI1358" s="13"/>
      <c r="AJ1358" s="13">
        <f t="shared" si="177"/>
        <v>1.1880000000000002</v>
      </c>
      <c r="AK1358" s="9"/>
      <c r="AL1358" s="13"/>
      <c r="AM1358" s="9"/>
      <c r="AN1358" s="9"/>
      <c r="AO1358" s="9"/>
      <c r="AP1358" s="14"/>
    </row>
    <row r="1359" spans="1:42" s="45" customFormat="1" ht="22" customHeight="1">
      <c r="A1359" s="14" t="s">
        <v>19</v>
      </c>
      <c r="B1359" s="8">
        <v>2024</v>
      </c>
      <c r="C1359" s="8" t="s">
        <v>8</v>
      </c>
      <c r="D1359" s="9" t="s">
        <v>185</v>
      </c>
      <c r="E1359" s="9" t="s">
        <v>10</v>
      </c>
      <c r="F1359" s="9" t="s">
        <v>186</v>
      </c>
      <c r="G1359" s="8"/>
      <c r="H1359" s="8"/>
      <c r="I1359" s="9" t="s">
        <v>28</v>
      </c>
      <c r="J1359" s="9" t="s">
        <v>11</v>
      </c>
      <c r="K1359" s="9" t="s">
        <v>82</v>
      </c>
      <c r="L1359" s="9" t="s">
        <v>166</v>
      </c>
      <c r="M1359" s="9" t="s">
        <v>28</v>
      </c>
      <c r="N1359" s="9" t="s">
        <v>266</v>
      </c>
      <c r="O1359" s="9" t="s">
        <v>357</v>
      </c>
      <c r="P1359" s="9" t="s">
        <v>363</v>
      </c>
      <c r="Q1359" s="11"/>
      <c r="R1359" s="40">
        <v>82</v>
      </c>
      <c r="S1359" s="11">
        <f t="shared" si="178"/>
        <v>82</v>
      </c>
      <c r="T1359" s="9"/>
      <c r="U1359" s="14" t="s">
        <v>77</v>
      </c>
      <c r="V1359" s="9"/>
      <c r="W1359" s="12">
        <v>30</v>
      </c>
      <c r="X1359" s="13"/>
      <c r="Y1359" s="13"/>
      <c r="Z1359" s="13"/>
      <c r="AA1359" s="13"/>
      <c r="AB1359" s="13"/>
      <c r="AC1359" s="13">
        <f t="shared" si="180"/>
        <v>4.9200000000000001E-2</v>
      </c>
      <c r="AD1359" s="13"/>
      <c r="AE1359" s="13"/>
      <c r="AF1359" s="13">
        <f t="shared" si="181"/>
        <v>0.49199999999999999</v>
      </c>
      <c r="AG1359" s="13"/>
      <c r="AH1359" s="13"/>
      <c r="AI1359" s="13"/>
      <c r="AJ1359" s="13">
        <f t="shared" si="177"/>
        <v>0.54120000000000001</v>
      </c>
      <c r="AK1359" s="9"/>
      <c r="AL1359" s="13"/>
      <c r="AM1359" s="9"/>
      <c r="AN1359" s="9"/>
      <c r="AO1359" s="9"/>
      <c r="AP1359" s="14"/>
    </row>
    <row r="1360" spans="1:42" s="45" customFormat="1" ht="22" customHeight="1">
      <c r="A1360" s="14" t="s">
        <v>19</v>
      </c>
      <c r="B1360" s="8">
        <v>2024</v>
      </c>
      <c r="C1360" s="8" t="s">
        <v>8</v>
      </c>
      <c r="D1360" s="9" t="s">
        <v>185</v>
      </c>
      <c r="E1360" s="9" t="s">
        <v>10</v>
      </c>
      <c r="F1360" s="9" t="s">
        <v>186</v>
      </c>
      <c r="G1360" s="8"/>
      <c r="H1360" s="8"/>
      <c r="I1360" s="9" t="s">
        <v>28</v>
      </c>
      <c r="J1360" s="9" t="s">
        <v>11</v>
      </c>
      <c r="K1360" s="9" t="s">
        <v>82</v>
      </c>
      <c r="L1360" s="9" t="s">
        <v>166</v>
      </c>
      <c r="M1360" s="9" t="s">
        <v>28</v>
      </c>
      <c r="N1360" s="9" t="s">
        <v>266</v>
      </c>
      <c r="O1360" s="9" t="s">
        <v>357</v>
      </c>
      <c r="P1360" s="9" t="s">
        <v>364</v>
      </c>
      <c r="Q1360" s="11"/>
      <c r="R1360" s="40">
        <v>294</v>
      </c>
      <c r="S1360" s="11">
        <f t="shared" si="178"/>
        <v>294</v>
      </c>
      <c r="T1360" s="9"/>
      <c r="U1360" s="14" t="s">
        <v>77</v>
      </c>
      <c r="V1360" s="9"/>
      <c r="W1360" s="12">
        <v>30</v>
      </c>
      <c r="X1360" s="13"/>
      <c r="Y1360" s="13"/>
      <c r="Z1360" s="13"/>
      <c r="AA1360" s="13"/>
      <c r="AB1360" s="13"/>
      <c r="AC1360" s="13">
        <f t="shared" si="180"/>
        <v>0.1764</v>
      </c>
      <c r="AD1360" s="13"/>
      <c r="AE1360" s="13"/>
      <c r="AF1360" s="13">
        <f t="shared" si="181"/>
        <v>1.764</v>
      </c>
      <c r="AG1360" s="13"/>
      <c r="AH1360" s="13"/>
      <c r="AI1360" s="13"/>
      <c r="AJ1360" s="13">
        <f t="shared" si="177"/>
        <v>1.9403999999999999</v>
      </c>
      <c r="AK1360" s="9"/>
      <c r="AL1360" s="13"/>
      <c r="AM1360" s="9"/>
      <c r="AN1360" s="9"/>
      <c r="AO1360" s="9"/>
      <c r="AP1360" s="14"/>
    </row>
    <row r="1361" spans="1:42" s="45" customFormat="1" ht="22" customHeight="1">
      <c r="A1361" s="14" t="s">
        <v>19</v>
      </c>
      <c r="B1361" s="8">
        <v>2024</v>
      </c>
      <c r="C1361" s="8" t="s">
        <v>8</v>
      </c>
      <c r="D1361" s="9" t="s">
        <v>185</v>
      </c>
      <c r="E1361" s="9" t="s">
        <v>10</v>
      </c>
      <c r="F1361" s="9" t="s">
        <v>186</v>
      </c>
      <c r="G1361" s="8"/>
      <c r="H1361" s="8"/>
      <c r="I1361" s="9" t="s">
        <v>28</v>
      </c>
      <c r="J1361" s="9" t="s">
        <v>11</v>
      </c>
      <c r="K1361" s="9" t="s">
        <v>82</v>
      </c>
      <c r="L1361" s="9" t="s">
        <v>166</v>
      </c>
      <c r="M1361" s="9" t="s">
        <v>28</v>
      </c>
      <c r="N1361" s="9" t="s">
        <v>266</v>
      </c>
      <c r="O1361" s="9" t="s">
        <v>365</v>
      </c>
      <c r="P1361" s="9" t="s">
        <v>366</v>
      </c>
      <c r="Q1361" s="11"/>
      <c r="R1361" s="40">
        <v>101</v>
      </c>
      <c r="S1361" s="11">
        <f t="shared" si="178"/>
        <v>101</v>
      </c>
      <c r="T1361" s="9"/>
      <c r="U1361" s="14" t="s">
        <v>77</v>
      </c>
      <c r="V1361" s="9"/>
      <c r="W1361" s="12">
        <v>30</v>
      </c>
      <c r="X1361" s="13"/>
      <c r="Y1361" s="13"/>
      <c r="Z1361" s="13"/>
      <c r="AA1361" s="13"/>
      <c r="AB1361" s="13"/>
      <c r="AC1361" s="13">
        <f t="shared" si="180"/>
        <v>6.0600000000000001E-2</v>
      </c>
      <c r="AD1361" s="13"/>
      <c r="AE1361" s="13"/>
      <c r="AF1361" s="13">
        <f t="shared" si="181"/>
        <v>0.60599999999999998</v>
      </c>
      <c r="AG1361" s="13"/>
      <c r="AH1361" s="13"/>
      <c r="AI1361" s="13"/>
      <c r="AJ1361" s="13">
        <f t="shared" si="177"/>
        <v>0.66659999999999997</v>
      </c>
      <c r="AK1361" s="9"/>
      <c r="AL1361" s="13"/>
      <c r="AM1361" s="9"/>
      <c r="AN1361" s="9"/>
      <c r="AO1361" s="9"/>
      <c r="AP1361" s="14"/>
    </row>
    <row r="1362" spans="1:42" s="45" customFormat="1" ht="22" customHeight="1">
      <c r="A1362" s="14" t="s">
        <v>19</v>
      </c>
      <c r="B1362" s="8">
        <v>2024</v>
      </c>
      <c r="C1362" s="8" t="s">
        <v>8</v>
      </c>
      <c r="D1362" s="9" t="s">
        <v>185</v>
      </c>
      <c r="E1362" s="9" t="s">
        <v>10</v>
      </c>
      <c r="F1362" s="9" t="s">
        <v>186</v>
      </c>
      <c r="G1362" s="8"/>
      <c r="H1362" s="8"/>
      <c r="I1362" s="9" t="s">
        <v>28</v>
      </c>
      <c r="J1362" s="9" t="s">
        <v>11</v>
      </c>
      <c r="K1362" s="9" t="s">
        <v>82</v>
      </c>
      <c r="L1362" s="9" t="s">
        <v>166</v>
      </c>
      <c r="M1362" s="9" t="s">
        <v>28</v>
      </c>
      <c r="N1362" s="9" t="s">
        <v>266</v>
      </c>
      <c r="O1362" s="9" t="s">
        <v>365</v>
      </c>
      <c r="P1362" s="9" t="s">
        <v>367</v>
      </c>
      <c r="Q1362" s="11"/>
      <c r="R1362" s="40">
        <v>110</v>
      </c>
      <c r="S1362" s="11">
        <f t="shared" si="178"/>
        <v>110</v>
      </c>
      <c r="T1362" s="9"/>
      <c r="U1362" s="14" t="s">
        <v>77</v>
      </c>
      <c r="V1362" s="9"/>
      <c r="W1362" s="12">
        <v>30</v>
      </c>
      <c r="X1362" s="13"/>
      <c r="Y1362" s="13"/>
      <c r="Z1362" s="13"/>
      <c r="AA1362" s="13"/>
      <c r="AB1362" s="13"/>
      <c r="AC1362" s="13">
        <f t="shared" si="180"/>
        <v>6.6000000000000003E-2</v>
      </c>
      <c r="AD1362" s="13"/>
      <c r="AE1362" s="13"/>
      <c r="AF1362" s="13">
        <f t="shared" si="181"/>
        <v>0.66</v>
      </c>
      <c r="AG1362" s="13"/>
      <c r="AH1362" s="13"/>
      <c r="AI1362" s="13"/>
      <c r="AJ1362" s="13">
        <f t="shared" si="177"/>
        <v>0.72599999999999998</v>
      </c>
      <c r="AK1362" s="9"/>
      <c r="AL1362" s="13"/>
      <c r="AM1362" s="9"/>
      <c r="AN1362" s="9"/>
      <c r="AO1362" s="9"/>
      <c r="AP1362" s="14"/>
    </row>
    <row r="1363" spans="1:42" s="45" customFormat="1" ht="22" customHeight="1">
      <c r="A1363" s="14" t="s">
        <v>19</v>
      </c>
      <c r="B1363" s="8">
        <v>2024</v>
      </c>
      <c r="C1363" s="8" t="s">
        <v>8</v>
      </c>
      <c r="D1363" s="9" t="s">
        <v>185</v>
      </c>
      <c r="E1363" s="9" t="s">
        <v>10</v>
      </c>
      <c r="F1363" s="9" t="s">
        <v>186</v>
      </c>
      <c r="G1363" s="8"/>
      <c r="H1363" s="8"/>
      <c r="I1363" s="9" t="s">
        <v>28</v>
      </c>
      <c r="J1363" s="9" t="s">
        <v>11</v>
      </c>
      <c r="K1363" s="9" t="s">
        <v>82</v>
      </c>
      <c r="L1363" s="9" t="s">
        <v>166</v>
      </c>
      <c r="M1363" s="9" t="s">
        <v>28</v>
      </c>
      <c r="N1363" s="9" t="s">
        <v>266</v>
      </c>
      <c r="O1363" s="9" t="s">
        <v>365</v>
      </c>
      <c r="P1363" s="9" t="s">
        <v>368</v>
      </c>
      <c r="Q1363" s="11"/>
      <c r="R1363" s="40">
        <v>87</v>
      </c>
      <c r="S1363" s="11">
        <f t="shared" si="178"/>
        <v>87</v>
      </c>
      <c r="T1363" s="9"/>
      <c r="U1363" s="14" t="s">
        <v>77</v>
      </c>
      <c r="V1363" s="9"/>
      <c r="W1363" s="12">
        <v>30</v>
      </c>
      <c r="X1363" s="13"/>
      <c r="Y1363" s="13"/>
      <c r="Z1363" s="13"/>
      <c r="AA1363" s="13"/>
      <c r="AB1363" s="13"/>
      <c r="AC1363" s="13">
        <f t="shared" si="180"/>
        <v>5.2200000000000003E-2</v>
      </c>
      <c r="AD1363" s="13"/>
      <c r="AE1363" s="13"/>
      <c r="AF1363" s="13">
        <f t="shared" si="181"/>
        <v>0.52200000000000002</v>
      </c>
      <c r="AG1363" s="13"/>
      <c r="AH1363" s="13"/>
      <c r="AI1363" s="13"/>
      <c r="AJ1363" s="13">
        <f t="shared" si="177"/>
        <v>0.57420000000000004</v>
      </c>
      <c r="AK1363" s="9"/>
      <c r="AL1363" s="13"/>
      <c r="AM1363" s="9"/>
      <c r="AN1363" s="9"/>
      <c r="AO1363" s="9"/>
      <c r="AP1363" s="14"/>
    </row>
    <row r="1364" spans="1:42" s="45" customFormat="1" ht="22" customHeight="1">
      <c r="A1364" s="14" t="s">
        <v>19</v>
      </c>
      <c r="B1364" s="8">
        <v>2024</v>
      </c>
      <c r="C1364" s="8" t="s">
        <v>8</v>
      </c>
      <c r="D1364" s="9" t="s">
        <v>185</v>
      </c>
      <c r="E1364" s="9" t="s">
        <v>10</v>
      </c>
      <c r="F1364" s="9" t="s">
        <v>186</v>
      </c>
      <c r="G1364" s="8"/>
      <c r="H1364" s="8"/>
      <c r="I1364" s="9" t="s">
        <v>28</v>
      </c>
      <c r="J1364" s="9" t="s">
        <v>11</v>
      </c>
      <c r="K1364" s="9" t="s">
        <v>82</v>
      </c>
      <c r="L1364" s="9" t="s">
        <v>166</v>
      </c>
      <c r="M1364" s="9" t="s">
        <v>28</v>
      </c>
      <c r="N1364" s="9" t="s">
        <v>266</v>
      </c>
      <c r="O1364" s="9" t="s">
        <v>365</v>
      </c>
      <c r="P1364" s="9" t="s">
        <v>369</v>
      </c>
      <c r="Q1364" s="11"/>
      <c r="R1364" s="40">
        <v>82</v>
      </c>
      <c r="S1364" s="11">
        <f t="shared" si="178"/>
        <v>82</v>
      </c>
      <c r="T1364" s="9"/>
      <c r="U1364" s="14" t="s">
        <v>77</v>
      </c>
      <c r="V1364" s="9"/>
      <c r="W1364" s="12">
        <v>30</v>
      </c>
      <c r="X1364" s="13"/>
      <c r="Y1364" s="13"/>
      <c r="Z1364" s="13"/>
      <c r="AA1364" s="13"/>
      <c r="AB1364" s="13"/>
      <c r="AC1364" s="13">
        <f t="shared" si="180"/>
        <v>4.9200000000000001E-2</v>
      </c>
      <c r="AD1364" s="13"/>
      <c r="AE1364" s="13"/>
      <c r="AF1364" s="13">
        <f t="shared" si="181"/>
        <v>0.49199999999999999</v>
      </c>
      <c r="AG1364" s="13"/>
      <c r="AH1364" s="13"/>
      <c r="AI1364" s="13"/>
      <c r="AJ1364" s="13">
        <f t="shared" si="177"/>
        <v>0.54120000000000001</v>
      </c>
      <c r="AK1364" s="9"/>
      <c r="AL1364" s="13"/>
      <c r="AM1364" s="9"/>
      <c r="AN1364" s="9"/>
      <c r="AO1364" s="9"/>
      <c r="AP1364" s="14"/>
    </row>
    <row r="1365" spans="1:42" s="45" customFormat="1" ht="22" customHeight="1">
      <c r="A1365" s="14" t="s">
        <v>19</v>
      </c>
      <c r="B1365" s="8">
        <v>2024</v>
      </c>
      <c r="C1365" s="8" t="s">
        <v>8</v>
      </c>
      <c r="D1365" s="9" t="s">
        <v>185</v>
      </c>
      <c r="E1365" s="9" t="s">
        <v>10</v>
      </c>
      <c r="F1365" s="9" t="s">
        <v>186</v>
      </c>
      <c r="G1365" s="8"/>
      <c r="H1365" s="8"/>
      <c r="I1365" s="9" t="s">
        <v>28</v>
      </c>
      <c r="J1365" s="9" t="s">
        <v>11</v>
      </c>
      <c r="K1365" s="9" t="s">
        <v>82</v>
      </c>
      <c r="L1365" s="9" t="s">
        <v>166</v>
      </c>
      <c r="M1365" s="9" t="s">
        <v>28</v>
      </c>
      <c r="N1365" s="9" t="s">
        <v>266</v>
      </c>
      <c r="O1365" s="9" t="s">
        <v>365</v>
      </c>
      <c r="P1365" s="9" t="s">
        <v>370</v>
      </c>
      <c r="Q1365" s="11"/>
      <c r="R1365" s="40">
        <v>95</v>
      </c>
      <c r="S1365" s="11">
        <f t="shared" si="178"/>
        <v>95</v>
      </c>
      <c r="T1365" s="9"/>
      <c r="U1365" s="14" t="s">
        <v>77</v>
      </c>
      <c r="V1365" s="9"/>
      <c r="W1365" s="12">
        <v>30</v>
      </c>
      <c r="X1365" s="13"/>
      <c r="Y1365" s="13"/>
      <c r="Z1365" s="13"/>
      <c r="AA1365" s="13"/>
      <c r="AB1365" s="13"/>
      <c r="AC1365" s="13">
        <f t="shared" si="180"/>
        <v>5.7000000000000002E-2</v>
      </c>
      <c r="AD1365" s="13"/>
      <c r="AE1365" s="13"/>
      <c r="AF1365" s="13">
        <f t="shared" si="181"/>
        <v>0.56999999999999995</v>
      </c>
      <c r="AG1365" s="13"/>
      <c r="AH1365" s="13"/>
      <c r="AI1365" s="13"/>
      <c r="AJ1365" s="13">
        <f t="shared" si="177"/>
        <v>0.627</v>
      </c>
      <c r="AK1365" s="9"/>
      <c r="AL1365" s="13"/>
      <c r="AM1365" s="9"/>
      <c r="AN1365" s="9"/>
      <c r="AO1365" s="9"/>
      <c r="AP1365" s="14"/>
    </row>
    <row r="1366" spans="1:42" s="45" customFormat="1" ht="22" customHeight="1">
      <c r="A1366" s="14" t="s">
        <v>19</v>
      </c>
      <c r="B1366" s="8">
        <v>2024</v>
      </c>
      <c r="C1366" s="8" t="s">
        <v>8</v>
      </c>
      <c r="D1366" s="9" t="s">
        <v>185</v>
      </c>
      <c r="E1366" s="9" t="s">
        <v>10</v>
      </c>
      <c r="F1366" s="9" t="s">
        <v>186</v>
      </c>
      <c r="G1366" s="8"/>
      <c r="H1366" s="8"/>
      <c r="I1366" s="9" t="s">
        <v>28</v>
      </c>
      <c r="J1366" s="9" t="s">
        <v>11</v>
      </c>
      <c r="K1366" s="9" t="s">
        <v>82</v>
      </c>
      <c r="L1366" s="9" t="s">
        <v>166</v>
      </c>
      <c r="M1366" s="9" t="s">
        <v>28</v>
      </c>
      <c r="N1366" s="9" t="s">
        <v>266</v>
      </c>
      <c r="O1366" s="9" t="s">
        <v>365</v>
      </c>
      <c r="P1366" s="9" t="s">
        <v>371</v>
      </c>
      <c r="Q1366" s="11"/>
      <c r="R1366" s="40">
        <v>231</v>
      </c>
      <c r="S1366" s="11">
        <f t="shared" si="178"/>
        <v>231</v>
      </c>
      <c r="T1366" s="9"/>
      <c r="U1366" s="14" t="s">
        <v>77</v>
      </c>
      <c r="V1366" s="9"/>
      <c r="W1366" s="12">
        <v>30</v>
      </c>
      <c r="X1366" s="13"/>
      <c r="Y1366" s="13"/>
      <c r="Z1366" s="13"/>
      <c r="AA1366" s="13"/>
      <c r="AB1366" s="13"/>
      <c r="AC1366" s="13">
        <f t="shared" si="180"/>
        <v>0.1386</v>
      </c>
      <c r="AD1366" s="13"/>
      <c r="AE1366" s="13"/>
      <c r="AF1366" s="13">
        <f t="shared" si="181"/>
        <v>1.3859999999999999</v>
      </c>
      <c r="AG1366" s="13"/>
      <c r="AH1366" s="13"/>
      <c r="AI1366" s="13"/>
      <c r="AJ1366" s="13">
        <f t="shared" si="177"/>
        <v>1.5246</v>
      </c>
      <c r="AK1366" s="9"/>
      <c r="AL1366" s="13"/>
      <c r="AM1366" s="9"/>
      <c r="AN1366" s="9"/>
      <c r="AO1366" s="9"/>
      <c r="AP1366" s="14"/>
    </row>
    <row r="1367" spans="1:42" s="45" customFormat="1" ht="22" customHeight="1">
      <c r="A1367" s="14" t="s">
        <v>19</v>
      </c>
      <c r="B1367" s="8">
        <v>2024</v>
      </c>
      <c r="C1367" s="8" t="s">
        <v>8</v>
      </c>
      <c r="D1367" s="9" t="s">
        <v>185</v>
      </c>
      <c r="E1367" s="9" t="s">
        <v>10</v>
      </c>
      <c r="F1367" s="9" t="s">
        <v>186</v>
      </c>
      <c r="G1367" s="8"/>
      <c r="H1367" s="8"/>
      <c r="I1367" s="9" t="s">
        <v>28</v>
      </c>
      <c r="J1367" s="9" t="s">
        <v>11</v>
      </c>
      <c r="K1367" s="9" t="s">
        <v>82</v>
      </c>
      <c r="L1367" s="9" t="s">
        <v>166</v>
      </c>
      <c r="M1367" s="9" t="s">
        <v>28</v>
      </c>
      <c r="N1367" s="9" t="s">
        <v>266</v>
      </c>
      <c r="O1367" s="9" t="s">
        <v>365</v>
      </c>
      <c r="P1367" s="9" t="s">
        <v>372</v>
      </c>
      <c r="Q1367" s="11"/>
      <c r="R1367" s="40">
        <v>143</v>
      </c>
      <c r="S1367" s="11">
        <f t="shared" si="178"/>
        <v>143</v>
      </c>
      <c r="T1367" s="9"/>
      <c r="U1367" s="14" t="s">
        <v>77</v>
      </c>
      <c r="V1367" s="9"/>
      <c r="W1367" s="12">
        <v>30</v>
      </c>
      <c r="X1367" s="13"/>
      <c r="Y1367" s="13"/>
      <c r="Z1367" s="13"/>
      <c r="AA1367" s="13"/>
      <c r="AB1367" s="13"/>
      <c r="AC1367" s="13">
        <f t="shared" si="180"/>
        <v>8.5800000000000001E-2</v>
      </c>
      <c r="AD1367" s="13"/>
      <c r="AE1367" s="13"/>
      <c r="AF1367" s="13">
        <f t="shared" si="181"/>
        <v>0.85799999999999998</v>
      </c>
      <c r="AG1367" s="13"/>
      <c r="AH1367" s="13"/>
      <c r="AI1367" s="13"/>
      <c r="AJ1367" s="13">
        <f t="shared" ref="AJ1367:AJ1425" si="182">SUBTOTAL(9,X1367:AI1367)</f>
        <v>0.94379999999999997</v>
      </c>
      <c r="AK1367" s="9"/>
      <c r="AL1367" s="13"/>
      <c r="AM1367" s="9"/>
      <c r="AN1367" s="9"/>
      <c r="AO1367" s="9"/>
      <c r="AP1367" s="14"/>
    </row>
    <row r="1368" spans="1:42" s="45" customFormat="1" ht="22" customHeight="1">
      <c r="A1368" s="14" t="s">
        <v>19</v>
      </c>
      <c r="B1368" s="8">
        <v>2024</v>
      </c>
      <c r="C1368" s="8" t="s">
        <v>8</v>
      </c>
      <c r="D1368" s="9" t="s">
        <v>185</v>
      </c>
      <c r="E1368" s="9" t="s">
        <v>10</v>
      </c>
      <c r="F1368" s="9" t="s">
        <v>186</v>
      </c>
      <c r="G1368" s="8"/>
      <c r="H1368" s="8"/>
      <c r="I1368" s="9" t="s">
        <v>28</v>
      </c>
      <c r="J1368" s="9" t="s">
        <v>11</v>
      </c>
      <c r="K1368" s="9" t="s">
        <v>82</v>
      </c>
      <c r="L1368" s="9" t="s">
        <v>166</v>
      </c>
      <c r="M1368" s="9" t="s">
        <v>28</v>
      </c>
      <c r="N1368" s="9" t="s">
        <v>266</v>
      </c>
      <c r="O1368" s="9" t="s">
        <v>339</v>
      </c>
      <c r="P1368" s="9" t="s">
        <v>373</v>
      </c>
      <c r="Q1368" s="11"/>
      <c r="R1368" s="40">
        <v>116</v>
      </c>
      <c r="S1368" s="11">
        <f t="shared" si="178"/>
        <v>116</v>
      </c>
      <c r="T1368" s="9"/>
      <c r="U1368" s="14" t="s">
        <v>77</v>
      </c>
      <c r="V1368" s="9"/>
      <c r="W1368" s="12">
        <v>30</v>
      </c>
      <c r="X1368" s="13"/>
      <c r="Y1368" s="13"/>
      <c r="Z1368" s="13"/>
      <c r="AA1368" s="13"/>
      <c r="AB1368" s="13"/>
      <c r="AC1368" s="13">
        <f t="shared" si="180"/>
        <v>6.9599999999999995E-2</v>
      </c>
      <c r="AD1368" s="13"/>
      <c r="AE1368" s="13"/>
      <c r="AF1368" s="13">
        <f t="shared" si="181"/>
        <v>0.69599999999999995</v>
      </c>
      <c r="AG1368" s="13"/>
      <c r="AH1368" s="13"/>
      <c r="AI1368" s="13"/>
      <c r="AJ1368" s="13">
        <f t="shared" si="182"/>
        <v>0.76559999999999995</v>
      </c>
      <c r="AK1368" s="9"/>
      <c r="AL1368" s="13"/>
      <c r="AM1368" s="9"/>
      <c r="AN1368" s="9"/>
      <c r="AO1368" s="9"/>
      <c r="AP1368" s="14"/>
    </row>
    <row r="1369" spans="1:42" s="45" customFormat="1" ht="22" customHeight="1">
      <c r="A1369" s="14" t="s">
        <v>19</v>
      </c>
      <c r="B1369" s="8">
        <v>2024</v>
      </c>
      <c r="C1369" s="8" t="s">
        <v>8</v>
      </c>
      <c r="D1369" s="9" t="s">
        <v>185</v>
      </c>
      <c r="E1369" s="9" t="s">
        <v>10</v>
      </c>
      <c r="F1369" s="9" t="s">
        <v>186</v>
      </c>
      <c r="G1369" s="8"/>
      <c r="H1369" s="8"/>
      <c r="I1369" s="9" t="s">
        <v>28</v>
      </c>
      <c r="J1369" s="9" t="s">
        <v>11</v>
      </c>
      <c r="K1369" s="9" t="s">
        <v>82</v>
      </c>
      <c r="L1369" s="9" t="s">
        <v>166</v>
      </c>
      <c r="M1369" s="9" t="s">
        <v>28</v>
      </c>
      <c r="N1369" s="9" t="s">
        <v>266</v>
      </c>
      <c r="O1369" s="9" t="s">
        <v>339</v>
      </c>
      <c r="P1369" s="9" t="s">
        <v>374</v>
      </c>
      <c r="Q1369" s="11"/>
      <c r="R1369" s="40">
        <v>180</v>
      </c>
      <c r="S1369" s="11">
        <f t="shared" si="178"/>
        <v>180</v>
      </c>
      <c r="T1369" s="9"/>
      <c r="U1369" s="14" t="s">
        <v>77</v>
      </c>
      <c r="V1369" s="9"/>
      <c r="W1369" s="12">
        <v>30</v>
      </c>
      <c r="X1369" s="13"/>
      <c r="Y1369" s="13"/>
      <c r="Z1369" s="13"/>
      <c r="AA1369" s="13"/>
      <c r="AB1369" s="13"/>
      <c r="AC1369" s="13">
        <f t="shared" si="180"/>
        <v>0.108</v>
      </c>
      <c r="AD1369" s="13"/>
      <c r="AE1369" s="13"/>
      <c r="AF1369" s="13">
        <f t="shared" si="181"/>
        <v>1.08</v>
      </c>
      <c r="AG1369" s="13"/>
      <c r="AH1369" s="13"/>
      <c r="AI1369" s="13"/>
      <c r="AJ1369" s="13">
        <f t="shared" si="182"/>
        <v>1.1880000000000002</v>
      </c>
      <c r="AK1369" s="9"/>
      <c r="AL1369" s="13"/>
      <c r="AM1369" s="9"/>
      <c r="AN1369" s="9"/>
      <c r="AO1369" s="9"/>
      <c r="AP1369" s="14"/>
    </row>
    <row r="1370" spans="1:42" s="45" customFormat="1" ht="22" customHeight="1">
      <c r="A1370" s="14" t="s">
        <v>19</v>
      </c>
      <c r="B1370" s="8">
        <v>2024</v>
      </c>
      <c r="C1370" s="8" t="s">
        <v>8</v>
      </c>
      <c r="D1370" s="9" t="s">
        <v>185</v>
      </c>
      <c r="E1370" s="9" t="s">
        <v>10</v>
      </c>
      <c r="F1370" s="9" t="s">
        <v>186</v>
      </c>
      <c r="G1370" s="8"/>
      <c r="H1370" s="8"/>
      <c r="I1370" s="9" t="s">
        <v>28</v>
      </c>
      <c r="J1370" s="9" t="s">
        <v>11</v>
      </c>
      <c r="K1370" s="9" t="s">
        <v>82</v>
      </c>
      <c r="L1370" s="9" t="s">
        <v>166</v>
      </c>
      <c r="M1370" s="9" t="s">
        <v>28</v>
      </c>
      <c r="N1370" s="9" t="s">
        <v>266</v>
      </c>
      <c r="O1370" s="9" t="s">
        <v>339</v>
      </c>
      <c r="P1370" s="9" t="s">
        <v>375</v>
      </c>
      <c r="Q1370" s="11"/>
      <c r="R1370" s="40">
        <v>111</v>
      </c>
      <c r="S1370" s="11">
        <f t="shared" si="178"/>
        <v>111</v>
      </c>
      <c r="T1370" s="9"/>
      <c r="U1370" s="14" t="s">
        <v>77</v>
      </c>
      <c r="V1370" s="9"/>
      <c r="W1370" s="12">
        <v>30</v>
      </c>
      <c r="X1370" s="13"/>
      <c r="Y1370" s="13"/>
      <c r="Z1370" s="13"/>
      <c r="AA1370" s="13"/>
      <c r="AB1370" s="13"/>
      <c r="AC1370" s="13">
        <f t="shared" si="180"/>
        <v>6.6600000000000006E-2</v>
      </c>
      <c r="AD1370" s="13"/>
      <c r="AE1370" s="13"/>
      <c r="AF1370" s="13">
        <f t="shared" si="181"/>
        <v>0.66600000000000004</v>
      </c>
      <c r="AG1370" s="13"/>
      <c r="AH1370" s="13"/>
      <c r="AI1370" s="13"/>
      <c r="AJ1370" s="13">
        <f t="shared" si="182"/>
        <v>0.73260000000000003</v>
      </c>
      <c r="AK1370" s="9"/>
      <c r="AL1370" s="13"/>
      <c r="AM1370" s="9"/>
      <c r="AN1370" s="9"/>
      <c r="AO1370" s="9"/>
      <c r="AP1370" s="14"/>
    </row>
    <row r="1371" spans="1:42" s="45" customFormat="1" ht="22" customHeight="1">
      <c r="A1371" s="14" t="s">
        <v>19</v>
      </c>
      <c r="B1371" s="8">
        <v>2024</v>
      </c>
      <c r="C1371" s="8" t="s">
        <v>8</v>
      </c>
      <c r="D1371" s="9" t="s">
        <v>185</v>
      </c>
      <c r="E1371" s="9" t="s">
        <v>10</v>
      </c>
      <c r="F1371" s="9" t="s">
        <v>186</v>
      </c>
      <c r="G1371" s="8"/>
      <c r="H1371" s="8"/>
      <c r="I1371" s="9" t="s">
        <v>28</v>
      </c>
      <c r="J1371" s="9" t="s">
        <v>11</v>
      </c>
      <c r="K1371" s="9" t="s">
        <v>82</v>
      </c>
      <c r="L1371" s="9" t="s">
        <v>166</v>
      </c>
      <c r="M1371" s="9" t="s">
        <v>28</v>
      </c>
      <c r="N1371" s="9" t="s">
        <v>266</v>
      </c>
      <c r="O1371" s="9" t="s">
        <v>339</v>
      </c>
      <c r="P1371" s="9" t="s">
        <v>339</v>
      </c>
      <c r="Q1371" s="11"/>
      <c r="R1371" s="40">
        <v>318</v>
      </c>
      <c r="S1371" s="11">
        <f t="shared" si="178"/>
        <v>318</v>
      </c>
      <c r="T1371" s="9"/>
      <c r="U1371" s="14" t="s">
        <v>77</v>
      </c>
      <c r="V1371" s="9"/>
      <c r="W1371" s="12">
        <v>30</v>
      </c>
      <c r="X1371" s="13"/>
      <c r="Y1371" s="13"/>
      <c r="Z1371" s="13"/>
      <c r="AA1371" s="13"/>
      <c r="AB1371" s="13"/>
      <c r="AC1371" s="13">
        <f t="shared" si="180"/>
        <v>0.1908</v>
      </c>
      <c r="AD1371" s="13"/>
      <c r="AE1371" s="13"/>
      <c r="AF1371" s="13">
        <f t="shared" si="181"/>
        <v>1.9079999999999999</v>
      </c>
      <c r="AG1371" s="13"/>
      <c r="AH1371" s="13"/>
      <c r="AI1371" s="13"/>
      <c r="AJ1371" s="13">
        <f t="shared" si="182"/>
        <v>2.0987999999999998</v>
      </c>
      <c r="AK1371" s="9"/>
      <c r="AL1371" s="13"/>
      <c r="AM1371" s="9"/>
      <c r="AN1371" s="9"/>
      <c r="AO1371" s="9"/>
      <c r="AP1371" s="14"/>
    </row>
    <row r="1372" spans="1:42" s="45" customFormat="1" ht="22" customHeight="1">
      <c r="A1372" s="14" t="s">
        <v>19</v>
      </c>
      <c r="B1372" s="8">
        <v>2024</v>
      </c>
      <c r="C1372" s="8" t="s">
        <v>8</v>
      </c>
      <c r="D1372" s="9" t="s">
        <v>185</v>
      </c>
      <c r="E1372" s="9" t="s">
        <v>10</v>
      </c>
      <c r="F1372" s="9" t="s">
        <v>186</v>
      </c>
      <c r="G1372" s="8"/>
      <c r="H1372" s="8"/>
      <c r="I1372" s="9" t="s">
        <v>28</v>
      </c>
      <c r="J1372" s="9" t="s">
        <v>11</v>
      </c>
      <c r="K1372" s="9" t="s">
        <v>82</v>
      </c>
      <c r="L1372" s="9" t="s">
        <v>166</v>
      </c>
      <c r="M1372" s="9" t="s">
        <v>28</v>
      </c>
      <c r="N1372" s="9" t="s">
        <v>266</v>
      </c>
      <c r="O1372" s="9" t="s">
        <v>339</v>
      </c>
      <c r="P1372" s="9" t="s">
        <v>376</v>
      </c>
      <c r="Q1372" s="11"/>
      <c r="R1372" s="40">
        <v>54</v>
      </c>
      <c r="S1372" s="11">
        <f t="shared" si="178"/>
        <v>54</v>
      </c>
      <c r="T1372" s="9"/>
      <c r="U1372" s="14" t="s">
        <v>77</v>
      </c>
      <c r="V1372" s="9"/>
      <c r="W1372" s="12">
        <v>30</v>
      </c>
      <c r="X1372" s="13"/>
      <c r="Y1372" s="13"/>
      <c r="Z1372" s="13"/>
      <c r="AA1372" s="13"/>
      <c r="AB1372" s="13"/>
      <c r="AC1372" s="13">
        <f t="shared" si="180"/>
        <v>3.2399999999999998E-2</v>
      </c>
      <c r="AD1372" s="13"/>
      <c r="AE1372" s="13"/>
      <c r="AF1372" s="13">
        <f t="shared" si="181"/>
        <v>0.32400000000000001</v>
      </c>
      <c r="AG1372" s="13"/>
      <c r="AH1372" s="13"/>
      <c r="AI1372" s="13"/>
      <c r="AJ1372" s="13">
        <f t="shared" si="182"/>
        <v>0.35639999999999999</v>
      </c>
      <c r="AK1372" s="9"/>
      <c r="AL1372" s="13"/>
      <c r="AM1372" s="9"/>
      <c r="AN1372" s="9"/>
      <c r="AO1372" s="9"/>
      <c r="AP1372" s="14"/>
    </row>
    <row r="1373" spans="1:42" s="45" customFormat="1" ht="22" customHeight="1">
      <c r="A1373" s="14" t="s">
        <v>19</v>
      </c>
      <c r="B1373" s="8">
        <v>2024</v>
      </c>
      <c r="C1373" s="8" t="s">
        <v>8</v>
      </c>
      <c r="D1373" s="9" t="s">
        <v>185</v>
      </c>
      <c r="E1373" s="9" t="s">
        <v>10</v>
      </c>
      <c r="F1373" s="9" t="s">
        <v>186</v>
      </c>
      <c r="G1373" s="8"/>
      <c r="H1373" s="8"/>
      <c r="I1373" s="9" t="s">
        <v>78</v>
      </c>
      <c r="J1373" s="9" t="s">
        <v>11</v>
      </c>
      <c r="K1373" s="9" t="s">
        <v>82</v>
      </c>
      <c r="L1373" s="9" t="s">
        <v>171</v>
      </c>
      <c r="M1373" s="9" t="s">
        <v>78</v>
      </c>
      <c r="N1373" s="9" t="s">
        <v>377</v>
      </c>
      <c r="O1373" s="9" t="s">
        <v>217</v>
      </c>
      <c r="P1373" s="9" t="s">
        <v>378</v>
      </c>
      <c r="Q1373" s="11"/>
      <c r="R1373" s="11"/>
      <c r="S1373" s="11">
        <f t="shared" ref="S1373:S1405" si="183">Q1373+R1373</f>
        <v>0</v>
      </c>
      <c r="T1373" s="9"/>
      <c r="U1373" s="14" t="s">
        <v>77</v>
      </c>
      <c r="V1373" s="9"/>
      <c r="W1373" s="12"/>
      <c r="X1373" s="13"/>
      <c r="Y1373" s="13"/>
      <c r="Z1373" s="13"/>
      <c r="AA1373" s="13"/>
      <c r="AB1373" s="13"/>
      <c r="AC1373" s="13">
        <f t="shared" si="180"/>
        <v>0</v>
      </c>
      <c r="AD1373" s="13"/>
      <c r="AE1373" s="13"/>
      <c r="AF1373" s="13">
        <f t="shared" si="181"/>
        <v>0</v>
      </c>
      <c r="AG1373" s="13"/>
      <c r="AH1373" s="13"/>
      <c r="AI1373" s="13"/>
      <c r="AJ1373" s="13">
        <f t="shared" si="182"/>
        <v>0</v>
      </c>
      <c r="AK1373" s="9"/>
      <c r="AL1373" s="13"/>
      <c r="AM1373" s="9"/>
      <c r="AN1373" s="9"/>
      <c r="AO1373" s="9"/>
      <c r="AP1373" s="14"/>
    </row>
    <row r="1374" spans="1:42" s="45" customFormat="1" ht="22" customHeight="1">
      <c r="A1374" s="14" t="s">
        <v>19</v>
      </c>
      <c r="B1374" s="8">
        <v>2024</v>
      </c>
      <c r="C1374" s="8" t="s">
        <v>8</v>
      </c>
      <c r="D1374" s="9" t="s">
        <v>185</v>
      </c>
      <c r="E1374" s="9" t="s">
        <v>10</v>
      </c>
      <c r="F1374" s="9" t="s">
        <v>186</v>
      </c>
      <c r="G1374" s="8"/>
      <c r="H1374" s="8"/>
      <c r="I1374" s="9" t="s">
        <v>78</v>
      </c>
      <c r="J1374" s="9" t="s">
        <v>11</v>
      </c>
      <c r="K1374" s="9" t="s">
        <v>82</v>
      </c>
      <c r="L1374" s="9" t="s">
        <v>171</v>
      </c>
      <c r="M1374" s="9" t="s">
        <v>78</v>
      </c>
      <c r="N1374" s="9" t="s">
        <v>377</v>
      </c>
      <c r="O1374" s="9" t="s">
        <v>217</v>
      </c>
      <c r="P1374" s="9" t="s">
        <v>379</v>
      </c>
      <c r="Q1374" s="11"/>
      <c r="R1374" s="11">
        <v>282</v>
      </c>
      <c r="S1374" s="11">
        <f t="shared" si="183"/>
        <v>282</v>
      </c>
      <c r="T1374" s="9"/>
      <c r="U1374" s="14" t="s">
        <v>77</v>
      </c>
      <c r="V1374" s="9"/>
      <c r="W1374" s="12">
        <v>30</v>
      </c>
      <c r="X1374" s="13"/>
      <c r="Y1374" s="13"/>
      <c r="Z1374" s="13"/>
      <c r="AA1374" s="13"/>
      <c r="AB1374" s="13"/>
      <c r="AC1374" s="13">
        <f t="shared" si="180"/>
        <v>0.16919999999999999</v>
      </c>
      <c r="AD1374" s="13"/>
      <c r="AE1374" s="13"/>
      <c r="AF1374" s="13">
        <f t="shared" si="181"/>
        <v>1.6919999999999999</v>
      </c>
      <c r="AG1374" s="13"/>
      <c r="AH1374" s="13"/>
      <c r="AI1374" s="13"/>
      <c r="AJ1374" s="13">
        <f t="shared" si="182"/>
        <v>1.8612</v>
      </c>
      <c r="AK1374" s="9"/>
      <c r="AL1374" s="13"/>
      <c r="AM1374" s="9"/>
      <c r="AN1374" s="9"/>
      <c r="AO1374" s="9"/>
      <c r="AP1374" s="14"/>
    </row>
    <row r="1375" spans="1:42" s="45" customFormat="1" ht="22" customHeight="1">
      <c r="A1375" s="14" t="s">
        <v>19</v>
      </c>
      <c r="B1375" s="8">
        <v>2024</v>
      </c>
      <c r="C1375" s="8" t="s">
        <v>8</v>
      </c>
      <c r="D1375" s="9" t="s">
        <v>185</v>
      </c>
      <c r="E1375" s="9" t="s">
        <v>10</v>
      </c>
      <c r="F1375" s="9" t="s">
        <v>186</v>
      </c>
      <c r="G1375" s="8"/>
      <c r="H1375" s="8"/>
      <c r="I1375" s="9" t="s">
        <v>78</v>
      </c>
      <c r="J1375" s="9" t="s">
        <v>11</v>
      </c>
      <c r="K1375" s="9" t="s">
        <v>82</v>
      </c>
      <c r="L1375" s="9" t="s">
        <v>171</v>
      </c>
      <c r="M1375" s="9" t="s">
        <v>78</v>
      </c>
      <c r="N1375" s="9" t="s">
        <v>377</v>
      </c>
      <c r="O1375" s="9" t="s">
        <v>217</v>
      </c>
      <c r="P1375" s="9" t="s">
        <v>217</v>
      </c>
      <c r="Q1375" s="11"/>
      <c r="R1375" s="11">
        <v>425</v>
      </c>
      <c r="S1375" s="11">
        <f t="shared" si="183"/>
        <v>425</v>
      </c>
      <c r="T1375" s="9"/>
      <c r="U1375" s="14" t="s">
        <v>77</v>
      </c>
      <c r="V1375" s="9"/>
      <c r="W1375" s="12">
        <v>30</v>
      </c>
      <c r="X1375" s="13"/>
      <c r="Y1375" s="13"/>
      <c r="Z1375" s="13"/>
      <c r="AA1375" s="13"/>
      <c r="AB1375" s="13"/>
      <c r="AC1375" s="13">
        <f t="shared" si="180"/>
        <v>0.255</v>
      </c>
      <c r="AD1375" s="13"/>
      <c r="AE1375" s="13"/>
      <c r="AF1375" s="13">
        <f t="shared" si="181"/>
        <v>2.5499999999999998</v>
      </c>
      <c r="AG1375" s="13"/>
      <c r="AH1375" s="13"/>
      <c r="AI1375" s="13"/>
      <c r="AJ1375" s="13">
        <f t="shared" si="182"/>
        <v>2.8049999999999997</v>
      </c>
      <c r="AK1375" s="9"/>
      <c r="AL1375" s="13"/>
      <c r="AM1375" s="9"/>
      <c r="AN1375" s="9"/>
      <c r="AO1375" s="9"/>
      <c r="AP1375" s="14"/>
    </row>
    <row r="1376" spans="1:42" s="45" customFormat="1" ht="22" customHeight="1">
      <c r="A1376" s="14" t="s">
        <v>19</v>
      </c>
      <c r="B1376" s="8">
        <v>2024</v>
      </c>
      <c r="C1376" s="8" t="s">
        <v>8</v>
      </c>
      <c r="D1376" s="9" t="s">
        <v>185</v>
      </c>
      <c r="E1376" s="9" t="s">
        <v>10</v>
      </c>
      <c r="F1376" s="9" t="s">
        <v>186</v>
      </c>
      <c r="G1376" s="8"/>
      <c r="H1376" s="8"/>
      <c r="I1376" s="9" t="s">
        <v>78</v>
      </c>
      <c r="J1376" s="9" t="s">
        <v>11</v>
      </c>
      <c r="K1376" s="9" t="s">
        <v>82</v>
      </c>
      <c r="L1376" s="9" t="s">
        <v>171</v>
      </c>
      <c r="M1376" s="9" t="s">
        <v>78</v>
      </c>
      <c r="N1376" s="9" t="s">
        <v>377</v>
      </c>
      <c r="O1376" s="9" t="s">
        <v>217</v>
      </c>
      <c r="P1376" s="9" t="s">
        <v>380</v>
      </c>
      <c r="Q1376" s="11"/>
      <c r="R1376" s="11"/>
      <c r="S1376" s="11">
        <f t="shared" si="183"/>
        <v>0</v>
      </c>
      <c r="T1376" s="9"/>
      <c r="U1376" s="14" t="s">
        <v>77</v>
      </c>
      <c r="V1376" s="9"/>
      <c r="W1376" s="12"/>
      <c r="X1376" s="13"/>
      <c r="Y1376" s="13"/>
      <c r="Z1376" s="13"/>
      <c r="AA1376" s="13"/>
      <c r="AB1376" s="13"/>
      <c r="AC1376" s="13">
        <f t="shared" si="180"/>
        <v>0</v>
      </c>
      <c r="AD1376" s="13"/>
      <c r="AE1376" s="13"/>
      <c r="AF1376" s="13">
        <f t="shared" si="181"/>
        <v>0</v>
      </c>
      <c r="AG1376" s="13"/>
      <c r="AH1376" s="13"/>
      <c r="AI1376" s="13"/>
      <c r="AJ1376" s="13">
        <f t="shared" si="182"/>
        <v>0</v>
      </c>
      <c r="AK1376" s="9"/>
      <c r="AL1376" s="13"/>
      <c r="AM1376" s="9"/>
      <c r="AN1376" s="9"/>
      <c r="AO1376" s="9"/>
      <c r="AP1376" s="14"/>
    </row>
    <row r="1377" spans="1:42" s="45" customFormat="1" ht="22" customHeight="1">
      <c r="A1377" s="14" t="s">
        <v>19</v>
      </c>
      <c r="B1377" s="8">
        <v>2024</v>
      </c>
      <c r="C1377" s="8" t="s">
        <v>8</v>
      </c>
      <c r="D1377" s="9" t="s">
        <v>185</v>
      </c>
      <c r="E1377" s="9" t="s">
        <v>10</v>
      </c>
      <c r="F1377" s="9" t="s">
        <v>186</v>
      </c>
      <c r="G1377" s="8"/>
      <c r="H1377" s="8"/>
      <c r="I1377" s="9" t="s">
        <v>78</v>
      </c>
      <c r="J1377" s="9" t="s">
        <v>11</v>
      </c>
      <c r="K1377" s="9" t="s">
        <v>82</v>
      </c>
      <c r="L1377" s="9" t="s">
        <v>171</v>
      </c>
      <c r="M1377" s="9" t="s">
        <v>78</v>
      </c>
      <c r="N1377" s="9" t="s">
        <v>377</v>
      </c>
      <c r="O1377" s="9" t="s">
        <v>217</v>
      </c>
      <c r="P1377" s="9" t="s">
        <v>381</v>
      </c>
      <c r="Q1377" s="11"/>
      <c r="R1377" s="11"/>
      <c r="S1377" s="11">
        <f t="shared" si="183"/>
        <v>0</v>
      </c>
      <c r="T1377" s="9"/>
      <c r="U1377" s="14" t="s">
        <v>77</v>
      </c>
      <c r="V1377" s="9"/>
      <c r="W1377" s="12"/>
      <c r="X1377" s="13"/>
      <c r="Y1377" s="13"/>
      <c r="Z1377" s="13"/>
      <c r="AA1377" s="13"/>
      <c r="AB1377" s="13"/>
      <c r="AC1377" s="13">
        <f t="shared" si="180"/>
        <v>0</v>
      </c>
      <c r="AD1377" s="13"/>
      <c r="AE1377" s="13"/>
      <c r="AF1377" s="13">
        <f t="shared" si="181"/>
        <v>0</v>
      </c>
      <c r="AG1377" s="13"/>
      <c r="AH1377" s="13"/>
      <c r="AI1377" s="13"/>
      <c r="AJ1377" s="13">
        <f t="shared" si="182"/>
        <v>0</v>
      </c>
      <c r="AK1377" s="9"/>
      <c r="AL1377" s="13"/>
      <c r="AM1377" s="9"/>
      <c r="AN1377" s="9"/>
      <c r="AO1377" s="9"/>
      <c r="AP1377" s="14"/>
    </row>
    <row r="1378" spans="1:42" s="45" customFormat="1" ht="22" customHeight="1">
      <c r="A1378" s="14" t="s">
        <v>19</v>
      </c>
      <c r="B1378" s="8">
        <v>2024</v>
      </c>
      <c r="C1378" s="8" t="s">
        <v>8</v>
      </c>
      <c r="D1378" s="9" t="s">
        <v>185</v>
      </c>
      <c r="E1378" s="9" t="s">
        <v>10</v>
      </c>
      <c r="F1378" s="9" t="s">
        <v>186</v>
      </c>
      <c r="G1378" s="8"/>
      <c r="H1378" s="8"/>
      <c r="I1378" s="9" t="s">
        <v>78</v>
      </c>
      <c r="J1378" s="9" t="s">
        <v>11</v>
      </c>
      <c r="K1378" s="9" t="s">
        <v>82</v>
      </c>
      <c r="L1378" s="9" t="s">
        <v>171</v>
      </c>
      <c r="M1378" s="9" t="s">
        <v>78</v>
      </c>
      <c r="N1378" s="9" t="s">
        <v>377</v>
      </c>
      <c r="O1378" s="9" t="s">
        <v>192</v>
      </c>
      <c r="P1378" s="9" t="s">
        <v>382</v>
      </c>
      <c r="Q1378" s="11"/>
      <c r="R1378" s="11">
        <v>420</v>
      </c>
      <c r="S1378" s="11">
        <f t="shared" si="183"/>
        <v>420</v>
      </c>
      <c r="T1378" s="9"/>
      <c r="U1378" s="14" t="s">
        <v>77</v>
      </c>
      <c r="V1378" s="9"/>
      <c r="W1378" s="12">
        <v>30</v>
      </c>
      <c r="X1378" s="13"/>
      <c r="Y1378" s="13"/>
      <c r="Z1378" s="13"/>
      <c r="AA1378" s="13"/>
      <c r="AB1378" s="13"/>
      <c r="AC1378" s="13">
        <f t="shared" si="180"/>
        <v>0.252</v>
      </c>
      <c r="AD1378" s="13"/>
      <c r="AE1378" s="13"/>
      <c r="AF1378" s="13">
        <f t="shared" si="181"/>
        <v>2.52</v>
      </c>
      <c r="AG1378" s="13"/>
      <c r="AH1378" s="13"/>
      <c r="AI1378" s="13"/>
      <c r="AJ1378" s="13">
        <f t="shared" si="182"/>
        <v>2.7720000000000002</v>
      </c>
      <c r="AK1378" s="9"/>
      <c r="AL1378" s="13"/>
      <c r="AM1378" s="9"/>
      <c r="AN1378" s="9"/>
      <c r="AO1378" s="9"/>
      <c r="AP1378" s="14"/>
    </row>
    <row r="1379" spans="1:42" s="45" customFormat="1" ht="22" customHeight="1">
      <c r="A1379" s="14" t="s">
        <v>19</v>
      </c>
      <c r="B1379" s="8">
        <v>2024</v>
      </c>
      <c r="C1379" s="8" t="s">
        <v>8</v>
      </c>
      <c r="D1379" s="9" t="s">
        <v>185</v>
      </c>
      <c r="E1379" s="9" t="s">
        <v>10</v>
      </c>
      <c r="F1379" s="9" t="s">
        <v>186</v>
      </c>
      <c r="G1379" s="8"/>
      <c r="H1379" s="8"/>
      <c r="I1379" s="9" t="s">
        <v>78</v>
      </c>
      <c r="J1379" s="9" t="s">
        <v>11</v>
      </c>
      <c r="K1379" s="9" t="s">
        <v>82</v>
      </c>
      <c r="L1379" s="9" t="s">
        <v>171</v>
      </c>
      <c r="M1379" s="9" t="s">
        <v>78</v>
      </c>
      <c r="N1379" s="9" t="s">
        <v>377</v>
      </c>
      <c r="O1379" s="9" t="s">
        <v>192</v>
      </c>
      <c r="P1379" s="9" t="s">
        <v>192</v>
      </c>
      <c r="Q1379" s="11"/>
      <c r="R1379" s="11">
        <v>965</v>
      </c>
      <c r="S1379" s="11">
        <f t="shared" si="183"/>
        <v>965</v>
      </c>
      <c r="T1379" s="9"/>
      <c r="U1379" s="14" t="s">
        <v>77</v>
      </c>
      <c r="V1379" s="9"/>
      <c r="W1379" s="12">
        <v>30</v>
      </c>
      <c r="X1379" s="13"/>
      <c r="Y1379" s="13"/>
      <c r="Z1379" s="13"/>
      <c r="AA1379" s="13"/>
      <c r="AB1379" s="13"/>
      <c r="AC1379" s="13">
        <f t="shared" si="180"/>
        <v>0.57899999999999996</v>
      </c>
      <c r="AD1379" s="13"/>
      <c r="AE1379" s="13"/>
      <c r="AF1379" s="13">
        <f t="shared" si="181"/>
        <v>5.79</v>
      </c>
      <c r="AG1379" s="13"/>
      <c r="AH1379" s="13"/>
      <c r="AI1379" s="13"/>
      <c r="AJ1379" s="13">
        <f t="shared" si="182"/>
        <v>6.3689999999999998</v>
      </c>
      <c r="AK1379" s="9"/>
      <c r="AL1379" s="13"/>
      <c r="AM1379" s="9"/>
      <c r="AN1379" s="9"/>
      <c r="AO1379" s="9"/>
      <c r="AP1379" s="14"/>
    </row>
    <row r="1380" spans="1:42" s="45" customFormat="1" ht="22" customHeight="1">
      <c r="A1380" s="14" t="s">
        <v>19</v>
      </c>
      <c r="B1380" s="8">
        <v>2024</v>
      </c>
      <c r="C1380" s="8" t="s">
        <v>8</v>
      </c>
      <c r="D1380" s="9" t="s">
        <v>185</v>
      </c>
      <c r="E1380" s="9" t="s">
        <v>10</v>
      </c>
      <c r="F1380" s="9" t="s">
        <v>186</v>
      </c>
      <c r="G1380" s="8"/>
      <c r="H1380" s="8"/>
      <c r="I1380" s="9" t="s">
        <v>78</v>
      </c>
      <c r="J1380" s="9" t="s">
        <v>11</v>
      </c>
      <c r="K1380" s="9" t="s">
        <v>82</v>
      </c>
      <c r="L1380" s="9" t="s">
        <v>171</v>
      </c>
      <c r="M1380" s="9" t="s">
        <v>78</v>
      </c>
      <c r="N1380" s="9" t="s">
        <v>377</v>
      </c>
      <c r="O1380" s="9" t="s">
        <v>192</v>
      </c>
      <c r="P1380" s="9" t="s">
        <v>383</v>
      </c>
      <c r="Q1380" s="11"/>
      <c r="R1380" s="11"/>
      <c r="S1380" s="11">
        <f t="shared" si="183"/>
        <v>0</v>
      </c>
      <c r="T1380" s="9"/>
      <c r="U1380" s="14" t="s">
        <v>77</v>
      </c>
      <c r="V1380" s="9"/>
      <c r="W1380" s="12"/>
      <c r="X1380" s="13"/>
      <c r="Y1380" s="13"/>
      <c r="Z1380" s="13"/>
      <c r="AA1380" s="13"/>
      <c r="AB1380" s="13"/>
      <c r="AC1380" s="13">
        <f t="shared" si="180"/>
        <v>0</v>
      </c>
      <c r="AD1380" s="13"/>
      <c r="AE1380" s="13"/>
      <c r="AF1380" s="13">
        <f t="shared" si="181"/>
        <v>0</v>
      </c>
      <c r="AG1380" s="13"/>
      <c r="AH1380" s="13"/>
      <c r="AI1380" s="13"/>
      <c r="AJ1380" s="13">
        <f t="shared" si="182"/>
        <v>0</v>
      </c>
      <c r="AK1380" s="9"/>
      <c r="AL1380" s="13"/>
      <c r="AM1380" s="9"/>
      <c r="AN1380" s="9"/>
      <c r="AO1380" s="9"/>
      <c r="AP1380" s="14"/>
    </row>
    <row r="1381" spans="1:42" s="45" customFormat="1" ht="22" customHeight="1">
      <c r="A1381" s="14" t="s">
        <v>19</v>
      </c>
      <c r="B1381" s="8">
        <v>2024</v>
      </c>
      <c r="C1381" s="8" t="s">
        <v>8</v>
      </c>
      <c r="D1381" s="9" t="s">
        <v>185</v>
      </c>
      <c r="E1381" s="9" t="s">
        <v>10</v>
      </c>
      <c r="F1381" s="9" t="s">
        <v>186</v>
      </c>
      <c r="G1381" s="8"/>
      <c r="H1381" s="8"/>
      <c r="I1381" s="9" t="s">
        <v>78</v>
      </c>
      <c r="J1381" s="9" t="s">
        <v>11</v>
      </c>
      <c r="K1381" s="9" t="s">
        <v>82</v>
      </c>
      <c r="L1381" s="9" t="s">
        <v>171</v>
      </c>
      <c r="M1381" s="9" t="s">
        <v>78</v>
      </c>
      <c r="N1381" s="9" t="s">
        <v>377</v>
      </c>
      <c r="O1381" s="9" t="s">
        <v>192</v>
      </c>
      <c r="P1381" s="9" t="s">
        <v>384</v>
      </c>
      <c r="Q1381" s="11"/>
      <c r="R1381" s="11"/>
      <c r="S1381" s="11">
        <f t="shared" si="183"/>
        <v>0</v>
      </c>
      <c r="T1381" s="9"/>
      <c r="U1381" s="14" t="s">
        <v>77</v>
      </c>
      <c r="V1381" s="9"/>
      <c r="W1381" s="12"/>
      <c r="X1381" s="13"/>
      <c r="Y1381" s="13"/>
      <c r="Z1381" s="13"/>
      <c r="AA1381" s="13"/>
      <c r="AB1381" s="13"/>
      <c r="AC1381" s="13">
        <f t="shared" si="180"/>
        <v>0</v>
      </c>
      <c r="AD1381" s="13"/>
      <c r="AE1381" s="13"/>
      <c r="AF1381" s="13">
        <f t="shared" si="181"/>
        <v>0</v>
      </c>
      <c r="AG1381" s="13"/>
      <c r="AH1381" s="13"/>
      <c r="AI1381" s="13"/>
      <c r="AJ1381" s="13">
        <f t="shared" si="182"/>
        <v>0</v>
      </c>
      <c r="AK1381" s="9"/>
      <c r="AL1381" s="13"/>
      <c r="AM1381" s="9"/>
      <c r="AN1381" s="9"/>
      <c r="AO1381" s="9"/>
      <c r="AP1381" s="14"/>
    </row>
    <row r="1382" spans="1:42" s="45" customFormat="1" ht="22" customHeight="1">
      <c r="A1382" s="14" t="s">
        <v>19</v>
      </c>
      <c r="B1382" s="8">
        <v>2024</v>
      </c>
      <c r="C1382" s="8" t="s">
        <v>8</v>
      </c>
      <c r="D1382" s="9" t="s">
        <v>185</v>
      </c>
      <c r="E1382" s="9" t="s">
        <v>10</v>
      </c>
      <c r="F1382" s="9" t="s">
        <v>186</v>
      </c>
      <c r="G1382" s="8"/>
      <c r="H1382" s="8"/>
      <c r="I1382" s="9" t="s">
        <v>78</v>
      </c>
      <c r="J1382" s="9" t="s">
        <v>11</v>
      </c>
      <c r="K1382" s="9" t="s">
        <v>82</v>
      </c>
      <c r="L1382" s="9" t="s">
        <v>171</v>
      </c>
      <c r="M1382" s="9" t="s">
        <v>78</v>
      </c>
      <c r="N1382" s="9" t="s">
        <v>377</v>
      </c>
      <c r="O1382" s="9" t="s">
        <v>192</v>
      </c>
      <c r="P1382" s="9" t="s">
        <v>385</v>
      </c>
      <c r="Q1382" s="11"/>
      <c r="R1382" s="11"/>
      <c r="S1382" s="11">
        <f t="shared" si="183"/>
        <v>0</v>
      </c>
      <c r="T1382" s="9"/>
      <c r="U1382" s="14" t="s">
        <v>77</v>
      </c>
      <c r="V1382" s="9"/>
      <c r="W1382" s="12"/>
      <c r="X1382" s="13"/>
      <c r="Y1382" s="13"/>
      <c r="Z1382" s="13"/>
      <c r="AA1382" s="13"/>
      <c r="AB1382" s="13"/>
      <c r="AC1382" s="13">
        <f t="shared" si="180"/>
        <v>0</v>
      </c>
      <c r="AD1382" s="13"/>
      <c r="AE1382" s="13"/>
      <c r="AF1382" s="13">
        <f t="shared" si="181"/>
        <v>0</v>
      </c>
      <c r="AG1382" s="13"/>
      <c r="AH1382" s="13"/>
      <c r="AI1382" s="13"/>
      <c r="AJ1382" s="13">
        <f t="shared" si="182"/>
        <v>0</v>
      </c>
      <c r="AK1382" s="9"/>
      <c r="AL1382" s="13"/>
      <c r="AM1382" s="9"/>
      <c r="AN1382" s="9"/>
      <c r="AO1382" s="9"/>
      <c r="AP1382" s="14"/>
    </row>
    <row r="1383" spans="1:42" s="45" customFormat="1" ht="22" customHeight="1">
      <c r="A1383" s="14" t="s">
        <v>19</v>
      </c>
      <c r="B1383" s="8">
        <v>2024</v>
      </c>
      <c r="C1383" s="8" t="s">
        <v>8</v>
      </c>
      <c r="D1383" s="9" t="s">
        <v>185</v>
      </c>
      <c r="E1383" s="9" t="s">
        <v>10</v>
      </c>
      <c r="F1383" s="9" t="s">
        <v>186</v>
      </c>
      <c r="G1383" s="8"/>
      <c r="H1383" s="8"/>
      <c r="I1383" s="9" t="s">
        <v>78</v>
      </c>
      <c r="J1383" s="9" t="s">
        <v>11</v>
      </c>
      <c r="K1383" s="9" t="s">
        <v>82</v>
      </c>
      <c r="L1383" s="9" t="s">
        <v>171</v>
      </c>
      <c r="M1383" s="9" t="s">
        <v>78</v>
      </c>
      <c r="N1383" s="9" t="s">
        <v>377</v>
      </c>
      <c r="O1383" s="9" t="s">
        <v>192</v>
      </c>
      <c r="P1383" s="9" t="s">
        <v>386</v>
      </c>
      <c r="Q1383" s="11"/>
      <c r="R1383" s="11"/>
      <c r="S1383" s="11">
        <f t="shared" si="183"/>
        <v>0</v>
      </c>
      <c r="T1383" s="9"/>
      <c r="U1383" s="14" t="s">
        <v>77</v>
      </c>
      <c r="V1383" s="9"/>
      <c r="W1383" s="12"/>
      <c r="X1383" s="13"/>
      <c r="Y1383" s="13"/>
      <c r="Z1383" s="13"/>
      <c r="AA1383" s="13"/>
      <c r="AB1383" s="13"/>
      <c r="AC1383" s="13">
        <f t="shared" si="180"/>
        <v>0</v>
      </c>
      <c r="AD1383" s="13"/>
      <c r="AE1383" s="13"/>
      <c r="AF1383" s="13">
        <f t="shared" si="181"/>
        <v>0</v>
      </c>
      <c r="AG1383" s="13"/>
      <c r="AH1383" s="13"/>
      <c r="AI1383" s="13"/>
      <c r="AJ1383" s="13">
        <f t="shared" si="182"/>
        <v>0</v>
      </c>
      <c r="AK1383" s="9"/>
      <c r="AL1383" s="13"/>
      <c r="AM1383" s="9"/>
      <c r="AN1383" s="9"/>
      <c r="AO1383" s="9"/>
      <c r="AP1383" s="14"/>
    </row>
    <row r="1384" spans="1:42" s="45" customFormat="1" ht="22" customHeight="1">
      <c r="A1384" s="14" t="s">
        <v>19</v>
      </c>
      <c r="B1384" s="8">
        <v>2024</v>
      </c>
      <c r="C1384" s="8" t="s">
        <v>8</v>
      </c>
      <c r="D1384" s="9" t="s">
        <v>185</v>
      </c>
      <c r="E1384" s="9" t="s">
        <v>10</v>
      </c>
      <c r="F1384" s="9" t="s">
        <v>186</v>
      </c>
      <c r="G1384" s="8"/>
      <c r="H1384" s="8"/>
      <c r="I1384" s="9" t="s">
        <v>78</v>
      </c>
      <c r="J1384" s="9" t="s">
        <v>11</v>
      </c>
      <c r="K1384" s="9" t="s">
        <v>82</v>
      </c>
      <c r="L1384" s="9" t="s">
        <v>171</v>
      </c>
      <c r="M1384" s="9" t="s">
        <v>78</v>
      </c>
      <c r="N1384" s="9" t="s">
        <v>377</v>
      </c>
      <c r="O1384" s="9" t="s">
        <v>192</v>
      </c>
      <c r="P1384" s="9" t="s">
        <v>387</v>
      </c>
      <c r="Q1384" s="11"/>
      <c r="R1384" s="11"/>
      <c r="S1384" s="11">
        <f t="shared" si="183"/>
        <v>0</v>
      </c>
      <c r="T1384" s="9"/>
      <c r="U1384" s="14" t="s">
        <v>77</v>
      </c>
      <c r="V1384" s="9"/>
      <c r="W1384" s="12"/>
      <c r="X1384" s="13"/>
      <c r="Y1384" s="13"/>
      <c r="Z1384" s="13"/>
      <c r="AA1384" s="13"/>
      <c r="AB1384" s="13"/>
      <c r="AC1384" s="13">
        <f t="shared" si="180"/>
        <v>0</v>
      </c>
      <c r="AD1384" s="13"/>
      <c r="AE1384" s="13"/>
      <c r="AF1384" s="13">
        <f t="shared" si="181"/>
        <v>0</v>
      </c>
      <c r="AG1384" s="13"/>
      <c r="AH1384" s="13"/>
      <c r="AI1384" s="13"/>
      <c r="AJ1384" s="13">
        <f t="shared" si="182"/>
        <v>0</v>
      </c>
      <c r="AK1384" s="9"/>
      <c r="AL1384" s="13"/>
      <c r="AM1384" s="9"/>
      <c r="AN1384" s="9"/>
      <c r="AO1384" s="9"/>
      <c r="AP1384" s="14"/>
    </row>
    <row r="1385" spans="1:42" s="45" customFormat="1" ht="22" customHeight="1">
      <c r="A1385" s="14" t="s">
        <v>19</v>
      </c>
      <c r="B1385" s="8">
        <v>2024</v>
      </c>
      <c r="C1385" s="8" t="s">
        <v>8</v>
      </c>
      <c r="D1385" s="9" t="s">
        <v>185</v>
      </c>
      <c r="E1385" s="9" t="s">
        <v>10</v>
      </c>
      <c r="F1385" s="9" t="s">
        <v>186</v>
      </c>
      <c r="G1385" s="8"/>
      <c r="H1385" s="8"/>
      <c r="I1385" s="9" t="s">
        <v>78</v>
      </c>
      <c r="J1385" s="9" t="s">
        <v>11</v>
      </c>
      <c r="K1385" s="9" t="s">
        <v>82</v>
      </c>
      <c r="L1385" s="9" t="s">
        <v>171</v>
      </c>
      <c r="M1385" s="9" t="s">
        <v>78</v>
      </c>
      <c r="N1385" s="9" t="s">
        <v>377</v>
      </c>
      <c r="O1385" s="9" t="s">
        <v>388</v>
      </c>
      <c r="P1385" s="9" t="s">
        <v>389</v>
      </c>
      <c r="Q1385" s="11"/>
      <c r="R1385" s="11"/>
      <c r="S1385" s="11">
        <f t="shared" si="183"/>
        <v>0</v>
      </c>
      <c r="T1385" s="9"/>
      <c r="U1385" s="14" t="s">
        <v>77</v>
      </c>
      <c r="V1385" s="9"/>
      <c r="W1385" s="12"/>
      <c r="X1385" s="13"/>
      <c r="Y1385" s="13"/>
      <c r="Z1385" s="13"/>
      <c r="AA1385" s="13"/>
      <c r="AB1385" s="13"/>
      <c r="AC1385" s="13">
        <f t="shared" si="180"/>
        <v>0</v>
      </c>
      <c r="AD1385" s="13"/>
      <c r="AE1385" s="13"/>
      <c r="AF1385" s="13">
        <f t="shared" si="181"/>
        <v>0</v>
      </c>
      <c r="AG1385" s="13"/>
      <c r="AH1385" s="13"/>
      <c r="AI1385" s="13"/>
      <c r="AJ1385" s="13">
        <f t="shared" si="182"/>
        <v>0</v>
      </c>
      <c r="AK1385" s="9"/>
      <c r="AL1385" s="13"/>
      <c r="AM1385" s="9"/>
      <c r="AN1385" s="9"/>
      <c r="AO1385" s="9"/>
      <c r="AP1385" s="14"/>
    </row>
    <row r="1386" spans="1:42" s="45" customFormat="1" ht="22" customHeight="1">
      <c r="A1386" s="14" t="s">
        <v>19</v>
      </c>
      <c r="B1386" s="8">
        <v>2024</v>
      </c>
      <c r="C1386" s="8" t="s">
        <v>8</v>
      </c>
      <c r="D1386" s="9" t="s">
        <v>185</v>
      </c>
      <c r="E1386" s="9" t="s">
        <v>10</v>
      </c>
      <c r="F1386" s="9" t="s">
        <v>186</v>
      </c>
      <c r="G1386" s="8"/>
      <c r="H1386" s="8"/>
      <c r="I1386" s="9" t="s">
        <v>78</v>
      </c>
      <c r="J1386" s="9" t="s">
        <v>11</v>
      </c>
      <c r="K1386" s="9" t="s">
        <v>82</v>
      </c>
      <c r="L1386" s="9" t="s">
        <v>171</v>
      </c>
      <c r="M1386" s="9" t="s">
        <v>78</v>
      </c>
      <c r="N1386" s="9" t="s">
        <v>377</v>
      </c>
      <c r="O1386" s="9" t="s">
        <v>388</v>
      </c>
      <c r="P1386" s="9" t="s">
        <v>390</v>
      </c>
      <c r="Q1386" s="11"/>
      <c r="R1386" s="11">
        <v>471</v>
      </c>
      <c r="S1386" s="11">
        <f t="shared" si="183"/>
        <v>471</v>
      </c>
      <c r="T1386" s="9"/>
      <c r="U1386" s="14" t="s">
        <v>77</v>
      </c>
      <c r="V1386" s="9"/>
      <c r="W1386" s="12">
        <v>30</v>
      </c>
      <c r="X1386" s="13"/>
      <c r="Y1386" s="13"/>
      <c r="Z1386" s="13"/>
      <c r="AA1386" s="13"/>
      <c r="AB1386" s="13"/>
      <c r="AC1386" s="13">
        <f t="shared" ref="AC1386:AC1389" si="184">+S1386*W1386*20/1000000</f>
        <v>0.28260000000000002</v>
      </c>
      <c r="AD1386" s="13"/>
      <c r="AE1386" s="13"/>
      <c r="AF1386" s="13">
        <f t="shared" ref="AF1386:AF1389" si="185">+S1386*W1386*200/1000000</f>
        <v>2.8260000000000001</v>
      </c>
      <c r="AG1386" s="13"/>
      <c r="AH1386" s="13"/>
      <c r="AI1386" s="13"/>
      <c r="AJ1386" s="13">
        <f t="shared" si="182"/>
        <v>3.1086</v>
      </c>
      <c r="AK1386" s="9"/>
      <c r="AL1386" s="13"/>
      <c r="AM1386" s="9"/>
      <c r="AN1386" s="9"/>
      <c r="AO1386" s="9"/>
      <c r="AP1386" s="14"/>
    </row>
    <row r="1387" spans="1:42" s="45" customFormat="1" ht="22" customHeight="1">
      <c r="A1387" s="14" t="s">
        <v>19</v>
      </c>
      <c r="B1387" s="8">
        <v>2024</v>
      </c>
      <c r="C1387" s="8" t="s">
        <v>8</v>
      </c>
      <c r="D1387" s="9" t="s">
        <v>185</v>
      </c>
      <c r="E1387" s="9" t="s">
        <v>10</v>
      </c>
      <c r="F1387" s="9" t="s">
        <v>186</v>
      </c>
      <c r="G1387" s="8"/>
      <c r="H1387" s="8"/>
      <c r="I1387" s="9" t="s">
        <v>78</v>
      </c>
      <c r="J1387" s="9" t="s">
        <v>11</v>
      </c>
      <c r="K1387" s="9" t="s">
        <v>82</v>
      </c>
      <c r="L1387" s="9" t="s">
        <v>171</v>
      </c>
      <c r="M1387" s="9" t="s">
        <v>78</v>
      </c>
      <c r="N1387" s="9" t="s">
        <v>377</v>
      </c>
      <c r="O1387" s="9" t="s">
        <v>388</v>
      </c>
      <c r="P1387" s="9" t="s">
        <v>388</v>
      </c>
      <c r="Q1387" s="11"/>
      <c r="R1387" s="11">
        <v>0</v>
      </c>
      <c r="S1387" s="11">
        <f t="shared" si="183"/>
        <v>0</v>
      </c>
      <c r="T1387" s="9"/>
      <c r="U1387" s="14" t="s">
        <v>77</v>
      </c>
      <c r="V1387" s="9"/>
      <c r="W1387" s="12"/>
      <c r="X1387" s="13"/>
      <c r="Y1387" s="13"/>
      <c r="Z1387" s="13"/>
      <c r="AA1387" s="13"/>
      <c r="AB1387" s="13"/>
      <c r="AC1387" s="13">
        <f t="shared" si="184"/>
        <v>0</v>
      </c>
      <c r="AD1387" s="13"/>
      <c r="AE1387" s="13"/>
      <c r="AF1387" s="13">
        <f t="shared" si="185"/>
        <v>0</v>
      </c>
      <c r="AG1387" s="13"/>
      <c r="AH1387" s="13"/>
      <c r="AI1387" s="13"/>
      <c r="AJ1387" s="13">
        <f t="shared" si="182"/>
        <v>0</v>
      </c>
      <c r="AK1387" s="9"/>
      <c r="AL1387" s="13"/>
      <c r="AM1387" s="9"/>
      <c r="AN1387" s="9"/>
      <c r="AO1387" s="9"/>
      <c r="AP1387" s="14"/>
    </row>
    <row r="1388" spans="1:42" s="45" customFormat="1" ht="22" customHeight="1">
      <c r="A1388" s="14" t="s">
        <v>19</v>
      </c>
      <c r="B1388" s="8">
        <v>2024</v>
      </c>
      <c r="C1388" s="8" t="s">
        <v>8</v>
      </c>
      <c r="D1388" s="9" t="s">
        <v>185</v>
      </c>
      <c r="E1388" s="9" t="s">
        <v>10</v>
      </c>
      <c r="F1388" s="9" t="s">
        <v>186</v>
      </c>
      <c r="G1388" s="8"/>
      <c r="H1388" s="8"/>
      <c r="I1388" s="9" t="s">
        <v>78</v>
      </c>
      <c r="J1388" s="9" t="s">
        <v>11</v>
      </c>
      <c r="K1388" s="9" t="s">
        <v>82</v>
      </c>
      <c r="L1388" s="9" t="s">
        <v>171</v>
      </c>
      <c r="M1388" s="9" t="s">
        <v>78</v>
      </c>
      <c r="N1388" s="9" t="s">
        <v>377</v>
      </c>
      <c r="O1388" s="9" t="s">
        <v>388</v>
      </c>
      <c r="P1388" s="9" t="s">
        <v>391</v>
      </c>
      <c r="Q1388" s="11"/>
      <c r="R1388" s="11"/>
      <c r="S1388" s="11">
        <f t="shared" si="183"/>
        <v>0</v>
      </c>
      <c r="T1388" s="9"/>
      <c r="U1388" s="14" t="s">
        <v>77</v>
      </c>
      <c r="V1388" s="9"/>
      <c r="W1388" s="12"/>
      <c r="X1388" s="13"/>
      <c r="Y1388" s="13"/>
      <c r="Z1388" s="13"/>
      <c r="AA1388" s="13"/>
      <c r="AB1388" s="13"/>
      <c r="AC1388" s="13">
        <f t="shared" si="184"/>
        <v>0</v>
      </c>
      <c r="AD1388" s="13"/>
      <c r="AE1388" s="13"/>
      <c r="AF1388" s="13">
        <f t="shared" si="185"/>
        <v>0</v>
      </c>
      <c r="AG1388" s="13"/>
      <c r="AH1388" s="13"/>
      <c r="AI1388" s="13"/>
      <c r="AJ1388" s="13">
        <f t="shared" si="182"/>
        <v>0</v>
      </c>
      <c r="AK1388" s="9"/>
      <c r="AL1388" s="13"/>
      <c r="AM1388" s="9"/>
      <c r="AN1388" s="9"/>
      <c r="AO1388" s="9"/>
      <c r="AP1388" s="14"/>
    </row>
    <row r="1389" spans="1:42" s="45" customFormat="1" ht="22" customHeight="1">
      <c r="A1389" s="14" t="s">
        <v>19</v>
      </c>
      <c r="B1389" s="8">
        <v>2024</v>
      </c>
      <c r="C1389" s="8" t="s">
        <v>8</v>
      </c>
      <c r="D1389" s="9" t="s">
        <v>185</v>
      </c>
      <c r="E1389" s="9" t="s">
        <v>10</v>
      </c>
      <c r="F1389" s="9" t="s">
        <v>186</v>
      </c>
      <c r="G1389" s="8"/>
      <c r="H1389" s="8"/>
      <c r="I1389" s="9" t="s">
        <v>78</v>
      </c>
      <c r="J1389" s="9" t="s">
        <v>11</v>
      </c>
      <c r="K1389" s="9" t="s">
        <v>82</v>
      </c>
      <c r="L1389" s="9" t="s">
        <v>171</v>
      </c>
      <c r="M1389" s="9" t="s">
        <v>78</v>
      </c>
      <c r="N1389" s="9" t="s">
        <v>377</v>
      </c>
      <c r="O1389" s="9" t="s">
        <v>388</v>
      </c>
      <c r="P1389" s="9" t="s">
        <v>392</v>
      </c>
      <c r="Q1389" s="11"/>
      <c r="R1389" s="11">
        <v>305</v>
      </c>
      <c r="S1389" s="11">
        <f t="shared" si="183"/>
        <v>305</v>
      </c>
      <c r="T1389" s="9"/>
      <c r="U1389" s="14" t="s">
        <v>77</v>
      </c>
      <c r="V1389" s="9"/>
      <c r="W1389" s="12">
        <v>30</v>
      </c>
      <c r="X1389" s="13"/>
      <c r="Y1389" s="13"/>
      <c r="Z1389" s="13"/>
      <c r="AA1389" s="13"/>
      <c r="AB1389" s="13"/>
      <c r="AC1389" s="13">
        <f t="shared" si="184"/>
        <v>0.183</v>
      </c>
      <c r="AD1389" s="13"/>
      <c r="AE1389" s="13"/>
      <c r="AF1389" s="13">
        <f t="shared" si="185"/>
        <v>1.83</v>
      </c>
      <c r="AG1389" s="13"/>
      <c r="AH1389" s="13"/>
      <c r="AI1389" s="13"/>
      <c r="AJ1389" s="13">
        <f t="shared" si="182"/>
        <v>2.0129999999999999</v>
      </c>
      <c r="AK1389" s="9"/>
      <c r="AL1389" s="13"/>
      <c r="AM1389" s="9"/>
      <c r="AN1389" s="9"/>
      <c r="AO1389" s="9"/>
      <c r="AP1389" s="14"/>
    </row>
    <row r="1390" spans="1:42" s="45" customFormat="1" ht="22" customHeight="1">
      <c r="A1390" s="14" t="s">
        <v>19</v>
      </c>
      <c r="B1390" s="8">
        <v>2024</v>
      </c>
      <c r="C1390" s="8" t="s">
        <v>8</v>
      </c>
      <c r="D1390" s="9" t="s">
        <v>185</v>
      </c>
      <c r="E1390" s="9" t="s">
        <v>15</v>
      </c>
      <c r="F1390" s="9" t="s">
        <v>186</v>
      </c>
      <c r="G1390" s="8"/>
      <c r="H1390" s="8"/>
      <c r="I1390" s="9" t="s">
        <v>78</v>
      </c>
      <c r="J1390" s="9" t="s">
        <v>11</v>
      </c>
      <c r="K1390" s="9" t="s">
        <v>82</v>
      </c>
      <c r="L1390" s="9" t="s">
        <v>171</v>
      </c>
      <c r="M1390" s="9" t="s">
        <v>78</v>
      </c>
      <c r="N1390" s="9" t="s">
        <v>377</v>
      </c>
      <c r="O1390" s="9" t="s">
        <v>217</v>
      </c>
      <c r="P1390" s="9" t="s">
        <v>378</v>
      </c>
      <c r="Q1390" s="11"/>
      <c r="R1390" s="11"/>
      <c r="S1390" s="11">
        <f t="shared" si="183"/>
        <v>0</v>
      </c>
      <c r="T1390" s="9"/>
      <c r="U1390" s="14" t="s">
        <v>77</v>
      </c>
      <c r="V1390" s="9"/>
      <c r="W1390" s="12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>
        <f t="shared" ref="AH1390:AH1405" si="186">+S1390*W1390*50/1000000</f>
        <v>0</v>
      </c>
      <c r="AI1390" s="13"/>
      <c r="AJ1390" s="13">
        <f t="shared" si="182"/>
        <v>0</v>
      </c>
      <c r="AK1390" s="9"/>
      <c r="AL1390" s="13"/>
      <c r="AM1390" s="9"/>
      <c r="AN1390" s="9"/>
      <c r="AO1390" s="9"/>
      <c r="AP1390" s="14"/>
    </row>
    <row r="1391" spans="1:42" s="45" customFormat="1" ht="22" customHeight="1">
      <c r="A1391" s="14" t="s">
        <v>19</v>
      </c>
      <c r="B1391" s="8">
        <v>2024</v>
      </c>
      <c r="C1391" s="8" t="s">
        <v>8</v>
      </c>
      <c r="D1391" s="9" t="s">
        <v>185</v>
      </c>
      <c r="E1391" s="9" t="s">
        <v>15</v>
      </c>
      <c r="F1391" s="9" t="s">
        <v>186</v>
      </c>
      <c r="G1391" s="8"/>
      <c r="H1391" s="8"/>
      <c r="I1391" s="9" t="s">
        <v>78</v>
      </c>
      <c r="J1391" s="9" t="s">
        <v>11</v>
      </c>
      <c r="K1391" s="9" t="s">
        <v>82</v>
      </c>
      <c r="L1391" s="9" t="s">
        <v>171</v>
      </c>
      <c r="M1391" s="9" t="s">
        <v>78</v>
      </c>
      <c r="N1391" s="9" t="s">
        <v>377</v>
      </c>
      <c r="O1391" s="9" t="s">
        <v>217</v>
      </c>
      <c r="P1391" s="9" t="s">
        <v>379</v>
      </c>
      <c r="Q1391" s="11">
        <v>280</v>
      </c>
      <c r="R1391" s="11">
        <v>217</v>
      </c>
      <c r="S1391" s="11">
        <f t="shared" si="183"/>
        <v>497</v>
      </c>
      <c r="T1391" s="9"/>
      <c r="U1391" s="14" t="s">
        <v>77</v>
      </c>
      <c r="V1391" s="9"/>
      <c r="W1391" s="12">
        <v>30</v>
      </c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>
        <f t="shared" si="186"/>
        <v>0.74550000000000005</v>
      </c>
      <c r="AI1391" s="13"/>
      <c r="AJ1391" s="13">
        <f t="shared" si="182"/>
        <v>0.74550000000000005</v>
      </c>
      <c r="AK1391" s="9"/>
      <c r="AL1391" s="13"/>
      <c r="AM1391" s="9"/>
      <c r="AN1391" s="9"/>
      <c r="AO1391" s="9"/>
      <c r="AP1391" s="14"/>
    </row>
    <row r="1392" spans="1:42" s="45" customFormat="1" ht="22" customHeight="1">
      <c r="A1392" s="14" t="s">
        <v>19</v>
      </c>
      <c r="B1392" s="8">
        <v>2024</v>
      </c>
      <c r="C1392" s="8" t="s">
        <v>8</v>
      </c>
      <c r="D1392" s="9" t="s">
        <v>185</v>
      </c>
      <c r="E1392" s="9" t="s">
        <v>15</v>
      </c>
      <c r="F1392" s="9" t="s">
        <v>186</v>
      </c>
      <c r="G1392" s="8"/>
      <c r="H1392" s="8"/>
      <c r="I1392" s="9" t="s">
        <v>78</v>
      </c>
      <c r="J1392" s="9" t="s">
        <v>11</v>
      </c>
      <c r="K1392" s="9" t="s">
        <v>82</v>
      </c>
      <c r="L1392" s="9" t="s">
        <v>171</v>
      </c>
      <c r="M1392" s="9" t="s">
        <v>78</v>
      </c>
      <c r="N1392" s="9" t="s">
        <v>377</v>
      </c>
      <c r="O1392" s="9" t="s">
        <v>217</v>
      </c>
      <c r="P1392" s="9" t="s">
        <v>217</v>
      </c>
      <c r="Q1392" s="11">
        <v>350</v>
      </c>
      <c r="R1392" s="11">
        <v>317</v>
      </c>
      <c r="S1392" s="11">
        <f t="shared" si="183"/>
        <v>667</v>
      </c>
      <c r="T1392" s="9"/>
      <c r="U1392" s="14" t="s">
        <v>77</v>
      </c>
      <c r="V1392" s="9"/>
      <c r="W1392" s="12">
        <v>30</v>
      </c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>
        <f t="shared" si="186"/>
        <v>1.0004999999999999</v>
      </c>
      <c r="AI1392" s="13"/>
      <c r="AJ1392" s="13">
        <f t="shared" si="182"/>
        <v>1.0004999999999999</v>
      </c>
      <c r="AK1392" s="9"/>
      <c r="AL1392" s="13"/>
      <c r="AM1392" s="9"/>
      <c r="AN1392" s="9"/>
      <c r="AO1392" s="9"/>
      <c r="AP1392" s="14"/>
    </row>
    <row r="1393" spans="1:42" s="45" customFormat="1" ht="22" customHeight="1">
      <c r="A1393" s="14" t="s">
        <v>19</v>
      </c>
      <c r="B1393" s="8">
        <v>2024</v>
      </c>
      <c r="C1393" s="8" t="s">
        <v>8</v>
      </c>
      <c r="D1393" s="9" t="s">
        <v>185</v>
      </c>
      <c r="E1393" s="9" t="s">
        <v>15</v>
      </c>
      <c r="F1393" s="9" t="s">
        <v>186</v>
      </c>
      <c r="G1393" s="8"/>
      <c r="H1393" s="8"/>
      <c r="I1393" s="9" t="s">
        <v>78</v>
      </c>
      <c r="J1393" s="9" t="s">
        <v>11</v>
      </c>
      <c r="K1393" s="9" t="s">
        <v>82</v>
      </c>
      <c r="L1393" s="9" t="s">
        <v>171</v>
      </c>
      <c r="M1393" s="9" t="s">
        <v>78</v>
      </c>
      <c r="N1393" s="9" t="s">
        <v>377</v>
      </c>
      <c r="O1393" s="9" t="s">
        <v>217</v>
      </c>
      <c r="P1393" s="9" t="s">
        <v>380</v>
      </c>
      <c r="Q1393" s="11"/>
      <c r="R1393" s="11"/>
      <c r="S1393" s="11">
        <f t="shared" si="183"/>
        <v>0</v>
      </c>
      <c r="T1393" s="9"/>
      <c r="U1393" s="14" t="s">
        <v>77</v>
      </c>
      <c r="V1393" s="9"/>
      <c r="W1393" s="12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>
        <f t="shared" si="186"/>
        <v>0</v>
      </c>
      <c r="AI1393" s="13"/>
      <c r="AJ1393" s="13">
        <f t="shared" si="182"/>
        <v>0</v>
      </c>
      <c r="AK1393" s="9"/>
      <c r="AL1393" s="13"/>
      <c r="AM1393" s="9"/>
      <c r="AN1393" s="9"/>
      <c r="AO1393" s="9"/>
      <c r="AP1393" s="14"/>
    </row>
    <row r="1394" spans="1:42" s="45" customFormat="1" ht="22" customHeight="1">
      <c r="A1394" s="14" t="s">
        <v>19</v>
      </c>
      <c r="B1394" s="8">
        <v>2024</v>
      </c>
      <c r="C1394" s="8" t="s">
        <v>8</v>
      </c>
      <c r="D1394" s="9" t="s">
        <v>185</v>
      </c>
      <c r="E1394" s="9" t="s">
        <v>15</v>
      </c>
      <c r="F1394" s="9" t="s">
        <v>186</v>
      </c>
      <c r="G1394" s="8"/>
      <c r="H1394" s="8"/>
      <c r="I1394" s="9" t="s">
        <v>78</v>
      </c>
      <c r="J1394" s="9" t="s">
        <v>11</v>
      </c>
      <c r="K1394" s="9" t="s">
        <v>82</v>
      </c>
      <c r="L1394" s="9" t="s">
        <v>171</v>
      </c>
      <c r="M1394" s="9" t="s">
        <v>78</v>
      </c>
      <c r="N1394" s="9" t="s">
        <v>377</v>
      </c>
      <c r="O1394" s="9" t="s">
        <v>217</v>
      </c>
      <c r="P1394" s="9" t="s">
        <v>381</v>
      </c>
      <c r="Q1394" s="11"/>
      <c r="R1394" s="11"/>
      <c r="S1394" s="11">
        <f t="shared" si="183"/>
        <v>0</v>
      </c>
      <c r="T1394" s="9"/>
      <c r="U1394" s="14" t="s">
        <v>77</v>
      </c>
      <c r="V1394" s="9"/>
      <c r="W1394" s="12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>
        <f t="shared" si="186"/>
        <v>0</v>
      </c>
      <c r="AI1394" s="13"/>
      <c r="AJ1394" s="13">
        <f t="shared" si="182"/>
        <v>0</v>
      </c>
      <c r="AK1394" s="9"/>
      <c r="AL1394" s="13"/>
      <c r="AM1394" s="9"/>
      <c r="AN1394" s="9"/>
      <c r="AO1394" s="9"/>
      <c r="AP1394" s="14"/>
    </row>
    <row r="1395" spans="1:42" s="45" customFormat="1" ht="22" customHeight="1">
      <c r="A1395" s="14" t="s">
        <v>19</v>
      </c>
      <c r="B1395" s="8">
        <v>2024</v>
      </c>
      <c r="C1395" s="8" t="s">
        <v>8</v>
      </c>
      <c r="D1395" s="9" t="s">
        <v>185</v>
      </c>
      <c r="E1395" s="9" t="s">
        <v>15</v>
      </c>
      <c r="F1395" s="9" t="s">
        <v>186</v>
      </c>
      <c r="G1395" s="8"/>
      <c r="H1395" s="8"/>
      <c r="I1395" s="9" t="s">
        <v>78</v>
      </c>
      <c r="J1395" s="9" t="s">
        <v>11</v>
      </c>
      <c r="K1395" s="9" t="s">
        <v>82</v>
      </c>
      <c r="L1395" s="9" t="s">
        <v>171</v>
      </c>
      <c r="M1395" s="9" t="s">
        <v>78</v>
      </c>
      <c r="N1395" s="9" t="s">
        <v>377</v>
      </c>
      <c r="O1395" s="9" t="s">
        <v>192</v>
      </c>
      <c r="P1395" s="9" t="s">
        <v>382</v>
      </c>
      <c r="Q1395" s="11">
        <v>640</v>
      </c>
      <c r="R1395" s="11">
        <v>374</v>
      </c>
      <c r="S1395" s="11">
        <f t="shared" si="183"/>
        <v>1014</v>
      </c>
      <c r="T1395" s="9"/>
      <c r="U1395" s="14" t="s">
        <v>77</v>
      </c>
      <c r="V1395" s="9"/>
      <c r="W1395" s="12">
        <v>30</v>
      </c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>
        <f t="shared" si="186"/>
        <v>1.5209999999999999</v>
      </c>
      <c r="AI1395" s="13"/>
      <c r="AJ1395" s="13">
        <f t="shared" si="182"/>
        <v>1.5209999999999999</v>
      </c>
      <c r="AK1395" s="9"/>
      <c r="AL1395" s="13"/>
      <c r="AM1395" s="9"/>
      <c r="AN1395" s="9"/>
      <c r="AO1395" s="9"/>
      <c r="AP1395" s="14"/>
    </row>
    <row r="1396" spans="1:42" s="45" customFormat="1" ht="22" customHeight="1">
      <c r="A1396" s="14" t="s">
        <v>19</v>
      </c>
      <c r="B1396" s="8">
        <v>2024</v>
      </c>
      <c r="C1396" s="8" t="s">
        <v>8</v>
      </c>
      <c r="D1396" s="9" t="s">
        <v>185</v>
      </c>
      <c r="E1396" s="9" t="s">
        <v>15</v>
      </c>
      <c r="F1396" s="9" t="s">
        <v>186</v>
      </c>
      <c r="G1396" s="8"/>
      <c r="H1396" s="8"/>
      <c r="I1396" s="9" t="s">
        <v>78</v>
      </c>
      <c r="J1396" s="9" t="s">
        <v>11</v>
      </c>
      <c r="K1396" s="9" t="s">
        <v>82</v>
      </c>
      <c r="L1396" s="9" t="s">
        <v>171</v>
      </c>
      <c r="M1396" s="9" t="s">
        <v>78</v>
      </c>
      <c r="N1396" s="9" t="s">
        <v>377</v>
      </c>
      <c r="O1396" s="9" t="s">
        <v>192</v>
      </c>
      <c r="P1396" s="9" t="s">
        <v>192</v>
      </c>
      <c r="Q1396" s="11">
        <v>887</v>
      </c>
      <c r="R1396" s="11">
        <v>672</v>
      </c>
      <c r="S1396" s="11">
        <f t="shared" si="183"/>
        <v>1559</v>
      </c>
      <c r="T1396" s="9"/>
      <c r="U1396" s="14" t="s">
        <v>77</v>
      </c>
      <c r="V1396" s="9"/>
      <c r="W1396" s="12">
        <v>30</v>
      </c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>
        <f t="shared" si="186"/>
        <v>2.3384999999999998</v>
      </c>
      <c r="AI1396" s="13"/>
      <c r="AJ1396" s="13">
        <f t="shared" si="182"/>
        <v>2.3384999999999998</v>
      </c>
      <c r="AK1396" s="9"/>
      <c r="AL1396" s="13"/>
      <c r="AM1396" s="9"/>
      <c r="AN1396" s="9"/>
      <c r="AO1396" s="9"/>
      <c r="AP1396" s="14"/>
    </row>
    <row r="1397" spans="1:42" s="45" customFormat="1" ht="22" customHeight="1">
      <c r="A1397" s="14" t="s">
        <v>19</v>
      </c>
      <c r="B1397" s="8">
        <v>2024</v>
      </c>
      <c r="C1397" s="8" t="s">
        <v>8</v>
      </c>
      <c r="D1397" s="9" t="s">
        <v>185</v>
      </c>
      <c r="E1397" s="9" t="s">
        <v>15</v>
      </c>
      <c r="F1397" s="9" t="s">
        <v>186</v>
      </c>
      <c r="G1397" s="8"/>
      <c r="H1397" s="8"/>
      <c r="I1397" s="9" t="s">
        <v>78</v>
      </c>
      <c r="J1397" s="9" t="s">
        <v>11</v>
      </c>
      <c r="K1397" s="9" t="s">
        <v>82</v>
      </c>
      <c r="L1397" s="9" t="s">
        <v>171</v>
      </c>
      <c r="M1397" s="9" t="s">
        <v>78</v>
      </c>
      <c r="N1397" s="9" t="s">
        <v>377</v>
      </c>
      <c r="O1397" s="9" t="s">
        <v>192</v>
      </c>
      <c r="P1397" s="9" t="s">
        <v>383</v>
      </c>
      <c r="Q1397" s="11"/>
      <c r="R1397" s="11"/>
      <c r="S1397" s="11">
        <f t="shared" si="183"/>
        <v>0</v>
      </c>
      <c r="T1397" s="9"/>
      <c r="U1397" s="14" t="s">
        <v>77</v>
      </c>
      <c r="V1397" s="9"/>
      <c r="W1397" s="12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>
        <f t="shared" si="186"/>
        <v>0</v>
      </c>
      <c r="AI1397" s="13"/>
      <c r="AJ1397" s="13">
        <f t="shared" si="182"/>
        <v>0</v>
      </c>
      <c r="AK1397" s="9"/>
      <c r="AL1397" s="13"/>
      <c r="AM1397" s="9"/>
      <c r="AN1397" s="9"/>
      <c r="AO1397" s="9"/>
      <c r="AP1397" s="14"/>
    </row>
    <row r="1398" spans="1:42" s="45" customFormat="1" ht="22" customHeight="1">
      <c r="A1398" s="14" t="s">
        <v>19</v>
      </c>
      <c r="B1398" s="8">
        <v>2024</v>
      </c>
      <c r="C1398" s="8" t="s">
        <v>8</v>
      </c>
      <c r="D1398" s="9" t="s">
        <v>185</v>
      </c>
      <c r="E1398" s="9" t="s">
        <v>15</v>
      </c>
      <c r="F1398" s="9" t="s">
        <v>186</v>
      </c>
      <c r="G1398" s="8"/>
      <c r="H1398" s="8"/>
      <c r="I1398" s="9" t="s">
        <v>78</v>
      </c>
      <c r="J1398" s="9" t="s">
        <v>11</v>
      </c>
      <c r="K1398" s="9" t="s">
        <v>82</v>
      </c>
      <c r="L1398" s="9" t="s">
        <v>171</v>
      </c>
      <c r="M1398" s="9" t="s">
        <v>78</v>
      </c>
      <c r="N1398" s="9" t="s">
        <v>377</v>
      </c>
      <c r="O1398" s="9" t="s">
        <v>192</v>
      </c>
      <c r="P1398" s="9" t="s">
        <v>384</v>
      </c>
      <c r="Q1398" s="11"/>
      <c r="R1398" s="11"/>
      <c r="S1398" s="11">
        <f t="shared" si="183"/>
        <v>0</v>
      </c>
      <c r="T1398" s="9"/>
      <c r="U1398" s="14" t="s">
        <v>77</v>
      </c>
      <c r="V1398" s="9"/>
      <c r="W1398" s="12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>
        <f t="shared" si="186"/>
        <v>0</v>
      </c>
      <c r="AI1398" s="13"/>
      <c r="AJ1398" s="13">
        <f t="shared" si="182"/>
        <v>0</v>
      </c>
      <c r="AK1398" s="9"/>
      <c r="AL1398" s="13"/>
      <c r="AM1398" s="9"/>
      <c r="AN1398" s="9"/>
      <c r="AO1398" s="9"/>
      <c r="AP1398" s="14"/>
    </row>
    <row r="1399" spans="1:42" s="45" customFormat="1" ht="22" customHeight="1">
      <c r="A1399" s="14" t="s">
        <v>19</v>
      </c>
      <c r="B1399" s="8">
        <v>2024</v>
      </c>
      <c r="C1399" s="8" t="s">
        <v>8</v>
      </c>
      <c r="D1399" s="9" t="s">
        <v>185</v>
      </c>
      <c r="E1399" s="9" t="s">
        <v>15</v>
      </c>
      <c r="F1399" s="9" t="s">
        <v>186</v>
      </c>
      <c r="G1399" s="8"/>
      <c r="H1399" s="8"/>
      <c r="I1399" s="9" t="s">
        <v>78</v>
      </c>
      <c r="J1399" s="9" t="s">
        <v>11</v>
      </c>
      <c r="K1399" s="9" t="s">
        <v>82</v>
      </c>
      <c r="L1399" s="9" t="s">
        <v>171</v>
      </c>
      <c r="M1399" s="9" t="s">
        <v>78</v>
      </c>
      <c r="N1399" s="9" t="s">
        <v>377</v>
      </c>
      <c r="O1399" s="9" t="s">
        <v>192</v>
      </c>
      <c r="P1399" s="9" t="s">
        <v>385</v>
      </c>
      <c r="Q1399" s="11"/>
      <c r="R1399" s="11"/>
      <c r="S1399" s="11">
        <f t="shared" si="183"/>
        <v>0</v>
      </c>
      <c r="T1399" s="9"/>
      <c r="U1399" s="14" t="s">
        <v>77</v>
      </c>
      <c r="V1399" s="9"/>
      <c r="W1399" s="12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>
        <f t="shared" si="186"/>
        <v>0</v>
      </c>
      <c r="AI1399" s="13"/>
      <c r="AJ1399" s="13">
        <f t="shared" si="182"/>
        <v>0</v>
      </c>
      <c r="AK1399" s="9"/>
      <c r="AL1399" s="13"/>
      <c r="AM1399" s="9"/>
      <c r="AN1399" s="9"/>
      <c r="AO1399" s="9"/>
      <c r="AP1399" s="14"/>
    </row>
    <row r="1400" spans="1:42" s="45" customFormat="1" ht="22" customHeight="1">
      <c r="A1400" s="14" t="s">
        <v>19</v>
      </c>
      <c r="B1400" s="8">
        <v>2024</v>
      </c>
      <c r="C1400" s="8" t="s">
        <v>8</v>
      </c>
      <c r="D1400" s="9" t="s">
        <v>185</v>
      </c>
      <c r="E1400" s="9" t="s">
        <v>15</v>
      </c>
      <c r="F1400" s="9" t="s">
        <v>186</v>
      </c>
      <c r="G1400" s="8"/>
      <c r="H1400" s="8"/>
      <c r="I1400" s="9" t="s">
        <v>78</v>
      </c>
      <c r="J1400" s="9" t="s">
        <v>11</v>
      </c>
      <c r="K1400" s="9" t="s">
        <v>82</v>
      </c>
      <c r="L1400" s="9" t="s">
        <v>171</v>
      </c>
      <c r="M1400" s="9" t="s">
        <v>78</v>
      </c>
      <c r="N1400" s="9" t="s">
        <v>377</v>
      </c>
      <c r="O1400" s="9" t="s">
        <v>192</v>
      </c>
      <c r="P1400" s="9" t="s">
        <v>386</v>
      </c>
      <c r="Q1400" s="11"/>
      <c r="R1400" s="11"/>
      <c r="S1400" s="11">
        <f t="shared" si="183"/>
        <v>0</v>
      </c>
      <c r="T1400" s="9"/>
      <c r="U1400" s="14" t="s">
        <v>77</v>
      </c>
      <c r="V1400" s="9"/>
      <c r="W1400" s="12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>
        <f t="shared" si="186"/>
        <v>0</v>
      </c>
      <c r="AI1400" s="13"/>
      <c r="AJ1400" s="13">
        <f t="shared" si="182"/>
        <v>0</v>
      </c>
      <c r="AK1400" s="9"/>
      <c r="AL1400" s="13"/>
      <c r="AM1400" s="9"/>
      <c r="AN1400" s="9"/>
      <c r="AO1400" s="9"/>
      <c r="AP1400" s="14"/>
    </row>
    <row r="1401" spans="1:42" s="45" customFormat="1" ht="22" customHeight="1">
      <c r="A1401" s="14" t="s">
        <v>19</v>
      </c>
      <c r="B1401" s="8">
        <v>2024</v>
      </c>
      <c r="C1401" s="8" t="s">
        <v>8</v>
      </c>
      <c r="D1401" s="9" t="s">
        <v>185</v>
      </c>
      <c r="E1401" s="9" t="s">
        <v>15</v>
      </c>
      <c r="F1401" s="9" t="s">
        <v>186</v>
      </c>
      <c r="G1401" s="8"/>
      <c r="H1401" s="8"/>
      <c r="I1401" s="9" t="s">
        <v>78</v>
      </c>
      <c r="J1401" s="9" t="s">
        <v>11</v>
      </c>
      <c r="K1401" s="9" t="s">
        <v>82</v>
      </c>
      <c r="L1401" s="9" t="s">
        <v>171</v>
      </c>
      <c r="M1401" s="9" t="s">
        <v>78</v>
      </c>
      <c r="N1401" s="9" t="s">
        <v>377</v>
      </c>
      <c r="O1401" s="9" t="s">
        <v>192</v>
      </c>
      <c r="P1401" s="9" t="s">
        <v>387</v>
      </c>
      <c r="Q1401" s="11"/>
      <c r="R1401" s="11"/>
      <c r="S1401" s="11">
        <f t="shared" si="183"/>
        <v>0</v>
      </c>
      <c r="T1401" s="9"/>
      <c r="U1401" s="14" t="s">
        <v>77</v>
      </c>
      <c r="V1401" s="9"/>
      <c r="W1401" s="12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>
        <f t="shared" si="186"/>
        <v>0</v>
      </c>
      <c r="AI1401" s="13"/>
      <c r="AJ1401" s="13">
        <f t="shared" si="182"/>
        <v>0</v>
      </c>
      <c r="AK1401" s="9"/>
      <c r="AL1401" s="13"/>
      <c r="AM1401" s="9"/>
      <c r="AN1401" s="9"/>
      <c r="AO1401" s="9"/>
      <c r="AP1401" s="14"/>
    </row>
    <row r="1402" spans="1:42" s="45" customFormat="1" ht="22" customHeight="1">
      <c r="A1402" s="14" t="s">
        <v>19</v>
      </c>
      <c r="B1402" s="8">
        <v>2024</v>
      </c>
      <c r="C1402" s="8" t="s">
        <v>8</v>
      </c>
      <c r="D1402" s="9" t="s">
        <v>185</v>
      </c>
      <c r="E1402" s="9" t="s">
        <v>15</v>
      </c>
      <c r="F1402" s="9" t="s">
        <v>186</v>
      </c>
      <c r="G1402" s="8"/>
      <c r="H1402" s="8"/>
      <c r="I1402" s="9" t="s">
        <v>78</v>
      </c>
      <c r="J1402" s="9" t="s">
        <v>11</v>
      </c>
      <c r="K1402" s="9" t="s">
        <v>82</v>
      </c>
      <c r="L1402" s="9" t="s">
        <v>171</v>
      </c>
      <c r="M1402" s="9" t="s">
        <v>78</v>
      </c>
      <c r="N1402" s="9" t="s">
        <v>377</v>
      </c>
      <c r="O1402" s="9" t="s">
        <v>388</v>
      </c>
      <c r="P1402" s="9" t="s">
        <v>389</v>
      </c>
      <c r="Q1402" s="11"/>
      <c r="R1402" s="11"/>
      <c r="S1402" s="11">
        <f t="shared" si="183"/>
        <v>0</v>
      </c>
      <c r="T1402" s="9"/>
      <c r="U1402" s="14" t="s">
        <v>77</v>
      </c>
      <c r="V1402" s="9"/>
      <c r="W1402" s="12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>
        <f t="shared" si="186"/>
        <v>0</v>
      </c>
      <c r="AI1402" s="13"/>
      <c r="AJ1402" s="13">
        <f t="shared" si="182"/>
        <v>0</v>
      </c>
      <c r="AK1402" s="9"/>
      <c r="AL1402" s="13"/>
      <c r="AM1402" s="9"/>
      <c r="AN1402" s="9"/>
      <c r="AO1402" s="9"/>
      <c r="AP1402" s="14"/>
    </row>
    <row r="1403" spans="1:42" s="45" customFormat="1" ht="22" customHeight="1">
      <c r="A1403" s="14" t="s">
        <v>19</v>
      </c>
      <c r="B1403" s="8">
        <v>2024</v>
      </c>
      <c r="C1403" s="8" t="s">
        <v>8</v>
      </c>
      <c r="D1403" s="9" t="s">
        <v>185</v>
      </c>
      <c r="E1403" s="9" t="s">
        <v>15</v>
      </c>
      <c r="F1403" s="9" t="s">
        <v>186</v>
      </c>
      <c r="G1403" s="8"/>
      <c r="H1403" s="8"/>
      <c r="I1403" s="9" t="s">
        <v>78</v>
      </c>
      <c r="J1403" s="9" t="s">
        <v>11</v>
      </c>
      <c r="K1403" s="9" t="s">
        <v>82</v>
      </c>
      <c r="L1403" s="9" t="s">
        <v>171</v>
      </c>
      <c r="M1403" s="9" t="s">
        <v>78</v>
      </c>
      <c r="N1403" s="9" t="s">
        <v>377</v>
      </c>
      <c r="O1403" s="9" t="s">
        <v>388</v>
      </c>
      <c r="P1403" s="9" t="s">
        <v>390</v>
      </c>
      <c r="Q1403" s="11">
        <v>280</v>
      </c>
      <c r="R1403" s="11">
        <v>238</v>
      </c>
      <c r="S1403" s="11">
        <f t="shared" si="183"/>
        <v>518</v>
      </c>
      <c r="T1403" s="9"/>
      <c r="U1403" s="14" t="s">
        <v>77</v>
      </c>
      <c r="V1403" s="9"/>
      <c r="W1403" s="12">
        <v>30</v>
      </c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>
        <f t="shared" si="186"/>
        <v>0.77700000000000002</v>
      </c>
      <c r="AI1403" s="13"/>
      <c r="AJ1403" s="13">
        <f t="shared" si="182"/>
        <v>0.77700000000000002</v>
      </c>
      <c r="AK1403" s="9"/>
      <c r="AL1403" s="13"/>
      <c r="AM1403" s="9"/>
      <c r="AN1403" s="9"/>
      <c r="AO1403" s="9"/>
      <c r="AP1403" s="14"/>
    </row>
    <row r="1404" spans="1:42" s="45" customFormat="1" ht="22" customHeight="1">
      <c r="A1404" s="14" t="s">
        <v>19</v>
      </c>
      <c r="B1404" s="8">
        <v>2024</v>
      </c>
      <c r="C1404" s="8" t="s">
        <v>8</v>
      </c>
      <c r="D1404" s="9" t="s">
        <v>185</v>
      </c>
      <c r="E1404" s="9" t="s">
        <v>15</v>
      </c>
      <c r="F1404" s="9" t="s">
        <v>186</v>
      </c>
      <c r="G1404" s="8"/>
      <c r="H1404" s="8"/>
      <c r="I1404" s="9" t="s">
        <v>78</v>
      </c>
      <c r="J1404" s="9" t="s">
        <v>11</v>
      </c>
      <c r="K1404" s="9" t="s">
        <v>82</v>
      </c>
      <c r="L1404" s="9" t="s">
        <v>171</v>
      </c>
      <c r="M1404" s="9" t="s">
        <v>78</v>
      </c>
      <c r="N1404" s="9" t="s">
        <v>377</v>
      </c>
      <c r="O1404" s="9" t="s">
        <v>388</v>
      </c>
      <c r="P1404" s="9" t="s">
        <v>388</v>
      </c>
      <c r="Q1404" s="11"/>
      <c r="R1404" s="11"/>
      <c r="S1404" s="11">
        <f t="shared" si="183"/>
        <v>0</v>
      </c>
      <c r="T1404" s="9"/>
      <c r="U1404" s="14" t="s">
        <v>77</v>
      </c>
      <c r="V1404" s="9"/>
      <c r="W1404" s="12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>
        <f t="shared" si="186"/>
        <v>0</v>
      </c>
      <c r="AI1404" s="13"/>
      <c r="AJ1404" s="13">
        <f t="shared" si="182"/>
        <v>0</v>
      </c>
      <c r="AK1404" s="9"/>
      <c r="AL1404" s="13"/>
      <c r="AM1404" s="9"/>
      <c r="AN1404" s="9"/>
      <c r="AO1404" s="9"/>
      <c r="AP1404" s="14"/>
    </row>
    <row r="1405" spans="1:42" s="45" customFormat="1" ht="22" customHeight="1">
      <c r="A1405" s="14" t="s">
        <v>19</v>
      </c>
      <c r="B1405" s="8">
        <v>2024</v>
      </c>
      <c r="C1405" s="8" t="s">
        <v>8</v>
      </c>
      <c r="D1405" s="9" t="s">
        <v>185</v>
      </c>
      <c r="E1405" s="9" t="s">
        <v>15</v>
      </c>
      <c r="F1405" s="9" t="s">
        <v>186</v>
      </c>
      <c r="G1405" s="8"/>
      <c r="H1405" s="8"/>
      <c r="I1405" s="9" t="s">
        <v>78</v>
      </c>
      <c r="J1405" s="9" t="s">
        <v>11</v>
      </c>
      <c r="K1405" s="9" t="s">
        <v>82</v>
      </c>
      <c r="L1405" s="9" t="s">
        <v>171</v>
      </c>
      <c r="M1405" s="9" t="s">
        <v>78</v>
      </c>
      <c r="N1405" s="9" t="s">
        <v>377</v>
      </c>
      <c r="O1405" s="9" t="s">
        <v>388</v>
      </c>
      <c r="P1405" s="9" t="s">
        <v>392</v>
      </c>
      <c r="Q1405" s="11">
        <v>154</v>
      </c>
      <c r="R1405" s="11">
        <v>110</v>
      </c>
      <c r="S1405" s="11">
        <f t="shared" si="183"/>
        <v>264</v>
      </c>
      <c r="T1405" s="9"/>
      <c r="U1405" s="14" t="s">
        <v>77</v>
      </c>
      <c r="V1405" s="9"/>
      <c r="W1405" s="12">
        <v>30</v>
      </c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>
        <f t="shared" si="186"/>
        <v>0.39600000000000002</v>
      </c>
      <c r="AI1405" s="13"/>
      <c r="AJ1405" s="13">
        <f t="shared" si="182"/>
        <v>0.39600000000000002</v>
      </c>
      <c r="AK1405" s="9"/>
      <c r="AL1405" s="13"/>
      <c r="AM1405" s="9"/>
      <c r="AN1405" s="9"/>
      <c r="AO1405" s="9"/>
      <c r="AP1405" s="14"/>
    </row>
    <row r="1406" spans="1:42" s="45" customFormat="1" ht="22" customHeight="1">
      <c r="A1406" s="14" t="s">
        <v>19</v>
      </c>
      <c r="B1406" s="8">
        <v>2024</v>
      </c>
      <c r="C1406" s="8" t="s">
        <v>8</v>
      </c>
      <c r="D1406" s="9" t="s">
        <v>185</v>
      </c>
      <c r="E1406" s="9" t="s">
        <v>10</v>
      </c>
      <c r="F1406" s="9" t="s">
        <v>186</v>
      </c>
      <c r="G1406" s="8"/>
      <c r="H1406" s="8"/>
      <c r="I1406" s="9" t="s">
        <v>14</v>
      </c>
      <c r="J1406" s="14" t="s">
        <v>14</v>
      </c>
      <c r="K1406" s="10" t="s">
        <v>14</v>
      </c>
      <c r="L1406" s="9" t="s">
        <v>209</v>
      </c>
      <c r="M1406" s="9" t="s">
        <v>99</v>
      </c>
      <c r="N1406" s="9" t="s">
        <v>377</v>
      </c>
      <c r="O1406" s="9" t="s">
        <v>393</v>
      </c>
      <c r="P1406" s="9" t="s">
        <v>394</v>
      </c>
      <c r="Q1406" s="41"/>
      <c r="R1406" s="41">
        <v>535</v>
      </c>
      <c r="S1406" s="11">
        <f t="shared" ref="S1406:S1415" si="187">R1406</f>
        <v>535</v>
      </c>
      <c r="T1406" s="9"/>
      <c r="U1406" s="14" t="s">
        <v>77</v>
      </c>
      <c r="V1406" s="9"/>
      <c r="W1406" s="12">
        <v>30</v>
      </c>
      <c r="X1406" s="13"/>
      <c r="Y1406" s="13"/>
      <c r="Z1406" s="13"/>
      <c r="AA1406" s="13"/>
      <c r="AB1406" s="13"/>
      <c r="AC1406" s="13">
        <f t="shared" ref="AC1406:AC1414" si="188">+S1406*W1406*20/1000000</f>
        <v>0.32100000000000001</v>
      </c>
      <c r="AD1406" s="34"/>
      <c r="AE1406" s="13"/>
      <c r="AF1406" s="13">
        <f t="shared" ref="AF1406:AF1414" si="189">+S1406*W1406*200/1000000</f>
        <v>3.21</v>
      </c>
      <c r="AG1406" s="13"/>
      <c r="AH1406" s="34"/>
      <c r="AI1406" s="13"/>
      <c r="AJ1406" s="13">
        <f t="shared" si="182"/>
        <v>3.5310000000000001</v>
      </c>
      <c r="AK1406" s="9"/>
      <c r="AL1406" s="13"/>
      <c r="AM1406" s="9"/>
      <c r="AN1406" s="9"/>
      <c r="AO1406" s="9"/>
      <c r="AP1406" s="14"/>
    </row>
    <row r="1407" spans="1:42" s="45" customFormat="1" ht="22" customHeight="1">
      <c r="A1407" s="14" t="s">
        <v>19</v>
      </c>
      <c r="B1407" s="8">
        <v>2024</v>
      </c>
      <c r="C1407" s="8" t="s">
        <v>8</v>
      </c>
      <c r="D1407" s="9" t="s">
        <v>185</v>
      </c>
      <c r="E1407" s="9" t="s">
        <v>10</v>
      </c>
      <c r="F1407" s="9" t="s">
        <v>186</v>
      </c>
      <c r="G1407" s="8"/>
      <c r="H1407" s="8"/>
      <c r="I1407" s="9" t="s">
        <v>14</v>
      </c>
      <c r="J1407" s="14" t="s">
        <v>14</v>
      </c>
      <c r="K1407" s="10" t="s">
        <v>14</v>
      </c>
      <c r="L1407" s="9" t="s">
        <v>209</v>
      </c>
      <c r="M1407" s="9" t="s">
        <v>99</v>
      </c>
      <c r="N1407" s="9" t="s">
        <v>377</v>
      </c>
      <c r="O1407" s="9" t="s">
        <v>393</v>
      </c>
      <c r="P1407" s="9" t="s">
        <v>395</v>
      </c>
      <c r="Q1407" s="41"/>
      <c r="R1407" s="41">
        <v>270</v>
      </c>
      <c r="S1407" s="11">
        <f t="shared" si="187"/>
        <v>270</v>
      </c>
      <c r="T1407" s="9"/>
      <c r="U1407" s="14" t="s">
        <v>77</v>
      </c>
      <c r="V1407" s="9"/>
      <c r="W1407" s="12">
        <v>30</v>
      </c>
      <c r="X1407" s="13"/>
      <c r="Y1407" s="13"/>
      <c r="Z1407" s="13"/>
      <c r="AA1407" s="13"/>
      <c r="AB1407" s="13"/>
      <c r="AC1407" s="13">
        <f t="shared" si="188"/>
        <v>0.16200000000000001</v>
      </c>
      <c r="AD1407" s="34"/>
      <c r="AE1407" s="13"/>
      <c r="AF1407" s="13">
        <f t="shared" si="189"/>
        <v>1.62</v>
      </c>
      <c r="AG1407" s="13"/>
      <c r="AH1407" s="34"/>
      <c r="AI1407" s="13"/>
      <c r="AJ1407" s="13">
        <f t="shared" si="182"/>
        <v>1.782</v>
      </c>
      <c r="AK1407" s="9"/>
      <c r="AL1407" s="13"/>
      <c r="AM1407" s="9"/>
      <c r="AN1407" s="9"/>
      <c r="AO1407" s="9"/>
      <c r="AP1407" s="14"/>
    </row>
    <row r="1408" spans="1:42" s="45" customFormat="1" ht="22" customHeight="1">
      <c r="A1408" s="14" t="s">
        <v>19</v>
      </c>
      <c r="B1408" s="8">
        <v>2024</v>
      </c>
      <c r="C1408" s="8" t="s">
        <v>8</v>
      </c>
      <c r="D1408" s="9" t="s">
        <v>185</v>
      </c>
      <c r="E1408" s="9" t="s">
        <v>10</v>
      </c>
      <c r="F1408" s="9" t="s">
        <v>186</v>
      </c>
      <c r="G1408" s="8"/>
      <c r="H1408" s="8"/>
      <c r="I1408" s="9" t="s">
        <v>14</v>
      </c>
      <c r="J1408" s="14" t="s">
        <v>14</v>
      </c>
      <c r="K1408" s="10" t="s">
        <v>14</v>
      </c>
      <c r="L1408" s="9" t="s">
        <v>209</v>
      </c>
      <c r="M1408" s="9" t="s">
        <v>99</v>
      </c>
      <c r="N1408" s="9" t="s">
        <v>377</v>
      </c>
      <c r="O1408" s="9" t="s">
        <v>393</v>
      </c>
      <c r="P1408" s="9" t="s">
        <v>396</v>
      </c>
      <c r="Q1408" s="41"/>
      <c r="R1408" s="41">
        <v>300</v>
      </c>
      <c r="S1408" s="11">
        <f t="shared" si="187"/>
        <v>300</v>
      </c>
      <c r="T1408" s="9"/>
      <c r="U1408" s="14" t="s">
        <v>77</v>
      </c>
      <c r="V1408" s="9"/>
      <c r="W1408" s="12">
        <v>30</v>
      </c>
      <c r="X1408" s="13"/>
      <c r="Y1408" s="13"/>
      <c r="Z1408" s="13"/>
      <c r="AA1408" s="13"/>
      <c r="AB1408" s="13"/>
      <c r="AC1408" s="13">
        <f t="shared" si="188"/>
        <v>0.18</v>
      </c>
      <c r="AD1408" s="34"/>
      <c r="AE1408" s="13"/>
      <c r="AF1408" s="13">
        <f t="shared" si="189"/>
        <v>1.8</v>
      </c>
      <c r="AG1408" s="13"/>
      <c r="AH1408" s="34"/>
      <c r="AI1408" s="13"/>
      <c r="AJ1408" s="13">
        <f t="shared" si="182"/>
        <v>1.98</v>
      </c>
      <c r="AK1408" s="9"/>
      <c r="AL1408" s="13"/>
      <c r="AM1408" s="9"/>
      <c r="AN1408" s="9"/>
      <c r="AO1408" s="9"/>
      <c r="AP1408" s="14"/>
    </row>
    <row r="1409" spans="1:42" s="45" customFormat="1" ht="22" customHeight="1">
      <c r="A1409" s="14" t="s">
        <v>19</v>
      </c>
      <c r="B1409" s="8">
        <v>2024</v>
      </c>
      <c r="C1409" s="8" t="s">
        <v>8</v>
      </c>
      <c r="D1409" s="9" t="s">
        <v>185</v>
      </c>
      <c r="E1409" s="9" t="s">
        <v>10</v>
      </c>
      <c r="F1409" s="9" t="s">
        <v>186</v>
      </c>
      <c r="G1409" s="8"/>
      <c r="H1409" s="8"/>
      <c r="I1409" s="9" t="s">
        <v>14</v>
      </c>
      <c r="J1409" s="14" t="s">
        <v>14</v>
      </c>
      <c r="K1409" s="10" t="s">
        <v>14</v>
      </c>
      <c r="L1409" s="9" t="s">
        <v>209</v>
      </c>
      <c r="M1409" s="9" t="s">
        <v>99</v>
      </c>
      <c r="N1409" s="9" t="s">
        <v>377</v>
      </c>
      <c r="O1409" s="9" t="s">
        <v>393</v>
      </c>
      <c r="P1409" s="9" t="s">
        <v>397</v>
      </c>
      <c r="Q1409" s="41"/>
      <c r="R1409" s="41">
        <v>385</v>
      </c>
      <c r="S1409" s="11">
        <f t="shared" si="187"/>
        <v>385</v>
      </c>
      <c r="T1409" s="9"/>
      <c r="U1409" s="14" t="s">
        <v>77</v>
      </c>
      <c r="V1409" s="9"/>
      <c r="W1409" s="12">
        <v>30</v>
      </c>
      <c r="X1409" s="13"/>
      <c r="Y1409" s="13"/>
      <c r="Z1409" s="13"/>
      <c r="AA1409" s="13"/>
      <c r="AB1409" s="13"/>
      <c r="AC1409" s="13">
        <f t="shared" si="188"/>
        <v>0.23100000000000001</v>
      </c>
      <c r="AD1409" s="34"/>
      <c r="AE1409" s="13"/>
      <c r="AF1409" s="13">
        <f t="shared" si="189"/>
        <v>2.31</v>
      </c>
      <c r="AG1409" s="13"/>
      <c r="AH1409" s="34"/>
      <c r="AI1409" s="13"/>
      <c r="AJ1409" s="13">
        <f t="shared" si="182"/>
        <v>2.5409999999999999</v>
      </c>
      <c r="AK1409" s="9"/>
      <c r="AL1409" s="13"/>
      <c r="AM1409" s="9"/>
      <c r="AN1409" s="9"/>
      <c r="AO1409" s="9"/>
      <c r="AP1409" s="14"/>
    </row>
    <row r="1410" spans="1:42" s="45" customFormat="1" ht="22" customHeight="1">
      <c r="A1410" s="14" t="s">
        <v>19</v>
      </c>
      <c r="B1410" s="8">
        <v>2024</v>
      </c>
      <c r="C1410" s="8" t="s">
        <v>8</v>
      </c>
      <c r="D1410" s="9" t="s">
        <v>185</v>
      </c>
      <c r="E1410" s="9" t="s">
        <v>10</v>
      </c>
      <c r="F1410" s="9" t="s">
        <v>186</v>
      </c>
      <c r="G1410" s="8"/>
      <c r="H1410" s="8"/>
      <c r="I1410" s="9" t="s">
        <v>14</v>
      </c>
      <c r="J1410" s="14" t="s">
        <v>14</v>
      </c>
      <c r="K1410" s="10" t="s">
        <v>14</v>
      </c>
      <c r="L1410" s="9" t="s">
        <v>209</v>
      </c>
      <c r="M1410" s="9" t="s">
        <v>99</v>
      </c>
      <c r="N1410" s="9" t="s">
        <v>377</v>
      </c>
      <c r="O1410" s="9" t="s">
        <v>393</v>
      </c>
      <c r="P1410" s="9" t="s">
        <v>398</v>
      </c>
      <c r="Q1410" s="41"/>
      <c r="R1410" s="41">
        <v>150</v>
      </c>
      <c r="S1410" s="11">
        <f t="shared" si="187"/>
        <v>150</v>
      </c>
      <c r="T1410" s="9"/>
      <c r="U1410" s="14" t="s">
        <v>77</v>
      </c>
      <c r="V1410" s="9"/>
      <c r="W1410" s="12">
        <v>30</v>
      </c>
      <c r="X1410" s="13"/>
      <c r="Y1410" s="13"/>
      <c r="Z1410" s="13"/>
      <c r="AA1410" s="13"/>
      <c r="AB1410" s="13"/>
      <c r="AC1410" s="13">
        <f t="shared" si="188"/>
        <v>0.09</v>
      </c>
      <c r="AD1410" s="34"/>
      <c r="AE1410" s="13"/>
      <c r="AF1410" s="13">
        <f t="shared" si="189"/>
        <v>0.9</v>
      </c>
      <c r="AG1410" s="13"/>
      <c r="AH1410" s="34"/>
      <c r="AI1410" s="13"/>
      <c r="AJ1410" s="13">
        <f t="shared" si="182"/>
        <v>0.99</v>
      </c>
      <c r="AK1410" s="9"/>
      <c r="AL1410" s="13"/>
      <c r="AM1410" s="9"/>
      <c r="AN1410" s="9"/>
      <c r="AO1410" s="9"/>
      <c r="AP1410" s="14"/>
    </row>
    <row r="1411" spans="1:42" s="45" customFormat="1" ht="22" customHeight="1">
      <c r="A1411" s="14" t="s">
        <v>19</v>
      </c>
      <c r="B1411" s="8">
        <v>2024</v>
      </c>
      <c r="C1411" s="8" t="s">
        <v>8</v>
      </c>
      <c r="D1411" s="9" t="s">
        <v>185</v>
      </c>
      <c r="E1411" s="9" t="s">
        <v>10</v>
      </c>
      <c r="F1411" s="9" t="s">
        <v>186</v>
      </c>
      <c r="G1411" s="8"/>
      <c r="H1411" s="8"/>
      <c r="I1411" s="9" t="s">
        <v>14</v>
      </c>
      <c r="J1411" s="14" t="s">
        <v>14</v>
      </c>
      <c r="K1411" s="10" t="s">
        <v>14</v>
      </c>
      <c r="L1411" s="9" t="s">
        <v>209</v>
      </c>
      <c r="M1411" s="9" t="s">
        <v>99</v>
      </c>
      <c r="N1411" s="9" t="s">
        <v>377</v>
      </c>
      <c r="O1411" s="9" t="s">
        <v>399</v>
      </c>
      <c r="P1411" s="9" t="s">
        <v>400</v>
      </c>
      <c r="Q1411" s="41"/>
      <c r="R1411" s="41">
        <v>325</v>
      </c>
      <c r="S1411" s="11">
        <f t="shared" si="187"/>
        <v>325</v>
      </c>
      <c r="T1411" s="9"/>
      <c r="U1411" s="14" t="s">
        <v>77</v>
      </c>
      <c r="V1411" s="9"/>
      <c r="W1411" s="12">
        <v>30</v>
      </c>
      <c r="X1411" s="13"/>
      <c r="Y1411" s="13"/>
      <c r="Z1411" s="13"/>
      <c r="AA1411" s="13"/>
      <c r="AB1411" s="13"/>
      <c r="AC1411" s="13">
        <f t="shared" si="188"/>
        <v>0.19500000000000001</v>
      </c>
      <c r="AD1411" s="34"/>
      <c r="AE1411" s="13"/>
      <c r="AF1411" s="13">
        <f t="shared" si="189"/>
        <v>1.95</v>
      </c>
      <c r="AG1411" s="13"/>
      <c r="AH1411" s="34"/>
      <c r="AI1411" s="13"/>
      <c r="AJ1411" s="13">
        <f t="shared" si="182"/>
        <v>2.145</v>
      </c>
      <c r="AK1411" s="9"/>
      <c r="AL1411" s="13"/>
      <c r="AM1411" s="9"/>
      <c r="AN1411" s="9"/>
      <c r="AO1411" s="9"/>
      <c r="AP1411" s="14"/>
    </row>
    <row r="1412" spans="1:42" s="45" customFormat="1" ht="22" customHeight="1">
      <c r="A1412" s="14" t="s">
        <v>19</v>
      </c>
      <c r="B1412" s="8">
        <v>2024</v>
      </c>
      <c r="C1412" s="8" t="s">
        <v>8</v>
      </c>
      <c r="D1412" s="9" t="s">
        <v>185</v>
      </c>
      <c r="E1412" s="9" t="s">
        <v>10</v>
      </c>
      <c r="F1412" s="9" t="s">
        <v>186</v>
      </c>
      <c r="G1412" s="8"/>
      <c r="H1412" s="8"/>
      <c r="I1412" s="9" t="s">
        <v>14</v>
      </c>
      <c r="J1412" s="14" t="s">
        <v>14</v>
      </c>
      <c r="K1412" s="10" t="s">
        <v>14</v>
      </c>
      <c r="L1412" s="9" t="s">
        <v>209</v>
      </c>
      <c r="M1412" s="9" t="s">
        <v>99</v>
      </c>
      <c r="N1412" s="9" t="s">
        <v>377</v>
      </c>
      <c r="O1412" s="9" t="s">
        <v>399</v>
      </c>
      <c r="P1412" s="9" t="s">
        <v>401</v>
      </c>
      <c r="Q1412" s="41"/>
      <c r="R1412" s="41">
        <v>465</v>
      </c>
      <c r="S1412" s="11">
        <f t="shared" si="187"/>
        <v>465</v>
      </c>
      <c r="T1412" s="9"/>
      <c r="U1412" s="14" t="s">
        <v>77</v>
      </c>
      <c r="V1412" s="9"/>
      <c r="W1412" s="12">
        <v>30</v>
      </c>
      <c r="X1412" s="13"/>
      <c r="Y1412" s="13"/>
      <c r="Z1412" s="13"/>
      <c r="AA1412" s="13"/>
      <c r="AB1412" s="13"/>
      <c r="AC1412" s="13">
        <f t="shared" si="188"/>
        <v>0.27900000000000003</v>
      </c>
      <c r="AD1412" s="34"/>
      <c r="AE1412" s="13"/>
      <c r="AF1412" s="13">
        <f t="shared" si="189"/>
        <v>2.79</v>
      </c>
      <c r="AG1412" s="13"/>
      <c r="AH1412" s="34"/>
      <c r="AI1412" s="13"/>
      <c r="AJ1412" s="13">
        <f t="shared" si="182"/>
        <v>3.069</v>
      </c>
      <c r="AK1412" s="9"/>
      <c r="AL1412" s="13"/>
      <c r="AM1412" s="9"/>
      <c r="AN1412" s="9"/>
      <c r="AO1412" s="9"/>
      <c r="AP1412" s="14"/>
    </row>
    <row r="1413" spans="1:42" s="45" customFormat="1" ht="22" customHeight="1">
      <c r="A1413" s="14" t="s">
        <v>19</v>
      </c>
      <c r="B1413" s="8">
        <v>2024</v>
      </c>
      <c r="C1413" s="8" t="s">
        <v>8</v>
      </c>
      <c r="D1413" s="9" t="s">
        <v>185</v>
      </c>
      <c r="E1413" s="9" t="s">
        <v>10</v>
      </c>
      <c r="F1413" s="9" t="s">
        <v>186</v>
      </c>
      <c r="G1413" s="8"/>
      <c r="H1413" s="8"/>
      <c r="I1413" s="9" t="s">
        <v>14</v>
      </c>
      <c r="J1413" s="14" t="s">
        <v>14</v>
      </c>
      <c r="K1413" s="10" t="s">
        <v>14</v>
      </c>
      <c r="L1413" s="9" t="s">
        <v>209</v>
      </c>
      <c r="M1413" s="9" t="s">
        <v>99</v>
      </c>
      <c r="N1413" s="9" t="s">
        <v>377</v>
      </c>
      <c r="O1413" s="9" t="s">
        <v>399</v>
      </c>
      <c r="P1413" s="9" t="s">
        <v>402</v>
      </c>
      <c r="Q1413" s="41"/>
      <c r="R1413" s="41">
        <v>90</v>
      </c>
      <c r="S1413" s="11">
        <f t="shared" si="187"/>
        <v>90</v>
      </c>
      <c r="T1413" s="9"/>
      <c r="U1413" s="14" t="s">
        <v>77</v>
      </c>
      <c r="V1413" s="9"/>
      <c r="W1413" s="12">
        <v>30</v>
      </c>
      <c r="X1413" s="13"/>
      <c r="Y1413" s="13"/>
      <c r="Z1413" s="13"/>
      <c r="AA1413" s="13"/>
      <c r="AB1413" s="13"/>
      <c r="AC1413" s="13">
        <f t="shared" si="188"/>
        <v>5.3999999999999999E-2</v>
      </c>
      <c r="AD1413" s="34"/>
      <c r="AE1413" s="13"/>
      <c r="AF1413" s="13">
        <f t="shared" si="189"/>
        <v>0.54</v>
      </c>
      <c r="AG1413" s="13"/>
      <c r="AH1413" s="34"/>
      <c r="AI1413" s="13"/>
      <c r="AJ1413" s="13">
        <f t="shared" si="182"/>
        <v>0.59400000000000008</v>
      </c>
      <c r="AK1413" s="9"/>
      <c r="AL1413" s="13"/>
      <c r="AM1413" s="9"/>
      <c r="AN1413" s="9"/>
      <c r="AO1413" s="9"/>
      <c r="AP1413" s="14"/>
    </row>
    <row r="1414" spans="1:42" s="45" customFormat="1" ht="22" customHeight="1">
      <c r="A1414" s="14" t="s">
        <v>19</v>
      </c>
      <c r="B1414" s="8">
        <v>2024</v>
      </c>
      <c r="C1414" s="8" t="s">
        <v>8</v>
      </c>
      <c r="D1414" s="9" t="s">
        <v>185</v>
      </c>
      <c r="E1414" s="9" t="s">
        <v>10</v>
      </c>
      <c r="F1414" s="9" t="s">
        <v>186</v>
      </c>
      <c r="G1414" s="8"/>
      <c r="H1414" s="8"/>
      <c r="I1414" s="9" t="s">
        <v>14</v>
      </c>
      <c r="J1414" s="14" t="s">
        <v>14</v>
      </c>
      <c r="K1414" s="10" t="s">
        <v>14</v>
      </c>
      <c r="L1414" s="9" t="s">
        <v>209</v>
      </c>
      <c r="M1414" s="9" t="s">
        <v>99</v>
      </c>
      <c r="N1414" s="9" t="s">
        <v>377</v>
      </c>
      <c r="O1414" s="9" t="s">
        <v>403</v>
      </c>
      <c r="P1414" s="9" t="s">
        <v>404</v>
      </c>
      <c r="Q1414" s="41"/>
      <c r="R1414" s="41">
        <v>225</v>
      </c>
      <c r="S1414" s="11">
        <f t="shared" si="187"/>
        <v>225</v>
      </c>
      <c r="T1414" s="9"/>
      <c r="U1414" s="14" t="s">
        <v>77</v>
      </c>
      <c r="V1414" s="9"/>
      <c r="W1414" s="12">
        <v>30</v>
      </c>
      <c r="X1414" s="13"/>
      <c r="Y1414" s="13"/>
      <c r="Z1414" s="13"/>
      <c r="AA1414" s="13"/>
      <c r="AB1414" s="13"/>
      <c r="AC1414" s="13">
        <f t="shared" si="188"/>
        <v>0.13500000000000001</v>
      </c>
      <c r="AD1414" s="34"/>
      <c r="AE1414" s="13"/>
      <c r="AF1414" s="13">
        <f t="shared" si="189"/>
        <v>1.35</v>
      </c>
      <c r="AG1414" s="13"/>
      <c r="AH1414" s="34"/>
      <c r="AI1414" s="13"/>
      <c r="AJ1414" s="13">
        <f t="shared" si="182"/>
        <v>1.4850000000000001</v>
      </c>
      <c r="AK1414" s="9"/>
      <c r="AL1414" s="13"/>
      <c r="AM1414" s="9"/>
      <c r="AN1414" s="9"/>
      <c r="AO1414" s="9"/>
      <c r="AP1414" s="14"/>
    </row>
    <row r="1415" spans="1:42" s="45" customFormat="1" ht="22" customHeight="1">
      <c r="A1415" s="14" t="s">
        <v>19</v>
      </c>
      <c r="B1415" s="8">
        <v>2024</v>
      </c>
      <c r="C1415" s="8" t="s">
        <v>8</v>
      </c>
      <c r="D1415" s="9" t="s">
        <v>185</v>
      </c>
      <c r="E1415" s="9" t="s">
        <v>10</v>
      </c>
      <c r="F1415" s="9" t="s">
        <v>186</v>
      </c>
      <c r="G1415" s="8"/>
      <c r="H1415" s="8"/>
      <c r="I1415" s="9" t="s">
        <v>14</v>
      </c>
      <c r="J1415" s="14" t="s">
        <v>14</v>
      </c>
      <c r="K1415" s="10" t="s">
        <v>14</v>
      </c>
      <c r="L1415" s="9" t="s">
        <v>209</v>
      </c>
      <c r="M1415" s="9" t="s">
        <v>99</v>
      </c>
      <c r="N1415" s="9" t="s">
        <v>377</v>
      </c>
      <c r="O1415" s="9" t="s">
        <v>403</v>
      </c>
      <c r="P1415" s="9" t="s">
        <v>405</v>
      </c>
      <c r="Q1415" s="11"/>
      <c r="R1415" s="11">
        <v>135</v>
      </c>
      <c r="S1415" s="11">
        <f t="shared" si="187"/>
        <v>135</v>
      </c>
      <c r="T1415" s="9"/>
      <c r="U1415" s="14" t="s">
        <v>77</v>
      </c>
      <c r="V1415" s="9"/>
      <c r="W1415" s="12">
        <v>30</v>
      </c>
      <c r="X1415" s="13"/>
      <c r="Y1415" s="13"/>
      <c r="Z1415" s="13"/>
      <c r="AA1415" s="13"/>
      <c r="AB1415" s="13"/>
      <c r="AC1415" s="13">
        <f>+S1415*W1415*20/1000000</f>
        <v>8.1000000000000003E-2</v>
      </c>
      <c r="AD1415" s="13"/>
      <c r="AE1415" s="13"/>
      <c r="AF1415" s="13">
        <f>+S1415*W1415*200/1000000</f>
        <v>0.81</v>
      </c>
      <c r="AG1415" s="13"/>
      <c r="AH1415" s="13"/>
      <c r="AI1415" s="13"/>
      <c r="AJ1415" s="13">
        <f t="shared" si="182"/>
        <v>0.89100000000000001</v>
      </c>
      <c r="AK1415" s="9"/>
      <c r="AL1415" s="13"/>
      <c r="AM1415" s="9"/>
      <c r="AN1415" s="9"/>
      <c r="AO1415" s="9"/>
      <c r="AP1415" s="14"/>
    </row>
    <row r="1416" spans="1:42" s="45" customFormat="1" ht="22" customHeight="1">
      <c r="A1416" s="14" t="s">
        <v>19</v>
      </c>
      <c r="B1416" s="8">
        <v>2024</v>
      </c>
      <c r="C1416" s="8" t="s">
        <v>8</v>
      </c>
      <c r="D1416" s="9" t="s">
        <v>185</v>
      </c>
      <c r="E1416" s="9" t="s">
        <v>15</v>
      </c>
      <c r="F1416" s="9" t="s">
        <v>186</v>
      </c>
      <c r="G1416" s="8"/>
      <c r="H1416" s="8"/>
      <c r="I1416" s="9" t="s">
        <v>14</v>
      </c>
      <c r="J1416" s="14" t="s">
        <v>14</v>
      </c>
      <c r="K1416" s="10" t="s">
        <v>14</v>
      </c>
      <c r="L1416" s="9" t="s">
        <v>209</v>
      </c>
      <c r="M1416" s="9" t="s">
        <v>99</v>
      </c>
      <c r="N1416" s="9" t="s">
        <v>377</v>
      </c>
      <c r="O1416" s="9" t="s">
        <v>393</v>
      </c>
      <c r="P1416" s="9" t="s">
        <v>394</v>
      </c>
      <c r="Q1416" s="11">
        <v>685</v>
      </c>
      <c r="R1416" s="11"/>
      <c r="S1416" s="11">
        <f t="shared" ref="S1416:S1425" si="190">Q1416</f>
        <v>685</v>
      </c>
      <c r="T1416" s="9"/>
      <c r="U1416" s="14" t="s">
        <v>77</v>
      </c>
      <c r="V1416" s="9"/>
      <c r="W1416" s="12">
        <v>30</v>
      </c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>
        <f t="shared" ref="AH1416:AH1425" si="191">+S1416*W1416*50/1000000</f>
        <v>1.0275000000000001</v>
      </c>
      <c r="AI1416" s="13"/>
      <c r="AJ1416" s="13">
        <f t="shared" si="182"/>
        <v>1.0275000000000001</v>
      </c>
      <c r="AK1416" s="9"/>
      <c r="AL1416" s="13"/>
      <c r="AM1416" s="9"/>
      <c r="AN1416" s="9"/>
      <c r="AO1416" s="9"/>
      <c r="AP1416" s="14"/>
    </row>
    <row r="1417" spans="1:42" s="45" customFormat="1" ht="22" customHeight="1">
      <c r="A1417" s="14" t="s">
        <v>19</v>
      </c>
      <c r="B1417" s="8">
        <v>2024</v>
      </c>
      <c r="C1417" s="8" t="s">
        <v>8</v>
      </c>
      <c r="D1417" s="9" t="s">
        <v>185</v>
      </c>
      <c r="E1417" s="9" t="s">
        <v>15</v>
      </c>
      <c r="F1417" s="9" t="s">
        <v>186</v>
      </c>
      <c r="G1417" s="8"/>
      <c r="H1417" s="8"/>
      <c r="I1417" s="9" t="s">
        <v>14</v>
      </c>
      <c r="J1417" s="14" t="s">
        <v>14</v>
      </c>
      <c r="K1417" s="10" t="s">
        <v>14</v>
      </c>
      <c r="L1417" s="9" t="s">
        <v>209</v>
      </c>
      <c r="M1417" s="9" t="s">
        <v>99</v>
      </c>
      <c r="N1417" s="9" t="s">
        <v>377</v>
      </c>
      <c r="O1417" s="9" t="s">
        <v>393</v>
      </c>
      <c r="P1417" s="9" t="s">
        <v>395</v>
      </c>
      <c r="Q1417" s="11">
        <v>725</v>
      </c>
      <c r="R1417" s="11"/>
      <c r="S1417" s="11">
        <f t="shared" si="190"/>
        <v>725</v>
      </c>
      <c r="T1417" s="9"/>
      <c r="U1417" s="14" t="s">
        <v>77</v>
      </c>
      <c r="V1417" s="9"/>
      <c r="W1417" s="12">
        <v>30</v>
      </c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>
        <f t="shared" si="191"/>
        <v>1.0874999999999999</v>
      </c>
      <c r="AI1417" s="13"/>
      <c r="AJ1417" s="13">
        <f t="shared" si="182"/>
        <v>1.0874999999999999</v>
      </c>
      <c r="AK1417" s="9"/>
      <c r="AL1417" s="13"/>
      <c r="AM1417" s="9"/>
      <c r="AN1417" s="9"/>
      <c r="AO1417" s="9"/>
      <c r="AP1417" s="14"/>
    </row>
    <row r="1418" spans="1:42" s="45" customFormat="1" ht="22" customHeight="1">
      <c r="A1418" s="14" t="s">
        <v>19</v>
      </c>
      <c r="B1418" s="8">
        <v>2024</v>
      </c>
      <c r="C1418" s="8" t="s">
        <v>8</v>
      </c>
      <c r="D1418" s="9" t="s">
        <v>185</v>
      </c>
      <c r="E1418" s="9" t="s">
        <v>15</v>
      </c>
      <c r="F1418" s="9" t="s">
        <v>186</v>
      </c>
      <c r="G1418" s="8"/>
      <c r="H1418" s="8"/>
      <c r="I1418" s="9" t="s">
        <v>14</v>
      </c>
      <c r="J1418" s="14" t="s">
        <v>14</v>
      </c>
      <c r="K1418" s="10" t="s">
        <v>14</v>
      </c>
      <c r="L1418" s="9" t="s">
        <v>209</v>
      </c>
      <c r="M1418" s="9" t="s">
        <v>99</v>
      </c>
      <c r="N1418" s="9" t="s">
        <v>377</v>
      </c>
      <c r="O1418" s="9" t="s">
        <v>393</v>
      </c>
      <c r="P1418" s="9" t="s">
        <v>396</v>
      </c>
      <c r="Q1418" s="11">
        <v>580</v>
      </c>
      <c r="R1418" s="11"/>
      <c r="S1418" s="11">
        <f t="shared" si="190"/>
        <v>580</v>
      </c>
      <c r="T1418" s="9"/>
      <c r="U1418" s="14" t="s">
        <v>77</v>
      </c>
      <c r="V1418" s="9"/>
      <c r="W1418" s="12">
        <v>30</v>
      </c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>
        <f t="shared" si="191"/>
        <v>0.87</v>
      </c>
      <c r="AI1418" s="13"/>
      <c r="AJ1418" s="13">
        <f t="shared" si="182"/>
        <v>0.87</v>
      </c>
      <c r="AK1418" s="9"/>
      <c r="AL1418" s="13"/>
      <c r="AM1418" s="9"/>
      <c r="AN1418" s="9"/>
      <c r="AO1418" s="9"/>
      <c r="AP1418" s="14"/>
    </row>
    <row r="1419" spans="1:42" s="45" customFormat="1" ht="22" customHeight="1">
      <c r="A1419" s="14" t="s">
        <v>19</v>
      </c>
      <c r="B1419" s="8">
        <v>2024</v>
      </c>
      <c r="C1419" s="8" t="s">
        <v>8</v>
      </c>
      <c r="D1419" s="9" t="s">
        <v>185</v>
      </c>
      <c r="E1419" s="9" t="s">
        <v>15</v>
      </c>
      <c r="F1419" s="9" t="s">
        <v>186</v>
      </c>
      <c r="G1419" s="8"/>
      <c r="H1419" s="8"/>
      <c r="I1419" s="9" t="s">
        <v>14</v>
      </c>
      <c r="J1419" s="14" t="s">
        <v>14</v>
      </c>
      <c r="K1419" s="10" t="s">
        <v>14</v>
      </c>
      <c r="L1419" s="9" t="s">
        <v>209</v>
      </c>
      <c r="M1419" s="9" t="s">
        <v>99</v>
      </c>
      <c r="N1419" s="9" t="s">
        <v>377</v>
      </c>
      <c r="O1419" s="9" t="s">
        <v>393</v>
      </c>
      <c r="P1419" s="9" t="s">
        <v>397</v>
      </c>
      <c r="Q1419" s="11">
        <v>795</v>
      </c>
      <c r="R1419" s="11"/>
      <c r="S1419" s="11">
        <f t="shared" si="190"/>
        <v>795</v>
      </c>
      <c r="T1419" s="9"/>
      <c r="U1419" s="14" t="s">
        <v>77</v>
      </c>
      <c r="V1419" s="9"/>
      <c r="W1419" s="12">
        <v>30</v>
      </c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>
        <f t="shared" si="191"/>
        <v>1.1924999999999999</v>
      </c>
      <c r="AI1419" s="13"/>
      <c r="AJ1419" s="13">
        <f t="shared" si="182"/>
        <v>1.1924999999999999</v>
      </c>
      <c r="AK1419" s="9"/>
      <c r="AL1419" s="13"/>
      <c r="AM1419" s="9"/>
      <c r="AN1419" s="9"/>
      <c r="AO1419" s="9"/>
      <c r="AP1419" s="14"/>
    </row>
    <row r="1420" spans="1:42" s="45" customFormat="1" ht="22" customHeight="1">
      <c r="A1420" s="14" t="s">
        <v>19</v>
      </c>
      <c r="B1420" s="8">
        <v>2024</v>
      </c>
      <c r="C1420" s="8" t="s">
        <v>8</v>
      </c>
      <c r="D1420" s="9" t="s">
        <v>185</v>
      </c>
      <c r="E1420" s="9" t="s">
        <v>15</v>
      </c>
      <c r="F1420" s="9" t="s">
        <v>186</v>
      </c>
      <c r="G1420" s="8"/>
      <c r="H1420" s="8"/>
      <c r="I1420" s="9" t="s">
        <v>14</v>
      </c>
      <c r="J1420" s="14" t="s">
        <v>14</v>
      </c>
      <c r="K1420" s="10" t="s">
        <v>14</v>
      </c>
      <c r="L1420" s="9" t="s">
        <v>209</v>
      </c>
      <c r="M1420" s="9" t="s">
        <v>99</v>
      </c>
      <c r="N1420" s="9" t="s">
        <v>377</v>
      </c>
      <c r="O1420" s="9" t="s">
        <v>393</v>
      </c>
      <c r="P1420" s="9" t="s">
        <v>398</v>
      </c>
      <c r="Q1420" s="11">
        <v>670</v>
      </c>
      <c r="R1420" s="11"/>
      <c r="S1420" s="11">
        <f t="shared" si="190"/>
        <v>670</v>
      </c>
      <c r="T1420" s="9"/>
      <c r="U1420" s="14" t="s">
        <v>77</v>
      </c>
      <c r="V1420" s="9"/>
      <c r="W1420" s="12">
        <v>30</v>
      </c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>
        <f t="shared" si="191"/>
        <v>1.0049999999999999</v>
      </c>
      <c r="AI1420" s="13"/>
      <c r="AJ1420" s="13">
        <f t="shared" si="182"/>
        <v>1.0049999999999999</v>
      </c>
      <c r="AK1420" s="9"/>
      <c r="AL1420" s="13"/>
      <c r="AM1420" s="9"/>
      <c r="AN1420" s="9"/>
      <c r="AO1420" s="9"/>
      <c r="AP1420" s="14"/>
    </row>
    <row r="1421" spans="1:42" s="45" customFormat="1" ht="22" customHeight="1">
      <c r="A1421" s="14" t="s">
        <v>19</v>
      </c>
      <c r="B1421" s="8">
        <v>2024</v>
      </c>
      <c r="C1421" s="8" t="s">
        <v>8</v>
      </c>
      <c r="D1421" s="9" t="s">
        <v>185</v>
      </c>
      <c r="E1421" s="9" t="s">
        <v>15</v>
      </c>
      <c r="F1421" s="9" t="s">
        <v>186</v>
      </c>
      <c r="G1421" s="8"/>
      <c r="H1421" s="8"/>
      <c r="I1421" s="9" t="s">
        <v>14</v>
      </c>
      <c r="J1421" s="14" t="s">
        <v>14</v>
      </c>
      <c r="K1421" s="10" t="s">
        <v>14</v>
      </c>
      <c r="L1421" s="9" t="s">
        <v>209</v>
      </c>
      <c r="M1421" s="9" t="s">
        <v>99</v>
      </c>
      <c r="N1421" s="9" t="s">
        <v>377</v>
      </c>
      <c r="O1421" s="9" t="s">
        <v>399</v>
      </c>
      <c r="P1421" s="9" t="s">
        <v>400</v>
      </c>
      <c r="Q1421" s="11">
        <v>625</v>
      </c>
      <c r="R1421" s="11"/>
      <c r="S1421" s="11">
        <f t="shared" si="190"/>
        <v>625</v>
      </c>
      <c r="T1421" s="9"/>
      <c r="U1421" s="14" t="s">
        <v>77</v>
      </c>
      <c r="V1421" s="9"/>
      <c r="W1421" s="12">
        <v>30</v>
      </c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>
        <f t="shared" si="191"/>
        <v>0.9375</v>
      </c>
      <c r="AI1421" s="13"/>
      <c r="AJ1421" s="13">
        <f t="shared" si="182"/>
        <v>0.9375</v>
      </c>
      <c r="AK1421" s="9"/>
      <c r="AL1421" s="13"/>
      <c r="AM1421" s="9"/>
      <c r="AN1421" s="9"/>
      <c r="AO1421" s="9"/>
      <c r="AP1421" s="14"/>
    </row>
    <row r="1422" spans="1:42" s="45" customFormat="1" ht="22" customHeight="1">
      <c r="A1422" s="14" t="s">
        <v>19</v>
      </c>
      <c r="B1422" s="8">
        <v>2024</v>
      </c>
      <c r="C1422" s="8" t="s">
        <v>8</v>
      </c>
      <c r="D1422" s="9" t="s">
        <v>185</v>
      </c>
      <c r="E1422" s="9" t="s">
        <v>15</v>
      </c>
      <c r="F1422" s="9" t="s">
        <v>186</v>
      </c>
      <c r="G1422" s="8"/>
      <c r="H1422" s="8"/>
      <c r="I1422" s="9" t="s">
        <v>14</v>
      </c>
      <c r="J1422" s="14" t="s">
        <v>14</v>
      </c>
      <c r="K1422" s="10" t="s">
        <v>14</v>
      </c>
      <c r="L1422" s="9" t="s">
        <v>209</v>
      </c>
      <c r="M1422" s="9" t="s">
        <v>99</v>
      </c>
      <c r="N1422" s="9" t="s">
        <v>377</v>
      </c>
      <c r="O1422" s="9" t="s">
        <v>399</v>
      </c>
      <c r="P1422" s="9" t="s">
        <v>401</v>
      </c>
      <c r="Q1422" s="11">
        <v>1100</v>
      </c>
      <c r="R1422" s="11"/>
      <c r="S1422" s="11">
        <f t="shared" si="190"/>
        <v>1100</v>
      </c>
      <c r="T1422" s="9"/>
      <c r="U1422" s="14" t="s">
        <v>77</v>
      </c>
      <c r="V1422" s="9"/>
      <c r="W1422" s="12">
        <v>30</v>
      </c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>
        <f t="shared" si="191"/>
        <v>1.65</v>
      </c>
      <c r="AI1422" s="13"/>
      <c r="AJ1422" s="13">
        <f t="shared" si="182"/>
        <v>1.65</v>
      </c>
      <c r="AK1422" s="9"/>
      <c r="AL1422" s="13"/>
      <c r="AM1422" s="9"/>
      <c r="AN1422" s="9"/>
      <c r="AO1422" s="9"/>
      <c r="AP1422" s="14"/>
    </row>
    <row r="1423" spans="1:42" s="45" customFormat="1" ht="22" customHeight="1">
      <c r="A1423" s="14" t="s">
        <v>19</v>
      </c>
      <c r="B1423" s="8">
        <v>2024</v>
      </c>
      <c r="C1423" s="8" t="s">
        <v>8</v>
      </c>
      <c r="D1423" s="9" t="s">
        <v>185</v>
      </c>
      <c r="E1423" s="9" t="s">
        <v>15</v>
      </c>
      <c r="F1423" s="9" t="s">
        <v>186</v>
      </c>
      <c r="G1423" s="8"/>
      <c r="H1423" s="8"/>
      <c r="I1423" s="9" t="s">
        <v>14</v>
      </c>
      <c r="J1423" s="14" t="s">
        <v>14</v>
      </c>
      <c r="K1423" s="10" t="s">
        <v>14</v>
      </c>
      <c r="L1423" s="9" t="s">
        <v>209</v>
      </c>
      <c r="M1423" s="9" t="s">
        <v>99</v>
      </c>
      <c r="N1423" s="9" t="s">
        <v>377</v>
      </c>
      <c r="O1423" s="9" t="s">
        <v>399</v>
      </c>
      <c r="P1423" s="9" t="s">
        <v>402</v>
      </c>
      <c r="Q1423" s="11">
        <v>230</v>
      </c>
      <c r="R1423" s="11"/>
      <c r="S1423" s="11">
        <f t="shared" si="190"/>
        <v>230</v>
      </c>
      <c r="T1423" s="9"/>
      <c r="U1423" s="14" t="s">
        <v>77</v>
      </c>
      <c r="V1423" s="9"/>
      <c r="W1423" s="12">
        <v>30</v>
      </c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>
        <f t="shared" si="191"/>
        <v>0.34499999999999997</v>
      </c>
      <c r="AI1423" s="13"/>
      <c r="AJ1423" s="13">
        <f t="shared" si="182"/>
        <v>0.34499999999999997</v>
      </c>
      <c r="AK1423" s="9"/>
      <c r="AL1423" s="13"/>
      <c r="AM1423" s="9"/>
      <c r="AN1423" s="9"/>
      <c r="AO1423" s="9"/>
      <c r="AP1423" s="14"/>
    </row>
    <row r="1424" spans="1:42" s="45" customFormat="1" ht="22" customHeight="1">
      <c r="A1424" s="14" t="s">
        <v>19</v>
      </c>
      <c r="B1424" s="8">
        <v>2024</v>
      </c>
      <c r="C1424" s="8" t="s">
        <v>8</v>
      </c>
      <c r="D1424" s="9" t="s">
        <v>185</v>
      </c>
      <c r="E1424" s="9" t="s">
        <v>15</v>
      </c>
      <c r="F1424" s="9" t="s">
        <v>186</v>
      </c>
      <c r="G1424" s="8"/>
      <c r="H1424" s="8"/>
      <c r="I1424" s="9" t="s">
        <v>14</v>
      </c>
      <c r="J1424" s="14" t="s">
        <v>14</v>
      </c>
      <c r="K1424" s="10" t="s">
        <v>14</v>
      </c>
      <c r="L1424" s="9" t="s">
        <v>209</v>
      </c>
      <c r="M1424" s="9" t="s">
        <v>99</v>
      </c>
      <c r="N1424" s="9" t="s">
        <v>377</v>
      </c>
      <c r="O1424" s="9" t="s">
        <v>403</v>
      </c>
      <c r="P1424" s="9" t="s">
        <v>404</v>
      </c>
      <c r="Q1424" s="11">
        <v>450</v>
      </c>
      <c r="R1424" s="11"/>
      <c r="S1424" s="11">
        <f t="shared" si="190"/>
        <v>450</v>
      </c>
      <c r="T1424" s="9"/>
      <c r="U1424" s="14" t="s">
        <v>77</v>
      </c>
      <c r="V1424" s="9"/>
      <c r="W1424" s="12">
        <v>30</v>
      </c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>
        <f t="shared" si="191"/>
        <v>0.67500000000000004</v>
      </c>
      <c r="AI1424" s="13"/>
      <c r="AJ1424" s="13">
        <f t="shared" si="182"/>
        <v>0.67500000000000004</v>
      </c>
      <c r="AK1424" s="9"/>
      <c r="AL1424" s="13"/>
      <c r="AM1424" s="9"/>
      <c r="AN1424" s="9"/>
      <c r="AO1424" s="9"/>
      <c r="AP1424" s="14"/>
    </row>
    <row r="1425" spans="1:42" s="45" customFormat="1" ht="22" customHeight="1">
      <c r="A1425" s="14" t="s">
        <v>19</v>
      </c>
      <c r="B1425" s="8">
        <v>2024</v>
      </c>
      <c r="C1425" s="8" t="s">
        <v>8</v>
      </c>
      <c r="D1425" s="9" t="s">
        <v>185</v>
      </c>
      <c r="E1425" s="9" t="s">
        <v>15</v>
      </c>
      <c r="F1425" s="9" t="s">
        <v>186</v>
      </c>
      <c r="G1425" s="8"/>
      <c r="H1425" s="8"/>
      <c r="I1425" s="9" t="s">
        <v>14</v>
      </c>
      <c r="J1425" s="14" t="s">
        <v>14</v>
      </c>
      <c r="K1425" s="10" t="s">
        <v>14</v>
      </c>
      <c r="L1425" s="9" t="s">
        <v>209</v>
      </c>
      <c r="M1425" s="9" t="s">
        <v>99</v>
      </c>
      <c r="N1425" s="9" t="s">
        <v>377</v>
      </c>
      <c r="O1425" s="9" t="s">
        <v>403</v>
      </c>
      <c r="P1425" s="9" t="s">
        <v>405</v>
      </c>
      <c r="Q1425" s="11">
        <v>220</v>
      </c>
      <c r="R1425" s="11"/>
      <c r="S1425" s="11">
        <f t="shared" si="190"/>
        <v>220</v>
      </c>
      <c r="T1425" s="9"/>
      <c r="U1425" s="14" t="s">
        <v>77</v>
      </c>
      <c r="V1425" s="9"/>
      <c r="W1425" s="12">
        <v>30</v>
      </c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>
        <f t="shared" si="191"/>
        <v>0.33</v>
      </c>
      <c r="AI1425" s="13"/>
      <c r="AJ1425" s="13">
        <f t="shared" si="182"/>
        <v>0.33</v>
      </c>
      <c r="AK1425" s="9"/>
      <c r="AL1425" s="13"/>
      <c r="AM1425" s="9"/>
      <c r="AN1425" s="9"/>
      <c r="AO1425" s="9"/>
      <c r="AP1425" s="14"/>
    </row>
    <row r="1426" spans="1:42" s="45" customFormat="1" ht="22" customHeight="1">
      <c r="A1426" s="14" t="s">
        <v>19</v>
      </c>
      <c r="B1426" s="8">
        <v>2024</v>
      </c>
      <c r="C1426" s="8" t="s">
        <v>8</v>
      </c>
      <c r="D1426" s="9" t="s">
        <v>185</v>
      </c>
      <c r="E1426" s="9" t="s">
        <v>15</v>
      </c>
      <c r="F1426" s="9" t="s">
        <v>186</v>
      </c>
      <c r="G1426" s="8"/>
      <c r="H1426" s="8"/>
      <c r="I1426" s="9" t="s">
        <v>187</v>
      </c>
      <c r="J1426" s="9" t="s">
        <v>11</v>
      </c>
      <c r="K1426" s="9" t="s">
        <v>82</v>
      </c>
      <c r="L1426" s="9" t="s">
        <v>166</v>
      </c>
      <c r="M1426" s="9" t="s">
        <v>28</v>
      </c>
      <c r="N1426" s="9"/>
      <c r="O1426" s="9" t="s">
        <v>189</v>
      </c>
      <c r="P1426" s="9" t="s">
        <v>190</v>
      </c>
      <c r="Q1426" s="11">
        <v>15</v>
      </c>
      <c r="R1426" s="11"/>
      <c r="S1426" s="11">
        <f t="shared" ref="S1426:S1453" si="192">Q1426+R1426</f>
        <v>15</v>
      </c>
      <c r="T1426" s="9"/>
      <c r="U1426" s="9" t="s">
        <v>191</v>
      </c>
      <c r="V1426" s="9"/>
      <c r="W1426" s="12">
        <v>30</v>
      </c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2">
        <f>+S1426*21000</f>
        <v>315000</v>
      </c>
      <c r="AL1426" s="161">
        <f t="shared" ref="AL1426:AL1453" si="193">AK1426/$AL$4</f>
        <v>69.0919778730199</v>
      </c>
      <c r="AM1426" s="9"/>
      <c r="AN1426" s="9"/>
      <c r="AO1426" s="9"/>
      <c r="AP1426" s="14"/>
    </row>
    <row r="1427" spans="1:42" s="45" customFormat="1" ht="22" customHeight="1">
      <c r="A1427" s="14" t="s">
        <v>19</v>
      </c>
      <c r="B1427" s="8">
        <v>2024</v>
      </c>
      <c r="C1427" s="8" t="s">
        <v>8</v>
      </c>
      <c r="D1427" s="9" t="s">
        <v>185</v>
      </c>
      <c r="E1427" s="9" t="s">
        <v>15</v>
      </c>
      <c r="F1427" s="9" t="s">
        <v>186</v>
      </c>
      <c r="G1427" s="8"/>
      <c r="H1427" s="8"/>
      <c r="I1427" s="9" t="s">
        <v>187</v>
      </c>
      <c r="J1427" s="9" t="s">
        <v>11</v>
      </c>
      <c r="K1427" s="9" t="s">
        <v>82</v>
      </c>
      <c r="L1427" s="9" t="s">
        <v>166</v>
      </c>
      <c r="M1427" s="9" t="s">
        <v>28</v>
      </c>
      <c r="N1427" s="9"/>
      <c r="O1427" s="9" t="s">
        <v>189</v>
      </c>
      <c r="P1427" s="9" t="s">
        <v>192</v>
      </c>
      <c r="Q1427" s="11">
        <v>17</v>
      </c>
      <c r="R1427" s="11"/>
      <c r="S1427" s="11">
        <f t="shared" si="192"/>
        <v>17</v>
      </c>
      <c r="T1427" s="9"/>
      <c r="U1427" s="9" t="s">
        <v>191</v>
      </c>
      <c r="V1427" s="9"/>
      <c r="W1427" s="12">
        <v>30</v>
      </c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2">
        <f t="shared" ref="AK1427:AK1440" si="194">+S1427*21000</f>
        <v>357000</v>
      </c>
      <c r="AL1427" s="161">
        <f t="shared" si="193"/>
        <v>78.30424158942256</v>
      </c>
      <c r="AM1427" s="9"/>
      <c r="AN1427" s="9"/>
      <c r="AO1427" s="9"/>
      <c r="AP1427" s="14"/>
    </row>
    <row r="1428" spans="1:42" s="45" customFormat="1" ht="22" customHeight="1">
      <c r="A1428" s="14" t="s">
        <v>19</v>
      </c>
      <c r="B1428" s="8">
        <v>2024</v>
      </c>
      <c r="C1428" s="8" t="s">
        <v>8</v>
      </c>
      <c r="D1428" s="9" t="s">
        <v>185</v>
      </c>
      <c r="E1428" s="9" t="s">
        <v>15</v>
      </c>
      <c r="F1428" s="9" t="s">
        <v>186</v>
      </c>
      <c r="G1428" s="8"/>
      <c r="H1428" s="8"/>
      <c r="I1428" s="9" t="s">
        <v>187</v>
      </c>
      <c r="J1428" s="9" t="s">
        <v>11</v>
      </c>
      <c r="K1428" s="9" t="s">
        <v>82</v>
      </c>
      <c r="L1428" s="9" t="s">
        <v>166</v>
      </c>
      <c r="M1428" s="9" t="s">
        <v>28</v>
      </c>
      <c r="N1428" s="9"/>
      <c r="O1428" s="9" t="s">
        <v>193</v>
      </c>
      <c r="P1428" s="9" t="s">
        <v>194</v>
      </c>
      <c r="Q1428" s="11">
        <v>37</v>
      </c>
      <c r="R1428" s="11"/>
      <c r="S1428" s="11">
        <f t="shared" si="192"/>
        <v>37</v>
      </c>
      <c r="T1428" s="9"/>
      <c r="U1428" s="9" t="s">
        <v>191</v>
      </c>
      <c r="V1428" s="9"/>
      <c r="W1428" s="12">
        <v>30</v>
      </c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2">
        <f t="shared" si="194"/>
        <v>777000</v>
      </c>
      <c r="AL1428" s="161">
        <f t="shared" si="193"/>
        <v>170.4268787534491</v>
      </c>
      <c r="AM1428" s="9"/>
      <c r="AN1428" s="9"/>
      <c r="AO1428" s="9"/>
      <c r="AP1428" s="14"/>
    </row>
    <row r="1429" spans="1:42" s="45" customFormat="1" ht="22" customHeight="1">
      <c r="A1429" s="14" t="s">
        <v>19</v>
      </c>
      <c r="B1429" s="8">
        <v>2024</v>
      </c>
      <c r="C1429" s="8" t="s">
        <v>8</v>
      </c>
      <c r="D1429" s="9" t="s">
        <v>185</v>
      </c>
      <c r="E1429" s="9" t="s">
        <v>15</v>
      </c>
      <c r="F1429" s="9" t="s">
        <v>186</v>
      </c>
      <c r="G1429" s="8"/>
      <c r="H1429" s="8"/>
      <c r="I1429" s="9" t="s">
        <v>187</v>
      </c>
      <c r="J1429" s="9" t="s">
        <v>11</v>
      </c>
      <c r="K1429" s="9" t="s">
        <v>82</v>
      </c>
      <c r="L1429" s="9" t="s">
        <v>166</v>
      </c>
      <c r="M1429" s="9" t="s">
        <v>28</v>
      </c>
      <c r="N1429" s="9"/>
      <c r="O1429" s="9" t="s">
        <v>193</v>
      </c>
      <c r="P1429" s="9" t="s">
        <v>195</v>
      </c>
      <c r="Q1429" s="11">
        <v>52</v>
      </c>
      <c r="R1429" s="11"/>
      <c r="S1429" s="11">
        <f t="shared" si="192"/>
        <v>52</v>
      </c>
      <c r="T1429" s="9"/>
      <c r="U1429" s="9" t="s">
        <v>191</v>
      </c>
      <c r="V1429" s="9"/>
      <c r="W1429" s="12">
        <v>30</v>
      </c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2">
        <f t="shared" si="194"/>
        <v>1092000</v>
      </c>
      <c r="AL1429" s="161">
        <f t="shared" si="193"/>
        <v>239.51885662646902</v>
      </c>
      <c r="AM1429" s="9"/>
      <c r="AN1429" s="9"/>
      <c r="AO1429" s="9"/>
      <c r="AP1429" s="14"/>
    </row>
    <row r="1430" spans="1:42" s="45" customFormat="1" ht="22" customHeight="1">
      <c r="A1430" s="14" t="s">
        <v>19</v>
      </c>
      <c r="B1430" s="8">
        <v>2024</v>
      </c>
      <c r="C1430" s="8" t="s">
        <v>8</v>
      </c>
      <c r="D1430" s="9" t="s">
        <v>185</v>
      </c>
      <c r="E1430" s="9" t="s">
        <v>15</v>
      </c>
      <c r="F1430" s="9" t="s">
        <v>186</v>
      </c>
      <c r="G1430" s="8"/>
      <c r="H1430" s="8"/>
      <c r="I1430" s="9" t="s">
        <v>187</v>
      </c>
      <c r="J1430" s="9" t="s">
        <v>11</v>
      </c>
      <c r="K1430" s="9" t="s">
        <v>82</v>
      </c>
      <c r="L1430" s="9" t="s">
        <v>166</v>
      </c>
      <c r="M1430" s="9" t="s">
        <v>28</v>
      </c>
      <c r="N1430" s="9"/>
      <c r="O1430" s="9" t="s">
        <v>193</v>
      </c>
      <c r="P1430" s="9" t="s">
        <v>196</v>
      </c>
      <c r="Q1430" s="11">
        <v>3</v>
      </c>
      <c r="R1430" s="11"/>
      <c r="S1430" s="11">
        <f t="shared" si="192"/>
        <v>3</v>
      </c>
      <c r="T1430" s="9"/>
      <c r="U1430" s="9" t="s">
        <v>191</v>
      </c>
      <c r="V1430" s="9"/>
      <c r="W1430" s="12">
        <v>30</v>
      </c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2">
        <f t="shared" si="194"/>
        <v>63000</v>
      </c>
      <c r="AL1430" s="161">
        <f t="shared" si="193"/>
        <v>13.818395574603981</v>
      </c>
      <c r="AM1430" s="9"/>
      <c r="AN1430" s="9"/>
      <c r="AO1430" s="9"/>
      <c r="AP1430" s="14"/>
    </row>
    <row r="1431" spans="1:42" s="45" customFormat="1" ht="22" customHeight="1">
      <c r="A1431" s="14" t="s">
        <v>19</v>
      </c>
      <c r="B1431" s="8">
        <v>2024</v>
      </c>
      <c r="C1431" s="8" t="s">
        <v>8</v>
      </c>
      <c r="D1431" s="9" t="s">
        <v>185</v>
      </c>
      <c r="E1431" s="9" t="s">
        <v>15</v>
      </c>
      <c r="F1431" s="9" t="s">
        <v>186</v>
      </c>
      <c r="G1431" s="8"/>
      <c r="H1431" s="8"/>
      <c r="I1431" s="9" t="s">
        <v>187</v>
      </c>
      <c r="J1431" s="9" t="s">
        <v>11</v>
      </c>
      <c r="K1431" s="9" t="s">
        <v>82</v>
      </c>
      <c r="L1431" s="9" t="s">
        <v>166</v>
      </c>
      <c r="M1431" s="9" t="s">
        <v>28</v>
      </c>
      <c r="N1431" s="9"/>
      <c r="O1431" s="9" t="s">
        <v>193</v>
      </c>
      <c r="P1431" s="9" t="s">
        <v>197</v>
      </c>
      <c r="Q1431" s="11">
        <v>25</v>
      </c>
      <c r="R1431" s="11"/>
      <c r="S1431" s="11">
        <f t="shared" si="192"/>
        <v>25</v>
      </c>
      <c r="T1431" s="9"/>
      <c r="U1431" s="9" t="s">
        <v>191</v>
      </c>
      <c r="V1431" s="9"/>
      <c r="W1431" s="12">
        <v>30</v>
      </c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2">
        <f t="shared" si="194"/>
        <v>525000</v>
      </c>
      <c r="AL1431" s="161">
        <f t="shared" si="193"/>
        <v>115.15329645503317</v>
      </c>
      <c r="AM1431" s="9"/>
      <c r="AN1431" s="9"/>
      <c r="AO1431" s="9"/>
      <c r="AP1431" s="14"/>
    </row>
    <row r="1432" spans="1:42" s="45" customFormat="1" ht="22" customHeight="1">
      <c r="A1432" s="14" t="s">
        <v>19</v>
      </c>
      <c r="B1432" s="8">
        <v>2024</v>
      </c>
      <c r="C1432" s="8" t="s">
        <v>8</v>
      </c>
      <c r="D1432" s="9" t="s">
        <v>185</v>
      </c>
      <c r="E1432" s="9" t="s">
        <v>15</v>
      </c>
      <c r="F1432" s="9" t="s">
        <v>186</v>
      </c>
      <c r="G1432" s="8"/>
      <c r="H1432" s="8"/>
      <c r="I1432" s="9" t="s">
        <v>187</v>
      </c>
      <c r="J1432" s="9" t="s">
        <v>11</v>
      </c>
      <c r="K1432" s="9" t="s">
        <v>82</v>
      </c>
      <c r="L1432" s="9" t="s">
        <v>166</v>
      </c>
      <c r="M1432" s="9" t="s">
        <v>28</v>
      </c>
      <c r="N1432" s="9"/>
      <c r="O1432" s="9" t="s">
        <v>193</v>
      </c>
      <c r="P1432" s="9" t="s">
        <v>198</v>
      </c>
      <c r="Q1432" s="11">
        <v>25</v>
      </c>
      <c r="R1432" s="11"/>
      <c r="S1432" s="11">
        <f t="shared" si="192"/>
        <v>25</v>
      </c>
      <c r="T1432" s="9"/>
      <c r="U1432" s="9" t="s">
        <v>191</v>
      </c>
      <c r="V1432" s="9"/>
      <c r="W1432" s="12">
        <v>30</v>
      </c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2">
        <f t="shared" si="194"/>
        <v>525000</v>
      </c>
      <c r="AL1432" s="161">
        <f t="shared" si="193"/>
        <v>115.15329645503317</v>
      </c>
      <c r="AM1432" s="9"/>
      <c r="AN1432" s="9"/>
      <c r="AO1432" s="9"/>
      <c r="AP1432" s="14"/>
    </row>
    <row r="1433" spans="1:42" s="45" customFormat="1" ht="22" customHeight="1">
      <c r="A1433" s="14" t="s">
        <v>19</v>
      </c>
      <c r="B1433" s="8">
        <v>2024</v>
      </c>
      <c r="C1433" s="8" t="s">
        <v>8</v>
      </c>
      <c r="D1433" s="9" t="s">
        <v>185</v>
      </c>
      <c r="E1433" s="9" t="s">
        <v>15</v>
      </c>
      <c r="F1433" s="9" t="s">
        <v>186</v>
      </c>
      <c r="G1433" s="8"/>
      <c r="H1433" s="8"/>
      <c r="I1433" s="9" t="s">
        <v>187</v>
      </c>
      <c r="J1433" s="9" t="s">
        <v>11</v>
      </c>
      <c r="K1433" s="9" t="s">
        <v>82</v>
      </c>
      <c r="L1433" s="9" t="s">
        <v>166</v>
      </c>
      <c r="M1433" s="9" t="s">
        <v>28</v>
      </c>
      <c r="N1433" s="9"/>
      <c r="O1433" s="9" t="s">
        <v>193</v>
      </c>
      <c r="P1433" s="9" t="s">
        <v>199</v>
      </c>
      <c r="Q1433" s="11">
        <v>61</v>
      </c>
      <c r="R1433" s="11"/>
      <c r="S1433" s="11">
        <f t="shared" si="192"/>
        <v>61</v>
      </c>
      <c r="T1433" s="9"/>
      <c r="U1433" s="9" t="s">
        <v>191</v>
      </c>
      <c r="V1433" s="9"/>
      <c r="W1433" s="12">
        <v>30</v>
      </c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2">
        <f t="shared" si="194"/>
        <v>1281000</v>
      </c>
      <c r="AL1433" s="161">
        <f t="shared" si="193"/>
        <v>280.97404335028097</v>
      </c>
      <c r="AM1433" s="9"/>
      <c r="AN1433" s="9"/>
      <c r="AO1433" s="9"/>
      <c r="AP1433" s="14"/>
    </row>
    <row r="1434" spans="1:42" s="45" customFormat="1" ht="22" customHeight="1">
      <c r="A1434" s="14" t="s">
        <v>19</v>
      </c>
      <c r="B1434" s="8">
        <v>2024</v>
      </c>
      <c r="C1434" s="8" t="s">
        <v>8</v>
      </c>
      <c r="D1434" s="9" t="s">
        <v>185</v>
      </c>
      <c r="E1434" s="9" t="s">
        <v>15</v>
      </c>
      <c r="F1434" s="9" t="s">
        <v>186</v>
      </c>
      <c r="G1434" s="8"/>
      <c r="H1434" s="8"/>
      <c r="I1434" s="9" t="s">
        <v>187</v>
      </c>
      <c r="J1434" s="9" t="s">
        <v>11</v>
      </c>
      <c r="K1434" s="9" t="s">
        <v>82</v>
      </c>
      <c r="L1434" s="9" t="s">
        <v>166</v>
      </c>
      <c r="M1434" s="9" t="s">
        <v>28</v>
      </c>
      <c r="N1434" s="9"/>
      <c r="O1434" s="9" t="s">
        <v>193</v>
      </c>
      <c r="P1434" s="9" t="s">
        <v>200</v>
      </c>
      <c r="Q1434" s="11">
        <v>35</v>
      </c>
      <c r="R1434" s="11"/>
      <c r="S1434" s="11">
        <f t="shared" si="192"/>
        <v>35</v>
      </c>
      <c r="T1434" s="9"/>
      <c r="U1434" s="9" t="s">
        <v>191</v>
      </c>
      <c r="V1434" s="9"/>
      <c r="W1434" s="12">
        <v>30</v>
      </c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2">
        <f t="shared" si="194"/>
        <v>735000</v>
      </c>
      <c r="AL1434" s="161">
        <f t="shared" si="193"/>
        <v>161.21461503704646</v>
      </c>
      <c r="AM1434" s="9"/>
      <c r="AN1434" s="9"/>
      <c r="AO1434" s="9"/>
      <c r="AP1434" s="14"/>
    </row>
    <row r="1435" spans="1:42" s="45" customFormat="1" ht="22" customHeight="1">
      <c r="A1435" s="14" t="s">
        <v>19</v>
      </c>
      <c r="B1435" s="8">
        <v>2024</v>
      </c>
      <c r="C1435" s="8" t="s">
        <v>8</v>
      </c>
      <c r="D1435" s="9" t="s">
        <v>185</v>
      </c>
      <c r="E1435" s="9" t="s">
        <v>15</v>
      </c>
      <c r="F1435" s="9" t="s">
        <v>186</v>
      </c>
      <c r="G1435" s="8"/>
      <c r="H1435" s="8"/>
      <c r="I1435" s="9" t="s">
        <v>187</v>
      </c>
      <c r="J1435" s="9" t="s">
        <v>11</v>
      </c>
      <c r="K1435" s="9" t="s">
        <v>82</v>
      </c>
      <c r="L1435" s="9" t="s">
        <v>166</v>
      </c>
      <c r="M1435" s="9" t="s">
        <v>28</v>
      </c>
      <c r="N1435" s="9"/>
      <c r="O1435" s="9" t="s">
        <v>193</v>
      </c>
      <c r="P1435" s="9" t="s">
        <v>201</v>
      </c>
      <c r="Q1435" s="11">
        <v>52</v>
      </c>
      <c r="R1435" s="11"/>
      <c r="S1435" s="11">
        <f t="shared" si="192"/>
        <v>52</v>
      </c>
      <c r="T1435" s="9"/>
      <c r="U1435" s="9" t="s">
        <v>191</v>
      </c>
      <c r="V1435" s="9"/>
      <c r="W1435" s="12">
        <v>30</v>
      </c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2">
        <f t="shared" si="194"/>
        <v>1092000</v>
      </c>
      <c r="AL1435" s="161">
        <f t="shared" si="193"/>
        <v>239.51885662646902</v>
      </c>
      <c r="AM1435" s="9"/>
      <c r="AN1435" s="9"/>
      <c r="AO1435" s="9"/>
      <c r="AP1435" s="14"/>
    </row>
    <row r="1436" spans="1:42" s="45" customFormat="1" ht="22" customHeight="1">
      <c r="A1436" s="14" t="s">
        <v>19</v>
      </c>
      <c r="B1436" s="8">
        <v>2024</v>
      </c>
      <c r="C1436" s="8" t="s">
        <v>8</v>
      </c>
      <c r="D1436" s="9" t="s">
        <v>185</v>
      </c>
      <c r="E1436" s="9" t="s">
        <v>15</v>
      </c>
      <c r="F1436" s="9" t="s">
        <v>186</v>
      </c>
      <c r="G1436" s="8"/>
      <c r="H1436" s="8"/>
      <c r="I1436" s="9" t="s">
        <v>187</v>
      </c>
      <c r="J1436" s="9" t="s">
        <v>11</v>
      </c>
      <c r="K1436" s="9" t="s">
        <v>82</v>
      </c>
      <c r="L1436" s="9" t="s">
        <v>166</v>
      </c>
      <c r="M1436" s="9" t="s">
        <v>28</v>
      </c>
      <c r="N1436" s="9"/>
      <c r="O1436" s="9" t="s">
        <v>193</v>
      </c>
      <c r="P1436" s="9" t="s">
        <v>202</v>
      </c>
      <c r="Q1436" s="11">
        <v>56</v>
      </c>
      <c r="R1436" s="11"/>
      <c r="S1436" s="11">
        <f t="shared" si="192"/>
        <v>56</v>
      </c>
      <c r="T1436" s="9"/>
      <c r="U1436" s="9" t="s">
        <v>191</v>
      </c>
      <c r="V1436" s="9"/>
      <c r="W1436" s="12">
        <v>30</v>
      </c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2">
        <f t="shared" si="194"/>
        <v>1176000</v>
      </c>
      <c r="AL1436" s="161">
        <f t="shared" si="193"/>
        <v>257.94338405927431</v>
      </c>
      <c r="AM1436" s="9"/>
      <c r="AN1436" s="9"/>
      <c r="AO1436" s="9"/>
      <c r="AP1436" s="14"/>
    </row>
    <row r="1437" spans="1:42" s="45" customFormat="1" ht="22" customHeight="1">
      <c r="A1437" s="14" t="s">
        <v>19</v>
      </c>
      <c r="B1437" s="8">
        <v>2024</v>
      </c>
      <c r="C1437" s="8" t="s">
        <v>8</v>
      </c>
      <c r="D1437" s="9" t="s">
        <v>185</v>
      </c>
      <c r="E1437" s="9" t="s">
        <v>15</v>
      </c>
      <c r="F1437" s="9" t="s">
        <v>186</v>
      </c>
      <c r="G1437" s="8"/>
      <c r="H1437" s="8"/>
      <c r="I1437" s="9" t="s">
        <v>187</v>
      </c>
      <c r="J1437" s="9" t="s">
        <v>11</v>
      </c>
      <c r="K1437" s="9" t="s">
        <v>82</v>
      </c>
      <c r="L1437" s="9" t="s">
        <v>166</v>
      </c>
      <c r="M1437" s="9" t="s">
        <v>28</v>
      </c>
      <c r="N1437" s="9"/>
      <c r="O1437" s="9" t="s">
        <v>193</v>
      </c>
      <c r="P1437" s="9" t="s">
        <v>203</v>
      </c>
      <c r="Q1437" s="11">
        <v>33</v>
      </c>
      <c r="R1437" s="11"/>
      <c r="S1437" s="11">
        <f t="shared" si="192"/>
        <v>33</v>
      </c>
      <c r="T1437" s="9"/>
      <c r="U1437" s="9" t="s">
        <v>191</v>
      </c>
      <c r="V1437" s="9"/>
      <c r="W1437" s="12">
        <v>30</v>
      </c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2">
        <f t="shared" si="194"/>
        <v>693000</v>
      </c>
      <c r="AL1437" s="161">
        <f t="shared" si="193"/>
        <v>152.00235132064378</v>
      </c>
      <c r="AM1437" s="9"/>
      <c r="AN1437" s="9"/>
      <c r="AO1437" s="9"/>
      <c r="AP1437" s="14"/>
    </row>
    <row r="1438" spans="1:42" s="45" customFormat="1" ht="22" customHeight="1">
      <c r="A1438" s="14" t="s">
        <v>19</v>
      </c>
      <c r="B1438" s="8">
        <v>2024</v>
      </c>
      <c r="C1438" s="8" t="s">
        <v>8</v>
      </c>
      <c r="D1438" s="9" t="s">
        <v>185</v>
      </c>
      <c r="E1438" s="9" t="s">
        <v>15</v>
      </c>
      <c r="F1438" s="9" t="s">
        <v>186</v>
      </c>
      <c r="G1438" s="8"/>
      <c r="H1438" s="8"/>
      <c r="I1438" s="9" t="s">
        <v>187</v>
      </c>
      <c r="J1438" s="9" t="s">
        <v>11</v>
      </c>
      <c r="K1438" s="9" t="s">
        <v>82</v>
      </c>
      <c r="L1438" s="9" t="s">
        <v>166</v>
      </c>
      <c r="M1438" s="9" t="s">
        <v>28</v>
      </c>
      <c r="N1438" s="9"/>
      <c r="O1438" s="9" t="s">
        <v>193</v>
      </c>
      <c r="P1438" s="9" t="s">
        <v>204</v>
      </c>
      <c r="Q1438" s="11">
        <v>33</v>
      </c>
      <c r="R1438" s="11"/>
      <c r="S1438" s="11">
        <f t="shared" si="192"/>
        <v>33</v>
      </c>
      <c r="T1438" s="9"/>
      <c r="U1438" s="9" t="s">
        <v>191</v>
      </c>
      <c r="V1438" s="9"/>
      <c r="W1438" s="12">
        <v>30</v>
      </c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2">
        <f t="shared" si="194"/>
        <v>693000</v>
      </c>
      <c r="AL1438" s="161">
        <f t="shared" si="193"/>
        <v>152.00235132064378</v>
      </c>
      <c r="AM1438" s="9"/>
      <c r="AN1438" s="9"/>
      <c r="AO1438" s="9"/>
      <c r="AP1438" s="14"/>
    </row>
    <row r="1439" spans="1:42" s="45" customFormat="1" ht="22" customHeight="1">
      <c r="A1439" s="14" t="s">
        <v>19</v>
      </c>
      <c r="B1439" s="8">
        <v>2024</v>
      </c>
      <c r="C1439" s="8" t="s">
        <v>8</v>
      </c>
      <c r="D1439" s="9" t="s">
        <v>185</v>
      </c>
      <c r="E1439" s="9" t="s">
        <v>15</v>
      </c>
      <c r="F1439" s="9" t="s">
        <v>186</v>
      </c>
      <c r="G1439" s="8"/>
      <c r="H1439" s="8"/>
      <c r="I1439" s="9" t="s">
        <v>187</v>
      </c>
      <c r="J1439" s="9" t="s">
        <v>11</v>
      </c>
      <c r="K1439" s="9" t="s">
        <v>82</v>
      </c>
      <c r="L1439" s="9" t="s">
        <v>166</v>
      </c>
      <c r="M1439" s="9" t="s">
        <v>28</v>
      </c>
      <c r="N1439" s="9"/>
      <c r="O1439" s="9" t="s">
        <v>193</v>
      </c>
      <c r="P1439" s="9" t="s">
        <v>205</v>
      </c>
      <c r="Q1439" s="11">
        <v>42</v>
      </c>
      <c r="R1439" s="11"/>
      <c r="S1439" s="11">
        <f t="shared" si="192"/>
        <v>42</v>
      </c>
      <c r="T1439" s="9"/>
      <c r="U1439" s="9" t="s">
        <v>191</v>
      </c>
      <c r="V1439" s="9"/>
      <c r="W1439" s="12">
        <v>30</v>
      </c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2">
        <f t="shared" si="194"/>
        <v>882000</v>
      </c>
      <c r="AL1439" s="161">
        <f t="shared" si="193"/>
        <v>193.45753804445573</v>
      </c>
      <c r="AM1439" s="9"/>
      <c r="AN1439" s="9"/>
      <c r="AO1439" s="9"/>
      <c r="AP1439" s="14"/>
    </row>
    <row r="1440" spans="1:42" s="45" customFormat="1" ht="22" customHeight="1">
      <c r="A1440" s="14" t="s">
        <v>19</v>
      </c>
      <c r="B1440" s="8">
        <v>2024</v>
      </c>
      <c r="C1440" s="8" t="s">
        <v>8</v>
      </c>
      <c r="D1440" s="9" t="s">
        <v>185</v>
      </c>
      <c r="E1440" s="9" t="s">
        <v>10</v>
      </c>
      <c r="F1440" s="9" t="s">
        <v>186</v>
      </c>
      <c r="G1440" s="8"/>
      <c r="H1440" s="8"/>
      <c r="I1440" s="9" t="s">
        <v>187</v>
      </c>
      <c r="J1440" s="9" t="s">
        <v>11</v>
      </c>
      <c r="K1440" s="9" t="s">
        <v>82</v>
      </c>
      <c r="L1440" s="9" t="s">
        <v>188</v>
      </c>
      <c r="M1440" s="9" t="s">
        <v>28</v>
      </c>
      <c r="N1440" s="9" t="s">
        <v>266</v>
      </c>
      <c r="O1440" s="9" t="s">
        <v>189</v>
      </c>
      <c r="P1440" s="9" t="s">
        <v>190</v>
      </c>
      <c r="Q1440" s="11"/>
      <c r="R1440" s="11">
        <v>15</v>
      </c>
      <c r="S1440" s="11">
        <f t="shared" si="192"/>
        <v>15</v>
      </c>
      <c r="T1440" s="9"/>
      <c r="U1440" s="9" t="s">
        <v>191</v>
      </c>
      <c r="V1440" s="9"/>
      <c r="W1440" s="12">
        <v>31</v>
      </c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2">
        <f t="shared" si="194"/>
        <v>315000</v>
      </c>
      <c r="AL1440" s="161">
        <f t="shared" si="193"/>
        <v>69.0919778730199</v>
      </c>
      <c r="AM1440" s="9"/>
      <c r="AN1440" s="9"/>
      <c r="AO1440" s="9"/>
      <c r="AP1440" s="14"/>
    </row>
    <row r="1441" spans="1:42" s="45" customFormat="1" ht="22" customHeight="1">
      <c r="A1441" s="14" t="s">
        <v>19</v>
      </c>
      <c r="B1441" s="8">
        <v>2024</v>
      </c>
      <c r="C1441" s="8" t="s">
        <v>8</v>
      </c>
      <c r="D1441" s="9" t="s">
        <v>185</v>
      </c>
      <c r="E1441" s="9" t="s">
        <v>10</v>
      </c>
      <c r="F1441" s="9" t="s">
        <v>186</v>
      </c>
      <c r="G1441" s="8"/>
      <c r="H1441" s="8"/>
      <c r="I1441" s="9" t="s">
        <v>187</v>
      </c>
      <c r="J1441" s="9" t="s">
        <v>11</v>
      </c>
      <c r="K1441" s="9" t="s">
        <v>82</v>
      </c>
      <c r="L1441" s="9" t="s">
        <v>188</v>
      </c>
      <c r="M1441" s="9" t="s">
        <v>28</v>
      </c>
      <c r="N1441" s="9" t="s">
        <v>266</v>
      </c>
      <c r="O1441" s="9" t="s">
        <v>189</v>
      </c>
      <c r="P1441" s="9" t="s">
        <v>192</v>
      </c>
      <c r="Q1441" s="11"/>
      <c r="R1441" s="11">
        <v>19</v>
      </c>
      <c r="S1441" s="11">
        <f t="shared" si="192"/>
        <v>19</v>
      </c>
      <c r="T1441" s="9"/>
      <c r="U1441" s="9" t="s">
        <v>191</v>
      </c>
      <c r="V1441" s="9"/>
      <c r="W1441" s="12">
        <v>32</v>
      </c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2">
        <f>+S1441*60000</f>
        <v>1140000</v>
      </c>
      <c r="AL1441" s="161">
        <f t="shared" si="193"/>
        <v>250.04715801664346</v>
      </c>
      <c r="AM1441" s="9"/>
      <c r="AN1441" s="9"/>
      <c r="AO1441" s="9"/>
      <c r="AP1441" s="14"/>
    </row>
    <row r="1442" spans="1:42" s="45" customFormat="1" ht="22" customHeight="1">
      <c r="A1442" s="14" t="s">
        <v>19</v>
      </c>
      <c r="B1442" s="8">
        <v>2024</v>
      </c>
      <c r="C1442" s="8" t="s">
        <v>8</v>
      </c>
      <c r="D1442" s="9" t="s">
        <v>185</v>
      </c>
      <c r="E1442" s="9" t="s">
        <v>10</v>
      </c>
      <c r="F1442" s="9" t="s">
        <v>186</v>
      </c>
      <c r="G1442" s="8"/>
      <c r="H1442" s="8"/>
      <c r="I1442" s="9" t="s">
        <v>187</v>
      </c>
      <c r="J1442" s="9" t="s">
        <v>11</v>
      </c>
      <c r="K1442" s="9" t="s">
        <v>82</v>
      </c>
      <c r="L1442" s="9" t="s">
        <v>188</v>
      </c>
      <c r="M1442" s="9" t="s">
        <v>28</v>
      </c>
      <c r="N1442" s="9" t="s">
        <v>266</v>
      </c>
      <c r="O1442" s="9" t="s">
        <v>193</v>
      </c>
      <c r="P1442" s="9" t="s">
        <v>194</v>
      </c>
      <c r="Q1442" s="11"/>
      <c r="R1442" s="11">
        <v>31</v>
      </c>
      <c r="S1442" s="11">
        <f t="shared" si="192"/>
        <v>31</v>
      </c>
      <c r="T1442" s="9"/>
      <c r="U1442" s="9" t="s">
        <v>191</v>
      </c>
      <c r="V1442" s="9"/>
      <c r="W1442" s="12">
        <v>33</v>
      </c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2">
        <f t="shared" ref="AK1442:AK1453" si="195">+S1442*60000</f>
        <v>1860000</v>
      </c>
      <c r="AL1442" s="161">
        <f t="shared" si="193"/>
        <v>407.97167886926042</v>
      </c>
      <c r="AM1442" s="9"/>
      <c r="AN1442" s="9"/>
      <c r="AO1442" s="9"/>
      <c r="AP1442" s="14"/>
    </row>
    <row r="1443" spans="1:42" s="45" customFormat="1" ht="22" customHeight="1">
      <c r="A1443" s="14" t="s">
        <v>19</v>
      </c>
      <c r="B1443" s="8">
        <v>2024</v>
      </c>
      <c r="C1443" s="8" t="s">
        <v>8</v>
      </c>
      <c r="D1443" s="9" t="s">
        <v>185</v>
      </c>
      <c r="E1443" s="9" t="s">
        <v>10</v>
      </c>
      <c r="F1443" s="9" t="s">
        <v>186</v>
      </c>
      <c r="G1443" s="8"/>
      <c r="H1443" s="8"/>
      <c r="I1443" s="9" t="s">
        <v>187</v>
      </c>
      <c r="J1443" s="9" t="s">
        <v>11</v>
      </c>
      <c r="K1443" s="9" t="s">
        <v>82</v>
      </c>
      <c r="L1443" s="9" t="s">
        <v>188</v>
      </c>
      <c r="M1443" s="9" t="s">
        <v>28</v>
      </c>
      <c r="N1443" s="9" t="s">
        <v>266</v>
      </c>
      <c r="O1443" s="9" t="s">
        <v>193</v>
      </c>
      <c r="P1443" s="9" t="s">
        <v>195</v>
      </c>
      <c r="Q1443" s="11"/>
      <c r="R1443" s="11">
        <v>18</v>
      </c>
      <c r="S1443" s="11">
        <f t="shared" si="192"/>
        <v>18</v>
      </c>
      <c r="T1443" s="9"/>
      <c r="U1443" s="9" t="s">
        <v>191</v>
      </c>
      <c r="V1443" s="9"/>
      <c r="W1443" s="12">
        <v>34</v>
      </c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2">
        <f t="shared" si="195"/>
        <v>1080000</v>
      </c>
      <c r="AL1443" s="161">
        <f t="shared" si="193"/>
        <v>236.88678127892538</v>
      </c>
      <c r="AM1443" s="9"/>
      <c r="AN1443" s="9"/>
      <c r="AO1443" s="9"/>
      <c r="AP1443" s="14"/>
    </row>
    <row r="1444" spans="1:42" s="45" customFormat="1" ht="22" customHeight="1">
      <c r="A1444" s="14" t="s">
        <v>19</v>
      </c>
      <c r="B1444" s="8">
        <v>2024</v>
      </c>
      <c r="C1444" s="8" t="s">
        <v>8</v>
      </c>
      <c r="D1444" s="9" t="s">
        <v>185</v>
      </c>
      <c r="E1444" s="9" t="s">
        <v>10</v>
      </c>
      <c r="F1444" s="9" t="s">
        <v>186</v>
      </c>
      <c r="G1444" s="8"/>
      <c r="H1444" s="8"/>
      <c r="I1444" s="9" t="s">
        <v>187</v>
      </c>
      <c r="J1444" s="9" t="s">
        <v>11</v>
      </c>
      <c r="K1444" s="9" t="s">
        <v>82</v>
      </c>
      <c r="L1444" s="9" t="s">
        <v>188</v>
      </c>
      <c r="M1444" s="9" t="s">
        <v>28</v>
      </c>
      <c r="N1444" s="9" t="s">
        <v>266</v>
      </c>
      <c r="O1444" s="9" t="s">
        <v>193</v>
      </c>
      <c r="P1444" s="9" t="s">
        <v>196</v>
      </c>
      <c r="Q1444" s="11"/>
      <c r="R1444" s="11">
        <v>16</v>
      </c>
      <c r="S1444" s="11">
        <f t="shared" si="192"/>
        <v>16</v>
      </c>
      <c r="T1444" s="9"/>
      <c r="U1444" s="9" t="s">
        <v>191</v>
      </c>
      <c r="V1444" s="9"/>
      <c r="W1444" s="12">
        <v>35</v>
      </c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2">
        <f t="shared" si="195"/>
        <v>960000</v>
      </c>
      <c r="AL1444" s="161">
        <f t="shared" si="193"/>
        <v>210.56602780348925</v>
      </c>
      <c r="AM1444" s="9"/>
      <c r="AN1444" s="9"/>
      <c r="AO1444" s="9"/>
      <c r="AP1444" s="14"/>
    </row>
    <row r="1445" spans="1:42" s="45" customFormat="1" ht="22" customHeight="1">
      <c r="A1445" s="14" t="s">
        <v>19</v>
      </c>
      <c r="B1445" s="8">
        <v>2024</v>
      </c>
      <c r="C1445" s="8" t="s">
        <v>8</v>
      </c>
      <c r="D1445" s="9" t="s">
        <v>185</v>
      </c>
      <c r="E1445" s="9" t="s">
        <v>10</v>
      </c>
      <c r="F1445" s="9" t="s">
        <v>186</v>
      </c>
      <c r="G1445" s="8"/>
      <c r="H1445" s="8"/>
      <c r="I1445" s="9" t="s">
        <v>187</v>
      </c>
      <c r="J1445" s="9" t="s">
        <v>11</v>
      </c>
      <c r="K1445" s="9" t="s">
        <v>82</v>
      </c>
      <c r="L1445" s="9" t="s">
        <v>188</v>
      </c>
      <c r="M1445" s="9" t="s">
        <v>28</v>
      </c>
      <c r="N1445" s="9" t="s">
        <v>266</v>
      </c>
      <c r="O1445" s="9" t="s">
        <v>193</v>
      </c>
      <c r="P1445" s="9" t="s">
        <v>197</v>
      </c>
      <c r="Q1445" s="11"/>
      <c r="R1445" s="11">
        <v>8</v>
      </c>
      <c r="S1445" s="11">
        <f t="shared" si="192"/>
        <v>8</v>
      </c>
      <c r="T1445" s="9"/>
      <c r="U1445" s="9" t="s">
        <v>191</v>
      </c>
      <c r="V1445" s="9"/>
      <c r="W1445" s="12">
        <v>36</v>
      </c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2">
        <f t="shared" si="195"/>
        <v>480000</v>
      </c>
      <c r="AL1445" s="161">
        <f t="shared" si="193"/>
        <v>105.28301390174462</v>
      </c>
      <c r="AM1445" s="9"/>
      <c r="AN1445" s="9"/>
      <c r="AO1445" s="9"/>
      <c r="AP1445" s="14"/>
    </row>
    <row r="1446" spans="1:42" s="45" customFormat="1" ht="22" customHeight="1">
      <c r="A1446" s="14" t="s">
        <v>19</v>
      </c>
      <c r="B1446" s="8">
        <v>2024</v>
      </c>
      <c r="C1446" s="8" t="s">
        <v>8</v>
      </c>
      <c r="D1446" s="9" t="s">
        <v>185</v>
      </c>
      <c r="E1446" s="9" t="s">
        <v>10</v>
      </c>
      <c r="F1446" s="9" t="s">
        <v>186</v>
      </c>
      <c r="G1446" s="8"/>
      <c r="H1446" s="8"/>
      <c r="I1446" s="9" t="s">
        <v>187</v>
      </c>
      <c r="J1446" s="9" t="s">
        <v>11</v>
      </c>
      <c r="K1446" s="9" t="s">
        <v>82</v>
      </c>
      <c r="L1446" s="9" t="s">
        <v>188</v>
      </c>
      <c r="M1446" s="9" t="s">
        <v>28</v>
      </c>
      <c r="N1446" s="9" t="s">
        <v>266</v>
      </c>
      <c r="O1446" s="9" t="s">
        <v>193</v>
      </c>
      <c r="P1446" s="9" t="s">
        <v>198</v>
      </c>
      <c r="Q1446" s="11"/>
      <c r="R1446" s="11">
        <v>13</v>
      </c>
      <c r="S1446" s="11">
        <f t="shared" si="192"/>
        <v>13</v>
      </c>
      <c r="T1446" s="9"/>
      <c r="U1446" s="9" t="s">
        <v>191</v>
      </c>
      <c r="V1446" s="9"/>
      <c r="W1446" s="12">
        <v>37</v>
      </c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2">
        <f t="shared" si="195"/>
        <v>780000</v>
      </c>
      <c r="AL1446" s="161">
        <f t="shared" si="193"/>
        <v>171.084897590335</v>
      </c>
      <c r="AM1446" s="9"/>
      <c r="AN1446" s="9"/>
      <c r="AO1446" s="9"/>
      <c r="AP1446" s="14"/>
    </row>
    <row r="1447" spans="1:42" s="45" customFormat="1" ht="22" customHeight="1">
      <c r="A1447" s="14" t="s">
        <v>19</v>
      </c>
      <c r="B1447" s="8">
        <v>2024</v>
      </c>
      <c r="C1447" s="8" t="s">
        <v>8</v>
      </c>
      <c r="D1447" s="9" t="s">
        <v>185</v>
      </c>
      <c r="E1447" s="9" t="s">
        <v>10</v>
      </c>
      <c r="F1447" s="9" t="s">
        <v>186</v>
      </c>
      <c r="G1447" s="8"/>
      <c r="H1447" s="8"/>
      <c r="I1447" s="9" t="s">
        <v>187</v>
      </c>
      <c r="J1447" s="9" t="s">
        <v>11</v>
      </c>
      <c r="K1447" s="9" t="s">
        <v>82</v>
      </c>
      <c r="L1447" s="9" t="s">
        <v>188</v>
      </c>
      <c r="M1447" s="9" t="s">
        <v>28</v>
      </c>
      <c r="N1447" s="9" t="s">
        <v>266</v>
      </c>
      <c r="O1447" s="9" t="s">
        <v>193</v>
      </c>
      <c r="P1447" s="9" t="s">
        <v>199</v>
      </c>
      <c r="Q1447" s="11"/>
      <c r="R1447" s="11">
        <v>38</v>
      </c>
      <c r="S1447" s="11">
        <f t="shared" si="192"/>
        <v>38</v>
      </c>
      <c r="T1447" s="9"/>
      <c r="U1447" s="9" t="s">
        <v>191</v>
      </c>
      <c r="V1447" s="9"/>
      <c r="W1447" s="12">
        <v>38</v>
      </c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2">
        <f t="shared" si="195"/>
        <v>2280000</v>
      </c>
      <c r="AL1447" s="161">
        <f t="shared" si="193"/>
        <v>500.09431603328693</v>
      </c>
      <c r="AM1447" s="9"/>
      <c r="AN1447" s="9"/>
      <c r="AO1447" s="9"/>
      <c r="AP1447" s="14"/>
    </row>
    <row r="1448" spans="1:42" s="45" customFormat="1" ht="22" customHeight="1">
      <c r="A1448" s="14" t="s">
        <v>19</v>
      </c>
      <c r="B1448" s="8">
        <v>2024</v>
      </c>
      <c r="C1448" s="8" t="s">
        <v>8</v>
      </c>
      <c r="D1448" s="9" t="s">
        <v>185</v>
      </c>
      <c r="E1448" s="9" t="s">
        <v>10</v>
      </c>
      <c r="F1448" s="9" t="s">
        <v>186</v>
      </c>
      <c r="G1448" s="8"/>
      <c r="H1448" s="8"/>
      <c r="I1448" s="9" t="s">
        <v>187</v>
      </c>
      <c r="J1448" s="9" t="s">
        <v>11</v>
      </c>
      <c r="K1448" s="9" t="s">
        <v>82</v>
      </c>
      <c r="L1448" s="9" t="s">
        <v>188</v>
      </c>
      <c r="M1448" s="9" t="s">
        <v>28</v>
      </c>
      <c r="N1448" s="9" t="s">
        <v>266</v>
      </c>
      <c r="O1448" s="9" t="s">
        <v>193</v>
      </c>
      <c r="P1448" s="9" t="s">
        <v>200</v>
      </c>
      <c r="Q1448" s="11"/>
      <c r="R1448" s="11">
        <v>25</v>
      </c>
      <c r="S1448" s="11">
        <f t="shared" si="192"/>
        <v>25</v>
      </c>
      <c r="T1448" s="9"/>
      <c r="U1448" s="9" t="s">
        <v>191</v>
      </c>
      <c r="V1448" s="9"/>
      <c r="W1448" s="12">
        <v>39</v>
      </c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2">
        <f t="shared" si="195"/>
        <v>1500000</v>
      </c>
      <c r="AL1448" s="161">
        <f t="shared" si="193"/>
        <v>329.00941844295193</v>
      </c>
      <c r="AM1448" s="9"/>
      <c r="AN1448" s="9"/>
      <c r="AO1448" s="9"/>
      <c r="AP1448" s="14"/>
    </row>
    <row r="1449" spans="1:42" s="45" customFormat="1" ht="22" customHeight="1">
      <c r="A1449" s="14" t="s">
        <v>19</v>
      </c>
      <c r="B1449" s="8">
        <v>2024</v>
      </c>
      <c r="C1449" s="8" t="s">
        <v>8</v>
      </c>
      <c r="D1449" s="9" t="s">
        <v>185</v>
      </c>
      <c r="E1449" s="9" t="s">
        <v>10</v>
      </c>
      <c r="F1449" s="9" t="s">
        <v>186</v>
      </c>
      <c r="G1449" s="8"/>
      <c r="H1449" s="8"/>
      <c r="I1449" s="9" t="s">
        <v>187</v>
      </c>
      <c r="J1449" s="9" t="s">
        <v>11</v>
      </c>
      <c r="K1449" s="9" t="s">
        <v>82</v>
      </c>
      <c r="L1449" s="9" t="s">
        <v>188</v>
      </c>
      <c r="M1449" s="9" t="s">
        <v>28</v>
      </c>
      <c r="N1449" s="9" t="s">
        <v>266</v>
      </c>
      <c r="O1449" s="9" t="s">
        <v>193</v>
      </c>
      <c r="P1449" s="9" t="s">
        <v>201</v>
      </c>
      <c r="Q1449" s="11"/>
      <c r="R1449" s="11">
        <v>45</v>
      </c>
      <c r="S1449" s="11">
        <f t="shared" si="192"/>
        <v>45</v>
      </c>
      <c r="T1449" s="9"/>
      <c r="U1449" s="9" t="s">
        <v>191</v>
      </c>
      <c r="V1449" s="9"/>
      <c r="W1449" s="12">
        <v>40</v>
      </c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2">
        <f t="shared" si="195"/>
        <v>2700000</v>
      </c>
      <c r="AL1449" s="161">
        <f t="shared" si="193"/>
        <v>592.2169531973135</v>
      </c>
      <c r="AM1449" s="9"/>
      <c r="AN1449" s="9"/>
      <c r="AO1449" s="9"/>
      <c r="AP1449" s="14"/>
    </row>
    <row r="1450" spans="1:42" s="45" customFormat="1" ht="22" customHeight="1">
      <c r="A1450" s="14" t="s">
        <v>19</v>
      </c>
      <c r="B1450" s="8">
        <v>2024</v>
      </c>
      <c r="C1450" s="8" t="s">
        <v>8</v>
      </c>
      <c r="D1450" s="9" t="s">
        <v>185</v>
      </c>
      <c r="E1450" s="9" t="s">
        <v>10</v>
      </c>
      <c r="F1450" s="9" t="s">
        <v>186</v>
      </c>
      <c r="G1450" s="8"/>
      <c r="H1450" s="8"/>
      <c r="I1450" s="9" t="s">
        <v>187</v>
      </c>
      <c r="J1450" s="9" t="s">
        <v>11</v>
      </c>
      <c r="K1450" s="9" t="s">
        <v>82</v>
      </c>
      <c r="L1450" s="9" t="s">
        <v>188</v>
      </c>
      <c r="M1450" s="9" t="s">
        <v>28</v>
      </c>
      <c r="N1450" s="9" t="s">
        <v>266</v>
      </c>
      <c r="O1450" s="9" t="s">
        <v>193</v>
      </c>
      <c r="P1450" s="9" t="s">
        <v>202</v>
      </c>
      <c r="Q1450" s="11"/>
      <c r="R1450" s="11">
        <v>17</v>
      </c>
      <c r="S1450" s="11">
        <f t="shared" si="192"/>
        <v>17</v>
      </c>
      <c r="T1450" s="9"/>
      <c r="U1450" s="9" t="s">
        <v>191</v>
      </c>
      <c r="V1450" s="9"/>
      <c r="W1450" s="12">
        <v>41</v>
      </c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2">
        <f t="shared" si="195"/>
        <v>1020000</v>
      </c>
      <c r="AL1450" s="161">
        <f t="shared" si="193"/>
        <v>223.72640454120733</v>
      </c>
      <c r="AM1450" s="9"/>
      <c r="AN1450" s="9"/>
      <c r="AO1450" s="9"/>
      <c r="AP1450" s="14"/>
    </row>
    <row r="1451" spans="1:42" s="45" customFormat="1" ht="22" customHeight="1">
      <c r="A1451" s="14" t="s">
        <v>19</v>
      </c>
      <c r="B1451" s="8">
        <v>2024</v>
      </c>
      <c r="C1451" s="8" t="s">
        <v>8</v>
      </c>
      <c r="D1451" s="9" t="s">
        <v>185</v>
      </c>
      <c r="E1451" s="9" t="s">
        <v>10</v>
      </c>
      <c r="F1451" s="9" t="s">
        <v>186</v>
      </c>
      <c r="G1451" s="8"/>
      <c r="H1451" s="8"/>
      <c r="I1451" s="9" t="s">
        <v>187</v>
      </c>
      <c r="J1451" s="9" t="s">
        <v>11</v>
      </c>
      <c r="K1451" s="9" t="s">
        <v>82</v>
      </c>
      <c r="L1451" s="9" t="s">
        <v>188</v>
      </c>
      <c r="M1451" s="9" t="s">
        <v>28</v>
      </c>
      <c r="N1451" s="9" t="s">
        <v>266</v>
      </c>
      <c r="O1451" s="9" t="s">
        <v>193</v>
      </c>
      <c r="P1451" s="9" t="s">
        <v>203</v>
      </c>
      <c r="Q1451" s="11"/>
      <c r="R1451" s="11">
        <v>40</v>
      </c>
      <c r="S1451" s="11">
        <f t="shared" si="192"/>
        <v>40</v>
      </c>
      <c r="T1451" s="9"/>
      <c r="U1451" s="9" t="s">
        <v>191</v>
      </c>
      <c r="V1451" s="9"/>
      <c r="W1451" s="12">
        <v>42</v>
      </c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2">
        <f t="shared" si="195"/>
        <v>2400000</v>
      </c>
      <c r="AL1451" s="161">
        <f t="shared" si="193"/>
        <v>526.41506950872315</v>
      </c>
      <c r="AM1451" s="9"/>
      <c r="AN1451" s="9"/>
      <c r="AO1451" s="9"/>
      <c r="AP1451" s="14"/>
    </row>
    <row r="1452" spans="1:42" s="45" customFormat="1" ht="22" customHeight="1">
      <c r="A1452" s="14" t="s">
        <v>19</v>
      </c>
      <c r="B1452" s="8">
        <v>2024</v>
      </c>
      <c r="C1452" s="8" t="s">
        <v>8</v>
      </c>
      <c r="D1452" s="9" t="s">
        <v>185</v>
      </c>
      <c r="E1452" s="9" t="s">
        <v>10</v>
      </c>
      <c r="F1452" s="9" t="s">
        <v>186</v>
      </c>
      <c r="G1452" s="8"/>
      <c r="H1452" s="8"/>
      <c r="I1452" s="9" t="s">
        <v>187</v>
      </c>
      <c r="J1452" s="9" t="s">
        <v>11</v>
      </c>
      <c r="K1452" s="9" t="s">
        <v>82</v>
      </c>
      <c r="L1452" s="9" t="s">
        <v>188</v>
      </c>
      <c r="M1452" s="9" t="s">
        <v>28</v>
      </c>
      <c r="N1452" s="9" t="s">
        <v>266</v>
      </c>
      <c r="O1452" s="9" t="s">
        <v>193</v>
      </c>
      <c r="P1452" s="9" t="s">
        <v>204</v>
      </c>
      <c r="Q1452" s="11"/>
      <c r="R1452" s="11">
        <v>31</v>
      </c>
      <c r="S1452" s="11">
        <f t="shared" si="192"/>
        <v>31</v>
      </c>
      <c r="T1452" s="9"/>
      <c r="U1452" s="9" t="s">
        <v>191</v>
      </c>
      <c r="V1452" s="9"/>
      <c r="W1452" s="12">
        <v>43</v>
      </c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2">
        <f t="shared" si="195"/>
        <v>1860000</v>
      </c>
      <c r="AL1452" s="161">
        <f t="shared" si="193"/>
        <v>407.97167886926042</v>
      </c>
      <c r="AM1452" s="9"/>
      <c r="AN1452" s="9"/>
      <c r="AO1452" s="9"/>
      <c r="AP1452" s="14"/>
    </row>
    <row r="1453" spans="1:42" s="45" customFormat="1" ht="22" customHeight="1">
      <c r="A1453" s="14" t="s">
        <v>19</v>
      </c>
      <c r="B1453" s="8">
        <v>2024</v>
      </c>
      <c r="C1453" s="8" t="s">
        <v>8</v>
      </c>
      <c r="D1453" s="9" t="s">
        <v>185</v>
      </c>
      <c r="E1453" s="9" t="s">
        <v>10</v>
      </c>
      <c r="F1453" s="9" t="s">
        <v>186</v>
      </c>
      <c r="G1453" s="8"/>
      <c r="H1453" s="8"/>
      <c r="I1453" s="9" t="s">
        <v>187</v>
      </c>
      <c r="J1453" s="9" t="s">
        <v>11</v>
      </c>
      <c r="K1453" s="9" t="s">
        <v>82</v>
      </c>
      <c r="L1453" s="9" t="s">
        <v>188</v>
      </c>
      <c r="M1453" s="9" t="s">
        <v>28</v>
      </c>
      <c r="N1453" s="9" t="s">
        <v>266</v>
      </c>
      <c r="O1453" s="9" t="s">
        <v>193</v>
      </c>
      <c r="P1453" s="9" t="s">
        <v>205</v>
      </c>
      <c r="Q1453" s="11"/>
      <c r="R1453" s="11">
        <v>19</v>
      </c>
      <c r="S1453" s="11">
        <f t="shared" si="192"/>
        <v>19</v>
      </c>
      <c r="T1453" s="9"/>
      <c r="U1453" s="9" t="s">
        <v>191</v>
      </c>
      <c r="V1453" s="9"/>
      <c r="W1453" s="12">
        <v>44</v>
      </c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2">
        <f t="shared" si="195"/>
        <v>1140000</v>
      </c>
      <c r="AL1453" s="161">
        <f t="shared" si="193"/>
        <v>250.04715801664346</v>
      </c>
      <c r="AM1453" s="9"/>
      <c r="AN1453" s="9"/>
      <c r="AO1453" s="9"/>
      <c r="AP1453" s="14"/>
    </row>
    <row r="1454" spans="1:42" s="45" customFormat="1" ht="22" customHeight="1">
      <c r="A1454" s="14" t="s">
        <v>17</v>
      </c>
      <c r="B1454" s="8">
        <v>2024</v>
      </c>
      <c r="C1454" s="8" t="s">
        <v>24</v>
      </c>
      <c r="D1454" s="9" t="s">
        <v>185</v>
      </c>
      <c r="E1454" s="9" t="s">
        <v>115</v>
      </c>
      <c r="F1454" s="9" t="s">
        <v>434</v>
      </c>
      <c r="G1454" s="8"/>
      <c r="H1454" s="8"/>
      <c r="I1454" s="9" t="s">
        <v>435</v>
      </c>
      <c r="J1454" s="14" t="s">
        <v>14</v>
      </c>
      <c r="K1454" s="9" t="s">
        <v>435</v>
      </c>
      <c r="L1454" s="9" t="s">
        <v>209</v>
      </c>
      <c r="M1454" s="9" t="s">
        <v>99</v>
      </c>
      <c r="N1454" s="9" t="s">
        <v>436</v>
      </c>
      <c r="O1454" s="9" t="s">
        <v>437</v>
      </c>
      <c r="P1454" s="9" t="s">
        <v>438</v>
      </c>
      <c r="Q1454" s="11">
        <v>84</v>
      </c>
      <c r="R1454" s="11"/>
      <c r="S1454" s="11">
        <f>+Q1454</f>
        <v>84</v>
      </c>
      <c r="T1454" s="9"/>
      <c r="U1454" s="14" t="s">
        <v>77</v>
      </c>
      <c r="V1454" s="9"/>
      <c r="W1454" s="12">
        <v>90</v>
      </c>
      <c r="X1454" s="13"/>
      <c r="Y1454" s="13"/>
      <c r="Z1454" s="13"/>
      <c r="AA1454" s="13"/>
      <c r="AB1454" s="13"/>
      <c r="AC1454" s="13"/>
      <c r="AD1454" s="13"/>
      <c r="AE1454" s="13">
        <v>0.76500000000000001</v>
      </c>
      <c r="AF1454" s="13"/>
      <c r="AG1454" s="13"/>
      <c r="AH1454" s="13"/>
      <c r="AI1454" s="13"/>
      <c r="AJ1454" s="13">
        <f t="shared" ref="AJ1454:AJ1517" si="196">SUBTOTAL(9,X1454:AI1454)</f>
        <v>0.76500000000000001</v>
      </c>
      <c r="AK1454" s="12"/>
      <c r="AL1454" s="13"/>
      <c r="AM1454" s="9"/>
      <c r="AN1454" s="9"/>
      <c r="AO1454" s="9"/>
      <c r="AP1454" s="14"/>
    </row>
    <row r="1455" spans="1:42" s="45" customFormat="1" ht="22" customHeight="1">
      <c r="A1455" s="14" t="s">
        <v>17</v>
      </c>
      <c r="B1455" s="8">
        <v>2024</v>
      </c>
      <c r="C1455" s="8" t="s">
        <v>24</v>
      </c>
      <c r="D1455" s="9" t="s">
        <v>185</v>
      </c>
      <c r="E1455" s="9" t="s">
        <v>115</v>
      </c>
      <c r="F1455" s="9" t="s">
        <v>434</v>
      </c>
      <c r="G1455" s="8"/>
      <c r="H1455" s="8"/>
      <c r="I1455" s="9" t="s">
        <v>435</v>
      </c>
      <c r="J1455" s="14" t="s">
        <v>14</v>
      </c>
      <c r="K1455" s="9" t="s">
        <v>435</v>
      </c>
      <c r="L1455" s="9" t="s">
        <v>209</v>
      </c>
      <c r="M1455" s="9" t="s">
        <v>99</v>
      </c>
      <c r="N1455" s="9" t="s">
        <v>436</v>
      </c>
      <c r="O1455" s="9" t="s">
        <v>437</v>
      </c>
      <c r="P1455" s="9" t="s">
        <v>439</v>
      </c>
      <c r="Q1455" s="11">
        <v>100</v>
      </c>
      <c r="R1455" s="11"/>
      <c r="S1455" s="11">
        <f t="shared" ref="S1455:S1458" si="197">+Q1455</f>
        <v>100</v>
      </c>
      <c r="T1455" s="9"/>
      <c r="U1455" s="14" t="s">
        <v>77</v>
      </c>
      <c r="V1455" s="9"/>
      <c r="W1455" s="12">
        <v>90</v>
      </c>
      <c r="X1455" s="13"/>
      <c r="Y1455" s="13"/>
      <c r="Z1455" s="13"/>
      <c r="AA1455" s="13"/>
      <c r="AB1455" s="13"/>
      <c r="AC1455" s="13"/>
      <c r="AD1455" s="13"/>
      <c r="AE1455" s="13">
        <v>0.9</v>
      </c>
      <c r="AF1455" s="13"/>
      <c r="AG1455" s="13"/>
      <c r="AH1455" s="13"/>
      <c r="AI1455" s="13"/>
      <c r="AJ1455" s="13">
        <f t="shared" si="196"/>
        <v>0.9</v>
      </c>
      <c r="AK1455" s="12"/>
      <c r="AL1455" s="13"/>
      <c r="AM1455" s="9"/>
      <c r="AN1455" s="9"/>
      <c r="AO1455" s="9"/>
      <c r="AP1455" s="14"/>
    </row>
    <row r="1456" spans="1:42" s="45" customFormat="1" ht="22" customHeight="1">
      <c r="A1456" s="14" t="s">
        <v>17</v>
      </c>
      <c r="B1456" s="8">
        <v>2024</v>
      </c>
      <c r="C1456" s="8" t="s">
        <v>24</v>
      </c>
      <c r="D1456" s="9" t="s">
        <v>185</v>
      </c>
      <c r="E1456" s="9" t="s">
        <v>115</v>
      </c>
      <c r="F1456" s="9" t="s">
        <v>434</v>
      </c>
      <c r="G1456" s="8"/>
      <c r="H1456" s="8"/>
      <c r="I1456" s="9" t="s">
        <v>435</v>
      </c>
      <c r="J1456" s="14" t="s">
        <v>14</v>
      </c>
      <c r="K1456" s="9" t="s">
        <v>435</v>
      </c>
      <c r="L1456" s="9" t="s">
        <v>209</v>
      </c>
      <c r="M1456" s="9" t="s">
        <v>99</v>
      </c>
      <c r="N1456" s="9" t="s">
        <v>436</v>
      </c>
      <c r="O1456" s="9" t="s">
        <v>437</v>
      </c>
      <c r="P1456" s="9" t="s">
        <v>440</v>
      </c>
      <c r="Q1456" s="11">
        <v>80</v>
      </c>
      <c r="R1456" s="11"/>
      <c r="S1456" s="11">
        <f t="shared" si="197"/>
        <v>80</v>
      </c>
      <c r="T1456" s="9"/>
      <c r="U1456" s="14" t="s">
        <v>77</v>
      </c>
      <c r="V1456" s="9"/>
      <c r="W1456" s="12">
        <v>90</v>
      </c>
      <c r="X1456" s="13"/>
      <c r="Y1456" s="13"/>
      <c r="Z1456" s="13"/>
      <c r="AA1456" s="13"/>
      <c r="AB1456" s="13"/>
      <c r="AC1456" s="13"/>
      <c r="AD1456" s="13"/>
      <c r="AE1456" s="13">
        <v>0.72</v>
      </c>
      <c r="AF1456" s="13"/>
      <c r="AG1456" s="13"/>
      <c r="AH1456" s="13"/>
      <c r="AI1456" s="13"/>
      <c r="AJ1456" s="13">
        <f t="shared" si="196"/>
        <v>0.72</v>
      </c>
      <c r="AK1456" s="12"/>
      <c r="AL1456" s="13"/>
      <c r="AM1456" s="9"/>
      <c r="AN1456" s="9"/>
      <c r="AO1456" s="9"/>
      <c r="AP1456" s="14"/>
    </row>
    <row r="1457" spans="1:42" s="45" customFormat="1" ht="22" customHeight="1">
      <c r="A1457" s="14" t="s">
        <v>17</v>
      </c>
      <c r="B1457" s="8">
        <v>2024</v>
      </c>
      <c r="C1457" s="8" t="s">
        <v>24</v>
      </c>
      <c r="D1457" s="9" t="s">
        <v>185</v>
      </c>
      <c r="E1457" s="9" t="s">
        <v>115</v>
      </c>
      <c r="F1457" s="9" t="s">
        <v>434</v>
      </c>
      <c r="G1457" s="8"/>
      <c r="H1457" s="8"/>
      <c r="I1457" s="9" t="s">
        <v>435</v>
      </c>
      <c r="J1457" s="14" t="s">
        <v>14</v>
      </c>
      <c r="K1457" s="9" t="s">
        <v>435</v>
      </c>
      <c r="L1457" s="9" t="s">
        <v>209</v>
      </c>
      <c r="M1457" s="9" t="s">
        <v>99</v>
      </c>
      <c r="N1457" s="9" t="s">
        <v>436</v>
      </c>
      <c r="O1457" s="9" t="s">
        <v>437</v>
      </c>
      <c r="P1457" s="9" t="s">
        <v>441</v>
      </c>
      <c r="Q1457" s="11">
        <v>116</v>
      </c>
      <c r="R1457" s="11"/>
      <c r="S1457" s="11">
        <f t="shared" si="197"/>
        <v>116</v>
      </c>
      <c r="T1457" s="9"/>
      <c r="U1457" s="14" t="s">
        <v>77</v>
      </c>
      <c r="V1457" s="9"/>
      <c r="W1457" s="12">
        <v>90</v>
      </c>
      <c r="X1457" s="13"/>
      <c r="Y1457" s="13"/>
      <c r="Z1457" s="13"/>
      <c r="AA1457" s="13"/>
      <c r="AB1457" s="13"/>
      <c r="AC1457" s="13"/>
      <c r="AD1457" s="13"/>
      <c r="AE1457" s="148">
        <v>1.05</v>
      </c>
      <c r="AF1457" s="13"/>
      <c r="AG1457" s="13"/>
      <c r="AH1457" s="13"/>
      <c r="AI1457" s="13"/>
      <c r="AJ1457" s="13">
        <f t="shared" si="196"/>
        <v>1.05</v>
      </c>
      <c r="AK1457" s="12"/>
      <c r="AL1457" s="13"/>
      <c r="AM1457" s="9"/>
      <c r="AN1457" s="9"/>
      <c r="AO1457" s="9"/>
      <c r="AP1457" s="14"/>
    </row>
    <row r="1458" spans="1:42" s="45" customFormat="1" ht="22" customHeight="1">
      <c r="A1458" s="14" t="s">
        <v>17</v>
      </c>
      <c r="B1458" s="8">
        <v>2024</v>
      </c>
      <c r="C1458" s="8" t="s">
        <v>24</v>
      </c>
      <c r="D1458" s="9" t="s">
        <v>185</v>
      </c>
      <c r="E1458" s="9" t="s">
        <v>115</v>
      </c>
      <c r="F1458" s="9" t="s">
        <v>434</v>
      </c>
      <c r="G1458" s="8"/>
      <c r="H1458" s="8"/>
      <c r="I1458" s="9" t="s">
        <v>435</v>
      </c>
      <c r="J1458" s="14" t="s">
        <v>14</v>
      </c>
      <c r="K1458" s="9" t="s">
        <v>435</v>
      </c>
      <c r="L1458" s="9" t="s">
        <v>209</v>
      </c>
      <c r="M1458" s="9" t="s">
        <v>99</v>
      </c>
      <c r="N1458" s="9" t="s">
        <v>436</v>
      </c>
      <c r="O1458" s="9" t="s">
        <v>437</v>
      </c>
      <c r="P1458" s="9" t="s">
        <v>442</v>
      </c>
      <c r="Q1458" s="11">
        <v>98</v>
      </c>
      <c r="R1458" s="11"/>
      <c r="S1458" s="11">
        <f t="shared" si="197"/>
        <v>98</v>
      </c>
      <c r="T1458" s="9"/>
      <c r="U1458" s="14" t="s">
        <v>77</v>
      </c>
      <c r="V1458" s="9"/>
      <c r="W1458" s="12">
        <v>90</v>
      </c>
      <c r="X1458" s="13"/>
      <c r="Y1458" s="13"/>
      <c r="Z1458" s="13"/>
      <c r="AA1458" s="13"/>
      <c r="AB1458" s="13"/>
      <c r="AC1458" s="13"/>
      <c r="AD1458" s="13"/>
      <c r="AE1458" s="13">
        <v>0.9</v>
      </c>
      <c r="AF1458" s="13"/>
      <c r="AG1458" s="13"/>
      <c r="AH1458" s="13"/>
      <c r="AI1458" s="13"/>
      <c r="AJ1458" s="13">
        <f t="shared" si="196"/>
        <v>0.9</v>
      </c>
      <c r="AK1458" s="12"/>
      <c r="AL1458" s="13"/>
      <c r="AM1458" s="9"/>
      <c r="AN1458" s="9"/>
      <c r="AO1458" s="9"/>
      <c r="AP1458" s="14"/>
    </row>
    <row r="1459" spans="1:42" s="45" customFormat="1" ht="22" customHeight="1">
      <c r="A1459" s="14" t="s">
        <v>17</v>
      </c>
      <c r="B1459" s="8">
        <v>2024</v>
      </c>
      <c r="C1459" s="8" t="s">
        <v>24</v>
      </c>
      <c r="D1459" s="9" t="s">
        <v>185</v>
      </c>
      <c r="E1459" s="9" t="s">
        <v>115</v>
      </c>
      <c r="F1459" s="9" t="s">
        <v>434</v>
      </c>
      <c r="G1459" s="8"/>
      <c r="H1459" s="8"/>
      <c r="I1459" s="9" t="s">
        <v>435</v>
      </c>
      <c r="J1459" s="14" t="s">
        <v>14</v>
      </c>
      <c r="K1459" s="9" t="s">
        <v>435</v>
      </c>
      <c r="L1459" s="9" t="s">
        <v>209</v>
      </c>
      <c r="M1459" s="9" t="s">
        <v>99</v>
      </c>
      <c r="N1459" s="9" t="s">
        <v>436</v>
      </c>
      <c r="O1459" s="9" t="s">
        <v>263</v>
      </c>
      <c r="P1459" s="9" t="s">
        <v>263</v>
      </c>
      <c r="Q1459" s="11">
        <v>89</v>
      </c>
      <c r="R1459" s="11"/>
      <c r="S1459" s="11">
        <v>89</v>
      </c>
      <c r="T1459" s="9"/>
      <c r="U1459" s="14" t="s">
        <v>77</v>
      </c>
      <c r="V1459" s="9"/>
      <c r="W1459" s="12">
        <v>90</v>
      </c>
      <c r="X1459" s="13"/>
      <c r="Y1459" s="13"/>
      <c r="Z1459" s="13"/>
      <c r="AA1459" s="13"/>
      <c r="AB1459" s="13"/>
      <c r="AC1459" s="13"/>
      <c r="AD1459" s="13"/>
      <c r="AE1459" s="13">
        <v>0.81</v>
      </c>
      <c r="AF1459" s="13"/>
      <c r="AG1459" s="13"/>
      <c r="AH1459" s="13"/>
      <c r="AI1459" s="13"/>
      <c r="AJ1459" s="13">
        <f t="shared" si="196"/>
        <v>0.81</v>
      </c>
      <c r="AK1459" s="12"/>
      <c r="AL1459" s="13"/>
      <c r="AM1459" s="9"/>
      <c r="AN1459" s="9"/>
      <c r="AO1459" s="9"/>
      <c r="AP1459" s="14"/>
    </row>
    <row r="1460" spans="1:42" s="45" customFormat="1" ht="22" customHeight="1">
      <c r="A1460" s="14" t="s">
        <v>17</v>
      </c>
      <c r="B1460" s="8">
        <v>2024</v>
      </c>
      <c r="C1460" s="8" t="s">
        <v>24</v>
      </c>
      <c r="D1460" s="9" t="s">
        <v>185</v>
      </c>
      <c r="E1460" s="9" t="s">
        <v>115</v>
      </c>
      <c r="F1460" s="9" t="s">
        <v>434</v>
      </c>
      <c r="G1460" s="8"/>
      <c r="H1460" s="8"/>
      <c r="I1460" s="9" t="s">
        <v>435</v>
      </c>
      <c r="J1460" s="14" t="s">
        <v>14</v>
      </c>
      <c r="K1460" s="9" t="s">
        <v>435</v>
      </c>
      <c r="L1460" s="9" t="s">
        <v>209</v>
      </c>
      <c r="M1460" s="9" t="s">
        <v>99</v>
      </c>
      <c r="N1460" s="9" t="s">
        <v>436</v>
      </c>
      <c r="O1460" s="9" t="s">
        <v>263</v>
      </c>
      <c r="P1460" s="9" t="s">
        <v>443</v>
      </c>
      <c r="Q1460" s="11">
        <v>113</v>
      </c>
      <c r="R1460" s="11"/>
      <c r="S1460" s="11">
        <v>113</v>
      </c>
      <c r="T1460" s="9"/>
      <c r="U1460" s="14" t="s">
        <v>77</v>
      </c>
      <c r="V1460" s="9"/>
      <c r="W1460" s="12">
        <v>90</v>
      </c>
      <c r="X1460" s="13"/>
      <c r="Y1460" s="13"/>
      <c r="Z1460" s="13"/>
      <c r="AA1460" s="13"/>
      <c r="AB1460" s="13"/>
      <c r="AC1460" s="13"/>
      <c r="AD1460" s="13"/>
      <c r="AE1460" s="13">
        <v>1.02</v>
      </c>
      <c r="AF1460" s="13"/>
      <c r="AG1460" s="13"/>
      <c r="AH1460" s="13"/>
      <c r="AI1460" s="13"/>
      <c r="AJ1460" s="13">
        <f t="shared" si="196"/>
        <v>1.02</v>
      </c>
      <c r="AK1460" s="12"/>
      <c r="AL1460" s="13"/>
      <c r="AM1460" s="9"/>
      <c r="AN1460" s="9"/>
      <c r="AO1460" s="9"/>
      <c r="AP1460" s="14"/>
    </row>
    <row r="1461" spans="1:42" s="45" customFormat="1" ht="22" customHeight="1">
      <c r="A1461" s="14" t="s">
        <v>17</v>
      </c>
      <c r="B1461" s="8">
        <v>2024</v>
      </c>
      <c r="C1461" s="8" t="s">
        <v>24</v>
      </c>
      <c r="D1461" s="9" t="s">
        <v>185</v>
      </c>
      <c r="E1461" s="9" t="s">
        <v>115</v>
      </c>
      <c r="F1461" s="9" t="s">
        <v>434</v>
      </c>
      <c r="G1461" s="8"/>
      <c r="H1461" s="8"/>
      <c r="I1461" s="9" t="s">
        <v>435</v>
      </c>
      <c r="J1461" s="14" t="s">
        <v>14</v>
      </c>
      <c r="K1461" s="9" t="s">
        <v>435</v>
      </c>
      <c r="L1461" s="9" t="s">
        <v>209</v>
      </c>
      <c r="M1461" s="9" t="s">
        <v>99</v>
      </c>
      <c r="N1461" s="9" t="s">
        <v>436</v>
      </c>
      <c r="O1461" s="9" t="s">
        <v>444</v>
      </c>
      <c r="P1461" s="9" t="s">
        <v>444</v>
      </c>
      <c r="Q1461" s="11">
        <v>101</v>
      </c>
      <c r="R1461" s="11"/>
      <c r="S1461" s="11">
        <v>101</v>
      </c>
      <c r="T1461" s="9"/>
      <c r="U1461" s="14" t="s">
        <v>77</v>
      </c>
      <c r="V1461" s="9"/>
      <c r="W1461" s="12">
        <v>90</v>
      </c>
      <c r="X1461" s="13"/>
      <c r="Y1461" s="13"/>
      <c r="Z1461" s="13"/>
      <c r="AA1461" s="13"/>
      <c r="AB1461" s="13"/>
      <c r="AC1461" s="13"/>
      <c r="AD1461" s="13"/>
      <c r="AE1461" s="13">
        <v>0.91500000000000004</v>
      </c>
      <c r="AF1461" s="13"/>
      <c r="AG1461" s="13"/>
      <c r="AH1461" s="13"/>
      <c r="AI1461" s="13"/>
      <c r="AJ1461" s="13">
        <f t="shared" si="196"/>
        <v>0.91500000000000004</v>
      </c>
      <c r="AK1461" s="12"/>
      <c r="AL1461" s="13"/>
      <c r="AM1461" s="9"/>
      <c r="AN1461" s="9"/>
      <c r="AO1461" s="9"/>
      <c r="AP1461" s="14"/>
    </row>
    <row r="1462" spans="1:42" s="45" customFormat="1" ht="22" customHeight="1">
      <c r="A1462" s="14" t="s">
        <v>17</v>
      </c>
      <c r="B1462" s="8">
        <v>2024</v>
      </c>
      <c r="C1462" s="8" t="s">
        <v>24</v>
      </c>
      <c r="D1462" s="9" t="s">
        <v>185</v>
      </c>
      <c r="E1462" s="9" t="s">
        <v>115</v>
      </c>
      <c r="F1462" s="9" t="s">
        <v>434</v>
      </c>
      <c r="G1462" s="8"/>
      <c r="H1462" s="8"/>
      <c r="I1462" s="9" t="s">
        <v>435</v>
      </c>
      <c r="J1462" s="14" t="s">
        <v>14</v>
      </c>
      <c r="K1462" s="9" t="s">
        <v>435</v>
      </c>
      <c r="L1462" s="9" t="s">
        <v>209</v>
      </c>
      <c r="M1462" s="9" t="s">
        <v>99</v>
      </c>
      <c r="N1462" s="9" t="s">
        <v>436</v>
      </c>
      <c r="O1462" s="9" t="s">
        <v>444</v>
      </c>
      <c r="P1462" s="9" t="s">
        <v>445</v>
      </c>
      <c r="Q1462" s="11">
        <v>52</v>
      </c>
      <c r="R1462" s="11"/>
      <c r="S1462" s="11">
        <v>52</v>
      </c>
      <c r="T1462" s="9"/>
      <c r="U1462" s="14" t="s">
        <v>77</v>
      </c>
      <c r="V1462" s="9"/>
      <c r="W1462" s="12">
        <v>90</v>
      </c>
      <c r="X1462" s="13"/>
      <c r="Y1462" s="13"/>
      <c r="Z1462" s="13"/>
      <c r="AA1462" s="13"/>
      <c r="AB1462" s="13"/>
      <c r="AC1462" s="13"/>
      <c r="AD1462" s="13"/>
      <c r="AE1462" s="13">
        <v>0.48</v>
      </c>
      <c r="AF1462" s="13"/>
      <c r="AG1462" s="13"/>
      <c r="AH1462" s="13"/>
      <c r="AI1462" s="13"/>
      <c r="AJ1462" s="13">
        <f t="shared" si="196"/>
        <v>0.48</v>
      </c>
      <c r="AK1462" s="12"/>
      <c r="AL1462" s="13"/>
      <c r="AM1462" s="9"/>
      <c r="AN1462" s="9"/>
      <c r="AO1462" s="9"/>
      <c r="AP1462" s="14"/>
    </row>
    <row r="1463" spans="1:42" s="45" customFormat="1" ht="22" customHeight="1">
      <c r="A1463" s="14" t="s">
        <v>17</v>
      </c>
      <c r="B1463" s="8">
        <v>2024</v>
      </c>
      <c r="C1463" s="8" t="s">
        <v>24</v>
      </c>
      <c r="D1463" s="9" t="s">
        <v>185</v>
      </c>
      <c r="E1463" s="9" t="s">
        <v>115</v>
      </c>
      <c r="F1463" s="9" t="s">
        <v>434</v>
      </c>
      <c r="G1463" s="8"/>
      <c r="H1463" s="8"/>
      <c r="I1463" s="9" t="s">
        <v>435</v>
      </c>
      <c r="J1463" s="14" t="s">
        <v>14</v>
      </c>
      <c r="K1463" s="9" t="s">
        <v>435</v>
      </c>
      <c r="L1463" s="9" t="s">
        <v>209</v>
      </c>
      <c r="M1463" s="9" t="s">
        <v>99</v>
      </c>
      <c r="N1463" s="9" t="s">
        <v>436</v>
      </c>
      <c r="O1463" s="9" t="s">
        <v>446</v>
      </c>
      <c r="P1463" s="9" t="s">
        <v>446</v>
      </c>
      <c r="Q1463" s="11">
        <v>48</v>
      </c>
      <c r="R1463" s="11"/>
      <c r="S1463" s="11">
        <v>48</v>
      </c>
      <c r="T1463" s="9"/>
      <c r="U1463" s="14" t="s">
        <v>77</v>
      </c>
      <c r="V1463" s="9"/>
      <c r="W1463" s="12">
        <v>90</v>
      </c>
      <c r="X1463" s="13"/>
      <c r="Y1463" s="13"/>
      <c r="Z1463" s="13"/>
      <c r="AA1463" s="13"/>
      <c r="AB1463" s="13"/>
      <c r="AC1463" s="13"/>
      <c r="AD1463" s="13"/>
      <c r="AE1463" s="13">
        <v>0.15</v>
      </c>
      <c r="AF1463" s="13"/>
      <c r="AG1463" s="13"/>
      <c r="AH1463" s="13"/>
      <c r="AI1463" s="13"/>
      <c r="AJ1463" s="13">
        <f t="shared" si="196"/>
        <v>0.15</v>
      </c>
      <c r="AK1463" s="12"/>
      <c r="AL1463" s="13"/>
      <c r="AM1463" s="9"/>
      <c r="AN1463" s="9"/>
      <c r="AO1463" s="9"/>
      <c r="AP1463" s="14"/>
    </row>
    <row r="1464" spans="1:42" s="45" customFormat="1" ht="22" customHeight="1">
      <c r="A1464" s="14" t="s">
        <v>17</v>
      </c>
      <c r="B1464" s="8">
        <v>2024</v>
      </c>
      <c r="C1464" s="8" t="s">
        <v>24</v>
      </c>
      <c r="D1464" s="9" t="s">
        <v>185</v>
      </c>
      <c r="E1464" s="9" t="s">
        <v>115</v>
      </c>
      <c r="F1464" s="9" t="s">
        <v>434</v>
      </c>
      <c r="G1464" s="8"/>
      <c r="H1464" s="8"/>
      <c r="I1464" s="9" t="s">
        <v>435</v>
      </c>
      <c r="J1464" s="14" t="s">
        <v>14</v>
      </c>
      <c r="K1464" s="9" t="s">
        <v>435</v>
      </c>
      <c r="L1464" s="9" t="s">
        <v>209</v>
      </c>
      <c r="M1464" s="9" t="s">
        <v>99</v>
      </c>
      <c r="N1464" s="9" t="s">
        <v>436</v>
      </c>
      <c r="O1464" s="9" t="s">
        <v>254</v>
      </c>
      <c r="P1464" s="9" t="s">
        <v>447</v>
      </c>
      <c r="Q1464" s="11">
        <v>0</v>
      </c>
      <c r="R1464" s="11"/>
      <c r="S1464" s="11">
        <v>12</v>
      </c>
      <c r="T1464" s="9"/>
      <c r="U1464" s="14" t="s">
        <v>77</v>
      </c>
      <c r="V1464" s="9"/>
      <c r="W1464" s="12">
        <v>0</v>
      </c>
      <c r="X1464" s="13"/>
      <c r="Y1464" s="13"/>
      <c r="Z1464" s="13"/>
      <c r="AA1464" s="13"/>
      <c r="AB1464" s="13"/>
      <c r="AC1464" s="13"/>
      <c r="AD1464" s="13"/>
      <c r="AE1464" s="13">
        <v>0</v>
      </c>
      <c r="AF1464" s="13"/>
      <c r="AG1464" s="13"/>
      <c r="AH1464" s="13"/>
      <c r="AI1464" s="13"/>
      <c r="AJ1464" s="13">
        <f t="shared" si="196"/>
        <v>0</v>
      </c>
      <c r="AK1464" s="12"/>
      <c r="AL1464" s="13"/>
      <c r="AM1464" s="9"/>
      <c r="AN1464" s="9"/>
      <c r="AO1464" s="9"/>
      <c r="AP1464" s="14"/>
    </row>
    <row r="1465" spans="1:42" s="45" customFormat="1" ht="22" customHeight="1">
      <c r="A1465" s="14" t="s">
        <v>17</v>
      </c>
      <c r="B1465" s="8">
        <v>2024</v>
      </c>
      <c r="C1465" s="8" t="s">
        <v>24</v>
      </c>
      <c r="D1465" s="9" t="s">
        <v>185</v>
      </c>
      <c r="E1465" s="9" t="s">
        <v>115</v>
      </c>
      <c r="F1465" s="9" t="s">
        <v>434</v>
      </c>
      <c r="G1465" s="8"/>
      <c r="H1465" s="8"/>
      <c r="I1465" s="9" t="s">
        <v>435</v>
      </c>
      <c r="J1465" s="14" t="s">
        <v>14</v>
      </c>
      <c r="K1465" s="9" t="s">
        <v>435</v>
      </c>
      <c r="L1465" s="9" t="s">
        <v>209</v>
      </c>
      <c r="M1465" s="9" t="s">
        <v>99</v>
      </c>
      <c r="N1465" s="9" t="s">
        <v>436</v>
      </c>
      <c r="O1465" s="9" t="s">
        <v>254</v>
      </c>
      <c r="P1465" s="9" t="s">
        <v>448</v>
      </c>
      <c r="Q1465" s="11">
        <v>0</v>
      </c>
      <c r="R1465" s="11"/>
      <c r="S1465" s="11">
        <v>9</v>
      </c>
      <c r="T1465" s="9"/>
      <c r="U1465" s="14" t="s">
        <v>77</v>
      </c>
      <c r="V1465" s="9"/>
      <c r="W1465" s="12">
        <v>0</v>
      </c>
      <c r="X1465" s="13"/>
      <c r="Y1465" s="13"/>
      <c r="Z1465" s="13"/>
      <c r="AA1465" s="13"/>
      <c r="AB1465" s="13"/>
      <c r="AC1465" s="13"/>
      <c r="AD1465" s="13"/>
      <c r="AE1465" s="13">
        <v>0</v>
      </c>
      <c r="AF1465" s="13"/>
      <c r="AG1465" s="13"/>
      <c r="AH1465" s="13"/>
      <c r="AI1465" s="13"/>
      <c r="AJ1465" s="13">
        <f t="shared" si="196"/>
        <v>0</v>
      </c>
      <c r="AK1465" s="12"/>
      <c r="AL1465" s="13"/>
      <c r="AM1465" s="9"/>
      <c r="AN1465" s="9"/>
      <c r="AO1465" s="9"/>
      <c r="AP1465" s="14"/>
    </row>
    <row r="1466" spans="1:42" s="45" customFormat="1" ht="22" customHeight="1">
      <c r="A1466" s="14" t="s">
        <v>17</v>
      </c>
      <c r="B1466" s="8">
        <v>2024</v>
      </c>
      <c r="C1466" s="8" t="s">
        <v>24</v>
      </c>
      <c r="D1466" s="9" t="s">
        <v>185</v>
      </c>
      <c r="E1466" s="9" t="s">
        <v>115</v>
      </c>
      <c r="F1466" s="9" t="s">
        <v>434</v>
      </c>
      <c r="G1466" s="8"/>
      <c r="H1466" s="8"/>
      <c r="I1466" s="9" t="s">
        <v>435</v>
      </c>
      <c r="J1466" s="14" t="s">
        <v>14</v>
      </c>
      <c r="K1466" s="9" t="s">
        <v>435</v>
      </c>
      <c r="L1466" s="9" t="s">
        <v>209</v>
      </c>
      <c r="M1466" s="9" t="s">
        <v>99</v>
      </c>
      <c r="N1466" s="9" t="s">
        <v>436</v>
      </c>
      <c r="O1466" s="9" t="s">
        <v>254</v>
      </c>
      <c r="P1466" s="9" t="s">
        <v>449</v>
      </c>
      <c r="Q1466" s="11">
        <v>0</v>
      </c>
      <c r="R1466" s="11"/>
      <c r="S1466" s="11">
        <v>15</v>
      </c>
      <c r="T1466" s="9"/>
      <c r="U1466" s="14" t="s">
        <v>77</v>
      </c>
      <c r="V1466" s="9"/>
      <c r="W1466" s="12">
        <v>0</v>
      </c>
      <c r="X1466" s="13"/>
      <c r="Y1466" s="13"/>
      <c r="Z1466" s="13"/>
      <c r="AA1466" s="13"/>
      <c r="AB1466" s="13"/>
      <c r="AC1466" s="13"/>
      <c r="AD1466" s="13"/>
      <c r="AE1466" s="13">
        <v>0</v>
      </c>
      <c r="AF1466" s="13"/>
      <c r="AG1466" s="13"/>
      <c r="AH1466" s="13"/>
      <c r="AI1466" s="13"/>
      <c r="AJ1466" s="13">
        <f t="shared" si="196"/>
        <v>0</v>
      </c>
      <c r="AK1466" s="12"/>
      <c r="AL1466" s="13"/>
      <c r="AM1466" s="9"/>
      <c r="AN1466" s="9"/>
      <c r="AO1466" s="9"/>
      <c r="AP1466" s="14"/>
    </row>
    <row r="1467" spans="1:42" s="45" customFormat="1" ht="22" customHeight="1">
      <c r="A1467" s="14" t="s">
        <v>17</v>
      </c>
      <c r="B1467" s="8">
        <v>2024</v>
      </c>
      <c r="C1467" s="8" t="s">
        <v>24</v>
      </c>
      <c r="D1467" s="9" t="s">
        <v>185</v>
      </c>
      <c r="E1467" s="9" t="s">
        <v>115</v>
      </c>
      <c r="F1467" s="9" t="s">
        <v>434</v>
      </c>
      <c r="G1467" s="8"/>
      <c r="H1467" s="8"/>
      <c r="I1467" s="9" t="s">
        <v>435</v>
      </c>
      <c r="J1467" s="14" t="s">
        <v>14</v>
      </c>
      <c r="K1467" s="9" t="s">
        <v>435</v>
      </c>
      <c r="L1467" s="9" t="s">
        <v>209</v>
      </c>
      <c r="M1467" s="9" t="s">
        <v>99</v>
      </c>
      <c r="N1467" s="9" t="s">
        <v>436</v>
      </c>
      <c r="O1467" s="9" t="s">
        <v>254</v>
      </c>
      <c r="P1467" s="9" t="s">
        <v>450</v>
      </c>
      <c r="Q1467" s="11">
        <v>0</v>
      </c>
      <c r="R1467" s="11"/>
      <c r="S1467" s="11">
        <v>13</v>
      </c>
      <c r="T1467" s="9"/>
      <c r="U1467" s="14" t="s">
        <v>77</v>
      </c>
      <c r="V1467" s="9"/>
      <c r="W1467" s="12">
        <v>0</v>
      </c>
      <c r="X1467" s="13"/>
      <c r="Y1467" s="13"/>
      <c r="Z1467" s="13"/>
      <c r="AA1467" s="13"/>
      <c r="AB1467" s="13"/>
      <c r="AC1467" s="13"/>
      <c r="AD1467" s="13"/>
      <c r="AE1467" s="13">
        <v>0</v>
      </c>
      <c r="AF1467" s="13"/>
      <c r="AG1467" s="13"/>
      <c r="AH1467" s="13"/>
      <c r="AI1467" s="13"/>
      <c r="AJ1467" s="13">
        <f t="shared" si="196"/>
        <v>0</v>
      </c>
      <c r="AK1467" s="12"/>
      <c r="AL1467" s="13"/>
      <c r="AM1467" s="9"/>
      <c r="AN1467" s="9"/>
      <c r="AO1467" s="9"/>
      <c r="AP1467" s="14"/>
    </row>
    <row r="1468" spans="1:42" s="45" customFormat="1" ht="22" customHeight="1">
      <c r="A1468" s="14" t="s">
        <v>17</v>
      </c>
      <c r="B1468" s="8">
        <v>2024</v>
      </c>
      <c r="C1468" s="8" t="s">
        <v>24</v>
      </c>
      <c r="D1468" s="9" t="s">
        <v>185</v>
      </c>
      <c r="E1468" s="9" t="s">
        <v>115</v>
      </c>
      <c r="F1468" s="9" t="s">
        <v>434</v>
      </c>
      <c r="G1468" s="8"/>
      <c r="H1468" s="8"/>
      <c r="I1468" s="9" t="s">
        <v>435</v>
      </c>
      <c r="J1468" s="14" t="s">
        <v>14</v>
      </c>
      <c r="K1468" s="9" t="s">
        <v>435</v>
      </c>
      <c r="L1468" s="9" t="s">
        <v>209</v>
      </c>
      <c r="M1468" s="9" t="s">
        <v>99</v>
      </c>
      <c r="N1468" s="9" t="s">
        <v>436</v>
      </c>
      <c r="O1468" s="9" t="s">
        <v>254</v>
      </c>
      <c r="P1468" s="9" t="s">
        <v>254</v>
      </c>
      <c r="Q1468" s="11">
        <v>0</v>
      </c>
      <c r="R1468" s="11"/>
      <c r="S1468" s="11">
        <v>8</v>
      </c>
      <c r="T1468" s="9"/>
      <c r="U1468" s="14" t="s">
        <v>77</v>
      </c>
      <c r="V1468" s="9"/>
      <c r="W1468" s="12">
        <v>0</v>
      </c>
      <c r="X1468" s="13"/>
      <c r="Y1468" s="13"/>
      <c r="Z1468" s="13"/>
      <c r="AA1468" s="13"/>
      <c r="AB1468" s="13"/>
      <c r="AC1468" s="13"/>
      <c r="AD1468" s="13"/>
      <c r="AE1468" s="13">
        <v>0</v>
      </c>
      <c r="AF1468" s="13"/>
      <c r="AG1468" s="13"/>
      <c r="AH1468" s="13"/>
      <c r="AI1468" s="13"/>
      <c r="AJ1468" s="13">
        <f t="shared" si="196"/>
        <v>0</v>
      </c>
      <c r="AK1468" s="12"/>
      <c r="AL1468" s="13"/>
      <c r="AM1468" s="9"/>
      <c r="AN1468" s="9"/>
      <c r="AO1468" s="9"/>
      <c r="AP1468" s="14"/>
    </row>
    <row r="1469" spans="1:42" s="45" customFormat="1" ht="22" customHeight="1">
      <c r="A1469" s="14" t="s">
        <v>17</v>
      </c>
      <c r="B1469" s="8">
        <v>2024</v>
      </c>
      <c r="C1469" s="8" t="s">
        <v>24</v>
      </c>
      <c r="D1469" s="9" t="s">
        <v>185</v>
      </c>
      <c r="E1469" s="9" t="s">
        <v>115</v>
      </c>
      <c r="F1469" s="9" t="s">
        <v>434</v>
      </c>
      <c r="G1469" s="8"/>
      <c r="H1469" s="8"/>
      <c r="I1469" s="9" t="s">
        <v>435</v>
      </c>
      <c r="J1469" s="14" t="s">
        <v>14</v>
      </c>
      <c r="K1469" s="9" t="s">
        <v>435</v>
      </c>
      <c r="L1469" s="9" t="s">
        <v>209</v>
      </c>
      <c r="M1469" s="9" t="s">
        <v>99</v>
      </c>
      <c r="N1469" s="9" t="s">
        <v>436</v>
      </c>
      <c r="O1469" s="9" t="s">
        <v>254</v>
      </c>
      <c r="P1469" s="9" t="s">
        <v>451</v>
      </c>
      <c r="Q1469" s="11">
        <v>0</v>
      </c>
      <c r="R1469" s="11"/>
      <c r="S1469" s="11">
        <v>5</v>
      </c>
      <c r="T1469" s="9"/>
      <c r="U1469" s="14" t="s">
        <v>77</v>
      </c>
      <c r="V1469" s="9"/>
      <c r="W1469" s="12">
        <v>0</v>
      </c>
      <c r="X1469" s="13"/>
      <c r="Y1469" s="13"/>
      <c r="Z1469" s="13"/>
      <c r="AA1469" s="13"/>
      <c r="AB1469" s="13"/>
      <c r="AC1469" s="13"/>
      <c r="AD1469" s="13"/>
      <c r="AE1469" s="13">
        <v>0</v>
      </c>
      <c r="AF1469" s="13"/>
      <c r="AG1469" s="13"/>
      <c r="AH1469" s="13"/>
      <c r="AI1469" s="13"/>
      <c r="AJ1469" s="13">
        <f t="shared" si="196"/>
        <v>0</v>
      </c>
      <c r="AK1469" s="12"/>
      <c r="AL1469" s="13"/>
      <c r="AM1469" s="9"/>
      <c r="AN1469" s="9"/>
      <c r="AO1469" s="9"/>
      <c r="AP1469" s="14"/>
    </row>
    <row r="1470" spans="1:42" s="45" customFormat="1" ht="22" customHeight="1">
      <c r="A1470" s="14" t="s">
        <v>17</v>
      </c>
      <c r="B1470" s="8">
        <v>2024</v>
      </c>
      <c r="C1470" s="8" t="s">
        <v>24</v>
      </c>
      <c r="D1470" s="9" t="s">
        <v>185</v>
      </c>
      <c r="E1470" s="9" t="s">
        <v>115</v>
      </c>
      <c r="F1470" s="9" t="s">
        <v>434</v>
      </c>
      <c r="G1470" s="8"/>
      <c r="H1470" s="8"/>
      <c r="I1470" s="9" t="s">
        <v>435</v>
      </c>
      <c r="J1470" s="14" t="s">
        <v>14</v>
      </c>
      <c r="K1470" s="9" t="s">
        <v>435</v>
      </c>
      <c r="L1470" s="9" t="s">
        <v>209</v>
      </c>
      <c r="M1470" s="9" t="s">
        <v>99</v>
      </c>
      <c r="N1470" s="9" t="s">
        <v>436</v>
      </c>
      <c r="O1470" s="9" t="s">
        <v>452</v>
      </c>
      <c r="P1470" s="9" t="s">
        <v>452</v>
      </c>
      <c r="Q1470" s="11">
        <v>28</v>
      </c>
      <c r="R1470" s="11"/>
      <c r="S1470" s="11">
        <v>28</v>
      </c>
      <c r="T1470" s="9"/>
      <c r="U1470" s="14" t="s">
        <v>77</v>
      </c>
      <c r="V1470" s="9"/>
      <c r="W1470" s="12">
        <v>90</v>
      </c>
      <c r="X1470" s="13"/>
      <c r="Y1470" s="13"/>
      <c r="Z1470" s="13"/>
      <c r="AA1470" s="13"/>
      <c r="AB1470" s="13"/>
      <c r="AC1470" s="13"/>
      <c r="AD1470" s="13"/>
      <c r="AE1470" s="13">
        <v>0.12</v>
      </c>
      <c r="AF1470" s="13"/>
      <c r="AG1470" s="13"/>
      <c r="AH1470" s="13"/>
      <c r="AI1470" s="13"/>
      <c r="AJ1470" s="13">
        <f t="shared" si="196"/>
        <v>0.12</v>
      </c>
      <c r="AK1470" s="12"/>
      <c r="AL1470" s="13"/>
      <c r="AM1470" s="9"/>
      <c r="AN1470" s="9"/>
      <c r="AO1470" s="9"/>
      <c r="AP1470" s="14"/>
    </row>
    <row r="1471" spans="1:42" s="45" customFormat="1" ht="22" customHeight="1">
      <c r="A1471" s="14" t="s">
        <v>17</v>
      </c>
      <c r="B1471" s="8">
        <v>2024</v>
      </c>
      <c r="C1471" s="8" t="s">
        <v>24</v>
      </c>
      <c r="D1471" s="9" t="s">
        <v>185</v>
      </c>
      <c r="E1471" s="9" t="s">
        <v>115</v>
      </c>
      <c r="F1471" s="9" t="s">
        <v>434</v>
      </c>
      <c r="G1471" s="8"/>
      <c r="H1471" s="8"/>
      <c r="I1471" s="9" t="s">
        <v>435</v>
      </c>
      <c r="J1471" s="14" t="s">
        <v>14</v>
      </c>
      <c r="K1471" s="9" t="s">
        <v>435</v>
      </c>
      <c r="L1471" s="9" t="s">
        <v>209</v>
      </c>
      <c r="M1471" s="9" t="s">
        <v>99</v>
      </c>
      <c r="N1471" s="9" t="s">
        <v>436</v>
      </c>
      <c r="O1471" s="9" t="s">
        <v>452</v>
      </c>
      <c r="P1471" s="9" t="s">
        <v>453</v>
      </c>
      <c r="Q1471" s="11">
        <v>47</v>
      </c>
      <c r="R1471" s="11"/>
      <c r="S1471" s="11">
        <v>47</v>
      </c>
      <c r="T1471" s="9"/>
      <c r="U1471" s="14" t="s">
        <v>77</v>
      </c>
      <c r="V1471" s="9"/>
      <c r="W1471" s="12">
        <v>90</v>
      </c>
      <c r="X1471" s="13"/>
      <c r="Y1471" s="13"/>
      <c r="Z1471" s="13"/>
      <c r="AA1471" s="13"/>
      <c r="AB1471" s="13"/>
      <c r="AC1471" s="13"/>
      <c r="AD1471" s="13"/>
      <c r="AE1471" s="13">
        <v>0.15</v>
      </c>
      <c r="AF1471" s="13"/>
      <c r="AG1471" s="13"/>
      <c r="AH1471" s="13"/>
      <c r="AI1471" s="13"/>
      <c r="AJ1471" s="13">
        <f t="shared" si="196"/>
        <v>0.15</v>
      </c>
      <c r="AK1471" s="12"/>
      <c r="AL1471" s="13"/>
      <c r="AM1471" s="9"/>
      <c r="AN1471" s="9"/>
      <c r="AO1471" s="9"/>
      <c r="AP1471" s="14"/>
    </row>
    <row r="1472" spans="1:42" s="45" customFormat="1" ht="22" customHeight="1">
      <c r="A1472" s="14" t="s">
        <v>17</v>
      </c>
      <c r="B1472" s="8">
        <v>2024</v>
      </c>
      <c r="C1472" s="8" t="s">
        <v>24</v>
      </c>
      <c r="D1472" s="9" t="s">
        <v>185</v>
      </c>
      <c r="E1472" s="9" t="s">
        <v>115</v>
      </c>
      <c r="F1472" s="9" t="s">
        <v>434</v>
      </c>
      <c r="G1472" s="8"/>
      <c r="H1472" s="8"/>
      <c r="I1472" s="9" t="s">
        <v>435</v>
      </c>
      <c r="J1472" s="14" t="s">
        <v>14</v>
      </c>
      <c r="K1472" s="9" t="s">
        <v>435</v>
      </c>
      <c r="L1472" s="9" t="s">
        <v>209</v>
      </c>
      <c r="M1472" s="9" t="s">
        <v>99</v>
      </c>
      <c r="N1472" s="9" t="s">
        <v>436</v>
      </c>
      <c r="O1472" s="9" t="s">
        <v>452</v>
      </c>
      <c r="P1472" s="9" t="s">
        <v>454</v>
      </c>
      <c r="Q1472" s="11">
        <v>0</v>
      </c>
      <c r="R1472" s="11"/>
      <c r="S1472" s="11">
        <v>4</v>
      </c>
      <c r="T1472" s="9"/>
      <c r="U1472" s="14" t="s">
        <v>77</v>
      </c>
      <c r="V1472" s="9"/>
      <c r="W1472" s="12">
        <v>0</v>
      </c>
      <c r="X1472" s="13"/>
      <c r="Y1472" s="13"/>
      <c r="Z1472" s="13"/>
      <c r="AA1472" s="13"/>
      <c r="AB1472" s="13"/>
      <c r="AC1472" s="13"/>
      <c r="AD1472" s="13"/>
      <c r="AE1472" s="13">
        <v>0</v>
      </c>
      <c r="AF1472" s="13"/>
      <c r="AG1472" s="13"/>
      <c r="AH1472" s="13"/>
      <c r="AI1472" s="13"/>
      <c r="AJ1472" s="13">
        <f t="shared" si="196"/>
        <v>0</v>
      </c>
      <c r="AK1472" s="12"/>
      <c r="AL1472" s="13"/>
      <c r="AM1472" s="9"/>
      <c r="AN1472" s="9"/>
      <c r="AO1472" s="9"/>
      <c r="AP1472" s="14"/>
    </row>
    <row r="1473" spans="1:42" s="45" customFormat="1" ht="22" customHeight="1">
      <c r="A1473" s="14" t="s">
        <v>17</v>
      </c>
      <c r="B1473" s="8">
        <v>2024</v>
      </c>
      <c r="C1473" s="8" t="s">
        <v>24</v>
      </c>
      <c r="D1473" s="9" t="s">
        <v>185</v>
      </c>
      <c r="E1473" s="9" t="s">
        <v>115</v>
      </c>
      <c r="F1473" s="9" t="s">
        <v>434</v>
      </c>
      <c r="G1473" s="8"/>
      <c r="H1473" s="8"/>
      <c r="I1473" s="9" t="s">
        <v>435</v>
      </c>
      <c r="J1473" s="14" t="s">
        <v>14</v>
      </c>
      <c r="K1473" s="9" t="s">
        <v>435</v>
      </c>
      <c r="L1473" s="9" t="s">
        <v>209</v>
      </c>
      <c r="M1473" s="9" t="s">
        <v>99</v>
      </c>
      <c r="N1473" s="9" t="s">
        <v>436</v>
      </c>
      <c r="O1473" s="9" t="s">
        <v>452</v>
      </c>
      <c r="P1473" s="9" t="s">
        <v>455</v>
      </c>
      <c r="Q1473" s="11">
        <v>0</v>
      </c>
      <c r="R1473" s="11"/>
      <c r="S1473" s="11">
        <v>24</v>
      </c>
      <c r="T1473" s="9"/>
      <c r="U1473" s="14" t="s">
        <v>77</v>
      </c>
      <c r="V1473" s="9"/>
      <c r="W1473" s="12">
        <v>0</v>
      </c>
      <c r="X1473" s="13"/>
      <c r="Y1473" s="13"/>
      <c r="Z1473" s="13"/>
      <c r="AA1473" s="13"/>
      <c r="AB1473" s="13"/>
      <c r="AC1473" s="13"/>
      <c r="AD1473" s="13"/>
      <c r="AE1473" s="13">
        <v>0</v>
      </c>
      <c r="AF1473" s="13"/>
      <c r="AG1473" s="13"/>
      <c r="AH1473" s="13"/>
      <c r="AI1473" s="13"/>
      <c r="AJ1473" s="13">
        <f t="shared" si="196"/>
        <v>0</v>
      </c>
      <c r="AK1473" s="12"/>
      <c r="AL1473" s="13"/>
      <c r="AM1473" s="9"/>
      <c r="AN1473" s="9"/>
      <c r="AO1473" s="9"/>
      <c r="AP1473" s="14"/>
    </row>
    <row r="1474" spans="1:42" s="45" customFormat="1" ht="22" customHeight="1">
      <c r="A1474" s="14" t="s">
        <v>17</v>
      </c>
      <c r="B1474" s="8">
        <v>2024</v>
      </c>
      <c r="C1474" s="8" t="s">
        <v>24</v>
      </c>
      <c r="D1474" s="9" t="s">
        <v>185</v>
      </c>
      <c r="E1474" s="9" t="s">
        <v>115</v>
      </c>
      <c r="F1474" s="9" t="s">
        <v>434</v>
      </c>
      <c r="G1474" s="8"/>
      <c r="H1474" s="8"/>
      <c r="I1474" s="9" t="s">
        <v>435</v>
      </c>
      <c r="J1474" s="14" t="s">
        <v>14</v>
      </c>
      <c r="K1474" s="9" t="s">
        <v>435</v>
      </c>
      <c r="L1474" s="9" t="s">
        <v>209</v>
      </c>
      <c r="M1474" s="9" t="s">
        <v>99</v>
      </c>
      <c r="N1474" s="9" t="s">
        <v>436</v>
      </c>
      <c r="O1474" s="9" t="s">
        <v>456</v>
      </c>
      <c r="P1474" s="9" t="s">
        <v>457</v>
      </c>
      <c r="Q1474" s="11">
        <v>0</v>
      </c>
      <c r="R1474" s="11"/>
      <c r="S1474" s="11">
        <v>13</v>
      </c>
      <c r="T1474" s="9"/>
      <c r="U1474" s="14" t="s">
        <v>77</v>
      </c>
      <c r="V1474" s="9"/>
      <c r="W1474" s="12">
        <v>0</v>
      </c>
      <c r="X1474" s="13"/>
      <c r="Y1474" s="13"/>
      <c r="Z1474" s="13"/>
      <c r="AA1474" s="13"/>
      <c r="AB1474" s="13"/>
      <c r="AC1474" s="13"/>
      <c r="AD1474" s="13"/>
      <c r="AE1474" s="13">
        <v>0</v>
      </c>
      <c r="AF1474" s="13"/>
      <c r="AG1474" s="13"/>
      <c r="AH1474" s="13"/>
      <c r="AI1474" s="13"/>
      <c r="AJ1474" s="13">
        <f t="shared" si="196"/>
        <v>0</v>
      </c>
      <c r="AK1474" s="12"/>
      <c r="AL1474" s="13"/>
      <c r="AM1474" s="9"/>
      <c r="AN1474" s="9"/>
      <c r="AO1474" s="9"/>
      <c r="AP1474" s="14"/>
    </row>
    <row r="1475" spans="1:42" s="45" customFormat="1" ht="22" customHeight="1">
      <c r="A1475" s="14" t="s">
        <v>17</v>
      </c>
      <c r="B1475" s="8">
        <v>2024</v>
      </c>
      <c r="C1475" s="8" t="s">
        <v>24</v>
      </c>
      <c r="D1475" s="9" t="s">
        <v>185</v>
      </c>
      <c r="E1475" s="9" t="s">
        <v>115</v>
      </c>
      <c r="F1475" s="9" t="s">
        <v>434</v>
      </c>
      <c r="G1475" s="8"/>
      <c r="H1475" s="8"/>
      <c r="I1475" s="9" t="s">
        <v>435</v>
      </c>
      <c r="J1475" s="14" t="s">
        <v>14</v>
      </c>
      <c r="K1475" s="9" t="s">
        <v>435</v>
      </c>
      <c r="L1475" s="9" t="s">
        <v>209</v>
      </c>
      <c r="M1475" s="9" t="s">
        <v>99</v>
      </c>
      <c r="N1475" s="9" t="s">
        <v>436</v>
      </c>
      <c r="O1475" s="9" t="s">
        <v>456</v>
      </c>
      <c r="P1475" s="9" t="s">
        <v>458</v>
      </c>
      <c r="Q1475" s="11">
        <v>0</v>
      </c>
      <c r="R1475" s="11"/>
      <c r="S1475" s="11">
        <v>18</v>
      </c>
      <c r="T1475" s="9"/>
      <c r="U1475" s="14" t="s">
        <v>77</v>
      </c>
      <c r="V1475" s="9"/>
      <c r="W1475" s="12">
        <v>0</v>
      </c>
      <c r="X1475" s="13"/>
      <c r="Y1475" s="13"/>
      <c r="Z1475" s="13"/>
      <c r="AA1475" s="13"/>
      <c r="AB1475" s="13"/>
      <c r="AC1475" s="13"/>
      <c r="AD1475" s="13"/>
      <c r="AE1475" s="13">
        <v>0</v>
      </c>
      <c r="AF1475" s="13"/>
      <c r="AG1475" s="13"/>
      <c r="AH1475" s="13"/>
      <c r="AI1475" s="13"/>
      <c r="AJ1475" s="13">
        <f t="shared" si="196"/>
        <v>0</v>
      </c>
      <c r="AK1475" s="12"/>
      <c r="AL1475" s="13"/>
      <c r="AM1475" s="9"/>
      <c r="AN1475" s="9"/>
      <c r="AO1475" s="9"/>
      <c r="AP1475" s="14"/>
    </row>
    <row r="1476" spans="1:42" s="45" customFormat="1" ht="22" customHeight="1">
      <c r="A1476" s="14" t="s">
        <v>17</v>
      </c>
      <c r="B1476" s="8">
        <v>2024</v>
      </c>
      <c r="C1476" s="8" t="s">
        <v>24</v>
      </c>
      <c r="D1476" s="9" t="s">
        <v>185</v>
      </c>
      <c r="E1476" s="9" t="s">
        <v>115</v>
      </c>
      <c r="F1476" s="9" t="s">
        <v>434</v>
      </c>
      <c r="G1476" s="8"/>
      <c r="H1476" s="8"/>
      <c r="I1476" s="9" t="s">
        <v>435</v>
      </c>
      <c r="J1476" s="14" t="s">
        <v>14</v>
      </c>
      <c r="K1476" s="9" t="s">
        <v>435</v>
      </c>
      <c r="L1476" s="9" t="s">
        <v>209</v>
      </c>
      <c r="M1476" s="9" t="s">
        <v>99</v>
      </c>
      <c r="N1476" s="9" t="s">
        <v>436</v>
      </c>
      <c r="O1476" s="9" t="s">
        <v>456</v>
      </c>
      <c r="P1476" s="9" t="s">
        <v>459</v>
      </c>
      <c r="Q1476" s="11">
        <v>0</v>
      </c>
      <c r="R1476" s="11"/>
      <c r="S1476" s="11">
        <v>10</v>
      </c>
      <c r="T1476" s="9"/>
      <c r="U1476" s="14" t="s">
        <v>77</v>
      </c>
      <c r="V1476" s="9"/>
      <c r="W1476" s="12">
        <v>0</v>
      </c>
      <c r="X1476" s="13"/>
      <c r="Y1476" s="13"/>
      <c r="Z1476" s="13"/>
      <c r="AA1476" s="13"/>
      <c r="AB1476" s="13"/>
      <c r="AC1476" s="13"/>
      <c r="AD1476" s="13"/>
      <c r="AE1476" s="13">
        <v>0</v>
      </c>
      <c r="AF1476" s="13"/>
      <c r="AG1476" s="13"/>
      <c r="AH1476" s="13"/>
      <c r="AI1476" s="13"/>
      <c r="AJ1476" s="13">
        <f t="shared" si="196"/>
        <v>0</v>
      </c>
      <c r="AK1476" s="12"/>
      <c r="AL1476" s="13"/>
      <c r="AM1476" s="9"/>
      <c r="AN1476" s="9"/>
      <c r="AO1476" s="9"/>
      <c r="AP1476" s="14"/>
    </row>
    <row r="1477" spans="1:42" s="45" customFormat="1" ht="22" customHeight="1">
      <c r="A1477" s="14" t="s">
        <v>17</v>
      </c>
      <c r="B1477" s="8">
        <v>2024</v>
      </c>
      <c r="C1477" s="8" t="s">
        <v>24</v>
      </c>
      <c r="D1477" s="9" t="s">
        <v>185</v>
      </c>
      <c r="E1477" s="9" t="s">
        <v>115</v>
      </c>
      <c r="F1477" s="9" t="s">
        <v>434</v>
      </c>
      <c r="G1477" s="8"/>
      <c r="H1477" s="8"/>
      <c r="I1477" s="9" t="s">
        <v>435</v>
      </c>
      <c r="J1477" s="14" t="s">
        <v>14</v>
      </c>
      <c r="K1477" s="9" t="s">
        <v>435</v>
      </c>
      <c r="L1477" s="9" t="s">
        <v>209</v>
      </c>
      <c r="M1477" s="9" t="s">
        <v>99</v>
      </c>
      <c r="N1477" s="9" t="s">
        <v>436</v>
      </c>
      <c r="O1477" s="9" t="s">
        <v>456</v>
      </c>
      <c r="P1477" s="9" t="s">
        <v>460</v>
      </c>
      <c r="Q1477" s="11">
        <v>0</v>
      </c>
      <c r="R1477" s="11"/>
      <c r="S1477" s="11">
        <v>19</v>
      </c>
      <c r="T1477" s="9"/>
      <c r="U1477" s="14" t="s">
        <v>77</v>
      </c>
      <c r="V1477" s="9"/>
      <c r="W1477" s="12">
        <v>0</v>
      </c>
      <c r="X1477" s="13"/>
      <c r="Y1477" s="13"/>
      <c r="Z1477" s="13"/>
      <c r="AA1477" s="13"/>
      <c r="AB1477" s="13"/>
      <c r="AC1477" s="13"/>
      <c r="AD1477" s="13"/>
      <c r="AE1477" s="13">
        <v>0</v>
      </c>
      <c r="AF1477" s="13"/>
      <c r="AG1477" s="13"/>
      <c r="AH1477" s="13"/>
      <c r="AI1477" s="13"/>
      <c r="AJ1477" s="13">
        <f t="shared" si="196"/>
        <v>0</v>
      </c>
      <c r="AK1477" s="12"/>
      <c r="AL1477" s="13"/>
      <c r="AM1477" s="9"/>
      <c r="AN1477" s="9"/>
      <c r="AO1477" s="9"/>
      <c r="AP1477" s="14"/>
    </row>
    <row r="1478" spans="1:42" s="45" customFormat="1" ht="22" customHeight="1">
      <c r="A1478" s="14" t="s">
        <v>17</v>
      </c>
      <c r="B1478" s="8">
        <v>2024</v>
      </c>
      <c r="C1478" s="8" t="s">
        <v>24</v>
      </c>
      <c r="D1478" s="9" t="s">
        <v>185</v>
      </c>
      <c r="E1478" s="9" t="s">
        <v>115</v>
      </c>
      <c r="F1478" s="9" t="s">
        <v>434</v>
      </c>
      <c r="G1478" s="8"/>
      <c r="H1478" s="8"/>
      <c r="I1478" s="9" t="s">
        <v>435</v>
      </c>
      <c r="J1478" s="14" t="s">
        <v>14</v>
      </c>
      <c r="K1478" s="9" t="s">
        <v>435</v>
      </c>
      <c r="L1478" s="9" t="s">
        <v>209</v>
      </c>
      <c r="M1478" s="9" t="s">
        <v>99</v>
      </c>
      <c r="N1478" s="9" t="s">
        <v>436</v>
      </c>
      <c r="O1478" s="9" t="s">
        <v>456</v>
      </c>
      <c r="P1478" s="9" t="s">
        <v>461</v>
      </c>
      <c r="Q1478" s="11">
        <v>0</v>
      </c>
      <c r="R1478" s="11"/>
      <c r="S1478" s="11">
        <v>15</v>
      </c>
      <c r="T1478" s="9"/>
      <c r="U1478" s="14" t="s">
        <v>77</v>
      </c>
      <c r="V1478" s="9"/>
      <c r="W1478" s="12">
        <v>0</v>
      </c>
      <c r="X1478" s="13"/>
      <c r="Y1478" s="13"/>
      <c r="Z1478" s="13"/>
      <c r="AA1478" s="13"/>
      <c r="AB1478" s="13"/>
      <c r="AC1478" s="13"/>
      <c r="AD1478" s="13"/>
      <c r="AE1478" s="13">
        <v>0</v>
      </c>
      <c r="AF1478" s="13"/>
      <c r="AG1478" s="13"/>
      <c r="AH1478" s="13"/>
      <c r="AI1478" s="13"/>
      <c r="AJ1478" s="13">
        <f t="shared" si="196"/>
        <v>0</v>
      </c>
      <c r="AK1478" s="12"/>
      <c r="AL1478" s="13"/>
      <c r="AM1478" s="9"/>
      <c r="AN1478" s="9"/>
      <c r="AO1478" s="9"/>
      <c r="AP1478" s="14"/>
    </row>
    <row r="1479" spans="1:42" s="45" customFormat="1" ht="22" customHeight="1">
      <c r="A1479" s="14" t="s">
        <v>17</v>
      </c>
      <c r="B1479" s="8">
        <v>2024</v>
      </c>
      <c r="C1479" s="8" t="s">
        <v>24</v>
      </c>
      <c r="D1479" s="9" t="s">
        <v>185</v>
      </c>
      <c r="E1479" s="9" t="s">
        <v>115</v>
      </c>
      <c r="F1479" s="9" t="s">
        <v>434</v>
      </c>
      <c r="G1479" s="8"/>
      <c r="H1479" s="8"/>
      <c r="I1479" s="9" t="s">
        <v>435</v>
      </c>
      <c r="J1479" s="14" t="s">
        <v>14</v>
      </c>
      <c r="K1479" s="9" t="s">
        <v>435</v>
      </c>
      <c r="L1479" s="9" t="s">
        <v>209</v>
      </c>
      <c r="M1479" s="9" t="s">
        <v>99</v>
      </c>
      <c r="N1479" s="9" t="s">
        <v>436</v>
      </c>
      <c r="O1479" s="9" t="s">
        <v>456</v>
      </c>
      <c r="P1479" s="9" t="s">
        <v>462</v>
      </c>
      <c r="Q1479" s="11">
        <v>0</v>
      </c>
      <c r="R1479" s="11"/>
      <c r="S1479" s="11">
        <v>19</v>
      </c>
      <c r="T1479" s="9"/>
      <c r="U1479" s="14" t="s">
        <v>77</v>
      </c>
      <c r="V1479" s="9"/>
      <c r="W1479" s="12">
        <v>0</v>
      </c>
      <c r="X1479" s="13"/>
      <c r="Y1479" s="13"/>
      <c r="Z1479" s="13"/>
      <c r="AA1479" s="13"/>
      <c r="AB1479" s="13"/>
      <c r="AC1479" s="13"/>
      <c r="AD1479" s="13"/>
      <c r="AE1479" s="13">
        <v>0</v>
      </c>
      <c r="AF1479" s="13"/>
      <c r="AG1479" s="13"/>
      <c r="AH1479" s="13"/>
      <c r="AI1479" s="13"/>
      <c r="AJ1479" s="13">
        <f t="shared" si="196"/>
        <v>0</v>
      </c>
      <c r="AK1479" s="12"/>
      <c r="AL1479" s="13"/>
      <c r="AM1479" s="9"/>
      <c r="AN1479" s="9"/>
      <c r="AO1479" s="9"/>
      <c r="AP1479" s="14"/>
    </row>
    <row r="1480" spans="1:42" s="45" customFormat="1" ht="22" customHeight="1">
      <c r="A1480" s="14" t="s">
        <v>17</v>
      </c>
      <c r="B1480" s="8">
        <v>2024</v>
      </c>
      <c r="C1480" s="8" t="s">
        <v>24</v>
      </c>
      <c r="D1480" s="9" t="s">
        <v>185</v>
      </c>
      <c r="E1480" s="9" t="s">
        <v>115</v>
      </c>
      <c r="F1480" s="9" t="s">
        <v>434</v>
      </c>
      <c r="G1480" s="8"/>
      <c r="H1480" s="8"/>
      <c r="I1480" s="9" t="s">
        <v>435</v>
      </c>
      <c r="J1480" s="14" t="s">
        <v>14</v>
      </c>
      <c r="K1480" s="9" t="s">
        <v>435</v>
      </c>
      <c r="L1480" s="9" t="s">
        <v>209</v>
      </c>
      <c r="M1480" s="9" t="s">
        <v>99</v>
      </c>
      <c r="N1480" s="9" t="s">
        <v>436</v>
      </c>
      <c r="O1480" s="9" t="s">
        <v>463</v>
      </c>
      <c r="P1480" s="9" t="s">
        <v>464</v>
      </c>
      <c r="Q1480" s="11">
        <v>0</v>
      </c>
      <c r="R1480" s="11"/>
      <c r="S1480" s="11">
        <v>14</v>
      </c>
      <c r="T1480" s="9"/>
      <c r="U1480" s="14" t="s">
        <v>77</v>
      </c>
      <c r="V1480" s="9"/>
      <c r="W1480" s="12">
        <v>0</v>
      </c>
      <c r="X1480" s="13"/>
      <c r="Y1480" s="13"/>
      <c r="Z1480" s="13"/>
      <c r="AA1480" s="13"/>
      <c r="AB1480" s="13"/>
      <c r="AC1480" s="13"/>
      <c r="AD1480" s="13"/>
      <c r="AE1480" s="13">
        <v>0</v>
      </c>
      <c r="AF1480" s="13"/>
      <c r="AG1480" s="13"/>
      <c r="AH1480" s="13"/>
      <c r="AI1480" s="13"/>
      <c r="AJ1480" s="13">
        <f t="shared" si="196"/>
        <v>0</v>
      </c>
      <c r="AK1480" s="12"/>
      <c r="AL1480" s="13"/>
      <c r="AM1480" s="9"/>
      <c r="AN1480" s="9"/>
      <c r="AO1480" s="9"/>
      <c r="AP1480" s="14"/>
    </row>
    <row r="1481" spans="1:42" s="45" customFormat="1" ht="22" customHeight="1">
      <c r="A1481" s="14" t="s">
        <v>17</v>
      </c>
      <c r="B1481" s="8">
        <v>2024</v>
      </c>
      <c r="C1481" s="8" t="s">
        <v>24</v>
      </c>
      <c r="D1481" s="9" t="s">
        <v>185</v>
      </c>
      <c r="E1481" s="9" t="s">
        <v>115</v>
      </c>
      <c r="F1481" s="9" t="s">
        <v>434</v>
      </c>
      <c r="G1481" s="8"/>
      <c r="H1481" s="8"/>
      <c r="I1481" s="9" t="s">
        <v>435</v>
      </c>
      <c r="J1481" s="14" t="s">
        <v>14</v>
      </c>
      <c r="K1481" s="9" t="s">
        <v>435</v>
      </c>
      <c r="L1481" s="9" t="s">
        <v>209</v>
      </c>
      <c r="M1481" s="9" t="s">
        <v>99</v>
      </c>
      <c r="N1481" s="9" t="s">
        <v>436</v>
      </c>
      <c r="O1481" s="9" t="s">
        <v>463</v>
      </c>
      <c r="P1481" s="9" t="s">
        <v>465</v>
      </c>
      <c r="Q1481" s="11">
        <v>0</v>
      </c>
      <c r="R1481" s="11"/>
      <c r="S1481" s="11">
        <v>10</v>
      </c>
      <c r="T1481" s="9"/>
      <c r="U1481" s="14" t="s">
        <v>77</v>
      </c>
      <c r="V1481" s="9"/>
      <c r="W1481" s="12">
        <v>0</v>
      </c>
      <c r="X1481" s="13"/>
      <c r="Y1481" s="13"/>
      <c r="Z1481" s="13"/>
      <c r="AA1481" s="13"/>
      <c r="AB1481" s="13"/>
      <c r="AC1481" s="13"/>
      <c r="AD1481" s="13"/>
      <c r="AE1481" s="13">
        <v>0</v>
      </c>
      <c r="AF1481" s="13"/>
      <c r="AG1481" s="13"/>
      <c r="AH1481" s="13"/>
      <c r="AI1481" s="13"/>
      <c r="AJ1481" s="13">
        <f t="shared" si="196"/>
        <v>0</v>
      </c>
      <c r="AK1481" s="12"/>
      <c r="AL1481" s="13"/>
      <c r="AM1481" s="9"/>
      <c r="AN1481" s="9"/>
      <c r="AO1481" s="9"/>
      <c r="AP1481" s="14"/>
    </row>
    <row r="1482" spans="1:42" s="45" customFormat="1" ht="22" customHeight="1">
      <c r="A1482" s="14" t="s">
        <v>17</v>
      </c>
      <c r="B1482" s="8">
        <v>2024</v>
      </c>
      <c r="C1482" s="8" t="s">
        <v>24</v>
      </c>
      <c r="D1482" s="9" t="s">
        <v>185</v>
      </c>
      <c r="E1482" s="9" t="s">
        <v>115</v>
      </c>
      <c r="F1482" s="9" t="s">
        <v>434</v>
      </c>
      <c r="G1482" s="8"/>
      <c r="H1482" s="8"/>
      <c r="I1482" s="9" t="s">
        <v>435</v>
      </c>
      <c r="J1482" s="14" t="s">
        <v>14</v>
      </c>
      <c r="K1482" s="9" t="s">
        <v>435</v>
      </c>
      <c r="L1482" s="9" t="s">
        <v>209</v>
      </c>
      <c r="M1482" s="9" t="s">
        <v>99</v>
      </c>
      <c r="N1482" s="9" t="s">
        <v>436</v>
      </c>
      <c r="O1482" s="9" t="s">
        <v>463</v>
      </c>
      <c r="P1482" s="9" t="s">
        <v>463</v>
      </c>
      <c r="Q1482" s="11">
        <v>0</v>
      </c>
      <c r="R1482" s="11"/>
      <c r="S1482" s="11">
        <v>10</v>
      </c>
      <c r="T1482" s="9"/>
      <c r="U1482" s="14" t="s">
        <v>77</v>
      </c>
      <c r="V1482" s="9"/>
      <c r="W1482" s="12">
        <v>0</v>
      </c>
      <c r="X1482" s="13"/>
      <c r="Y1482" s="13"/>
      <c r="Z1482" s="13"/>
      <c r="AA1482" s="13"/>
      <c r="AB1482" s="13"/>
      <c r="AC1482" s="13"/>
      <c r="AD1482" s="13"/>
      <c r="AE1482" s="13">
        <v>0</v>
      </c>
      <c r="AF1482" s="13"/>
      <c r="AG1482" s="13"/>
      <c r="AH1482" s="13"/>
      <c r="AI1482" s="13"/>
      <c r="AJ1482" s="13">
        <f t="shared" si="196"/>
        <v>0</v>
      </c>
      <c r="AK1482" s="12"/>
      <c r="AL1482" s="13"/>
      <c r="AM1482" s="9"/>
      <c r="AN1482" s="9"/>
      <c r="AO1482" s="9"/>
      <c r="AP1482" s="14"/>
    </row>
    <row r="1483" spans="1:42" s="45" customFormat="1" ht="22" customHeight="1">
      <c r="A1483" s="14" t="s">
        <v>17</v>
      </c>
      <c r="B1483" s="8">
        <v>2024</v>
      </c>
      <c r="C1483" s="8" t="s">
        <v>24</v>
      </c>
      <c r="D1483" s="9" t="s">
        <v>185</v>
      </c>
      <c r="E1483" s="9" t="s">
        <v>115</v>
      </c>
      <c r="F1483" s="9" t="s">
        <v>434</v>
      </c>
      <c r="G1483" s="8"/>
      <c r="H1483" s="8"/>
      <c r="I1483" s="9" t="s">
        <v>435</v>
      </c>
      <c r="J1483" s="14" t="s">
        <v>14</v>
      </c>
      <c r="K1483" s="9" t="s">
        <v>435</v>
      </c>
      <c r="L1483" s="9" t="s">
        <v>209</v>
      </c>
      <c r="M1483" s="9" t="s">
        <v>99</v>
      </c>
      <c r="N1483" s="9" t="s">
        <v>436</v>
      </c>
      <c r="O1483" s="9" t="s">
        <v>463</v>
      </c>
      <c r="P1483" s="9" t="s">
        <v>466</v>
      </c>
      <c r="Q1483" s="11">
        <v>0</v>
      </c>
      <c r="R1483" s="11"/>
      <c r="S1483" s="11">
        <v>19</v>
      </c>
      <c r="T1483" s="9"/>
      <c r="U1483" s="14" t="s">
        <v>77</v>
      </c>
      <c r="V1483" s="9"/>
      <c r="W1483" s="12">
        <v>0</v>
      </c>
      <c r="X1483" s="13"/>
      <c r="Y1483" s="13"/>
      <c r="Z1483" s="13"/>
      <c r="AA1483" s="13"/>
      <c r="AB1483" s="13"/>
      <c r="AC1483" s="13"/>
      <c r="AD1483" s="13"/>
      <c r="AE1483" s="13">
        <v>0</v>
      </c>
      <c r="AF1483" s="13"/>
      <c r="AG1483" s="13"/>
      <c r="AH1483" s="13"/>
      <c r="AI1483" s="13"/>
      <c r="AJ1483" s="13">
        <f t="shared" si="196"/>
        <v>0</v>
      </c>
      <c r="AK1483" s="12"/>
      <c r="AL1483" s="13"/>
      <c r="AM1483" s="9"/>
      <c r="AN1483" s="9"/>
      <c r="AO1483" s="9"/>
      <c r="AP1483" s="14"/>
    </row>
    <row r="1484" spans="1:42" s="45" customFormat="1" ht="22" customHeight="1">
      <c r="A1484" s="14" t="s">
        <v>17</v>
      </c>
      <c r="B1484" s="8">
        <v>2024</v>
      </c>
      <c r="C1484" s="8" t="s">
        <v>24</v>
      </c>
      <c r="D1484" s="9" t="s">
        <v>185</v>
      </c>
      <c r="E1484" s="9" t="s">
        <v>115</v>
      </c>
      <c r="F1484" s="9" t="s">
        <v>434</v>
      </c>
      <c r="G1484" s="8"/>
      <c r="H1484" s="8"/>
      <c r="I1484" s="9" t="s">
        <v>435</v>
      </c>
      <c r="J1484" s="14" t="s">
        <v>14</v>
      </c>
      <c r="K1484" s="9" t="s">
        <v>435</v>
      </c>
      <c r="L1484" s="9" t="s">
        <v>209</v>
      </c>
      <c r="M1484" s="9" t="s">
        <v>99</v>
      </c>
      <c r="N1484" s="9" t="s">
        <v>436</v>
      </c>
      <c r="O1484" s="9" t="s">
        <v>467</v>
      </c>
      <c r="P1484" s="9" t="s">
        <v>468</v>
      </c>
      <c r="Q1484" s="11">
        <v>80</v>
      </c>
      <c r="R1484" s="11"/>
      <c r="S1484" s="11">
        <f>+Q1484</f>
        <v>80</v>
      </c>
      <c r="T1484" s="9"/>
      <c r="U1484" s="14" t="s">
        <v>77</v>
      </c>
      <c r="V1484" s="9"/>
      <c r="W1484" s="12">
        <v>30</v>
      </c>
      <c r="X1484" s="13"/>
      <c r="Y1484" s="13"/>
      <c r="Z1484" s="13"/>
      <c r="AA1484" s="13"/>
      <c r="AB1484" s="13"/>
      <c r="AC1484" s="13"/>
      <c r="AD1484" s="13"/>
      <c r="AE1484" s="13">
        <v>0.24</v>
      </c>
      <c r="AF1484" s="13"/>
      <c r="AG1484" s="13"/>
      <c r="AH1484" s="13"/>
      <c r="AI1484" s="13"/>
      <c r="AJ1484" s="13">
        <f t="shared" si="196"/>
        <v>0.24</v>
      </c>
      <c r="AK1484" s="12"/>
      <c r="AL1484" s="13"/>
      <c r="AM1484" s="9"/>
      <c r="AN1484" s="9"/>
      <c r="AO1484" s="9"/>
      <c r="AP1484" s="14"/>
    </row>
    <row r="1485" spans="1:42" s="45" customFormat="1" ht="22" customHeight="1">
      <c r="A1485" s="14" t="s">
        <v>17</v>
      </c>
      <c r="B1485" s="8">
        <v>2024</v>
      </c>
      <c r="C1485" s="8" t="s">
        <v>24</v>
      </c>
      <c r="D1485" s="9" t="s">
        <v>185</v>
      </c>
      <c r="E1485" s="9" t="s">
        <v>115</v>
      </c>
      <c r="F1485" s="9" t="s">
        <v>434</v>
      </c>
      <c r="G1485" s="8"/>
      <c r="H1485" s="8"/>
      <c r="I1485" s="9" t="s">
        <v>435</v>
      </c>
      <c r="J1485" s="14" t="s">
        <v>14</v>
      </c>
      <c r="K1485" s="9" t="s">
        <v>435</v>
      </c>
      <c r="L1485" s="9" t="s">
        <v>209</v>
      </c>
      <c r="M1485" s="9" t="s">
        <v>99</v>
      </c>
      <c r="N1485" s="9" t="s">
        <v>436</v>
      </c>
      <c r="O1485" s="9" t="s">
        <v>467</v>
      </c>
      <c r="P1485" s="9" t="s">
        <v>469</v>
      </c>
      <c r="Q1485" s="11">
        <v>36</v>
      </c>
      <c r="R1485" s="11"/>
      <c r="S1485" s="11">
        <f t="shared" ref="S1485:S1491" si="198">+Q1485</f>
        <v>36</v>
      </c>
      <c r="T1485" s="9"/>
      <c r="U1485" s="14" t="s">
        <v>77</v>
      </c>
      <c r="V1485" s="9"/>
      <c r="W1485" s="12">
        <v>30</v>
      </c>
      <c r="X1485" s="13"/>
      <c r="Y1485" s="13"/>
      <c r="Z1485" s="13"/>
      <c r="AA1485" s="13"/>
      <c r="AB1485" s="13"/>
      <c r="AC1485" s="13"/>
      <c r="AD1485" s="13"/>
      <c r="AE1485" s="13">
        <v>0.105</v>
      </c>
      <c r="AF1485" s="13"/>
      <c r="AG1485" s="13"/>
      <c r="AH1485" s="13"/>
      <c r="AI1485" s="13"/>
      <c r="AJ1485" s="13">
        <f t="shared" si="196"/>
        <v>0.105</v>
      </c>
      <c r="AK1485" s="12"/>
      <c r="AL1485" s="13"/>
      <c r="AM1485" s="9"/>
      <c r="AN1485" s="9"/>
      <c r="AO1485" s="9"/>
      <c r="AP1485" s="14"/>
    </row>
    <row r="1486" spans="1:42" s="45" customFormat="1" ht="22" customHeight="1">
      <c r="A1486" s="14" t="s">
        <v>17</v>
      </c>
      <c r="B1486" s="8">
        <v>2024</v>
      </c>
      <c r="C1486" s="8" t="s">
        <v>24</v>
      </c>
      <c r="D1486" s="9" t="s">
        <v>185</v>
      </c>
      <c r="E1486" s="9" t="s">
        <v>115</v>
      </c>
      <c r="F1486" s="9" t="s">
        <v>434</v>
      </c>
      <c r="G1486" s="8"/>
      <c r="H1486" s="8"/>
      <c r="I1486" s="9" t="s">
        <v>435</v>
      </c>
      <c r="J1486" s="14" t="s">
        <v>14</v>
      </c>
      <c r="K1486" s="9" t="s">
        <v>435</v>
      </c>
      <c r="L1486" s="9" t="s">
        <v>209</v>
      </c>
      <c r="M1486" s="9" t="s">
        <v>99</v>
      </c>
      <c r="N1486" s="9" t="s">
        <v>436</v>
      </c>
      <c r="O1486" s="9" t="s">
        <v>467</v>
      </c>
      <c r="P1486" s="9" t="s">
        <v>470</v>
      </c>
      <c r="Q1486" s="11">
        <v>36</v>
      </c>
      <c r="R1486" s="11"/>
      <c r="S1486" s="11">
        <f t="shared" si="198"/>
        <v>36</v>
      </c>
      <c r="T1486" s="9"/>
      <c r="U1486" s="14" t="s">
        <v>77</v>
      </c>
      <c r="V1486" s="9"/>
      <c r="W1486" s="12">
        <v>30</v>
      </c>
      <c r="X1486" s="13"/>
      <c r="Y1486" s="13"/>
      <c r="Z1486" s="13"/>
      <c r="AA1486" s="13"/>
      <c r="AB1486" s="13"/>
      <c r="AC1486" s="13"/>
      <c r="AD1486" s="13"/>
      <c r="AE1486" s="13">
        <v>0.105</v>
      </c>
      <c r="AF1486" s="13"/>
      <c r="AG1486" s="13"/>
      <c r="AH1486" s="13"/>
      <c r="AI1486" s="13"/>
      <c r="AJ1486" s="13">
        <f t="shared" si="196"/>
        <v>0.105</v>
      </c>
      <c r="AK1486" s="12"/>
      <c r="AL1486" s="13"/>
      <c r="AM1486" s="9"/>
      <c r="AN1486" s="9"/>
      <c r="AO1486" s="9"/>
      <c r="AP1486" s="14"/>
    </row>
    <row r="1487" spans="1:42" s="45" customFormat="1" ht="22" customHeight="1">
      <c r="A1487" s="14" t="s">
        <v>17</v>
      </c>
      <c r="B1487" s="8">
        <v>2024</v>
      </c>
      <c r="C1487" s="8" t="s">
        <v>24</v>
      </c>
      <c r="D1487" s="9" t="s">
        <v>185</v>
      </c>
      <c r="E1487" s="9" t="s">
        <v>115</v>
      </c>
      <c r="F1487" s="9" t="s">
        <v>434</v>
      </c>
      <c r="G1487" s="8"/>
      <c r="H1487" s="8"/>
      <c r="I1487" s="9" t="s">
        <v>435</v>
      </c>
      <c r="J1487" s="14" t="s">
        <v>14</v>
      </c>
      <c r="K1487" s="9" t="s">
        <v>435</v>
      </c>
      <c r="L1487" s="9" t="s">
        <v>209</v>
      </c>
      <c r="M1487" s="9" t="s">
        <v>99</v>
      </c>
      <c r="N1487" s="9" t="s">
        <v>436</v>
      </c>
      <c r="O1487" s="9" t="s">
        <v>467</v>
      </c>
      <c r="P1487" s="9" t="s">
        <v>471</v>
      </c>
      <c r="Q1487" s="11">
        <v>58</v>
      </c>
      <c r="R1487" s="11"/>
      <c r="S1487" s="11">
        <f t="shared" si="198"/>
        <v>58</v>
      </c>
      <c r="T1487" s="9"/>
      <c r="U1487" s="14" t="s">
        <v>77</v>
      </c>
      <c r="V1487" s="9"/>
      <c r="W1487" s="12">
        <v>30</v>
      </c>
      <c r="X1487" s="13"/>
      <c r="Y1487" s="13"/>
      <c r="Z1487" s="13"/>
      <c r="AA1487" s="13"/>
      <c r="AB1487" s="13"/>
      <c r="AC1487" s="13"/>
      <c r="AD1487" s="13"/>
      <c r="AE1487" s="13">
        <v>0.16500000000000001</v>
      </c>
      <c r="AF1487" s="13"/>
      <c r="AG1487" s="13"/>
      <c r="AH1487" s="13"/>
      <c r="AI1487" s="13"/>
      <c r="AJ1487" s="13">
        <f t="shared" si="196"/>
        <v>0.16500000000000001</v>
      </c>
      <c r="AK1487" s="12"/>
      <c r="AL1487" s="13"/>
      <c r="AM1487" s="9"/>
      <c r="AN1487" s="9"/>
      <c r="AO1487" s="9"/>
      <c r="AP1487" s="14"/>
    </row>
    <row r="1488" spans="1:42" s="45" customFormat="1" ht="22" customHeight="1">
      <c r="A1488" s="14" t="s">
        <v>17</v>
      </c>
      <c r="B1488" s="8">
        <v>2024</v>
      </c>
      <c r="C1488" s="8" t="s">
        <v>24</v>
      </c>
      <c r="D1488" s="9" t="s">
        <v>185</v>
      </c>
      <c r="E1488" s="9" t="s">
        <v>115</v>
      </c>
      <c r="F1488" s="9" t="s">
        <v>434</v>
      </c>
      <c r="G1488" s="8"/>
      <c r="H1488" s="8"/>
      <c r="I1488" s="9" t="s">
        <v>435</v>
      </c>
      <c r="J1488" s="14" t="s">
        <v>14</v>
      </c>
      <c r="K1488" s="9" t="s">
        <v>435</v>
      </c>
      <c r="L1488" s="9" t="s">
        <v>209</v>
      </c>
      <c r="M1488" s="9" t="s">
        <v>99</v>
      </c>
      <c r="N1488" s="9" t="s">
        <v>436</v>
      </c>
      <c r="O1488" s="9" t="s">
        <v>467</v>
      </c>
      <c r="P1488" s="9" t="s">
        <v>472</v>
      </c>
      <c r="Q1488" s="11">
        <v>25</v>
      </c>
      <c r="R1488" s="11"/>
      <c r="S1488" s="11">
        <f t="shared" si="198"/>
        <v>25</v>
      </c>
      <c r="T1488" s="9"/>
      <c r="U1488" s="14" t="s">
        <v>77</v>
      </c>
      <c r="V1488" s="9"/>
      <c r="W1488" s="12">
        <v>30</v>
      </c>
      <c r="X1488" s="13"/>
      <c r="Y1488" s="13"/>
      <c r="Z1488" s="13"/>
      <c r="AA1488" s="13"/>
      <c r="AB1488" s="13"/>
      <c r="AC1488" s="13"/>
      <c r="AD1488" s="13"/>
      <c r="AE1488" s="13">
        <v>7.4999999999999997E-2</v>
      </c>
      <c r="AF1488" s="13"/>
      <c r="AG1488" s="13"/>
      <c r="AH1488" s="13"/>
      <c r="AI1488" s="13"/>
      <c r="AJ1488" s="13">
        <f t="shared" si="196"/>
        <v>7.4999999999999997E-2</v>
      </c>
      <c r="AK1488" s="12"/>
      <c r="AL1488" s="13"/>
      <c r="AM1488" s="9"/>
      <c r="AN1488" s="9"/>
      <c r="AO1488" s="9"/>
      <c r="AP1488" s="14"/>
    </row>
    <row r="1489" spans="1:42" s="45" customFormat="1" ht="22" customHeight="1">
      <c r="A1489" s="14" t="s">
        <v>17</v>
      </c>
      <c r="B1489" s="8">
        <v>2024</v>
      </c>
      <c r="C1489" s="8" t="s">
        <v>24</v>
      </c>
      <c r="D1489" s="9" t="s">
        <v>185</v>
      </c>
      <c r="E1489" s="9" t="s">
        <v>115</v>
      </c>
      <c r="F1489" s="9" t="s">
        <v>434</v>
      </c>
      <c r="G1489" s="8"/>
      <c r="H1489" s="8"/>
      <c r="I1489" s="9" t="s">
        <v>435</v>
      </c>
      <c r="J1489" s="14" t="s">
        <v>14</v>
      </c>
      <c r="K1489" s="9" t="s">
        <v>435</v>
      </c>
      <c r="L1489" s="9" t="s">
        <v>209</v>
      </c>
      <c r="M1489" s="9" t="s">
        <v>99</v>
      </c>
      <c r="N1489" s="9" t="s">
        <v>436</v>
      </c>
      <c r="O1489" s="9" t="s">
        <v>467</v>
      </c>
      <c r="P1489" s="9" t="s">
        <v>473</v>
      </c>
      <c r="Q1489" s="11">
        <v>51</v>
      </c>
      <c r="R1489" s="11"/>
      <c r="S1489" s="11">
        <f t="shared" si="198"/>
        <v>51</v>
      </c>
      <c r="T1489" s="9"/>
      <c r="U1489" s="14" t="s">
        <v>77</v>
      </c>
      <c r="V1489" s="9"/>
      <c r="W1489" s="12">
        <v>30</v>
      </c>
      <c r="X1489" s="13"/>
      <c r="Y1489" s="13"/>
      <c r="Z1489" s="13"/>
      <c r="AA1489" s="13"/>
      <c r="AB1489" s="13"/>
      <c r="AC1489" s="13"/>
      <c r="AD1489" s="13"/>
      <c r="AE1489" s="13">
        <v>0.15</v>
      </c>
      <c r="AF1489" s="13"/>
      <c r="AG1489" s="13"/>
      <c r="AH1489" s="13"/>
      <c r="AI1489" s="13"/>
      <c r="AJ1489" s="13">
        <f t="shared" si="196"/>
        <v>0.15</v>
      </c>
      <c r="AK1489" s="12"/>
      <c r="AL1489" s="13"/>
      <c r="AM1489" s="9"/>
      <c r="AN1489" s="9"/>
      <c r="AO1489" s="9"/>
      <c r="AP1489" s="14"/>
    </row>
    <row r="1490" spans="1:42" s="45" customFormat="1" ht="22" customHeight="1">
      <c r="A1490" s="14" t="s">
        <v>17</v>
      </c>
      <c r="B1490" s="8">
        <v>2024</v>
      </c>
      <c r="C1490" s="8" t="s">
        <v>24</v>
      </c>
      <c r="D1490" s="9" t="s">
        <v>185</v>
      </c>
      <c r="E1490" s="9" t="s">
        <v>115</v>
      </c>
      <c r="F1490" s="9" t="s">
        <v>434</v>
      </c>
      <c r="G1490" s="8"/>
      <c r="H1490" s="8"/>
      <c r="I1490" s="9" t="s">
        <v>435</v>
      </c>
      <c r="J1490" s="14" t="s">
        <v>14</v>
      </c>
      <c r="K1490" s="9" t="s">
        <v>435</v>
      </c>
      <c r="L1490" s="9" t="s">
        <v>209</v>
      </c>
      <c r="M1490" s="9" t="s">
        <v>99</v>
      </c>
      <c r="N1490" s="9" t="s">
        <v>436</v>
      </c>
      <c r="O1490" s="9" t="s">
        <v>467</v>
      </c>
      <c r="P1490" s="9" t="s">
        <v>467</v>
      </c>
      <c r="Q1490" s="11">
        <v>60</v>
      </c>
      <c r="R1490" s="11"/>
      <c r="S1490" s="11">
        <f t="shared" si="198"/>
        <v>60</v>
      </c>
      <c r="T1490" s="9"/>
      <c r="U1490" s="14" t="s">
        <v>77</v>
      </c>
      <c r="V1490" s="9"/>
      <c r="W1490" s="12">
        <v>30</v>
      </c>
      <c r="X1490" s="13"/>
      <c r="Y1490" s="13"/>
      <c r="Z1490" s="13"/>
      <c r="AA1490" s="13"/>
      <c r="AB1490" s="13"/>
      <c r="AC1490" s="13"/>
      <c r="AD1490" s="13"/>
      <c r="AE1490" s="13">
        <v>0.18</v>
      </c>
      <c r="AF1490" s="13"/>
      <c r="AG1490" s="13"/>
      <c r="AH1490" s="13"/>
      <c r="AI1490" s="13"/>
      <c r="AJ1490" s="13">
        <f t="shared" si="196"/>
        <v>0.18</v>
      </c>
      <c r="AK1490" s="12"/>
      <c r="AL1490" s="13"/>
      <c r="AM1490" s="9"/>
      <c r="AN1490" s="9"/>
      <c r="AO1490" s="9"/>
      <c r="AP1490" s="14"/>
    </row>
    <row r="1491" spans="1:42" s="45" customFormat="1" ht="22" customHeight="1">
      <c r="A1491" s="14" t="s">
        <v>17</v>
      </c>
      <c r="B1491" s="8">
        <v>2024</v>
      </c>
      <c r="C1491" s="8" t="s">
        <v>24</v>
      </c>
      <c r="D1491" s="9" t="s">
        <v>185</v>
      </c>
      <c r="E1491" s="9" t="s">
        <v>115</v>
      </c>
      <c r="F1491" s="9" t="s">
        <v>434</v>
      </c>
      <c r="G1491" s="8"/>
      <c r="H1491" s="8"/>
      <c r="I1491" s="9" t="s">
        <v>435</v>
      </c>
      <c r="J1491" s="14" t="s">
        <v>14</v>
      </c>
      <c r="K1491" s="9" t="s">
        <v>435</v>
      </c>
      <c r="L1491" s="9" t="s">
        <v>209</v>
      </c>
      <c r="M1491" s="9" t="s">
        <v>99</v>
      </c>
      <c r="N1491" s="9" t="s">
        <v>436</v>
      </c>
      <c r="O1491" s="9" t="s">
        <v>467</v>
      </c>
      <c r="P1491" s="9" t="s">
        <v>474</v>
      </c>
      <c r="Q1491" s="11">
        <v>50</v>
      </c>
      <c r="R1491" s="11"/>
      <c r="S1491" s="11">
        <f t="shared" si="198"/>
        <v>50</v>
      </c>
      <c r="T1491" s="9"/>
      <c r="U1491" s="14" t="s">
        <v>77</v>
      </c>
      <c r="V1491" s="9"/>
      <c r="W1491" s="12">
        <v>30</v>
      </c>
      <c r="X1491" s="13"/>
      <c r="Y1491" s="13"/>
      <c r="Z1491" s="13"/>
      <c r="AA1491" s="13"/>
      <c r="AB1491" s="13"/>
      <c r="AC1491" s="13"/>
      <c r="AD1491" s="13"/>
      <c r="AE1491" s="13">
        <v>0.15</v>
      </c>
      <c r="AF1491" s="13"/>
      <c r="AG1491" s="13"/>
      <c r="AH1491" s="13"/>
      <c r="AI1491" s="13"/>
      <c r="AJ1491" s="13">
        <f t="shared" si="196"/>
        <v>0.15</v>
      </c>
      <c r="AK1491" s="12"/>
      <c r="AL1491" s="13"/>
      <c r="AM1491" s="9"/>
      <c r="AN1491" s="9"/>
      <c r="AO1491" s="9"/>
      <c r="AP1491" s="14"/>
    </row>
    <row r="1492" spans="1:42" s="45" customFormat="1" ht="22" customHeight="1">
      <c r="A1492" s="14" t="s">
        <v>17</v>
      </c>
      <c r="B1492" s="8">
        <v>2024</v>
      </c>
      <c r="C1492" s="8" t="s">
        <v>24</v>
      </c>
      <c r="D1492" s="9" t="s">
        <v>185</v>
      </c>
      <c r="E1492" s="9" t="s">
        <v>115</v>
      </c>
      <c r="F1492" s="9" t="s">
        <v>434</v>
      </c>
      <c r="G1492" s="8"/>
      <c r="H1492" s="8"/>
      <c r="I1492" s="9" t="s">
        <v>435</v>
      </c>
      <c r="J1492" s="14" t="s">
        <v>14</v>
      </c>
      <c r="K1492" s="9" t="s">
        <v>435</v>
      </c>
      <c r="L1492" s="9" t="s">
        <v>209</v>
      </c>
      <c r="M1492" s="9" t="s">
        <v>99</v>
      </c>
      <c r="N1492" s="9" t="s">
        <v>436</v>
      </c>
      <c r="O1492" s="9" t="s">
        <v>475</v>
      </c>
      <c r="P1492" s="9" t="s">
        <v>475</v>
      </c>
      <c r="Q1492" s="11">
        <v>80</v>
      </c>
      <c r="R1492" s="11"/>
      <c r="S1492" s="11">
        <v>80</v>
      </c>
      <c r="T1492" s="9"/>
      <c r="U1492" s="14" t="s">
        <v>77</v>
      </c>
      <c r="V1492" s="9"/>
      <c r="W1492" s="12">
        <v>90</v>
      </c>
      <c r="X1492" s="13"/>
      <c r="Y1492" s="13"/>
      <c r="Z1492" s="13"/>
      <c r="AA1492" s="13"/>
      <c r="AB1492" s="13"/>
      <c r="AC1492" s="13"/>
      <c r="AD1492" s="13"/>
      <c r="AE1492" s="13">
        <v>0.72</v>
      </c>
      <c r="AF1492" s="13"/>
      <c r="AG1492" s="13"/>
      <c r="AH1492" s="13"/>
      <c r="AI1492" s="13"/>
      <c r="AJ1492" s="13">
        <f t="shared" si="196"/>
        <v>0.72</v>
      </c>
      <c r="AK1492" s="12"/>
      <c r="AL1492" s="13"/>
      <c r="AM1492" s="9"/>
      <c r="AN1492" s="9"/>
      <c r="AO1492" s="9"/>
      <c r="AP1492" s="14"/>
    </row>
    <row r="1493" spans="1:42" s="45" customFormat="1" ht="22" customHeight="1">
      <c r="A1493" s="14" t="s">
        <v>17</v>
      </c>
      <c r="B1493" s="8">
        <v>2024</v>
      </c>
      <c r="C1493" s="8" t="s">
        <v>24</v>
      </c>
      <c r="D1493" s="9" t="s">
        <v>185</v>
      </c>
      <c r="E1493" s="9" t="s">
        <v>115</v>
      </c>
      <c r="F1493" s="9" t="s">
        <v>434</v>
      </c>
      <c r="G1493" s="8"/>
      <c r="H1493" s="8"/>
      <c r="I1493" s="9" t="s">
        <v>435</v>
      </c>
      <c r="J1493" s="14" t="s">
        <v>14</v>
      </c>
      <c r="K1493" s="9" t="s">
        <v>435</v>
      </c>
      <c r="L1493" s="9" t="s">
        <v>209</v>
      </c>
      <c r="M1493" s="9" t="s">
        <v>99</v>
      </c>
      <c r="N1493" s="9" t="s">
        <v>436</v>
      </c>
      <c r="O1493" s="9" t="s">
        <v>476</v>
      </c>
      <c r="P1493" s="9" t="s">
        <v>477</v>
      </c>
      <c r="Q1493" s="11">
        <v>126</v>
      </c>
      <c r="R1493" s="11"/>
      <c r="S1493" s="11">
        <v>126</v>
      </c>
      <c r="T1493" s="9"/>
      <c r="U1493" s="14" t="s">
        <v>77</v>
      </c>
      <c r="V1493" s="9"/>
      <c r="W1493" s="12">
        <v>90</v>
      </c>
      <c r="X1493" s="13"/>
      <c r="Y1493" s="13"/>
      <c r="Z1493" s="13"/>
      <c r="AA1493" s="13"/>
      <c r="AB1493" s="13"/>
      <c r="AC1493" s="13"/>
      <c r="AD1493" s="13"/>
      <c r="AE1493" s="13">
        <v>1.1399999999999999</v>
      </c>
      <c r="AF1493" s="13"/>
      <c r="AG1493" s="13"/>
      <c r="AH1493" s="13"/>
      <c r="AI1493" s="13"/>
      <c r="AJ1493" s="13">
        <f t="shared" si="196"/>
        <v>1.1399999999999999</v>
      </c>
      <c r="AK1493" s="12"/>
      <c r="AL1493" s="13"/>
      <c r="AM1493" s="9"/>
      <c r="AN1493" s="9"/>
      <c r="AO1493" s="9"/>
      <c r="AP1493" s="14"/>
    </row>
    <row r="1494" spans="1:42" s="45" customFormat="1" ht="22" customHeight="1">
      <c r="A1494" s="14" t="s">
        <v>17</v>
      </c>
      <c r="B1494" s="8">
        <v>2024</v>
      </c>
      <c r="C1494" s="8" t="s">
        <v>24</v>
      </c>
      <c r="D1494" s="9" t="s">
        <v>185</v>
      </c>
      <c r="E1494" s="9" t="s">
        <v>115</v>
      </c>
      <c r="F1494" s="9" t="s">
        <v>434</v>
      </c>
      <c r="G1494" s="8"/>
      <c r="H1494" s="8"/>
      <c r="I1494" s="9" t="s">
        <v>435</v>
      </c>
      <c r="J1494" s="14" t="s">
        <v>14</v>
      </c>
      <c r="K1494" s="9" t="s">
        <v>435</v>
      </c>
      <c r="L1494" s="9" t="s">
        <v>209</v>
      </c>
      <c r="M1494" s="9" t="s">
        <v>99</v>
      </c>
      <c r="N1494" s="9" t="s">
        <v>436</v>
      </c>
      <c r="O1494" s="9" t="s">
        <v>478</v>
      </c>
      <c r="P1494" s="9" t="s">
        <v>479</v>
      </c>
      <c r="Q1494" s="11">
        <v>0</v>
      </c>
      <c r="R1494" s="11"/>
      <c r="S1494" s="11">
        <v>0</v>
      </c>
      <c r="T1494" s="9"/>
      <c r="U1494" s="14" t="s">
        <v>77</v>
      </c>
      <c r="V1494" s="9"/>
      <c r="W1494" s="12">
        <v>0</v>
      </c>
      <c r="X1494" s="13"/>
      <c r="Y1494" s="13"/>
      <c r="Z1494" s="13"/>
      <c r="AA1494" s="13"/>
      <c r="AB1494" s="13"/>
      <c r="AC1494" s="13"/>
      <c r="AD1494" s="13"/>
      <c r="AE1494" s="13">
        <v>0</v>
      </c>
      <c r="AF1494" s="13"/>
      <c r="AG1494" s="13"/>
      <c r="AH1494" s="13"/>
      <c r="AI1494" s="13"/>
      <c r="AJ1494" s="13">
        <f t="shared" si="196"/>
        <v>0</v>
      </c>
      <c r="AK1494" s="12"/>
      <c r="AL1494" s="13"/>
      <c r="AM1494" s="9"/>
      <c r="AN1494" s="9"/>
      <c r="AO1494" s="9"/>
      <c r="AP1494" s="14"/>
    </row>
    <row r="1495" spans="1:42" s="45" customFormat="1" ht="22" customHeight="1">
      <c r="A1495" s="14" t="s">
        <v>17</v>
      </c>
      <c r="B1495" s="8">
        <v>2024</v>
      </c>
      <c r="C1495" s="8" t="s">
        <v>24</v>
      </c>
      <c r="D1495" s="9" t="s">
        <v>185</v>
      </c>
      <c r="E1495" s="9" t="s">
        <v>115</v>
      </c>
      <c r="F1495" s="9" t="s">
        <v>434</v>
      </c>
      <c r="G1495" s="8"/>
      <c r="H1495" s="8"/>
      <c r="I1495" s="9" t="s">
        <v>435</v>
      </c>
      <c r="J1495" s="14" t="s">
        <v>14</v>
      </c>
      <c r="K1495" s="9" t="s">
        <v>435</v>
      </c>
      <c r="L1495" s="9" t="s">
        <v>209</v>
      </c>
      <c r="M1495" s="9" t="s">
        <v>99</v>
      </c>
      <c r="N1495" s="9" t="s">
        <v>436</v>
      </c>
      <c r="O1495" s="9" t="s">
        <v>478</v>
      </c>
      <c r="P1495" s="9" t="s">
        <v>480</v>
      </c>
      <c r="Q1495" s="11">
        <v>0</v>
      </c>
      <c r="R1495" s="11"/>
      <c r="S1495" s="11">
        <v>0</v>
      </c>
      <c r="T1495" s="9"/>
      <c r="U1495" s="14" t="s">
        <v>77</v>
      </c>
      <c r="V1495" s="9"/>
      <c r="W1495" s="12">
        <v>0</v>
      </c>
      <c r="X1495" s="13"/>
      <c r="Y1495" s="13"/>
      <c r="Z1495" s="13"/>
      <c r="AA1495" s="13"/>
      <c r="AB1495" s="13"/>
      <c r="AC1495" s="13"/>
      <c r="AD1495" s="13"/>
      <c r="AE1495" s="13">
        <v>0</v>
      </c>
      <c r="AF1495" s="13"/>
      <c r="AG1495" s="13"/>
      <c r="AH1495" s="13"/>
      <c r="AI1495" s="13"/>
      <c r="AJ1495" s="13">
        <f t="shared" si="196"/>
        <v>0</v>
      </c>
      <c r="AK1495" s="12"/>
      <c r="AL1495" s="13"/>
      <c r="AM1495" s="9"/>
      <c r="AN1495" s="9"/>
      <c r="AO1495" s="9"/>
      <c r="AP1495" s="14"/>
    </row>
    <row r="1496" spans="1:42" s="45" customFormat="1" ht="22" customHeight="1">
      <c r="A1496" s="14" t="s">
        <v>17</v>
      </c>
      <c r="B1496" s="8">
        <v>2024</v>
      </c>
      <c r="C1496" s="8" t="s">
        <v>24</v>
      </c>
      <c r="D1496" s="9" t="s">
        <v>185</v>
      </c>
      <c r="E1496" s="9" t="s">
        <v>115</v>
      </c>
      <c r="F1496" s="9" t="s">
        <v>434</v>
      </c>
      <c r="G1496" s="8"/>
      <c r="H1496" s="8"/>
      <c r="I1496" s="9" t="s">
        <v>435</v>
      </c>
      <c r="J1496" s="14" t="s">
        <v>14</v>
      </c>
      <c r="K1496" s="9" t="s">
        <v>435</v>
      </c>
      <c r="L1496" s="9" t="s">
        <v>209</v>
      </c>
      <c r="M1496" s="9" t="s">
        <v>99</v>
      </c>
      <c r="N1496" s="9" t="s">
        <v>436</v>
      </c>
      <c r="O1496" s="9" t="s">
        <v>478</v>
      </c>
      <c r="P1496" s="9" t="s">
        <v>481</v>
      </c>
      <c r="Q1496" s="11">
        <v>0</v>
      </c>
      <c r="R1496" s="11"/>
      <c r="S1496" s="11">
        <v>0</v>
      </c>
      <c r="T1496" s="9"/>
      <c r="U1496" s="14" t="s">
        <v>77</v>
      </c>
      <c r="V1496" s="9"/>
      <c r="W1496" s="12">
        <v>0</v>
      </c>
      <c r="X1496" s="13"/>
      <c r="Y1496" s="13"/>
      <c r="Z1496" s="13"/>
      <c r="AA1496" s="13"/>
      <c r="AB1496" s="13"/>
      <c r="AC1496" s="13"/>
      <c r="AD1496" s="13"/>
      <c r="AE1496" s="13">
        <v>0</v>
      </c>
      <c r="AF1496" s="13"/>
      <c r="AG1496" s="13"/>
      <c r="AH1496" s="13"/>
      <c r="AI1496" s="13"/>
      <c r="AJ1496" s="13">
        <f t="shared" si="196"/>
        <v>0</v>
      </c>
      <c r="AK1496" s="12"/>
      <c r="AL1496" s="13"/>
      <c r="AM1496" s="9"/>
      <c r="AN1496" s="9"/>
      <c r="AO1496" s="9"/>
      <c r="AP1496" s="14"/>
    </row>
    <row r="1497" spans="1:42" s="45" customFormat="1" ht="22" customHeight="1">
      <c r="A1497" s="14" t="s">
        <v>17</v>
      </c>
      <c r="B1497" s="8">
        <v>2024</v>
      </c>
      <c r="C1497" s="8" t="s">
        <v>24</v>
      </c>
      <c r="D1497" s="9" t="s">
        <v>185</v>
      </c>
      <c r="E1497" s="9" t="s">
        <v>115</v>
      </c>
      <c r="F1497" s="9" t="s">
        <v>434</v>
      </c>
      <c r="G1497" s="8"/>
      <c r="H1497" s="8"/>
      <c r="I1497" s="9" t="s">
        <v>435</v>
      </c>
      <c r="J1497" s="14" t="s">
        <v>14</v>
      </c>
      <c r="K1497" s="9" t="s">
        <v>435</v>
      </c>
      <c r="L1497" s="9" t="s">
        <v>209</v>
      </c>
      <c r="M1497" s="9" t="s">
        <v>99</v>
      </c>
      <c r="N1497" s="9" t="s">
        <v>436</v>
      </c>
      <c r="O1497" s="9" t="s">
        <v>478</v>
      </c>
      <c r="P1497" s="9" t="s">
        <v>482</v>
      </c>
      <c r="Q1497" s="11">
        <v>73</v>
      </c>
      <c r="R1497" s="11"/>
      <c r="S1497" s="11">
        <f>+Q1497</f>
        <v>73</v>
      </c>
      <c r="T1497" s="9"/>
      <c r="U1497" s="14" t="s">
        <v>77</v>
      </c>
      <c r="V1497" s="9"/>
      <c r="W1497" s="12">
        <v>90</v>
      </c>
      <c r="X1497" s="13"/>
      <c r="Y1497" s="13"/>
      <c r="Z1497" s="13"/>
      <c r="AA1497" s="13"/>
      <c r="AB1497" s="13"/>
      <c r="AC1497" s="13"/>
      <c r="AD1497" s="13"/>
      <c r="AE1497" s="13">
        <v>0.27</v>
      </c>
      <c r="AF1497" s="13"/>
      <c r="AG1497" s="13"/>
      <c r="AH1497" s="13"/>
      <c r="AI1497" s="13"/>
      <c r="AJ1497" s="13">
        <f t="shared" si="196"/>
        <v>0.27</v>
      </c>
      <c r="AK1497" s="12"/>
      <c r="AL1497" s="13"/>
      <c r="AM1497" s="9"/>
      <c r="AN1497" s="9"/>
      <c r="AO1497" s="9"/>
      <c r="AP1497" s="14"/>
    </row>
    <row r="1498" spans="1:42" s="45" customFormat="1" ht="22" customHeight="1">
      <c r="A1498" s="14" t="s">
        <v>17</v>
      </c>
      <c r="B1498" s="8">
        <v>2024</v>
      </c>
      <c r="C1498" s="8" t="s">
        <v>24</v>
      </c>
      <c r="D1498" s="9" t="s">
        <v>185</v>
      </c>
      <c r="E1498" s="9" t="s">
        <v>115</v>
      </c>
      <c r="F1498" s="9" t="s">
        <v>434</v>
      </c>
      <c r="G1498" s="8"/>
      <c r="H1498" s="8"/>
      <c r="I1498" s="9" t="s">
        <v>435</v>
      </c>
      <c r="J1498" s="14" t="s">
        <v>14</v>
      </c>
      <c r="K1498" s="9" t="s">
        <v>435</v>
      </c>
      <c r="L1498" s="9" t="s">
        <v>209</v>
      </c>
      <c r="M1498" s="9" t="s">
        <v>99</v>
      </c>
      <c r="N1498" s="9" t="s">
        <v>436</v>
      </c>
      <c r="O1498" s="9" t="s">
        <v>478</v>
      </c>
      <c r="P1498" s="9" t="s">
        <v>236</v>
      </c>
      <c r="Q1498" s="11">
        <v>0</v>
      </c>
      <c r="R1498" s="11"/>
      <c r="S1498" s="11">
        <v>0</v>
      </c>
      <c r="T1498" s="9"/>
      <c r="U1498" s="14" t="s">
        <v>77</v>
      </c>
      <c r="V1498" s="9"/>
      <c r="W1498" s="12">
        <v>0</v>
      </c>
      <c r="X1498" s="13"/>
      <c r="Y1498" s="13"/>
      <c r="Z1498" s="13"/>
      <c r="AA1498" s="13"/>
      <c r="AB1498" s="13"/>
      <c r="AC1498" s="13"/>
      <c r="AD1498" s="13"/>
      <c r="AE1498" s="13">
        <v>0</v>
      </c>
      <c r="AF1498" s="13"/>
      <c r="AG1498" s="13"/>
      <c r="AH1498" s="13"/>
      <c r="AI1498" s="13"/>
      <c r="AJ1498" s="13">
        <f t="shared" si="196"/>
        <v>0</v>
      </c>
      <c r="AK1498" s="12"/>
      <c r="AL1498" s="13"/>
      <c r="AM1498" s="9"/>
      <c r="AN1498" s="9"/>
      <c r="AO1498" s="9"/>
      <c r="AP1498" s="14"/>
    </row>
    <row r="1499" spans="1:42" s="45" customFormat="1" ht="22" customHeight="1">
      <c r="A1499" s="14" t="s">
        <v>17</v>
      </c>
      <c r="B1499" s="8">
        <v>2024</v>
      </c>
      <c r="C1499" s="8" t="s">
        <v>24</v>
      </c>
      <c r="D1499" s="9" t="s">
        <v>185</v>
      </c>
      <c r="E1499" s="9" t="s">
        <v>115</v>
      </c>
      <c r="F1499" s="9" t="s">
        <v>434</v>
      </c>
      <c r="G1499" s="8"/>
      <c r="H1499" s="8"/>
      <c r="I1499" s="9" t="s">
        <v>435</v>
      </c>
      <c r="J1499" s="14" t="s">
        <v>14</v>
      </c>
      <c r="K1499" s="9" t="s">
        <v>435</v>
      </c>
      <c r="L1499" s="9" t="s">
        <v>209</v>
      </c>
      <c r="M1499" s="9" t="s">
        <v>99</v>
      </c>
      <c r="N1499" s="9" t="s">
        <v>436</v>
      </c>
      <c r="O1499" s="9" t="s">
        <v>478</v>
      </c>
      <c r="P1499" s="9" t="s">
        <v>483</v>
      </c>
      <c r="Q1499" s="11">
        <v>0</v>
      </c>
      <c r="R1499" s="11"/>
      <c r="S1499" s="11">
        <v>0</v>
      </c>
      <c r="T1499" s="9"/>
      <c r="U1499" s="14" t="s">
        <v>77</v>
      </c>
      <c r="V1499" s="9"/>
      <c r="W1499" s="12">
        <v>0</v>
      </c>
      <c r="X1499" s="13"/>
      <c r="Y1499" s="13"/>
      <c r="Z1499" s="13"/>
      <c r="AA1499" s="13"/>
      <c r="AB1499" s="13"/>
      <c r="AC1499" s="13"/>
      <c r="AD1499" s="13"/>
      <c r="AE1499" s="13">
        <v>0</v>
      </c>
      <c r="AF1499" s="13"/>
      <c r="AG1499" s="13"/>
      <c r="AH1499" s="13"/>
      <c r="AI1499" s="13"/>
      <c r="AJ1499" s="13">
        <f t="shared" si="196"/>
        <v>0</v>
      </c>
      <c r="AK1499" s="12"/>
      <c r="AL1499" s="13"/>
      <c r="AM1499" s="9"/>
      <c r="AN1499" s="9"/>
      <c r="AO1499" s="9"/>
      <c r="AP1499" s="14"/>
    </row>
    <row r="1500" spans="1:42" s="45" customFormat="1" ht="22" customHeight="1">
      <c r="A1500" s="14" t="s">
        <v>17</v>
      </c>
      <c r="B1500" s="8">
        <v>2024</v>
      </c>
      <c r="C1500" s="8" t="s">
        <v>24</v>
      </c>
      <c r="D1500" s="9" t="s">
        <v>185</v>
      </c>
      <c r="E1500" s="9" t="s">
        <v>115</v>
      </c>
      <c r="F1500" s="9" t="s">
        <v>434</v>
      </c>
      <c r="G1500" s="8"/>
      <c r="H1500" s="8"/>
      <c r="I1500" s="9" t="s">
        <v>435</v>
      </c>
      <c r="J1500" s="14" t="s">
        <v>14</v>
      </c>
      <c r="K1500" s="9" t="s">
        <v>435</v>
      </c>
      <c r="L1500" s="9" t="s">
        <v>209</v>
      </c>
      <c r="M1500" s="9" t="s">
        <v>99</v>
      </c>
      <c r="N1500" s="9" t="s">
        <v>436</v>
      </c>
      <c r="O1500" s="9" t="s">
        <v>478</v>
      </c>
      <c r="P1500" s="9" t="s">
        <v>484</v>
      </c>
      <c r="Q1500" s="11">
        <v>0</v>
      </c>
      <c r="R1500" s="11"/>
      <c r="S1500" s="11">
        <v>0</v>
      </c>
      <c r="T1500" s="9"/>
      <c r="U1500" s="14" t="s">
        <v>77</v>
      </c>
      <c r="V1500" s="9"/>
      <c r="W1500" s="12">
        <v>0</v>
      </c>
      <c r="X1500" s="13"/>
      <c r="Y1500" s="13"/>
      <c r="Z1500" s="13"/>
      <c r="AA1500" s="13"/>
      <c r="AB1500" s="13"/>
      <c r="AC1500" s="13"/>
      <c r="AD1500" s="13"/>
      <c r="AE1500" s="13">
        <v>0</v>
      </c>
      <c r="AF1500" s="13"/>
      <c r="AG1500" s="13"/>
      <c r="AH1500" s="13"/>
      <c r="AI1500" s="13"/>
      <c r="AJ1500" s="13">
        <f t="shared" si="196"/>
        <v>0</v>
      </c>
      <c r="AK1500" s="12"/>
      <c r="AL1500" s="13"/>
      <c r="AM1500" s="9"/>
      <c r="AN1500" s="9"/>
      <c r="AO1500" s="9"/>
      <c r="AP1500" s="14"/>
    </row>
    <row r="1501" spans="1:42" s="45" customFormat="1" ht="22" customHeight="1">
      <c r="A1501" s="14" t="s">
        <v>17</v>
      </c>
      <c r="B1501" s="8">
        <v>2024</v>
      </c>
      <c r="C1501" s="8" t="s">
        <v>24</v>
      </c>
      <c r="D1501" s="9" t="s">
        <v>185</v>
      </c>
      <c r="E1501" s="9" t="s">
        <v>115</v>
      </c>
      <c r="F1501" s="9" t="s">
        <v>434</v>
      </c>
      <c r="G1501" s="8"/>
      <c r="H1501" s="8"/>
      <c r="I1501" s="9" t="s">
        <v>435</v>
      </c>
      <c r="J1501" s="14" t="s">
        <v>14</v>
      </c>
      <c r="K1501" s="9" t="s">
        <v>435</v>
      </c>
      <c r="L1501" s="9" t="s">
        <v>209</v>
      </c>
      <c r="M1501" s="9" t="s">
        <v>99</v>
      </c>
      <c r="N1501" s="9" t="s">
        <v>436</v>
      </c>
      <c r="O1501" s="9" t="s">
        <v>478</v>
      </c>
      <c r="P1501" s="9" t="s">
        <v>485</v>
      </c>
      <c r="Q1501" s="11">
        <v>0</v>
      </c>
      <c r="R1501" s="11"/>
      <c r="S1501" s="11">
        <v>0</v>
      </c>
      <c r="T1501" s="9"/>
      <c r="U1501" s="14" t="s">
        <v>77</v>
      </c>
      <c r="V1501" s="9"/>
      <c r="W1501" s="12">
        <v>0</v>
      </c>
      <c r="X1501" s="13"/>
      <c r="Y1501" s="13"/>
      <c r="Z1501" s="13"/>
      <c r="AA1501" s="13"/>
      <c r="AB1501" s="13"/>
      <c r="AC1501" s="13"/>
      <c r="AD1501" s="13"/>
      <c r="AE1501" s="13">
        <v>0</v>
      </c>
      <c r="AF1501" s="13"/>
      <c r="AG1501" s="13"/>
      <c r="AH1501" s="13"/>
      <c r="AI1501" s="13"/>
      <c r="AJ1501" s="13">
        <f t="shared" si="196"/>
        <v>0</v>
      </c>
      <c r="AK1501" s="12"/>
      <c r="AL1501" s="13"/>
      <c r="AM1501" s="9"/>
      <c r="AN1501" s="9"/>
      <c r="AO1501" s="9"/>
      <c r="AP1501" s="14"/>
    </row>
    <row r="1502" spans="1:42" s="45" customFormat="1" ht="22" customHeight="1">
      <c r="A1502" s="14" t="s">
        <v>17</v>
      </c>
      <c r="B1502" s="8">
        <v>2024</v>
      </c>
      <c r="C1502" s="8" t="s">
        <v>24</v>
      </c>
      <c r="D1502" s="9" t="s">
        <v>185</v>
      </c>
      <c r="E1502" s="9" t="s">
        <v>115</v>
      </c>
      <c r="F1502" s="9" t="s">
        <v>434</v>
      </c>
      <c r="G1502" s="8"/>
      <c r="H1502" s="8"/>
      <c r="I1502" s="9" t="s">
        <v>435</v>
      </c>
      <c r="J1502" s="14" t="s">
        <v>14</v>
      </c>
      <c r="K1502" s="9" t="s">
        <v>435</v>
      </c>
      <c r="L1502" s="9" t="s">
        <v>209</v>
      </c>
      <c r="M1502" s="9" t="s">
        <v>99</v>
      </c>
      <c r="N1502" s="9" t="s">
        <v>436</v>
      </c>
      <c r="O1502" s="9" t="s">
        <v>478</v>
      </c>
      <c r="P1502" s="9" t="s">
        <v>486</v>
      </c>
      <c r="Q1502" s="11">
        <v>0</v>
      </c>
      <c r="R1502" s="11"/>
      <c r="S1502" s="11">
        <v>0</v>
      </c>
      <c r="T1502" s="9"/>
      <c r="U1502" s="14" t="s">
        <v>77</v>
      </c>
      <c r="V1502" s="9"/>
      <c r="W1502" s="12">
        <v>0</v>
      </c>
      <c r="X1502" s="13"/>
      <c r="Y1502" s="13"/>
      <c r="Z1502" s="13"/>
      <c r="AA1502" s="13"/>
      <c r="AB1502" s="13"/>
      <c r="AC1502" s="13"/>
      <c r="AD1502" s="13"/>
      <c r="AE1502" s="13">
        <v>0</v>
      </c>
      <c r="AF1502" s="13"/>
      <c r="AG1502" s="13"/>
      <c r="AH1502" s="13"/>
      <c r="AI1502" s="13"/>
      <c r="AJ1502" s="13">
        <f t="shared" si="196"/>
        <v>0</v>
      </c>
      <c r="AK1502" s="12"/>
      <c r="AL1502" s="13"/>
      <c r="AM1502" s="9"/>
      <c r="AN1502" s="9"/>
      <c r="AO1502" s="9"/>
      <c r="AP1502" s="14"/>
    </row>
    <row r="1503" spans="1:42" s="45" customFormat="1" ht="22" customHeight="1">
      <c r="A1503" s="14" t="s">
        <v>17</v>
      </c>
      <c r="B1503" s="8">
        <v>2024</v>
      </c>
      <c r="C1503" s="8" t="s">
        <v>24</v>
      </c>
      <c r="D1503" s="9" t="s">
        <v>185</v>
      </c>
      <c r="E1503" s="9" t="s">
        <v>115</v>
      </c>
      <c r="F1503" s="9" t="s">
        <v>434</v>
      </c>
      <c r="G1503" s="8"/>
      <c r="H1503" s="8"/>
      <c r="I1503" s="9" t="s">
        <v>435</v>
      </c>
      <c r="J1503" s="14" t="s">
        <v>14</v>
      </c>
      <c r="K1503" s="9" t="s">
        <v>435</v>
      </c>
      <c r="L1503" s="9" t="s">
        <v>209</v>
      </c>
      <c r="M1503" s="9" t="s">
        <v>99</v>
      </c>
      <c r="N1503" s="9" t="s">
        <v>436</v>
      </c>
      <c r="O1503" s="9" t="s">
        <v>478</v>
      </c>
      <c r="P1503" s="9" t="s">
        <v>487</v>
      </c>
      <c r="Q1503" s="11">
        <v>0</v>
      </c>
      <c r="R1503" s="11"/>
      <c r="S1503" s="11">
        <v>0</v>
      </c>
      <c r="T1503" s="9"/>
      <c r="U1503" s="14" t="s">
        <v>77</v>
      </c>
      <c r="V1503" s="9"/>
      <c r="W1503" s="12">
        <v>0</v>
      </c>
      <c r="X1503" s="13"/>
      <c r="Y1503" s="13"/>
      <c r="Z1503" s="13"/>
      <c r="AA1503" s="13"/>
      <c r="AB1503" s="13"/>
      <c r="AC1503" s="13"/>
      <c r="AD1503" s="13"/>
      <c r="AE1503" s="13">
        <v>0</v>
      </c>
      <c r="AF1503" s="13"/>
      <c r="AG1503" s="13"/>
      <c r="AH1503" s="13"/>
      <c r="AI1503" s="13"/>
      <c r="AJ1503" s="13">
        <f t="shared" si="196"/>
        <v>0</v>
      </c>
      <c r="AK1503" s="12"/>
      <c r="AL1503" s="13"/>
      <c r="AM1503" s="9"/>
      <c r="AN1503" s="9"/>
      <c r="AO1503" s="9"/>
      <c r="AP1503" s="14"/>
    </row>
    <row r="1504" spans="1:42" s="45" customFormat="1" ht="22" customHeight="1">
      <c r="A1504" s="14" t="s">
        <v>17</v>
      </c>
      <c r="B1504" s="8">
        <v>2024</v>
      </c>
      <c r="C1504" s="8" t="s">
        <v>24</v>
      </c>
      <c r="D1504" s="9" t="s">
        <v>185</v>
      </c>
      <c r="E1504" s="9" t="s">
        <v>115</v>
      </c>
      <c r="F1504" s="9" t="s">
        <v>434</v>
      </c>
      <c r="G1504" s="8"/>
      <c r="H1504" s="8"/>
      <c r="I1504" s="9" t="s">
        <v>435</v>
      </c>
      <c r="J1504" s="14" t="s">
        <v>14</v>
      </c>
      <c r="K1504" s="9" t="s">
        <v>435</v>
      </c>
      <c r="L1504" s="9" t="s">
        <v>209</v>
      </c>
      <c r="M1504" s="9" t="s">
        <v>99</v>
      </c>
      <c r="N1504" s="9" t="s">
        <v>436</v>
      </c>
      <c r="O1504" s="9" t="s">
        <v>230</v>
      </c>
      <c r="P1504" s="9" t="s">
        <v>488</v>
      </c>
      <c r="Q1504" s="11">
        <v>0</v>
      </c>
      <c r="R1504" s="11"/>
      <c r="S1504" s="11">
        <v>0</v>
      </c>
      <c r="T1504" s="9"/>
      <c r="U1504" s="14" t="s">
        <v>77</v>
      </c>
      <c r="V1504" s="9"/>
      <c r="W1504" s="12">
        <v>0</v>
      </c>
      <c r="X1504" s="13"/>
      <c r="Y1504" s="13"/>
      <c r="Z1504" s="13"/>
      <c r="AA1504" s="13"/>
      <c r="AB1504" s="13"/>
      <c r="AC1504" s="13"/>
      <c r="AD1504" s="13"/>
      <c r="AE1504" s="13">
        <v>0</v>
      </c>
      <c r="AF1504" s="13"/>
      <c r="AG1504" s="13"/>
      <c r="AH1504" s="13"/>
      <c r="AI1504" s="13"/>
      <c r="AJ1504" s="13">
        <f t="shared" si="196"/>
        <v>0</v>
      </c>
      <c r="AK1504" s="12"/>
      <c r="AL1504" s="13"/>
      <c r="AM1504" s="9"/>
      <c r="AN1504" s="9"/>
      <c r="AO1504" s="9"/>
      <c r="AP1504" s="14"/>
    </row>
    <row r="1505" spans="1:42" s="45" customFormat="1" ht="22" customHeight="1">
      <c r="A1505" s="14" t="s">
        <v>17</v>
      </c>
      <c r="B1505" s="8">
        <v>2024</v>
      </c>
      <c r="C1505" s="8" t="s">
        <v>24</v>
      </c>
      <c r="D1505" s="9" t="s">
        <v>185</v>
      </c>
      <c r="E1505" s="9" t="s">
        <v>115</v>
      </c>
      <c r="F1505" s="9" t="s">
        <v>434</v>
      </c>
      <c r="G1505" s="8"/>
      <c r="H1505" s="8"/>
      <c r="I1505" s="9" t="s">
        <v>435</v>
      </c>
      <c r="J1505" s="14" t="s">
        <v>14</v>
      </c>
      <c r="K1505" s="9" t="s">
        <v>435</v>
      </c>
      <c r="L1505" s="9" t="s">
        <v>209</v>
      </c>
      <c r="M1505" s="9" t="s">
        <v>99</v>
      </c>
      <c r="N1505" s="9" t="s">
        <v>436</v>
      </c>
      <c r="O1505" s="9" t="s">
        <v>230</v>
      </c>
      <c r="P1505" s="9" t="s">
        <v>489</v>
      </c>
      <c r="Q1505" s="11">
        <v>0</v>
      </c>
      <c r="R1505" s="11"/>
      <c r="S1505" s="11">
        <v>0</v>
      </c>
      <c r="T1505" s="9"/>
      <c r="U1505" s="14" t="s">
        <v>77</v>
      </c>
      <c r="V1505" s="9"/>
      <c r="W1505" s="12">
        <v>0</v>
      </c>
      <c r="X1505" s="13"/>
      <c r="Y1505" s="13"/>
      <c r="Z1505" s="13"/>
      <c r="AA1505" s="13"/>
      <c r="AB1505" s="13"/>
      <c r="AC1505" s="13"/>
      <c r="AD1505" s="13"/>
      <c r="AE1505" s="13">
        <v>0</v>
      </c>
      <c r="AF1505" s="13"/>
      <c r="AG1505" s="13"/>
      <c r="AH1505" s="13"/>
      <c r="AI1505" s="13"/>
      <c r="AJ1505" s="13">
        <f t="shared" si="196"/>
        <v>0</v>
      </c>
      <c r="AK1505" s="12"/>
      <c r="AL1505" s="13"/>
      <c r="AM1505" s="9"/>
      <c r="AN1505" s="9"/>
      <c r="AO1505" s="9"/>
      <c r="AP1505" s="14"/>
    </row>
    <row r="1506" spans="1:42" s="45" customFormat="1" ht="22" customHeight="1">
      <c r="A1506" s="14" t="s">
        <v>17</v>
      </c>
      <c r="B1506" s="8">
        <v>2024</v>
      </c>
      <c r="C1506" s="8" t="s">
        <v>24</v>
      </c>
      <c r="D1506" s="9" t="s">
        <v>185</v>
      </c>
      <c r="E1506" s="9" t="s">
        <v>115</v>
      </c>
      <c r="F1506" s="9" t="s">
        <v>434</v>
      </c>
      <c r="G1506" s="8"/>
      <c r="H1506" s="8"/>
      <c r="I1506" s="9" t="s">
        <v>435</v>
      </c>
      <c r="J1506" s="14" t="s">
        <v>14</v>
      </c>
      <c r="K1506" s="9" t="s">
        <v>435</v>
      </c>
      <c r="L1506" s="9" t="s">
        <v>209</v>
      </c>
      <c r="M1506" s="9" t="s">
        <v>99</v>
      </c>
      <c r="N1506" s="9" t="s">
        <v>436</v>
      </c>
      <c r="O1506" s="9" t="s">
        <v>230</v>
      </c>
      <c r="P1506" s="9" t="s">
        <v>490</v>
      </c>
      <c r="Q1506" s="11">
        <v>0</v>
      </c>
      <c r="R1506" s="11"/>
      <c r="S1506" s="11">
        <v>0</v>
      </c>
      <c r="T1506" s="9"/>
      <c r="U1506" s="14" t="s">
        <v>77</v>
      </c>
      <c r="V1506" s="9"/>
      <c r="W1506" s="12">
        <v>0</v>
      </c>
      <c r="X1506" s="13"/>
      <c r="Y1506" s="13"/>
      <c r="Z1506" s="13"/>
      <c r="AA1506" s="13"/>
      <c r="AB1506" s="13"/>
      <c r="AC1506" s="13"/>
      <c r="AD1506" s="13"/>
      <c r="AE1506" s="13">
        <v>0</v>
      </c>
      <c r="AF1506" s="13"/>
      <c r="AG1506" s="13"/>
      <c r="AH1506" s="13"/>
      <c r="AI1506" s="13"/>
      <c r="AJ1506" s="13">
        <f t="shared" si="196"/>
        <v>0</v>
      </c>
      <c r="AK1506" s="12"/>
      <c r="AL1506" s="13"/>
      <c r="AM1506" s="9"/>
      <c r="AN1506" s="9"/>
      <c r="AO1506" s="9"/>
      <c r="AP1506" s="14"/>
    </row>
    <row r="1507" spans="1:42" s="45" customFormat="1" ht="22" customHeight="1">
      <c r="A1507" s="14" t="s">
        <v>17</v>
      </c>
      <c r="B1507" s="8">
        <v>2024</v>
      </c>
      <c r="C1507" s="8" t="s">
        <v>24</v>
      </c>
      <c r="D1507" s="9" t="s">
        <v>185</v>
      </c>
      <c r="E1507" s="9" t="s">
        <v>115</v>
      </c>
      <c r="F1507" s="9" t="s">
        <v>434</v>
      </c>
      <c r="G1507" s="8"/>
      <c r="H1507" s="8"/>
      <c r="I1507" s="9" t="s">
        <v>435</v>
      </c>
      <c r="J1507" s="14" t="s">
        <v>14</v>
      </c>
      <c r="K1507" s="9" t="s">
        <v>435</v>
      </c>
      <c r="L1507" s="9" t="s">
        <v>209</v>
      </c>
      <c r="M1507" s="9" t="s">
        <v>99</v>
      </c>
      <c r="N1507" s="9" t="s">
        <v>436</v>
      </c>
      <c r="O1507" s="9" t="s">
        <v>230</v>
      </c>
      <c r="P1507" s="9" t="s">
        <v>491</v>
      </c>
      <c r="Q1507" s="11">
        <v>0</v>
      </c>
      <c r="R1507" s="11"/>
      <c r="S1507" s="11">
        <v>0</v>
      </c>
      <c r="T1507" s="9"/>
      <c r="U1507" s="14" t="s">
        <v>77</v>
      </c>
      <c r="V1507" s="9"/>
      <c r="W1507" s="12">
        <v>0</v>
      </c>
      <c r="X1507" s="13"/>
      <c r="Y1507" s="13"/>
      <c r="Z1507" s="13"/>
      <c r="AA1507" s="13"/>
      <c r="AB1507" s="13"/>
      <c r="AC1507" s="13"/>
      <c r="AD1507" s="13"/>
      <c r="AE1507" s="13">
        <v>0</v>
      </c>
      <c r="AF1507" s="13"/>
      <c r="AG1507" s="13"/>
      <c r="AH1507" s="13"/>
      <c r="AI1507" s="13"/>
      <c r="AJ1507" s="13">
        <f t="shared" si="196"/>
        <v>0</v>
      </c>
      <c r="AK1507" s="12"/>
      <c r="AL1507" s="13"/>
      <c r="AM1507" s="9"/>
      <c r="AN1507" s="9"/>
      <c r="AO1507" s="9"/>
      <c r="AP1507" s="14"/>
    </row>
    <row r="1508" spans="1:42" s="45" customFormat="1" ht="22" customHeight="1">
      <c r="A1508" s="14" t="s">
        <v>17</v>
      </c>
      <c r="B1508" s="8">
        <v>2024</v>
      </c>
      <c r="C1508" s="8" t="s">
        <v>24</v>
      </c>
      <c r="D1508" s="9" t="s">
        <v>185</v>
      </c>
      <c r="E1508" s="9" t="s">
        <v>115</v>
      </c>
      <c r="F1508" s="9" t="s">
        <v>434</v>
      </c>
      <c r="G1508" s="8"/>
      <c r="H1508" s="8"/>
      <c r="I1508" s="9" t="s">
        <v>435</v>
      </c>
      <c r="J1508" s="14" t="s">
        <v>14</v>
      </c>
      <c r="K1508" s="9" t="s">
        <v>435</v>
      </c>
      <c r="L1508" s="9" t="s">
        <v>209</v>
      </c>
      <c r="M1508" s="9" t="s">
        <v>99</v>
      </c>
      <c r="N1508" s="9" t="s">
        <v>436</v>
      </c>
      <c r="O1508" s="9" t="s">
        <v>230</v>
      </c>
      <c r="P1508" s="9" t="s">
        <v>492</v>
      </c>
      <c r="Q1508" s="11">
        <v>0</v>
      </c>
      <c r="R1508" s="11"/>
      <c r="S1508" s="11">
        <v>0</v>
      </c>
      <c r="T1508" s="9"/>
      <c r="U1508" s="14" t="s">
        <v>77</v>
      </c>
      <c r="V1508" s="9"/>
      <c r="W1508" s="12">
        <v>0</v>
      </c>
      <c r="X1508" s="13"/>
      <c r="Y1508" s="13"/>
      <c r="Z1508" s="13"/>
      <c r="AA1508" s="13"/>
      <c r="AB1508" s="13"/>
      <c r="AC1508" s="13"/>
      <c r="AD1508" s="13"/>
      <c r="AE1508" s="13">
        <v>0</v>
      </c>
      <c r="AF1508" s="13"/>
      <c r="AG1508" s="13"/>
      <c r="AH1508" s="13"/>
      <c r="AI1508" s="13"/>
      <c r="AJ1508" s="13">
        <f t="shared" si="196"/>
        <v>0</v>
      </c>
      <c r="AK1508" s="12"/>
      <c r="AL1508" s="13"/>
      <c r="AM1508" s="9"/>
      <c r="AN1508" s="9"/>
      <c r="AO1508" s="9"/>
      <c r="AP1508" s="14"/>
    </row>
    <row r="1509" spans="1:42" s="45" customFormat="1" ht="22" customHeight="1">
      <c r="A1509" s="14" t="s">
        <v>17</v>
      </c>
      <c r="B1509" s="8">
        <v>2024</v>
      </c>
      <c r="C1509" s="8" t="s">
        <v>24</v>
      </c>
      <c r="D1509" s="9" t="s">
        <v>185</v>
      </c>
      <c r="E1509" s="9" t="s">
        <v>115</v>
      </c>
      <c r="F1509" s="9" t="s">
        <v>434</v>
      </c>
      <c r="G1509" s="8"/>
      <c r="H1509" s="8"/>
      <c r="I1509" s="9" t="s">
        <v>435</v>
      </c>
      <c r="J1509" s="14" t="s">
        <v>14</v>
      </c>
      <c r="K1509" s="9" t="s">
        <v>435</v>
      </c>
      <c r="L1509" s="9" t="s">
        <v>209</v>
      </c>
      <c r="M1509" s="9" t="s">
        <v>99</v>
      </c>
      <c r="N1509" s="9" t="s">
        <v>436</v>
      </c>
      <c r="O1509" s="9" t="s">
        <v>230</v>
      </c>
      <c r="P1509" s="9" t="s">
        <v>493</v>
      </c>
      <c r="Q1509" s="11">
        <v>0</v>
      </c>
      <c r="R1509" s="11"/>
      <c r="S1509" s="11">
        <v>0</v>
      </c>
      <c r="T1509" s="9"/>
      <c r="U1509" s="14" t="s">
        <v>77</v>
      </c>
      <c r="V1509" s="9"/>
      <c r="W1509" s="12">
        <v>0</v>
      </c>
      <c r="X1509" s="13"/>
      <c r="Y1509" s="13"/>
      <c r="Z1509" s="13"/>
      <c r="AA1509" s="13"/>
      <c r="AB1509" s="13"/>
      <c r="AC1509" s="13"/>
      <c r="AD1509" s="13"/>
      <c r="AE1509" s="13">
        <v>0</v>
      </c>
      <c r="AF1509" s="13"/>
      <c r="AG1509" s="13"/>
      <c r="AH1509" s="13"/>
      <c r="AI1509" s="13"/>
      <c r="AJ1509" s="13">
        <f t="shared" si="196"/>
        <v>0</v>
      </c>
      <c r="AK1509" s="12"/>
      <c r="AL1509" s="13"/>
      <c r="AM1509" s="9"/>
      <c r="AN1509" s="9"/>
      <c r="AO1509" s="9"/>
      <c r="AP1509" s="14"/>
    </row>
    <row r="1510" spans="1:42" s="45" customFormat="1" ht="22" customHeight="1">
      <c r="A1510" s="14" t="s">
        <v>17</v>
      </c>
      <c r="B1510" s="8">
        <v>2024</v>
      </c>
      <c r="C1510" s="8" t="s">
        <v>24</v>
      </c>
      <c r="D1510" s="9" t="s">
        <v>185</v>
      </c>
      <c r="E1510" s="9" t="s">
        <v>115</v>
      </c>
      <c r="F1510" s="9" t="s">
        <v>434</v>
      </c>
      <c r="G1510" s="8"/>
      <c r="H1510" s="8"/>
      <c r="I1510" s="9" t="s">
        <v>435</v>
      </c>
      <c r="J1510" s="14" t="s">
        <v>14</v>
      </c>
      <c r="K1510" s="9" t="s">
        <v>435</v>
      </c>
      <c r="L1510" s="9" t="s">
        <v>209</v>
      </c>
      <c r="M1510" s="9" t="s">
        <v>99</v>
      </c>
      <c r="N1510" s="9" t="s">
        <v>436</v>
      </c>
      <c r="O1510" s="9" t="s">
        <v>230</v>
      </c>
      <c r="P1510" s="9" t="s">
        <v>494</v>
      </c>
      <c r="Q1510" s="11">
        <v>0</v>
      </c>
      <c r="R1510" s="11"/>
      <c r="S1510" s="11">
        <v>0</v>
      </c>
      <c r="T1510" s="9"/>
      <c r="U1510" s="14" t="s">
        <v>77</v>
      </c>
      <c r="V1510" s="9"/>
      <c r="W1510" s="12">
        <v>0</v>
      </c>
      <c r="X1510" s="13"/>
      <c r="Y1510" s="13"/>
      <c r="Z1510" s="13"/>
      <c r="AA1510" s="13"/>
      <c r="AB1510" s="13"/>
      <c r="AC1510" s="13"/>
      <c r="AD1510" s="13"/>
      <c r="AE1510" s="13">
        <v>0</v>
      </c>
      <c r="AF1510" s="13"/>
      <c r="AG1510" s="13"/>
      <c r="AH1510" s="13"/>
      <c r="AI1510" s="13"/>
      <c r="AJ1510" s="13">
        <f t="shared" si="196"/>
        <v>0</v>
      </c>
      <c r="AK1510" s="12"/>
      <c r="AL1510" s="13"/>
      <c r="AM1510" s="9"/>
      <c r="AN1510" s="9"/>
      <c r="AO1510" s="9"/>
      <c r="AP1510" s="14"/>
    </row>
    <row r="1511" spans="1:42" s="45" customFormat="1" ht="22" customHeight="1">
      <c r="A1511" s="14" t="s">
        <v>17</v>
      </c>
      <c r="B1511" s="8">
        <v>2024</v>
      </c>
      <c r="C1511" s="8" t="s">
        <v>24</v>
      </c>
      <c r="D1511" s="9" t="s">
        <v>185</v>
      </c>
      <c r="E1511" s="9" t="s">
        <v>115</v>
      </c>
      <c r="F1511" s="9" t="s">
        <v>434</v>
      </c>
      <c r="G1511" s="8"/>
      <c r="H1511" s="8"/>
      <c r="I1511" s="9" t="s">
        <v>435</v>
      </c>
      <c r="J1511" s="14" t="s">
        <v>14</v>
      </c>
      <c r="K1511" s="9" t="s">
        <v>435</v>
      </c>
      <c r="L1511" s="9" t="s">
        <v>209</v>
      </c>
      <c r="M1511" s="9" t="s">
        <v>99</v>
      </c>
      <c r="N1511" s="9" t="s">
        <v>436</v>
      </c>
      <c r="O1511" s="9" t="s">
        <v>230</v>
      </c>
      <c r="P1511" s="9" t="s">
        <v>495</v>
      </c>
      <c r="Q1511" s="11">
        <v>0</v>
      </c>
      <c r="R1511" s="11"/>
      <c r="S1511" s="11">
        <v>0</v>
      </c>
      <c r="T1511" s="9"/>
      <c r="U1511" s="14" t="s">
        <v>77</v>
      </c>
      <c r="V1511" s="9"/>
      <c r="W1511" s="12">
        <v>0</v>
      </c>
      <c r="X1511" s="13"/>
      <c r="Y1511" s="13"/>
      <c r="Z1511" s="13"/>
      <c r="AA1511" s="13"/>
      <c r="AB1511" s="13"/>
      <c r="AC1511" s="13"/>
      <c r="AD1511" s="13"/>
      <c r="AE1511" s="13">
        <v>0</v>
      </c>
      <c r="AF1511" s="13"/>
      <c r="AG1511" s="13"/>
      <c r="AH1511" s="13"/>
      <c r="AI1511" s="13"/>
      <c r="AJ1511" s="13">
        <f t="shared" si="196"/>
        <v>0</v>
      </c>
      <c r="AK1511" s="12"/>
      <c r="AL1511" s="13"/>
      <c r="AM1511" s="9"/>
      <c r="AN1511" s="9"/>
      <c r="AO1511" s="9"/>
      <c r="AP1511" s="14"/>
    </row>
    <row r="1512" spans="1:42" s="45" customFormat="1" ht="22" customHeight="1">
      <c r="A1512" s="14" t="s">
        <v>17</v>
      </c>
      <c r="B1512" s="8">
        <v>2024</v>
      </c>
      <c r="C1512" s="8" t="s">
        <v>24</v>
      </c>
      <c r="D1512" s="9" t="s">
        <v>185</v>
      </c>
      <c r="E1512" s="9" t="s">
        <v>115</v>
      </c>
      <c r="F1512" s="9" t="s">
        <v>434</v>
      </c>
      <c r="G1512" s="8"/>
      <c r="H1512" s="8"/>
      <c r="I1512" s="9" t="s">
        <v>435</v>
      </c>
      <c r="J1512" s="14" t="s">
        <v>14</v>
      </c>
      <c r="K1512" s="9" t="s">
        <v>435</v>
      </c>
      <c r="L1512" s="9" t="s">
        <v>209</v>
      </c>
      <c r="M1512" s="9" t="s">
        <v>99</v>
      </c>
      <c r="N1512" s="9" t="s">
        <v>436</v>
      </c>
      <c r="O1512" s="9" t="s">
        <v>230</v>
      </c>
      <c r="P1512" s="9" t="s">
        <v>496</v>
      </c>
      <c r="Q1512" s="11">
        <v>0</v>
      </c>
      <c r="R1512" s="11"/>
      <c r="S1512" s="11">
        <v>0</v>
      </c>
      <c r="T1512" s="9"/>
      <c r="U1512" s="14" t="s">
        <v>77</v>
      </c>
      <c r="V1512" s="9"/>
      <c r="W1512" s="12">
        <v>0</v>
      </c>
      <c r="X1512" s="13"/>
      <c r="Y1512" s="13"/>
      <c r="Z1512" s="13"/>
      <c r="AA1512" s="13"/>
      <c r="AB1512" s="13"/>
      <c r="AC1512" s="13"/>
      <c r="AD1512" s="13"/>
      <c r="AE1512" s="13">
        <v>0</v>
      </c>
      <c r="AF1512" s="13"/>
      <c r="AG1512" s="13"/>
      <c r="AH1512" s="13"/>
      <c r="AI1512" s="13"/>
      <c r="AJ1512" s="13">
        <f t="shared" si="196"/>
        <v>0</v>
      </c>
      <c r="AK1512" s="12"/>
      <c r="AL1512" s="13"/>
      <c r="AM1512" s="9"/>
      <c r="AN1512" s="9"/>
      <c r="AO1512" s="9"/>
      <c r="AP1512" s="14"/>
    </row>
    <row r="1513" spans="1:42" s="45" customFormat="1" ht="22" customHeight="1">
      <c r="A1513" s="14" t="s">
        <v>17</v>
      </c>
      <c r="B1513" s="8">
        <v>2024</v>
      </c>
      <c r="C1513" s="8" t="s">
        <v>24</v>
      </c>
      <c r="D1513" s="9" t="s">
        <v>185</v>
      </c>
      <c r="E1513" s="9" t="s">
        <v>115</v>
      </c>
      <c r="F1513" s="9" t="s">
        <v>434</v>
      </c>
      <c r="G1513" s="8"/>
      <c r="H1513" s="8"/>
      <c r="I1513" s="9" t="s">
        <v>435</v>
      </c>
      <c r="J1513" s="14" t="s">
        <v>14</v>
      </c>
      <c r="K1513" s="9" t="s">
        <v>435</v>
      </c>
      <c r="L1513" s="9" t="s">
        <v>209</v>
      </c>
      <c r="M1513" s="9" t="s">
        <v>99</v>
      </c>
      <c r="N1513" s="9" t="s">
        <v>436</v>
      </c>
      <c r="O1513" s="9" t="s">
        <v>230</v>
      </c>
      <c r="P1513" s="9" t="s">
        <v>497</v>
      </c>
      <c r="Q1513" s="11">
        <v>0</v>
      </c>
      <c r="R1513" s="11"/>
      <c r="S1513" s="11">
        <v>0</v>
      </c>
      <c r="T1513" s="9"/>
      <c r="U1513" s="14" t="s">
        <v>77</v>
      </c>
      <c r="V1513" s="9"/>
      <c r="W1513" s="12">
        <v>0</v>
      </c>
      <c r="X1513" s="13"/>
      <c r="Y1513" s="13"/>
      <c r="Z1513" s="13"/>
      <c r="AA1513" s="13"/>
      <c r="AB1513" s="13"/>
      <c r="AC1513" s="13"/>
      <c r="AD1513" s="13"/>
      <c r="AE1513" s="13">
        <v>0</v>
      </c>
      <c r="AF1513" s="13"/>
      <c r="AG1513" s="13"/>
      <c r="AH1513" s="13"/>
      <c r="AI1513" s="13"/>
      <c r="AJ1513" s="13">
        <f t="shared" si="196"/>
        <v>0</v>
      </c>
      <c r="AK1513" s="12"/>
      <c r="AL1513" s="13"/>
      <c r="AM1513" s="9"/>
      <c r="AN1513" s="9"/>
      <c r="AO1513" s="9"/>
      <c r="AP1513" s="14"/>
    </row>
    <row r="1514" spans="1:42" s="45" customFormat="1" ht="22" customHeight="1">
      <c r="A1514" s="14" t="s">
        <v>17</v>
      </c>
      <c r="B1514" s="8">
        <v>2024</v>
      </c>
      <c r="C1514" s="8" t="s">
        <v>24</v>
      </c>
      <c r="D1514" s="9" t="s">
        <v>185</v>
      </c>
      <c r="E1514" s="9" t="s">
        <v>115</v>
      </c>
      <c r="F1514" s="9" t="s">
        <v>434</v>
      </c>
      <c r="G1514" s="8"/>
      <c r="H1514" s="8"/>
      <c r="I1514" s="9" t="s">
        <v>435</v>
      </c>
      <c r="J1514" s="14" t="s">
        <v>14</v>
      </c>
      <c r="K1514" s="9" t="s">
        <v>435</v>
      </c>
      <c r="L1514" s="9" t="s">
        <v>209</v>
      </c>
      <c r="M1514" s="9" t="s">
        <v>99</v>
      </c>
      <c r="N1514" s="9" t="s">
        <v>436</v>
      </c>
      <c r="O1514" s="9" t="s">
        <v>230</v>
      </c>
      <c r="P1514" s="9" t="s">
        <v>498</v>
      </c>
      <c r="Q1514" s="11">
        <v>0</v>
      </c>
      <c r="R1514" s="11"/>
      <c r="S1514" s="11">
        <v>0</v>
      </c>
      <c r="T1514" s="9"/>
      <c r="U1514" s="14" t="s">
        <v>77</v>
      </c>
      <c r="V1514" s="9"/>
      <c r="W1514" s="12">
        <v>0</v>
      </c>
      <c r="X1514" s="13"/>
      <c r="Y1514" s="13"/>
      <c r="Z1514" s="13"/>
      <c r="AA1514" s="13"/>
      <c r="AB1514" s="13"/>
      <c r="AC1514" s="13"/>
      <c r="AD1514" s="13"/>
      <c r="AE1514" s="13">
        <v>0</v>
      </c>
      <c r="AF1514" s="13"/>
      <c r="AG1514" s="13"/>
      <c r="AH1514" s="13"/>
      <c r="AI1514" s="13"/>
      <c r="AJ1514" s="13">
        <f t="shared" si="196"/>
        <v>0</v>
      </c>
      <c r="AK1514" s="12"/>
      <c r="AL1514" s="13"/>
      <c r="AM1514" s="9"/>
      <c r="AN1514" s="9"/>
      <c r="AO1514" s="9"/>
      <c r="AP1514" s="14"/>
    </row>
    <row r="1515" spans="1:42" s="45" customFormat="1" ht="22" customHeight="1">
      <c r="A1515" s="14" t="s">
        <v>17</v>
      </c>
      <c r="B1515" s="8">
        <v>2024</v>
      </c>
      <c r="C1515" s="8" t="s">
        <v>24</v>
      </c>
      <c r="D1515" s="9" t="s">
        <v>185</v>
      </c>
      <c r="E1515" s="9" t="s">
        <v>115</v>
      </c>
      <c r="F1515" s="9" t="s">
        <v>434</v>
      </c>
      <c r="G1515" s="8"/>
      <c r="H1515" s="8"/>
      <c r="I1515" s="9" t="s">
        <v>435</v>
      </c>
      <c r="J1515" s="14" t="s">
        <v>14</v>
      </c>
      <c r="K1515" s="9" t="s">
        <v>435</v>
      </c>
      <c r="L1515" s="9" t="s">
        <v>209</v>
      </c>
      <c r="M1515" s="9" t="s">
        <v>99</v>
      </c>
      <c r="N1515" s="9" t="s">
        <v>436</v>
      </c>
      <c r="O1515" s="9" t="s">
        <v>230</v>
      </c>
      <c r="P1515" s="9" t="s">
        <v>499</v>
      </c>
      <c r="Q1515" s="11">
        <v>0</v>
      </c>
      <c r="R1515" s="11"/>
      <c r="S1515" s="11">
        <v>0</v>
      </c>
      <c r="T1515" s="9"/>
      <c r="U1515" s="14" t="s">
        <v>77</v>
      </c>
      <c r="V1515" s="9"/>
      <c r="W1515" s="12">
        <v>0</v>
      </c>
      <c r="X1515" s="13"/>
      <c r="Y1515" s="13"/>
      <c r="Z1515" s="13"/>
      <c r="AA1515" s="13"/>
      <c r="AB1515" s="13"/>
      <c r="AC1515" s="13"/>
      <c r="AD1515" s="13"/>
      <c r="AE1515" s="13">
        <v>0</v>
      </c>
      <c r="AF1515" s="13"/>
      <c r="AG1515" s="13"/>
      <c r="AH1515" s="13"/>
      <c r="AI1515" s="13"/>
      <c r="AJ1515" s="13">
        <f t="shared" si="196"/>
        <v>0</v>
      </c>
      <c r="AK1515" s="12"/>
      <c r="AL1515" s="13"/>
      <c r="AM1515" s="9"/>
      <c r="AN1515" s="9"/>
      <c r="AO1515" s="9"/>
      <c r="AP1515" s="14"/>
    </row>
    <row r="1516" spans="1:42" s="45" customFormat="1" ht="22" customHeight="1">
      <c r="A1516" s="14" t="s">
        <v>17</v>
      </c>
      <c r="B1516" s="8">
        <v>2024</v>
      </c>
      <c r="C1516" s="8" t="s">
        <v>24</v>
      </c>
      <c r="D1516" s="9" t="s">
        <v>185</v>
      </c>
      <c r="E1516" s="9" t="s">
        <v>115</v>
      </c>
      <c r="F1516" s="9" t="s">
        <v>434</v>
      </c>
      <c r="G1516" s="8"/>
      <c r="H1516" s="8"/>
      <c r="I1516" s="9" t="s">
        <v>435</v>
      </c>
      <c r="J1516" s="14" t="s">
        <v>14</v>
      </c>
      <c r="K1516" s="9" t="s">
        <v>435</v>
      </c>
      <c r="L1516" s="9" t="s">
        <v>209</v>
      </c>
      <c r="M1516" s="9" t="s">
        <v>99</v>
      </c>
      <c r="N1516" s="9" t="s">
        <v>436</v>
      </c>
      <c r="O1516" s="9" t="s">
        <v>500</v>
      </c>
      <c r="P1516" s="9" t="s">
        <v>501</v>
      </c>
      <c r="Q1516" s="11">
        <v>23</v>
      </c>
      <c r="S1516" s="11">
        <f t="shared" ref="S1516:S1527" si="199">+Q1516</f>
        <v>23</v>
      </c>
      <c r="T1516" s="9"/>
      <c r="U1516" s="14" t="s">
        <v>77</v>
      </c>
      <c r="V1516" s="9"/>
      <c r="W1516" s="12">
        <v>60</v>
      </c>
      <c r="X1516" s="13"/>
      <c r="Y1516" s="13"/>
      <c r="Z1516" s="13"/>
      <c r="AA1516" s="13"/>
      <c r="AB1516" s="13"/>
      <c r="AC1516" s="13"/>
      <c r="AD1516" s="13"/>
      <c r="AE1516" s="13">
        <v>0.21</v>
      </c>
      <c r="AF1516" s="13"/>
      <c r="AG1516" s="13"/>
      <c r="AH1516" s="13"/>
      <c r="AI1516" s="13"/>
      <c r="AJ1516" s="13">
        <f t="shared" si="196"/>
        <v>0.21</v>
      </c>
      <c r="AK1516" s="12"/>
      <c r="AL1516" s="13"/>
      <c r="AM1516" s="9"/>
      <c r="AN1516" s="9"/>
      <c r="AO1516" s="9"/>
      <c r="AP1516" s="14"/>
    </row>
    <row r="1517" spans="1:42" s="45" customFormat="1" ht="22" customHeight="1">
      <c r="A1517" s="14" t="s">
        <v>17</v>
      </c>
      <c r="B1517" s="8">
        <v>2024</v>
      </c>
      <c r="C1517" s="8" t="s">
        <v>24</v>
      </c>
      <c r="D1517" s="9" t="s">
        <v>185</v>
      </c>
      <c r="E1517" s="9" t="s">
        <v>115</v>
      </c>
      <c r="F1517" s="9" t="s">
        <v>434</v>
      </c>
      <c r="G1517" s="8"/>
      <c r="H1517" s="8"/>
      <c r="I1517" s="9" t="s">
        <v>435</v>
      </c>
      <c r="J1517" s="14" t="s">
        <v>14</v>
      </c>
      <c r="K1517" s="9" t="s">
        <v>435</v>
      </c>
      <c r="L1517" s="9" t="s">
        <v>209</v>
      </c>
      <c r="M1517" s="9" t="s">
        <v>99</v>
      </c>
      <c r="N1517" s="9" t="s">
        <v>436</v>
      </c>
      <c r="O1517" s="9" t="s">
        <v>500</v>
      </c>
      <c r="P1517" s="9" t="s">
        <v>502</v>
      </c>
      <c r="Q1517" s="11">
        <v>12</v>
      </c>
      <c r="S1517" s="11">
        <f t="shared" si="199"/>
        <v>12</v>
      </c>
      <c r="T1517" s="9"/>
      <c r="U1517" s="14" t="s">
        <v>77</v>
      </c>
      <c r="V1517" s="9"/>
      <c r="W1517" s="12">
        <v>60</v>
      </c>
      <c r="X1517" s="13"/>
      <c r="Y1517" s="13"/>
      <c r="Z1517" s="13"/>
      <c r="AA1517" s="13"/>
      <c r="AB1517" s="13"/>
      <c r="AC1517" s="13"/>
      <c r="AD1517" s="13"/>
      <c r="AE1517" s="13">
        <v>0.105</v>
      </c>
      <c r="AF1517" s="13"/>
      <c r="AG1517" s="13"/>
      <c r="AH1517" s="13"/>
      <c r="AI1517" s="13"/>
      <c r="AJ1517" s="13">
        <f t="shared" si="196"/>
        <v>0.105</v>
      </c>
      <c r="AK1517" s="12"/>
      <c r="AL1517" s="13"/>
      <c r="AM1517" s="9"/>
      <c r="AN1517" s="9"/>
      <c r="AO1517" s="9"/>
      <c r="AP1517" s="14"/>
    </row>
    <row r="1518" spans="1:42" s="45" customFormat="1" ht="22" customHeight="1">
      <c r="A1518" s="14" t="s">
        <v>17</v>
      </c>
      <c r="B1518" s="8">
        <v>2024</v>
      </c>
      <c r="C1518" s="8" t="s">
        <v>24</v>
      </c>
      <c r="D1518" s="9" t="s">
        <v>185</v>
      </c>
      <c r="E1518" s="9" t="s">
        <v>115</v>
      </c>
      <c r="F1518" s="9" t="s">
        <v>434</v>
      </c>
      <c r="G1518" s="8"/>
      <c r="H1518" s="8"/>
      <c r="I1518" s="9" t="s">
        <v>435</v>
      </c>
      <c r="J1518" s="14" t="s">
        <v>14</v>
      </c>
      <c r="K1518" s="9" t="s">
        <v>435</v>
      </c>
      <c r="L1518" s="9" t="s">
        <v>209</v>
      </c>
      <c r="M1518" s="9" t="s">
        <v>99</v>
      </c>
      <c r="N1518" s="9" t="s">
        <v>436</v>
      </c>
      <c r="O1518" s="9" t="s">
        <v>500</v>
      </c>
      <c r="P1518" s="9" t="s">
        <v>503</v>
      </c>
      <c r="Q1518" s="11">
        <v>4</v>
      </c>
      <c r="S1518" s="11">
        <f t="shared" si="199"/>
        <v>4</v>
      </c>
      <c r="T1518" s="9"/>
      <c r="U1518" s="14" t="s">
        <v>77</v>
      </c>
      <c r="V1518" s="9"/>
      <c r="W1518" s="12">
        <v>60</v>
      </c>
      <c r="X1518" s="13"/>
      <c r="Y1518" s="13"/>
      <c r="Z1518" s="13"/>
      <c r="AA1518" s="13"/>
      <c r="AB1518" s="13"/>
      <c r="AC1518" s="13"/>
      <c r="AD1518" s="13"/>
      <c r="AE1518" s="13">
        <v>4.4999999999999998E-2</v>
      </c>
      <c r="AF1518" s="13"/>
      <c r="AG1518" s="13"/>
      <c r="AH1518" s="13"/>
      <c r="AI1518" s="13"/>
      <c r="AJ1518" s="13">
        <f t="shared" ref="AJ1518:AJ1581" si="200">SUBTOTAL(9,X1518:AI1518)</f>
        <v>4.4999999999999998E-2</v>
      </c>
      <c r="AK1518" s="12"/>
      <c r="AL1518" s="13"/>
      <c r="AM1518" s="9"/>
      <c r="AN1518" s="9"/>
      <c r="AO1518" s="9"/>
      <c r="AP1518" s="14"/>
    </row>
    <row r="1519" spans="1:42" s="45" customFormat="1" ht="22" customHeight="1">
      <c r="A1519" s="14" t="s">
        <v>17</v>
      </c>
      <c r="B1519" s="8">
        <v>2024</v>
      </c>
      <c r="C1519" s="8" t="s">
        <v>24</v>
      </c>
      <c r="D1519" s="9" t="s">
        <v>185</v>
      </c>
      <c r="E1519" s="9" t="s">
        <v>115</v>
      </c>
      <c r="F1519" s="9" t="s">
        <v>434</v>
      </c>
      <c r="G1519" s="8"/>
      <c r="H1519" s="8"/>
      <c r="I1519" s="9" t="s">
        <v>435</v>
      </c>
      <c r="J1519" s="14" t="s">
        <v>14</v>
      </c>
      <c r="K1519" s="9" t="s">
        <v>435</v>
      </c>
      <c r="L1519" s="9" t="s">
        <v>209</v>
      </c>
      <c r="M1519" s="9" t="s">
        <v>99</v>
      </c>
      <c r="N1519" s="9" t="s">
        <v>436</v>
      </c>
      <c r="O1519" s="9" t="s">
        <v>500</v>
      </c>
      <c r="P1519" s="9" t="s">
        <v>504</v>
      </c>
      <c r="Q1519" s="11">
        <v>14</v>
      </c>
      <c r="S1519" s="11">
        <f t="shared" si="199"/>
        <v>14</v>
      </c>
      <c r="T1519" s="9"/>
      <c r="U1519" s="14" t="s">
        <v>77</v>
      </c>
      <c r="V1519" s="9"/>
      <c r="W1519" s="12">
        <v>60</v>
      </c>
      <c r="X1519" s="13"/>
      <c r="Y1519" s="13"/>
      <c r="Z1519" s="13"/>
      <c r="AA1519" s="13"/>
      <c r="AB1519" s="13"/>
      <c r="AC1519" s="13"/>
      <c r="AD1519" s="13"/>
      <c r="AE1519" s="13">
        <v>0.13500000000000001</v>
      </c>
      <c r="AF1519" s="13"/>
      <c r="AG1519" s="13"/>
      <c r="AH1519" s="13"/>
      <c r="AI1519" s="13"/>
      <c r="AJ1519" s="13">
        <f t="shared" si="200"/>
        <v>0.13500000000000001</v>
      </c>
      <c r="AK1519" s="12"/>
      <c r="AL1519" s="13"/>
      <c r="AM1519" s="9"/>
      <c r="AN1519" s="9"/>
      <c r="AO1519" s="9"/>
      <c r="AP1519" s="14"/>
    </row>
    <row r="1520" spans="1:42" s="45" customFormat="1" ht="22" customHeight="1">
      <c r="A1520" s="14" t="s">
        <v>17</v>
      </c>
      <c r="B1520" s="8">
        <v>2024</v>
      </c>
      <c r="C1520" s="8" t="s">
        <v>24</v>
      </c>
      <c r="D1520" s="9" t="s">
        <v>185</v>
      </c>
      <c r="E1520" s="9" t="s">
        <v>115</v>
      </c>
      <c r="F1520" s="9" t="s">
        <v>434</v>
      </c>
      <c r="G1520" s="8"/>
      <c r="H1520" s="8"/>
      <c r="I1520" s="9" t="s">
        <v>435</v>
      </c>
      <c r="J1520" s="14" t="s">
        <v>14</v>
      </c>
      <c r="K1520" s="9" t="s">
        <v>435</v>
      </c>
      <c r="L1520" s="9" t="s">
        <v>209</v>
      </c>
      <c r="M1520" s="9" t="s">
        <v>99</v>
      </c>
      <c r="N1520" s="9" t="s">
        <v>436</v>
      </c>
      <c r="O1520" s="9" t="s">
        <v>500</v>
      </c>
      <c r="P1520" s="9" t="s">
        <v>505</v>
      </c>
      <c r="Q1520" s="11">
        <v>10</v>
      </c>
      <c r="S1520" s="11">
        <f t="shared" si="199"/>
        <v>10</v>
      </c>
      <c r="T1520" s="9"/>
      <c r="U1520" s="14" t="s">
        <v>77</v>
      </c>
      <c r="V1520" s="9"/>
      <c r="W1520" s="12">
        <v>60</v>
      </c>
      <c r="X1520" s="13"/>
      <c r="Y1520" s="13"/>
      <c r="Z1520" s="13"/>
      <c r="AA1520" s="13"/>
      <c r="AB1520" s="13"/>
      <c r="AC1520" s="13"/>
      <c r="AD1520" s="13"/>
      <c r="AE1520" s="13">
        <v>0.09</v>
      </c>
      <c r="AF1520" s="13"/>
      <c r="AG1520" s="13"/>
      <c r="AH1520" s="13"/>
      <c r="AI1520" s="13"/>
      <c r="AJ1520" s="13">
        <f t="shared" si="200"/>
        <v>0.09</v>
      </c>
      <c r="AK1520" s="12"/>
      <c r="AL1520" s="13"/>
      <c r="AM1520" s="9"/>
      <c r="AN1520" s="9"/>
      <c r="AO1520" s="9"/>
      <c r="AP1520" s="14"/>
    </row>
    <row r="1521" spans="1:42" s="45" customFormat="1" ht="22" customHeight="1">
      <c r="A1521" s="14" t="s">
        <v>17</v>
      </c>
      <c r="B1521" s="8">
        <v>2024</v>
      </c>
      <c r="C1521" s="8" t="s">
        <v>24</v>
      </c>
      <c r="D1521" s="9" t="s">
        <v>185</v>
      </c>
      <c r="E1521" s="9" t="s">
        <v>115</v>
      </c>
      <c r="F1521" s="9" t="s">
        <v>434</v>
      </c>
      <c r="G1521" s="8"/>
      <c r="H1521" s="8"/>
      <c r="I1521" s="9" t="s">
        <v>435</v>
      </c>
      <c r="J1521" s="14" t="s">
        <v>14</v>
      </c>
      <c r="K1521" s="9" t="s">
        <v>435</v>
      </c>
      <c r="L1521" s="9" t="s">
        <v>209</v>
      </c>
      <c r="M1521" s="9" t="s">
        <v>99</v>
      </c>
      <c r="N1521" s="9" t="s">
        <v>436</v>
      </c>
      <c r="O1521" s="9" t="s">
        <v>500</v>
      </c>
      <c r="P1521" s="9" t="s">
        <v>500</v>
      </c>
      <c r="Q1521" s="11">
        <v>12</v>
      </c>
      <c r="S1521" s="11">
        <f t="shared" si="199"/>
        <v>12</v>
      </c>
      <c r="T1521" s="9"/>
      <c r="U1521" s="14" t="s">
        <v>77</v>
      </c>
      <c r="V1521" s="9"/>
      <c r="W1521" s="12">
        <v>60</v>
      </c>
      <c r="X1521" s="13"/>
      <c r="Y1521" s="13"/>
      <c r="Z1521" s="13"/>
      <c r="AA1521" s="13"/>
      <c r="AB1521" s="13"/>
      <c r="AC1521" s="13"/>
      <c r="AD1521" s="13"/>
      <c r="AE1521" s="13">
        <v>0.105</v>
      </c>
      <c r="AF1521" s="13"/>
      <c r="AG1521" s="13"/>
      <c r="AH1521" s="13"/>
      <c r="AI1521" s="13"/>
      <c r="AJ1521" s="13">
        <f t="shared" si="200"/>
        <v>0.105</v>
      </c>
      <c r="AK1521" s="12"/>
      <c r="AL1521" s="13"/>
      <c r="AM1521" s="9"/>
      <c r="AN1521" s="9"/>
      <c r="AO1521" s="9"/>
      <c r="AP1521" s="14"/>
    </row>
    <row r="1522" spans="1:42" s="45" customFormat="1" ht="22" customHeight="1">
      <c r="A1522" s="14" t="s">
        <v>17</v>
      </c>
      <c r="B1522" s="8">
        <v>2024</v>
      </c>
      <c r="C1522" s="8" t="s">
        <v>24</v>
      </c>
      <c r="D1522" s="9" t="s">
        <v>185</v>
      </c>
      <c r="E1522" s="9" t="s">
        <v>115</v>
      </c>
      <c r="F1522" s="9" t="s">
        <v>434</v>
      </c>
      <c r="G1522" s="8"/>
      <c r="H1522" s="8"/>
      <c r="I1522" s="9" t="s">
        <v>435</v>
      </c>
      <c r="J1522" s="14" t="s">
        <v>14</v>
      </c>
      <c r="K1522" s="9" t="s">
        <v>435</v>
      </c>
      <c r="L1522" s="9" t="s">
        <v>209</v>
      </c>
      <c r="M1522" s="9" t="s">
        <v>99</v>
      </c>
      <c r="N1522" s="9" t="s">
        <v>436</v>
      </c>
      <c r="O1522" s="9" t="s">
        <v>500</v>
      </c>
      <c r="P1522" s="9" t="s">
        <v>506</v>
      </c>
      <c r="Q1522" s="11">
        <v>22</v>
      </c>
      <c r="S1522" s="11">
        <f t="shared" si="199"/>
        <v>22</v>
      </c>
      <c r="T1522" s="9"/>
      <c r="U1522" s="14" t="s">
        <v>77</v>
      </c>
      <c r="V1522" s="9"/>
      <c r="W1522" s="12">
        <v>60</v>
      </c>
      <c r="X1522" s="13"/>
      <c r="Y1522" s="13"/>
      <c r="Z1522" s="13"/>
      <c r="AA1522" s="13"/>
      <c r="AB1522" s="13"/>
      <c r="AC1522" s="13"/>
      <c r="AD1522" s="13"/>
      <c r="AE1522" s="13">
        <v>0.19500000000000001</v>
      </c>
      <c r="AF1522" s="13"/>
      <c r="AG1522" s="13"/>
      <c r="AH1522" s="13"/>
      <c r="AI1522" s="13"/>
      <c r="AJ1522" s="13">
        <f t="shared" si="200"/>
        <v>0.19500000000000001</v>
      </c>
      <c r="AK1522" s="12"/>
      <c r="AL1522" s="13"/>
      <c r="AM1522" s="9"/>
      <c r="AN1522" s="9"/>
      <c r="AO1522" s="9"/>
      <c r="AP1522" s="14"/>
    </row>
    <row r="1523" spans="1:42" s="45" customFormat="1" ht="22" customHeight="1">
      <c r="A1523" s="14" t="s">
        <v>17</v>
      </c>
      <c r="B1523" s="8">
        <v>2024</v>
      </c>
      <c r="C1523" s="8" t="s">
        <v>24</v>
      </c>
      <c r="D1523" s="9" t="s">
        <v>185</v>
      </c>
      <c r="E1523" s="9" t="s">
        <v>115</v>
      </c>
      <c r="F1523" s="9" t="s">
        <v>434</v>
      </c>
      <c r="G1523" s="8"/>
      <c r="H1523" s="8"/>
      <c r="I1523" s="9" t="s">
        <v>435</v>
      </c>
      <c r="J1523" s="14" t="s">
        <v>14</v>
      </c>
      <c r="K1523" s="9" t="s">
        <v>435</v>
      </c>
      <c r="L1523" s="9" t="s">
        <v>209</v>
      </c>
      <c r="M1523" s="9" t="s">
        <v>99</v>
      </c>
      <c r="N1523" s="9" t="s">
        <v>436</v>
      </c>
      <c r="O1523" s="9" t="s">
        <v>500</v>
      </c>
      <c r="P1523" s="9" t="s">
        <v>507</v>
      </c>
      <c r="Q1523" s="11">
        <v>24</v>
      </c>
      <c r="S1523" s="11">
        <f t="shared" si="199"/>
        <v>24</v>
      </c>
      <c r="T1523" s="9"/>
      <c r="U1523" s="14" t="s">
        <v>77</v>
      </c>
      <c r="V1523" s="9"/>
      <c r="W1523" s="12">
        <v>60</v>
      </c>
      <c r="X1523" s="13"/>
      <c r="Y1523" s="13"/>
      <c r="Z1523" s="13"/>
      <c r="AA1523" s="13"/>
      <c r="AB1523" s="13"/>
      <c r="AC1523" s="13"/>
      <c r="AD1523" s="13"/>
      <c r="AE1523" s="13">
        <v>0.22500000000000001</v>
      </c>
      <c r="AF1523" s="13"/>
      <c r="AG1523" s="13"/>
      <c r="AH1523" s="13"/>
      <c r="AI1523" s="13"/>
      <c r="AJ1523" s="13">
        <f t="shared" si="200"/>
        <v>0.22500000000000001</v>
      </c>
      <c r="AK1523" s="12"/>
      <c r="AL1523" s="13"/>
      <c r="AM1523" s="9"/>
      <c r="AN1523" s="9"/>
      <c r="AO1523" s="9"/>
      <c r="AP1523" s="14"/>
    </row>
    <row r="1524" spans="1:42" s="45" customFormat="1" ht="22" customHeight="1">
      <c r="A1524" s="14" t="s">
        <v>17</v>
      </c>
      <c r="B1524" s="8">
        <v>2024</v>
      </c>
      <c r="C1524" s="8" t="s">
        <v>24</v>
      </c>
      <c r="D1524" s="9" t="s">
        <v>185</v>
      </c>
      <c r="E1524" s="9" t="s">
        <v>115</v>
      </c>
      <c r="F1524" s="9" t="s">
        <v>434</v>
      </c>
      <c r="G1524" s="8"/>
      <c r="H1524" s="8"/>
      <c r="I1524" s="9" t="s">
        <v>435</v>
      </c>
      <c r="J1524" s="14" t="s">
        <v>14</v>
      </c>
      <c r="K1524" s="9" t="s">
        <v>435</v>
      </c>
      <c r="L1524" s="9" t="s">
        <v>209</v>
      </c>
      <c r="M1524" s="9" t="s">
        <v>99</v>
      </c>
      <c r="N1524" s="9" t="s">
        <v>436</v>
      </c>
      <c r="O1524" s="9" t="s">
        <v>500</v>
      </c>
      <c r="P1524" s="9" t="s">
        <v>508</v>
      </c>
      <c r="Q1524" s="11">
        <v>24</v>
      </c>
      <c r="S1524" s="11">
        <f t="shared" si="199"/>
        <v>24</v>
      </c>
      <c r="T1524" s="9"/>
      <c r="U1524" s="14" t="s">
        <v>77</v>
      </c>
      <c r="V1524" s="9"/>
      <c r="W1524" s="12">
        <v>60</v>
      </c>
      <c r="X1524" s="13"/>
      <c r="Y1524" s="13"/>
      <c r="Z1524" s="13"/>
      <c r="AA1524" s="13"/>
      <c r="AB1524" s="13"/>
      <c r="AC1524" s="13"/>
      <c r="AD1524" s="13"/>
      <c r="AE1524" s="13">
        <v>0.22500000000000001</v>
      </c>
      <c r="AF1524" s="13"/>
      <c r="AG1524" s="13"/>
      <c r="AH1524" s="13"/>
      <c r="AI1524" s="13"/>
      <c r="AJ1524" s="13">
        <f t="shared" si="200"/>
        <v>0.22500000000000001</v>
      </c>
      <c r="AK1524" s="12"/>
      <c r="AL1524" s="13"/>
      <c r="AM1524" s="9"/>
      <c r="AN1524" s="9"/>
      <c r="AO1524" s="9"/>
      <c r="AP1524" s="14"/>
    </row>
    <row r="1525" spans="1:42" s="45" customFormat="1" ht="22" customHeight="1">
      <c r="A1525" s="14" t="s">
        <v>17</v>
      </c>
      <c r="B1525" s="8">
        <v>2024</v>
      </c>
      <c r="C1525" s="8" t="s">
        <v>24</v>
      </c>
      <c r="D1525" s="9" t="s">
        <v>185</v>
      </c>
      <c r="E1525" s="9" t="s">
        <v>115</v>
      </c>
      <c r="F1525" s="9" t="s">
        <v>434</v>
      </c>
      <c r="G1525" s="8"/>
      <c r="H1525" s="8"/>
      <c r="I1525" s="9" t="s">
        <v>435</v>
      </c>
      <c r="J1525" s="14" t="s">
        <v>14</v>
      </c>
      <c r="K1525" s="9" t="s">
        <v>435</v>
      </c>
      <c r="L1525" s="9" t="s">
        <v>209</v>
      </c>
      <c r="M1525" s="9" t="s">
        <v>99</v>
      </c>
      <c r="N1525" s="9" t="s">
        <v>436</v>
      </c>
      <c r="O1525" s="9" t="s">
        <v>500</v>
      </c>
      <c r="P1525" s="9" t="s">
        <v>509</v>
      </c>
      <c r="Q1525" s="11">
        <v>8</v>
      </c>
      <c r="S1525" s="11">
        <f t="shared" si="199"/>
        <v>8</v>
      </c>
      <c r="T1525" s="9"/>
      <c r="U1525" s="14" t="s">
        <v>77</v>
      </c>
      <c r="V1525" s="9"/>
      <c r="W1525" s="12">
        <v>60</v>
      </c>
      <c r="X1525" s="13"/>
      <c r="Y1525" s="13"/>
      <c r="Z1525" s="13"/>
      <c r="AA1525" s="13"/>
      <c r="AB1525" s="13"/>
      <c r="AC1525" s="13"/>
      <c r="AD1525" s="13"/>
      <c r="AE1525" s="13">
        <v>0.13500000000000001</v>
      </c>
      <c r="AF1525" s="13"/>
      <c r="AG1525" s="13"/>
      <c r="AH1525" s="13"/>
      <c r="AI1525" s="13"/>
      <c r="AJ1525" s="13">
        <f t="shared" si="200"/>
        <v>0.13500000000000001</v>
      </c>
      <c r="AK1525" s="12"/>
      <c r="AL1525" s="13"/>
      <c r="AM1525" s="9"/>
      <c r="AN1525" s="9"/>
      <c r="AO1525" s="9"/>
      <c r="AP1525" s="14"/>
    </row>
    <row r="1526" spans="1:42" s="45" customFormat="1" ht="22" customHeight="1">
      <c r="A1526" s="14" t="s">
        <v>17</v>
      </c>
      <c r="B1526" s="8">
        <v>2024</v>
      </c>
      <c r="C1526" s="8" t="s">
        <v>24</v>
      </c>
      <c r="D1526" s="9" t="s">
        <v>185</v>
      </c>
      <c r="E1526" s="9" t="s">
        <v>115</v>
      </c>
      <c r="F1526" s="9" t="s">
        <v>434</v>
      </c>
      <c r="G1526" s="8"/>
      <c r="H1526" s="8"/>
      <c r="I1526" s="9" t="s">
        <v>435</v>
      </c>
      <c r="J1526" s="14" t="s">
        <v>14</v>
      </c>
      <c r="K1526" s="9" t="s">
        <v>435</v>
      </c>
      <c r="L1526" s="9" t="s">
        <v>209</v>
      </c>
      <c r="M1526" s="9" t="s">
        <v>99</v>
      </c>
      <c r="N1526" s="9" t="s">
        <v>436</v>
      </c>
      <c r="O1526" s="9" t="s">
        <v>500</v>
      </c>
      <c r="P1526" s="9" t="s">
        <v>510</v>
      </c>
      <c r="Q1526" s="11">
        <v>13</v>
      </c>
      <c r="S1526" s="11">
        <f t="shared" si="199"/>
        <v>13</v>
      </c>
      <c r="T1526" s="9"/>
      <c r="U1526" s="14" t="s">
        <v>77</v>
      </c>
      <c r="V1526" s="9"/>
      <c r="W1526" s="12">
        <v>60</v>
      </c>
      <c r="X1526" s="13"/>
      <c r="Y1526" s="13"/>
      <c r="Z1526" s="13"/>
      <c r="AA1526" s="13"/>
      <c r="AB1526" s="13"/>
      <c r="AC1526" s="13"/>
      <c r="AD1526" s="13"/>
      <c r="AE1526" s="13">
        <v>0.12</v>
      </c>
      <c r="AF1526" s="13"/>
      <c r="AG1526" s="13"/>
      <c r="AH1526" s="13"/>
      <c r="AI1526" s="13"/>
      <c r="AJ1526" s="13">
        <f t="shared" si="200"/>
        <v>0.12</v>
      </c>
      <c r="AK1526" s="12"/>
      <c r="AL1526" s="13"/>
      <c r="AM1526" s="9"/>
      <c r="AN1526" s="9"/>
      <c r="AO1526" s="9"/>
      <c r="AP1526" s="14"/>
    </row>
    <row r="1527" spans="1:42" s="45" customFormat="1" ht="22" customHeight="1">
      <c r="A1527" s="14" t="s">
        <v>17</v>
      </c>
      <c r="B1527" s="8">
        <v>2024</v>
      </c>
      <c r="C1527" s="8" t="s">
        <v>24</v>
      </c>
      <c r="D1527" s="9" t="s">
        <v>185</v>
      </c>
      <c r="E1527" s="9" t="s">
        <v>115</v>
      </c>
      <c r="F1527" s="9" t="s">
        <v>434</v>
      </c>
      <c r="G1527" s="8"/>
      <c r="H1527" s="8"/>
      <c r="I1527" s="9" t="s">
        <v>435</v>
      </c>
      <c r="J1527" s="14" t="s">
        <v>14</v>
      </c>
      <c r="K1527" s="9" t="s">
        <v>435</v>
      </c>
      <c r="L1527" s="9" t="s">
        <v>209</v>
      </c>
      <c r="M1527" s="9" t="s">
        <v>99</v>
      </c>
      <c r="N1527" s="9" t="s">
        <v>436</v>
      </c>
      <c r="O1527" s="9" t="s">
        <v>511</v>
      </c>
      <c r="P1527" s="9" t="s">
        <v>512</v>
      </c>
      <c r="Q1527" s="11">
        <v>30</v>
      </c>
      <c r="R1527" s="11"/>
      <c r="S1527" s="11">
        <f t="shared" si="199"/>
        <v>30</v>
      </c>
      <c r="T1527" s="9"/>
      <c r="U1527" s="14" t="s">
        <v>77</v>
      </c>
      <c r="V1527" s="9"/>
      <c r="W1527" s="12">
        <v>90</v>
      </c>
      <c r="X1527" s="13"/>
      <c r="Y1527" s="13"/>
      <c r="Z1527" s="13"/>
      <c r="AA1527" s="13"/>
      <c r="AB1527" s="13"/>
      <c r="AC1527" s="13"/>
      <c r="AD1527" s="13"/>
      <c r="AE1527" s="13">
        <v>0.09</v>
      </c>
      <c r="AF1527" s="13"/>
      <c r="AG1527" s="13"/>
      <c r="AH1527" s="13"/>
      <c r="AI1527" s="13"/>
      <c r="AJ1527" s="13">
        <f t="shared" si="200"/>
        <v>0.09</v>
      </c>
      <c r="AK1527" s="12"/>
      <c r="AL1527" s="13"/>
      <c r="AM1527" s="9"/>
      <c r="AN1527" s="9"/>
      <c r="AO1527" s="9"/>
      <c r="AP1527" s="14"/>
    </row>
    <row r="1528" spans="1:42" s="45" customFormat="1" ht="22" customHeight="1">
      <c r="A1528" s="14" t="s">
        <v>17</v>
      </c>
      <c r="B1528" s="8">
        <v>2024</v>
      </c>
      <c r="C1528" s="8" t="s">
        <v>24</v>
      </c>
      <c r="D1528" s="9" t="s">
        <v>185</v>
      </c>
      <c r="E1528" s="9" t="s">
        <v>115</v>
      </c>
      <c r="F1528" s="9" t="s">
        <v>434</v>
      </c>
      <c r="G1528" s="8"/>
      <c r="H1528" s="8"/>
      <c r="I1528" s="9" t="s">
        <v>435</v>
      </c>
      <c r="J1528" s="14" t="s">
        <v>14</v>
      </c>
      <c r="K1528" s="9" t="s">
        <v>435</v>
      </c>
      <c r="L1528" s="9" t="s">
        <v>209</v>
      </c>
      <c r="M1528" s="9" t="s">
        <v>99</v>
      </c>
      <c r="N1528" s="9" t="s">
        <v>436</v>
      </c>
      <c r="O1528" s="9" t="s">
        <v>511</v>
      </c>
      <c r="P1528" s="9" t="s">
        <v>511</v>
      </c>
      <c r="Q1528" s="11">
        <v>35</v>
      </c>
      <c r="R1528" s="11"/>
      <c r="S1528" s="11">
        <f t="shared" ref="S1528:S1538" si="201">+Q1528</f>
        <v>35</v>
      </c>
      <c r="T1528" s="9"/>
      <c r="U1528" s="14" t="s">
        <v>77</v>
      </c>
      <c r="V1528" s="9"/>
      <c r="W1528" s="12">
        <v>90</v>
      </c>
      <c r="X1528" s="13"/>
      <c r="Y1528" s="13"/>
      <c r="Z1528" s="13"/>
      <c r="AA1528" s="13"/>
      <c r="AB1528" s="13"/>
      <c r="AC1528" s="13"/>
      <c r="AD1528" s="13"/>
      <c r="AE1528" s="13">
        <v>0.105</v>
      </c>
      <c r="AF1528" s="13"/>
      <c r="AG1528" s="13"/>
      <c r="AH1528" s="13"/>
      <c r="AI1528" s="13"/>
      <c r="AJ1528" s="13">
        <f t="shared" si="200"/>
        <v>0.105</v>
      </c>
      <c r="AK1528" s="12"/>
      <c r="AL1528" s="13"/>
      <c r="AM1528" s="9"/>
      <c r="AN1528" s="9"/>
      <c r="AO1528" s="9"/>
      <c r="AP1528" s="14"/>
    </row>
    <row r="1529" spans="1:42" s="45" customFormat="1" ht="22" customHeight="1">
      <c r="A1529" s="14" t="s">
        <v>17</v>
      </c>
      <c r="B1529" s="8">
        <v>2024</v>
      </c>
      <c r="C1529" s="8" t="s">
        <v>24</v>
      </c>
      <c r="D1529" s="9" t="s">
        <v>185</v>
      </c>
      <c r="E1529" s="9" t="s">
        <v>115</v>
      </c>
      <c r="F1529" s="9" t="s">
        <v>434</v>
      </c>
      <c r="G1529" s="8"/>
      <c r="H1529" s="8"/>
      <c r="I1529" s="9" t="s">
        <v>435</v>
      </c>
      <c r="J1529" s="14" t="s">
        <v>14</v>
      </c>
      <c r="K1529" s="9" t="s">
        <v>435</v>
      </c>
      <c r="L1529" s="9" t="s">
        <v>209</v>
      </c>
      <c r="M1529" s="9" t="s">
        <v>99</v>
      </c>
      <c r="N1529" s="9" t="s">
        <v>436</v>
      </c>
      <c r="O1529" s="9" t="s">
        <v>511</v>
      </c>
      <c r="P1529" s="9" t="s">
        <v>513</v>
      </c>
      <c r="Q1529" s="11">
        <v>28</v>
      </c>
      <c r="R1529" s="11"/>
      <c r="S1529" s="11">
        <f t="shared" si="201"/>
        <v>28</v>
      </c>
      <c r="T1529" s="9"/>
      <c r="U1529" s="14" t="s">
        <v>77</v>
      </c>
      <c r="V1529" s="9"/>
      <c r="W1529" s="12">
        <v>90</v>
      </c>
      <c r="X1529" s="13"/>
      <c r="Y1529" s="13"/>
      <c r="Z1529" s="13"/>
      <c r="AA1529" s="13"/>
      <c r="AB1529" s="13"/>
      <c r="AC1529" s="13"/>
      <c r="AD1529" s="13"/>
      <c r="AE1529" s="13">
        <v>0.09</v>
      </c>
      <c r="AF1529" s="13"/>
      <c r="AG1529" s="13"/>
      <c r="AH1529" s="13"/>
      <c r="AI1529" s="13"/>
      <c r="AJ1529" s="13">
        <f t="shared" si="200"/>
        <v>0.09</v>
      </c>
      <c r="AK1529" s="12"/>
      <c r="AL1529" s="13"/>
      <c r="AM1529" s="9"/>
      <c r="AN1529" s="9"/>
      <c r="AO1529" s="9"/>
      <c r="AP1529" s="14"/>
    </row>
    <row r="1530" spans="1:42" s="45" customFormat="1" ht="22" customHeight="1">
      <c r="A1530" s="14" t="s">
        <v>17</v>
      </c>
      <c r="B1530" s="8">
        <v>2024</v>
      </c>
      <c r="C1530" s="8" t="s">
        <v>24</v>
      </c>
      <c r="D1530" s="9" t="s">
        <v>185</v>
      </c>
      <c r="E1530" s="9" t="s">
        <v>115</v>
      </c>
      <c r="F1530" s="9" t="s">
        <v>434</v>
      </c>
      <c r="G1530" s="8"/>
      <c r="H1530" s="8"/>
      <c r="I1530" s="9" t="s">
        <v>435</v>
      </c>
      <c r="J1530" s="14" t="s">
        <v>14</v>
      </c>
      <c r="K1530" s="9" t="s">
        <v>435</v>
      </c>
      <c r="L1530" s="9" t="s">
        <v>209</v>
      </c>
      <c r="M1530" s="9" t="s">
        <v>99</v>
      </c>
      <c r="N1530" s="9" t="s">
        <v>436</v>
      </c>
      <c r="O1530" s="9" t="s">
        <v>511</v>
      </c>
      <c r="P1530" s="9" t="s">
        <v>514</v>
      </c>
      <c r="Q1530" s="11">
        <v>17</v>
      </c>
      <c r="R1530" s="11"/>
      <c r="S1530" s="11">
        <f t="shared" si="201"/>
        <v>17</v>
      </c>
      <c r="T1530" s="9"/>
      <c r="U1530" s="14" t="s">
        <v>77</v>
      </c>
      <c r="V1530" s="9"/>
      <c r="W1530" s="12">
        <v>90</v>
      </c>
      <c r="X1530" s="13"/>
      <c r="Y1530" s="13"/>
      <c r="Z1530" s="13"/>
      <c r="AA1530" s="13"/>
      <c r="AB1530" s="13"/>
      <c r="AC1530" s="13"/>
      <c r="AD1530" s="13"/>
      <c r="AE1530" s="13">
        <v>7.4999999999999997E-2</v>
      </c>
      <c r="AF1530" s="13"/>
      <c r="AG1530" s="13"/>
      <c r="AH1530" s="13"/>
      <c r="AI1530" s="13"/>
      <c r="AJ1530" s="13">
        <f t="shared" si="200"/>
        <v>7.4999999999999997E-2</v>
      </c>
      <c r="AK1530" s="12"/>
      <c r="AL1530" s="13"/>
      <c r="AM1530" s="9"/>
      <c r="AN1530" s="9"/>
      <c r="AO1530" s="9"/>
      <c r="AP1530" s="14"/>
    </row>
    <row r="1531" spans="1:42" s="45" customFormat="1" ht="22" customHeight="1">
      <c r="A1531" s="14" t="s">
        <v>17</v>
      </c>
      <c r="B1531" s="8">
        <v>2024</v>
      </c>
      <c r="C1531" s="8" t="s">
        <v>24</v>
      </c>
      <c r="D1531" s="9" t="s">
        <v>185</v>
      </c>
      <c r="E1531" s="9" t="s">
        <v>115</v>
      </c>
      <c r="F1531" s="9" t="s">
        <v>434</v>
      </c>
      <c r="G1531" s="8"/>
      <c r="H1531" s="8"/>
      <c r="I1531" s="9" t="s">
        <v>435</v>
      </c>
      <c r="J1531" s="14" t="s">
        <v>14</v>
      </c>
      <c r="K1531" s="9" t="s">
        <v>435</v>
      </c>
      <c r="L1531" s="9" t="s">
        <v>209</v>
      </c>
      <c r="M1531" s="9" t="s">
        <v>99</v>
      </c>
      <c r="N1531" s="9" t="s">
        <v>436</v>
      </c>
      <c r="O1531" s="9" t="s">
        <v>511</v>
      </c>
      <c r="P1531" s="9" t="s">
        <v>515</v>
      </c>
      <c r="Q1531" s="11">
        <v>27</v>
      </c>
      <c r="R1531" s="11"/>
      <c r="S1531" s="11">
        <f t="shared" si="201"/>
        <v>27</v>
      </c>
      <c r="T1531" s="9"/>
      <c r="U1531" s="14" t="s">
        <v>77</v>
      </c>
      <c r="V1531" s="9"/>
      <c r="W1531" s="12">
        <v>90</v>
      </c>
      <c r="X1531" s="13"/>
      <c r="Y1531" s="13"/>
      <c r="Z1531" s="13"/>
      <c r="AA1531" s="13"/>
      <c r="AB1531" s="13"/>
      <c r="AC1531" s="13"/>
      <c r="AD1531" s="13"/>
      <c r="AE1531" s="13">
        <v>0.09</v>
      </c>
      <c r="AF1531" s="13"/>
      <c r="AG1531" s="13"/>
      <c r="AH1531" s="13"/>
      <c r="AI1531" s="13"/>
      <c r="AJ1531" s="13">
        <f t="shared" si="200"/>
        <v>0.09</v>
      </c>
      <c r="AK1531" s="12"/>
      <c r="AL1531" s="13"/>
      <c r="AM1531" s="9"/>
      <c r="AN1531" s="9"/>
      <c r="AO1531" s="9"/>
      <c r="AP1531" s="14"/>
    </row>
    <row r="1532" spans="1:42" s="45" customFormat="1" ht="22" customHeight="1">
      <c r="A1532" s="14" t="s">
        <v>17</v>
      </c>
      <c r="B1532" s="8">
        <v>2024</v>
      </c>
      <c r="C1532" s="8" t="s">
        <v>24</v>
      </c>
      <c r="D1532" s="9" t="s">
        <v>185</v>
      </c>
      <c r="E1532" s="9" t="s">
        <v>115</v>
      </c>
      <c r="F1532" s="9" t="s">
        <v>434</v>
      </c>
      <c r="G1532" s="8"/>
      <c r="H1532" s="8"/>
      <c r="I1532" s="9" t="s">
        <v>435</v>
      </c>
      <c r="J1532" s="14" t="s">
        <v>14</v>
      </c>
      <c r="K1532" s="9" t="s">
        <v>435</v>
      </c>
      <c r="L1532" s="9" t="s">
        <v>209</v>
      </c>
      <c r="M1532" s="9" t="s">
        <v>99</v>
      </c>
      <c r="N1532" s="9" t="s">
        <v>436</v>
      </c>
      <c r="O1532" s="9" t="s">
        <v>511</v>
      </c>
      <c r="P1532" s="9" t="s">
        <v>516</v>
      </c>
      <c r="Q1532" s="11">
        <v>30</v>
      </c>
      <c r="R1532" s="11"/>
      <c r="S1532" s="11">
        <f t="shared" si="201"/>
        <v>30</v>
      </c>
      <c r="T1532" s="9"/>
      <c r="U1532" s="14" t="s">
        <v>77</v>
      </c>
      <c r="V1532" s="9"/>
      <c r="W1532" s="12">
        <v>90</v>
      </c>
      <c r="X1532" s="13"/>
      <c r="Y1532" s="13"/>
      <c r="Z1532" s="13"/>
      <c r="AA1532" s="13"/>
      <c r="AB1532" s="13"/>
      <c r="AC1532" s="13"/>
      <c r="AD1532" s="13"/>
      <c r="AE1532" s="13">
        <v>0.09</v>
      </c>
      <c r="AF1532" s="13"/>
      <c r="AG1532" s="13"/>
      <c r="AH1532" s="13"/>
      <c r="AI1532" s="13"/>
      <c r="AJ1532" s="13">
        <f t="shared" si="200"/>
        <v>0.09</v>
      </c>
      <c r="AK1532" s="12"/>
      <c r="AL1532" s="13"/>
      <c r="AM1532" s="9"/>
      <c r="AN1532" s="9"/>
      <c r="AO1532" s="9"/>
      <c r="AP1532" s="14"/>
    </row>
    <row r="1533" spans="1:42" s="45" customFormat="1" ht="22" customHeight="1">
      <c r="A1533" s="14" t="s">
        <v>17</v>
      </c>
      <c r="B1533" s="8">
        <v>2024</v>
      </c>
      <c r="C1533" s="8" t="s">
        <v>24</v>
      </c>
      <c r="D1533" s="9" t="s">
        <v>185</v>
      </c>
      <c r="E1533" s="9" t="s">
        <v>115</v>
      </c>
      <c r="F1533" s="9" t="s">
        <v>434</v>
      </c>
      <c r="G1533" s="8"/>
      <c r="H1533" s="8"/>
      <c r="I1533" s="9" t="s">
        <v>435</v>
      </c>
      <c r="J1533" s="14" t="s">
        <v>14</v>
      </c>
      <c r="K1533" s="9" t="s">
        <v>435</v>
      </c>
      <c r="L1533" s="9" t="s">
        <v>209</v>
      </c>
      <c r="M1533" s="9" t="s">
        <v>99</v>
      </c>
      <c r="N1533" s="9" t="s">
        <v>436</v>
      </c>
      <c r="O1533" s="9" t="s">
        <v>511</v>
      </c>
      <c r="P1533" s="9" t="s">
        <v>517</v>
      </c>
      <c r="Q1533" s="11">
        <v>20</v>
      </c>
      <c r="R1533" s="11"/>
      <c r="S1533" s="11">
        <f t="shared" si="201"/>
        <v>20</v>
      </c>
      <c r="T1533" s="9"/>
      <c r="U1533" s="14" t="s">
        <v>77</v>
      </c>
      <c r="V1533" s="9"/>
      <c r="W1533" s="12">
        <v>90</v>
      </c>
      <c r="X1533" s="13"/>
      <c r="Y1533" s="13"/>
      <c r="Z1533" s="13"/>
      <c r="AA1533" s="13"/>
      <c r="AB1533" s="13"/>
      <c r="AC1533" s="13"/>
      <c r="AD1533" s="13"/>
      <c r="AE1533" s="13">
        <v>0.06</v>
      </c>
      <c r="AF1533" s="13"/>
      <c r="AG1533" s="13"/>
      <c r="AH1533" s="13"/>
      <c r="AI1533" s="13"/>
      <c r="AJ1533" s="13">
        <f t="shared" si="200"/>
        <v>0.06</v>
      </c>
      <c r="AK1533" s="12"/>
      <c r="AL1533" s="13"/>
      <c r="AM1533" s="9"/>
      <c r="AN1533" s="9"/>
      <c r="AO1533" s="9"/>
      <c r="AP1533" s="14"/>
    </row>
    <row r="1534" spans="1:42" s="45" customFormat="1" ht="22" customHeight="1">
      <c r="A1534" s="14" t="s">
        <v>17</v>
      </c>
      <c r="B1534" s="8">
        <v>2024</v>
      </c>
      <c r="C1534" s="8" t="s">
        <v>24</v>
      </c>
      <c r="D1534" s="9" t="s">
        <v>185</v>
      </c>
      <c r="E1534" s="9" t="s">
        <v>115</v>
      </c>
      <c r="F1534" s="9" t="s">
        <v>434</v>
      </c>
      <c r="G1534" s="8"/>
      <c r="H1534" s="8"/>
      <c r="I1534" s="9" t="s">
        <v>435</v>
      </c>
      <c r="J1534" s="14" t="s">
        <v>14</v>
      </c>
      <c r="K1534" s="9" t="s">
        <v>435</v>
      </c>
      <c r="L1534" s="9" t="s">
        <v>209</v>
      </c>
      <c r="M1534" s="9" t="s">
        <v>99</v>
      </c>
      <c r="N1534" s="9" t="s">
        <v>436</v>
      </c>
      <c r="O1534" s="9" t="s">
        <v>511</v>
      </c>
      <c r="P1534" s="9" t="s">
        <v>518</v>
      </c>
      <c r="Q1534" s="11">
        <v>31</v>
      </c>
      <c r="R1534" s="11"/>
      <c r="S1534" s="11">
        <f t="shared" si="201"/>
        <v>31</v>
      </c>
      <c r="T1534" s="9"/>
      <c r="U1534" s="14" t="s">
        <v>77</v>
      </c>
      <c r="V1534" s="9"/>
      <c r="W1534" s="12">
        <v>90</v>
      </c>
      <c r="X1534" s="13"/>
      <c r="Y1534" s="13"/>
      <c r="Z1534" s="13"/>
      <c r="AA1534" s="13"/>
      <c r="AB1534" s="13"/>
      <c r="AC1534" s="13"/>
      <c r="AD1534" s="13"/>
      <c r="AE1534" s="13">
        <v>0.09</v>
      </c>
      <c r="AF1534" s="13"/>
      <c r="AG1534" s="13"/>
      <c r="AH1534" s="13"/>
      <c r="AI1534" s="13"/>
      <c r="AJ1534" s="13">
        <f t="shared" si="200"/>
        <v>0.09</v>
      </c>
      <c r="AK1534" s="12"/>
      <c r="AL1534" s="13"/>
      <c r="AM1534" s="9"/>
      <c r="AN1534" s="9"/>
      <c r="AO1534" s="9"/>
      <c r="AP1534" s="14"/>
    </row>
    <row r="1535" spans="1:42" s="45" customFormat="1" ht="22" customHeight="1">
      <c r="A1535" s="14" t="s">
        <v>17</v>
      </c>
      <c r="B1535" s="8">
        <v>2024</v>
      </c>
      <c r="C1535" s="8" t="s">
        <v>24</v>
      </c>
      <c r="D1535" s="9" t="s">
        <v>185</v>
      </c>
      <c r="E1535" s="9" t="s">
        <v>115</v>
      </c>
      <c r="F1535" s="9" t="s">
        <v>434</v>
      </c>
      <c r="G1535" s="8"/>
      <c r="H1535" s="8"/>
      <c r="I1535" s="9" t="s">
        <v>435</v>
      </c>
      <c r="J1535" s="14" t="s">
        <v>14</v>
      </c>
      <c r="K1535" s="9" t="s">
        <v>435</v>
      </c>
      <c r="L1535" s="9" t="s">
        <v>209</v>
      </c>
      <c r="M1535" s="9" t="s">
        <v>99</v>
      </c>
      <c r="N1535" s="9" t="s">
        <v>436</v>
      </c>
      <c r="O1535" s="9" t="s">
        <v>511</v>
      </c>
      <c r="P1535" s="9" t="s">
        <v>519</v>
      </c>
      <c r="Q1535" s="11">
        <v>30</v>
      </c>
      <c r="R1535" s="11"/>
      <c r="S1535" s="11">
        <f t="shared" si="201"/>
        <v>30</v>
      </c>
      <c r="T1535" s="9"/>
      <c r="U1535" s="14" t="s">
        <v>77</v>
      </c>
      <c r="V1535" s="9"/>
      <c r="W1535" s="12">
        <v>90</v>
      </c>
      <c r="X1535" s="13"/>
      <c r="Y1535" s="13"/>
      <c r="Z1535" s="13"/>
      <c r="AA1535" s="13"/>
      <c r="AB1535" s="13"/>
      <c r="AC1535" s="13"/>
      <c r="AD1535" s="13"/>
      <c r="AE1535" s="13">
        <v>0.09</v>
      </c>
      <c r="AF1535" s="13"/>
      <c r="AG1535" s="13"/>
      <c r="AH1535" s="13"/>
      <c r="AI1535" s="13"/>
      <c r="AJ1535" s="13">
        <f t="shared" si="200"/>
        <v>0.09</v>
      </c>
      <c r="AK1535" s="12"/>
      <c r="AL1535" s="13"/>
      <c r="AM1535" s="9"/>
      <c r="AN1535" s="9"/>
      <c r="AO1535" s="9"/>
      <c r="AP1535" s="14"/>
    </row>
    <row r="1536" spans="1:42" s="45" customFormat="1" ht="22" customHeight="1">
      <c r="A1536" s="14" t="s">
        <v>17</v>
      </c>
      <c r="B1536" s="8">
        <v>2024</v>
      </c>
      <c r="C1536" s="8" t="s">
        <v>24</v>
      </c>
      <c r="D1536" s="9" t="s">
        <v>185</v>
      </c>
      <c r="E1536" s="9" t="s">
        <v>115</v>
      </c>
      <c r="F1536" s="9" t="s">
        <v>434</v>
      </c>
      <c r="G1536" s="8"/>
      <c r="H1536" s="8"/>
      <c r="I1536" s="9" t="s">
        <v>435</v>
      </c>
      <c r="J1536" s="14" t="s">
        <v>14</v>
      </c>
      <c r="K1536" s="9" t="s">
        <v>435</v>
      </c>
      <c r="L1536" s="9" t="s">
        <v>209</v>
      </c>
      <c r="M1536" s="9" t="s">
        <v>99</v>
      </c>
      <c r="N1536" s="9" t="s">
        <v>436</v>
      </c>
      <c r="O1536" s="9" t="s">
        <v>511</v>
      </c>
      <c r="P1536" s="9" t="s">
        <v>520</v>
      </c>
      <c r="Q1536" s="11">
        <v>35</v>
      </c>
      <c r="R1536" s="11"/>
      <c r="S1536" s="11">
        <f t="shared" si="201"/>
        <v>35</v>
      </c>
      <c r="T1536" s="9"/>
      <c r="U1536" s="14" t="s">
        <v>77</v>
      </c>
      <c r="V1536" s="9"/>
      <c r="W1536" s="12">
        <v>90</v>
      </c>
      <c r="X1536" s="13"/>
      <c r="Y1536" s="13"/>
      <c r="Z1536" s="13"/>
      <c r="AA1536" s="13"/>
      <c r="AB1536" s="13"/>
      <c r="AC1536" s="13"/>
      <c r="AD1536" s="13"/>
      <c r="AE1536" s="13">
        <v>0.105</v>
      </c>
      <c r="AF1536" s="13"/>
      <c r="AG1536" s="13"/>
      <c r="AH1536" s="13"/>
      <c r="AI1536" s="13"/>
      <c r="AJ1536" s="13">
        <f t="shared" si="200"/>
        <v>0.105</v>
      </c>
      <c r="AK1536" s="12"/>
      <c r="AL1536" s="13"/>
      <c r="AM1536" s="9"/>
      <c r="AN1536" s="9"/>
      <c r="AO1536" s="9"/>
      <c r="AP1536" s="14"/>
    </row>
    <row r="1537" spans="1:42" s="45" customFormat="1" ht="22" customHeight="1">
      <c r="A1537" s="14" t="s">
        <v>17</v>
      </c>
      <c r="B1537" s="8">
        <v>2024</v>
      </c>
      <c r="C1537" s="8" t="s">
        <v>24</v>
      </c>
      <c r="D1537" s="9" t="s">
        <v>185</v>
      </c>
      <c r="E1537" s="9" t="s">
        <v>115</v>
      </c>
      <c r="F1537" s="9" t="s">
        <v>434</v>
      </c>
      <c r="G1537" s="8"/>
      <c r="H1537" s="8"/>
      <c r="I1537" s="9" t="s">
        <v>435</v>
      </c>
      <c r="J1537" s="14" t="s">
        <v>14</v>
      </c>
      <c r="K1537" s="9" t="s">
        <v>435</v>
      </c>
      <c r="L1537" s="9" t="s">
        <v>209</v>
      </c>
      <c r="M1537" s="9" t="s">
        <v>99</v>
      </c>
      <c r="N1537" s="9" t="s">
        <v>436</v>
      </c>
      <c r="O1537" s="9" t="s">
        <v>511</v>
      </c>
      <c r="P1537" s="9" t="s">
        <v>521</v>
      </c>
      <c r="Q1537" s="11">
        <v>22</v>
      </c>
      <c r="R1537" s="11"/>
      <c r="S1537" s="11">
        <f t="shared" si="201"/>
        <v>22</v>
      </c>
      <c r="T1537" s="9"/>
      <c r="U1537" s="14" t="s">
        <v>77</v>
      </c>
      <c r="V1537" s="9"/>
      <c r="W1537" s="12">
        <v>90</v>
      </c>
      <c r="X1537" s="13"/>
      <c r="Y1537" s="13"/>
      <c r="Z1537" s="13"/>
      <c r="AA1537" s="13"/>
      <c r="AB1537" s="13"/>
      <c r="AC1537" s="13"/>
      <c r="AD1537" s="13"/>
      <c r="AE1537" s="13">
        <v>7.4999999999999997E-2</v>
      </c>
      <c r="AF1537" s="13"/>
      <c r="AG1537" s="13"/>
      <c r="AH1537" s="13"/>
      <c r="AI1537" s="13"/>
      <c r="AJ1537" s="13">
        <f t="shared" si="200"/>
        <v>7.4999999999999997E-2</v>
      </c>
      <c r="AK1537" s="12"/>
      <c r="AL1537" s="13"/>
      <c r="AM1537" s="9"/>
      <c r="AN1537" s="9"/>
      <c r="AO1537" s="9"/>
      <c r="AP1537" s="14"/>
    </row>
    <row r="1538" spans="1:42" s="45" customFormat="1" ht="22" customHeight="1">
      <c r="A1538" s="14" t="s">
        <v>17</v>
      </c>
      <c r="B1538" s="8">
        <v>2024</v>
      </c>
      <c r="C1538" s="8" t="s">
        <v>24</v>
      </c>
      <c r="D1538" s="9" t="s">
        <v>185</v>
      </c>
      <c r="E1538" s="9" t="s">
        <v>115</v>
      </c>
      <c r="F1538" s="9" t="s">
        <v>434</v>
      </c>
      <c r="G1538" s="8"/>
      <c r="H1538" s="8"/>
      <c r="I1538" s="9" t="s">
        <v>435</v>
      </c>
      <c r="J1538" s="14" t="s">
        <v>14</v>
      </c>
      <c r="K1538" s="9" t="s">
        <v>435</v>
      </c>
      <c r="L1538" s="9" t="s">
        <v>209</v>
      </c>
      <c r="M1538" s="9" t="s">
        <v>99</v>
      </c>
      <c r="N1538" s="9" t="s">
        <v>436</v>
      </c>
      <c r="O1538" s="9" t="s">
        <v>511</v>
      </c>
      <c r="P1538" s="9" t="s">
        <v>395</v>
      </c>
      <c r="Q1538" s="11">
        <v>27</v>
      </c>
      <c r="R1538" s="11"/>
      <c r="S1538" s="11">
        <f t="shared" si="201"/>
        <v>27</v>
      </c>
      <c r="T1538" s="9"/>
      <c r="U1538" s="14" t="s">
        <v>77</v>
      </c>
      <c r="V1538" s="9"/>
      <c r="W1538" s="12">
        <v>90</v>
      </c>
      <c r="X1538" s="13"/>
      <c r="Y1538" s="13"/>
      <c r="Z1538" s="13"/>
      <c r="AA1538" s="13"/>
      <c r="AB1538" s="13"/>
      <c r="AC1538" s="13"/>
      <c r="AD1538" s="13"/>
      <c r="AE1538" s="13">
        <v>0.09</v>
      </c>
      <c r="AF1538" s="13"/>
      <c r="AG1538" s="13"/>
      <c r="AH1538" s="13"/>
      <c r="AI1538" s="13"/>
      <c r="AJ1538" s="13">
        <f t="shared" si="200"/>
        <v>0.09</v>
      </c>
      <c r="AK1538" s="12"/>
      <c r="AL1538" s="13"/>
      <c r="AM1538" s="9"/>
      <c r="AN1538" s="9"/>
      <c r="AO1538" s="9"/>
      <c r="AP1538" s="14"/>
    </row>
    <row r="1539" spans="1:42" s="45" customFormat="1" ht="22" customHeight="1">
      <c r="A1539" s="14" t="s">
        <v>17</v>
      </c>
      <c r="B1539" s="8">
        <v>2024</v>
      </c>
      <c r="C1539" s="8" t="s">
        <v>24</v>
      </c>
      <c r="D1539" s="9" t="s">
        <v>185</v>
      </c>
      <c r="E1539" s="9" t="s">
        <v>115</v>
      </c>
      <c r="F1539" s="9" t="s">
        <v>434</v>
      </c>
      <c r="G1539" s="8"/>
      <c r="H1539" s="8"/>
      <c r="I1539" s="9" t="s">
        <v>435</v>
      </c>
      <c r="J1539" s="14" t="s">
        <v>14</v>
      </c>
      <c r="K1539" s="9" t="s">
        <v>435</v>
      </c>
      <c r="L1539" s="9" t="s">
        <v>209</v>
      </c>
      <c r="M1539" s="9" t="s">
        <v>99</v>
      </c>
      <c r="N1539" s="9" t="s">
        <v>436</v>
      </c>
      <c r="O1539" s="9" t="s">
        <v>231</v>
      </c>
      <c r="P1539" s="9" t="s">
        <v>522</v>
      </c>
      <c r="Q1539" s="11">
        <v>31</v>
      </c>
      <c r="R1539" s="11"/>
      <c r="S1539" s="11">
        <f>+Q1539</f>
        <v>31</v>
      </c>
      <c r="T1539" s="9"/>
      <c r="U1539" s="14" t="s">
        <v>77</v>
      </c>
      <c r="V1539" s="9"/>
      <c r="W1539" s="12">
        <v>90</v>
      </c>
      <c r="X1539" s="13"/>
      <c r="Y1539" s="13"/>
      <c r="Z1539" s="13"/>
      <c r="AA1539" s="13"/>
      <c r="AB1539" s="13"/>
      <c r="AC1539" s="13"/>
      <c r="AD1539" s="13"/>
      <c r="AE1539" s="13">
        <v>0.255</v>
      </c>
      <c r="AF1539" s="13"/>
      <c r="AG1539" s="13"/>
      <c r="AH1539" s="13"/>
      <c r="AI1539" s="13"/>
      <c r="AJ1539" s="13">
        <f t="shared" si="200"/>
        <v>0.255</v>
      </c>
      <c r="AK1539" s="12"/>
      <c r="AL1539" s="13"/>
      <c r="AM1539" s="9"/>
      <c r="AN1539" s="9"/>
      <c r="AO1539" s="9"/>
      <c r="AP1539" s="14"/>
    </row>
    <row r="1540" spans="1:42" s="45" customFormat="1" ht="22" customHeight="1">
      <c r="A1540" s="14" t="s">
        <v>17</v>
      </c>
      <c r="B1540" s="8">
        <v>2024</v>
      </c>
      <c r="C1540" s="8" t="s">
        <v>24</v>
      </c>
      <c r="D1540" s="9" t="s">
        <v>185</v>
      </c>
      <c r="E1540" s="9" t="s">
        <v>115</v>
      </c>
      <c r="F1540" s="9" t="s">
        <v>434</v>
      </c>
      <c r="G1540" s="8"/>
      <c r="H1540" s="8"/>
      <c r="I1540" s="9" t="s">
        <v>435</v>
      </c>
      <c r="J1540" s="14" t="s">
        <v>14</v>
      </c>
      <c r="K1540" s="9" t="s">
        <v>435</v>
      </c>
      <c r="L1540" s="9" t="s">
        <v>209</v>
      </c>
      <c r="M1540" s="9" t="s">
        <v>99</v>
      </c>
      <c r="N1540" s="9" t="s">
        <v>436</v>
      </c>
      <c r="O1540" s="9" t="s">
        <v>231</v>
      </c>
      <c r="P1540" s="9" t="s">
        <v>523</v>
      </c>
      <c r="Q1540" s="11">
        <v>26</v>
      </c>
      <c r="R1540" s="11"/>
      <c r="S1540" s="11">
        <f t="shared" ref="S1540:S1543" si="202">+Q1540</f>
        <v>26</v>
      </c>
      <c r="T1540" s="9"/>
      <c r="U1540" s="14" t="s">
        <v>77</v>
      </c>
      <c r="V1540" s="9"/>
      <c r="W1540" s="12">
        <v>90</v>
      </c>
      <c r="X1540" s="13"/>
      <c r="Y1540" s="13"/>
      <c r="Z1540" s="13"/>
      <c r="AA1540" s="13"/>
      <c r="AB1540" s="13"/>
      <c r="AC1540" s="13"/>
      <c r="AD1540" s="13"/>
      <c r="AE1540" s="13">
        <v>0.24</v>
      </c>
      <c r="AF1540" s="13"/>
      <c r="AG1540" s="13"/>
      <c r="AH1540" s="13"/>
      <c r="AI1540" s="13"/>
      <c r="AJ1540" s="13">
        <f t="shared" si="200"/>
        <v>0.24</v>
      </c>
      <c r="AK1540" s="12"/>
      <c r="AL1540" s="13"/>
      <c r="AM1540" s="9"/>
      <c r="AN1540" s="9"/>
      <c r="AO1540" s="9"/>
      <c r="AP1540" s="14"/>
    </row>
    <row r="1541" spans="1:42" s="45" customFormat="1" ht="22" customHeight="1">
      <c r="A1541" s="14" t="s">
        <v>17</v>
      </c>
      <c r="B1541" s="8">
        <v>2024</v>
      </c>
      <c r="C1541" s="8" t="s">
        <v>24</v>
      </c>
      <c r="D1541" s="9" t="s">
        <v>185</v>
      </c>
      <c r="E1541" s="9" t="s">
        <v>115</v>
      </c>
      <c r="F1541" s="9" t="s">
        <v>434</v>
      </c>
      <c r="G1541" s="8"/>
      <c r="H1541" s="8"/>
      <c r="I1541" s="9" t="s">
        <v>435</v>
      </c>
      <c r="J1541" s="14" t="s">
        <v>14</v>
      </c>
      <c r="K1541" s="9" t="s">
        <v>435</v>
      </c>
      <c r="L1541" s="9" t="s">
        <v>209</v>
      </c>
      <c r="M1541" s="9" t="s">
        <v>99</v>
      </c>
      <c r="N1541" s="9" t="s">
        <v>436</v>
      </c>
      <c r="O1541" s="9" t="s">
        <v>231</v>
      </c>
      <c r="P1541" s="9" t="s">
        <v>524</v>
      </c>
      <c r="Q1541" s="11">
        <v>34</v>
      </c>
      <c r="R1541" s="11"/>
      <c r="S1541" s="11">
        <f t="shared" si="202"/>
        <v>34</v>
      </c>
      <c r="T1541" s="9"/>
      <c r="U1541" s="14" t="s">
        <v>77</v>
      </c>
      <c r="V1541" s="9"/>
      <c r="W1541" s="12">
        <v>90</v>
      </c>
      <c r="X1541" s="13"/>
      <c r="Y1541" s="13"/>
      <c r="Z1541" s="13"/>
      <c r="AA1541" s="13"/>
      <c r="AB1541" s="13"/>
      <c r="AC1541" s="13"/>
      <c r="AD1541" s="13"/>
      <c r="AE1541" s="13">
        <v>0.315</v>
      </c>
      <c r="AF1541" s="13"/>
      <c r="AG1541" s="13"/>
      <c r="AH1541" s="13"/>
      <c r="AI1541" s="13"/>
      <c r="AJ1541" s="13">
        <f t="shared" si="200"/>
        <v>0.315</v>
      </c>
      <c r="AK1541" s="12"/>
      <c r="AL1541" s="13"/>
      <c r="AM1541" s="9"/>
      <c r="AN1541" s="9"/>
      <c r="AO1541" s="9"/>
      <c r="AP1541" s="14"/>
    </row>
    <row r="1542" spans="1:42" s="45" customFormat="1" ht="22" customHeight="1">
      <c r="A1542" s="14" t="s">
        <v>17</v>
      </c>
      <c r="B1542" s="8">
        <v>2024</v>
      </c>
      <c r="C1542" s="8" t="s">
        <v>24</v>
      </c>
      <c r="D1542" s="9" t="s">
        <v>185</v>
      </c>
      <c r="E1542" s="9" t="s">
        <v>115</v>
      </c>
      <c r="F1542" s="9" t="s">
        <v>434</v>
      </c>
      <c r="G1542" s="8"/>
      <c r="H1542" s="8"/>
      <c r="I1542" s="9" t="s">
        <v>435</v>
      </c>
      <c r="J1542" s="14" t="s">
        <v>14</v>
      </c>
      <c r="K1542" s="9" t="s">
        <v>435</v>
      </c>
      <c r="L1542" s="9" t="s">
        <v>209</v>
      </c>
      <c r="M1542" s="9" t="s">
        <v>99</v>
      </c>
      <c r="N1542" s="9" t="s">
        <v>436</v>
      </c>
      <c r="O1542" s="9" t="s">
        <v>231</v>
      </c>
      <c r="P1542" s="9" t="s">
        <v>525</v>
      </c>
      <c r="Q1542" s="11">
        <v>35</v>
      </c>
      <c r="R1542" s="11"/>
      <c r="S1542" s="11">
        <f t="shared" si="202"/>
        <v>35</v>
      </c>
      <c r="T1542" s="9"/>
      <c r="U1542" s="14" t="s">
        <v>77</v>
      </c>
      <c r="V1542" s="9"/>
      <c r="W1542" s="12">
        <v>90</v>
      </c>
      <c r="X1542" s="13"/>
      <c r="Y1542" s="13"/>
      <c r="Z1542" s="13"/>
      <c r="AA1542" s="13"/>
      <c r="AB1542" s="13"/>
      <c r="AC1542" s="13"/>
      <c r="AD1542" s="13"/>
      <c r="AE1542" s="13">
        <v>0.315</v>
      </c>
      <c r="AF1542" s="13"/>
      <c r="AG1542" s="13"/>
      <c r="AH1542" s="13"/>
      <c r="AI1542" s="13"/>
      <c r="AJ1542" s="13">
        <f t="shared" si="200"/>
        <v>0.315</v>
      </c>
      <c r="AK1542" s="12"/>
      <c r="AL1542" s="13"/>
      <c r="AM1542" s="9"/>
      <c r="AN1542" s="9"/>
      <c r="AO1542" s="9"/>
      <c r="AP1542" s="14"/>
    </row>
    <row r="1543" spans="1:42" s="45" customFormat="1" ht="22" customHeight="1">
      <c r="A1543" s="14" t="s">
        <v>17</v>
      </c>
      <c r="B1543" s="8">
        <v>2024</v>
      </c>
      <c r="C1543" s="8" t="s">
        <v>24</v>
      </c>
      <c r="D1543" s="9" t="s">
        <v>185</v>
      </c>
      <c r="E1543" s="9" t="s">
        <v>115</v>
      </c>
      <c r="F1543" s="9" t="s">
        <v>434</v>
      </c>
      <c r="G1543" s="8"/>
      <c r="H1543" s="8"/>
      <c r="I1543" s="9" t="s">
        <v>435</v>
      </c>
      <c r="J1543" s="14" t="s">
        <v>14</v>
      </c>
      <c r="K1543" s="9" t="s">
        <v>435</v>
      </c>
      <c r="L1543" s="9" t="s">
        <v>209</v>
      </c>
      <c r="M1543" s="9" t="s">
        <v>99</v>
      </c>
      <c r="N1543" s="9" t="s">
        <v>436</v>
      </c>
      <c r="O1543" s="9" t="s">
        <v>231</v>
      </c>
      <c r="P1543" s="9" t="s">
        <v>526</v>
      </c>
      <c r="Q1543" s="11">
        <v>26</v>
      </c>
      <c r="R1543" s="11"/>
      <c r="S1543" s="11">
        <f t="shared" si="202"/>
        <v>26</v>
      </c>
      <c r="T1543" s="9"/>
      <c r="U1543" s="14" t="s">
        <v>77</v>
      </c>
      <c r="V1543" s="9"/>
      <c r="W1543" s="12">
        <v>90</v>
      </c>
      <c r="X1543" s="13"/>
      <c r="Y1543" s="13"/>
      <c r="Z1543" s="13"/>
      <c r="AA1543" s="13"/>
      <c r="AB1543" s="13"/>
      <c r="AC1543" s="13"/>
      <c r="AD1543" s="13"/>
      <c r="AE1543" s="13">
        <v>0.24</v>
      </c>
      <c r="AF1543" s="13"/>
      <c r="AG1543" s="13"/>
      <c r="AH1543" s="13"/>
      <c r="AI1543" s="13"/>
      <c r="AJ1543" s="13">
        <f t="shared" si="200"/>
        <v>0.24</v>
      </c>
      <c r="AK1543" s="12"/>
      <c r="AL1543" s="13"/>
      <c r="AM1543" s="9"/>
      <c r="AN1543" s="9"/>
      <c r="AO1543" s="9"/>
      <c r="AP1543" s="14"/>
    </row>
    <row r="1544" spans="1:42" s="45" customFormat="1" ht="22" customHeight="1">
      <c r="A1544" s="14" t="s">
        <v>17</v>
      </c>
      <c r="B1544" s="8">
        <v>2024</v>
      </c>
      <c r="C1544" s="8" t="s">
        <v>24</v>
      </c>
      <c r="D1544" s="9" t="s">
        <v>185</v>
      </c>
      <c r="E1544" s="9" t="s">
        <v>115</v>
      </c>
      <c r="F1544" s="9" t="s">
        <v>434</v>
      </c>
      <c r="G1544" s="8"/>
      <c r="H1544" s="8"/>
      <c r="I1544" s="9" t="s">
        <v>435</v>
      </c>
      <c r="J1544" s="14" t="s">
        <v>14</v>
      </c>
      <c r="K1544" s="9" t="s">
        <v>435</v>
      </c>
      <c r="L1544" s="9" t="s">
        <v>209</v>
      </c>
      <c r="M1544" s="9" t="s">
        <v>99</v>
      </c>
      <c r="N1544" s="9" t="s">
        <v>436</v>
      </c>
      <c r="O1544" s="9" t="s">
        <v>404</v>
      </c>
      <c r="P1544" s="9" t="s">
        <v>405</v>
      </c>
      <c r="Q1544" s="11">
        <v>0</v>
      </c>
      <c r="R1544" s="11"/>
      <c r="S1544" s="11">
        <v>0</v>
      </c>
      <c r="T1544" s="9"/>
      <c r="U1544" s="14" t="s">
        <v>77</v>
      </c>
      <c r="V1544" s="9"/>
      <c r="W1544" s="12">
        <v>0</v>
      </c>
      <c r="X1544" s="13"/>
      <c r="Y1544" s="13"/>
      <c r="Z1544" s="13"/>
      <c r="AA1544" s="13"/>
      <c r="AB1544" s="13"/>
      <c r="AC1544" s="13"/>
      <c r="AD1544" s="13"/>
      <c r="AE1544" s="13">
        <v>0</v>
      </c>
      <c r="AF1544" s="13"/>
      <c r="AG1544" s="13"/>
      <c r="AH1544" s="13"/>
      <c r="AI1544" s="13"/>
      <c r="AJ1544" s="13">
        <f t="shared" si="200"/>
        <v>0</v>
      </c>
      <c r="AK1544" s="12"/>
      <c r="AL1544" s="13"/>
      <c r="AM1544" s="9"/>
      <c r="AN1544" s="9"/>
      <c r="AO1544" s="9"/>
      <c r="AP1544" s="14"/>
    </row>
    <row r="1545" spans="1:42" s="45" customFormat="1" ht="22" customHeight="1">
      <c r="A1545" s="14" t="s">
        <v>17</v>
      </c>
      <c r="B1545" s="8">
        <v>2024</v>
      </c>
      <c r="C1545" s="8" t="s">
        <v>24</v>
      </c>
      <c r="D1545" s="9" t="s">
        <v>185</v>
      </c>
      <c r="E1545" s="9" t="s">
        <v>115</v>
      </c>
      <c r="F1545" s="9" t="s">
        <v>434</v>
      </c>
      <c r="G1545" s="8"/>
      <c r="H1545" s="8"/>
      <c r="I1545" s="9" t="s">
        <v>435</v>
      </c>
      <c r="J1545" s="14" t="s">
        <v>14</v>
      </c>
      <c r="K1545" s="9" t="s">
        <v>435</v>
      </c>
      <c r="L1545" s="9" t="s">
        <v>209</v>
      </c>
      <c r="M1545" s="9" t="s">
        <v>99</v>
      </c>
      <c r="N1545" s="9" t="s">
        <v>436</v>
      </c>
      <c r="O1545" s="9" t="s">
        <v>404</v>
      </c>
      <c r="P1545" s="9" t="s">
        <v>527</v>
      </c>
      <c r="Q1545" s="11">
        <v>0</v>
      </c>
      <c r="R1545" s="11"/>
      <c r="S1545" s="11">
        <v>0</v>
      </c>
      <c r="T1545" s="9"/>
      <c r="U1545" s="14" t="s">
        <v>77</v>
      </c>
      <c r="V1545" s="9"/>
      <c r="W1545" s="12">
        <v>0</v>
      </c>
      <c r="X1545" s="13"/>
      <c r="Y1545" s="13"/>
      <c r="Z1545" s="13"/>
      <c r="AA1545" s="13"/>
      <c r="AB1545" s="13"/>
      <c r="AC1545" s="13"/>
      <c r="AD1545" s="13"/>
      <c r="AE1545" s="13">
        <v>0</v>
      </c>
      <c r="AF1545" s="13"/>
      <c r="AG1545" s="13"/>
      <c r="AH1545" s="13"/>
      <c r="AI1545" s="13"/>
      <c r="AJ1545" s="13">
        <f t="shared" si="200"/>
        <v>0</v>
      </c>
      <c r="AK1545" s="12"/>
      <c r="AL1545" s="13"/>
      <c r="AM1545" s="9"/>
      <c r="AN1545" s="9"/>
      <c r="AO1545" s="9"/>
      <c r="AP1545" s="14"/>
    </row>
    <row r="1546" spans="1:42" s="45" customFormat="1" ht="22" customHeight="1">
      <c r="A1546" s="14" t="s">
        <v>17</v>
      </c>
      <c r="B1546" s="8">
        <v>2024</v>
      </c>
      <c r="C1546" s="8" t="s">
        <v>24</v>
      </c>
      <c r="D1546" s="9" t="s">
        <v>185</v>
      </c>
      <c r="E1546" s="9" t="s">
        <v>115</v>
      </c>
      <c r="F1546" s="9" t="s">
        <v>434</v>
      </c>
      <c r="G1546" s="8"/>
      <c r="H1546" s="8"/>
      <c r="I1546" s="9" t="s">
        <v>435</v>
      </c>
      <c r="J1546" s="14" t="s">
        <v>14</v>
      </c>
      <c r="K1546" s="9" t="s">
        <v>435</v>
      </c>
      <c r="L1546" s="9" t="s">
        <v>209</v>
      </c>
      <c r="M1546" s="9" t="s">
        <v>99</v>
      </c>
      <c r="N1546" s="9" t="s">
        <v>436</v>
      </c>
      <c r="O1546" s="9" t="s">
        <v>404</v>
      </c>
      <c r="P1546" s="9" t="s">
        <v>404</v>
      </c>
      <c r="Q1546" s="11">
        <v>0</v>
      </c>
      <c r="R1546" s="11"/>
      <c r="S1546" s="11">
        <v>0</v>
      </c>
      <c r="T1546" s="9"/>
      <c r="U1546" s="14" t="s">
        <v>77</v>
      </c>
      <c r="V1546" s="9"/>
      <c r="W1546" s="12">
        <v>0</v>
      </c>
      <c r="X1546" s="13"/>
      <c r="Y1546" s="13"/>
      <c r="Z1546" s="13"/>
      <c r="AA1546" s="13"/>
      <c r="AB1546" s="13"/>
      <c r="AC1546" s="13"/>
      <c r="AD1546" s="13"/>
      <c r="AE1546" s="13">
        <v>0</v>
      </c>
      <c r="AF1546" s="13"/>
      <c r="AG1546" s="13"/>
      <c r="AH1546" s="13"/>
      <c r="AI1546" s="13"/>
      <c r="AJ1546" s="13">
        <f t="shared" si="200"/>
        <v>0</v>
      </c>
      <c r="AK1546" s="12"/>
      <c r="AL1546" s="13"/>
      <c r="AM1546" s="9"/>
      <c r="AN1546" s="9"/>
      <c r="AO1546" s="9"/>
      <c r="AP1546" s="14"/>
    </row>
    <row r="1547" spans="1:42" s="45" customFormat="1" ht="22" customHeight="1">
      <c r="A1547" s="14" t="s">
        <v>17</v>
      </c>
      <c r="B1547" s="8">
        <v>2024</v>
      </c>
      <c r="C1547" s="8" t="s">
        <v>24</v>
      </c>
      <c r="D1547" s="9" t="s">
        <v>185</v>
      </c>
      <c r="E1547" s="9" t="s">
        <v>115</v>
      </c>
      <c r="F1547" s="9" t="s">
        <v>434</v>
      </c>
      <c r="G1547" s="8"/>
      <c r="H1547" s="8"/>
      <c r="I1547" s="9" t="s">
        <v>435</v>
      </c>
      <c r="J1547" s="14" t="s">
        <v>14</v>
      </c>
      <c r="K1547" s="9" t="s">
        <v>435</v>
      </c>
      <c r="L1547" s="9" t="s">
        <v>209</v>
      </c>
      <c r="M1547" s="9" t="s">
        <v>99</v>
      </c>
      <c r="N1547" s="9" t="s">
        <v>436</v>
      </c>
      <c r="O1547" s="9" t="s">
        <v>404</v>
      </c>
      <c r="P1547" s="9" t="s">
        <v>528</v>
      </c>
      <c r="Q1547" s="11">
        <v>0</v>
      </c>
      <c r="R1547" s="11"/>
      <c r="S1547" s="11">
        <v>0</v>
      </c>
      <c r="T1547" s="9"/>
      <c r="U1547" s="14" t="s">
        <v>77</v>
      </c>
      <c r="V1547" s="9"/>
      <c r="W1547" s="12">
        <v>0</v>
      </c>
      <c r="X1547" s="13"/>
      <c r="Y1547" s="13"/>
      <c r="Z1547" s="13"/>
      <c r="AA1547" s="13"/>
      <c r="AB1547" s="13"/>
      <c r="AC1547" s="13"/>
      <c r="AD1547" s="13"/>
      <c r="AE1547" s="13">
        <v>0</v>
      </c>
      <c r="AF1547" s="13"/>
      <c r="AG1547" s="13"/>
      <c r="AH1547" s="13"/>
      <c r="AI1547" s="13"/>
      <c r="AJ1547" s="13">
        <f t="shared" si="200"/>
        <v>0</v>
      </c>
      <c r="AK1547" s="12"/>
      <c r="AL1547" s="13"/>
      <c r="AM1547" s="9"/>
      <c r="AN1547" s="9"/>
      <c r="AO1547" s="9"/>
      <c r="AP1547" s="14"/>
    </row>
    <row r="1548" spans="1:42" s="45" customFormat="1" ht="22" customHeight="1">
      <c r="A1548" s="14" t="s">
        <v>17</v>
      </c>
      <c r="B1548" s="8">
        <v>2024</v>
      </c>
      <c r="C1548" s="8" t="s">
        <v>24</v>
      </c>
      <c r="D1548" s="9" t="s">
        <v>185</v>
      </c>
      <c r="E1548" s="9" t="s">
        <v>115</v>
      </c>
      <c r="F1548" s="9" t="s">
        <v>434</v>
      </c>
      <c r="G1548" s="8"/>
      <c r="H1548" s="8"/>
      <c r="I1548" s="9" t="s">
        <v>435</v>
      </c>
      <c r="J1548" s="14" t="s">
        <v>14</v>
      </c>
      <c r="K1548" s="9" t="s">
        <v>435</v>
      </c>
      <c r="L1548" s="9" t="s">
        <v>209</v>
      </c>
      <c r="M1548" s="9" t="s">
        <v>99</v>
      </c>
      <c r="N1548" s="9" t="s">
        <v>436</v>
      </c>
      <c r="O1548" s="9" t="s">
        <v>404</v>
      </c>
      <c r="P1548" s="9" t="s">
        <v>529</v>
      </c>
      <c r="Q1548" s="11">
        <v>0</v>
      </c>
      <c r="R1548" s="11"/>
      <c r="S1548" s="11">
        <v>0</v>
      </c>
      <c r="T1548" s="9"/>
      <c r="U1548" s="14" t="s">
        <v>77</v>
      </c>
      <c r="V1548" s="9"/>
      <c r="W1548" s="12">
        <v>0</v>
      </c>
      <c r="X1548" s="13"/>
      <c r="Y1548" s="13"/>
      <c r="Z1548" s="13"/>
      <c r="AA1548" s="13"/>
      <c r="AB1548" s="13"/>
      <c r="AC1548" s="13"/>
      <c r="AD1548" s="13"/>
      <c r="AE1548" s="13">
        <v>0</v>
      </c>
      <c r="AF1548" s="13"/>
      <c r="AG1548" s="13"/>
      <c r="AH1548" s="13"/>
      <c r="AI1548" s="13"/>
      <c r="AJ1548" s="13">
        <f t="shared" si="200"/>
        <v>0</v>
      </c>
      <c r="AK1548" s="12"/>
      <c r="AL1548" s="13"/>
      <c r="AM1548" s="9"/>
      <c r="AN1548" s="9"/>
      <c r="AO1548" s="9"/>
      <c r="AP1548" s="14"/>
    </row>
    <row r="1549" spans="1:42" s="45" customFormat="1" ht="22" customHeight="1">
      <c r="A1549" s="14" t="s">
        <v>17</v>
      </c>
      <c r="B1549" s="8">
        <v>2024</v>
      </c>
      <c r="C1549" s="8" t="s">
        <v>24</v>
      </c>
      <c r="D1549" s="9" t="s">
        <v>185</v>
      </c>
      <c r="E1549" s="9" t="s">
        <v>115</v>
      </c>
      <c r="F1549" s="9" t="s">
        <v>434</v>
      </c>
      <c r="G1549" s="8"/>
      <c r="H1549" s="8"/>
      <c r="I1549" s="9" t="s">
        <v>435</v>
      </c>
      <c r="J1549" s="14" t="s">
        <v>14</v>
      </c>
      <c r="K1549" s="9" t="s">
        <v>435</v>
      </c>
      <c r="L1549" s="9" t="s">
        <v>209</v>
      </c>
      <c r="M1549" s="9" t="s">
        <v>99</v>
      </c>
      <c r="N1549" s="9" t="s">
        <v>436</v>
      </c>
      <c r="O1549" s="9" t="s">
        <v>404</v>
      </c>
      <c r="P1549" s="9" t="s">
        <v>530</v>
      </c>
      <c r="Q1549" s="11">
        <v>0</v>
      </c>
      <c r="R1549" s="11"/>
      <c r="S1549" s="11">
        <v>0</v>
      </c>
      <c r="T1549" s="9"/>
      <c r="U1549" s="14" t="s">
        <v>77</v>
      </c>
      <c r="V1549" s="9"/>
      <c r="W1549" s="12">
        <v>0</v>
      </c>
      <c r="X1549" s="13"/>
      <c r="Y1549" s="13"/>
      <c r="Z1549" s="13"/>
      <c r="AA1549" s="13"/>
      <c r="AB1549" s="13"/>
      <c r="AC1549" s="13"/>
      <c r="AD1549" s="13"/>
      <c r="AE1549" s="13">
        <v>0</v>
      </c>
      <c r="AF1549" s="13"/>
      <c r="AG1549" s="13"/>
      <c r="AH1549" s="13"/>
      <c r="AI1549" s="13"/>
      <c r="AJ1549" s="13">
        <f t="shared" si="200"/>
        <v>0</v>
      </c>
      <c r="AK1549" s="12"/>
      <c r="AL1549" s="13"/>
      <c r="AM1549" s="9"/>
      <c r="AN1549" s="9"/>
      <c r="AO1549" s="9"/>
      <c r="AP1549" s="14"/>
    </row>
    <row r="1550" spans="1:42" s="45" customFormat="1" ht="22" customHeight="1">
      <c r="A1550" s="14" t="s">
        <v>17</v>
      </c>
      <c r="B1550" s="8">
        <v>2024</v>
      </c>
      <c r="C1550" s="8" t="s">
        <v>24</v>
      </c>
      <c r="D1550" s="9" t="s">
        <v>185</v>
      </c>
      <c r="E1550" s="9" t="s">
        <v>115</v>
      </c>
      <c r="F1550" s="9" t="s">
        <v>434</v>
      </c>
      <c r="G1550" s="8"/>
      <c r="H1550" s="8"/>
      <c r="I1550" s="9" t="s">
        <v>435</v>
      </c>
      <c r="J1550" s="14" t="s">
        <v>14</v>
      </c>
      <c r="K1550" s="9" t="s">
        <v>435</v>
      </c>
      <c r="L1550" s="9" t="s">
        <v>209</v>
      </c>
      <c r="M1550" s="9" t="s">
        <v>99</v>
      </c>
      <c r="N1550" s="9" t="s">
        <v>436</v>
      </c>
      <c r="O1550" s="9" t="s">
        <v>99</v>
      </c>
      <c r="P1550" s="9" t="s">
        <v>531</v>
      </c>
      <c r="Q1550" s="11">
        <v>19</v>
      </c>
      <c r="R1550" s="11"/>
      <c r="S1550" s="11">
        <f>+Q1550</f>
        <v>19</v>
      </c>
      <c r="T1550" s="9"/>
      <c r="U1550" s="14" t="s">
        <v>77</v>
      </c>
      <c r="V1550" s="9"/>
      <c r="W1550" s="12">
        <v>90</v>
      </c>
      <c r="X1550" s="13"/>
      <c r="Y1550" s="13"/>
      <c r="Z1550" s="13"/>
      <c r="AA1550" s="13"/>
      <c r="AB1550" s="13"/>
      <c r="AC1550" s="13"/>
      <c r="AD1550" s="13"/>
      <c r="AE1550" s="13">
        <v>7.4999999999999997E-2</v>
      </c>
      <c r="AF1550" s="13"/>
      <c r="AG1550" s="13"/>
      <c r="AH1550" s="13"/>
      <c r="AI1550" s="13"/>
      <c r="AJ1550" s="13">
        <f t="shared" si="200"/>
        <v>7.4999999999999997E-2</v>
      </c>
      <c r="AK1550" s="12"/>
      <c r="AL1550" s="13"/>
      <c r="AM1550" s="9"/>
      <c r="AN1550" s="9"/>
      <c r="AO1550" s="9"/>
      <c r="AP1550" s="14"/>
    </row>
    <row r="1551" spans="1:42" s="45" customFormat="1" ht="22" customHeight="1">
      <c r="A1551" s="14" t="s">
        <v>17</v>
      </c>
      <c r="B1551" s="8">
        <v>2024</v>
      </c>
      <c r="C1551" s="8" t="s">
        <v>24</v>
      </c>
      <c r="D1551" s="9" t="s">
        <v>185</v>
      </c>
      <c r="E1551" s="9" t="s">
        <v>115</v>
      </c>
      <c r="F1551" s="9" t="s">
        <v>434</v>
      </c>
      <c r="G1551" s="8"/>
      <c r="H1551" s="8"/>
      <c r="I1551" s="9" t="s">
        <v>435</v>
      </c>
      <c r="J1551" s="14" t="s">
        <v>14</v>
      </c>
      <c r="K1551" s="9" t="s">
        <v>435</v>
      </c>
      <c r="L1551" s="9" t="s">
        <v>209</v>
      </c>
      <c r="M1551" s="9" t="s">
        <v>99</v>
      </c>
      <c r="N1551" s="9" t="s">
        <v>436</v>
      </c>
      <c r="O1551" s="9" t="s">
        <v>99</v>
      </c>
      <c r="P1551" s="9" t="s">
        <v>532</v>
      </c>
      <c r="Q1551" s="11">
        <v>13</v>
      </c>
      <c r="R1551" s="11"/>
      <c r="S1551" s="11">
        <f t="shared" ref="S1551:S1553" si="203">+Q1551</f>
        <v>13</v>
      </c>
      <c r="T1551" s="9"/>
      <c r="U1551" s="14" t="s">
        <v>77</v>
      </c>
      <c r="V1551" s="9"/>
      <c r="W1551" s="12">
        <v>90</v>
      </c>
      <c r="X1551" s="13"/>
      <c r="Y1551" s="13"/>
      <c r="Z1551" s="13"/>
      <c r="AA1551" s="13"/>
      <c r="AB1551" s="13"/>
      <c r="AC1551" s="13"/>
      <c r="AD1551" s="13"/>
      <c r="AE1551" s="13">
        <v>0.12</v>
      </c>
      <c r="AF1551" s="13"/>
      <c r="AG1551" s="13"/>
      <c r="AH1551" s="13"/>
      <c r="AI1551" s="13"/>
      <c r="AJ1551" s="13">
        <f t="shared" si="200"/>
        <v>0.12</v>
      </c>
      <c r="AK1551" s="12"/>
      <c r="AL1551" s="13"/>
      <c r="AM1551" s="9"/>
      <c r="AN1551" s="9"/>
      <c r="AO1551" s="9"/>
      <c r="AP1551" s="14"/>
    </row>
    <row r="1552" spans="1:42" s="45" customFormat="1" ht="22" customHeight="1">
      <c r="A1552" s="14" t="s">
        <v>17</v>
      </c>
      <c r="B1552" s="8">
        <v>2024</v>
      </c>
      <c r="C1552" s="8" t="s">
        <v>24</v>
      </c>
      <c r="D1552" s="9" t="s">
        <v>185</v>
      </c>
      <c r="E1552" s="9" t="s">
        <v>115</v>
      </c>
      <c r="F1552" s="9" t="s">
        <v>434</v>
      </c>
      <c r="G1552" s="8"/>
      <c r="H1552" s="8"/>
      <c r="I1552" s="9" t="s">
        <v>435</v>
      </c>
      <c r="J1552" s="14" t="s">
        <v>14</v>
      </c>
      <c r="K1552" s="9" t="s">
        <v>435</v>
      </c>
      <c r="L1552" s="9" t="s">
        <v>209</v>
      </c>
      <c r="M1552" s="9" t="s">
        <v>99</v>
      </c>
      <c r="N1552" s="9" t="s">
        <v>436</v>
      </c>
      <c r="O1552" s="9" t="s">
        <v>99</v>
      </c>
      <c r="P1552" s="9" t="s">
        <v>533</v>
      </c>
      <c r="Q1552" s="11">
        <v>20</v>
      </c>
      <c r="R1552" s="11"/>
      <c r="S1552" s="11">
        <f t="shared" si="203"/>
        <v>20</v>
      </c>
      <c r="T1552" s="9"/>
      <c r="U1552" s="14" t="s">
        <v>77</v>
      </c>
      <c r="V1552" s="9"/>
      <c r="W1552" s="12">
        <v>90</v>
      </c>
      <c r="X1552" s="13"/>
      <c r="Y1552" s="13"/>
      <c r="Z1552" s="13"/>
      <c r="AA1552" s="13"/>
      <c r="AB1552" s="13"/>
      <c r="AC1552" s="13"/>
      <c r="AD1552" s="13"/>
      <c r="AE1552" s="13">
        <v>0.09</v>
      </c>
      <c r="AF1552" s="13"/>
      <c r="AG1552" s="13"/>
      <c r="AH1552" s="13"/>
      <c r="AI1552" s="13"/>
      <c r="AJ1552" s="13">
        <f t="shared" si="200"/>
        <v>0.09</v>
      </c>
      <c r="AK1552" s="12"/>
      <c r="AL1552" s="13"/>
      <c r="AM1552" s="9"/>
      <c r="AN1552" s="9"/>
      <c r="AO1552" s="9"/>
      <c r="AP1552" s="14"/>
    </row>
    <row r="1553" spans="1:42" s="45" customFormat="1" ht="22" customHeight="1">
      <c r="A1553" s="14" t="s">
        <v>17</v>
      </c>
      <c r="B1553" s="8">
        <v>2024</v>
      </c>
      <c r="C1553" s="8" t="s">
        <v>24</v>
      </c>
      <c r="D1553" s="9" t="s">
        <v>185</v>
      </c>
      <c r="E1553" s="9" t="s">
        <v>115</v>
      </c>
      <c r="F1553" s="9" t="s">
        <v>434</v>
      </c>
      <c r="G1553" s="8"/>
      <c r="H1553" s="8"/>
      <c r="I1553" s="9" t="s">
        <v>435</v>
      </c>
      <c r="J1553" s="14" t="s">
        <v>14</v>
      </c>
      <c r="K1553" s="9" t="s">
        <v>435</v>
      </c>
      <c r="L1553" s="9" t="s">
        <v>209</v>
      </c>
      <c r="M1553" s="9" t="s">
        <v>99</v>
      </c>
      <c r="N1553" s="9" t="s">
        <v>436</v>
      </c>
      <c r="O1553" s="9" t="s">
        <v>99</v>
      </c>
      <c r="P1553" s="9" t="s">
        <v>534</v>
      </c>
      <c r="Q1553" s="11">
        <v>12</v>
      </c>
      <c r="R1553" s="11"/>
      <c r="S1553" s="11">
        <f t="shared" si="203"/>
        <v>12</v>
      </c>
      <c r="T1553" s="9"/>
      <c r="U1553" s="14" t="s">
        <v>77</v>
      </c>
      <c r="V1553" s="9"/>
      <c r="W1553" s="12">
        <v>90</v>
      </c>
      <c r="X1553" s="13"/>
      <c r="Y1553" s="13"/>
      <c r="Z1553" s="13"/>
      <c r="AA1553" s="13"/>
      <c r="AB1553" s="13"/>
      <c r="AC1553" s="13"/>
      <c r="AD1553" s="13"/>
      <c r="AE1553" s="13">
        <v>0.06</v>
      </c>
      <c r="AF1553" s="13"/>
      <c r="AG1553" s="13"/>
      <c r="AH1553" s="13"/>
      <c r="AI1553" s="13"/>
      <c r="AJ1553" s="13">
        <f t="shared" si="200"/>
        <v>0.06</v>
      </c>
      <c r="AK1553" s="12"/>
      <c r="AL1553" s="13"/>
      <c r="AM1553" s="9"/>
      <c r="AN1553" s="9"/>
      <c r="AO1553" s="9"/>
      <c r="AP1553" s="14"/>
    </row>
    <row r="1554" spans="1:42" s="45" customFormat="1" ht="22" customHeight="1">
      <c r="A1554" s="14" t="s">
        <v>17</v>
      </c>
      <c r="B1554" s="8">
        <v>2024</v>
      </c>
      <c r="C1554" s="8" t="s">
        <v>24</v>
      </c>
      <c r="D1554" s="9" t="s">
        <v>185</v>
      </c>
      <c r="E1554" s="9" t="s">
        <v>115</v>
      </c>
      <c r="F1554" s="9" t="s">
        <v>434</v>
      </c>
      <c r="G1554" s="8"/>
      <c r="H1554" s="8"/>
      <c r="I1554" s="9" t="s">
        <v>435</v>
      </c>
      <c r="J1554" s="14" t="s">
        <v>14</v>
      </c>
      <c r="K1554" s="9" t="s">
        <v>435</v>
      </c>
      <c r="L1554" s="9" t="s">
        <v>209</v>
      </c>
      <c r="M1554" s="9" t="s">
        <v>99</v>
      </c>
      <c r="N1554" s="9" t="s">
        <v>436</v>
      </c>
      <c r="O1554" s="9" t="s">
        <v>99</v>
      </c>
      <c r="P1554" s="9" t="s">
        <v>535</v>
      </c>
      <c r="Q1554" s="11">
        <v>36</v>
      </c>
      <c r="R1554" s="11"/>
      <c r="S1554" s="11">
        <v>36</v>
      </c>
      <c r="T1554" s="9"/>
      <c r="U1554" s="14" t="s">
        <v>77</v>
      </c>
      <c r="V1554" s="9"/>
      <c r="W1554" s="12">
        <v>90</v>
      </c>
      <c r="X1554" s="13"/>
      <c r="Y1554" s="13"/>
      <c r="Z1554" s="13"/>
      <c r="AA1554" s="13"/>
      <c r="AB1554" s="13"/>
      <c r="AC1554" s="13"/>
      <c r="AD1554" s="13"/>
      <c r="AE1554" s="13">
        <v>7.4999999999999997E-2</v>
      </c>
      <c r="AF1554" s="13"/>
      <c r="AG1554" s="13"/>
      <c r="AH1554" s="13"/>
      <c r="AI1554" s="13"/>
      <c r="AJ1554" s="13">
        <f t="shared" si="200"/>
        <v>7.4999999999999997E-2</v>
      </c>
      <c r="AK1554" s="12"/>
      <c r="AL1554" s="13"/>
      <c r="AM1554" s="9"/>
      <c r="AN1554" s="9"/>
      <c r="AO1554" s="9"/>
      <c r="AP1554" s="14"/>
    </row>
    <row r="1555" spans="1:42" s="45" customFormat="1" ht="22" customHeight="1">
      <c r="A1555" s="14" t="s">
        <v>17</v>
      </c>
      <c r="B1555" s="8">
        <v>2024</v>
      </c>
      <c r="C1555" s="8" t="s">
        <v>24</v>
      </c>
      <c r="D1555" s="9" t="s">
        <v>185</v>
      </c>
      <c r="E1555" s="9" t="s">
        <v>115</v>
      </c>
      <c r="F1555" s="9" t="s">
        <v>434</v>
      </c>
      <c r="G1555" s="8"/>
      <c r="H1555" s="8"/>
      <c r="I1555" s="9" t="s">
        <v>435</v>
      </c>
      <c r="J1555" s="14" t="s">
        <v>14</v>
      </c>
      <c r="K1555" s="9" t="s">
        <v>435</v>
      </c>
      <c r="L1555" s="9" t="s">
        <v>209</v>
      </c>
      <c r="M1555" s="9" t="s">
        <v>99</v>
      </c>
      <c r="N1555" s="9" t="s">
        <v>436</v>
      </c>
      <c r="O1555" s="9" t="s">
        <v>99</v>
      </c>
      <c r="P1555" s="9" t="s">
        <v>536</v>
      </c>
      <c r="Q1555" s="11">
        <v>174</v>
      </c>
      <c r="R1555" s="11"/>
      <c r="S1555" s="11">
        <v>174</v>
      </c>
      <c r="T1555" s="9"/>
      <c r="U1555" s="14" t="s">
        <v>77</v>
      </c>
      <c r="V1555" s="9"/>
      <c r="W1555" s="12">
        <v>90</v>
      </c>
      <c r="X1555" s="13"/>
      <c r="Y1555" s="13"/>
      <c r="Z1555" s="13"/>
      <c r="AA1555" s="13"/>
      <c r="AB1555" s="13"/>
      <c r="AC1555" s="13"/>
      <c r="AD1555" s="13"/>
      <c r="AE1555" s="13">
        <v>1.5</v>
      </c>
      <c r="AF1555" s="13"/>
      <c r="AG1555" s="13"/>
      <c r="AH1555" s="13"/>
      <c r="AI1555" s="13"/>
      <c r="AJ1555" s="13">
        <f t="shared" si="200"/>
        <v>1.5</v>
      </c>
      <c r="AK1555" s="12"/>
      <c r="AL1555" s="13"/>
      <c r="AM1555" s="9"/>
      <c r="AN1555" s="9"/>
      <c r="AO1555" s="9"/>
      <c r="AP1555" s="14"/>
    </row>
    <row r="1556" spans="1:42" s="45" customFormat="1" ht="22" customHeight="1">
      <c r="A1556" s="14" t="s">
        <v>17</v>
      </c>
      <c r="B1556" s="8">
        <v>2024</v>
      </c>
      <c r="C1556" s="8" t="s">
        <v>24</v>
      </c>
      <c r="D1556" s="9" t="s">
        <v>185</v>
      </c>
      <c r="E1556" s="9" t="s">
        <v>115</v>
      </c>
      <c r="F1556" s="9" t="s">
        <v>434</v>
      </c>
      <c r="G1556" s="8"/>
      <c r="H1556" s="8"/>
      <c r="I1556" s="9" t="s">
        <v>435</v>
      </c>
      <c r="J1556" s="14" t="s">
        <v>14</v>
      </c>
      <c r="K1556" s="9" t="s">
        <v>435</v>
      </c>
      <c r="L1556" s="9" t="s">
        <v>209</v>
      </c>
      <c r="M1556" s="9" t="s">
        <v>99</v>
      </c>
      <c r="N1556" s="9" t="s">
        <v>436</v>
      </c>
      <c r="O1556" s="9" t="s">
        <v>99</v>
      </c>
      <c r="P1556" s="9" t="s">
        <v>537</v>
      </c>
      <c r="Q1556" s="11">
        <v>0</v>
      </c>
      <c r="R1556" s="11"/>
      <c r="S1556" s="11">
        <v>0</v>
      </c>
      <c r="T1556" s="9"/>
      <c r="U1556" s="14" t="s">
        <v>77</v>
      </c>
      <c r="V1556" s="9"/>
      <c r="W1556" s="12">
        <v>0</v>
      </c>
      <c r="X1556" s="13"/>
      <c r="Y1556" s="13"/>
      <c r="Z1556" s="13"/>
      <c r="AA1556" s="13"/>
      <c r="AB1556" s="13"/>
      <c r="AC1556" s="13"/>
      <c r="AD1556" s="13"/>
      <c r="AE1556" s="13">
        <v>0</v>
      </c>
      <c r="AF1556" s="13"/>
      <c r="AG1556" s="13"/>
      <c r="AH1556" s="13"/>
      <c r="AI1556" s="13"/>
      <c r="AJ1556" s="13">
        <f t="shared" si="200"/>
        <v>0</v>
      </c>
      <c r="AK1556" s="12"/>
      <c r="AL1556" s="13"/>
      <c r="AM1556" s="9"/>
      <c r="AN1556" s="9"/>
      <c r="AO1556" s="9"/>
      <c r="AP1556" s="14"/>
    </row>
    <row r="1557" spans="1:42" s="45" customFormat="1" ht="22" customHeight="1">
      <c r="A1557" s="14" t="s">
        <v>17</v>
      </c>
      <c r="B1557" s="8">
        <v>2024</v>
      </c>
      <c r="C1557" s="8" t="s">
        <v>24</v>
      </c>
      <c r="D1557" s="9" t="s">
        <v>185</v>
      </c>
      <c r="E1557" s="9" t="s">
        <v>115</v>
      </c>
      <c r="F1557" s="9" t="s">
        <v>434</v>
      </c>
      <c r="G1557" s="8"/>
      <c r="H1557" s="8"/>
      <c r="I1557" s="9" t="s">
        <v>435</v>
      </c>
      <c r="J1557" s="14" t="s">
        <v>14</v>
      </c>
      <c r="K1557" s="9" t="s">
        <v>435</v>
      </c>
      <c r="L1557" s="9" t="s">
        <v>209</v>
      </c>
      <c r="M1557" s="9" t="s">
        <v>99</v>
      </c>
      <c r="N1557" s="9" t="s">
        <v>436</v>
      </c>
      <c r="O1557" s="9" t="s">
        <v>99</v>
      </c>
      <c r="P1557" s="9" t="s">
        <v>538</v>
      </c>
      <c r="Q1557" s="11">
        <v>11</v>
      </c>
      <c r="R1557" s="11"/>
      <c r="S1557" s="11">
        <v>11</v>
      </c>
      <c r="T1557" s="9"/>
      <c r="U1557" s="14" t="s">
        <v>77</v>
      </c>
      <c r="V1557" s="9"/>
      <c r="W1557" s="12">
        <v>90</v>
      </c>
      <c r="X1557" s="13"/>
      <c r="Y1557" s="13"/>
      <c r="Z1557" s="13"/>
      <c r="AA1557" s="13"/>
      <c r="AB1557" s="13"/>
      <c r="AC1557" s="13"/>
      <c r="AD1557" s="13"/>
      <c r="AE1557" s="13">
        <v>0.06</v>
      </c>
      <c r="AF1557" s="13"/>
      <c r="AG1557" s="13"/>
      <c r="AH1557" s="13"/>
      <c r="AI1557" s="13"/>
      <c r="AJ1557" s="13">
        <f t="shared" si="200"/>
        <v>0.06</v>
      </c>
      <c r="AK1557" s="12"/>
      <c r="AL1557" s="13"/>
      <c r="AM1557" s="9"/>
      <c r="AN1557" s="9"/>
      <c r="AO1557" s="9"/>
      <c r="AP1557" s="14"/>
    </row>
    <row r="1558" spans="1:42" s="45" customFormat="1" ht="22" customHeight="1">
      <c r="A1558" s="14" t="s">
        <v>17</v>
      </c>
      <c r="B1558" s="8">
        <v>2024</v>
      </c>
      <c r="C1558" s="8" t="s">
        <v>24</v>
      </c>
      <c r="D1558" s="9" t="s">
        <v>185</v>
      </c>
      <c r="E1558" s="9" t="s">
        <v>115</v>
      </c>
      <c r="F1558" s="9" t="s">
        <v>434</v>
      </c>
      <c r="G1558" s="8"/>
      <c r="H1558" s="8"/>
      <c r="I1558" s="9" t="s">
        <v>435</v>
      </c>
      <c r="J1558" s="14" t="s">
        <v>14</v>
      </c>
      <c r="K1558" s="9" t="s">
        <v>435</v>
      </c>
      <c r="L1558" s="9" t="s">
        <v>209</v>
      </c>
      <c r="M1558" s="9" t="s">
        <v>99</v>
      </c>
      <c r="N1558" s="9" t="s">
        <v>436</v>
      </c>
      <c r="O1558" s="9" t="s">
        <v>99</v>
      </c>
      <c r="P1558" s="9" t="s">
        <v>539</v>
      </c>
      <c r="Q1558" s="11">
        <v>0</v>
      </c>
      <c r="R1558" s="11"/>
      <c r="S1558" s="11">
        <v>0</v>
      </c>
      <c r="T1558" s="9"/>
      <c r="U1558" s="14" t="s">
        <v>77</v>
      </c>
      <c r="V1558" s="9"/>
      <c r="W1558" s="12">
        <v>0</v>
      </c>
      <c r="X1558" s="13"/>
      <c r="Y1558" s="13"/>
      <c r="Z1558" s="13"/>
      <c r="AA1558" s="13"/>
      <c r="AB1558" s="13"/>
      <c r="AC1558" s="13"/>
      <c r="AD1558" s="13"/>
      <c r="AE1558" s="13">
        <v>0</v>
      </c>
      <c r="AF1558" s="13"/>
      <c r="AG1558" s="13"/>
      <c r="AH1558" s="13"/>
      <c r="AI1558" s="13"/>
      <c r="AJ1558" s="13">
        <f t="shared" si="200"/>
        <v>0</v>
      </c>
      <c r="AK1558" s="12"/>
      <c r="AL1558" s="13"/>
      <c r="AM1558" s="9"/>
      <c r="AN1558" s="9"/>
      <c r="AO1558" s="9"/>
      <c r="AP1558" s="14"/>
    </row>
    <row r="1559" spans="1:42" s="45" customFormat="1" ht="22" customHeight="1">
      <c r="A1559" s="14" t="s">
        <v>17</v>
      </c>
      <c r="B1559" s="8">
        <v>2024</v>
      </c>
      <c r="C1559" s="8" t="s">
        <v>24</v>
      </c>
      <c r="D1559" s="9" t="s">
        <v>185</v>
      </c>
      <c r="E1559" s="9" t="s">
        <v>115</v>
      </c>
      <c r="F1559" s="9" t="s">
        <v>434</v>
      </c>
      <c r="G1559" s="8"/>
      <c r="H1559" s="8"/>
      <c r="I1559" s="9" t="s">
        <v>435</v>
      </c>
      <c r="J1559" s="14" t="s">
        <v>14</v>
      </c>
      <c r="K1559" s="9" t="s">
        <v>435</v>
      </c>
      <c r="L1559" s="9" t="s">
        <v>209</v>
      </c>
      <c r="M1559" s="9" t="s">
        <v>99</v>
      </c>
      <c r="N1559" s="9" t="s">
        <v>436</v>
      </c>
      <c r="O1559" s="9" t="s">
        <v>99</v>
      </c>
      <c r="P1559" s="9" t="s">
        <v>540</v>
      </c>
      <c r="Q1559" s="11">
        <v>17</v>
      </c>
      <c r="R1559" s="11"/>
      <c r="S1559" s="11">
        <v>17</v>
      </c>
      <c r="T1559" s="9"/>
      <c r="U1559" s="14" t="s">
        <v>77</v>
      </c>
      <c r="V1559" s="9"/>
      <c r="W1559" s="12">
        <v>90</v>
      </c>
      <c r="X1559" s="13"/>
      <c r="Y1559" s="13"/>
      <c r="Z1559" s="13"/>
      <c r="AA1559" s="13"/>
      <c r="AB1559" s="13"/>
      <c r="AC1559" s="13"/>
      <c r="AD1559" s="13"/>
      <c r="AE1559" s="13">
        <v>0.105</v>
      </c>
      <c r="AF1559" s="13"/>
      <c r="AG1559" s="13"/>
      <c r="AH1559" s="13"/>
      <c r="AI1559" s="13"/>
      <c r="AJ1559" s="13">
        <f t="shared" si="200"/>
        <v>0.105</v>
      </c>
      <c r="AK1559" s="12"/>
      <c r="AL1559" s="13"/>
      <c r="AM1559" s="9"/>
      <c r="AN1559" s="9"/>
      <c r="AO1559" s="9"/>
      <c r="AP1559" s="14"/>
    </row>
    <row r="1560" spans="1:42" s="45" customFormat="1" ht="22" customHeight="1">
      <c r="A1560" s="14" t="s">
        <v>17</v>
      </c>
      <c r="B1560" s="8">
        <v>2024</v>
      </c>
      <c r="C1560" s="8" t="s">
        <v>24</v>
      </c>
      <c r="D1560" s="9" t="s">
        <v>185</v>
      </c>
      <c r="E1560" s="9" t="s">
        <v>115</v>
      </c>
      <c r="F1560" s="9" t="s">
        <v>434</v>
      </c>
      <c r="G1560" s="8"/>
      <c r="H1560" s="8"/>
      <c r="I1560" s="9" t="s">
        <v>435</v>
      </c>
      <c r="J1560" s="14" t="s">
        <v>14</v>
      </c>
      <c r="K1560" s="9" t="s">
        <v>435</v>
      </c>
      <c r="L1560" s="9" t="s">
        <v>209</v>
      </c>
      <c r="M1560" s="9" t="s">
        <v>99</v>
      </c>
      <c r="N1560" s="9" t="s">
        <v>436</v>
      </c>
      <c r="O1560" s="9" t="s">
        <v>400</v>
      </c>
      <c r="P1560" s="9" t="s">
        <v>541</v>
      </c>
      <c r="Q1560" s="11">
        <v>25</v>
      </c>
      <c r="R1560" s="11"/>
      <c r="S1560" s="11">
        <f>+Q1560</f>
        <v>25</v>
      </c>
      <c r="T1560" s="9"/>
      <c r="U1560" s="14" t="s">
        <v>77</v>
      </c>
      <c r="V1560" s="9"/>
      <c r="W1560" s="12">
        <v>90</v>
      </c>
      <c r="X1560" s="13"/>
      <c r="Y1560" s="13"/>
      <c r="Z1560" s="13"/>
      <c r="AA1560" s="13"/>
      <c r="AB1560" s="13"/>
      <c r="AC1560" s="13"/>
      <c r="AD1560" s="13"/>
      <c r="AE1560" s="13">
        <v>7.4999999999999997E-2</v>
      </c>
      <c r="AF1560" s="13"/>
      <c r="AG1560" s="13"/>
      <c r="AH1560" s="13"/>
      <c r="AI1560" s="13"/>
      <c r="AJ1560" s="13">
        <f t="shared" si="200"/>
        <v>7.4999999999999997E-2</v>
      </c>
      <c r="AK1560" s="12"/>
      <c r="AL1560" s="13"/>
      <c r="AM1560" s="9"/>
      <c r="AN1560" s="9"/>
      <c r="AO1560" s="9"/>
      <c r="AP1560" s="14"/>
    </row>
    <row r="1561" spans="1:42" s="45" customFormat="1" ht="22" customHeight="1">
      <c r="A1561" s="14" t="s">
        <v>17</v>
      </c>
      <c r="B1561" s="8">
        <v>2024</v>
      </c>
      <c r="C1561" s="8" t="s">
        <v>24</v>
      </c>
      <c r="D1561" s="9" t="s">
        <v>185</v>
      </c>
      <c r="E1561" s="9" t="s">
        <v>115</v>
      </c>
      <c r="F1561" s="9" t="s">
        <v>434</v>
      </c>
      <c r="G1561" s="8"/>
      <c r="H1561" s="8"/>
      <c r="I1561" s="9" t="s">
        <v>435</v>
      </c>
      <c r="J1561" s="14" t="s">
        <v>14</v>
      </c>
      <c r="K1561" s="9" t="s">
        <v>435</v>
      </c>
      <c r="L1561" s="9" t="s">
        <v>209</v>
      </c>
      <c r="M1561" s="9" t="s">
        <v>99</v>
      </c>
      <c r="N1561" s="9" t="s">
        <v>436</v>
      </c>
      <c r="O1561" s="9" t="s">
        <v>400</v>
      </c>
      <c r="P1561" s="9" t="s">
        <v>401</v>
      </c>
      <c r="Q1561" s="11">
        <v>25</v>
      </c>
      <c r="R1561" s="11"/>
      <c r="S1561" s="11">
        <f t="shared" ref="S1561:S1571" si="204">+Q1561</f>
        <v>25</v>
      </c>
      <c r="T1561" s="9"/>
      <c r="U1561" s="14" t="s">
        <v>77</v>
      </c>
      <c r="V1561" s="9"/>
      <c r="W1561" s="12">
        <v>90</v>
      </c>
      <c r="X1561" s="13"/>
      <c r="Y1561" s="13"/>
      <c r="Z1561" s="13"/>
      <c r="AA1561" s="13"/>
      <c r="AB1561" s="13"/>
      <c r="AC1561" s="13"/>
      <c r="AD1561" s="13"/>
      <c r="AE1561" s="13">
        <v>7.4999999999999997E-2</v>
      </c>
      <c r="AF1561" s="13"/>
      <c r="AG1561" s="13"/>
      <c r="AH1561" s="13"/>
      <c r="AI1561" s="13"/>
      <c r="AJ1561" s="13">
        <f t="shared" si="200"/>
        <v>7.4999999999999997E-2</v>
      </c>
      <c r="AK1561" s="12"/>
      <c r="AL1561" s="13"/>
      <c r="AM1561" s="9"/>
      <c r="AN1561" s="9"/>
      <c r="AO1561" s="9"/>
      <c r="AP1561" s="14"/>
    </row>
    <row r="1562" spans="1:42" s="45" customFormat="1" ht="22" customHeight="1">
      <c r="A1562" s="14" t="s">
        <v>17</v>
      </c>
      <c r="B1562" s="8">
        <v>2024</v>
      </c>
      <c r="C1562" s="8" t="s">
        <v>24</v>
      </c>
      <c r="D1562" s="9" t="s">
        <v>185</v>
      </c>
      <c r="E1562" s="9" t="s">
        <v>115</v>
      </c>
      <c r="F1562" s="9" t="s">
        <v>434</v>
      </c>
      <c r="G1562" s="8"/>
      <c r="H1562" s="8"/>
      <c r="I1562" s="9" t="s">
        <v>435</v>
      </c>
      <c r="J1562" s="14" t="s">
        <v>14</v>
      </c>
      <c r="K1562" s="9" t="s">
        <v>435</v>
      </c>
      <c r="L1562" s="9" t="s">
        <v>209</v>
      </c>
      <c r="M1562" s="9" t="s">
        <v>99</v>
      </c>
      <c r="N1562" s="9" t="s">
        <v>436</v>
      </c>
      <c r="O1562" s="9" t="s">
        <v>400</v>
      </c>
      <c r="P1562" s="9" t="s">
        <v>542</v>
      </c>
      <c r="Q1562" s="11">
        <v>18</v>
      </c>
      <c r="R1562" s="11"/>
      <c r="S1562" s="11">
        <f t="shared" si="204"/>
        <v>18</v>
      </c>
      <c r="T1562" s="9"/>
      <c r="U1562" s="14" t="s">
        <v>77</v>
      </c>
      <c r="V1562" s="9"/>
      <c r="W1562" s="12">
        <v>90</v>
      </c>
      <c r="X1562" s="13"/>
      <c r="Y1562" s="13"/>
      <c r="Z1562" s="13"/>
      <c r="AA1562" s="13"/>
      <c r="AB1562" s="13"/>
      <c r="AC1562" s="13"/>
      <c r="AD1562" s="13"/>
      <c r="AE1562" s="13">
        <v>0.06</v>
      </c>
      <c r="AF1562" s="13"/>
      <c r="AG1562" s="13"/>
      <c r="AH1562" s="13"/>
      <c r="AI1562" s="13"/>
      <c r="AJ1562" s="13">
        <f t="shared" si="200"/>
        <v>0.06</v>
      </c>
      <c r="AK1562" s="12"/>
      <c r="AL1562" s="13"/>
      <c r="AM1562" s="9"/>
      <c r="AN1562" s="9"/>
      <c r="AO1562" s="9"/>
      <c r="AP1562" s="14"/>
    </row>
    <row r="1563" spans="1:42" s="45" customFormat="1" ht="22" customHeight="1">
      <c r="A1563" s="14" t="s">
        <v>17</v>
      </c>
      <c r="B1563" s="8">
        <v>2024</v>
      </c>
      <c r="C1563" s="8" t="s">
        <v>24</v>
      </c>
      <c r="D1563" s="9" t="s">
        <v>185</v>
      </c>
      <c r="E1563" s="9" t="s">
        <v>115</v>
      </c>
      <c r="F1563" s="9" t="s">
        <v>434</v>
      </c>
      <c r="G1563" s="8"/>
      <c r="H1563" s="8"/>
      <c r="I1563" s="9" t="s">
        <v>435</v>
      </c>
      <c r="J1563" s="14" t="s">
        <v>14</v>
      </c>
      <c r="K1563" s="9" t="s">
        <v>435</v>
      </c>
      <c r="L1563" s="9" t="s">
        <v>209</v>
      </c>
      <c r="M1563" s="9" t="s">
        <v>99</v>
      </c>
      <c r="N1563" s="9" t="s">
        <v>436</v>
      </c>
      <c r="O1563" s="9" t="s">
        <v>400</v>
      </c>
      <c r="P1563" s="9" t="s">
        <v>543</v>
      </c>
      <c r="Q1563" s="11">
        <v>26</v>
      </c>
      <c r="R1563" s="11"/>
      <c r="S1563" s="11">
        <f t="shared" si="204"/>
        <v>26</v>
      </c>
      <c r="T1563" s="9"/>
      <c r="U1563" s="14" t="s">
        <v>77</v>
      </c>
      <c r="V1563" s="9"/>
      <c r="W1563" s="12">
        <v>90</v>
      </c>
      <c r="X1563" s="13"/>
      <c r="Y1563" s="13"/>
      <c r="Z1563" s="13"/>
      <c r="AA1563" s="13"/>
      <c r="AB1563" s="13"/>
      <c r="AC1563" s="13"/>
      <c r="AD1563" s="13"/>
      <c r="AE1563" s="13">
        <v>7.4999999999999997E-2</v>
      </c>
      <c r="AF1563" s="13"/>
      <c r="AG1563" s="13"/>
      <c r="AH1563" s="13"/>
      <c r="AI1563" s="13"/>
      <c r="AJ1563" s="13">
        <f t="shared" si="200"/>
        <v>7.4999999999999997E-2</v>
      </c>
      <c r="AK1563" s="12"/>
      <c r="AL1563" s="13"/>
      <c r="AM1563" s="9"/>
      <c r="AN1563" s="9"/>
      <c r="AO1563" s="9"/>
      <c r="AP1563" s="14"/>
    </row>
    <row r="1564" spans="1:42" s="45" customFormat="1" ht="22" customHeight="1">
      <c r="A1564" s="14" t="s">
        <v>17</v>
      </c>
      <c r="B1564" s="8">
        <v>2024</v>
      </c>
      <c r="C1564" s="8" t="s">
        <v>24</v>
      </c>
      <c r="D1564" s="9" t="s">
        <v>185</v>
      </c>
      <c r="E1564" s="9" t="s">
        <v>115</v>
      </c>
      <c r="F1564" s="9" t="s">
        <v>434</v>
      </c>
      <c r="G1564" s="8"/>
      <c r="H1564" s="8"/>
      <c r="I1564" s="9" t="s">
        <v>435</v>
      </c>
      <c r="J1564" s="14" t="s">
        <v>14</v>
      </c>
      <c r="K1564" s="9" t="s">
        <v>435</v>
      </c>
      <c r="L1564" s="9" t="s">
        <v>209</v>
      </c>
      <c r="M1564" s="9" t="s">
        <v>99</v>
      </c>
      <c r="N1564" s="9" t="s">
        <v>436</v>
      </c>
      <c r="O1564" s="9" t="s">
        <v>400</v>
      </c>
      <c r="P1564" s="9" t="s">
        <v>78</v>
      </c>
      <c r="Q1564" s="11">
        <v>27</v>
      </c>
      <c r="R1564" s="11"/>
      <c r="S1564" s="11">
        <f t="shared" si="204"/>
        <v>27</v>
      </c>
      <c r="T1564" s="9"/>
      <c r="U1564" s="14" t="s">
        <v>77</v>
      </c>
      <c r="V1564" s="9"/>
      <c r="W1564" s="12">
        <v>90</v>
      </c>
      <c r="X1564" s="13"/>
      <c r="Y1564" s="13"/>
      <c r="Z1564" s="13"/>
      <c r="AA1564" s="13"/>
      <c r="AB1564" s="13"/>
      <c r="AC1564" s="13"/>
      <c r="AD1564" s="13"/>
      <c r="AE1564" s="13">
        <v>0.09</v>
      </c>
      <c r="AF1564" s="13"/>
      <c r="AG1564" s="13"/>
      <c r="AH1564" s="13"/>
      <c r="AI1564" s="13"/>
      <c r="AJ1564" s="13">
        <f t="shared" si="200"/>
        <v>0.09</v>
      </c>
      <c r="AK1564" s="12"/>
      <c r="AL1564" s="13"/>
      <c r="AM1564" s="9"/>
      <c r="AN1564" s="9"/>
      <c r="AO1564" s="9"/>
      <c r="AP1564" s="14"/>
    </row>
    <row r="1565" spans="1:42" s="45" customFormat="1" ht="22" customHeight="1">
      <c r="A1565" s="14" t="s">
        <v>17</v>
      </c>
      <c r="B1565" s="8">
        <v>2024</v>
      </c>
      <c r="C1565" s="8" t="s">
        <v>24</v>
      </c>
      <c r="D1565" s="9" t="s">
        <v>185</v>
      </c>
      <c r="E1565" s="9" t="s">
        <v>115</v>
      </c>
      <c r="F1565" s="9" t="s">
        <v>434</v>
      </c>
      <c r="G1565" s="8"/>
      <c r="H1565" s="8"/>
      <c r="I1565" s="9" t="s">
        <v>435</v>
      </c>
      <c r="J1565" s="14" t="s">
        <v>14</v>
      </c>
      <c r="K1565" s="9" t="s">
        <v>435</v>
      </c>
      <c r="L1565" s="9" t="s">
        <v>209</v>
      </c>
      <c r="M1565" s="9" t="s">
        <v>99</v>
      </c>
      <c r="N1565" s="9" t="s">
        <v>436</v>
      </c>
      <c r="O1565" s="9" t="s">
        <v>400</v>
      </c>
      <c r="P1565" s="9" t="s">
        <v>544</v>
      </c>
      <c r="Q1565" s="11">
        <v>26</v>
      </c>
      <c r="R1565" s="11"/>
      <c r="S1565" s="11">
        <f t="shared" si="204"/>
        <v>26</v>
      </c>
      <c r="T1565" s="9"/>
      <c r="U1565" s="14" t="s">
        <v>77</v>
      </c>
      <c r="V1565" s="9"/>
      <c r="W1565" s="12">
        <v>90</v>
      </c>
      <c r="X1565" s="13"/>
      <c r="Y1565" s="13"/>
      <c r="Z1565" s="13"/>
      <c r="AA1565" s="13"/>
      <c r="AB1565" s="13"/>
      <c r="AC1565" s="13"/>
      <c r="AD1565" s="13"/>
      <c r="AE1565" s="13">
        <v>7.4999999999999997E-2</v>
      </c>
      <c r="AF1565" s="13"/>
      <c r="AG1565" s="13"/>
      <c r="AH1565" s="13"/>
      <c r="AI1565" s="13"/>
      <c r="AJ1565" s="13">
        <f t="shared" si="200"/>
        <v>7.4999999999999997E-2</v>
      </c>
      <c r="AK1565" s="12"/>
      <c r="AL1565" s="13"/>
      <c r="AM1565" s="9"/>
      <c r="AN1565" s="9"/>
      <c r="AO1565" s="9"/>
      <c r="AP1565" s="14"/>
    </row>
    <row r="1566" spans="1:42" s="45" customFormat="1" ht="22" customHeight="1">
      <c r="A1566" s="14" t="s">
        <v>17</v>
      </c>
      <c r="B1566" s="8">
        <v>2024</v>
      </c>
      <c r="C1566" s="8" t="s">
        <v>24</v>
      </c>
      <c r="D1566" s="9" t="s">
        <v>185</v>
      </c>
      <c r="E1566" s="9" t="s">
        <v>115</v>
      </c>
      <c r="F1566" s="9" t="s">
        <v>434</v>
      </c>
      <c r="G1566" s="8"/>
      <c r="H1566" s="8"/>
      <c r="I1566" s="9" t="s">
        <v>435</v>
      </c>
      <c r="J1566" s="14" t="s">
        <v>14</v>
      </c>
      <c r="K1566" s="9" t="s">
        <v>435</v>
      </c>
      <c r="L1566" s="9" t="s">
        <v>209</v>
      </c>
      <c r="M1566" s="9" t="s">
        <v>99</v>
      </c>
      <c r="N1566" s="9" t="s">
        <v>436</v>
      </c>
      <c r="O1566" s="9" t="s">
        <v>400</v>
      </c>
      <c r="P1566" s="9" t="s">
        <v>400</v>
      </c>
      <c r="Q1566" s="11">
        <v>28</v>
      </c>
      <c r="R1566" s="11"/>
      <c r="S1566" s="11">
        <f t="shared" si="204"/>
        <v>28</v>
      </c>
      <c r="T1566" s="9"/>
      <c r="U1566" s="14" t="s">
        <v>77</v>
      </c>
      <c r="V1566" s="9"/>
      <c r="W1566" s="12">
        <v>90</v>
      </c>
      <c r="X1566" s="13"/>
      <c r="Y1566" s="13"/>
      <c r="Z1566" s="13"/>
      <c r="AA1566" s="13"/>
      <c r="AB1566" s="13"/>
      <c r="AC1566" s="13"/>
      <c r="AD1566" s="13"/>
      <c r="AE1566" s="13">
        <v>0.09</v>
      </c>
      <c r="AF1566" s="13"/>
      <c r="AG1566" s="13"/>
      <c r="AH1566" s="13"/>
      <c r="AI1566" s="13"/>
      <c r="AJ1566" s="13">
        <f t="shared" si="200"/>
        <v>0.09</v>
      </c>
      <c r="AK1566" s="12"/>
      <c r="AL1566" s="13"/>
      <c r="AM1566" s="9"/>
      <c r="AN1566" s="9"/>
      <c r="AO1566" s="9"/>
      <c r="AP1566" s="14"/>
    </row>
    <row r="1567" spans="1:42" s="45" customFormat="1" ht="22" customHeight="1">
      <c r="A1567" s="14" t="s">
        <v>17</v>
      </c>
      <c r="B1567" s="8">
        <v>2024</v>
      </c>
      <c r="C1567" s="8" t="s">
        <v>24</v>
      </c>
      <c r="D1567" s="9" t="s">
        <v>185</v>
      </c>
      <c r="E1567" s="9" t="s">
        <v>115</v>
      </c>
      <c r="F1567" s="9" t="s">
        <v>434</v>
      </c>
      <c r="G1567" s="8"/>
      <c r="H1567" s="8"/>
      <c r="I1567" s="9" t="s">
        <v>435</v>
      </c>
      <c r="J1567" s="14" t="s">
        <v>14</v>
      </c>
      <c r="K1567" s="9" t="s">
        <v>435</v>
      </c>
      <c r="L1567" s="9" t="s">
        <v>209</v>
      </c>
      <c r="M1567" s="9" t="s">
        <v>99</v>
      </c>
      <c r="N1567" s="9" t="s">
        <v>436</v>
      </c>
      <c r="O1567" s="9" t="s">
        <v>400</v>
      </c>
      <c r="P1567" s="9" t="s">
        <v>545</v>
      </c>
      <c r="Q1567" s="11">
        <v>20</v>
      </c>
      <c r="R1567" s="11"/>
      <c r="S1567" s="11">
        <f t="shared" si="204"/>
        <v>20</v>
      </c>
      <c r="T1567" s="9"/>
      <c r="U1567" s="14" t="s">
        <v>77</v>
      </c>
      <c r="V1567" s="9"/>
      <c r="W1567" s="12">
        <v>90</v>
      </c>
      <c r="X1567" s="13"/>
      <c r="Y1567" s="13"/>
      <c r="Z1567" s="13"/>
      <c r="AA1567" s="13"/>
      <c r="AB1567" s="13"/>
      <c r="AC1567" s="13"/>
      <c r="AD1567" s="13"/>
      <c r="AE1567" s="13">
        <v>0.06</v>
      </c>
      <c r="AF1567" s="13"/>
      <c r="AG1567" s="13"/>
      <c r="AH1567" s="13"/>
      <c r="AI1567" s="13"/>
      <c r="AJ1567" s="13">
        <f t="shared" si="200"/>
        <v>0.06</v>
      </c>
      <c r="AK1567" s="12"/>
      <c r="AL1567" s="13"/>
      <c r="AM1567" s="9"/>
      <c r="AN1567" s="9"/>
      <c r="AO1567" s="9"/>
      <c r="AP1567" s="14"/>
    </row>
    <row r="1568" spans="1:42" s="45" customFormat="1" ht="22" customHeight="1">
      <c r="A1568" s="14" t="s">
        <v>17</v>
      </c>
      <c r="B1568" s="8">
        <v>2024</v>
      </c>
      <c r="C1568" s="8" t="s">
        <v>24</v>
      </c>
      <c r="D1568" s="9" t="s">
        <v>185</v>
      </c>
      <c r="E1568" s="9" t="s">
        <v>115</v>
      </c>
      <c r="F1568" s="9" t="s">
        <v>434</v>
      </c>
      <c r="G1568" s="8"/>
      <c r="H1568" s="8"/>
      <c r="I1568" s="9" t="s">
        <v>435</v>
      </c>
      <c r="J1568" s="14" t="s">
        <v>14</v>
      </c>
      <c r="K1568" s="9" t="s">
        <v>435</v>
      </c>
      <c r="L1568" s="9" t="s">
        <v>209</v>
      </c>
      <c r="M1568" s="9" t="s">
        <v>99</v>
      </c>
      <c r="N1568" s="9" t="s">
        <v>436</v>
      </c>
      <c r="O1568" s="9" t="s">
        <v>400</v>
      </c>
      <c r="P1568" s="9" t="s">
        <v>546</v>
      </c>
      <c r="Q1568" s="11">
        <v>23</v>
      </c>
      <c r="R1568" s="11"/>
      <c r="S1568" s="11">
        <f t="shared" si="204"/>
        <v>23</v>
      </c>
      <c r="T1568" s="9"/>
      <c r="U1568" s="14" t="s">
        <v>77</v>
      </c>
      <c r="V1568" s="9"/>
      <c r="W1568" s="12">
        <v>90</v>
      </c>
      <c r="X1568" s="13"/>
      <c r="Y1568" s="13"/>
      <c r="Z1568" s="13"/>
      <c r="AA1568" s="13"/>
      <c r="AB1568" s="13"/>
      <c r="AC1568" s="13"/>
      <c r="AD1568" s="13"/>
      <c r="AE1568" s="13">
        <v>7.4999999999999997E-2</v>
      </c>
      <c r="AF1568" s="13"/>
      <c r="AG1568" s="13"/>
      <c r="AH1568" s="13"/>
      <c r="AI1568" s="13"/>
      <c r="AJ1568" s="13">
        <f t="shared" si="200"/>
        <v>7.4999999999999997E-2</v>
      </c>
      <c r="AK1568" s="12"/>
      <c r="AL1568" s="13"/>
      <c r="AM1568" s="9"/>
      <c r="AN1568" s="9"/>
      <c r="AO1568" s="9"/>
      <c r="AP1568" s="14"/>
    </row>
    <row r="1569" spans="1:42" s="45" customFormat="1" ht="22" customHeight="1">
      <c r="A1569" s="14" t="s">
        <v>17</v>
      </c>
      <c r="B1569" s="8">
        <v>2024</v>
      </c>
      <c r="C1569" s="8" t="s">
        <v>24</v>
      </c>
      <c r="D1569" s="9" t="s">
        <v>185</v>
      </c>
      <c r="E1569" s="9" t="s">
        <v>115</v>
      </c>
      <c r="F1569" s="9" t="s">
        <v>434</v>
      </c>
      <c r="G1569" s="8"/>
      <c r="H1569" s="8"/>
      <c r="I1569" s="9" t="s">
        <v>435</v>
      </c>
      <c r="J1569" s="14" t="s">
        <v>14</v>
      </c>
      <c r="K1569" s="9" t="s">
        <v>435</v>
      </c>
      <c r="L1569" s="9" t="s">
        <v>209</v>
      </c>
      <c r="M1569" s="9" t="s">
        <v>99</v>
      </c>
      <c r="N1569" s="9" t="s">
        <v>436</v>
      </c>
      <c r="O1569" s="9" t="s">
        <v>400</v>
      </c>
      <c r="P1569" s="9" t="s">
        <v>402</v>
      </c>
      <c r="Q1569" s="11">
        <v>13</v>
      </c>
      <c r="R1569" s="11"/>
      <c r="S1569" s="11">
        <f t="shared" si="204"/>
        <v>13</v>
      </c>
      <c r="T1569" s="9"/>
      <c r="U1569" s="14" t="s">
        <v>77</v>
      </c>
      <c r="V1569" s="9"/>
      <c r="W1569" s="12">
        <v>90</v>
      </c>
      <c r="X1569" s="13"/>
      <c r="Y1569" s="13"/>
      <c r="Z1569" s="13"/>
      <c r="AA1569" s="13"/>
      <c r="AB1569" s="13"/>
      <c r="AC1569" s="13"/>
      <c r="AD1569" s="13"/>
      <c r="AE1569" s="13">
        <v>4.4999999999999998E-2</v>
      </c>
      <c r="AF1569" s="13"/>
      <c r="AG1569" s="13"/>
      <c r="AH1569" s="13"/>
      <c r="AI1569" s="13"/>
      <c r="AJ1569" s="13">
        <f t="shared" si="200"/>
        <v>4.4999999999999998E-2</v>
      </c>
      <c r="AK1569" s="12"/>
      <c r="AL1569" s="13"/>
      <c r="AM1569" s="9"/>
      <c r="AN1569" s="9"/>
      <c r="AO1569" s="9"/>
      <c r="AP1569" s="14"/>
    </row>
    <row r="1570" spans="1:42" s="45" customFormat="1" ht="22" customHeight="1">
      <c r="A1570" s="14" t="s">
        <v>17</v>
      </c>
      <c r="B1570" s="8">
        <v>2024</v>
      </c>
      <c r="C1570" s="8" t="s">
        <v>24</v>
      </c>
      <c r="D1570" s="9" t="s">
        <v>185</v>
      </c>
      <c r="E1570" s="9" t="s">
        <v>115</v>
      </c>
      <c r="F1570" s="9" t="s">
        <v>434</v>
      </c>
      <c r="G1570" s="8"/>
      <c r="H1570" s="8"/>
      <c r="I1570" s="9" t="s">
        <v>435</v>
      </c>
      <c r="J1570" s="14" t="s">
        <v>14</v>
      </c>
      <c r="K1570" s="9" t="s">
        <v>435</v>
      </c>
      <c r="L1570" s="9" t="s">
        <v>209</v>
      </c>
      <c r="M1570" s="9" t="s">
        <v>99</v>
      </c>
      <c r="N1570" s="9" t="s">
        <v>436</v>
      </c>
      <c r="O1570" s="9" t="s">
        <v>400</v>
      </c>
      <c r="P1570" s="9" t="s">
        <v>547</v>
      </c>
      <c r="Q1570" s="11">
        <v>17</v>
      </c>
      <c r="R1570" s="11"/>
      <c r="S1570" s="11">
        <f t="shared" si="204"/>
        <v>17</v>
      </c>
      <c r="T1570" s="9"/>
      <c r="U1570" s="14" t="s">
        <v>77</v>
      </c>
      <c r="V1570" s="9"/>
      <c r="W1570" s="12">
        <v>90</v>
      </c>
      <c r="X1570" s="13"/>
      <c r="Y1570" s="13"/>
      <c r="Z1570" s="13"/>
      <c r="AA1570" s="13"/>
      <c r="AB1570" s="13"/>
      <c r="AC1570" s="13"/>
      <c r="AD1570" s="13"/>
      <c r="AE1570" s="13">
        <v>0.06</v>
      </c>
      <c r="AF1570" s="13"/>
      <c r="AG1570" s="13"/>
      <c r="AH1570" s="13"/>
      <c r="AI1570" s="13"/>
      <c r="AJ1570" s="13">
        <f t="shared" si="200"/>
        <v>0.06</v>
      </c>
      <c r="AK1570" s="12"/>
      <c r="AL1570" s="13"/>
      <c r="AM1570" s="9"/>
      <c r="AN1570" s="9"/>
      <c r="AO1570" s="9"/>
      <c r="AP1570" s="14"/>
    </row>
    <row r="1571" spans="1:42" s="45" customFormat="1" ht="22" customHeight="1">
      <c r="A1571" s="14" t="s">
        <v>17</v>
      </c>
      <c r="B1571" s="8">
        <v>2024</v>
      </c>
      <c r="C1571" s="8" t="s">
        <v>24</v>
      </c>
      <c r="D1571" s="9" t="s">
        <v>185</v>
      </c>
      <c r="E1571" s="9" t="s">
        <v>115</v>
      </c>
      <c r="F1571" s="9" t="s">
        <v>434</v>
      </c>
      <c r="G1571" s="8"/>
      <c r="H1571" s="8"/>
      <c r="I1571" s="9" t="s">
        <v>435</v>
      </c>
      <c r="J1571" s="14" t="s">
        <v>14</v>
      </c>
      <c r="K1571" s="9" t="s">
        <v>435</v>
      </c>
      <c r="L1571" s="9" t="s">
        <v>209</v>
      </c>
      <c r="M1571" s="9" t="s">
        <v>99</v>
      </c>
      <c r="N1571" s="9" t="s">
        <v>436</v>
      </c>
      <c r="O1571" s="9" t="s">
        <v>400</v>
      </c>
      <c r="P1571" s="9" t="s">
        <v>548</v>
      </c>
      <c r="Q1571" s="11">
        <v>24</v>
      </c>
      <c r="R1571" s="11"/>
      <c r="S1571" s="11">
        <f t="shared" si="204"/>
        <v>24</v>
      </c>
      <c r="T1571" s="9"/>
      <c r="U1571" s="14" t="s">
        <v>77</v>
      </c>
      <c r="V1571" s="9"/>
      <c r="W1571" s="12">
        <v>90</v>
      </c>
      <c r="X1571" s="13"/>
      <c r="Y1571" s="13"/>
      <c r="Z1571" s="13"/>
      <c r="AA1571" s="13"/>
      <c r="AB1571" s="13"/>
      <c r="AC1571" s="13"/>
      <c r="AD1571" s="13"/>
      <c r="AE1571" s="13">
        <v>7.4999999999999997E-2</v>
      </c>
      <c r="AF1571" s="13"/>
      <c r="AG1571" s="13"/>
      <c r="AH1571" s="13"/>
      <c r="AI1571" s="13"/>
      <c r="AJ1571" s="13">
        <f t="shared" si="200"/>
        <v>7.4999999999999997E-2</v>
      </c>
      <c r="AK1571" s="12"/>
      <c r="AL1571" s="13"/>
      <c r="AM1571" s="9"/>
      <c r="AN1571" s="9"/>
      <c r="AO1571" s="9"/>
      <c r="AP1571" s="14"/>
    </row>
    <row r="1572" spans="1:42" s="45" customFormat="1" ht="22" customHeight="1">
      <c r="A1572" s="14" t="s">
        <v>17</v>
      </c>
      <c r="B1572" s="8">
        <v>2024</v>
      </c>
      <c r="C1572" s="8" t="s">
        <v>24</v>
      </c>
      <c r="D1572" s="9" t="s">
        <v>185</v>
      </c>
      <c r="E1572" s="9" t="s">
        <v>115</v>
      </c>
      <c r="F1572" s="9" t="s">
        <v>434</v>
      </c>
      <c r="G1572" s="8"/>
      <c r="H1572" s="8"/>
      <c r="I1572" s="9" t="s">
        <v>435</v>
      </c>
      <c r="J1572" s="14" t="s">
        <v>14</v>
      </c>
      <c r="K1572" s="9" t="s">
        <v>435</v>
      </c>
      <c r="L1572" s="9" t="s">
        <v>209</v>
      </c>
      <c r="M1572" s="9" t="s">
        <v>99</v>
      </c>
      <c r="N1572" s="9" t="s">
        <v>436</v>
      </c>
      <c r="O1572" s="9" t="s">
        <v>418</v>
      </c>
      <c r="P1572" s="9" t="s">
        <v>549</v>
      </c>
      <c r="Q1572" s="11">
        <v>50</v>
      </c>
      <c r="R1572" s="11"/>
      <c r="S1572" s="11">
        <f>+Q1572</f>
        <v>50</v>
      </c>
      <c r="T1572" s="9"/>
      <c r="U1572" s="14" t="s">
        <v>77</v>
      </c>
      <c r="V1572" s="9"/>
      <c r="W1572" s="12">
        <v>90</v>
      </c>
      <c r="X1572" s="13"/>
      <c r="Y1572" s="13"/>
      <c r="Z1572" s="13"/>
      <c r="AA1572" s="13"/>
      <c r="AB1572" s="13"/>
      <c r="AC1572" s="13"/>
      <c r="AD1572" s="13"/>
      <c r="AE1572" s="13">
        <v>0.24</v>
      </c>
      <c r="AF1572" s="13"/>
      <c r="AG1572" s="13"/>
      <c r="AH1572" s="13"/>
      <c r="AI1572" s="13"/>
      <c r="AJ1572" s="13">
        <f t="shared" si="200"/>
        <v>0.24</v>
      </c>
      <c r="AK1572" s="12"/>
      <c r="AL1572" s="13"/>
      <c r="AM1572" s="9"/>
      <c r="AN1572" s="9"/>
      <c r="AO1572" s="9"/>
      <c r="AP1572" s="14"/>
    </row>
    <row r="1573" spans="1:42" s="45" customFormat="1" ht="22" customHeight="1">
      <c r="A1573" s="14" t="s">
        <v>17</v>
      </c>
      <c r="B1573" s="8">
        <v>2024</v>
      </c>
      <c r="C1573" s="8" t="s">
        <v>24</v>
      </c>
      <c r="D1573" s="9" t="s">
        <v>185</v>
      </c>
      <c r="E1573" s="9" t="s">
        <v>115</v>
      </c>
      <c r="F1573" s="9" t="s">
        <v>434</v>
      </c>
      <c r="G1573" s="8"/>
      <c r="H1573" s="8"/>
      <c r="I1573" s="9" t="s">
        <v>435</v>
      </c>
      <c r="J1573" s="14" t="s">
        <v>14</v>
      </c>
      <c r="K1573" s="9" t="s">
        <v>435</v>
      </c>
      <c r="L1573" s="9" t="s">
        <v>209</v>
      </c>
      <c r="M1573" s="9" t="s">
        <v>99</v>
      </c>
      <c r="N1573" s="9" t="s">
        <v>436</v>
      </c>
      <c r="O1573" s="9" t="s">
        <v>418</v>
      </c>
      <c r="P1573" s="9" t="s">
        <v>550</v>
      </c>
      <c r="Q1573" s="11">
        <v>70</v>
      </c>
      <c r="R1573" s="11"/>
      <c r="S1573" s="11">
        <f t="shared" ref="S1573:S1581" si="205">+Q1573</f>
        <v>70</v>
      </c>
      <c r="T1573" s="9"/>
      <c r="U1573" s="14" t="s">
        <v>77</v>
      </c>
      <c r="V1573" s="9"/>
      <c r="W1573" s="12">
        <v>90</v>
      </c>
      <c r="X1573" s="13"/>
      <c r="Y1573" s="13"/>
      <c r="Z1573" s="13"/>
      <c r="AA1573" s="13"/>
      <c r="AB1573" s="13"/>
      <c r="AC1573" s="13"/>
      <c r="AD1573" s="13"/>
      <c r="AE1573" s="13">
        <v>0.6</v>
      </c>
      <c r="AF1573" s="13"/>
      <c r="AG1573" s="13"/>
      <c r="AH1573" s="13"/>
      <c r="AI1573" s="13"/>
      <c r="AJ1573" s="13">
        <f t="shared" si="200"/>
        <v>0.6</v>
      </c>
      <c r="AK1573" s="12"/>
      <c r="AL1573" s="13"/>
      <c r="AM1573" s="9"/>
      <c r="AN1573" s="9"/>
      <c r="AO1573" s="9"/>
      <c r="AP1573" s="14"/>
    </row>
    <row r="1574" spans="1:42" s="45" customFormat="1" ht="22" customHeight="1">
      <c r="A1574" s="14" t="s">
        <v>17</v>
      </c>
      <c r="B1574" s="8">
        <v>2024</v>
      </c>
      <c r="C1574" s="8" t="s">
        <v>24</v>
      </c>
      <c r="D1574" s="9" t="s">
        <v>185</v>
      </c>
      <c r="E1574" s="9" t="s">
        <v>115</v>
      </c>
      <c r="F1574" s="9" t="s">
        <v>434</v>
      </c>
      <c r="G1574" s="8"/>
      <c r="H1574" s="8"/>
      <c r="I1574" s="9" t="s">
        <v>435</v>
      </c>
      <c r="J1574" s="14" t="s">
        <v>14</v>
      </c>
      <c r="K1574" s="9" t="s">
        <v>435</v>
      </c>
      <c r="L1574" s="9" t="s">
        <v>209</v>
      </c>
      <c r="M1574" s="9" t="s">
        <v>99</v>
      </c>
      <c r="N1574" s="9" t="s">
        <v>436</v>
      </c>
      <c r="O1574" s="9" t="s">
        <v>418</v>
      </c>
      <c r="P1574" s="9" t="s">
        <v>472</v>
      </c>
      <c r="Q1574" s="11">
        <v>38</v>
      </c>
      <c r="R1574" s="11"/>
      <c r="S1574" s="11">
        <f t="shared" si="205"/>
        <v>38</v>
      </c>
      <c r="T1574" s="9"/>
      <c r="U1574" s="14" t="s">
        <v>77</v>
      </c>
      <c r="V1574" s="9"/>
      <c r="W1574" s="12">
        <v>90</v>
      </c>
      <c r="X1574" s="13"/>
      <c r="Y1574" s="13"/>
      <c r="Z1574" s="13"/>
      <c r="AA1574" s="13"/>
      <c r="AB1574" s="13"/>
      <c r="AC1574" s="13"/>
      <c r="AD1574" s="13"/>
      <c r="AE1574" s="13">
        <v>0.28499999999999998</v>
      </c>
      <c r="AF1574" s="13"/>
      <c r="AG1574" s="13"/>
      <c r="AH1574" s="13"/>
      <c r="AI1574" s="13"/>
      <c r="AJ1574" s="13">
        <f t="shared" si="200"/>
        <v>0.28499999999999998</v>
      </c>
      <c r="AK1574" s="12"/>
      <c r="AL1574" s="13"/>
      <c r="AM1574" s="9"/>
      <c r="AN1574" s="9"/>
      <c r="AO1574" s="9"/>
      <c r="AP1574" s="14"/>
    </row>
    <row r="1575" spans="1:42" s="45" customFormat="1" ht="22" customHeight="1">
      <c r="A1575" s="14" t="s">
        <v>17</v>
      </c>
      <c r="B1575" s="8">
        <v>2024</v>
      </c>
      <c r="C1575" s="8" t="s">
        <v>24</v>
      </c>
      <c r="D1575" s="9" t="s">
        <v>185</v>
      </c>
      <c r="E1575" s="9" t="s">
        <v>115</v>
      </c>
      <c r="F1575" s="9" t="s">
        <v>434</v>
      </c>
      <c r="G1575" s="8"/>
      <c r="H1575" s="8"/>
      <c r="I1575" s="9" t="s">
        <v>435</v>
      </c>
      <c r="J1575" s="14" t="s">
        <v>14</v>
      </c>
      <c r="K1575" s="9" t="s">
        <v>435</v>
      </c>
      <c r="L1575" s="9" t="s">
        <v>209</v>
      </c>
      <c r="M1575" s="9" t="s">
        <v>99</v>
      </c>
      <c r="N1575" s="9" t="s">
        <v>436</v>
      </c>
      <c r="O1575" s="9" t="s">
        <v>418</v>
      </c>
      <c r="P1575" s="9" t="s">
        <v>551</v>
      </c>
      <c r="Q1575" s="11">
        <v>62</v>
      </c>
      <c r="R1575" s="11"/>
      <c r="S1575" s="11">
        <f t="shared" si="205"/>
        <v>62</v>
      </c>
      <c r="T1575" s="9"/>
      <c r="U1575" s="14" t="s">
        <v>77</v>
      </c>
      <c r="V1575" s="9"/>
      <c r="W1575" s="12">
        <v>90</v>
      </c>
      <c r="X1575" s="13"/>
      <c r="Y1575" s="13"/>
      <c r="Z1575" s="13"/>
      <c r="AA1575" s="13"/>
      <c r="AB1575" s="13"/>
      <c r="AC1575" s="13"/>
      <c r="AD1575" s="13"/>
      <c r="AE1575" s="13">
        <v>0.36</v>
      </c>
      <c r="AF1575" s="13"/>
      <c r="AG1575" s="13"/>
      <c r="AH1575" s="13"/>
      <c r="AI1575" s="13"/>
      <c r="AJ1575" s="13">
        <f t="shared" si="200"/>
        <v>0.36</v>
      </c>
      <c r="AK1575" s="12"/>
      <c r="AL1575" s="13"/>
      <c r="AM1575" s="9"/>
      <c r="AN1575" s="9"/>
      <c r="AO1575" s="9"/>
      <c r="AP1575" s="14"/>
    </row>
    <row r="1576" spans="1:42" s="45" customFormat="1" ht="22" customHeight="1">
      <c r="A1576" s="14" t="s">
        <v>17</v>
      </c>
      <c r="B1576" s="8">
        <v>2024</v>
      </c>
      <c r="C1576" s="8" t="s">
        <v>24</v>
      </c>
      <c r="D1576" s="9" t="s">
        <v>185</v>
      </c>
      <c r="E1576" s="9" t="s">
        <v>115</v>
      </c>
      <c r="F1576" s="9" t="s">
        <v>434</v>
      </c>
      <c r="G1576" s="8"/>
      <c r="H1576" s="8"/>
      <c r="I1576" s="9" t="s">
        <v>435</v>
      </c>
      <c r="J1576" s="14" t="s">
        <v>14</v>
      </c>
      <c r="K1576" s="9" t="s">
        <v>435</v>
      </c>
      <c r="L1576" s="9" t="s">
        <v>209</v>
      </c>
      <c r="M1576" s="9" t="s">
        <v>99</v>
      </c>
      <c r="N1576" s="9" t="s">
        <v>436</v>
      </c>
      <c r="O1576" s="9" t="s">
        <v>418</v>
      </c>
      <c r="P1576" s="9" t="s">
        <v>552</v>
      </c>
      <c r="Q1576" s="11">
        <v>65</v>
      </c>
      <c r="R1576" s="11"/>
      <c r="S1576" s="11">
        <f t="shared" si="205"/>
        <v>65</v>
      </c>
      <c r="T1576" s="9"/>
      <c r="U1576" s="14" t="s">
        <v>77</v>
      </c>
      <c r="V1576" s="9"/>
      <c r="W1576" s="12">
        <v>90</v>
      </c>
      <c r="X1576" s="13"/>
      <c r="Y1576" s="13"/>
      <c r="Z1576" s="13"/>
      <c r="AA1576" s="13"/>
      <c r="AB1576" s="13"/>
      <c r="AC1576" s="13"/>
      <c r="AD1576" s="13"/>
      <c r="AE1576" s="13">
        <v>0.435</v>
      </c>
      <c r="AF1576" s="13"/>
      <c r="AG1576" s="13"/>
      <c r="AH1576" s="13"/>
      <c r="AI1576" s="13"/>
      <c r="AJ1576" s="13">
        <f t="shared" si="200"/>
        <v>0.435</v>
      </c>
      <c r="AK1576" s="12"/>
      <c r="AL1576" s="13"/>
      <c r="AM1576" s="9"/>
      <c r="AN1576" s="9"/>
      <c r="AO1576" s="9"/>
      <c r="AP1576" s="14"/>
    </row>
    <row r="1577" spans="1:42" s="45" customFormat="1" ht="22" customHeight="1">
      <c r="A1577" s="14" t="s">
        <v>17</v>
      </c>
      <c r="B1577" s="8">
        <v>2024</v>
      </c>
      <c r="C1577" s="8" t="s">
        <v>24</v>
      </c>
      <c r="D1577" s="9" t="s">
        <v>185</v>
      </c>
      <c r="E1577" s="9" t="s">
        <v>115</v>
      </c>
      <c r="F1577" s="9" t="s">
        <v>434</v>
      </c>
      <c r="G1577" s="8"/>
      <c r="H1577" s="8"/>
      <c r="I1577" s="9" t="s">
        <v>435</v>
      </c>
      <c r="J1577" s="14" t="s">
        <v>14</v>
      </c>
      <c r="K1577" s="9" t="s">
        <v>435</v>
      </c>
      <c r="L1577" s="9" t="s">
        <v>209</v>
      </c>
      <c r="M1577" s="9" t="s">
        <v>99</v>
      </c>
      <c r="N1577" s="9" t="s">
        <v>436</v>
      </c>
      <c r="O1577" s="9" t="s">
        <v>418</v>
      </c>
      <c r="P1577" s="9" t="s">
        <v>93</v>
      </c>
      <c r="Q1577" s="11">
        <v>44</v>
      </c>
      <c r="R1577" s="11"/>
      <c r="S1577" s="11">
        <f t="shared" si="205"/>
        <v>44</v>
      </c>
      <c r="T1577" s="9"/>
      <c r="U1577" s="14" t="s">
        <v>77</v>
      </c>
      <c r="V1577" s="9"/>
      <c r="W1577" s="12">
        <v>90</v>
      </c>
      <c r="X1577" s="13"/>
      <c r="Y1577" s="13"/>
      <c r="Z1577" s="13"/>
      <c r="AA1577" s="13"/>
      <c r="AB1577" s="13"/>
      <c r="AC1577" s="13"/>
      <c r="AD1577" s="13"/>
      <c r="AE1577" s="13">
        <v>0.34499999999999997</v>
      </c>
      <c r="AF1577" s="13"/>
      <c r="AG1577" s="13"/>
      <c r="AH1577" s="13"/>
      <c r="AI1577" s="13"/>
      <c r="AJ1577" s="13">
        <f t="shared" si="200"/>
        <v>0.34499999999999997</v>
      </c>
      <c r="AK1577" s="12"/>
      <c r="AL1577" s="13"/>
      <c r="AM1577" s="9"/>
      <c r="AN1577" s="9"/>
      <c r="AO1577" s="9"/>
      <c r="AP1577" s="14"/>
    </row>
    <row r="1578" spans="1:42" s="45" customFormat="1" ht="22" customHeight="1">
      <c r="A1578" s="14" t="s">
        <v>17</v>
      </c>
      <c r="B1578" s="8">
        <v>2024</v>
      </c>
      <c r="C1578" s="8" t="s">
        <v>24</v>
      </c>
      <c r="D1578" s="9" t="s">
        <v>185</v>
      </c>
      <c r="E1578" s="9" t="s">
        <v>115</v>
      </c>
      <c r="F1578" s="9" t="s">
        <v>434</v>
      </c>
      <c r="G1578" s="8"/>
      <c r="H1578" s="8"/>
      <c r="I1578" s="9" t="s">
        <v>435</v>
      </c>
      <c r="J1578" s="14" t="s">
        <v>14</v>
      </c>
      <c r="K1578" s="9" t="s">
        <v>435</v>
      </c>
      <c r="L1578" s="9" t="s">
        <v>209</v>
      </c>
      <c r="M1578" s="9" t="s">
        <v>99</v>
      </c>
      <c r="N1578" s="9" t="s">
        <v>436</v>
      </c>
      <c r="O1578" s="9" t="s">
        <v>418</v>
      </c>
      <c r="P1578" s="9" t="s">
        <v>418</v>
      </c>
      <c r="Q1578" s="11">
        <v>61</v>
      </c>
      <c r="R1578" s="11"/>
      <c r="S1578" s="11">
        <f t="shared" si="205"/>
        <v>61</v>
      </c>
      <c r="T1578" s="9"/>
      <c r="U1578" s="14" t="s">
        <v>77</v>
      </c>
      <c r="V1578" s="9"/>
      <c r="W1578" s="12">
        <v>90</v>
      </c>
      <c r="X1578" s="13"/>
      <c r="Y1578" s="13"/>
      <c r="Z1578" s="13"/>
      <c r="AA1578" s="13"/>
      <c r="AB1578" s="13"/>
      <c r="AC1578" s="13"/>
      <c r="AD1578" s="13"/>
      <c r="AE1578" s="13">
        <v>0.48</v>
      </c>
      <c r="AF1578" s="13"/>
      <c r="AG1578" s="13"/>
      <c r="AH1578" s="13"/>
      <c r="AI1578" s="13"/>
      <c r="AJ1578" s="13">
        <f t="shared" si="200"/>
        <v>0.48</v>
      </c>
      <c r="AK1578" s="12"/>
      <c r="AL1578" s="13"/>
      <c r="AM1578" s="9"/>
      <c r="AN1578" s="9"/>
      <c r="AO1578" s="9"/>
      <c r="AP1578" s="14"/>
    </row>
    <row r="1579" spans="1:42" s="45" customFormat="1" ht="22" customHeight="1">
      <c r="A1579" s="14" t="s">
        <v>17</v>
      </c>
      <c r="B1579" s="8">
        <v>2024</v>
      </c>
      <c r="C1579" s="8" t="s">
        <v>24</v>
      </c>
      <c r="D1579" s="9" t="s">
        <v>185</v>
      </c>
      <c r="E1579" s="9" t="s">
        <v>115</v>
      </c>
      <c r="F1579" s="9" t="s">
        <v>434</v>
      </c>
      <c r="G1579" s="8"/>
      <c r="H1579" s="8"/>
      <c r="I1579" s="9" t="s">
        <v>435</v>
      </c>
      <c r="J1579" s="14" t="s">
        <v>14</v>
      </c>
      <c r="K1579" s="9" t="s">
        <v>435</v>
      </c>
      <c r="L1579" s="9" t="s">
        <v>209</v>
      </c>
      <c r="M1579" s="9" t="s">
        <v>99</v>
      </c>
      <c r="N1579" s="9" t="s">
        <v>436</v>
      </c>
      <c r="O1579" s="9" t="s">
        <v>418</v>
      </c>
      <c r="P1579" s="9" t="s">
        <v>553</v>
      </c>
      <c r="Q1579" s="11">
        <v>64</v>
      </c>
      <c r="R1579" s="11"/>
      <c r="S1579" s="11">
        <f t="shared" si="205"/>
        <v>64</v>
      </c>
      <c r="T1579" s="9"/>
      <c r="U1579" s="14" t="s">
        <v>77</v>
      </c>
      <c r="V1579" s="9"/>
      <c r="W1579" s="12">
        <v>90</v>
      </c>
      <c r="X1579" s="13"/>
      <c r="Y1579" s="13"/>
      <c r="Z1579" s="13"/>
      <c r="AA1579" s="13"/>
      <c r="AB1579" s="13"/>
      <c r="AC1579" s="13"/>
      <c r="AD1579" s="13"/>
      <c r="AE1579" s="13">
        <v>0.40500000000000003</v>
      </c>
      <c r="AF1579" s="13"/>
      <c r="AG1579" s="13"/>
      <c r="AH1579" s="13"/>
      <c r="AI1579" s="13"/>
      <c r="AJ1579" s="13">
        <f t="shared" si="200"/>
        <v>0.40500000000000003</v>
      </c>
      <c r="AK1579" s="12"/>
      <c r="AL1579" s="13"/>
      <c r="AM1579" s="9"/>
      <c r="AN1579" s="9"/>
      <c r="AO1579" s="9"/>
      <c r="AP1579" s="14"/>
    </row>
    <row r="1580" spans="1:42" s="45" customFormat="1" ht="22" customHeight="1">
      <c r="A1580" s="14" t="s">
        <v>17</v>
      </c>
      <c r="B1580" s="8">
        <v>2024</v>
      </c>
      <c r="C1580" s="8" t="s">
        <v>24</v>
      </c>
      <c r="D1580" s="9" t="s">
        <v>185</v>
      </c>
      <c r="E1580" s="9" t="s">
        <v>115</v>
      </c>
      <c r="F1580" s="9" t="s">
        <v>434</v>
      </c>
      <c r="G1580" s="8"/>
      <c r="H1580" s="8"/>
      <c r="I1580" s="9" t="s">
        <v>435</v>
      </c>
      <c r="J1580" s="14" t="s">
        <v>14</v>
      </c>
      <c r="K1580" s="9" t="s">
        <v>435</v>
      </c>
      <c r="L1580" s="9" t="s">
        <v>209</v>
      </c>
      <c r="M1580" s="9" t="s">
        <v>99</v>
      </c>
      <c r="N1580" s="9" t="s">
        <v>436</v>
      </c>
      <c r="O1580" s="9" t="s">
        <v>418</v>
      </c>
      <c r="P1580" s="9" t="s">
        <v>507</v>
      </c>
      <c r="Q1580" s="11">
        <v>69</v>
      </c>
      <c r="R1580" s="11"/>
      <c r="S1580" s="11">
        <f t="shared" si="205"/>
        <v>69</v>
      </c>
      <c r="T1580" s="9"/>
      <c r="U1580" s="14" t="s">
        <v>77</v>
      </c>
      <c r="V1580" s="9"/>
      <c r="W1580" s="12">
        <v>90</v>
      </c>
      <c r="X1580" s="13"/>
      <c r="Y1580" s="13"/>
      <c r="Z1580" s="13"/>
      <c r="AA1580" s="13"/>
      <c r="AB1580" s="13"/>
      <c r="AC1580" s="13"/>
      <c r="AD1580" s="13"/>
      <c r="AE1580" s="13">
        <v>0.52500000000000002</v>
      </c>
      <c r="AF1580" s="13"/>
      <c r="AG1580" s="13"/>
      <c r="AH1580" s="13"/>
      <c r="AI1580" s="13"/>
      <c r="AJ1580" s="13">
        <f t="shared" si="200"/>
        <v>0.52500000000000002</v>
      </c>
      <c r="AK1580" s="12"/>
      <c r="AL1580" s="13"/>
      <c r="AM1580" s="9"/>
      <c r="AN1580" s="9"/>
      <c r="AO1580" s="9"/>
      <c r="AP1580" s="14"/>
    </row>
    <row r="1581" spans="1:42" s="45" customFormat="1" ht="22" customHeight="1">
      <c r="A1581" s="14" t="s">
        <v>17</v>
      </c>
      <c r="B1581" s="8">
        <v>2024</v>
      </c>
      <c r="C1581" s="8" t="s">
        <v>24</v>
      </c>
      <c r="D1581" s="9" t="s">
        <v>185</v>
      </c>
      <c r="E1581" s="9" t="s">
        <v>115</v>
      </c>
      <c r="F1581" s="9" t="s">
        <v>434</v>
      </c>
      <c r="G1581" s="8"/>
      <c r="H1581" s="8"/>
      <c r="I1581" s="9" t="s">
        <v>435</v>
      </c>
      <c r="J1581" s="14" t="s">
        <v>14</v>
      </c>
      <c r="K1581" s="9" t="s">
        <v>435</v>
      </c>
      <c r="L1581" s="9" t="s">
        <v>209</v>
      </c>
      <c r="M1581" s="9" t="s">
        <v>99</v>
      </c>
      <c r="N1581" s="9" t="s">
        <v>436</v>
      </c>
      <c r="O1581" s="9" t="s">
        <v>418</v>
      </c>
      <c r="P1581" s="9" t="s">
        <v>554</v>
      </c>
      <c r="Q1581" s="11">
        <v>65</v>
      </c>
      <c r="R1581" s="11"/>
      <c r="S1581" s="11">
        <f t="shared" si="205"/>
        <v>65</v>
      </c>
      <c r="T1581" s="9"/>
      <c r="U1581" s="14" t="s">
        <v>77</v>
      </c>
      <c r="V1581" s="9"/>
      <c r="W1581" s="12">
        <v>90</v>
      </c>
      <c r="X1581" s="13"/>
      <c r="Y1581" s="13"/>
      <c r="Z1581" s="13"/>
      <c r="AA1581" s="13"/>
      <c r="AB1581" s="13"/>
      <c r="AC1581" s="13"/>
      <c r="AD1581" s="13"/>
      <c r="AE1581" s="13">
        <v>0.40500000000000003</v>
      </c>
      <c r="AF1581" s="13"/>
      <c r="AG1581" s="13"/>
      <c r="AH1581" s="13"/>
      <c r="AI1581" s="13"/>
      <c r="AJ1581" s="13">
        <f t="shared" si="200"/>
        <v>0.40500000000000003</v>
      </c>
      <c r="AK1581" s="12"/>
      <c r="AL1581" s="13"/>
      <c r="AM1581" s="9"/>
      <c r="AN1581" s="9"/>
      <c r="AO1581" s="9"/>
      <c r="AP1581" s="14"/>
    </row>
    <row r="1582" spans="1:42" s="45" customFormat="1" ht="22" customHeight="1">
      <c r="A1582" s="14" t="s">
        <v>17</v>
      </c>
      <c r="B1582" s="8">
        <v>2024</v>
      </c>
      <c r="C1582" s="8" t="s">
        <v>24</v>
      </c>
      <c r="D1582" s="9" t="s">
        <v>185</v>
      </c>
      <c r="E1582" s="9" t="s">
        <v>115</v>
      </c>
      <c r="F1582" s="9" t="s">
        <v>434</v>
      </c>
      <c r="G1582" s="8"/>
      <c r="H1582" s="8"/>
      <c r="I1582" s="9" t="s">
        <v>435</v>
      </c>
      <c r="J1582" s="14" t="s">
        <v>14</v>
      </c>
      <c r="K1582" s="9" t="s">
        <v>435</v>
      </c>
      <c r="L1582" s="9" t="s">
        <v>209</v>
      </c>
      <c r="M1582" s="9" t="s">
        <v>99</v>
      </c>
      <c r="N1582" s="9" t="s">
        <v>436</v>
      </c>
      <c r="O1582" s="9" t="s">
        <v>555</v>
      </c>
      <c r="P1582" s="9" t="s">
        <v>556</v>
      </c>
      <c r="Q1582" s="11">
        <v>0</v>
      </c>
      <c r="R1582" s="11"/>
      <c r="S1582" s="11">
        <v>0</v>
      </c>
      <c r="T1582" s="9"/>
      <c r="U1582" s="14" t="s">
        <v>77</v>
      </c>
      <c r="V1582" s="9"/>
      <c r="W1582" s="12">
        <v>0</v>
      </c>
      <c r="X1582" s="13"/>
      <c r="Y1582" s="13"/>
      <c r="Z1582" s="13"/>
      <c r="AA1582" s="13"/>
      <c r="AB1582" s="13"/>
      <c r="AC1582" s="13"/>
      <c r="AD1582" s="13"/>
      <c r="AE1582" s="13">
        <v>0</v>
      </c>
      <c r="AF1582" s="13"/>
      <c r="AG1582" s="13"/>
      <c r="AH1582" s="13"/>
      <c r="AI1582" s="13"/>
      <c r="AJ1582" s="13">
        <f t="shared" ref="AJ1582:AJ1645" si="206">SUBTOTAL(9,X1582:AI1582)</f>
        <v>0</v>
      </c>
      <c r="AK1582" s="12"/>
      <c r="AL1582" s="13"/>
      <c r="AM1582" s="9"/>
      <c r="AN1582" s="9"/>
      <c r="AO1582" s="9"/>
      <c r="AP1582" s="14"/>
    </row>
    <row r="1583" spans="1:42" s="45" customFormat="1" ht="22" customHeight="1">
      <c r="A1583" s="14" t="s">
        <v>17</v>
      </c>
      <c r="B1583" s="8">
        <v>2024</v>
      </c>
      <c r="C1583" s="8" t="s">
        <v>24</v>
      </c>
      <c r="D1583" s="9" t="s">
        <v>185</v>
      </c>
      <c r="E1583" s="9" t="s">
        <v>115</v>
      </c>
      <c r="F1583" s="9" t="s">
        <v>434</v>
      </c>
      <c r="G1583" s="8"/>
      <c r="H1583" s="8"/>
      <c r="I1583" s="9" t="s">
        <v>435</v>
      </c>
      <c r="J1583" s="14" t="s">
        <v>14</v>
      </c>
      <c r="K1583" s="9" t="s">
        <v>435</v>
      </c>
      <c r="L1583" s="9" t="s">
        <v>209</v>
      </c>
      <c r="M1583" s="9" t="s">
        <v>99</v>
      </c>
      <c r="N1583" s="9" t="s">
        <v>436</v>
      </c>
      <c r="O1583" s="9" t="s">
        <v>555</v>
      </c>
      <c r="P1583" s="9" t="s">
        <v>557</v>
      </c>
      <c r="Q1583" s="11">
        <v>0</v>
      </c>
      <c r="R1583" s="11"/>
      <c r="S1583" s="11">
        <v>0</v>
      </c>
      <c r="T1583" s="9"/>
      <c r="U1583" s="14" t="s">
        <v>77</v>
      </c>
      <c r="V1583" s="9"/>
      <c r="W1583" s="12">
        <v>0</v>
      </c>
      <c r="X1583" s="13"/>
      <c r="Y1583" s="13"/>
      <c r="Z1583" s="13"/>
      <c r="AA1583" s="13"/>
      <c r="AB1583" s="13"/>
      <c r="AC1583" s="13"/>
      <c r="AD1583" s="13"/>
      <c r="AE1583" s="13">
        <v>0</v>
      </c>
      <c r="AF1583" s="13"/>
      <c r="AG1583" s="13"/>
      <c r="AH1583" s="13"/>
      <c r="AI1583" s="13"/>
      <c r="AJ1583" s="13">
        <f t="shared" si="206"/>
        <v>0</v>
      </c>
      <c r="AK1583" s="12"/>
      <c r="AL1583" s="13"/>
      <c r="AM1583" s="9"/>
      <c r="AN1583" s="9"/>
      <c r="AO1583" s="9"/>
      <c r="AP1583" s="14"/>
    </row>
    <row r="1584" spans="1:42" s="45" customFormat="1" ht="22" customHeight="1">
      <c r="A1584" s="14" t="s">
        <v>17</v>
      </c>
      <c r="B1584" s="8">
        <v>2024</v>
      </c>
      <c r="C1584" s="8" t="s">
        <v>24</v>
      </c>
      <c r="D1584" s="9" t="s">
        <v>185</v>
      </c>
      <c r="E1584" s="9" t="s">
        <v>115</v>
      </c>
      <c r="F1584" s="9" t="s">
        <v>434</v>
      </c>
      <c r="G1584" s="8"/>
      <c r="H1584" s="8"/>
      <c r="I1584" s="9" t="s">
        <v>435</v>
      </c>
      <c r="J1584" s="14" t="s">
        <v>14</v>
      </c>
      <c r="K1584" s="9" t="s">
        <v>435</v>
      </c>
      <c r="L1584" s="9" t="s">
        <v>209</v>
      </c>
      <c r="M1584" s="9" t="s">
        <v>99</v>
      </c>
      <c r="N1584" s="9" t="s">
        <v>436</v>
      </c>
      <c r="O1584" s="9" t="s">
        <v>555</v>
      </c>
      <c r="P1584" s="9" t="s">
        <v>558</v>
      </c>
      <c r="Q1584" s="11">
        <v>0</v>
      </c>
      <c r="R1584" s="11"/>
      <c r="S1584" s="11">
        <v>0</v>
      </c>
      <c r="T1584" s="9"/>
      <c r="U1584" s="14" t="s">
        <v>77</v>
      </c>
      <c r="V1584" s="9"/>
      <c r="W1584" s="12">
        <v>0</v>
      </c>
      <c r="X1584" s="13"/>
      <c r="Y1584" s="13"/>
      <c r="Z1584" s="13"/>
      <c r="AA1584" s="13"/>
      <c r="AB1584" s="13"/>
      <c r="AC1584" s="13"/>
      <c r="AD1584" s="13"/>
      <c r="AE1584" s="13">
        <v>0</v>
      </c>
      <c r="AF1584" s="13"/>
      <c r="AG1584" s="13"/>
      <c r="AH1584" s="13"/>
      <c r="AI1584" s="13"/>
      <c r="AJ1584" s="13">
        <f t="shared" si="206"/>
        <v>0</v>
      </c>
      <c r="AK1584" s="12"/>
      <c r="AL1584" s="13"/>
      <c r="AM1584" s="9"/>
      <c r="AN1584" s="9"/>
      <c r="AO1584" s="9"/>
      <c r="AP1584" s="14"/>
    </row>
    <row r="1585" spans="1:42" s="45" customFormat="1" ht="22" customHeight="1">
      <c r="A1585" s="14" t="s">
        <v>17</v>
      </c>
      <c r="B1585" s="8">
        <v>2024</v>
      </c>
      <c r="C1585" s="8" t="s">
        <v>24</v>
      </c>
      <c r="D1585" s="9" t="s">
        <v>185</v>
      </c>
      <c r="E1585" s="9" t="s">
        <v>115</v>
      </c>
      <c r="F1585" s="9" t="s">
        <v>434</v>
      </c>
      <c r="G1585" s="8"/>
      <c r="H1585" s="8"/>
      <c r="I1585" s="9" t="s">
        <v>435</v>
      </c>
      <c r="J1585" s="14" t="s">
        <v>14</v>
      </c>
      <c r="K1585" s="9" t="s">
        <v>435</v>
      </c>
      <c r="L1585" s="9" t="s">
        <v>209</v>
      </c>
      <c r="M1585" s="9" t="s">
        <v>99</v>
      </c>
      <c r="N1585" s="9" t="s">
        <v>436</v>
      </c>
      <c r="O1585" s="9" t="s">
        <v>555</v>
      </c>
      <c r="P1585" s="9" t="s">
        <v>555</v>
      </c>
      <c r="Q1585" s="11">
        <v>0</v>
      </c>
      <c r="R1585" s="11"/>
      <c r="S1585" s="11">
        <v>0</v>
      </c>
      <c r="T1585" s="9"/>
      <c r="U1585" s="14" t="s">
        <v>77</v>
      </c>
      <c r="V1585" s="9"/>
      <c r="W1585" s="12">
        <v>0</v>
      </c>
      <c r="X1585" s="13"/>
      <c r="Y1585" s="13"/>
      <c r="Z1585" s="13"/>
      <c r="AA1585" s="13"/>
      <c r="AB1585" s="13"/>
      <c r="AC1585" s="13"/>
      <c r="AD1585" s="13"/>
      <c r="AE1585" s="13">
        <v>0</v>
      </c>
      <c r="AF1585" s="13"/>
      <c r="AG1585" s="13"/>
      <c r="AH1585" s="13"/>
      <c r="AI1585" s="13"/>
      <c r="AJ1585" s="13">
        <f t="shared" si="206"/>
        <v>0</v>
      </c>
      <c r="AK1585" s="12"/>
      <c r="AL1585" s="13"/>
      <c r="AM1585" s="9"/>
      <c r="AN1585" s="9"/>
      <c r="AO1585" s="9"/>
      <c r="AP1585" s="14"/>
    </row>
    <row r="1586" spans="1:42" s="45" customFormat="1" ht="22" customHeight="1">
      <c r="A1586" s="14" t="s">
        <v>17</v>
      </c>
      <c r="B1586" s="8">
        <v>2024</v>
      </c>
      <c r="C1586" s="8" t="s">
        <v>24</v>
      </c>
      <c r="D1586" s="9" t="s">
        <v>185</v>
      </c>
      <c r="E1586" s="9" t="s">
        <v>115</v>
      </c>
      <c r="F1586" s="9" t="s">
        <v>434</v>
      </c>
      <c r="G1586" s="8"/>
      <c r="H1586" s="8"/>
      <c r="I1586" s="9" t="s">
        <v>435</v>
      </c>
      <c r="J1586" s="14" t="s">
        <v>14</v>
      </c>
      <c r="K1586" s="9" t="s">
        <v>435</v>
      </c>
      <c r="L1586" s="9" t="s">
        <v>209</v>
      </c>
      <c r="M1586" s="9" t="s">
        <v>99</v>
      </c>
      <c r="N1586" s="9" t="s">
        <v>436</v>
      </c>
      <c r="O1586" s="9" t="s">
        <v>555</v>
      </c>
      <c r="P1586" s="9" t="s">
        <v>559</v>
      </c>
      <c r="Q1586" s="11">
        <v>0</v>
      </c>
      <c r="R1586" s="11"/>
      <c r="S1586" s="11">
        <v>0</v>
      </c>
      <c r="T1586" s="9"/>
      <c r="U1586" s="14" t="s">
        <v>77</v>
      </c>
      <c r="V1586" s="9"/>
      <c r="W1586" s="12">
        <v>0</v>
      </c>
      <c r="X1586" s="13"/>
      <c r="Y1586" s="13"/>
      <c r="Z1586" s="13"/>
      <c r="AA1586" s="13"/>
      <c r="AB1586" s="13"/>
      <c r="AC1586" s="13"/>
      <c r="AD1586" s="13"/>
      <c r="AE1586" s="13">
        <v>0</v>
      </c>
      <c r="AF1586" s="13"/>
      <c r="AG1586" s="13"/>
      <c r="AH1586" s="13"/>
      <c r="AI1586" s="13"/>
      <c r="AJ1586" s="13">
        <f t="shared" si="206"/>
        <v>0</v>
      </c>
      <c r="AK1586" s="12"/>
      <c r="AL1586" s="13"/>
      <c r="AM1586" s="9"/>
      <c r="AN1586" s="9"/>
      <c r="AO1586" s="9"/>
      <c r="AP1586" s="14"/>
    </row>
    <row r="1587" spans="1:42" s="45" customFormat="1" ht="22" customHeight="1">
      <c r="A1587" s="14" t="s">
        <v>17</v>
      </c>
      <c r="B1587" s="8">
        <v>2024</v>
      </c>
      <c r="C1587" s="8" t="s">
        <v>24</v>
      </c>
      <c r="D1587" s="9" t="s">
        <v>185</v>
      </c>
      <c r="E1587" s="9" t="s">
        <v>115</v>
      </c>
      <c r="F1587" s="9" t="s">
        <v>434</v>
      </c>
      <c r="G1587" s="8"/>
      <c r="H1587" s="8"/>
      <c r="I1587" s="9" t="s">
        <v>435</v>
      </c>
      <c r="J1587" s="14" t="s">
        <v>14</v>
      </c>
      <c r="K1587" s="9" t="s">
        <v>435</v>
      </c>
      <c r="L1587" s="9" t="s">
        <v>209</v>
      </c>
      <c r="M1587" s="9" t="s">
        <v>99</v>
      </c>
      <c r="N1587" s="9" t="s">
        <v>436</v>
      </c>
      <c r="O1587" s="9" t="s">
        <v>555</v>
      </c>
      <c r="P1587" s="9" t="s">
        <v>560</v>
      </c>
      <c r="Q1587" s="11">
        <v>0</v>
      </c>
      <c r="R1587" s="11"/>
      <c r="S1587" s="11">
        <v>0</v>
      </c>
      <c r="T1587" s="9"/>
      <c r="U1587" s="14" t="s">
        <v>77</v>
      </c>
      <c r="V1587" s="9"/>
      <c r="W1587" s="12">
        <v>0</v>
      </c>
      <c r="X1587" s="13"/>
      <c r="Y1587" s="13"/>
      <c r="Z1587" s="13"/>
      <c r="AA1587" s="13"/>
      <c r="AB1587" s="13"/>
      <c r="AC1587" s="13"/>
      <c r="AD1587" s="13"/>
      <c r="AE1587" s="13">
        <v>0</v>
      </c>
      <c r="AF1587" s="13"/>
      <c r="AG1587" s="13"/>
      <c r="AH1587" s="13"/>
      <c r="AI1587" s="13"/>
      <c r="AJ1587" s="13">
        <f t="shared" si="206"/>
        <v>0</v>
      </c>
      <c r="AK1587" s="12"/>
      <c r="AL1587" s="13"/>
      <c r="AM1587" s="9"/>
      <c r="AN1587" s="9"/>
      <c r="AO1587" s="9"/>
      <c r="AP1587" s="14"/>
    </row>
    <row r="1588" spans="1:42" s="45" customFormat="1" ht="22" customHeight="1">
      <c r="A1588" s="14" t="s">
        <v>17</v>
      </c>
      <c r="B1588" s="8">
        <v>2024</v>
      </c>
      <c r="C1588" s="8" t="s">
        <v>24</v>
      </c>
      <c r="D1588" s="9" t="s">
        <v>185</v>
      </c>
      <c r="E1588" s="9" t="s">
        <v>115</v>
      </c>
      <c r="F1588" s="9" t="s">
        <v>434</v>
      </c>
      <c r="G1588" s="8"/>
      <c r="H1588" s="8"/>
      <c r="I1588" s="9" t="s">
        <v>435</v>
      </c>
      <c r="J1588" s="14" t="s">
        <v>14</v>
      </c>
      <c r="K1588" s="9" t="s">
        <v>435</v>
      </c>
      <c r="L1588" s="9" t="s">
        <v>209</v>
      </c>
      <c r="M1588" s="9" t="s">
        <v>99</v>
      </c>
      <c r="N1588" s="9" t="s">
        <v>436</v>
      </c>
      <c r="O1588" s="9" t="s">
        <v>555</v>
      </c>
      <c r="P1588" s="9" t="s">
        <v>561</v>
      </c>
      <c r="Q1588" s="11">
        <v>0</v>
      </c>
      <c r="R1588" s="11"/>
      <c r="S1588" s="11">
        <v>0</v>
      </c>
      <c r="T1588" s="9"/>
      <c r="U1588" s="14" t="s">
        <v>77</v>
      </c>
      <c r="V1588" s="9"/>
      <c r="W1588" s="12">
        <v>0</v>
      </c>
      <c r="X1588" s="13"/>
      <c r="Y1588" s="13"/>
      <c r="Z1588" s="13"/>
      <c r="AA1588" s="13"/>
      <c r="AB1588" s="13"/>
      <c r="AC1588" s="13"/>
      <c r="AD1588" s="13"/>
      <c r="AE1588" s="13">
        <v>0</v>
      </c>
      <c r="AF1588" s="13"/>
      <c r="AG1588" s="13"/>
      <c r="AH1588" s="13"/>
      <c r="AI1588" s="13"/>
      <c r="AJ1588" s="13">
        <f t="shared" si="206"/>
        <v>0</v>
      </c>
      <c r="AK1588" s="12"/>
      <c r="AL1588" s="13"/>
      <c r="AM1588" s="9"/>
      <c r="AN1588" s="9"/>
      <c r="AO1588" s="9"/>
      <c r="AP1588" s="14"/>
    </row>
    <row r="1589" spans="1:42" s="45" customFormat="1" ht="22" customHeight="1">
      <c r="A1589" s="14" t="s">
        <v>17</v>
      </c>
      <c r="B1589" s="8">
        <v>2024</v>
      </c>
      <c r="C1589" s="8" t="s">
        <v>24</v>
      </c>
      <c r="D1589" s="9" t="s">
        <v>185</v>
      </c>
      <c r="E1589" s="9" t="s">
        <v>115</v>
      </c>
      <c r="F1589" s="9" t="s">
        <v>434</v>
      </c>
      <c r="G1589" s="8"/>
      <c r="H1589" s="8"/>
      <c r="I1589" s="9" t="s">
        <v>435</v>
      </c>
      <c r="J1589" s="14" t="s">
        <v>14</v>
      </c>
      <c r="K1589" s="9" t="s">
        <v>435</v>
      </c>
      <c r="L1589" s="9" t="s">
        <v>209</v>
      </c>
      <c r="M1589" s="9" t="s">
        <v>99</v>
      </c>
      <c r="N1589" s="9" t="s">
        <v>436</v>
      </c>
      <c r="O1589" s="9" t="s">
        <v>555</v>
      </c>
      <c r="P1589" s="9" t="s">
        <v>562</v>
      </c>
      <c r="Q1589" s="11">
        <v>0</v>
      </c>
      <c r="R1589" s="11"/>
      <c r="S1589" s="11">
        <v>0</v>
      </c>
      <c r="T1589" s="9"/>
      <c r="U1589" s="14" t="s">
        <v>77</v>
      </c>
      <c r="V1589" s="9"/>
      <c r="W1589" s="12">
        <v>0</v>
      </c>
      <c r="X1589" s="13"/>
      <c r="Y1589" s="13"/>
      <c r="Z1589" s="13"/>
      <c r="AA1589" s="13"/>
      <c r="AB1589" s="13"/>
      <c r="AC1589" s="13"/>
      <c r="AD1589" s="13"/>
      <c r="AE1589" s="13">
        <v>0</v>
      </c>
      <c r="AF1589" s="13"/>
      <c r="AG1589" s="13"/>
      <c r="AH1589" s="13"/>
      <c r="AI1589" s="13"/>
      <c r="AJ1589" s="13">
        <f t="shared" si="206"/>
        <v>0</v>
      </c>
      <c r="AK1589" s="12"/>
      <c r="AL1589" s="13"/>
      <c r="AM1589" s="9"/>
      <c r="AN1589" s="9"/>
      <c r="AO1589" s="9"/>
      <c r="AP1589" s="14"/>
    </row>
    <row r="1590" spans="1:42" s="45" customFormat="1" ht="22" customHeight="1">
      <c r="A1590" s="14" t="s">
        <v>17</v>
      </c>
      <c r="B1590" s="8">
        <v>2024</v>
      </c>
      <c r="C1590" s="8" t="s">
        <v>24</v>
      </c>
      <c r="D1590" s="9" t="s">
        <v>185</v>
      </c>
      <c r="E1590" s="9" t="s">
        <v>115</v>
      </c>
      <c r="F1590" s="9" t="s">
        <v>434</v>
      </c>
      <c r="G1590" s="8"/>
      <c r="H1590" s="8"/>
      <c r="I1590" s="9" t="s">
        <v>435</v>
      </c>
      <c r="J1590" s="14" t="s">
        <v>14</v>
      </c>
      <c r="K1590" s="9" t="s">
        <v>435</v>
      </c>
      <c r="L1590" s="9" t="s">
        <v>209</v>
      </c>
      <c r="M1590" s="9" t="s">
        <v>99</v>
      </c>
      <c r="N1590" s="9" t="s">
        <v>436</v>
      </c>
      <c r="O1590" s="9" t="s">
        <v>555</v>
      </c>
      <c r="P1590" s="9" t="s">
        <v>226</v>
      </c>
      <c r="Q1590" s="11">
        <v>0</v>
      </c>
      <c r="R1590" s="11"/>
      <c r="S1590" s="11">
        <v>0</v>
      </c>
      <c r="T1590" s="9"/>
      <c r="U1590" s="14" t="s">
        <v>77</v>
      </c>
      <c r="V1590" s="9"/>
      <c r="W1590" s="12">
        <v>0</v>
      </c>
      <c r="X1590" s="13"/>
      <c r="Y1590" s="13"/>
      <c r="Z1590" s="13"/>
      <c r="AA1590" s="13"/>
      <c r="AB1590" s="13"/>
      <c r="AC1590" s="13"/>
      <c r="AD1590" s="13"/>
      <c r="AE1590" s="13">
        <v>0</v>
      </c>
      <c r="AF1590" s="13"/>
      <c r="AG1590" s="13"/>
      <c r="AH1590" s="13"/>
      <c r="AI1590" s="13"/>
      <c r="AJ1590" s="13">
        <f t="shared" si="206"/>
        <v>0</v>
      </c>
      <c r="AK1590" s="12"/>
      <c r="AL1590" s="13"/>
      <c r="AM1590" s="9"/>
      <c r="AN1590" s="9"/>
      <c r="AO1590" s="9"/>
      <c r="AP1590" s="14"/>
    </row>
    <row r="1591" spans="1:42" s="45" customFormat="1" ht="22" customHeight="1">
      <c r="A1591" s="14" t="s">
        <v>17</v>
      </c>
      <c r="B1591" s="8">
        <v>2024</v>
      </c>
      <c r="C1591" s="8" t="s">
        <v>24</v>
      </c>
      <c r="D1591" s="9" t="s">
        <v>185</v>
      </c>
      <c r="E1591" s="9" t="s">
        <v>115</v>
      </c>
      <c r="F1591" s="9" t="s">
        <v>434</v>
      </c>
      <c r="G1591" s="8"/>
      <c r="H1591" s="8"/>
      <c r="I1591" s="9" t="s">
        <v>435</v>
      </c>
      <c r="J1591" s="14" t="s">
        <v>14</v>
      </c>
      <c r="K1591" s="9" t="s">
        <v>435</v>
      </c>
      <c r="L1591" s="9" t="s">
        <v>209</v>
      </c>
      <c r="M1591" s="9" t="s">
        <v>99</v>
      </c>
      <c r="N1591" s="9" t="s">
        <v>436</v>
      </c>
      <c r="O1591" s="9" t="s">
        <v>555</v>
      </c>
      <c r="P1591" s="9" t="s">
        <v>563</v>
      </c>
      <c r="Q1591" s="11">
        <v>0</v>
      </c>
      <c r="R1591" s="11"/>
      <c r="S1591" s="11">
        <v>0</v>
      </c>
      <c r="T1591" s="9"/>
      <c r="U1591" s="14" t="s">
        <v>77</v>
      </c>
      <c r="V1591" s="9"/>
      <c r="W1591" s="12">
        <v>0</v>
      </c>
      <c r="X1591" s="13"/>
      <c r="Y1591" s="13"/>
      <c r="Z1591" s="13"/>
      <c r="AA1591" s="13"/>
      <c r="AB1591" s="13"/>
      <c r="AC1591" s="13"/>
      <c r="AD1591" s="13"/>
      <c r="AE1591" s="13">
        <v>0</v>
      </c>
      <c r="AF1591" s="13"/>
      <c r="AG1591" s="13"/>
      <c r="AH1591" s="13"/>
      <c r="AI1591" s="13"/>
      <c r="AJ1591" s="13">
        <f t="shared" si="206"/>
        <v>0</v>
      </c>
      <c r="AK1591" s="12"/>
      <c r="AL1591" s="13"/>
      <c r="AM1591" s="9"/>
      <c r="AN1591" s="9"/>
      <c r="AO1591" s="9"/>
      <c r="AP1591" s="14"/>
    </row>
    <row r="1592" spans="1:42" s="45" customFormat="1" ht="22" customHeight="1">
      <c r="A1592" s="14" t="s">
        <v>17</v>
      </c>
      <c r="B1592" s="8">
        <v>2024</v>
      </c>
      <c r="C1592" s="8" t="s">
        <v>24</v>
      </c>
      <c r="D1592" s="9" t="s">
        <v>185</v>
      </c>
      <c r="E1592" s="9" t="s">
        <v>115</v>
      </c>
      <c r="F1592" s="9" t="s">
        <v>434</v>
      </c>
      <c r="G1592" s="8"/>
      <c r="H1592" s="8"/>
      <c r="I1592" s="9" t="s">
        <v>435</v>
      </c>
      <c r="J1592" s="14" t="s">
        <v>14</v>
      </c>
      <c r="K1592" s="9" t="s">
        <v>435</v>
      </c>
      <c r="L1592" s="9" t="s">
        <v>209</v>
      </c>
      <c r="M1592" s="9" t="s">
        <v>99</v>
      </c>
      <c r="N1592" s="9" t="s">
        <v>436</v>
      </c>
      <c r="O1592" s="9" t="s">
        <v>555</v>
      </c>
      <c r="P1592" s="9" t="s">
        <v>564</v>
      </c>
      <c r="Q1592" s="11">
        <v>0</v>
      </c>
      <c r="R1592" s="11"/>
      <c r="S1592" s="11">
        <v>0</v>
      </c>
      <c r="T1592" s="9"/>
      <c r="U1592" s="14" t="s">
        <v>77</v>
      </c>
      <c r="V1592" s="9"/>
      <c r="W1592" s="12">
        <v>0</v>
      </c>
      <c r="X1592" s="13"/>
      <c r="Y1592" s="13"/>
      <c r="Z1592" s="13"/>
      <c r="AA1592" s="13"/>
      <c r="AB1592" s="13"/>
      <c r="AC1592" s="13"/>
      <c r="AD1592" s="13"/>
      <c r="AE1592" s="13">
        <v>0</v>
      </c>
      <c r="AF1592" s="13"/>
      <c r="AG1592" s="13"/>
      <c r="AH1592" s="13"/>
      <c r="AI1592" s="13"/>
      <c r="AJ1592" s="13">
        <f t="shared" si="206"/>
        <v>0</v>
      </c>
      <c r="AK1592" s="12"/>
      <c r="AL1592" s="13"/>
      <c r="AM1592" s="9"/>
      <c r="AN1592" s="9"/>
      <c r="AO1592" s="9"/>
      <c r="AP1592" s="14"/>
    </row>
    <row r="1593" spans="1:42" s="45" customFormat="1" ht="22" customHeight="1">
      <c r="A1593" s="14" t="s">
        <v>17</v>
      </c>
      <c r="B1593" s="8">
        <v>2024</v>
      </c>
      <c r="C1593" s="8" t="s">
        <v>24</v>
      </c>
      <c r="D1593" s="9" t="s">
        <v>185</v>
      </c>
      <c r="E1593" s="9" t="s">
        <v>115</v>
      </c>
      <c r="F1593" s="9" t="s">
        <v>434</v>
      </c>
      <c r="G1593" s="8"/>
      <c r="H1593" s="8"/>
      <c r="I1593" s="9" t="s">
        <v>435</v>
      </c>
      <c r="J1593" s="14" t="s">
        <v>14</v>
      </c>
      <c r="K1593" s="9" t="s">
        <v>435</v>
      </c>
      <c r="L1593" s="9" t="s">
        <v>209</v>
      </c>
      <c r="M1593" s="9" t="s">
        <v>99</v>
      </c>
      <c r="N1593" s="9" t="s">
        <v>436</v>
      </c>
      <c r="O1593" s="9" t="s">
        <v>555</v>
      </c>
      <c r="P1593" s="9" t="s">
        <v>565</v>
      </c>
      <c r="Q1593" s="11">
        <v>0</v>
      </c>
      <c r="R1593" s="11"/>
      <c r="S1593" s="11">
        <v>0</v>
      </c>
      <c r="T1593" s="9"/>
      <c r="U1593" s="14" t="s">
        <v>77</v>
      </c>
      <c r="V1593" s="9"/>
      <c r="W1593" s="12">
        <v>0</v>
      </c>
      <c r="X1593" s="13"/>
      <c r="Y1593" s="13"/>
      <c r="Z1593" s="13"/>
      <c r="AA1593" s="13"/>
      <c r="AB1593" s="13"/>
      <c r="AC1593" s="13"/>
      <c r="AD1593" s="13"/>
      <c r="AE1593" s="13">
        <v>0</v>
      </c>
      <c r="AF1593" s="13"/>
      <c r="AG1593" s="13"/>
      <c r="AH1593" s="13"/>
      <c r="AI1593" s="13"/>
      <c r="AJ1593" s="13">
        <f t="shared" si="206"/>
        <v>0</v>
      </c>
      <c r="AK1593" s="12"/>
      <c r="AL1593" s="13"/>
      <c r="AM1593" s="9"/>
      <c r="AN1593" s="9"/>
      <c r="AO1593" s="9"/>
      <c r="AP1593" s="14"/>
    </row>
    <row r="1594" spans="1:42" s="45" customFormat="1" ht="22" customHeight="1">
      <c r="A1594" s="14" t="s">
        <v>17</v>
      </c>
      <c r="B1594" s="8">
        <v>2024</v>
      </c>
      <c r="C1594" s="8" t="s">
        <v>24</v>
      </c>
      <c r="D1594" s="9" t="s">
        <v>185</v>
      </c>
      <c r="E1594" s="9" t="s">
        <v>115</v>
      </c>
      <c r="F1594" s="9" t="s">
        <v>434</v>
      </c>
      <c r="G1594" s="8"/>
      <c r="H1594" s="8"/>
      <c r="I1594" s="9" t="s">
        <v>435</v>
      </c>
      <c r="J1594" s="14" t="s">
        <v>14</v>
      </c>
      <c r="K1594" s="9" t="s">
        <v>435</v>
      </c>
      <c r="L1594" s="9" t="s">
        <v>209</v>
      </c>
      <c r="M1594" s="9" t="s">
        <v>130</v>
      </c>
      <c r="N1594" s="9" t="s">
        <v>436</v>
      </c>
      <c r="O1594" s="9" t="s">
        <v>130</v>
      </c>
      <c r="P1594" s="9" t="s">
        <v>566</v>
      </c>
      <c r="Q1594" s="11">
        <v>800</v>
      </c>
      <c r="R1594" s="11"/>
      <c r="S1594" s="11">
        <v>800</v>
      </c>
      <c r="T1594" s="9"/>
      <c r="U1594" s="14" t="s">
        <v>77</v>
      </c>
      <c r="V1594" s="9"/>
      <c r="W1594" s="12">
        <v>60</v>
      </c>
      <c r="X1594" s="13"/>
      <c r="Y1594" s="13"/>
      <c r="Z1594" s="13"/>
      <c r="AA1594" s="13"/>
      <c r="AB1594" s="13"/>
      <c r="AC1594" s="13"/>
      <c r="AD1594" s="13"/>
      <c r="AE1594" s="13">
        <v>4.8</v>
      </c>
      <c r="AF1594" s="13"/>
      <c r="AG1594" s="13"/>
      <c r="AH1594" s="13"/>
      <c r="AI1594" s="13"/>
      <c r="AJ1594" s="13">
        <f t="shared" si="206"/>
        <v>4.8</v>
      </c>
      <c r="AK1594" s="12"/>
      <c r="AL1594" s="13"/>
      <c r="AM1594" s="9"/>
      <c r="AN1594" s="9"/>
      <c r="AO1594" s="9"/>
      <c r="AP1594" s="14"/>
    </row>
    <row r="1595" spans="1:42" s="45" customFormat="1" ht="22" customHeight="1">
      <c r="A1595" s="14" t="s">
        <v>17</v>
      </c>
      <c r="B1595" s="8">
        <v>2024</v>
      </c>
      <c r="C1595" s="8" t="s">
        <v>24</v>
      </c>
      <c r="D1595" s="9" t="s">
        <v>185</v>
      </c>
      <c r="E1595" s="9" t="s">
        <v>115</v>
      </c>
      <c r="F1595" s="9" t="s">
        <v>434</v>
      </c>
      <c r="G1595" s="8"/>
      <c r="H1595" s="8"/>
      <c r="I1595" s="9" t="s">
        <v>435</v>
      </c>
      <c r="J1595" s="14" t="s">
        <v>14</v>
      </c>
      <c r="K1595" s="9" t="s">
        <v>435</v>
      </c>
      <c r="L1595" s="9" t="s">
        <v>209</v>
      </c>
      <c r="M1595" s="9" t="s">
        <v>99</v>
      </c>
      <c r="N1595" s="9" t="s">
        <v>436</v>
      </c>
      <c r="O1595" s="9" t="s">
        <v>567</v>
      </c>
      <c r="P1595" s="9" t="s">
        <v>568</v>
      </c>
      <c r="Q1595" s="11">
        <v>38</v>
      </c>
      <c r="R1595" s="11"/>
      <c r="S1595" s="11">
        <f>+Q1595</f>
        <v>38</v>
      </c>
      <c r="T1595" s="9"/>
      <c r="U1595" s="14" t="s">
        <v>77</v>
      </c>
      <c r="V1595" s="9"/>
      <c r="W1595" s="12">
        <v>90</v>
      </c>
      <c r="X1595" s="13"/>
      <c r="Y1595" s="13"/>
      <c r="Z1595" s="13"/>
      <c r="AA1595" s="13"/>
      <c r="AB1595" s="13"/>
      <c r="AC1595" s="13"/>
      <c r="AD1595" s="13"/>
      <c r="AE1595" s="13">
        <v>4.4999999999999998E-2</v>
      </c>
      <c r="AF1595" s="13"/>
      <c r="AG1595" s="13"/>
      <c r="AH1595" s="13"/>
      <c r="AI1595" s="13"/>
      <c r="AJ1595" s="13">
        <f t="shared" si="206"/>
        <v>4.4999999999999998E-2</v>
      </c>
      <c r="AK1595" s="12"/>
      <c r="AL1595" s="13"/>
      <c r="AM1595" s="9"/>
      <c r="AN1595" s="9"/>
      <c r="AO1595" s="9"/>
      <c r="AP1595" s="14"/>
    </row>
    <row r="1596" spans="1:42" s="45" customFormat="1" ht="22" customHeight="1">
      <c r="A1596" s="14" t="s">
        <v>17</v>
      </c>
      <c r="B1596" s="8">
        <v>2024</v>
      </c>
      <c r="C1596" s="8" t="s">
        <v>24</v>
      </c>
      <c r="D1596" s="9" t="s">
        <v>185</v>
      </c>
      <c r="E1596" s="9" t="s">
        <v>115</v>
      </c>
      <c r="F1596" s="9" t="s">
        <v>434</v>
      </c>
      <c r="G1596" s="8"/>
      <c r="H1596" s="8"/>
      <c r="I1596" s="9" t="s">
        <v>435</v>
      </c>
      <c r="J1596" s="14" t="s">
        <v>14</v>
      </c>
      <c r="K1596" s="9" t="s">
        <v>435</v>
      </c>
      <c r="L1596" s="9" t="s">
        <v>209</v>
      </c>
      <c r="M1596" s="9" t="s">
        <v>99</v>
      </c>
      <c r="N1596" s="9" t="s">
        <v>436</v>
      </c>
      <c r="O1596" s="9" t="s">
        <v>567</v>
      </c>
      <c r="P1596" s="9" t="s">
        <v>569</v>
      </c>
      <c r="Q1596" s="11">
        <v>16</v>
      </c>
      <c r="R1596" s="11"/>
      <c r="S1596" s="11">
        <f t="shared" ref="S1596:S1604" si="207">+Q1596</f>
        <v>16</v>
      </c>
      <c r="T1596" s="9"/>
      <c r="U1596" s="14" t="s">
        <v>77</v>
      </c>
      <c r="V1596" s="9"/>
      <c r="W1596" s="12">
        <v>90</v>
      </c>
      <c r="X1596" s="13"/>
      <c r="Y1596" s="13"/>
      <c r="Z1596" s="13"/>
      <c r="AA1596" s="13"/>
      <c r="AB1596" s="13"/>
      <c r="AC1596" s="13"/>
      <c r="AD1596" s="13"/>
      <c r="AE1596" s="13">
        <v>7.4999999999999997E-2</v>
      </c>
      <c r="AF1596" s="13"/>
      <c r="AG1596" s="13"/>
      <c r="AH1596" s="13"/>
      <c r="AI1596" s="13"/>
      <c r="AJ1596" s="13">
        <f t="shared" si="206"/>
        <v>7.4999999999999997E-2</v>
      </c>
      <c r="AK1596" s="12"/>
      <c r="AL1596" s="13"/>
      <c r="AM1596" s="9"/>
      <c r="AN1596" s="9"/>
      <c r="AO1596" s="9"/>
      <c r="AP1596" s="14"/>
    </row>
    <row r="1597" spans="1:42" s="45" customFormat="1" ht="22" customHeight="1">
      <c r="A1597" s="14" t="s">
        <v>17</v>
      </c>
      <c r="B1597" s="8">
        <v>2024</v>
      </c>
      <c r="C1597" s="8" t="s">
        <v>24</v>
      </c>
      <c r="D1597" s="9" t="s">
        <v>185</v>
      </c>
      <c r="E1597" s="9" t="s">
        <v>115</v>
      </c>
      <c r="F1597" s="9" t="s">
        <v>434</v>
      </c>
      <c r="G1597" s="8"/>
      <c r="H1597" s="8"/>
      <c r="I1597" s="9" t="s">
        <v>435</v>
      </c>
      <c r="J1597" s="14" t="s">
        <v>14</v>
      </c>
      <c r="K1597" s="9" t="s">
        <v>435</v>
      </c>
      <c r="L1597" s="9" t="s">
        <v>209</v>
      </c>
      <c r="M1597" s="9" t="s">
        <v>99</v>
      </c>
      <c r="N1597" s="9" t="s">
        <v>436</v>
      </c>
      <c r="O1597" s="9" t="s">
        <v>567</v>
      </c>
      <c r="P1597" s="9" t="s">
        <v>570</v>
      </c>
      <c r="Q1597" s="11">
        <v>14</v>
      </c>
      <c r="R1597" s="11"/>
      <c r="S1597" s="11">
        <f t="shared" si="207"/>
        <v>14</v>
      </c>
      <c r="T1597" s="9"/>
      <c r="U1597" s="14" t="s">
        <v>77</v>
      </c>
      <c r="V1597" s="9"/>
      <c r="W1597" s="12">
        <v>90</v>
      </c>
      <c r="X1597" s="13"/>
      <c r="Y1597" s="13"/>
      <c r="Z1597" s="13"/>
      <c r="AA1597" s="13"/>
      <c r="AB1597" s="13"/>
      <c r="AC1597" s="13"/>
      <c r="AD1597" s="13"/>
      <c r="AE1597" s="13">
        <v>0.09</v>
      </c>
      <c r="AF1597" s="13"/>
      <c r="AG1597" s="13"/>
      <c r="AH1597" s="13"/>
      <c r="AI1597" s="13"/>
      <c r="AJ1597" s="13">
        <f t="shared" si="206"/>
        <v>0.09</v>
      </c>
      <c r="AK1597" s="12"/>
      <c r="AL1597" s="13"/>
      <c r="AM1597" s="9"/>
      <c r="AN1597" s="9"/>
      <c r="AO1597" s="9"/>
      <c r="AP1597" s="14"/>
    </row>
    <row r="1598" spans="1:42" s="45" customFormat="1" ht="22" customHeight="1">
      <c r="A1598" s="14" t="s">
        <v>17</v>
      </c>
      <c r="B1598" s="8">
        <v>2024</v>
      </c>
      <c r="C1598" s="8" t="s">
        <v>24</v>
      </c>
      <c r="D1598" s="9" t="s">
        <v>185</v>
      </c>
      <c r="E1598" s="9" t="s">
        <v>115</v>
      </c>
      <c r="F1598" s="9" t="s">
        <v>434</v>
      </c>
      <c r="G1598" s="8"/>
      <c r="H1598" s="8"/>
      <c r="I1598" s="9" t="s">
        <v>435</v>
      </c>
      <c r="J1598" s="14" t="s">
        <v>14</v>
      </c>
      <c r="K1598" s="9" t="s">
        <v>435</v>
      </c>
      <c r="L1598" s="9" t="s">
        <v>209</v>
      </c>
      <c r="M1598" s="9" t="s">
        <v>99</v>
      </c>
      <c r="N1598" s="9" t="s">
        <v>436</v>
      </c>
      <c r="O1598" s="9" t="s">
        <v>567</v>
      </c>
      <c r="P1598" s="9" t="s">
        <v>571</v>
      </c>
      <c r="Q1598" s="11">
        <v>25</v>
      </c>
      <c r="R1598" s="11"/>
      <c r="S1598" s="11">
        <f t="shared" si="207"/>
        <v>25</v>
      </c>
      <c r="T1598" s="9"/>
      <c r="U1598" s="14" t="s">
        <v>77</v>
      </c>
      <c r="V1598" s="9"/>
      <c r="W1598" s="12">
        <v>90</v>
      </c>
      <c r="X1598" s="13"/>
      <c r="Y1598" s="13"/>
      <c r="Z1598" s="13"/>
      <c r="AA1598" s="13"/>
      <c r="AB1598" s="13"/>
      <c r="AC1598" s="13"/>
      <c r="AD1598" s="13"/>
      <c r="AE1598" s="13">
        <v>0.06</v>
      </c>
      <c r="AF1598" s="13"/>
      <c r="AG1598" s="13"/>
      <c r="AH1598" s="13"/>
      <c r="AI1598" s="13"/>
      <c r="AJ1598" s="13">
        <f t="shared" si="206"/>
        <v>0.06</v>
      </c>
      <c r="AK1598" s="12"/>
      <c r="AL1598" s="13"/>
      <c r="AM1598" s="9"/>
      <c r="AN1598" s="9"/>
      <c r="AO1598" s="9"/>
      <c r="AP1598" s="14"/>
    </row>
    <row r="1599" spans="1:42" s="45" customFormat="1" ht="22" customHeight="1">
      <c r="A1599" s="14" t="s">
        <v>17</v>
      </c>
      <c r="B1599" s="8">
        <v>2024</v>
      </c>
      <c r="C1599" s="8" t="s">
        <v>24</v>
      </c>
      <c r="D1599" s="9" t="s">
        <v>185</v>
      </c>
      <c r="E1599" s="9" t="s">
        <v>115</v>
      </c>
      <c r="F1599" s="9" t="s">
        <v>434</v>
      </c>
      <c r="G1599" s="8"/>
      <c r="H1599" s="8"/>
      <c r="I1599" s="9" t="s">
        <v>435</v>
      </c>
      <c r="J1599" s="14" t="s">
        <v>14</v>
      </c>
      <c r="K1599" s="9" t="s">
        <v>435</v>
      </c>
      <c r="L1599" s="9" t="s">
        <v>209</v>
      </c>
      <c r="M1599" s="9" t="s">
        <v>99</v>
      </c>
      <c r="N1599" s="9" t="s">
        <v>436</v>
      </c>
      <c r="O1599" s="9" t="s">
        <v>567</v>
      </c>
      <c r="P1599" s="9" t="s">
        <v>567</v>
      </c>
      <c r="Q1599" s="11">
        <v>30</v>
      </c>
      <c r="R1599" s="11"/>
      <c r="S1599" s="11">
        <f t="shared" si="207"/>
        <v>30</v>
      </c>
      <c r="T1599" s="9"/>
      <c r="U1599" s="14" t="s">
        <v>77</v>
      </c>
      <c r="V1599" s="9"/>
      <c r="W1599" s="12">
        <v>90</v>
      </c>
      <c r="X1599" s="13"/>
      <c r="Y1599" s="13"/>
      <c r="Z1599" s="13"/>
      <c r="AA1599" s="13"/>
      <c r="AB1599" s="13"/>
      <c r="AC1599" s="13"/>
      <c r="AD1599" s="13"/>
      <c r="AE1599" s="13">
        <v>0.09</v>
      </c>
      <c r="AF1599" s="13"/>
      <c r="AG1599" s="13"/>
      <c r="AH1599" s="13"/>
      <c r="AI1599" s="13"/>
      <c r="AJ1599" s="13">
        <f t="shared" si="206"/>
        <v>0.09</v>
      </c>
      <c r="AK1599" s="12"/>
      <c r="AL1599" s="13"/>
      <c r="AM1599" s="9"/>
      <c r="AN1599" s="9"/>
      <c r="AO1599" s="9"/>
      <c r="AP1599" s="14"/>
    </row>
    <row r="1600" spans="1:42" s="45" customFormat="1" ht="22" customHeight="1">
      <c r="A1600" s="14" t="s">
        <v>17</v>
      </c>
      <c r="B1600" s="8">
        <v>2024</v>
      </c>
      <c r="C1600" s="8" t="s">
        <v>24</v>
      </c>
      <c r="D1600" s="9" t="s">
        <v>185</v>
      </c>
      <c r="E1600" s="9" t="s">
        <v>115</v>
      </c>
      <c r="F1600" s="9" t="s">
        <v>434</v>
      </c>
      <c r="G1600" s="8"/>
      <c r="H1600" s="8"/>
      <c r="I1600" s="9" t="s">
        <v>435</v>
      </c>
      <c r="J1600" s="14" t="s">
        <v>14</v>
      </c>
      <c r="K1600" s="9" t="s">
        <v>435</v>
      </c>
      <c r="L1600" s="9" t="s">
        <v>209</v>
      </c>
      <c r="M1600" s="9" t="s">
        <v>99</v>
      </c>
      <c r="N1600" s="9" t="s">
        <v>436</v>
      </c>
      <c r="O1600" s="9" t="s">
        <v>567</v>
      </c>
      <c r="P1600" s="9" t="s">
        <v>388</v>
      </c>
      <c r="Q1600" s="11">
        <v>19</v>
      </c>
      <c r="R1600" s="11"/>
      <c r="S1600" s="11">
        <f t="shared" si="207"/>
        <v>19</v>
      </c>
      <c r="T1600" s="9"/>
      <c r="U1600" s="14" t="s">
        <v>77</v>
      </c>
      <c r="V1600" s="9"/>
      <c r="W1600" s="12">
        <v>90</v>
      </c>
      <c r="X1600" s="13"/>
      <c r="Y1600" s="13"/>
      <c r="Z1600" s="13"/>
      <c r="AA1600" s="13"/>
      <c r="AB1600" s="13"/>
      <c r="AC1600" s="13"/>
      <c r="AD1600" s="13"/>
      <c r="AE1600" s="13">
        <v>7.4999999999999997E-2</v>
      </c>
      <c r="AF1600" s="13"/>
      <c r="AG1600" s="13"/>
      <c r="AH1600" s="13"/>
      <c r="AI1600" s="13"/>
      <c r="AJ1600" s="13">
        <f t="shared" si="206"/>
        <v>7.4999999999999997E-2</v>
      </c>
      <c r="AK1600" s="12"/>
      <c r="AL1600" s="13"/>
      <c r="AM1600" s="9"/>
      <c r="AN1600" s="9"/>
      <c r="AO1600" s="9"/>
      <c r="AP1600" s="14"/>
    </row>
    <row r="1601" spans="1:42" s="45" customFormat="1" ht="22" customHeight="1">
      <c r="A1601" s="14" t="s">
        <v>17</v>
      </c>
      <c r="B1601" s="8">
        <v>2024</v>
      </c>
      <c r="C1601" s="8" t="s">
        <v>24</v>
      </c>
      <c r="D1601" s="9" t="s">
        <v>185</v>
      </c>
      <c r="E1601" s="9" t="s">
        <v>115</v>
      </c>
      <c r="F1601" s="9" t="s">
        <v>434</v>
      </c>
      <c r="G1601" s="8"/>
      <c r="H1601" s="8"/>
      <c r="I1601" s="9" t="s">
        <v>435</v>
      </c>
      <c r="J1601" s="14" t="s">
        <v>14</v>
      </c>
      <c r="K1601" s="9" t="s">
        <v>435</v>
      </c>
      <c r="L1601" s="9" t="s">
        <v>209</v>
      </c>
      <c r="M1601" s="9" t="s">
        <v>99</v>
      </c>
      <c r="N1601" s="9" t="s">
        <v>436</v>
      </c>
      <c r="O1601" s="9" t="s">
        <v>567</v>
      </c>
      <c r="P1601" s="9" t="s">
        <v>572</v>
      </c>
      <c r="Q1601" s="11">
        <v>31</v>
      </c>
      <c r="R1601" s="11"/>
      <c r="S1601" s="11">
        <f t="shared" si="207"/>
        <v>31</v>
      </c>
      <c r="T1601" s="9"/>
      <c r="U1601" s="14" t="s">
        <v>77</v>
      </c>
      <c r="V1601" s="9"/>
      <c r="W1601" s="12">
        <v>90</v>
      </c>
      <c r="X1601" s="13"/>
      <c r="Y1601" s="13"/>
      <c r="Z1601" s="13"/>
      <c r="AA1601" s="13"/>
      <c r="AB1601" s="13"/>
      <c r="AC1601" s="13"/>
      <c r="AD1601" s="13"/>
      <c r="AE1601" s="13">
        <v>0</v>
      </c>
      <c r="AF1601" s="13"/>
      <c r="AG1601" s="13"/>
      <c r="AH1601" s="13"/>
      <c r="AI1601" s="13"/>
      <c r="AJ1601" s="13">
        <f t="shared" si="206"/>
        <v>0</v>
      </c>
      <c r="AK1601" s="12"/>
      <c r="AL1601" s="13"/>
      <c r="AM1601" s="9"/>
      <c r="AN1601" s="9"/>
      <c r="AO1601" s="9"/>
      <c r="AP1601" s="14"/>
    </row>
    <row r="1602" spans="1:42" s="45" customFormat="1" ht="22" customHeight="1">
      <c r="A1602" s="14" t="s">
        <v>17</v>
      </c>
      <c r="B1602" s="8">
        <v>2024</v>
      </c>
      <c r="C1602" s="8" t="s">
        <v>24</v>
      </c>
      <c r="D1602" s="9" t="s">
        <v>185</v>
      </c>
      <c r="E1602" s="9" t="s">
        <v>115</v>
      </c>
      <c r="F1602" s="9" t="s">
        <v>434</v>
      </c>
      <c r="G1602" s="8"/>
      <c r="H1602" s="8"/>
      <c r="I1602" s="9" t="s">
        <v>435</v>
      </c>
      <c r="J1602" s="14" t="s">
        <v>14</v>
      </c>
      <c r="K1602" s="9" t="s">
        <v>435</v>
      </c>
      <c r="L1602" s="9" t="s">
        <v>209</v>
      </c>
      <c r="M1602" s="9" t="s">
        <v>99</v>
      </c>
      <c r="N1602" s="9" t="s">
        <v>436</v>
      </c>
      <c r="O1602" s="9" t="s">
        <v>567</v>
      </c>
      <c r="P1602" s="9" t="s">
        <v>573</v>
      </c>
      <c r="Q1602" s="11">
        <v>23</v>
      </c>
      <c r="R1602" s="11"/>
      <c r="S1602" s="11">
        <f t="shared" si="207"/>
        <v>23</v>
      </c>
      <c r="T1602" s="9"/>
      <c r="U1602" s="14" t="s">
        <v>77</v>
      </c>
      <c r="V1602" s="9"/>
      <c r="W1602" s="12">
        <v>90</v>
      </c>
      <c r="X1602" s="13"/>
      <c r="Y1602" s="13"/>
      <c r="Z1602" s="13"/>
      <c r="AA1602" s="13"/>
      <c r="AB1602" s="13"/>
      <c r="AC1602" s="13"/>
      <c r="AD1602" s="13"/>
      <c r="AE1602" s="13">
        <v>7.4999999999999997E-2</v>
      </c>
      <c r="AF1602" s="13"/>
      <c r="AG1602" s="13"/>
      <c r="AH1602" s="13"/>
      <c r="AI1602" s="13"/>
      <c r="AJ1602" s="13">
        <f t="shared" si="206"/>
        <v>7.4999999999999997E-2</v>
      </c>
      <c r="AK1602" s="12"/>
      <c r="AL1602" s="13"/>
      <c r="AM1602" s="9"/>
      <c r="AN1602" s="9"/>
      <c r="AO1602" s="9"/>
      <c r="AP1602" s="14"/>
    </row>
    <row r="1603" spans="1:42" s="45" customFormat="1" ht="22" customHeight="1">
      <c r="A1603" s="14" t="s">
        <v>17</v>
      </c>
      <c r="B1603" s="8">
        <v>2024</v>
      </c>
      <c r="C1603" s="8" t="s">
        <v>24</v>
      </c>
      <c r="D1603" s="9" t="s">
        <v>185</v>
      </c>
      <c r="E1603" s="9" t="s">
        <v>115</v>
      </c>
      <c r="F1603" s="9" t="s">
        <v>434</v>
      </c>
      <c r="G1603" s="8"/>
      <c r="H1603" s="8"/>
      <c r="I1603" s="9" t="s">
        <v>435</v>
      </c>
      <c r="J1603" s="14" t="s">
        <v>14</v>
      </c>
      <c r="K1603" s="9" t="s">
        <v>435</v>
      </c>
      <c r="L1603" s="9" t="s">
        <v>209</v>
      </c>
      <c r="M1603" s="9" t="s">
        <v>99</v>
      </c>
      <c r="N1603" s="9" t="s">
        <v>436</v>
      </c>
      <c r="O1603" s="9" t="s">
        <v>567</v>
      </c>
      <c r="P1603" s="9" t="s">
        <v>574</v>
      </c>
      <c r="Q1603" s="11">
        <v>0</v>
      </c>
      <c r="R1603" s="11"/>
      <c r="S1603" s="11">
        <f t="shared" si="207"/>
        <v>0</v>
      </c>
      <c r="T1603" s="9"/>
      <c r="U1603" s="14" t="s">
        <v>77</v>
      </c>
      <c r="V1603" s="9"/>
      <c r="W1603" s="12">
        <v>90</v>
      </c>
      <c r="X1603" s="13"/>
      <c r="Y1603" s="13"/>
      <c r="Z1603" s="13"/>
      <c r="AA1603" s="13"/>
      <c r="AB1603" s="13"/>
      <c r="AC1603" s="13"/>
      <c r="AD1603" s="13"/>
      <c r="AE1603" s="13">
        <v>0</v>
      </c>
      <c r="AF1603" s="13"/>
      <c r="AG1603" s="13"/>
      <c r="AH1603" s="13"/>
      <c r="AI1603" s="13"/>
      <c r="AJ1603" s="13">
        <f t="shared" si="206"/>
        <v>0</v>
      </c>
      <c r="AK1603" s="12"/>
      <c r="AL1603" s="13"/>
      <c r="AM1603" s="9"/>
      <c r="AN1603" s="9"/>
      <c r="AO1603" s="9"/>
      <c r="AP1603" s="14"/>
    </row>
    <row r="1604" spans="1:42" s="45" customFormat="1" ht="22" customHeight="1">
      <c r="A1604" s="14" t="s">
        <v>17</v>
      </c>
      <c r="B1604" s="8">
        <v>2024</v>
      </c>
      <c r="C1604" s="8" t="s">
        <v>24</v>
      </c>
      <c r="D1604" s="9" t="s">
        <v>185</v>
      </c>
      <c r="E1604" s="9" t="s">
        <v>115</v>
      </c>
      <c r="F1604" s="9" t="s">
        <v>434</v>
      </c>
      <c r="G1604" s="8"/>
      <c r="H1604" s="8"/>
      <c r="I1604" s="9" t="s">
        <v>435</v>
      </c>
      <c r="J1604" s="14" t="s">
        <v>14</v>
      </c>
      <c r="K1604" s="9" t="s">
        <v>435</v>
      </c>
      <c r="L1604" s="9" t="s">
        <v>209</v>
      </c>
      <c r="M1604" s="9" t="s">
        <v>99</v>
      </c>
      <c r="N1604" s="9" t="s">
        <v>436</v>
      </c>
      <c r="O1604" s="9" t="s">
        <v>567</v>
      </c>
      <c r="P1604" s="9" t="s">
        <v>575</v>
      </c>
      <c r="Q1604" s="11">
        <v>25</v>
      </c>
      <c r="R1604" s="11"/>
      <c r="S1604" s="11">
        <f t="shared" si="207"/>
        <v>25</v>
      </c>
      <c r="T1604" s="9"/>
      <c r="U1604" s="14" t="s">
        <v>77</v>
      </c>
      <c r="V1604" s="9"/>
      <c r="W1604" s="12">
        <v>90</v>
      </c>
      <c r="X1604" s="13"/>
      <c r="Y1604" s="13"/>
      <c r="Z1604" s="13"/>
      <c r="AA1604" s="13"/>
      <c r="AB1604" s="13"/>
      <c r="AC1604" s="13"/>
      <c r="AD1604" s="13"/>
      <c r="AE1604" s="13">
        <v>7.4999999999999997E-2</v>
      </c>
      <c r="AF1604" s="13"/>
      <c r="AG1604" s="13"/>
      <c r="AH1604" s="13"/>
      <c r="AI1604" s="13"/>
      <c r="AJ1604" s="13">
        <f t="shared" si="206"/>
        <v>7.4999999999999997E-2</v>
      </c>
      <c r="AK1604" s="12"/>
      <c r="AL1604" s="13"/>
      <c r="AM1604" s="9"/>
      <c r="AN1604" s="9"/>
      <c r="AO1604" s="9"/>
      <c r="AP1604" s="14"/>
    </row>
    <row r="1605" spans="1:42" s="45" customFormat="1" ht="22" customHeight="1">
      <c r="A1605" s="14" t="s">
        <v>17</v>
      </c>
      <c r="B1605" s="8">
        <v>2024</v>
      </c>
      <c r="C1605" s="8" t="s">
        <v>24</v>
      </c>
      <c r="D1605" s="9" t="s">
        <v>185</v>
      </c>
      <c r="E1605" s="9" t="s">
        <v>115</v>
      </c>
      <c r="F1605" s="9" t="s">
        <v>434</v>
      </c>
      <c r="G1605" s="8"/>
      <c r="H1605" s="8"/>
      <c r="I1605" s="9" t="s">
        <v>12</v>
      </c>
      <c r="J1605" s="9" t="s">
        <v>12</v>
      </c>
      <c r="K1605" s="9" t="s">
        <v>130</v>
      </c>
      <c r="L1605" s="9" t="s">
        <v>209</v>
      </c>
      <c r="M1605" s="14" t="s">
        <v>84</v>
      </c>
      <c r="N1605" s="9" t="s">
        <v>436</v>
      </c>
      <c r="O1605" s="9" t="s">
        <v>576</v>
      </c>
      <c r="P1605" s="9" t="s">
        <v>460</v>
      </c>
      <c r="Q1605" s="11"/>
      <c r="R1605" s="11"/>
      <c r="S1605" s="11">
        <v>0</v>
      </c>
      <c r="T1605" s="9"/>
      <c r="U1605" s="14" t="s">
        <v>77</v>
      </c>
      <c r="V1605" s="9"/>
      <c r="W1605" s="12"/>
      <c r="X1605" s="13"/>
      <c r="Y1605" s="13"/>
      <c r="Z1605" s="13"/>
      <c r="AA1605" s="13"/>
      <c r="AB1605" s="13"/>
      <c r="AC1605" s="13"/>
      <c r="AD1605" s="13"/>
      <c r="AE1605" s="13">
        <v>0</v>
      </c>
      <c r="AF1605" s="13"/>
      <c r="AG1605" s="13"/>
      <c r="AH1605" s="13"/>
      <c r="AI1605" s="13"/>
      <c r="AJ1605" s="13">
        <f t="shared" si="206"/>
        <v>0</v>
      </c>
      <c r="AK1605" s="12"/>
      <c r="AL1605" s="13"/>
      <c r="AM1605" s="9"/>
      <c r="AN1605" s="9"/>
      <c r="AO1605" s="9"/>
      <c r="AP1605" s="14"/>
    </row>
    <row r="1606" spans="1:42" s="45" customFormat="1" ht="22" customHeight="1">
      <c r="A1606" s="14" t="s">
        <v>17</v>
      </c>
      <c r="B1606" s="8">
        <v>2024</v>
      </c>
      <c r="C1606" s="8" t="s">
        <v>24</v>
      </c>
      <c r="D1606" s="9" t="s">
        <v>185</v>
      </c>
      <c r="E1606" s="9" t="s">
        <v>115</v>
      </c>
      <c r="F1606" s="9" t="s">
        <v>434</v>
      </c>
      <c r="G1606" s="8"/>
      <c r="H1606" s="8"/>
      <c r="I1606" s="9" t="s">
        <v>12</v>
      </c>
      <c r="J1606" s="9" t="s">
        <v>12</v>
      </c>
      <c r="K1606" s="9" t="s">
        <v>130</v>
      </c>
      <c r="L1606" s="9" t="s">
        <v>209</v>
      </c>
      <c r="M1606" s="14" t="s">
        <v>84</v>
      </c>
      <c r="N1606" s="9" t="s">
        <v>436</v>
      </c>
      <c r="O1606" s="9" t="s">
        <v>576</v>
      </c>
      <c r="P1606" s="9" t="s">
        <v>577</v>
      </c>
      <c r="Q1606" s="11"/>
      <c r="R1606" s="11"/>
      <c r="S1606" s="11">
        <v>0</v>
      </c>
      <c r="T1606" s="9"/>
      <c r="U1606" s="14" t="s">
        <v>77</v>
      </c>
      <c r="V1606" s="9"/>
      <c r="W1606" s="12"/>
      <c r="X1606" s="13"/>
      <c r="Y1606" s="13"/>
      <c r="Z1606" s="13"/>
      <c r="AA1606" s="13"/>
      <c r="AB1606" s="13"/>
      <c r="AC1606" s="13"/>
      <c r="AD1606" s="13"/>
      <c r="AE1606" s="13">
        <v>0</v>
      </c>
      <c r="AF1606" s="13"/>
      <c r="AG1606" s="13"/>
      <c r="AH1606" s="13"/>
      <c r="AI1606" s="13"/>
      <c r="AJ1606" s="13">
        <f t="shared" si="206"/>
        <v>0</v>
      </c>
      <c r="AK1606" s="12"/>
      <c r="AL1606" s="13"/>
      <c r="AM1606" s="9"/>
      <c r="AN1606" s="9"/>
      <c r="AO1606" s="9"/>
      <c r="AP1606" s="14"/>
    </row>
    <row r="1607" spans="1:42" s="45" customFormat="1" ht="22" customHeight="1">
      <c r="A1607" s="14" t="s">
        <v>17</v>
      </c>
      <c r="B1607" s="8">
        <v>2024</v>
      </c>
      <c r="C1607" s="8" t="s">
        <v>24</v>
      </c>
      <c r="D1607" s="9" t="s">
        <v>185</v>
      </c>
      <c r="E1607" s="9" t="s">
        <v>115</v>
      </c>
      <c r="F1607" s="9" t="s">
        <v>434</v>
      </c>
      <c r="G1607" s="8"/>
      <c r="H1607" s="8"/>
      <c r="I1607" s="9" t="s">
        <v>12</v>
      </c>
      <c r="J1607" s="9" t="s">
        <v>12</v>
      </c>
      <c r="K1607" s="9" t="s">
        <v>130</v>
      </c>
      <c r="L1607" s="9" t="s">
        <v>209</v>
      </c>
      <c r="M1607" s="14" t="s">
        <v>84</v>
      </c>
      <c r="N1607" s="9" t="s">
        <v>436</v>
      </c>
      <c r="O1607" s="9" t="s">
        <v>576</v>
      </c>
      <c r="P1607" s="9" t="s">
        <v>578</v>
      </c>
      <c r="Q1607" s="11"/>
      <c r="R1607" s="11"/>
      <c r="S1607" s="11">
        <v>0</v>
      </c>
      <c r="T1607" s="9"/>
      <c r="U1607" s="14" t="s">
        <v>77</v>
      </c>
      <c r="V1607" s="9"/>
      <c r="W1607" s="12"/>
      <c r="X1607" s="13"/>
      <c r="Y1607" s="13"/>
      <c r="Z1607" s="13"/>
      <c r="AA1607" s="13"/>
      <c r="AB1607" s="13"/>
      <c r="AC1607" s="13"/>
      <c r="AD1607" s="13"/>
      <c r="AE1607" s="13">
        <v>0</v>
      </c>
      <c r="AF1607" s="13"/>
      <c r="AG1607" s="13"/>
      <c r="AH1607" s="13"/>
      <c r="AI1607" s="13"/>
      <c r="AJ1607" s="13">
        <f t="shared" si="206"/>
        <v>0</v>
      </c>
      <c r="AK1607" s="12"/>
      <c r="AL1607" s="13"/>
      <c r="AM1607" s="9"/>
      <c r="AN1607" s="9"/>
      <c r="AO1607" s="9"/>
      <c r="AP1607" s="14"/>
    </row>
    <row r="1608" spans="1:42" s="45" customFormat="1" ht="22" customHeight="1">
      <c r="A1608" s="14" t="s">
        <v>17</v>
      </c>
      <c r="B1608" s="8">
        <v>2024</v>
      </c>
      <c r="C1608" s="8" t="s">
        <v>24</v>
      </c>
      <c r="D1608" s="9" t="s">
        <v>185</v>
      </c>
      <c r="E1608" s="9" t="s">
        <v>115</v>
      </c>
      <c r="F1608" s="9" t="s">
        <v>434</v>
      </c>
      <c r="G1608" s="8"/>
      <c r="H1608" s="8"/>
      <c r="I1608" s="9" t="s">
        <v>12</v>
      </c>
      <c r="J1608" s="9" t="s">
        <v>12</v>
      </c>
      <c r="K1608" s="9" t="s">
        <v>130</v>
      </c>
      <c r="L1608" s="9" t="s">
        <v>209</v>
      </c>
      <c r="M1608" s="14" t="s">
        <v>84</v>
      </c>
      <c r="N1608" s="9" t="s">
        <v>436</v>
      </c>
      <c r="O1608" s="9" t="s">
        <v>576</v>
      </c>
      <c r="P1608" s="9" t="s">
        <v>579</v>
      </c>
      <c r="Q1608" s="11"/>
      <c r="R1608" s="11"/>
      <c r="S1608" s="11">
        <v>0</v>
      </c>
      <c r="T1608" s="9"/>
      <c r="U1608" s="14" t="s">
        <v>77</v>
      </c>
      <c r="V1608" s="9"/>
      <c r="W1608" s="12"/>
      <c r="X1608" s="13"/>
      <c r="Y1608" s="13"/>
      <c r="Z1608" s="13"/>
      <c r="AA1608" s="13"/>
      <c r="AB1608" s="13"/>
      <c r="AC1608" s="13"/>
      <c r="AD1608" s="13"/>
      <c r="AE1608" s="13">
        <v>0</v>
      </c>
      <c r="AF1608" s="13"/>
      <c r="AG1608" s="13"/>
      <c r="AH1608" s="13"/>
      <c r="AI1608" s="13"/>
      <c r="AJ1608" s="13">
        <f t="shared" si="206"/>
        <v>0</v>
      </c>
      <c r="AK1608" s="12"/>
      <c r="AL1608" s="13"/>
      <c r="AM1608" s="9"/>
      <c r="AN1608" s="9"/>
      <c r="AO1608" s="9"/>
      <c r="AP1608" s="14"/>
    </row>
    <row r="1609" spans="1:42" s="45" customFormat="1" ht="22" customHeight="1">
      <c r="A1609" s="14" t="s">
        <v>17</v>
      </c>
      <c r="B1609" s="8">
        <v>2024</v>
      </c>
      <c r="C1609" s="8" t="s">
        <v>24</v>
      </c>
      <c r="D1609" s="9" t="s">
        <v>185</v>
      </c>
      <c r="E1609" s="9" t="s">
        <v>115</v>
      </c>
      <c r="F1609" s="9" t="s">
        <v>434</v>
      </c>
      <c r="G1609" s="8"/>
      <c r="H1609" s="8"/>
      <c r="I1609" s="9" t="s">
        <v>12</v>
      </c>
      <c r="J1609" s="9" t="s">
        <v>12</v>
      </c>
      <c r="K1609" s="9" t="s">
        <v>130</v>
      </c>
      <c r="L1609" s="9" t="s">
        <v>209</v>
      </c>
      <c r="M1609" s="14" t="s">
        <v>84</v>
      </c>
      <c r="N1609" s="9" t="s">
        <v>436</v>
      </c>
      <c r="O1609" s="9" t="s">
        <v>576</v>
      </c>
      <c r="P1609" s="9" t="s">
        <v>580</v>
      </c>
      <c r="Q1609" s="11"/>
      <c r="R1609" s="11"/>
      <c r="S1609" s="11">
        <v>0</v>
      </c>
      <c r="T1609" s="9"/>
      <c r="U1609" s="14" t="s">
        <v>77</v>
      </c>
      <c r="V1609" s="9"/>
      <c r="W1609" s="12"/>
      <c r="X1609" s="13"/>
      <c r="Y1609" s="13"/>
      <c r="Z1609" s="13"/>
      <c r="AA1609" s="13"/>
      <c r="AB1609" s="13"/>
      <c r="AC1609" s="13"/>
      <c r="AD1609" s="13"/>
      <c r="AE1609" s="13">
        <v>0</v>
      </c>
      <c r="AF1609" s="13"/>
      <c r="AG1609" s="13"/>
      <c r="AH1609" s="13"/>
      <c r="AI1609" s="13"/>
      <c r="AJ1609" s="13">
        <f t="shared" si="206"/>
        <v>0</v>
      </c>
      <c r="AK1609" s="12"/>
      <c r="AL1609" s="13"/>
      <c r="AM1609" s="9"/>
      <c r="AN1609" s="9"/>
      <c r="AO1609" s="9"/>
      <c r="AP1609" s="14"/>
    </row>
    <row r="1610" spans="1:42" s="45" customFormat="1" ht="22" customHeight="1">
      <c r="A1610" s="14" t="s">
        <v>17</v>
      </c>
      <c r="B1610" s="8">
        <v>2024</v>
      </c>
      <c r="C1610" s="8" t="s">
        <v>24</v>
      </c>
      <c r="D1610" s="9" t="s">
        <v>185</v>
      </c>
      <c r="E1610" s="9" t="s">
        <v>115</v>
      </c>
      <c r="F1610" s="9" t="s">
        <v>434</v>
      </c>
      <c r="G1610" s="8"/>
      <c r="H1610" s="8"/>
      <c r="I1610" s="9" t="s">
        <v>12</v>
      </c>
      <c r="J1610" s="9" t="s">
        <v>12</v>
      </c>
      <c r="K1610" s="9" t="s">
        <v>130</v>
      </c>
      <c r="L1610" s="9" t="s">
        <v>209</v>
      </c>
      <c r="M1610" s="14" t="s">
        <v>84</v>
      </c>
      <c r="N1610" s="9" t="s">
        <v>436</v>
      </c>
      <c r="O1610" s="9" t="s">
        <v>576</v>
      </c>
      <c r="P1610" s="9" t="s">
        <v>581</v>
      </c>
      <c r="Q1610" s="11"/>
      <c r="R1610" s="11"/>
      <c r="S1610" s="11">
        <v>0</v>
      </c>
      <c r="T1610" s="9"/>
      <c r="U1610" s="14" t="s">
        <v>77</v>
      </c>
      <c r="V1610" s="9"/>
      <c r="W1610" s="12"/>
      <c r="X1610" s="13"/>
      <c r="Y1610" s="13"/>
      <c r="Z1610" s="13"/>
      <c r="AA1610" s="13"/>
      <c r="AB1610" s="13"/>
      <c r="AC1610" s="13"/>
      <c r="AD1610" s="13"/>
      <c r="AE1610" s="13">
        <v>0</v>
      </c>
      <c r="AF1610" s="13"/>
      <c r="AG1610" s="13"/>
      <c r="AH1610" s="13"/>
      <c r="AI1610" s="13"/>
      <c r="AJ1610" s="13">
        <f t="shared" si="206"/>
        <v>0</v>
      </c>
      <c r="AK1610" s="12"/>
      <c r="AL1610" s="13"/>
      <c r="AM1610" s="9"/>
      <c r="AN1610" s="9"/>
      <c r="AO1610" s="9"/>
      <c r="AP1610" s="14"/>
    </row>
    <row r="1611" spans="1:42" s="45" customFormat="1" ht="22" customHeight="1">
      <c r="A1611" s="14" t="s">
        <v>17</v>
      </c>
      <c r="B1611" s="8">
        <v>2024</v>
      </c>
      <c r="C1611" s="8" t="s">
        <v>24</v>
      </c>
      <c r="D1611" s="9" t="s">
        <v>185</v>
      </c>
      <c r="E1611" s="9" t="s">
        <v>115</v>
      </c>
      <c r="F1611" s="9" t="s">
        <v>434</v>
      </c>
      <c r="G1611" s="8"/>
      <c r="H1611" s="8"/>
      <c r="I1611" s="9" t="s">
        <v>12</v>
      </c>
      <c r="J1611" s="9" t="s">
        <v>12</v>
      </c>
      <c r="K1611" s="9" t="s">
        <v>130</v>
      </c>
      <c r="L1611" s="9" t="s">
        <v>209</v>
      </c>
      <c r="M1611" s="14" t="s">
        <v>84</v>
      </c>
      <c r="N1611" s="9" t="s">
        <v>436</v>
      </c>
      <c r="O1611" s="9" t="s">
        <v>576</v>
      </c>
      <c r="P1611" s="9" t="s">
        <v>582</v>
      </c>
      <c r="Q1611" s="11"/>
      <c r="R1611" s="11"/>
      <c r="S1611" s="11">
        <v>0</v>
      </c>
      <c r="T1611" s="9"/>
      <c r="U1611" s="14" t="s">
        <v>77</v>
      </c>
      <c r="V1611" s="9"/>
      <c r="W1611" s="12"/>
      <c r="X1611" s="13"/>
      <c r="Y1611" s="13"/>
      <c r="Z1611" s="13"/>
      <c r="AA1611" s="13"/>
      <c r="AB1611" s="13"/>
      <c r="AC1611" s="13"/>
      <c r="AD1611" s="13"/>
      <c r="AE1611" s="13">
        <v>0</v>
      </c>
      <c r="AF1611" s="13"/>
      <c r="AG1611" s="13"/>
      <c r="AH1611" s="13"/>
      <c r="AI1611" s="13"/>
      <c r="AJ1611" s="13">
        <f t="shared" si="206"/>
        <v>0</v>
      </c>
      <c r="AK1611" s="12"/>
      <c r="AL1611" s="13"/>
      <c r="AM1611" s="9"/>
      <c r="AN1611" s="9"/>
      <c r="AO1611" s="9"/>
      <c r="AP1611" s="14"/>
    </row>
    <row r="1612" spans="1:42" s="45" customFormat="1" ht="22" customHeight="1">
      <c r="A1612" s="14" t="s">
        <v>17</v>
      </c>
      <c r="B1612" s="8">
        <v>2024</v>
      </c>
      <c r="C1612" s="8" t="s">
        <v>24</v>
      </c>
      <c r="D1612" s="9" t="s">
        <v>185</v>
      </c>
      <c r="E1612" s="9" t="s">
        <v>115</v>
      </c>
      <c r="F1612" s="9" t="s">
        <v>434</v>
      </c>
      <c r="G1612" s="8"/>
      <c r="H1612" s="8"/>
      <c r="I1612" s="9" t="s">
        <v>12</v>
      </c>
      <c r="J1612" s="9" t="s">
        <v>12</v>
      </c>
      <c r="K1612" s="9" t="s">
        <v>130</v>
      </c>
      <c r="L1612" s="9" t="s">
        <v>209</v>
      </c>
      <c r="M1612" s="14" t="s">
        <v>84</v>
      </c>
      <c r="N1612" s="9" t="s">
        <v>436</v>
      </c>
      <c r="O1612" s="9" t="s">
        <v>576</v>
      </c>
      <c r="P1612" s="9" t="s">
        <v>583</v>
      </c>
      <c r="Q1612" s="11"/>
      <c r="R1612" s="11"/>
      <c r="S1612" s="11">
        <v>0</v>
      </c>
      <c r="T1612" s="9"/>
      <c r="U1612" s="14" t="s">
        <v>77</v>
      </c>
      <c r="V1612" s="9"/>
      <c r="W1612" s="12"/>
      <c r="X1612" s="13"/>
      <c r="Y1612" s="13"/>
      <c r="Z1612" s="13"/>
      <c r="AA1612" s="13"/>
      <c r="AB1612" s="13"/>
      <c r="AC1612" s="13"/>
      <c r="AD1612" s="13"/>
      <c r="AE1612" s="13">
        <v>0</v>
      </c>
      <c r="AF1612" s="13"/>
      <c r="AG1612" s="13"/>
      <c r="AH1612" s="13"/>
      <c r="AI1612" s="13"/>
      <c r="AJ1612" s="13">
        <f t="shared" si="206"/>
        <v>0</v>
      </c>
      <c r="AK1612" s="12"/>
      <c r="AL1612" s="13"/>
      <c r="AM1612" s="9"/>
      <c r="AN1612" s="9"/>
      <c r="AO1612" s="9"/>
      <c r="AP1612" s="14"/>
    </row>
    <row r="1613" spans="1:42" s="45" customFormat="1" ht="22" customHeight="1">
      <c r="A1613" s="14" t="s">
        <v>17</v>
      </c>
      <c r="B1613" s="8">
        <v>2024</v>
      </c>
      <c r="C1613" s="8" t="s">
        <v>24</v>
      </c>
      <c r="D1613" s="9" t="s">
        <v>185</v>
      </c>
      <c r="E1613" s="9" t="s">
        <v>115</v>
      </c>
      <c r="F1613" s="9" t="s">
        <v>434</v>
      </c>
      <c r="G1613" s="8"/>
      <c r="H1613" s="8"/>
      <c r="I1613" s="9" t="s">
        <v>12</v>
      </c>
      <c r="J1613" s="9" t="s">
        <v>12</v>
      </c>
      <c r="K1613" s="9" t="s">
        <v>130</v>
      </c>
      <c r="L1613" s="9" t="s">
        <v>209</v>
      </c>
      <c r="M1613" s="14" t="s">
        <v>84</v>
      </c>
      <c r="N1613" s="9" t="s">
        <v>436</v>
      </c>
      <c r="O1613" s="9" t="s">
        <v>576</v>
      </c>
      <c r="P1613" s="9" t="s">
        <v>584</v>
      </c>
      <c r="Q1613" s="11"/>
      <c r="R1613" s="11"/>
      <c r="S1613" s="11">
        <v>0</v>
      </c>
      <c r="T1613" s="9"/>
      <c r="U1613" s="14" t="s">
        <v>77</v>
      </c>
      <c r="V1613" s="9"/>
      <c r="W1613" s="12"/>
      <c r="X1613" s="13"/>
      <c r="Y1613" s="13"/>
      <c r="Z1613" s="13"/>
      <c r="AA1613" s="13"/>
      <c r="AB1613" s="13"/>
      <c r="AC1613" s="13"/>
      <c r="AD1613" s="13"/>
      <c r="AE1613" s="13">
        <v>0</v>
      </c>
      <c r="AF1613" s="13"/>
      <c r="AG1613" s="13"/>
      <c r="AH1613" s="13"/>
      <c r="AI1613" s="13"/>
      <c r="AJ1613" s="13">
        <f t="shared" si="206"/>
        <v>0</v>
      </c>
      <c r="AK1613" s="12"/>
      <c r="AL1613" s="13"/>
      <c r="AM1613" s="9"/>
      <c r="AN1613" s="9"/>
      <c r="AO1613" s="9"/>
      <c r="AP1613" s="14"/>
    </row>
    <row r="1614" spans="1:42" s="45" customFormat="1" ht="22" customHeight="1">
      <c r="A1614" s="14" t="s">
        <v>17</v>
      </c>
      <c r="B1614" s="8">
        <v>2024</v>
      </c>
      <c r="C1614" s="8" t="s">
        <v>24</v>
      </c>
      <c r="D1614" s="9" t="s">
        <v>185</v>
      </c>
      <c r="E1614" s="9" t="s">
        <v>115</v>
      </c>
      <c r="F1614" s="9" t="s">
        <v>434</v>
      </c>
      <c r="G1614" s="8"/>
      <c r="H1614" s="8"/>
      <c r="I1614" s="9" t="s">
        <v>12</v>
      </c>
      <c r="J1614" s="9" t="s">
        <v>12</v>
      </c>
      <c r="K1614" s="9" t="s">
        <v>130</v>
      </c>
      <c r="L1614" s="9" t="s">
        <v>209</v>
      </c>
      <c r="M1614" s="14" t="s">
        <v>84</v>
      </c>
      <c r="N1614" s="9" t="s">
        <v>436</v>
      </c>
      <c r="O1614" s="9" t="s">
        <v>576</v>
      </c>
      <c r="P1614" s="9" t="s">
        <v>585</v>
      </c>
      <c r="Q1614" s="11"/>
      <c r="R1614" s="11"/>
      <c r="S1614" s="11">
        <v>0</v>
      </c>
      <c r="T1614" s="9"/>
      <c r="U1614" s="14" t="s">
        <v>77</v>
      </c>
      <c r="V1614" s="9"/>
      <c r="W1614" s="12"/>
      <c r="X1614" s="13"/>
      <c r="Y1614" s="13"/>
      <c r="Z1614" s="13"/>
      <c r="AA1614" s="13"/>
      <c r="AB1614" s="13"/>
      <c r="AC1614" s="13"/>
      <c r="AD1614" s="13"/>
      <c r="AE1614" s="13">
        <v>0</v>
      </c>
      <c r="AF1614" s="13"/>
      <c r="AG1614" s="13"/>
      <c r="AH1614" s="13"/>
      <c r="AI1614" s="13"/>
      <c r="AJ1614" s="13">
        <f t="shared" si="206"/>
        <v>0</v>
      </c>
      <c r="AK1614" s="12"/>
      <c r="AL1614" s="13"/>
      <c r="AM1614" s="9"/>
      <c r="AN1614" s="9"/>
      <c r="AO1614" s="9"/>
      <c r="AP1614" s="14"/>
    </row>
    <row r="1615" spans="1:42" s="45" customFormat="1" ht="22" customHeight="1">
      <c r="A1615" s="14" t="s">
        <v>17</v>
      </c>
      <c r="B1615" s="8">
        <v>2024</v>
      </c>
      <c r="C1615" s="8" t="s">
        <v>24</v>
      </c>
      <c r="D1615" s="9" t="s">
        <v>185</v>
      </c>
      <c r="E1615" s="9" t="s">
        <v>115</v>
      </c>
      <c r="F1615" s="9" t="s">
        <v>434</v>
      </c>
      <c r="G1615" s="8"/>
      <c r="H1615" s="8"/>
      <c r="I1615" s="9" t="s">
        <v>12</v>
      </c>
      <c r="J1615" s="9" t="s">
        <v>12</v>
      </c>
      <c r="K1615" s="9" t="s">
        <v>130</v>
      </c>
      <c r="L1615" s="9" t="s">
        <v>209</v>
      </c>
      <c r="M1615" s="14" t="s">
        <v>84</v>
      </c>
      <c r="N1615" s="9" t="s">
        <v>436</v>
      </c>
      <c r="O1615" s="9" t="s">
        <v>576</v>
      </c>
      <c r="P1615" s="9" t="s">
        <v>586</v>
      </c>
      <c r="Q1615" s="11"/>
      <c r="R1615" s="11"/>
      <c r="S1615" s="11">
        <v>0</v>
      </c>
      <c r="T1615" s="9"/>
      <c r="U1615" s="14" t="s">
        <v>77</v>
      </c>
      <c r="V1615" s="9"/>
      <c r="W1615" s="12"/>
      <c r="X1615" s="13"/>
      <c r="Y1615" s="13"/>
      <c r="Z1615" s="13"/>
      <c r="AA1615" s="13"/>
      <c r="AB1615" s="13"/>
      <c r="AC1615" s="13"/>
      <c r="AD1615" s="13"/>
      <c r="AE1615" s="13">
        <v>0</v>
      </c>
      <c r="AF1615" s="13"/>
      <c r="AG1615" s="13"/>
      <c r="AH1615" s="13"/>
      <c r="AI1615" s="13"/>
      <c r="AJ1615" s="13">
        <f t="shared" si="206"/>
        <v>0</v>
      </c>
      <c r="AK1615" s="12"/>
      <c r="AL1615" s="13"/>
      <c r="AM1615" s="9"/>
      <c r="AN1615" s="9"/>
      <c r="AO1615" s="9"/>
      <c r="AP1615" s="14"/>
    </row>
    <row r="1616" spans="1:42" s="45" customFormat="1" ht="22" customHeight="1">
      <c r="A1616" s="14" t="s">
        <v>17</v>
      </c>
      <c r="B1616" s="8">
        <v>2024</v>
      </c>
      <c r="C1616" s="8" t="s">
        <v>24</v>
      </c>
      <c r="D1616" s="9" t="s">
        <v>185</v>
      </c>
      <c r="E1616" s="9" t="s">
        <v>115</v>
      </c>
      <c r="F1616" s="9" t="s">
        <v>434</v>
      </c>
      <c r="G1616" s="8"/>
      <c r="H1616" s="8"/>
      <c r="I1616" s="9" t="s">
        <v>12</v>
      </c>
      <c r="J1616" s="9" t="s">
        <v>12</v>
      </c>
      <c r="K1616" s="9" t="s">
        <v>130</v>
      </c>
      <c r="L1616" s="9" t="s">
        <v>209</v>
      </c>
      <c r="M1616" s="14" t="s">
        <v>84</v>
      </c>
      <c r="N1616" s="9" t="s">
        <v>436</v>
      </c>
      <c r="O1616" s="9" t="s">
        <v>576</v>
      </c>
      <c r="P1616" s="9" t="s">
        <v>587</v>
      </c>
      <c r="Q1616" s="11"/>
      <c r="R1616" s="11"/>
      <c r="S1616" s="11">
        <v>0</v>
      </c>
      <c r="T1616" s="9"/>
      <c r="U1616" s="14" t="s">
        <v>77</v>
      </c>
      <c r="V1616" s="9"/>
      <c r="W1616" s="12"/>
      <c r="X1616" s="13"/>
      <c r="Y1616" s="13"/>
      <c r="Z1616" s="13"/>
      <c r="AA1616" s="13"/>
      <c r="AB1616" s="13"/>
      <c r="AC1616" s="13"/>
      <c r="AD1616" s="13"/>
      <c r="AE1616" s="13">
        <v>0</v>
      </c>
      <c r="AF1616" s="13"/>
      <c r="AG1616" s="13"/>
      <c r="AH1616" s="13"/>
      <c r="AI1616" s="13"/>
      <c r="AJ1616" s="13">
        <f t="shared" si="206"/>
        <v>0</v>
      </c>
      <c r="AK1616" s="12"/>
      <c r="AL1616" s="13"/>
      <c r="AM1616" s="9"/>
      <c r="AN1616" s="9"/>
      <c r="AO1616" s="9"/>
      <c r="AP1616" s="14"/>
    </row>
    <row r="1617" spans="1:42" s="45" customFormat="1" ht="22" customHeight="1">
      <c r="A1617" s="14" t="s">
        <v>17</v>
      </c>
      <c r="B1617" s="8">
        <v>2024</v>
      </c>
      <c r="C1617" s="8" t="s">
        <v>24</v>
      </c>
      <c r="D1617" s="9" t="s">
        <v>185</v>
      </c>
      <c r="E1617" s="9" t="s">
        <v>115</v>
      </c>
      <c r="F1617" s="9" t="s">
        <v>434</v>
      </c>
      <c r="G1617" s="8"/>
      <c r="H1617" s="8"/>
      <c r="I1617" s="9" t="s">
        <v>12</v>
      </c>
      <c r="J1617" s="9" t="s">
        <v>12</v>
      </c>
      <c r="K1617" s="9" t="s">
        <v>130</v>
      </c>
      <c r="L1617" s="9" t="s">
        <v>209</v>
      </c>
      <c r="M1617" s="14" t="s">
        <v>84</v>
      </c>
      <c r="N1617" s="9" t="s">
        <v>436</v>
      </c>
      <c r="O1617" s="9" t="s">
        <v>576</v>
      </c>
      <c r="P1617" s="9" t="s">
        <v>588</v>
      </c>
      <c r="Q1617" s="11"/>
      <c r="R1617" s="11"/>
      <c r="S1617" s="11">
        <v>0</v>
      </c>
      <c r="T1617" s="9"/>
      <c r="U1617" s="14" t="s">
        <v>77</v>
      </c>
      <c r="V1617" s="9"/>
      <c r="W1617" s="12"/>
      <c r="X1617" s="13"/>
      <c r="Y1617" s="13"/>
      <c r="Z1617" s="13"/>
      <c r="AA1617" s="13"/>
      <c r="AB1617" s="13"/>
      <c r="AC1617" s="13"/>
      <c r="AD1617" s="13"/>
      <c r="AE1617" s="13">
        <v>0</v>
      </c>
      <c r="AF1617" s="13"/>
      <c r="AG1617" s="13"/>
      <c r="AH1617" s="13"/>
      <c r="AI1617" s="13"/>
      <c r="AJ1617" s="13">
        <f t="shared" si="206"/>
        <v>0</v>
      </c>
      <c r="AK1617" s="12"/>
      <c r="AL1617" s="13"/>
      <c r="AM1617" s="9"/>
      <c r="AN1617" s="9"/>
      <c r="AO1617" s="9"/>
      <c r="AP1617" s="14"/>
    </row>
    <row r="1618" spans="1:42" s="45" customFormat="1" ht="22" customHeight="1">
      <c r="A1618" s="14" t="s">
        <v>17</v>
      </c>
      <c r="B1618" s="8">
        <v>2024</v>
      </c>
      <c r="C1618" s="8" t="s">
        <v>24</v>
      </c>
      <c r="D1618" s="9" t="s">
        <v>185</v>
      </c>
      <c r="E1618" s="9" t="s">
        <v>115</v>
      </c>
      <c r="F1618" s="9" t="s">
        <v>434</v>
      </c>
      <c r="G1618" s="8"/>
      <c r="H1618" s="8"/>
      <c r="I1618" s="9" t="s">
        <v>12</v>
      </c>
      <c r="J1618" s="9" t="s">
        <v>12</v>
      </c>
      <c r="K1618" s="9" t="s">
        <v>130</v>
      </c>
      <c r="L1618" s="9" t="s">
        <v>209</v>
      </c>
      <c r="M1618" s="14" t="s">
        <v>84</v>
      </c>
      <c r="N1618" s="9" t="s">
        <v>436</v>
      </c>
      <c r="O1618" s="9" t="s">
        <v>576</v>
      </c>
      <c r="P1618" s="9" t="s">
        <v>589</v>
      </c>
      <c r="Q1618" s="11"/>
      <c r="R1618" s="11"/>
      <c r="S1618" s="11">
        <v>0</v>
      </c>
      <c r="T1618" s="9"/>
      <c r="U1618" s="14" t="s">
        <v>77</v>
      </c>
      <c r="V1618" s="9"/>
      <c r="W1618" s="12"/>
      <c r="X1618" s="13"/>
      <c r="Y1618" s="13"/>
      <c r="Z1618" s="13"/>
      <c r="AA1618" s="13"/>
      <c r="AB1618" s="13"/>
      <c r="AC1618" s="13"/>
      <c r="AD1618" s="13"/>
      <c r="AE1618" s="13">
        <v>0</v>
      </c>
      <c r="AF1618" s="13"/>
      <c r="AG1618" s="13"/>
      <c r="AH1618" s="13"/>
      <c r="AI1618" s="13"/>
      <c r="AJ1618" s="13">
        <f t="shared" si="206"/>
        <v>0</v>
      </c>
      <c r="AK1618" s="12"/>
      <c r="AL1618" s="13"/>
      <c r="AM1618" s="9"/>
      <c r="AN1618" s="9"/>
      <c r="AO1618" s="9"/>
      <c r="AP1618" s="14"/>
    </row>
    <row r="1619" spans="1:42" s="45" customFormat="1" ht="22" customHeight="1">
      <c r="A1619" s="14" t="s">
        <v>17</v>
      </c>
      <c r="B1619" s="8">
        <v>2024</v>
      </c>
      <c r="C1619" s="8" t="s">
        <v>24</v>
      </c>
      <c r="D1619" s="9" t="s">
        <v>185</v>
      </c>
      <c r="E1619" s="9" t="s">
        <v>115</v>
      </c>
      <c r="F1619" s="9" t="s">
        <v>434</v>
      </c>
      <c r="G1619" s="8"/>
      <c r="H1619" s="8"/>
      <c r="I1619" s="9" t="s">
        <v>12</v>
      </c>
      <c r="J1619" s="9" t="s">
        <v>12</v>
      </c>
      <c r="K1619" s="9" t="s">
        <v>130</v>
      </c>
      <c r="L1619" s="9" t="s">
        <v>209</v>
      </c>
      <c r="M1619" s="14" t="s">
        <v>84</v>
      </c>
      <c r="N1619" s="9" t="s">
        <v>436</v>
      </c>
      <c r="O1619" s="9" t="s">
        <v>576</v>
      </c>
      <c r="P1619" s="9" t="s">
        <v>590</v>
      </c>
      <c r="Q1619" s="11"/>
      <c r="R1619" s="11"/>
      <c r="S1619" s="11">
        <v>0</v>
      </c>
      <c r="T1619" s="9"/>
      <c r="U1619" s="14" t="s">
        <v>77</v>
      </c>
      <c r="V1619" s="9"/>
      <c r="W1619" s="12"/>
      <c r="X1619" s="13"/>
      <c r="Y1619" s="13"/>
      <c r="Z1619" s="13"/>
      <c r="AA1619" s="13"/>
      <c r="AB1619" s="13"/>
      <c r="AC1619" s="13"/>
      <c r="AD1619" s="13"/>
      <c r="AE1619" s="13">
        <v>0</v>
      </c>
      <c r="AF1619" s="13"/>
      <c r="AG1619" s="13"/>
      <c r="AH1619" s="13"/>
      <c r="AI1619" s="13"/>
      <c r="AJ1619" s="13">
        <f t="shared" si="206"/>
        <v>0</v>
      </c>
      <c r="AK1619" s="12"/>
      <c r="AL1619" s="13"/>
      <c r="AM1619" s="9"/>
      <c r="AN1619" s="9"/>
      <c r="AO1619" s="9"/>
      <c r="AP1619" s="14"/>
    </row>
    <row r="1620" spans="1:42" s="45" customFormat="1" ht="22" customHeight="1">
      <c r="A1620" s="14" t="s">
        <v>17</v>
      </c>
      <c r="B1620" s="8">
        <v>2024</v>
      </c>
      <c r="C1620" s="8" t="s">
        <v>24</v>
      </c>
      <c r="D1620" s="9" t="s">
        <v>185</v>
      </c>
      <c r="E1620" s="9" t="s">
        <v>115</v>
      </c>
      <c r="F1620" s="9" t="s">
        <v>434</v>
      </c>
      <c r="G1620" s="8"/>
      <c r="H1620" s="8"/>
      <c r="I1620" s="9" t="s">
        <v>12</v>
      </c>
      <c r="J1620" s="9" t="s">
        <v>12</v>
      </c>
      <c r="K1620" s="9" t="s">
        <v>130</v>
      </c>
      <c r="L1620" s="9" t="s">
        <v>209</v>
      </c>
      <c r="M1620" s="14" t="s">
        <v>84</v>
      </c>
      <c r="N1620" s="9" t="s">
        <v>436</v>
      </c>
      <c r="O1620" s="9" t="s">
        <v>576</v>
      </c>
      <c r="P1620" s="9" t="s">
        <v>591</v>
      </c>
      <c r="Q1620" s="11"/>
      <c r="R1620" s="11"/>
      <c r="S1620" s="11">
        <v>0</v>
      </c>
      <c r="T1620" s="9"/>
      <c r="U1620" s="14" t="s">
        <v>77</v>
      </c>
      <c r="V1620" s="9"/>
      <c r="W1620" s="12"/>
      <c r="X1620" s="13"/>
      <c r="Y1620" s="13"/>
      <c r="Z1620" s="13"/>
      <c r="AA1620" s="13"/>
      <c r="AB1620" s="13"/>
      <c r="AC1620" s="13"/>
      <c r="AD1620" s="13"/>
      <c r="AE1620" s="13">
        <v>0</v>
      </c>
      <c r="AF1620" s="13"/>
      <c r="AG1620" s="13"/>
      <c r="AH1620" s="13"/>
      <c r="AI1620" s="13"/>
      <c r="AJ1620" s="13">
        <f t="shared" si="206"/>
        <v>0</v>
      </c>
      <c r="AK1620" s="12"/>
      <c r="AL1620" s="13"/>
      <c r="AM1620" s="9"/>
      <c r="AN1620" s="9"/>
      <c r="AO1620" s="9"/>
      <c r="AP1620" s="14"/>
    </row>
    <row r="1621" spans="1:42" s="45" customFormat="1" ht="22" customHeight="1">
      <c r="A1621" s="14" t="s">
        <v>17</v>
      </c>
      <c r="B1621" s="8">
        <v>2024</v>
      </c>
      <c r="C1621" s="8" t="s">
        <v>24</v>
      </c>
      <c r="D1621" s="9" t="s">
        <v>185</v>
      </c>
      <c r="E1621" s="9" t="s">
        <v>115</v>
      </c>
      <c r="F1621" s="9" t="s">
        <v>434</v>
      </c>
      <c r="G1621" s="8"/>
      <c r="H1621" s="8"/>
      <c r="I1621" s="9" t="s">
        <v>12</v>
      </c>
      <c r="J1621" s="9" t="s">
        <v>12</v>
      </c>
      <c r="K1621" s="9" t="s">
        <v>130</v>
      </c>
      <c r="L1621" s="9" t="s">
        <v>209</v>
      </c>
      <c r="M1621" s="14" t="s">
        <v>84</v>
      </c>
      <c r="N1621" s="9" t="s">
        <v>436</v>
      </c>
      <c r="O1621" s="9" t="s">
        <v>576</v>
      </c>
      <c r="P1621" s="9" t="s">
        <v>592</v>
      </c>
      <c r="Q1621" s="11"/>
      <c r="R1621" s="11"/>
      <c r="S1621" s="11">
        <v>0</v>
      </c>
      <c r="T1621" s="9"/>
      <c r="U1621" s="14" t="s">
        <v>77</v>
      </c>
      <c r="V1621" s="9"/>
      <c r="W1621" s="12"/>
      <c r="X1621" s="13"/>
      <c r="Y1621" s="13"/>
      <c r="Z1621" s="13"/>
      <c r="AA1621" s="13"/>
      <c r="AB1621" s="13"/>
      <c r="AC1621" s="13"/>
      <c r="AD1621" s="13"/>
      <c r="AE1621" s="13">
        <v>0</v>
      </c>
      <c r="AF1621" s="13"/>
      <c r="AG1621" s="13"/>
      <c r="AH1621" s="13"/>
      <c r="AI1621" s="13"/>
      <c r="AJ1621" s="13">
        <f t="shared" si="206"/>
        <v>0</v>
      </c>
      <c r="AK1621" s="12"/>
      <c r="AL1621" s="13"/>
      <c r="AM1621" s="9"/>
      <c r="AN1621" s="9"/>
      <c r="AO1621" s="9"/>
      <c r="AP1621" s="14"/>
    </row>
    <row r="1622" spans="1:42" s="45" customFormat="1" ht="22" customHeight="1">
      <c r="A1622" s="14" t="s">
        <v>17</v>
      </c>
      <c r="B1622" s="8">
        <v>2024</v>
      </c>
      <c r="C1622" s="8" t="s">
        <v>24</v>
      </c>
      <c r="D1622" s="9" t="s">
        <v>185</v>
      </c>
      <c r="E1622" s="9" t="s">
        <v>115</v>
      </c>
      <c r="F1622" s="9" t="s">
        <v>434</v>
      </c>
      <c r="G1622" s="8"/>
      <c r="H1622" s="8"/>
      <c r="I1622" s="9" t="s">
        <v>12</v>
      </c>
      <c r="J1622" s="9" t="s">
        <v>12</v>
      </c>
      <c r="K1622" s="9" t="s">
        <v>130</v>
      </c>
      <c r="L1622" s="9" t="s">
        <v>209</v>
      </c>
      <c r="M1622" s="14" t="s">
        <v>84</v>
      </c>
      <c r="N1622" s="9" t="s">
        <v>436</v>
      </c>
      <c r="O1622" s="9" t="s">
        <v>576</v>
      </c>
      <c r="P1622" s="9" t="s">
        <v>593</v>
      </c>
      <c r="Q1622" s="11"/>
      <c r="R1622" s="11"/>
      <c r="S1622" s="11">
        <v>0</v>
      </c>
      <c r="T1622" s="9"/>
      <c r="U1622" s="14" t="s">
        <v>77</v>
      </c>
      <c r="V1622" s="9"/>
      <c r="W1622" s="12"/>
      <c r="X1622" s="13"/>
      <c r="Y1622" s="13"/>
      <c r="Z1622" s="13"/>
      <c r="AA1622" s="13"/>
      <c r="AB1622" s="13"/>
      <c r="AC1622" s="13"/>
      <c r="AD1622" s="13"/>
      <c r="AE1622" s="13">
        <v>0</v>
      </c>
      <c r="AF1622" s="13"/>
      <c r="AG1622" s="13"/>
      <c r="AH1622" s="13"/>
      <c r="AI1622" s="13"/>
      <c r="AJ1622" s="13">
        <f t="shared" si="206"/>
        <v>0</v>
      </c>
      <c r="AK1622" s="12"/>
      <c r="AL1622" s="13"/>
      <c r="AM1622" s="9"/>
      <c r="AN1622" s="9"/>
      <c r="AO1622" s="9"/>
      <c r="AP1622" s="14"/>
    </row>
    <row r="1623" spans="1:42" s="45" customFormat="1" ht="22" customHeight="1">
      <c r="A1623" s="14" t="s">
        <v>17</v>
      </c>
      <c r="B1623" s="8">
        <v>2024</v>
      </c>
      <c r="C1623" s="8" t="s">
        <v>24</v>
      </c>
      <c r="D1623" s="9" t="s">
        <v>185</v>
      </c>
      <c r="E1623" s="9" t="s">
        <v>115</v>
      </c>
      <c r="F1623" s="9" t="s">
        <v>434</v>
      </c>
      <c r="G1623" s="8"/>
      <c r="H1623" s="8"/>
      <c r="I1623" s="9" t="s">
        <v>12</v>
      </c>
      <c r="J1623" s="9" t="s">
        <v>12</v>
      </c>
      <c r="K1623" s="9" t="s">
        <v>130</v>
      </c>
      <c r="L1623" s="9" t="s">
        <v>209</v>
      </c>
      <c r="M1623" s="14" t="s">
        <v>84</v>
      </c>
      <c r="N1623" s="9" t="s">
        <v>436</v>
      </c>
      <c r="O1623" s="9" t="s">
        <v>576</v>
      </c>
      <c r="P1623" s="9" t="s">
        <v>594</v>
      </c>
      <c r="Q1623" s="11"/>
      <c r="R1623" s="11"/>
      <c r="S1623" s="11">
        <v>0</v>
      </c>
      <c r="T1623" s="9"/>
      <c r="U1623" s="14" t="s">
        <v>77</v>
      </c>
      <c r="V1623" s="9"/>
      <c r="W1623" s="12"/>
      <c r="X1623" s="13"/>
      <c r="Y1623" s="13"/>
      <c r="Z1623" s="13"/>
      <c r="AA1623" s="13"/>
      <c r="AB1623" s="13"/>
      <c r="AC1623" s="13"/>
      <c r="AD1623" s="13"/>
      <c r="AE1623" s="13">
        <v>0</v>
      </c>
      <c r="AF1623" s="13"/>
      <c r="AG1623" s="13"/>
      <c r="AH1623" s="13"/>
      <c r="AI1623" s="13"/>
      <c r="AJ1623" s="13">
        <f t="shared" si="206"/>
        <v>0</v>
      </c>
      <c r="AK1623" s="12"/>
      <c r="AL1623" s="13"/>
      <c r="AM1623" s="9"/>
      <c r="AN1623" s="9"/>
      <c r="AO1623" s="9"/>
      <c r="AP1623" s="14"/>
    </row>
    <row r="1624" spans="1:42" s="45" customFormat="1" ht="22" customHeight="1">
      <c r="A1624" s="14" t="s">
        <v>17</v>
      </c>
      <c r="B1624" s="8">
        <v>2024</v>
      </c>
      <c r="C1624" s="8" t="s">
        <v>24</v>
      </c>
      <c r="D1624" s="9" t="s">
        <v>185</v>
      </c>
      <c r="E1624" s="9" t="s">
        <v>115</v>
      </c>
      <c r="F1624" s="9" t="s">
        <v>434</v>
      </c>
      <c r="G1624" s="8"/>
      <c r="H1624" s="8"/>
      <c r="I1624" s="9" t="s">
        <v>12</v>
      </c>
      <c r="J1624" s="9" t="s">
        <v>12</v>
      </c>
      <c r="K1624" s="9" t="s">
        <v>130</v>
      </c>
      <c r="L1624" s="9" t="s">
        <v>209</v>
      </c>
      <c r="M1624" s="14" t="s">
        <v>84</v>
      </c>
      <c r="N1624" s="9" t="s">
        <v>436</v>
      </c>
      <c r="O1624" s="9" t="s">
        <v>576</v>
      </c>
      <c r="P1624" s="9" t="s">
        <v>225</v>
      </c>
      <c r="Q1624" s="11"/>
      <c r="R1624" s="11"/>
      <c r="S1624" s="11">
        <v>0</v>
      </c>
      <c r="T1624" s="9"/>
      <c r="U1624" s="14" t="s">
        <v>77</v>
      </c>
      <c r="V1624" s="9"/>
      <c r="W1624" s="12"/>
      <c r="X1624" s="13"/>
      <c r="Y1624" s="13"/>
      <c r="Z1624" s="13"/>
      <c r="AA1624" s="13"/>
      <c r="AB1624" s="13"/>
      <c r="AC1624" s="13"/>
      <c r="AD1624" s="13"/>
      <c r="AE1624" s="13">
        <v>0</v>
      </c>
      <c r="AF1624" s="13"/>
      <c r="AG1624" s="13"/>
      <c r="AH1624" s="13"/>
      <c r="AI1624" s="13"/>
      <c r="AJ1624" s="13">
        <f t="shared" si="206"/>
        <v>0</v>
      </c>
      <c r="AK1624" s="12"/>
      <c r="AL1624" s="13"/>
      <c r="AM1624" s="9"/>
      <c r="AN1624" s="9"/>
      <c r="AO1624" s="9"/>
      <c r="AP1624" s="14"/>
    </row>
    <row r="1625" spans="1:42" s="45" customFormat="1" ht="22" customHeight="1">
      <c r="A1625" s="14" t="s">
        <v>17</v>
      </c>
      <c r="B1625" s="8">
        <v>2024</v>
      </c>
      <c r="C1625" s="8" t="s">
        <v>24</v>
      </c>
      <c r="D1625" s="9" t="s">
        <v>185</v>
      </c>
      <c r="E1625" s="9" t="s">
        <v>115</v>
      </c>
      <c r="F1625" s="9" t="s">
        <v>434</v>
      </c>
      <c r="G1625" s="8"/>
      <c r="H1625" s="8"/>
      <c r="I1625" s="9" t="s">
        <v>12</v>
      </c>
      <c r="J1625" s="9" t="s">
        <v>12</v>
      </c>
      <c r="K1625" s="9" t="s">
        <v>130</v>
      </c>
      <c r="L1625" s="9" t="s">
        <v>209</v>
      </c>
      <c r="M1625" s="14" t="s">
        <v>84</v>
      </c>
      <c r="N1625" s="9" t="s">
        <v>436</v>
      </c>
      <c r="O1625" s="9" t="s">
        <v>576</v>
      </c>
      <c r="P1625" s="9" t="s">
        <v>595</v>
      </c>
      <c r="Q1625" s="11"/>
      <c r="R1625" s="11"/>
      <c r="S1625" s="11">
        <v>0</v>
      </c>
      <c r="T1625" s="9"/>
      <c r="U1625" s="14" t="s">
        <v>77</v>
      </c>
      <c r="V1625" s="9"/>
      <c r="W1625" s="12"/>
      <c r="X1625" s="13"/>
      <c r="Y1625" s="13"/>
      <c r="Z1625" s="13"/>
      <c r="AA1625" s="13"/>
      <c r="AB1625" s="13"/>
      <c r="AC1625" s="13"/>
      <c r="AD1625" s="13"/>
      <c r="AE1625" s="13">
        <v>0</v>
      </c>
      <c r="AF1625" s="13"/>
      <c r="AG1625" s="13"/>
      <c r="AH1625" s="13"/>
      <c r="AI1625" s="13"/>
      <c r="AJ1625" s="13">
        <f t="shared" si="206"/>
        <v>0</v>
      </c>
      <c r="AK1625" s="12"/>
      <c r="AL1625" s="13"/>
      <c r="AM1625" s="9"/>
      <c r="AN1625" s="9"/>
      <c r="AO1625" s="9"/>
      <c r="AP1625" s="14"/>
    </row>
    <row r="1626" spans="1:42" s="45" customFormat="1" ht="22" customHeight="1">
      <c r="A1626" s="14" t="s">
        <v>17</v>
      </c>
      <c r="B1626" s="8">
        <v>2024</v>
      </c>
      <c r="C1626" s="8" t="s">
        <v>24</v>
      </c>
      <c r="D1626" s="9" t="s">
        <v>185</v>
      </c>
      <c r="E1626" s="9" t="s">
        <v>115</v>
      </c>
      <c r="F1626" s="9" t="s">
        <v>434</v>
      </c>
      <c r="G1626" s="8"/>
      <c r="H1626" s="8"/>
      <c r="I1626" s="9" t="s">
        <v>12</v>
      </c>
      <c r="J1626" s="9" t="s">
        <v>12</v>
      </c>
      <c r="K1626" s="9" t="s">
        <v>130</v>
      </c>
      <c r="L1626" s="9" t="s">
        <v>209</v>
      </c>
      <c r="M1626" s="14" t="s">
        <v>84</v>
      </c>
      <c r="N1626" s="9" t="s">
        <v>436</v>
      </c>
      <c r="O1626" s="9" t="s">
        <v>576</v>
      </c>
      <c r="P1626" s="9" t="s">
        <v>596</v>
      </c>
      <c r="Q1626" s="11"/>
      <c r="R1626" s="11"/>
      <c r="S1626" s="11">
        <v>0</v>
      </c>
      <c r="T1626" s="9"/>
      <c r="U1626" s="14" t="s">
        <v>77</v>
      </c>
      <c r="V1626" s="9"/>
      <c r="W1626" s="12"/>
      <c r="X1626" s="13"/>
      <c r="Y1626" s="13"/>
      <c r="Z1626" s="13"/>
      <c r="AA1626" s="13"/>
      <c r="AB1626" s="13"/>
      <c r="AC1626" s="13"/>
      <c r="AD1626" s="13"/>
      <c r="AE1626" s="13">
        <v>0</v>
      </c>
      <c r="AF1626" s="13"/>
      <c r="AG1626" s="13"/>
      <c r="AH1626" s="13"/>
      <c r="AI1626" s="13"/>
      <c r="AJ1626" s="13">
        <f t="shared" si="206"/>
        <v>0</v>
      </c>
      <c r="AK1626" s="12"/>
      <c r="AL1626" s="13"/>
      <c r="AM1626" s="9"/>
      <c r="AN1626" s="9"/>
      <c r="AO1626" s="9"/>
      <c r="AP1626" s="14"/>
    </row>
    <row r="1627" spans="1:42" s="45" customFormat="1" ht="22" customHeight="1">
      <c r="A1627" s="14" t="s">
        <v>17</v>
      </c>
      <c r="B1627" s="8">
        <v>2024</v>
      </c>
      <c r="C1627" s="8" t="s">
        <v>24</v>
      </c>
      <c r="D1627" s="9" t="s">
        <v>185</v>
      </c>
      <c r="E1627" s="9" t="s">
        <v>115</v>
      </c>
      <c r="F1627" s="9" t="s">
        <v>434</v>
      </c>
      <c r="G1627" s="8"/>
      <c r="H1627" s="8"/>
      <c r="I1627" s="9" t="s">
        <v>12</v>
      </c>
      <c r="J1627" s="9" t="s">
        <v>12</v>
      </c>
      <c r="K1627" s="9" t="s">
        <v>130</v>
      </c>
      <c r="L1627" s="9" t="s">
        <v>209</v>
      </c>
      <c r="M1627" s="14" t="s">
        <v>84</v>
      </c>
      <c r="N1627" s="9" t="s">
        <v>436</v>
      </c>
      <c r="O1627" s="9" t="s">
        <v>576</v>
      </c>
      <c r="P1627" s="9" t="s">
        <v>597</v>
      </c>
      <c r="Q1627" s="11"/>
      <c r="R1627" s="11"/>
      <c r="S1627" s="11">
        <v>0</v>
      </c>
      <c r="T1627" s="9"/>
      <c r="U1627" s="14" t="s">
        <v>77</v>
      </c>
      <c r="V1627" s="9"/>
      <c r="W1627" s="12"/>
      <c r="X1627" s="13"/>
      <c r="Y1627" s="13"/>
      <c r="Z1627" s="13"/>
      <c r="AA1627" s="13"/>
      <c r="AB1627" s="13"/>
      <c r="AC1627" s="13"/>
      <c r="AD1627" s="13"/>
      <c r="AE1627" s="13">
        <v>0</v>
      </c>
      <c r="AF1627" s="13"/>
      <c r="AG1627" s="13"/>
      <c r="AH1627" s="13"/>
      <c r="AI1627" s="13"/>
      <c r="AJ1627" s="13">
        <f t="shared" si="206"/>
        <v>0</v>
      </c>
      <c r="AK1627" s="12"/>
      <c r="AL1627" s="13"/>
      <c r="AM1627" s="9"/>
      <c r="AN1627" s="9"/>
      <c r="AO1627" s="9"/>
      <c r="AP1627" s="14"/>
    </row>
    <row r="1628" spans="1:42" s="45" customFormat="1" ht="22" customHeight="1">
      <c r="A1628" s="14" t="s">
        <v>17</v>
      </c>
      <c r="B1628" s="8">
        <v>2024</v>
      </c>
      <c r="C1628" s="8" t="s">
        <v>24</v>
      </c>
      <c r="D1628" s="9" t="s">
        <v>185</v>
      </c>
      <c r="E1628" s="9" t="s">
        <v>115</v>
      </c>
      <c r="F1628" s="9" t="s">
        <v>434</v>
      </c>
      <c r="G1628" s="8"/>
      <c r="H1628" s="8"/>
      <c r="I1628" s="9" t="s">
        <v>12</v>
      </c>
      <c r="J1628" s="9" t="s">
        <v>12</v>
      </c>
      <c r="K1628" s="9" t="s">
        <v>130</v>
      </c>
      <c r="L1628" s="9" t="s">
        <v>209</v>
      </c>
      <c r="M1628" s="14" t="s">
        <v>84</v>
      </c>
      <c r="N1628" s="9" t="s">
        <v>436</v>
      </c>
      <c r="O1628" s="9" t="s">
        <v>576</v>
      </c>
      <c r="P1628" s="9" t="s">
        <v>598</v>
      </c>
      <c r="Q1628" s="11"/>
      <c r="R1628" s="11"/>
      <c r="S1628" s="11">
        <v>0</v>
      </c>
      <c r="T1628" s="9"/>
      <c r="U1628" s="14" t="s">
        <v>77</v>
      </c>
      <c r="V1628" s="9"/>
      <c r="W1628" s="12"/>
      <c r="X1628" s="13"/>
      <c r="Y1628" s="13"/>
      <c r="Z1628" s="13"/>
      <c r="AA1628" s="13"/>
      <c r="AB1628" s="13"/>
      <c r="AC1628" s="13"/>
      <c r="AD1628" s="13"/>
      <c r="AE1628" s="13">
        <v>0</v>
      </c>
      <c r="AF1628" s="13"/>
      <c r="AG1628" s="13"/>
      <c r="AH1628" s="13"/>
      <c r="AI1628" s="13"/>
      <c r="AJ1628" s="13">
        <f t="shared" si="206"/>
        <v>0</v>
      </c>
      <c r="AK1628" s="12"/>
      <c r="AL1628" s="13"/>
      <c r="AM1628" s="9"/>
      <c r="AN1628" s="9"/>
      <c r="AO1628" s="9"/>
      <c r="AP1628" s="14"/>
    </row>
    <row r="1629" spans="1:42" s="45" customFormat="1" ht="22" customHeight="1">
      <c r="A1629" s="14" t="s">
        <v>17</v>
      </c>
      <c r="B1629" s="8">
        <v>2024</v>
      </c>
      <c r="C1629" s="8" t="s">
        <v>24</v>
      </c>
      <c r="D1629" s="9" t="s">
        <v>185</v>
      </c>
      <c r="E1629" s="9" t="s">
        <v>115</v>
      </c>
      <c r="F1629" s="9" t="s">
        <v>434</v>
      </c>
      <c r="G1629" s="8"/>
      <c r="H1629" s="8"/>
      <c r="I1629" s="9" t="s">
        <v>12</v>
      </c>
      <c r="J1629" s="9" t="s">
        <v>12</v>
      </c>
      <c r="K1629" s="9" t="s">
        <v>130</v>
      </c>
      <c r="L1629" s="9" t="s">
        <v>209</v>
      </c>
      <c r="M1629" s="14" t="s">
        <v>84</v>
      </c>
      <c r="N1629" s="9" t="s">
        <v>436</v>
      </c>
      <c r="O1629" s="9" t="s">
        <v>576</v>
      </c>
      <c r="P1629" s="9" t="s">
        <v>599</v>
      </c>
      <c r="Q1629" s="11"/>
      <c r="R1629" s="11"/>
      <c r="S1629" s="11">
        <v>0</v>
      </c>
      <c r="T1629" s="9"/>
      <c r="U1629" s="14" t="s">
        <v>77</v>
      </c>
      <c r="V1629" s="9"/>
      <c r="W1629" s="12"/>
      <c r="X1629" s="13"/>
      <c r="Y1629" s="13"/>
      <c r="Z1629" s="13"/>
      <c r="AA1629" s="13"/>
      <c r="AB1629" s="13"/>
      <c r="AC1629" s="13"/>
      <c r="AD1629" s="13"/>
      <c r="AE1629" s="13">
        <v>0</v>
      </c>
      <c r="AF1629" s="13"/>
      <c r="AG1629" s="13"/>
      <c r="AH1629" s="13"/>
      <c r="AI1629" s="13"/>
      <c r="AJ1629" s="13">
        <f t="shared" si="206"/>
        <v>0</v>
      </c>
      <c r="AK1629" s="12"/>
      <c r="AL1629" s="13"/>
      <c r="AM1629" s="9"/>
      <c r="AN1629" s="9"/>
      <c r="AO1629" s="9"/>
      <c r="AP1629" s="14"/>
    </row>
    <row r="1630" spans="1:42" s="45" customFormat="1" ht="22" customHeight="1">
      <c r="A1630" s="14" t="s">
        <v>17</v>
      </c>
      <c r="B1630" s="8">
        <v>2024</v>
      </c>
      <c r="C1630" s="8" t="s">
        <v>24</v>
      </c>
      <c r="D1630" s="9" t="s">
        <v>185</v>
      </c>
      <c r="E1630" s="9" t="s">
        <v>115</v>
      </c>
      <c r="F1630" s="9" t="s">
        <v>434</v>
      </c>
      <c r="G1630" s="8"/>
      <c r="H1630" s="8"/>
      <c r="I1630" s="9" t="s">
        <v>12</v>
      </c>
      <c r="J1630" s="9" t="s">
        <v>12</v>
      </c>
      <c r="K1630" s="9" t="s">
        <v>130</v>
      </c>
      <c r="L1630" s="9" t="s">
        <v>209</v>
      </c>
      <c r="M1630" s="14" t="s">
        <v>84</v>
      </c>
      <c r="N1630" s="9" t="s">
        <v>436</v>
      </c>
      <c r="O1630" s="9" t="s">
        <v>576</v>
      </c>
      <c r="P1630" s="9" t="s">
        <v>600</v>
      </c>
      <c r="Q1630" s="11"/>
      <c r="R1630" s="11"/>
      <c r="S1630" s="11">
        <v>0</v>
      </c>
      <c r="T1630" s="9"/>
      <c r="U1630" s="14" t="s">
        <v>77</v>
      </c>
      <c r="V1630" s="9"/>
      <c r="W1630" s="12"/>
      <c r="X1630" s="13"/>
      <c r="Y1630" s="13"/>
      <c r="Z1630" s="13"/>
      <c r="AA1630" s="13"/>
      <c r="AB1630" s="13"/>
      <c r="AC1630" s="13"/>
      <c r="AD1630" s="13"/>
      <c r="AE1630" s="13">
        <v>0</v>
      </c>
      <c r="AF1630" s="13"/>
      <c r="AG1630" s="13"/>
      <c r="AH1630" s="13"/>
      <c r="AI1630" s="13"/>
      <c r="AJ1630" s="13">
        <f t="shared" si="206"/>
        <v>0</v>
      </c>
      <c r="AK1630" s="12"/>
      <c r="AL1630" s="13"/>
      <c r="AM1630" s="9"/>
      <c r="AN1630" s="9"/>
      <c r="AO1630" s="9"/>
      <c r="AP1630" s="14"/>
    </row>
    <row r="1631" spans="1:42" s="45" customFormat="1" ht="22" customHeight="1">
      <c r="A1631" s="14" t="s">
        <v>17</v>
      </c>
      <c r="B1631" s="8">
        <v>2024</v>
      </c>
      <c r="C1631" s="8" t="s">
        <v>24</v>
      </c>
      <c r="D1631" s="9" t="s">
        <v>185</v>
      </c>
      <c r="E1631" s="9" t="s">
        <v>115</v>
      </c>
      <c r="F1631" s="9" t="s">
        <v>434</v>
      </c>
      <c r="G1631" s="8"/>
      <c r="H1631" s="8"/>
      <c r="I1631" s="9" t="s">
        <v>12</v>
      </c>
      <c r="J1631" s="9" t="s">
        <v>12</v>
      </c>
      <c r="K1631" s="9" t="s">
        <v>130</v>
      </c>
      <c r="L1631" s="9" t="s">
        <v>209</v>
      </c>
      <c r="M1631" s="14" t="s">
        <v>84</v>
      </c>
      <c r="N1631" s="9" t="s">
        <v>436</v>
      </c>
      <c r="O1631" s="9" t="s">
        <v>576</v>
      </c>
      <c r="P1631" s="9" t="s">
        <v>601</v>
      </c>
      <c r="Q1631" s="11"/>
      <c r="R1631" s="11"/>
      <c r="S1631" s="11">
        <v>0</v>
      </c>
      <c r="T1631" s="9"/>
      <c r="U1631" s="14" t="s">
        <v>77</v>
      </c>
      <c r="V1631" s="9"/>
      <c r="W1631" s="12"/>
      <c r="X1631" s="13"/>
      <c r="Y1631" s="13"/>
      <c r="Z1631" s="13"/>
      <c r="AA1631" s="13"/>
      <c r="AB1631" s="13"/>
      <c r="AC1631" s="13"/>
      <c r="AD1631" s="13"/>
      <c r="AE1631" s="13">
        <v>0</v>
      </c>
      <c r="AF1631" s="13"/>
      <c r="AG1631" s="13"/>
      <c r="AH1631" s="13"/>
      <c r="AI1631" s="13"/>
      <c r="AJ1631" s="13">
        <f t="shared" si="206"/>
        <v>0</v>
      </c>
      <c r="AK1631" s="12"/>
      <c r="AL1631" s="13"/>
      <c r="AM1631" s="9"/>
      <c r="AN1631" s="9"/>
      <c r="AO1631" s="9"/>
      <c r="AP1631" s="14"/>
    </row>
    <row r="1632" spans="1:42" s="45" customFormat="1" ht="22" customHeight="1">
      <c r="A1632" s="14" t="s">
        <v>17</v>
      </c>
      <c r="B1632" s="8">
        <v>2024</v>
      </c>
      <c r="C1632" s="8" t="s">
        <v>24</v>
      </c>
      <c r="D1632" s="9" t="s">
        <v>185</v>
      </c>
      <c r="E1632" s="9" t="s">
        <v>115</v>
      </c>
      <c r="F1632" s="9" t="s">
        <v>434</v>
      </c>
      <c r="G1632" s="8"/>
      <c r="H1632" s="8"/>
      <c r="I1632" s="9" t="s">
        <v>12</v>
      </c>
      <c r="J1632" s="9" t="s">
        <v>12</v>
      </c>
      <c r="K1632" s="9" t="s">
        <v>130</v>
      </c>
      <c r="L1632" s="9" t="s">
        <v>209</v>
      </c>
      <c r="M1632" s="14" t="s">
        <v>84</v>
      </c>
      <c r="N1632" s="9" t="s">
        <v>436</v>
      </c>
      <c r="O1632" s="9" t="s">
        <v>576</v>
      </c>
      <c r="P1632" s="9" t="s">
        <v>602</v>
      </c>
      <c r="Q1632" s="11"/>
      <c r="R1632" s="11"/>
      <c r="S1632" s="11">
        <v>0</v>
      </c>
      <c r="T1632" s="9"/>
      <c r="U1632" s="14" t="s">
        <v>77</v>
      </c>
      <c r="V1632" s="9"/>
      <c r="W1632" s="12"/>
      <c r="X1632" s="13"/>
      <c r="Y1632" s="13"/>
      <c r="Z1632" s="13"/>
      <c r="AA1632" s="13"/>
      <c r="AB1632" s="13"/>
      <c r="AC1632" s="13"/>
      <c r="AD1632" s="13"/>
      <c r="AE1632" s="13">
        <v>0</v>
      </c>
      <c r="AF1632" s="13"/>
      <c r="AG1632" s="13"/>
      <c r="AH1632" s="13"/>
      <c r="AI1632" s="13"/>
      <c r="AJ1632" s="13">
        <f t="shared" si="206"/>
        <v>0</v>
      </c>
      <c r="AK1632" s="12"/>
      <c r="AL1632" s="13"/>
      <c r="AM1632" s="9"/>
      <c r="AN1632" s="9"/>
      <c r="AO1632" s="9"/>
      <c r="AP1632" s="14"/>
    </row>
    <row r="1633" spans="1:42" s="45" customFormat="1" ht="22" customHeight="1">
      <c r="A1633" s="14" t="s">
        <v>17</v>
      </c>
      <c r="B1633" s="8">
        <v>2024</v>
      </c>
      <c r="C1633" s="8" t="s">
        <v>24</v>
      </c>
      <c r="D1633" s="9" t="s">
        <v>185</v>
      </c>
      <c r="E1633" s="9" t="s">
        <v>115</v>
      </c>
      <c r="F1633" s="9" t="s">
        <v>434</v>
      </c>
      <c r="G1633" s="8"/>
      <c r="H1633" s="8"/>
      <c r="I1633" s="9" t="s">
        <v>12</v>
      </c>
      <c r="J1633" s="9" t="s">
        <v>12</v>
      </c>
      <c r="K1633" s="9" t="s">
        <v>130</v>
      </c>
      <c r="L1633" s="9" t="s">
        <v>209</v>
      </c>
      <c r="M1633" s="14" t="s">
        <v>84</v>
      </c>
      <c r="N1633" s="9" t="s">
        <v>436</v>
      </c>
      <c r="O1633" s="9" t="s">
        <v>576</v>
      </c>
      <c r="P1633" s="9" t="s">
        <v>603</v>
      </c>
      <c r="Q1633" s="11"/>
      <c r="R1633" s="11"/>
      <c r="S1633" s="11">
        <v>0</v>
      </c>
      <c r="T1633" s="9"/>
      <c r="U1633" s="14" t="s">
        <v>77</v>
      </c>
      <c r="V1633" s="9"/>
      <c r="W1633" s="12"/>
      <c r="X1633" s="13"/>
      <c r="Y1633" s="13"/>
      <c r="Z1633" s="13"/>
      <c r="AA1633" s="13"/>
      <c r="AB1633" s="13"/>
      <c r="AC1633" s="13"/>
      <c r="AD1633" s="13"/>
      <c r="AE1633" s="13">
        <v>0</v>
      </c>
      <c r="AF1633" s="13"/>
      <c r="AG1633" s="13"/>
      <c r="AH1633" s="13"/>
      <c r="AI1633" s="13"/>
      <c r="AJ1633" s="13">
        <f t="shared" si="206"/>
        <v>0</v>
      </c>
      <c r="AK1633" s="12"/>
      <c r="AL1633" s="13"/>
      <c r="AM1633" s="9"/>
      <c r="AN1633" s="9"/>
      <c r="AO1633" s="9"/>
      <c r="AP1633" s="14"/>
    </row>
    <row r="1634" spans="1:42" s="45" customFormat="1" ht="22" customHeight="1">
      <c r="A1634" s="14" t="s">
        <v>17</v>
      </c>
      <c r="B1634" s="8">
        <v>2024</v>
      </c>
      <c r="C1634" s="8" t="s">
        <v>24</v>
      </c>
      <c r="D1634" s="9" t="s">
        <v>185</v>
      </c>
      <c r="E1634" s="9" t="s">
        <v>115</v>
      </c>
      <c r="F1634" s="9" t="s">
        <v>434</v>
      </c>
      <c r="G1634" s="8"/>
      <c r="H1634" s="8"/>
      <c r="I1634" s="9" t="s">
        <v>12</v>
      </c>
      <c r="J1634" s="9" t="s">
        <v>12</v>
      </c>
      <c r="K1634" s="9" t="s">
        <v>130</v>
      </c>
      <c r="L1634" s="9" t="s">
        <v>209</v>
      </c>
      <c r="M1634" s="14" t="s">
        <v>84</v>
      </c>
      <c r="N1634" s="9" t="s">
        <v>436</v>
      </c>
      <c r="O1634" s="9" t="s">
        <v>576</v>
      </c>
      <c r="P1634" s="9" t="s">
        <v>604</v>
      </c>
      <c r="Q1634" s="11"/>
      <c r="R1634" s="11"/>
      <c r="S1634" s="11">
        <v>0</v>
      </c>
      <c r="T1634" s="9"/>
      <c r="U1634" s="14" t="s">
        <v>77</v>
      </c>
      <c r="V1634" s="9"/>
      <c r="W1634" s="12"/>
      <c r="X1634" s="13"/>
      <c r="Y1634" s="13"/>
      <c r="Z1634" s="13"/>
      <c r="AA1634" s="13"/>
      <c r="AB1634" s="13"/>
      <c r="AC1634" s="13"/>
      <c r="AD1634" s="13"/>
      <c r="AE1634" s="13">
        <v>0</v>
      </c>
      <c r="AF1634" s="13"/>
      <c r="AG1634" s="13"/>
      <c r="AH1634" s="13"/>
      <c r="AI1634" s="13"/>
      <c r="AJ1634" s="13">
        <f t="shared" si="206"/>
        <v>0</v>
      </c>
      <c r="AK1634" s="12"/>
      <c r="AL1634" s="13"/>
      <c r="AM1634" s="9"/>
      <c r="AN1634" s="9"/>
      <c r="AO1634" s="9"/>
      <c r="AP1634" s="14"/>
    </row>
    <row r="1635" spans="1:42" s="45" customFormat="1" ht="22" customHeight="1">
      <c r="A1635" s="14" t="s">
        <v>17</v>
      </c>
      <c r="B1635" s="8">
        <v>2024</v>
      </c>
      <c r="C1635" s="8" t="s">
        <v>24</v>
      </c>
      <c r="D1635" s="9" t="s">
        <v>185</v>
      </c>
      <c r="E1635" s="9" t="s">
        <v>115</v>
      </c>
      <c r="F1635" s="9" t="s">
        <v>434</v>
      </c>
      <c r="G1635" s="8"/>
      <c r="H1635" s="8"/>
      <c r="I1635" s="9" t="s">
        <v>12</v>
      </c>
      <c r="J1635" s="9" t="s">
        <v>12</v>
      </c>
      <c r="K1635" s="9" t="s">
        <v>130</v>
      </c>
      <c r="L1635" s="9" t="s">
        <v>209</v>
      </c>
      <c r="M1635" s="14" t="s">
        <v>84</v>
      </c>
      <c r="N1635" s="9" t="s">
        <v>436</v>
      </c>
      <c r="O1635" s="9" t="s">
        <v>576</v>
      </c>
      <c r="P1635" s="9" t="s">
        <v>605</v>
      </c>
      <c r="Q1635" s="11"/>
      <c r="R1635" s="11"/>
      <c r="S1635" s="11">
        <v>0</v>
      </c>
      <c r="T1635" s="9"/>
      <c r="U1635" s="14" t="s">
        <v>77</v>
      </c>
      <c r="V1635" s="9"/>
      <c r="W1635" s="12"/>
      <c r="X1635" s="13"/>
      <c r="Y1635" s="13"/>
      <c r="Z1635" s="13"/>
      <c r="AA1635" s="13"/>
      <c r="AB1635" s="13"/>
      <c r="AC1635" s="13"/>
      <c r="AD1635" s="13"/>
      <c r="AE1635" s="13">
        <v>0</v>
      </c>
      <c r="AF1635" s="13"/>
      <c r="AG1635" s="13"/>
      <c r="AH1635" s="13"/>
      <c r="AI1635" s="13"/>
      <c r="AJ1635" s="13">
        <f t="shared" si="206"/>
        <v>0</v>
      </c>
      <c r="AK1635" s="12"/>
      <c r="AL1635" s="13"/>
      <c r="AM1635" s="9"/>
      <c r="AN1635" s="9"/>
      <c r="AO1635" s="9"/>
      <c r="AP1635" s="14"/>
    </row>
    <row r="1636" spans="1:42" s="45" customFormat="1" ht="22" customHeight="1">
      <c r="A1636" s="14" t="s">
        <v>17</v>
      </c>
      <c r="B1636" s="8">
        <v>2024</v>
      </c>
      <c r="C1636" s="8" t="s">
        <v>24</v>
      </c>
      <c r="D1636" s="9" t="s">
        <v>185</v>
      </c>
      <c r="E1636" s="9" t="s">
        <v>115</v>
      </c>
      <c r="F1636" s="9" t="s">
        <v>434</v>
      </c>
      <c r="G1636" s="8"/>
      <c r="H1636" s="8"/>
      <c r="I1636" s="9" t="s">
        <v>12</v>
      </c>
      <c r="J1636" s="9" t="s">
        <v>12</v>
      </c>
      <c r="K1636" s="9" t="s">
        <v>130</v>
      </c>
      <c r="L1636" s="9" t="s">
        <v>209</v>
      </c>
      <c r="M1636" s="14" t="s">
        <v>84</v>
      </c>
      <c r="N1636" s="9" t="s">
        <v>436</v>
      </c>
      <c r="O1636" s="9" t="s">
        <v>576</v>
      </c>
      <c r="P1636" s="9" t="s">
        <v>606</v>
      </c>
      <c r="Q1636" s="11"/>
      <c r="R1636" s="11"/>
      <c r="S1636" s="11">
        <v>0</v>
      </c>
      <c r="T1636" s="9"/>
      <c r="U1636" s="14" t="s">
        <v>77</v>
      </c>
      <c r="V1636" s="9"/>
      <c r="W1636" s="12"/>
      <c r="X1636" s="13"/>
      <c r="Y1636" s="13"/>
      <c r="Z1636" s="13"/>
      <c r="AA1636" s="13"/>
      <c r="AB1636" s="13"/>
      <c r="AC1636" s="13"/>
      <c r="AD1636" s="13"/>
      <c r="AE1636" s="13">
        <v>0</v>
      </c>
      <c r="AF1636" s="13"/>
      <c r="AG1636" s="13"/>
      <c r="AH1636" s="13"/>
      <c r="AI1636" s="13"/>
      <c r="AJ1636" s="13">
        <f t="shared" si="206"/>
        <v>0</v>
      </c>
      <c r="AK1636" s="12"/>
      <c r="AL1636" s="13"/>
      <c r="AM1636" s="9"/>
      <c r="AN1636" s="9"/>
      <c r="AO1636" s="9"/>
      <c r="AP1636" s="14"/>
    </row>
    <row r="1637" spans="1:42" s="45" customFormat="1" ht="22" customHeight="1">
      <c r="A1637" s="14" t="s">
        <v>17</v>
      </c>
      <c r="B1637" s="8">
        <v>2024</v>
      </c>
      <c r="C1637" s="8" t="s">
        <v>24</v>
      </c>
      <c r="D1637" s="9" t="s">
        <v>185</v>
      </c>
      <c r="E1637" s="9" t="s">
        <v>115</v>
      </c>
      <c r="F1637" s="9" t="s">
        <v>434</v>
      </c>
      <c r="G1637" s="8"/>
      <c r="H1637" s="8"/>
      <c r="I1637" s="9" t="s">
        <v>12</v>
      </c>
      <c r="J1637" s="9" t="s">
        <v>12</v>
      </c>
      <c r="K1637" s="9" t="s">
        <v>130</v>
      </c>
      <c r="L1637" s="9" t="s">
        <v>209</v>
      </c>
      <c r="M1637" s="14" t="s">
        <v>84</v>
      </c>
      <c r="N1637" s="9" t="s">
        <v>436</v>
      </c>
      <c r="O1637" s="9" t="s">
        <v>576</v>
      </c>
      <c r="P1637" s="9" t="s">
        <v>607</v>
      </c>
      <c r="Q1637" s="11"/>
      <c r="R1637" s="11"/>
      <c r="S1637" s="11">
        <v>0</v>
      </c>
      <c r="T1637" s="9"/>
      <c r="U1637" s="14" t="s">
        <v>77</v>
      </c>
      <c r="V1637" s="9"/>
      <c r="W1637" s="12"/>
      <c r="X1637" s="13"/>
      <c r="Y1637" s="13"/>
      <c r="Z1637" s="13"/>
      <c r="AA1637" s="13"/>
      <c r="AB1637" s="13"/>
      <c r="AC1637" s="13"/>
      <c r="AD1637" s="13"/>
      <c r="AE1637" s="13">
        <v>0</v>
      </c>
      <c r="AF1637" s="13"/>
      <c r="AG1637" s="13"/>
      <c r="AH1637" s="13"/>
      <c r="AI1637" s="13"/>
      <c r="AJ1637" s="13">
        <f t="shared" si="206"/>
        <v>0</v>
      </c>
      <c r="AK1637" s="12"/>
      <c r="AL1637" s="13"/>
      <c r="AM1637" s="9"/>
      <c r="AN1637" s="9"/>
      <c r="AO1637" s="9"/>
      <c r="AP1637" s="14"/>
    </row>
    <row r="1638" spans="1:42" s="45" customFormat="1" ht="22" customHeight="1">
      <c r="A1638" s="14" t="s">
        <v>17</v>
      </c>
      <c r="B1638" s="8">
        <v>2024</v>
      </c>
      <c r="C1638" s="8" t="s">
        <v>24</v>
      </c>
      <c r="D1638" s="9" t="s">
        <v>185</v>
      </c>
      <c r="E1638" s="9" t="s">
        <v>115</v>
      </c>
      <c r="F1638" s="9" t="s">
        <v>434</v>
      </c>
      <c r="G1638" s="8"/>
      <c r="H1638" s="8"/>
      <c r="I1638" s="9" t="s">
        <v>12</v>
      </c>
      <c r="J1638" s="9" t="s">
        <v>12</v>
      </c>
      <c r="K1638" s="9" t="s">
        <v>130</v>
      </c>
      <c r="L1638" s="9" t="s">
        <v>209</v>
      </c>
      <c r="M1638" s="14" t="s">
        <v>84</v>
      </c>
      <c r="N1638" s="9" t="s">
        <v>436</v>
      </c>
      <c r="O1638" s="9" t="s">
        <v>576</v>
      </c>
      <c r="P1638" s="9" t="s">
        <v>608</v>
      </c>
      <c r="Q1638" s="11"/>
      <c r="R1638" s="11"/>
      <c r="S1638" s="11">
        <v>0</v>
      </c>
      <c r="T1638" s="9"/>
      <c r="U1638" s="14" t="s">
        <v>77</v>
      </c>
      <c r="V1638" s="9"/>
      <c r="W1638" s="12"/>
      <c r="X1638" s="13"/>
      <c r="Y1638" s="13"/>
      <c r="Z1638" s="13"/>
      <c r="AA1638" s="13"/>
      <c r="AB1638" s="13"/>
      <c r="AC1638" s="13"/>
      <c r="AD1638" s="13"/>
      <c r="AE1638" s="13">
        <v>0</v>
      </c>
      <c r="AF1638" s="13"/>
      <c r="AG1638" s="13"/>
      <c r="AH1638" s="13"/>
      <c r="AI1638" s="13"/>
      <c r="AJ1638" s="13">
        <f t="shared" si="206"/>
        <v>0</v>
      </c>
      <c r="AK1638" s="12"/>
      <c r="AL1638" s="13"/>
      <c r="AM1638" s="9"/>
      <c r="AN1638" s="9"/>
      <c r="AO1638" s="9"/>
      <c r="AP1638" s="14"/>
    </row>
    <row r="1639" spans="1:42" s="45" customFormat="1" ht="22" customHeight="1">
      <c r="A1639" s="14" t="s">
        <v>17</v>
      </c>
      <c r="B1639" s="8">
        <v>2024</v>
      </c>
      <c r="C1639" s="8" t="s">
        <v>24</v>
      </c>
      <c r="D1639" s="9" t="s">
        <v>185</v>
      </c>
      <c r="E1639" s="9" t="s">
        <v>115</v>
      </c>
      <c r="F1639" s="9" t="s">
        <v>434</v>
      </c>
      <c r="G1639" s="8"/>
      <c r="H1639" s="8"/>
      <c r="I1639" s="9" t="s">
        <v>12</v>
      </c>
      <c r="J1639" s="9" t="s">
        <v>12</v>
      </c>
      <c r="K1639" s="9" t="s">
        <v>130</v>
      </c>
      <c r="L1639" s="9" t="s">
        <v>209</v>
      </c>
      <c r="M1639" s="14" t="s">
        <v>84</v>
      </c>
      <c r="N1639" s="9" t="s">
        <v>436</v>
      </c>
      <c r="O1639" s="9" t="s">
        <v>576</v>
      </c>
      <c r="P1639" s="9" t="s">
        <v>609</v>
      </c>
      <c r="Q1639" s="11"/>
      <c r="R1639" s="11"/>
      <c r="S1639" s="11">
        <v>0</v>
      </c>
      <c r="T1639" s="9"/>
      <c r="U1639" s="14" t="s">
        <v>77</v>
      </c>
      <c r="V1639" s="9"/>
      <c r="W1639" s="12"/>
      <c r="X1639" s="13"/>
      <c r="Y1639" s="13"/>
      <c r="Z1639" s="13"/>
      <c r="AA1639" s="13"/>
      <c r="AB1639" s="13"/>
      <c r="AC1639" s="13"/>
      <c r="AD1639" s="13"/>
      <c r="AE1639" s="13">
        <v>0</v>
      </c>
      <c r="AF1639" s="13"/>
      <c r="AG1639" s="13"/>
      <c r="AH1639" s="13"/>
      <c r="AI1639" s="13"/>
      <c r="AJ1639" s="13">
        <f t="shared" si="206"/>
        <v>0</v>
      </c>
      <c r="AK1639" s="12"/>
      <c r="AL1639" s="13"/>
      <c r="AM1639" s="9"/>
      <c r="AN1639" s="9"/>
      <c r="AO1639" s="9"/>
      <c r="AP1639" s="14"/>
    </row>
    <row r="1640" spans="1:42" s="45" customFormat="1" ht="22" customHeight="1">
      <c r="A1640" s="14" t="s">
        <v>17</v>
      </c>
      <c r="B1640" s="8">
        <v>2024</v>
      </c>
      <c r="C1640" s="8" t="s">
        <v>24</v>
      </c>
      <c r="D1640" s="9" t="s">
        <v>185</v>
      </c>
      <c r="E1640" s="9" t="s">
        <v>115</v>
      </c>
      <c r="F1640" s="9" t="s">
        <v>434</v>
      </c>
      <c r="G1640" s="8"/>
      <c r="H1640" s="8"/>
      <c r="I1640" s="9" t="s">
        <v>12</v>
      </c>
      <c r="J1640" s="9" t="s">
        <v>12</v>
      </c>
      <c r="K1640" s="9" t="s">
        <v>130</v>
      </c>
      <c r="L1640" s="9" t="s">
        <v>209</v>
      </c>
      <c r="M1640" s="14" t="s">
        <v>84</v>
      </c>
      <c r="N1640" s="9" t="s">
        <v>436</v>
      </c>
      <c r="O1640" s="9" t="s">
        <v>576</v>
      </c>
      <c r="P1640" s="9" t="s">
        <v>533</v>
      </c>
      <c r="Q1640" s="11"/>
      <c r="R1640" s="11"/>
      <c r="S1640" s="11">
        <v>0</v>
      </c>
      <c r="T1640" s="9"/>
      <c r="U1640" s="14" t="s">
        <v>77</v>
      </c>
      <c r="V1640" s="9"/>
      <c r="W1640" s="12"/>
      <c r="X1640" s="13"/>
      <c r="Y1640" s="13"/>
      <c r="Z1640" s="13"/>
      <c r="AA1640" s="13"/>
      <c r="AB1640" s="13"/>
      <c r="AC1640" s="13"/>
      <c r="AD1640" s="13"/>
      <c r="AE1640" s="13">
        <v>0</v>
      </c>
      <c r="AF1640" s="13"/>
      <c r="AG1640" s="13"/>
      <c r="AH1640" s="13"/>
      <c r="AI1640" s="13"/>
      <c r="AJ1640" s="13">
        <f t="shared" si="206"/>
        <v>0</v>
      </c>
      <c r="AK1640" s="12"/>
      <c r="AL1640" s="13"/>
      <c r="AM1640" s="9"/>
      <c r="AN1640" s="9"/>
      <c r="AO1640" s="9"/>
      <c r="AP1640" s="14"/>
    </row>
    <row r="1641" spans="1:42" s="45" customFormat="1" ht="22" customHeight="1">
      <c r="A1641" s="14" t="s">
        <v>17</v>
      </c>
      <c r="B1641" s="8">
        <v>2024</v>
      </c>
      <c r="C1641" s="8" t="s">
        <v>24</v>
      </c>
      <c r="D1641" s="9" t="s">
        <v>185</v>
      </c>
      <c r="E1641" s="9" t="s">
        <v>115</v>
      </c>
      <c r="F1641" s="9" t="s">
        <v>434</v>
      </c>
      <c r="G1641" s="8"/>
      <c r="H1641" s="8"/>
      <c r="I1641" s="9" t="s">
        <v>12</v>
      </c>
      <c r="J1641" s="9" t="s">
        <v>12</v>
      </c>
      <c r="K1641" s="9" t="s">
        <v>130</v>
      </c>
      <c r="L1641" s="9" t="s">
        <v>209</v>
      </c>
      <c r="M1641" s="14" t="s">
        <v>84</v>
      </c>
      <c r="N1641" s="9" t="s">
        <v>436</v>
      </c>
      <c r="O1641" s="9" t="s">
        <v>576</v>
      </c>
      <c r="P1641" s="9" t="s">
        <v>610</v>
      </c>
      <c r="Q1641" s="11"/>
      <c r="R1641" s="11"/>
      <c r="S1641" s="11">
        <v>0</v>
      </c>
      <c r="T1641" s="9"/>
      <c r="U1641" s="14" t="s">
        <v>77</v>
      </c>
      <c r="V1641" s="9"/>
      <c r="W1641" s="12"/>
      <c r="X1641" s="13"/>
      <c r="Y1641" s="13"/>
      <c r="Z1641" s="13"/>
      <c r="AA1641" s="13"/>
      <c r="AB1641" s="13"/>
      <c r="AC1641" s="13"/>
      <c r="AD1641" s="13"/>
      <c r="AE1641" s="13">
        <v>0</v>
      </c>
      <c r="AF1641" s="13"/>
      <c r="AG1641" s="13"/>
      <c r="AH1641" s="13"/>
      <c r="AI1641" s="13"/>
      <c r="AJ1641" s="13">
        <f t="shared" si="206"/>
        <v>0</v>
      </c>
      <c r="AK1641" s="12"/>
      <c r="AL1641" s="13"/>
      <c r="AM1641" s="9"/>
      <c r="AN1641" s="9"/>
      <c r="AO1641" s="9"/>
      <c r="AP1641" s="14"/>
    </row>
    <row r="1642" spans="1:42" s="45" customFormat="1" ht="22" customHeight="1">
      <c r="A1642" s="14" t="s">
        <v>17</v>
      </c>
      <c r="B1642" s="8">
        <v>2024</v>
      </c>
      <c r="C1642" s="8" t="s">
        <v>24</v>
      </c>
      <c r="D1642" s="9" t="s">
        <v>185</v>
      </c>
      <c r="E1642" s="9" t="s">
        <v>115</v>
      </c>
      <c r="F1642" s="9" t="s">
        <v>434</v>
      </c>
      <c r="G1642" s="8"/>
      <c r="H1642" s="8"/>
      <c r="I1642" s="9" t="s">
        <v>12</v>
      </c>
      <c r="J1642" s="9" t="s">
        <v>12</v>
      </c>
      <c r="K1642" s="9" t="s">
        <v>130</v>
      </c>
      <c r="L1642" s="9" t="s">
        <v>209</v>
      </c>
      <c r="M1642" s="14" t="s">
        <v>84</v>
      </c>
      <c r="N1642" s="9" t="s">
        <v>436</v>
      </c>
      <c r="O1642" s="9" t="s">
        <v>576</v>
      </c>
      <c r="P1642" s="9" t="s">
        <v>611</v>
      </c>
      <c r="Q1642" s="11"/>
      <c r="R1642" s="11"/>
      <c r="S1642" s="11">
        <v>0</v>
      </c>
      <c r="T1642" s="9"/>
      <c r="U1642" s="14" t="s">
        <v>77</v>
      </c>
      <c r="V1642" s="9"/>
      <c r="W1642" s="12"/>
      <c r="X1642" s="13"/>
      <c r="Y1642" s="13"/>
      <c r="Z1642" s="13"/>
      <c r="AA1642" s="13"/>
      <c r="AB1642" s="13"/>
      <c r="AC1642" s="13"/>
      <c r="AD1642" s="13"/>
      <c r="AE1642" s="13">
        <v>0</v>
      </c>
      <c r="AF1642" s="13"/>
      <c r="AG1642" s="13"/>
      <c r="AH1642" s="13"/>
      <c r="AI1642" s="13"/>
      <c r="AJ1642" s="13">
        <f t="shared" si="206"/>
        <v>0</v>
      </c>
      <c r="AK1642" s="12"/>
      <c r="AL1642" s="13"/>
      <c r="AM1642" s="9"/>
      <c r="AN1642" s="9"/>
      <c r="AO1642" s="9"/>
      <c r="AP1642" s="14"/>
    </row>
    <row r="1643" spans="1:42" s="45" customFormat="1" ht="22" customHeight="1">
      <c r="A1643" s="14" t="s">
        <v>17</v>
      </c>
      <c r="B1643" s="8">
        <v>2024</v>
      </c>
      <c r="C1643" s="8" t="s">
        <v>24</v>
      </c>
      <c r="D1643" s="9" t="s">
        <v>185</v>
      </c>
      <c r="E1643" s="9" t="s">
        <v>115</v>
      </c>
      <c r="F1643" s="9" t="s">
        <v>434</v>
      </c>
      <c r="G1643" s="8"/>
      <c r="H1643" s="8"/>
      <c r="I1643" s="9" t="s">
        <v>12</v>
      </c>
      <c r="J1643" s="9" t="s">
        <v>12</v>
      </c>
      <c r="K1643" s="9" t="s">
        <v>130</v>
      </c>
      <c r="L1643" s="9" t="s">
        <v>209</v>
      </c>
      <c r="M1643" s="14" t="s">
        <v>84</v>
      </c>
      <c r="N1643" s="9" t="s">
        <v>436</v>
      </c>
      <c r="O1643" s="9" t="s">
        <v>576</v>
      </c>
      <c r="P1643" s="9" t="s">
        <v>612</v>
      </c>
      <c r="Q1643" s="11"/>
      <c r="R1643" s="11"/>
      <c r="S1643" s="11">
        <v>0</v>
      </c>
      <c r="T1643" s="9"/>
      <c r="U1643" s="14" t="s">
        <v>77</v>
      </c>
      <c r="V1643" s="9"/>
      <c r="W1643" s="12"/>
      <c r="X1643" s="13"/>
      <c r="Y1643" s="13"/>
      <c r="Z1643" s="13"/>
      <c r="AA1643" s="13"/>
      <c r="AB1643" s="13"/>
      <c r="AC1643" s="13"/>
      <c r="AD1643" s="13"/>
      <c r="AE1643" s="13">
        <v>0</v>
      </c>
      <c r="AF1643" s="13"/>
      <c r="AG1643" s="13"/>
      <c r="AH1643" s="13"/>
      <c r="AI1643" s="13"/>
      <c r="AJ1643" s="13">
        <f t="shared" si="206"/>
        <v>0</v>
      </c>
      <c r="AK1643" s="12"/>
      <c r="AL1643" s="13"/>
      <c r="AM1643" s="9"/>
      <c r="AN1643" s="9"/>
      <c r="AO1643" s="9"/>
      <c r="AP1643" s="14"/>
    </row>
    <row r="1644" spans="1:42" s="45" customFormat="1" ht="22" customHeight="1">
      <c r="A1644" s="14" t="s">
        <v>17</v>
      </c>
      <c r="B1644" s="8">
        <v>2024</v>
      </c>
      <c r="C1644" s="8" t="s">
        <v>24</v>
      </c>
      <c r="D1644" s="9" t="s">
        <v>185</v>
      </c>
      <c r="E1644" s="9" t="s">
        <v>115</v>
      </c>
      <c r="F1644" s="9" t="s">
        <v>434</v>
      </c>
      <c r="G1644" s="8"/>
      <c r="H1644" s="8"/>
      <c r="I1644" s="9" t="s">
        <v>12</v>
      </c>
      <c r="J1644" s="9" t="s">
        <v>12</v>
      </c>
      <c r="K1644" s="9" t="s">
        <v>130</v>
      </c>
      <c r="L1644" s="9" t="s">
        <v>209</v>
      </c>
      <c r="M1644" s="14" t="s">
        <v>84</v>
      </c>
      <c r="N1644" s="9" t="s">
        <v>436</v>
      </c>
      <c r="O1644" s="9" t="s">
        <v>576</v>
      </c>
      <c r="P1644" s="9" t="s">
        <v>613</v>
      </c>
      <c r="Q1644" s="11"/>
      <c r="R1644" s="11"/>
      <c r="S1644" s="11">
        <v>0</v>
      </c>
      <c r="T1644" s="9"/>
      <c r="U1644" s="14" t="s">
        <v>77</v>
      </c>
      <c r="V1644" s="9"/>
      <c r="W1644" s="12"/>
      <c r="X1644" s="13"/>
      <c r="Y1644" s="13"/>
      <c r="Z1644" s="13"/>
      <c r="AA1644" s="13"/>
      <c r="AB1644" s="13"/>
      <c r="AC1644" s="13"/>
      <c r="AD1644" s="13"/>
      <c r="AE1644" s="13">
        <v>0</v>
      </c>
      <c r="AF1644" s="13"/>
      <c r="AG1644" s="13"/>
      <c r="AH1644" s="13"/>
      <c r="AI1644" s="13"/>
      <c r="AJ1644" s="13">
        <f t="shared" si="206"/>
        <v>0</v>
      </c>
      <c r="AK1644" s="12"/>
      <c r="AL1644" s="13"/>
      <c r="AM1644" s="9"/>
      <c r="AN1644" s="9"/>
      <c r="AO1644" s="9"/>
      <c r="AP1644" s="14"/>
    </row>
    <row r="1645" spans="1:42" s="45" customFormat="1" ht="22" customHeight="1">
      <c r="A1645" s="14" t="s">
        <v>17</v>
      </c>
      <c r="B1645" s="8">
        <v>2024</v>
      </c>
      <c r="C1645" s="8" t="s">
        <v>24</v>
      </c>
      <c r="D1645" s="9" t="s">
        <v>185</v>
      </c>
      <c r="E1645" s="9" t="s">
        <v>115</v>
      </c>
      <c r="F1645" s="9" t="s">
        <v>434</v>
      </c>
      <c r="G1645" s="8"/>
      <c r="H1645" s="8"/>
      <c r="I1645" s="9" t="s">
        <v>12</v>
      </c>
      <c r="J1645" s="9" t="s">
        <v>12</v>
      </c>
      <c r="K1645" s="9" t="s">
        <v>130</v>
      </c>
      <c r="L1645" s="9" t="s">
        <v>209</v>
      </c>
      <c r="M1645" s="14" t="s">
        <v>84</v>
      </c>
      <c r="N1645" s="9" t="s">
        <v>436</v>
      </c>
      <c r="O1645" s="9" t="s">
        <v>576</v>
      </c>
      <c r="P1645" s="9" t="s">
        <v>614</v>
      </c>
      <c r="Q1645" s="11"/>
      <c r="R1645" s="11"/>
      <c r="S1645" s="11">
        <v>0</v>
      </c>
      <c r="T1645" s="9"/>
      <c r="U1645" s="14" t="s">
        <v>77</v>
      </c>
      <c r="V1645" s="9"/>
      <c r="W1645" s="12"/>
      <c r="X1645" s="13"/>
      <c r="Y1645" s="13"/>
      <c r="Z1645" s="13"/>
      <c r="AA1645" s="13"/>
      <c r="AB1645" s="13"/>
      <c r="AC1645" s="13"/>
      <c r="AD1645" s="13"/>
      <c r="AE1645" s="13">
        <v>0</v>
      </c>
      <c r="AF1645" s="13"/>
      <c r="AG1645" s="13"/>
      <c r="AH1645" s="13"/>
      <c r="AI1645" s="13"/>
      <c r="AJ1645" s="13">
        <f t="shared" si="206"/>
        <v>0</v>
      </c>
      <c r="AK1645" s="12"/>
      <c r="AL1645" s="13"/>
      <c r="AM1645" s="9"/>
      <c r="AN1645" s="9"/>
      <c r="AO1645" s="9"/>
      <c r="AP1645" s="14"/>
    </row>
    <row r="1646" spans="1:42" s="45" customFormat="1" ht="22" customHeight="1">
      <c r="A1646" s="14" t="s">
        <v>17</v>
      </c>
      <c r="B1646" s="8">
        <v>2024</v>
      </c>
      <c r="C1646" s="8" t="s">
        <v>24</v>
      </c>
      <c r="D1646" s="9" t="s">
        <v>185</v>
      </c>
      <c r="E1646" s="9" t="s">
        <v>115</v>
      </c>
      <c r="F1646" s="9" t="s">
        <v>434</v>
      </c>
      <c r="G1646" s="8"/>
      <c r="H1646" s="8"/>
      <c r="I1646" s="9" t="s">
        <v>12</v>
      </c>
      <c r="J1646" s="9" t="s">
        <v>12</v>
      </c>
      <c r="K1646" s="9" t="s">
        <v>130</v>
      </c>
      <c r="L1646" s="9" t="s">
        <v>209</v>
      </c>
      <c r="M1646" s="14" t="s">
        <v>84</v>
      </c>
      <c r="N1646" s="9" t="s">
        <v>436</v>
      </c>
      <c r="O1646" s="9" t="s">
        <v>576</v>
      </c>
      <c r="P1646" s="9" t="s">
        <v>615</v>
      </c>
      <c r="Q1646" s="11"/>
      <c r="R1646" s="11"/>
      <c r="S1646" s="11">
        <v>0</v>
      </c>
      <c r="T1646" s="9"/>
      <c r="U1646" s="14" t="s">
        <v>77</v>
      </c>
      <c r="V1646" s="9"/>
      <c r="W1646" s="12"/>
      <c r="X1646" s="13"/>
      <c r="Y1646" s="13"/>
      <c r="Z1646" s="13"/>
      <c r="AA1646" s="13"/>
      <c r="AB1646" s="13"/>
      <c r="AC1646" s="13"/>
      <c r="AD1646" s="13"/>
      <c r="AE1646" s="13">
        <v>0</v>
      </c>
      <c r="AF1646" s="13"/>
      <c r="AG1646" s="13"/>
      <c r="AH1646" s="13"/>
      <c r="AI1646" s="13"/>
      <c r="AJ1646" s="13">
        <f t="shared" ref="AJ1646:AJ1709" si="208">SUBTOTAL(9,X1646:AI1646)</f>
        <v>0</v>
      </c>
      <c r="AK1646" s="12"/>
      <c r="AL1646" s="13"/>
      <c r="AM1646" s="9"/>
      <c r="AN1646" s="9"/>
      <c r="AO1646" s="9"/>
      <c r="AP1646" s="14"/>
    </row>
    <row r="1647" spans="1:42" s="45" customFormat="1" ht="22" customHeight="1">
      <c r="A1647" s="14" t="s">
        <v>17</v>
      </c>
      <c r="B1647" s="8">
        <v>2024</v>
      </c>
      <c r="C1647" s="8" t="s">
        <v>24</v>
      </c>
      <c r="D1647" s="9" t="s">
        <v>185</v>
      </c>
      <c r="E1647" s="9" t="s">
        <v>115</v>
      </c>
      <c r="F1647" s="9" t="s">
        <v>434</v>
      </c>
      <c r="G1647" s="8"/>
      <c r="H1647" s="8"/>
      <c r="I1647" s="9" t="s">
        <v>12</v>
      </c>
      <c r="J1647" s="9" t="s">
        <v>12</v>
      </c>
      <c r="K1647" s="9" t="s">
        <v>130</v>
      </c>
      <c r="L1647" s="9" t="s">
        <v>209</v>
      </c>
      <c r="M1647" s="14" t="s">
        <v>84</v>
      </c>
      <c r="N1647" s="9" t="s">
        <v>436</v>
      </c>
      <c r="O1647" s="9" t="s">
        <v>576</v>
      </c>
      <c r="P1647" s="9" t="s">
        <v>616</v>
      </c>
      <c r="Q1647" s="11"/>
      <c r="R1647" s="11"/>
      <c r="S1647" s="11">
        <v>0</v>
      </c>
      <c r="T1647" s="9"/>
      <c r="U1647" s="14" t="s">
        <v>77</v>
      </c>
      <c r="V1647" s="9"/>
      <c r="W1647" s="12"/>
      <c r="X1647" s="13"/>
      <c r="Y1647" s="13"/>
      <c r="Z1647" s="13"/>
      <c r="AA1647" s="13"/>
      <c r="AB1647" s="13"/>
      <c r="AC1647" s="13"/>
      <c r="AD1647" s="13"/>
      <c r="AE1647" s="13">
        <v>0</v>
      </c>
      <c r="AF1647" s="13"/>
      <c r="AG1647" s="13"/>
      <c r="AH1647" s="13"/>
      <c r="AI1647" s="13"/>
      <c r="AJ1647" s="13">
        <f t="shared" si="208"/>
        <v>0</v>
      </c>
      <c r="AK1647" s="12"/>
      <c r="AL1647" s="13"/>
      <c r="AM1647" s="9"/>
      <c r="AN1647" s="9"/>
      <c r="AO1647" s="9"/>
      <c r="AP1647" s="14"/>
    </row>
    <row r="1648" spans="1:42" s="45" customFormat="1" ht="22" customHeight="1">
      <c r="A1648" s="14" t="s">
        <v>17</v>
      </c>
      <c r="B1648" s="8">
        <v>2024</v>
      </c>
      <c r="C1648" s="8" t="s">
        <v>24</v>
      </c>
      <c r="D1648" s="9" t="s">
        <v>185</v>
      </c>
      <c r="E1648" s="9" t="s">
        <v>115</v>
      </c>
      <c r="F1648" s="9" t="s">
        <v>434</v>
      </c>
      <c r="G1648" s="8"/>
      <c r="H1648" s="8"/>
      <c r="I1648" s="9" t="s">
        <v>12</v>
      </c>
      <c r="J1648" s="9" t="s">
        <v>12</v>
      </c>
      <c r="K1648" s="9" t="s">
        <v>130</v>
      </c>
      <c r="L1648" s="9" t="s">
        <v>209</v>
      </c>
      <c r="M1648" s="14" t="s">
        <v>84</v>
      </c>
      <c r="N1648" s="9" t="s">
        <v>436</v>
      </c>
      <c r="O1648" s="9" t="s">
        <v>576</v>
      </c>
      <c r="P1648" s="9" t="s">
        <v>617</v>
      </c>
      <c r="Q1648" s="11"/>
      <c r="R1648" s="11"/>
      <c r="S1648" s="11">
        <v>0</v>
      </c>
      <c r="T1648" s="9"/>
      <c r="U1648" s="14" t="s">
        <v>77</v>
      </c>
      <c r="V1648" s="9"/>
      <c r="W1648" s="12"/>
      <c r="X1648" s="13"/>
      <c r="Y1648" s="13"/>
      <c r="Z1648" s="13"/>
      <c r="AA1648" s="13"/>
      <c r="AB1648" s="13"/>
      <c r="AC1648" s="13"/>
      <c r="AD1648" s="13"/>
      <c r="AE1648" s="13">
        <v>0</v>
      </c>
      <c r="AF1648" s="13"/>
      <c r="AG1648" s="13"/>
      <c r="AH1648" s="13"/>
      <c r="AI1648" s="13"/>
      <c r="AJ1648" s="13">
        <f t="shared" si="208"/>
        <v>0</v>
      </c>
      <c r="AK1648" s="12"/>
      <c r="AL1648" s="13"/>
      <c r="AM1648" s="9"/>
      <c r="AN1648" s="9"/>
      <c r="AO1648" s="9"/>
      <c r="AP1648" s="14"/>
    </row>
    <row r="1649" spans="1:42" s="45" customFormat="1" ht="22" customHeight="1">
      <c r="A1649" s="14" t="s">
        <v>17</v>
      </c>
      <c r="B1649" s="8">
        <v>2024</v>
      </c>
      <c r="C1649" s="8" t="s">
        <v>24</v>
      </c>
      <c r="D1649" s="9" t="s">
        <v>185</v>
      </c>
      <c r="E1649" s="9" t="s">
        <v>115</v>
      </c>
      <c r="F1649" s="9" t="s">
        <v>434</v>
      </c>
      <c r="G1649" s="8"/>
      <c r="H1649" s="8"/>
      <c r="I1649" s="9" t="s">
        <v>12</v>
      </c>
      <c r="J1649" s="9" t="s">
        <v>12</v>
      </c>
      <c r="K1649" s="9" t="s">
        <v>130</v>
      </c>
      <c r="L1649" s="9" t="s">
        <v>209</v>
      </c>
      <c r="M1649" s="14" t="s">
        <v>84</v>
      </c>
      <c r="N1649" s="9" t="s">
        <v>436</v>
      </c>
      <c r="O1649" s="9" t="s">
        <v>576</v>
      </c>
      <c r="P1649" s="9" t="s">
        <v>618</v>
      </c>
      <c r="Q1649" s="11"/>
      <c r="R1649" s="11"/>
      <c r="S1649" s="11">
        <v>0</v>
      </c>
      <c r="T1649" s="9"/>
      <c r="U1649" s="14" t="s">
        <v>77</v>
      </c>
      <c r="V1649" s="9"/>
      <c r="W1649" s="12"/>
      <c r="X1649" s="13"/>
      <c r="Y1649" s="13"/>
      <c r="Z1649" s="13"/>
      <c r="AA1649" s="13"/>
      <c r="AB1649" s="13"/>
      <c r="AC1649" s="13"/>
      <c r="AD1649" s="13"/>
      <c r="AE1649" s="13">
        <v>0</v>
      </c>
      <c r="AF1649" s="13"/>
      <c r="AG1649" s="13"/>
      <c r="AH1649" s="13"/>
      <c r="AI1649" s="13"/>
      <c r="AJ1649" s="13">
        <f t="shared" si="208"/>
        <v>0</v>
      </c>
      <c r="AK1649" s="12"/>
      <c r="AL1649" s="13"/>
      <c r="AM1649" s="9"/>
      <c r="AN1649" s="9"/>
      <c r="AO1649" s="9"/>
      <c r="AP1649" s="14"/>
    </row>
    <row r="1650" spans="1:42" s="45" customFormat="1" ht="22" customHeight="1">
      <c r="A1650" s="14" t="s">
        <v>17</v>
      </c>
      <c r="B1650" s="8">
        <v>2024</v>
      </c>
      <c r="C1650" s="8" t="s">
        <v>24</v>
      </c>
      <c r="D1650" s="9" t="s">
        <v>185</v>
      </c>
      <c r="E1650" s="9" t="s">
        <v>115</v>
      </c>
      <c r="F1650" s="9" t="s">
        <v>434</v>
      </c>
      <c r="G1650" s="8"/>
      <c r="H1650" s="8"/>
      <c r="I1650" s="9" t="s">
        <v>12</v>
      </c>
      <c r="J1650" s="9" t="s">
        <v>12</v>
      </c>
      <c r="K1650" s="9" t="s">
        <v>130</v>
      </c>
      <c r="L1650" s="9" t="s">
        <v>209</v>
      </c>
      <c r="M1650" s="14" t="s">
        <v>84</v>
      </c>
      <c r="N1650" s="9" t="s">
        <v>436</v>
      </c>
      <c r="O1650" s="9" t="s">
        <v>116</v>
      </c>
      <c r="P1650" s="9" t="s">
        <v>619</v>
      </c>
      <c r="Q1650" s="11"/>
      <c r="R1650" s="11"/>
      <c r="S1650" s="11">
        <v>0</v>
      </c>
      <c r="T1650" s="9"/>
      <c r="U1650" s="14" t="s">
        <v>77</v>
      </c>
      <c r="V1650" s="9"/>
      <c r="W1650" s="12"/>
      <c r="X1650" s="13"/>
      <c r="Y1650" s="13"/>
      <c r="Z1650" s="13"/>
      <c r="AA1650" s="13"/>
      <c r="AB1650" s="13"/>
      <c r="AC1650" s="13"/>
      <c r="AD1650" s="13"/>
      <c r="AE1650" s="13">
        <v>0</v>
      </c>
      <c r="AF1650" s="13"/>
      <c r="AG1650" s="13"/>
      <c r="AH1650" s="13"/>
      <c r="AI1650" s="13"/>
      <c r="AJ1650" s="13">
        <f t="shared" si="208"/>
        <v>0</v>
      </c>
      <c r="AK1650" s="12"/>
      <c r="AL1650" s="13"/>
      <c r="AM1650" s="9"/>
      <c r="AN1650" s="9"/>
      <c r="AO1650" s="9"/>
      <c r="AP1650" s="14"/>
    </row>
    <row r="1651" spans="1:42" s="45" customFormat="1" ht="22" customHeight="1">
      <c r="A1651" s="14" t="s">
        <v>17</v>
      </c>
      <c r="B1651" s="8">
        <v>2024</v>
      </c>
      <c r="C1651" s="8" t="s">
        <v>24</v>
      </c>
      <c r="D1651" s="9" t="s">
        <v>185</v>
      </c>
      <c r="E1651" s="9" t="s">
        <v>115</v>
      </c>
      <c r="F1651" s="9" t="s">
        <v>434</v>
      </c>
      <c r="G1651" s="8"/>
      <c r="H1651" s="8"/>
      <c r="I1651" s="9" t="s">
        <v>12</v>
      </c>
      <c r="J1651" s="9" t="s">
        <v>12</v>
      </c>
      <c r="K1651" s="9" t="s">
        <v>130</v>
      </c>
      <c r="L1651" s="9" t="s">
        <v>209</v>
      </c>
      <c r="M1651" s="14" t="s">
        <v>84</v>
      </c>
      <c r="N1651" s="9" t="s">
        <v>436</v>
      </c>
      <c r="O1651" s="9" t="s">
        <v>116</v>
      </c>
      <c r="P1651" s="9" t="s">
        <v>620</v>
      </c>
      <c r="Q1651" s="11"/>
      <c r="R1651" s="11"/>
      <c r="S1651" s="11">
        <v>0</v>
      </c>
      <c r="T1651" s="9"/>
      <c r="U1651" s="14" t="s">
        <v>77</v>
      </c>
      <c r="V1651" s="9"/>
      <c r="W1651" s="12"/>
      <c r="X1651" s="13"/>
      <c r="Y1651" s="13"/>
      <c r="Z1651" s="13"/>
      <c r="AA1651" s="13"/>
      <c r="AB1651" s="13"/>
      <c r="AC1651" s="13"/>
      <c r="AD1651" s="13"/>
      <c r="AE1651" s="13">
        <v>0</v>
      </c>
      <c r="AF1651" s="13"/>
      <c r="AG1651" s="13"/>
      <c r="AH1651" s="13"/>
      <c r="AI1651" s="13"/>
      <c r="AJ1651" s="13">
        <f t="shared" si="208"/>
        <v>0</v>
      </c>
      <c r="AK1651" s="12"/>
      <c r="AL1651" s="13"/>
      <c r="AM1651" s="9"/>
      <c r="AN1651" s="9"/>
      <c r="AO1651" s="9"/>
      <c r="AP1651" s="14"/>
    </row>
    <row r="1652" spans="1:42" s="45" customFormat="1" ht="22" customHeight="1">
      <c r="A1652" s="14" t="s">
        <v>17</v>
      </c>
      <c r="B1652" s="8">
        <v>2024</v>
      </c>
      <c r="C1652" s="8" t="s">
        <v>24</v>
      </c>
      <c r="D1652" s="9" t="s">
        <v>185</v>
      </c>
      <c r="E1652" s="9" t="s">
        <v>115</v>
      </c>
      <c r="F1652" s="9" t="s">
        <v>434</v>
      </c>
      <c r="G1652" s="8"/>
      <c r="H1652" s="8"/>
      <c r="I1652" s="9" t="s">
        <v>12</v>
      </c>
      <c r="J1652" s="9" t="s">
        <v>12</v>
      </c>
      <c r="K1652" s="9" t="s">
        <v>130</v>
      </c>
      <c r="L1652" s="9" t="s">
        <v>209</v>
      </c>
      <c r="M1652" s="14" t="s">
        <v>84</v>
      </c>
      <c r="N1652" s="9" t="s">
        <v>436</v>
      </c>
      <c r="O1652" s="9" t="s">
        <v>116</v>
      </c>
      <c r="P1652" s="9" t="s">
        <v>621</v>
      </c>
      <c r="Q1652" s="11"/>
      <c r="R1652" s="11"/>
      <c r="S1652" s="11">
        <v>0</v>
      </c>
      <c r="T1652" s="9"/>
      <c r="U1652" s="14" t="s">
        <v>77</v>
      </c>
      <c r="V1652" s="9"/>
      <c r="W1652" s="12"/>
      <c r="X1652" s="13"/>
      <c r="Y1652" s="13"/>
      <c r="Z1652" s="13"/>
      <c r="AA1652" s="13"/>
      <c r="AB1652" s="13"/>
      <c r="AC1652" s="13"/>
      <c r="AD1652" s="13"/>
      <c r="AE1652" s="13">
        <v>0</v>
      </c>
      <c r="AF1652" s="13"/>
      <c r="AG1652" s="13"/>
      <c r="AH1652" s="13"/>
      <c r="AI1652" s="13"/>
      <c r="AJ1652" s="13">
        <f t="shared" si="208"/>
        <v>0</v>
      </c>
      <c r="AK1652" s="12"/>
      <c r="AL1652" s="13"/>
      <c r="AM1652" s="9"/>
      <c r="AN1652" s="9"/>
      <c r="AO1652" s="9"/>
      <c r="AP1652" s="14"/>
    </row>
    <row r="1653" spans="1:42" s="45" customFormat="1" ht="22" customHeight="1">
      <c r="A1653" s="14" t="s">
        <v>17</v>
      </c>
      <c r="B1653" s="8">
        <v>2024</v>
      </c>
      <c r="C1653" s="8" t="s">
        <v>24</v>
      </c>
      <c r="D1653" s="9" t="s">
        <v>185</v>
      </c>
      <c r="E1653" s="9" t="s">
        <v>115</v>
      </c>
      <c r="F1653" s="9" t="s">
        <v>434</v>
      </c>
      <c r="G1653" s="8"/>
      <c r="H1653" s="8"/>
      <c r="I1653" s="9" t="s">
        <v>12</v>
      </c>
      <c r="J1653" s="9" t="s">
        <v>12</v>
      </c>
      <c r="K1653" s="9" t="s">
        <v>130</v>
      </c>
      <c r="L1653" s="9" t="s">
        <v>209</v>
      </c>
      <c r="M1653" s="14" t="s">
        <v>84</v>
      </c>
      <c r="N1653" s="9" t="s">
        <v>436</v>
      </c>
      <c r="O1653" s="9" t="s">
        <v>116</v>
      </c>
      <c r="P1653" s="9" t="s">
        <v>622</v>
      </c>
      <c r="Q1653" s="11"/>
      <c r="R1653" s="11"/>
      <c r="S1653" s="11">
        <v>0</v>
      </c>
      <c r="T1653" s="9"/>
      <c r="U1653" s="14" t="s">
        <v>77</v>
      </c>
      <c r="V1653" s="9"/>
      <c r="W1653" s="12"/>
      <c r="X1653" s="13"/>
      <c r="Y1653" s="13"/>
      <c r="Z1653" s="13"/>
      <c r="AA1653" s="13"/>
      <c r="AB1653" s="13"/>
      <c r="AC1653" s="13"/>
      <c r="AD1653" s="13"/>
      <c r="AE1653" s="13">
        <v>0</v>
      </c>
      <c r="AF1653" s="13"/>
      <c r="AG1653" s="13"/>
      <c r="AH1653" s="13"/>
      <c r="AI1653" s="13"/>
      <c r="AJ1653" s="13">
        <f t="shared" si="208"/>
        <v>0</v>
      </c>
      <c r="AK1653" s="12"/>
      <c r="AL1653" s="13"/>
      <c r="AM1653" s="9"/>
      <c r="AN1653" s="9"/>
      <c r="AO1653" s="9"/>
      <c r="AP1653" s="14"/>
    </row>
    <row r="1654" spans="1:42" s="45" customFormat="1" ht="22" customHeight="1">
      <c r="A1654" s="14" t="s">
        <v>17</v>
      </c>
      <c r="B1654" s="8">
        <v>2024</v>
      </c>
      <c r="C1654" s="8" t="s">
        <v>24</v>
      </c>
      <c r="D1654" s="9" t="s">
        <v>185</v>
      </c>
      <c r="E1654" s="9" t="s">
        <v>115</v>
      </c>
      <c r="F1654" s="9" t="s">
        <v>434</v>
      </c>
      <c r="G1654" s="8"/>
      <c r="H1654" s="8"/>
      <c r="I1654" s="9" t="s">
        <v>12</v>
      </c>
      <c r="J1654" s="9" t="s">
        <v>12</v>
      </c>
      <c r="K1654" s="9" t="s">
        <v>130</v>
      </c>
      <c r="L1654" s="9" t="s">
        <v>209</v>
      </c>
      <c r="M1654" s="14" t="s">
        <v>84</v>
      </c>
      <c r="N1654" s="9" t="s">
        <v>436</v>
      </c>
      <c r="O1654" s="9" t="s">
        <v>116</v>
      </c>
      <c r="P1654" s="9" t="s">
        <v>623</v>
      </c>
      <c r="Q1654" s="11"/>
      <c r="R1654" s="11"/>
      <c r="S1654" s="11">
        <v>0</v>
      </c>
      <c r="T1654" s="9"/>
      <c r="U1654" s="14" t="s">
        <v>77</v>
      </c>
      <c r="V1654" s="9"/>
      <c r="W1654" s="12"/>
      <c r="X1654" s="13"/>
      <c r="Y1654" s="13"/>
      <c r="Z1654" s="13"/>
      <c r="AA1654" s="13"/>
      <c r="AB1654" s="13"/>
      <c r="AC1654" s="13"/>
      <c r="AD1654" s="13"/>
      <c r="AE1654" s="13">
        <v>0</v>
      </c>
      <c r="AF1654" s="13"/>
      <c r="AG1654" s="13"/>
      <c r="AH1654" s="13"/>
      <c r="AI1654" s="13"/>
      <c r="AJ1654" s="13">
        <f t="shared" si="208"/>
        <v>0</v>
      </c>
      <c r="AK1654" s="12"/>
      <c r="AL1654" s="13"/>
      <c r="AM1654" s="9"/>
      <c r="AN1654" s="9"/>
      <c r="AO1654" s="9"/>
      <c r="AP1654" s="14"/>
    </row>
    <row r="1655" spans="1:42" s="45" customFormat="1" ht="22" customHeight="1">
      <c r="A1655" s="14" t="s">
        <v>17</v>
      </c>
      <c r="B1655" s="8">
        <v>2024</v>
      </c>
      <c r="C1655" s="8" t="s">
        <v>24</v>
      </c>
      <c r="D1655" s="9" t="s">
        <v>185</v>
      </c>
      <c r="E1655" s="9" t="s">
        <v>115</v>
      </c>
      <c r="F1655" s="9" t="s">
        <v>434</v>
      </c>
      <c r="G1655" s="8"/>
      <c r="H1655" s="8"/>
      <c r="I1655" s="9" t="s">
        <v>12</v>
      </c>
      <c r="J1655" s="9" t="s">
        <v>12</v>
      </c>
      <c r="K1655" s="9" t="s">
        <v>130</v>
      </c>
      <c r="L1655" s="9" t="s">
        <v>209</v>
      </c>
      <c r="M1655" s="14" t="s">
        <v>84</v>
      </c>
      <c r="N1655" s="9" t="s">
        <v>436</v>
      </c>
      <c r="O1655" s="9" t="s">
        <v>116</v>
      </c>
      <c r="P1655" s="9" t="s">
        <v>624</v>
      </c>
      <c r="Q1655" s="11"/>
      <c r="R1655" s="11"/>
      <c r="S1655" s="11">
        <v>0</v>
      </c>
      <c r="T1655" s="9"/>
      <c r="U1655" s="14" t="s">
        <v>77</v>
      </c>
      <c r="V1655" s="9"/>
      <c r="W1655" s="12"/>
      <c r="X1655" s="13"/>
      <c r="Y1655" s="13"/>
      <c r="Z1655" s="13"/>
      <c r="AA1655" s="13"/>
      <c r="AB1655" s="13"/>
      <c r="AC1655" s="13"/>
      <c r="AD1655" s="13"/>
      <c r="AE1655" s="13">
        <v>0</v>
      </c>
      <c r="AF1655" s="13"/>
      <c r="AG1655" s="13"/>
      <c r="AH1655" s="13"/>
      <c r="AI1655" s="13"/>
      <c r="AJ1655" s="13">
        <f t="shared" si="208"/>
        <v>0</v>
      </c>
      <c r="AK1655" s="12"/>
      <c r="AL1655" s="13"/>
      <c r="AM1655" s="9"/>
      <c r="AN1655" s="9"/>
      <c r="AO1655" s="9"/>
      <c r="AP1655" s="14"/>
    </row>
    <row r="1656" spans="1:42" s="45" customFormat="1" ht="22" customHeight="1">
      <c r="A1656" s="14" t="s">
        <v>17</v>
      </c>
      <c r="B1656" s="8">
        <v>2024</v>
      </c>
      <c r="C1656" s="8" t="s">
        <v>24</v>
      </c>
      <c r="D1656" s="9" t="s">
        <v>185</v>
      </c>
      <c r="E1656" s="9" t="s">
        <v>115</v>
      </c>
      <c r="F1656" s="9" t="s">
        <v>434</v>
      </c>
      <c r="G1656" s="8"/>
      <c r="H1656" s="8"/>
      <c r="I1656" s="9" t="s">
        <v>12</v>
      </c>
      <c r="J1656" s="9" t="s">
        <v>12</v>
      </c>
      <c r="K1656" s="9" t="s">
        <v>130</v>
      </c>
      <c r="L1656" s="9" t="s">
        <v>209</v>
      </c>
      <c r="M1656" s="14" t="s">
        <v>84</v>
      </c>
      <c r="N1656" s="9" t="s">
        <v>436</v>
      </c>
      <c r="O1656" s="9" t="s">
        <v>116</v>
      </c>
      <c r="P1656" s="9" t="s">
        <v>625</v>
      </c>
      <c r="Q1656" s="11"/>
      <c r="R1656" s="11"/>
      <c r="S1656" s="11">
        <v>0</v>
      </c>
      <c r="T1656" s="9"/>
      <c r="U1656" s="14" t="s">
        <v>77</v>
      </c>
      <c r="V1656" s="9"/>
      <c r="W1656" s="12"/>
      <c r="X1656" s="13"/>
      <c r="Y1656" s="13"/>
      <c r="Z1656" s="13"/>
      <c r="AA1656" s="13"/>
      <c r="AB1656" s="13"/>
      <c r="AC1656" s="13"/>
      <c r="AD1656" s="13"/>
      <c r="AE1656" s="13">
        <v>0</v>
      </c>
      <c r="AF1656" s="13"/>
      <c r="AG1656" s="13"/>
      <c r="AH1656" s="13"/>
      <c r="AI1656" s="13"/>
      <c r="AJ1656" s="13">
        <f t="shared" si="208"/>
        <v>0</v>
      </c>
      <c r="AK1656" s="12"/>
      <c r="AL1656" s="13"/>
      <c r="AM1656" s="9"/>
      <c r="AN1656" s="9"/>
      <c r="AO1656" s="9"/>
      <c r="AP1656" s="14"/>
    </row>
    <row r="1657" spans="1:42" s="45" customFormat="1" ht="22" customHeight="1">
      <c r="A1657" s="14" t="s">
        <v>17</v>
      </c>
      <c r="B1657" s="8">
        <v>2024</v>
      </c>
      <c r="C1657" s="8" t="s">
        <v>24</v>
      </c>
      <c r="D1657" s="9" t="s">
        <v>185</v>
      </c>
      <c r="E1657" s="9" t="s">
        <v>115</v>
      </c>
      <c r="F1657" s="9" t="s">
        <v>434</v>
      </c>
      <c r="G1657" s="8"/>
      <c r="H1657" s="8"/>
      <c r="I1657" s="9" t="s">
        <v>12</v>
      </c>
      <c r="J1657" s="9" t="s">
        <v>12</v>
      </c>
      <c r="K1657" s="9" t="s">
        <v>130</v>
      </c>
      <c r="L1657" s="9" t="s">
        <v>209</v>
      </c>
      <c r="M1657" s="14" t="s">
        <v>84</v>
      </c>
      <c r="N1657" s="9" t="s">
        <v>436</v>
      </c>
      <c r="O1657" s="9" t="s">
        <v>116</v>
      </c>
      <c r="P1657" s="9" t="s">
        <v>626</v>
      </c>
      <c r="Q1657" s="11"/>
      <c r="R1657" s="11"/>
      <c r="S1657" s="11">
        <v>0</v>
      </c>
      <c r="T1657" s="9"/>
      <c r="U1657" s="14" t="s">
        <v>77</v>
      </c>
      <c r="V1657" s="9"/>
      <c r="W1657" s="12"/>
      <c r="X1657" s="13"/>
      <c r="Y1657" s="13"/>
      <c r="Z1657" s="13"/>
      <c r="AA1657" s="13"/>
      <c r="AB1657" s="13"/>
      <c r="AC1657" s="13"/>
      <c r="AD1657" s="13"/>
      <c r="AE1657" s="13">
        <v>0</v>
      </c>
      <c r="AF1657" s="13"/>
      <c r="AG1657" s="13"/>
      <c r="AH1657" s="13"/>
      <c r="AI1657" s="13"/>
      <c r="AJ1657" s="13">
        <f t="shared" si="208"/>
        <v>0</v>
      </c>
      <c r="AK1657" s="12"/>
      <c r="AL1657" s="13"/>
      <c r="AM1657" s="9"/>
      <c r="AN1657" s="9"/>
      <c r="AO1657" s="9"/>
      <c r="AP1657" s="14"/>
    </row>
    <row r="1658" spans="1:42" s="45" customFormat="1" ht="22" customHeight="1">
      <c r="A1658" s="14" t="s">
        <v>17</v>
      </c>
      <c r="B1658" s="8">
        <v>2024</v>
      </c>
      <c r="C1658" s="8" t="s">
        <v>24</v>
      </c>
      <c r="D1658" s="9" t="s">
        <v>185</v>
      </c>
      <c r="E1658" s="9" t="s">
        <v>115</v>
      </c>
      <c r="F1658" s="9" t="s">
        <v>434</v>
      </c>
      <c r="G1658" s="8"/>
      <c r="H1658" s="8"/>
      <c r="I1658" s="9" t="s">
        <v>12</v>
      </c>
      <c r="J1658" s="9" t="s">
        <v>12</v>
      </c>
      <c r="K1658" s="9" t="s">
        <v>130</v>
      </c>
      <c r="L1658" s="9" t="s">
        <v>209</v>
      </c>
      <c r="M1658" s="14" t="s">
        <v>84</v>
      </c>
      <c r="N1658" s="9" t="s">
        <v>436</v>
      </c>
      <c r="O1658" s="9" t="s">
        <v>116</v>
      </c>
      <c r="P1658" s="9" t="s">
        <v>627</v>
      </c>
      <c r="Q1658" s="11"/>
      <c r="R1658" s="11"/>
      <c r="S1658" s="11">
        <v>0</v>
      </c>
      <c r="T1658" s="9"/>
      <c r="U1658" s="14" t="s">
        <v>77</v>
      </c>
      <c r="V1658" s="9"/>
      <c r="W1658" s="12"/>
      <c r="X1658" s="13"/>
      <c r="Y1658" s="13"/>
      <c r="Z1658" s="13"/>
      <c r="AA1658" s="13"/>
      <c r="AB1658" s="13"/>
      <c r="AC1658" s="13"/>
      <c r="AD1658" s="13"/>
      <c r="AE1658" s="13">
        <v>0</v>
      </c>
      <c r="AF1658" s="13"/>
      <c r="AG1658" s="13"/>
      <c r="AH1658" s="13"/>
      <c r="AI1658" s="13"/>
      <c r="AJ1658" s="13">
        <f t="shared" si="208"/>
        <v>0</v>
      </c>
      <c r="AK1658" s="12"/>
      <c r="AL1658" s="13"/>
      <c r="AM1658" s="9"/>
      <c r="AN1658" s="9"/>
      <c r="AO1658" s="9"/>
      <c r="AP1658" s="14"/>
    </row>
    <row r="1659" spans="1:42" s="45" customFormat="1" ht="22" customHeight="1">
      <c r="A1659" s="14" t="s">
        <v>17</v>
      </c>
      <c r="B1659" s="8">
        <v>2024</v>
      </c>
      <c r="C1659" s="8" t="s">
        <v>24</v>
      </c>
      <c r="D1659" s="9" t="s">
        <v>185</v>
      </c>
      <c r="E1659" s="9" t="s">
        <v>115</v>
      </c>
      <c r="F1659" s="9" t="s">
        <v>434</v>
      </c>
      <c r="G1659" s="8"/>
      <c r="H1659" s="8"/>
      <c r="I1659" s="9" t="s">
        <v>12</v>
      </c>
      <c r="J1659" s="9" t="s">
        <v>12</v>
      </c>
      <c r="K1659" s="9" t="s">
        <v>130</v>
      </c>
      <c r="L1659" s="9" t="s">
        <v>209</v>
      </c>
      <c r="M1659" s="14" t="s">
        <v>84</v>
      </c>
      <c r="N1659" s="9" t="s">
        <v>436</v>
      </c>
      <c r="O1659" s="9" t="s">
        <v>116</v>
      </c>
      <c r="P1659" s="9" t="s">
        <v>628</v>
      </c>
      <c r="Q1659" s="11"/>
      <c r="R1659" s="11"/>
      <c r="S1659" s="11">
        <v>0</v>
      </c>
      <c r="T1659" s="9"/>
      <c r="U1659" s="14" t="s">
        <v>77</v>
      </c>
      <c r="V1659" s="9"/>
      <c r="W1659" s="12"/>
      <c r="X1659" s="13"/>
      <c r="Y1659" s="13"/>
      <c r="Z1659" s="13"/>
      <c r="AA1659" s="13"/>
      <c r="AB1659" s="13"/>
      <c r="AC1659" s="13"/>
      <c r="AD1659" s="13"/>
      <c r="AE1659" s="13">
        <v>0</v>
      </c>
      <c r="AF1659" s="13"/>
      <c r="AG1659" s="13"/>
      <c r="AH1659" s="13"/>
      <c r="AI1659" s="13"/>
      <c r="AJ1659" s="13">
        <f t="shared" si="208"/>
        <v>0</v>
      </c>
      <c r="AK1659" s="12"/>
      <c r="AL1659" s="13"/>
      <c r="AM1659" s="9"/>
      <c r="AN1659" s="9"/>
      <c r="AO1659" s="9"/>
      <c r="AP1659" s="14"/>
    </row>
    <row r="1660" spans="1:42" s="45" customFormat="1" ht="22" customHeight="1">
      <c r="A1660" s="14" t="s">
        <v>17</v>
      </c>
      <c r="B1660" s="8">
        <v>2024</v>
      </c>
      <c r="C1660" s="8" t="s">
        <v>24</v>
      </c>
      <c r="D1660" s="9" t="s">
        <v>185</v>
      </c>
      <c r="E1660" s="9" t="s">
        <v>115</v>
      </c>
      <c r="F1660" s="9" t="s">
        <v>434</v>
      </c>
      <c r="G1660" s="8"/>
      <c r="H1660" s="8"/>
      <c r="I1660" s="9" t="s">
        <v>12</v>
      </c>
      <c r="J1660" s="9" t="s">
        <v>12</v>
      </c>
      <c r="K1660" s="9" t="s">
        <v>130</v>
      </c>
      <c r="L1660" s="9" t="s">
        <v>209</v>
      </c>
      <c r="M1660" s="14" t="s">
        <v>84</v>
      </c>
      <c r="N1660" s="9" t="s">
        <v>436</v>
      </c>
      <c r="O1660" s="9" t="s">
        <v>116</v>
      </c>
      <c r="P1660" s="9" t="s">
        <v>629</v>
      </c>
      <c r="Q1660" s="11"/>
      <c r="R1660" s="11"/>
      <c r="S1660" s="11">
        <v>0</v>
      </c>
      <c r="T1660" s="9"/>
      <c r="U1660" s="14" t="s">
        <v>77</v>
      </c>
      <c r="V1660" s="9"/>
      <c r="W1660" s="12"/>
      <c r="X1660" s="13"/>
      <c r="Y1660" s="13"/>
      <c r="Z1660" s="13"/>
      <c r="AA1660" s="13"/>
      <c r="AB1660" s="13"/>
      <c r="AC1660" s="13"/>
      <c r="AD1660" s="13"/>
      <c r="AE1660" s="13">
        <v>0</v>
      </c>
      <c r="AF1660" s="13"/>
      <c r="AG1660" s="13"/>
      <c r="AH1660" s="13"/>
      <c r="AI1660" s="13"/>
      <c r="AJ1660" s="13">
        <f t="shared" si="208"/>
        <v>0</v>
      </c>
      <c r="AK1660" s="12"/>
      <c r="AL1660" s="13"/>
      <c r="AM1660" s="9"/>
      <c r="AN1660" s="9"/>
      <c r="AO1660" s="9"/>
      <c r="AP1660" s="14"/>
    </row>
    <row r="1661" spans="1:42" s="45" customFormat="1" ht="22" customHeight="1">
      <c r="A1661" s="14" t="s">
        <v>17</v>
      </c>
      <c r="B1661" s="8">
        <v>2024</v>
      </c>
      <c r="C1661" s="8" t="s">
        <v>24</v>
      </c>
      <c r="D1661" s="9" t="s">
        <v>185</v>
      </c>
      <c r="E1661" s="9" t="s">
        <v>115</v>
      </c>
      <c r="F1661" s="9" t="s">
        <v>434</v>
      </c>
      <c r="G1661" s="8"/>
      <c r="H1661" s="8"/>
      <c r="I1661" s="9" t="s">
        <v>12</v>
      </c>
      <c r="J1661" s="9" t="s">
        <v>12</v>
      </c>
      <c r="K1661" s="9" t="s">
        <v>130</v>
      </c>
      <c r="L1661" s="9" t="s">
        <v>209</v>
      </c>
      <c r="M1661" s="14" t="s">
        <v>84</v>
      </c>
      <c r="N1661" s="9" t="s">
        <v>436</v>
      </c>
      <c r="O1661" s="9" t="s">
        <v>116</v>
      </c>
      <c r="P1661" s="9" t="s">
        <v>485</v>
      </c>
      <c r="Q1661" s="11"/>
      <c r="R1661" s="11"/>
      <c r="S1661" s="11">
        <v>0</v>
      </c>
      <c r="T1661" s="9"/>
      <c r="U1661" s="14" t="s">
        <v>77</v>
      </c>
      <c r="V1661" s="9"/>
      <c r="W1661" s="12"/>
      <c r="X1661" s="13"/>
      <c r="Y1661" s="13"/>
      <c r="Z1661" s="13"/>
      <c r="AA1661" s="13"/>
      <c r="AB1661" s="13"/>
      <c r="AC1661" s="13"/>
      <c r="AD1661" s="13"/>
      <c r="AE1661" s="13">
        <v>0</v>
      </c>
      <c r="AF1661" s="13"/>
      <c r="AG1661" s="13"/>
      <c r="AH1661" s="13"/>
      <c r="AI1661" s="13"/>
      <c r="AJ1661" s="13">
        <f t="shared" si="208"/>
        <v>0</v>
      </c>
      <c r="AK1661" s="12"/>
      <c r="AL1661" s="13"/>
      <c r="AM1661" s="9"/>
      <c r="AN1661" s="9"/>
      <c r="AO1661" s="9"/>
      <c r="AP1661" s="14"/>
    </row>
    <row r="1662" spans="1:42" s="45" customFormat="1" ht="22" customHeight="1">
      <c r="A1662" s="14" t="s">
        <v>17</v>
      </c>
      <c r="B1662" s="8">
        <v>2024</v>
      </c>
      <c r="C1662" s="8" t="s">
        <v>24</v>
      </c>
      <c r="D1662" s="9" t="s">
        <v>185</v>
      </c>
      <c r="E1662" s="9" t="s">
        <v>115</v>
      </c>
      <c r="F1662" s="9" t="s">
        <v>434</v>
      </c>
      <c r="G1662" s="8"/>
      <c r="H1662" s="8"/>
      <c r="I1662" s="9" t="s">
        <v>12</v>
      </c>
      <c r="J1662" s="9" t="s">
        <v>12</v>
      </c>
      <c r="K1662" s="9" t="s">
        <v>130</v>
      </c>
      <c r="L1662" s="9" t="s">
        <v>209</v>
      </c>
      <c r="M1662" s="14" t="s">
        <v>84</v>
      </c>
      <c r="N1662" s="9" t="s">
        <v>436</v>
      </c>
      <c r="O1662" s="9" t="s">
        <v>116</v>
      </c>
      <c r="P1662" s="9" t="s">
        <v>630</v>
      </c>
      <c r="Q1662" s="11"/>
      <c r="R1662" s="11"/>
      <c r="S1662" s="11">
        <v>0</v>
      </c>
      <c r="T1662" s="9"/>
      <c r="U1662" s="14" t="s">
        <v>77</v>
      </c>
      <c r="V1662" s="9"/>
      <c r="W1662" s="12"/>
      <c r="X1662" s="13"/>
      <c r="Y1662" s="13"/>
      <c r="Z1662" s="13"/>
      <c r="AA1662" s="13"/>
      <c r="AB1662" s="13"/>
      <c r="AC1662" s="13"/>
      <c r="AD1662" s="13"/>
      <c r="AE1662" s="13">
        <v>0</v>
      </c>
      <c r="AF1662" s="13"/>
      <c r="AG1662" s="13"/>
      <c r="AH1662" s="13"/>
      <c r="AI1662" s="13"/>
      <c r="AJ1662" s="13">
        <f t="shared" si="208"/>
        <v>0</v>
      </c>
      <c r="AK1662" s="12"/>
      <c r="AL1662" s="13"/>
      <c r="AM1662" s="9"/>
      <c r="AN1662" s="9"/>
      <c r="AO1662" s="9"/>
      <c r="AP1662" s="14"/>
    </row>
    <row r="1663" spans="1:42" s="45" customFormat="1" ht="22" customHeight="1">
      <c r="A1663" s="14" t="s">
        <v>17</v>
      </c>
      <c r="B1663" s="8">
        <v>2024</v>
      </c>
      <c r="C1663" s="8" t="s">
        <v>24</v>
      </c>
      <c r="D1663" s="9" t="s">
        <v>185</v>
      </c>
      <c r="E1663" s="9" t="s">
        <v>115</v>
      </c>
      <c r="F1663" s="9" t="s">
        <v>434</v>
      </c>
      <c r="G1663" s="8"/>
      <c r="H1663" s="8"/>
      <c r="I1663" s="9" t="s">
        <v>12</v>
      </c>
      <c r="J1663" s="9" t="s">
        <v>12</v>
      </c>
      <c r="K1663" s="9" t="s">
        <v>130</v>
      </c>
      <c r="L1663" s="9" t="s">
        <v>209</v>
      </c>
      <c r="M1663" s="14" t="s">
        <v>84</v>
      </c>
      <c r="N1663" s="9" t="s">
        <v>436</v>
      </c>
      <c r="O1663" s="9" t="s">
        <v>116</v>
      </c>
      <c r="P1663" s="9" t="s">
        <v>631</v>
      </c>
      <c r="Q1663" s="11"/>
      <c r="R1663" s="11"/>
      <c r="S1663" s="11">
        <v>0</v>
      </c>
      <c r="T1663" s="9"/>
      <c r="U1663" s="14" t="s">
        <v>77</v>
      </c>
      <c r="V1663" s="9"/>
      <c r="W1663" s="12"/>
      <c r="X1663" s="13"/>
      <c r="Y1663" s="13"/>
      <c r="Z1663" s="13"/>
      <c r="AA1663" s="13"/>
      <c r="AB1663" s="13"/>
      <c r="AC1663" s="13"/>
      <c r="AD1663" s="13"/>
      <c r="AE1663" s="13">
        <v>0</v>
      </c>
      <c r="AF1663" s="13"/>
      <c r="AG1663" s="13"/>
      <c r="AH1663" s="13"/>
      <c r="AI1663" s="13"/>
      <c r="AJ1663" s="13">
        <f t="shared" si="208"/>
        <v>0</v>
      </c>
      <c r="AK1663" s="12"/>
      <c r="AL1663" s="13"/>
      <c r="AM1663" s="9"/>
      <c r="AN1663" s="9"/>
      <c r="AO1663" s="9"/>
      <c r="AP1663" s="14"/>
    </row>
    <row r="1664" spans="1:42" s="45" customFormat="1" ht="22" customHeight="1">
      <c r="A1664" s="14" t="s">
        <v>17</v>
      </c>
      <c r="B1664" s="8">
        <v>2024</v>
      </c>
      <c r="C1664" s="8" t="s">
        <v>24</v>
      </c>
      <c r="D1664" s="9" t="s">
        <v>185</v>
      </c>
      <c r="E1664" s="9" t="s">
        <v>115</v>
      </c>
      <c r="F1664" s="9" t="s">
        <v>434</v>
      </c>
      <c r="G1664" s="8"/>
      <c r="H1664" s="8"/>
      <c r="I1664" s="9" t="s">
        <v>12</v>
      </c>
      <c r="J1664" s="9" t="s">
        <v>12</v>
      </c>
      <c r="K1664" s="9" t="s">
        <v>130</v>
      </c>
      <c r="L1664" s="9" t="s">
        <v>209</v>
      </c>
      <c r="M1664" s="14" t="s">
        <v>84</v>
      </c>
      <c r="N1664" s="9" t="s">
        <v>436</v>
      </c>
      <c r="O1664" s="9" t="s">
        <v>116</v>
      </c>
      <c r="P1664" s="9" t="s">
        <v>632</v>
      </c>
      <c r="Q1664" s="11"/>
      <c r="R1664" s="11"/>
      <c r="S1664" s="11">
        <v>0</v>
      </c>
      <c r="T1664" s="9"/>
      <c r="U1664" s="14" t="s">
        <v>77</v>
      </c>
      <c r="V1664" s="9"/>
      <c r="W1664" s="12"/>
      <c r="X1664" s="13"/>
      <c r="Y1664" s="13"/>
      <c r="Z1664" s="13"/>
      <c r="AA1664" s="13"/>
      <c r="AB1664" s="13"/>
      <c r="AC1664" s="13"/>
      <c r="AD1664" s="13"/>
      <c r="AE1664" s="13">
        <v>0</v>
      </c>
      <c r="AF1664" s="13"/>
      <c r="AG1664" s="13"/>
      <c r="AH1664" s="13"/>
      <c r="AI1664" s="13"/>
      <c r="AJ1664" s="13">
        <f t="shared" si="208"/>
        <v>0</v>
      </c>
      <c r="AK1664" s="12"/>
      <c r="AL1664" s="13"/>
      <c r="AM1664" s="9"/>
      <c r="AN1664" s="9"/>
      <c r="AO1664" s="9"/>
      <c r="AP1664" s="14"/>
    </row>
    <row r="1665" spans="1:42" s="45" customFormat="1" ht="22" customHeight="1">
      <c r="A1665" s="14" t="s">
        <v>17</v>
      </c>
      <c r="B1665" s="8">
        <v>2024</v>
      </c>
      <c r="C1665" s="8" t="s">
        <v>24</v>
      </c>
      <c r="D1665" s="9" t="s">
        <v>185</v>
      </c>
      <c r="E1665" s="9" t="s">
        <v>115</v>
      </c>
      <c r="F1665" s="9" t="s">
        <v>434</v>
      </c>
      <c r="G1665" s="8"/>
      <c r="H1665" s="8"/>
      <c r="I1665" s="9" t="s">
        <v>12</v>
      </c>
      <c r="J1665" s="9" t="s">
        <v>12</v>
      </c>
      <c r="K1665" s="9" t="s">
        <v>130</v>
      </c>
      <c r="L1665" s="9" t="s">
        <v>209</v>
      </c>
      <c r="M1665" s="14" t="s">
        <v>84</v>
      </c>
      <c r="N1665" s="9" t="s">
        <v>436</v>
      </c>
      <c r="O1665" s="9" t="s">
        <v>116</v>
      </c>
      <c r="P1665" s="9" t="s">
        <v>633</v>
      </c>
      <c r="Q1665" s="11"/>
      <c r="R1665" s="11"/>
      <c r="S1665" s="11">
        <v>0</v>
      </c>
      <c r="T1665" s="9"/>
      <c r="U1665" s="14" t="s">
        <v>77</v>
      </c>
      <c r="V1665" s="9"/>
      <c r="W1665" s="12"/>
      <c r="X1665" s="13"/>
      <c r="Y1665" s="13"/>
      <c r="Z1665" s="13"/>
      <c r="AA1665" s="13"/>
      <c r="AB1665" s="13"/>
      <c r="AC1665" s="13"/>
      <c r="AD1665" s="13"/>
      <c r="AE1665" s="13">
        <v>0</v>
      </c>
      <c r="AF1665" s="13"/>
      <c r="AG1665" s="13"/>
      <c r="AH1665" s="13"/>
      <c r="AI1665" s="13"/>
      <c r="AJ1665" s="13">
        <f t="shared" si="208"/>
        <v>0</v>
      </c>
      <c r="AK1665" s="12"/>
      <c r="AL1665" s="13"/>
      <c r="AM1665" s="9"/>
      <c r="AN1665" s="9"/>
      <c r="AO1665" s="9"/>
      <c r="AP1665" s="14"/>
    </row>
    <row r="1666" spans="1:42" s="45" customFormat="1" ht="22" customHeight="1">
      <c r="A1666" s="14" t="s">
        <v>17</v>
      </c>
      <c r="B1666" s="8">
        <v>2024</v>
      </c>
      <c r="C1666" s="8" t="s">
        <v>24</v>
      </c>
      <c r="D1666" s="9" t="s">
        <v>185</v>
      </c>
      <c r="E1666" s="9" t="s">
        <v>115</v>
      </c>
      <c r="F1666" s="9" t="s">
        <v>434</v>
      </c>
      <c r="G1666" s="8"/>
      <c r="H1666" s="8"/>
      <c r="I1666" s="9" t="s">
        <v>12</v>
      </c>
      <c r="J1666" s="9" t="s">
        <v>12</v>
      </c>
      <c r="K1666" s="9" t="s">
        <v>130</v>
      </c>
      <c r="L1666" s="9" t="s">
        <v>209</v>
      </c>
      <c r="M1666" s="14" t="s">
        <v>84</v>
      </c>
      <c r="N1666" s="9" t="s">
        <v>436</v>
      </c>
      <c r="O1666" s="9" t="s">
        <v>116</v>
      </c>
      <c r="P1666" s="9" t="s">
        <v>634</v>
      </c>
      <c r="Q1666" s="11"/>
      <c r="R1666" s="11"/>
      <c r="S1666" s="11">
        <v>0</v>
      </c>
      <c r="T1666" s="9"/>
      <c r="U1666" s="14" t="s">
        <v>77</v>
      </c>
      <c r="V1666" s="9"/>
      <c r="W1666" s="12"/>
      <c r="X1666" s="13"/>
      <c r="Y1666" s="13"/>
      <c r="Z1666" s="13"/>
      <c r="AA1666" s="13"/>
      <c r="AB1666" s="13"/>
      <c r="AC1666" s="13"/>
      <c r="AD1666" s="13"/>
      <c r="AE1666" s="13">
        <v>0</v>
      </c>
      <c r="AF1666" s="13"/>
      <c r="AG1666" s="13"/>
      <c r="AH1666" s="13"/>
      <c r="AI1666" s="13"/>
      <c r="AJ1666" s="13">
        <f t="shared" si="208"/>
        <v>0</v>
      </c>
      <c r="AK1666" s="12"/>
      <c r="AL1666" s="13"/>
      <c r="AM1666" s="9"/>
      <c r="AN1666" s="9"/>
      <c r="AO1666" s="9"/>
      <c r="AP1666" s="14"/>
    </row>
    <row r="1667" spans="1:42" s="45" customFormat="1" ht="22" customHeight="1">
      <c r="A1667" s="14" t="s">
        <v>17</v>
      </c>
      <c r="B1667" s="8">
        <v>2024</v>
      </c>
      <c r="C1667" s="8" t="s">
        <v>24</v>
      </c>
      <c r="D1667" s="9" t="s">
        <v>185</v>
      </c>
      <c r="E1667" s="9" t="s">
        <v>115</v>
      </c>
      <c r="F1667" s="9" t="s">
        <v>434</v>
      </c>
      <c r="G1667" s="8"/>
      <c r="H1667" s="8"/>
      <c r="I1667" s="9" t="s">
        <v>12</v>
      </c>
      <c r="J1667" s="9" t="s">
        <v>12</v>
      </c>
      <c r="K1667" s="9" t="s">
        <v>130</v>
      </c>
      <c r="L1667" s="9" t="s">
        <v>209</v>
      </c>
      <c r="M1667" s="14" t="s">
        <v>84</v>
      </c>
      <c r="N1667" s="9" t="s">
        <v>436</v>
      </c>
      <c r="O1667" s="9" t="s">
        <v>116</v>
      </c>
      <c r="P1667" s="9" t="s">
        <v>635</v>
      </c>
      <c r="Q1667" s="11"/>
      <c r="R1667" s="11"/>
      <c r="S1667" s="11">
        <v>0</v>
      </c>
      <c r="T1667" s="9"/>
      <c r="U1667" s="14" t="s">
        <v>77</v>
      </c>
      <c r="V1667" s="9"/>
      <c r="W1667" s="12"/>
      <c r="X1667" s="13"/>
      <c r="Y1667" s="13"/>
      <c r="Z1667" s="13"/>
      <c r="AA1667" s="13"/>
      <c r="AB1667" s="13"/>
      <c r="AC1667" s="13"/>
      <c r="AD1667" s="13"/>
      <c r="AE1667" s="13">
        <v>0</v>
      </c>
      <c r="AF1667" s="13"/>
      <c r="AG1667" s="13"/>
      <c r="AH1667" s="13"/>
      <c r="AI1667" s="13"/>
      <c r="AJ1667" s="13">
        <f t="shared" si="208"/>
        <v>0</v>
      </c>
      <c r="AK1667" s="12"/>
      <c r="AL1667" s="13"/>
      <c r="AM1667" s="9"/>
      <c r="AN1667" s="9"/>
      <c r="AO1667" s="9"/>
      <c r="AP1667" s="14"/>
    </row>
    <row r="1668" spans="1:42" s="45" customFormat="1" ht="22" customHeight="1">
      <c r="A1668" s="14" t="s">
        <v>17</v>
      </c>
      <c r="B1668" s="8">
        <v>2024</v>
      </c>
      <c r="C1668" s="8" t="s">
        <v>24</v>
      </c>
      <c r="D1668" s="9" t="s">
        <v>185</v>
      </c>
      <c r="E1668" s="9" t="s">
        <v>115</v>
      </c>
      <c r="F1668" s="9" t="s">
        <v>434</v>
      </c>
      <c r="G1668" s="8"/>
      <c r="H1668" s="8"/>
      <c r="I1668" s="9" t="s">
        <v>12</v>
      </c>
      <c r="J1668" s="9" t="s">
        <v>12</v>
      </c>
      <c r="K1668" s="9" t="s">
        <v>130</v>
      </c>
      <c r="L1668" s="9" t="s">
        <v>209</v>
      </c>
      <c r="M1668" s="14" t="s">
        <v>84</v>
      </c>
      <c r="N1668" s="9" t="s">
        <v>436</v>
      </c>
      <c r="O1668" s="9" t="s">
        <v>116</v>
      </c>
      <c r="P1668" s="9" t="s">
        <v>636</v>
      </c>
      <c r="Q1668" s="11"/>
      <c r="R1668" s="11"/>
      <c r="S1668" s="11">
        <v>0</v>
      </c>
      <c r="T1668" s="9"/>
      <c r="U1668" s="14" t="s">
        <v>77</v>
      </c>
      <c r="V1668" s="9"/>
      <c r="W1668" s="12"/>
      <c r="X1668" s="13"/>
      <c r="Y1668" s="13"/>
      <c r="Z1668" s="13"/>
      <c r="AA1668" s="13"/>
      <c r="AB1668" s="13"/>
      <c r="AC1668" s="13"/>
      <c r="AD1668" s="13"/>
      <c r="AE1668" s="13">
        <v>0</v>
      </c>
      <c r="AF1668" s="13"/>
      <c r="AG1668" s="13"/>
      <c r="AH1668" s="13"/>
      <c r="AI1668" s="13"/>
      <c r="AJ1668" s="13">
        <f t="shared" si="208"/>
        <v>0</v>
      </c>
      <c r="AK1668" s="12"/>
      <c r="AL1668" s="13"/>
      <c r="AM1668" s="9"/>
      <c r="AN1668" s="9"/>
      <c r="AO1668" s="9"/>
      <c r="AP1668" s="14"/>
    </row>
    <row r="1669" spans="1:42" s="45" customFormat="1" ht="22" customHeight="1">
      <c r="A1669" s="14" t="s">
        <v>17</v>
      </c>
      <c r="B1669" s="8">
        <v>2024</v>
      </c>
      <c r="C1669" s="8" t="s">
        <v>24</v>
      </c>
      <c r="D1669" s="9" t="s">
        <v>185</v>
      </c>
      <c r="E1669" s="9" t="s">
        <v>115</v>
      </c>
      <c r="F1669" s="9" t="s">
        <v>434</v>
      </c>
      <c r="G1669" s="8"/>
      <c r="H1669" s="8"/>
      <c r="I1669" s="9" t="s">
        <v>12</v>
      </c>
      <c r="J1669" s="9" t="s">
        <v>12</v>
      </c>
      <c r="K1669" s="9" t="s">
        <v>130</v>
      </c>
      <c r="L1669" s="9" t="s">
        <v>209</v>
      </c>
      <c r="M1669" s="14" t="s">
        <v>84</v>
      </c>
      <c r="N1669" s="9" t="s">
        <v>436</v>
      </c>
      <c r="O1669" s="9" t="s">
        <v>116</v>
      </c>
      <c r="P1669" s="9" t="s">
        <v>637</v>
      </c>
      <c r="Q1669" s="11"/>
      <c r="R1669" s="11"/>
      <c r="S1669" s="11">
        <v>0</v>
      </c>
      <c r="T1669" s="9"/>
      <c r="U1669" s="14" t="s">
        <v>77</v>
      </c>
      <c r="V1669" s="9"/>
      <c r="W1669" s="12"/>
      <c r="X1669" s="13"/>
      <c r="Y1669" s="13"/>
      <c r="Z1669" s="13"/>
      <c r="AA1669" s="13"/>
      <c r="AB1669" s="13"/>
      <c r="AC1669" s="13"/>
      <c r="AD1669" s="13"/>
      <c r="AE1669" s="13">
        <v>0</v>
      </c>
      <c r="AF1669" s="13"/>
      <c r="AG1669" s="13"/>
      <c r="AH1669" s="13"/>
      <c r="AI1669" s="13"/>
      <c r="AJ1669" s="13">
        <f t="shared" si="208"/>
        <v>0</v>
      </c>
      <c r="AK1669" s="12"/>
      <c r="AL1669" s="13"/>
      <c r="AM1669" s="9"/>
      <c r="AN1669" s="9"/>
      <c r="AO1669" s="9"/>
      <c r="AP1669" s="14"/>
    </row>
    <row r="1670" spans="1:42" s="45" customFormat="1" ht="22" customHeight="1">
      <c r="A1670" s="14" t="s">
        <v>17</v>
      </c>
      <c r="B1670" s="8">
        <v>2024</v>
      </c>
      <c r="C1670" s="8" t="s">
        <v>24</v>
      </c>
      <c r="D1670" s="9" t="s">
        <v>185</v>
      </c>
      <c r="E1670" s="9" t="s">
        <v>115</v>
      </c>
      <c r="F1670" s="9" t="s">
        <v>434</v>
      </c>
      <c r="G1670" s="8"/>
      <c r="H1670" s="8"/>
      <c r="I1670" s="9" t="s">
        <v>12</v>
      </c>
      <c r="J1670" s="9" t="s">
        <v>12</v>
      </c>
      <c r="K1670" s="9" t="s">
        <v>130</v>
      </c>
      <c r="L1670" s="9" t="s">
        <v>209</v>
      </c>
      <c r="M1670" s="14" t="s">
        <v>84</v>
      </c>
      <c r="N1670" s="9" t="s">
        <v>436</v>
      </c>
      <c r="O1670" s="9" t="s">
        <v>116</v>
      </c>
      <c r="P1670" s="9" t="s">
        <v>638</v>
      </c>
      <c r="Q1670" s="11"/>
      <c r="R1670" s="11"/>
      <c r="S1670" s="11">
        <v>0</v>
      </c>
      <c r="T1670" s="9"/>
      <c r="U1670" s="14" t="s">
        <v>77</v>
      </c>
      <c r="V1670" s="9"/>
      <c r="W1670" s="12"/>
      <c r="X1670" s="13"/>
      <c r="Y1670" s="13"/>
      <c r="Z1670" s="13"/>
      <c r="AA1670" s="13"/>
      <c r="AB1670" s="13"/>
      <c r="AC1670" s="13"/>
      <c r="AD1670" s="13"/>
      <c r="AE1670" s="13">
        <v>0</v>
      </c>
      <c r="AF1670" s="13"/>
      <c r="AG1670" s="13"/>
      <c r="AH1670" s="13"/>
      <c r="AI1670" s="13"/>
      <c r="AJ1670" s="13">
        <f t="shared" si="208"/>
        <v>0</v>
      </c>
      <c r="AK1670" s="12"/>
      <c r="AL1670" s="13"/>
      <c r="AM1670" s="9"/>
      <c r="AN1670" s="9"/>
      <c r="AO1670" s="9"/>
      <c r="AP1670" s="14"/>
    </row>
    <row r="1671" spans="1:42" s="45" customFormat="1" ht="22" customHeight="1">
      <c r="A1671" s="14" t="s">
        <v>17</v>
      </c>
      <c r="B1671" s="8">
        <v>2024</v>
      </c>
      <c r="C1671" s="8" t="s">
        <v>24</v>
      </c>
      <c r="D1671" s="9" t="s">
        <v>185</v>
      </c>
      <c r="E1671" s="9" t="s">
        <v>115</v>
      </c>
      <c r="F1671" s="9" t="s">
        <v>434</v>
      </c>
      <c r="G1671" s="8"/>
      <c r="H1671" s="8"/>
      <c r="I1671" s="9" t="s">
        <v>12</v>
      </c>
      <c r="J1671" s="9" t="s">
        <v>12</v>
      </c>
      <c r="K1671" s="9" t="s">
        <v>130</v>
      </c>
      <c r="L1671" s="9" t="s">
        <v>209</v>
      </c>
      <c r="M1671" s="14" t="s">
        <v>84</v>
      </c>
      <c r="N1671" s="9" t="s">
        <v>436</v>
      </c>
      <c r="O1671" s="9" t="s">
        <v>116</v>
      </c>
      <c r="P1671" s="9" t="s">
        <v>639</v>
      </c>
      <c r="Q1671" s="11"/>
      <c r="R1671" s="11"/>
      <c r="S1671" s="11">
        <v>0</v>
      </c>
      <c r="T1671" s="9"/>
      <c r="U1671" s="14" t="s">
        <v>77</v>
      </c>
      <c r="V1671" s="9"/>
      <c r="W1671" s="12"/>
      <c r="X1671" s="13"/>
      <c r="Y1671" s="13"/>
      <c r="Z1671" s="13"/>
      <c r="AA1671" s="13"/>
      <c r="AB1671" s="13"/>
      <c r="AC1671" s="13"/>
      <c r="AD1671" s="13"/>
      <c r="AE1671" s="13">
        <v>0</v>
      </c>
      <c r="AF1671" s="13"/>
      <c r="AG1671" s="13"/>
      <c r="AH1671" s="13"/>
      <c r="AI1671" s="13"/>
      <c r="AJ1671" s="13">
        <f t="shared" si="208"/>
        <v>0</v>
      </c>
      <c r="AK1671" s="12"/>
      <c r="AL1671" s="13"/>
      <c r="AM1671" s="9"/>
      <c r="AN1671" s="9"/>
      <c r="AO1671" s="9"/>
      <c r="AP1671" s="14"/>
    </row>
    <row r="1672" spans="1:42" s="45" customFormat="1" ht="22" customHeight="1">
      <c r="A1672" s="14" t="s">
        <v>17</v>
      </c>
      <c r="B1672" s="8">
        <v>2024</v>
      </c>
      <c r="C1672" s="8" t="s">
        <v>24</v>
      </c>
      <c r="D1672" s="9" t="s">
        <v>185</v>
      </c>
      <c r="E1672" s="9" t="s">
        <v>115</v>
      </c>
      <c r="F1672" s="9" t="s">
        <v>434</v>
      </c>
      <c r="G1672" s="8"/>
      <c r="H1672" s="8"/>
      <c r="I1672" s="9" t="s">
        <v>12</v>
      </c>
      <c r="J1672" s="9" t="s">
        <v>12</v>
      </c>
      <c r="K1672" s="9" t="s">
        <v>130</v>
      </c>
      <c r="L1672" s="9" t="s">
        <v>209</v>
      </c>
      <c r="M1672" s="14" t="s">
        <v>84</v>
      </c>
      <c r="N1672" s="9" t="s">
        <v>436</v>
      </c>
      <c r="O1672" s="9" t="s">
        <v>116</v>
      </c>
      <c r="P1672" s="9" t="s">
        <v>640</v>
      </c>
      <c r="Q1672" s="11"/>
      <c r="R1672" s="11"/>
      <c r="S1672" s="11">
        <v>0</v>
      </c>
      <c r="T1672" s="9"/>
      <c r="U1672" s="14" t="s">
        <v>77</v>
      </c>
      <c r="V1672" s="9"/>
      <c r="W1672" s="12"/>
      <c r="X1672" s="13"/>
      <c r="Y1672" s="13"/>
      <c r="Z1672" s="13"/>
      <c r="AA1672" s="13"/>
      <c r="AB1672" s="13"/>
      <c r="AC1672" s="13"/>
      <c r="AD1672" s="13"/>
      <c r="AE1672" s="13">
        <v>0</v>
      </c>
      <c r="AF1672" s="13"/>
      <c r="AG1672" s="13"/>
      <c r="AH1672" s="13"/>
      <c r="AI1672" s="13"/>
      <c r="AJ1672" s="13">
        <f t="shared" si="208"/>
        <v>0</v>
      </c>
      <c r="AK1672" s="12"/>
      <c r="AL1672" s="13"/>
      <c r="AM1672" s="9"/>
      <c r="AN1672" s="9"/>
      <c r="AO1672" s="9"/>
      <c r="AP1672" s="14"/>
    </row>
    <row r="1673" spans="1:42" s="45" customFormat="1" ht="22" customHeight="1">
      <c r="A1673" s="14" t="s">
        <v>17</v>
      </c>
      <c r="B1673" s="8">
        <v>2024</v>
      </c>
      <c r="C1673" s="8" t="s">
        <v>24</v>
      </c>
      <c r="D1673" s="9" t="s">
        <v>185</v>
      </c>
      <c r="E1673" s="9" t="s">
        <v>115</v>
      </c>
      <c r="F1673" s="9" t="s">
        <v>434</v>
      </c>
      <c r="G1673" s="8"/>
      <c r="H1673" s="8"/>
      <c r="I1673" s="9" t="s">
        <v>12</v>
      </c>
      <c r="J1673" s="9" t="s">
        <v>12</v>
      </c>
      <c r="K1673" s="9" t="s">
        <v>130</v>
      </c>
      <c r="L1673" s="9" t="s">
        <v>209</v>
      </c>
      <c r="M1673" s="14" t="s">
        <v>84</v>
      </c>
      <c r="N1673" s="9" t="s">
        <v>436</v>
      </c>
      <c r="O1673" s="9" t="s">
        <v>116</v>
      </c>
      <c r="P1673" s="9" t="s">
        <v>641</v>
      </c>
      <c r="Q1673" s="11"/>
      <c r="R1673" s="11"/>
      <c r="S1673" s="11">
        <v>0</v>
      </c>
      <c r="T1673" s="9"/>
      <c r="U1673" s="14" t="s">
        <v>77</v>
      </c>
      <c r="V1673" s="9"/>
      <c r="W1673" s="12"/>
      <c r="X1673" s="13"/>
      <c r="Y1673" s="13"/>
      <c r="Z1673" s="13"/>
      <c r="AA1673" s="13"/>
      <c r="AB1673" s="13"/>
      <c r="AC1673" s="13"/>
      <c r="AD1673" s="13"/>
      <c r="AE1673" s="13">
        <v>0</v>
      </c>
      <c r="AF1673" s="13"/>
      <c r="AG1673" s="13"/>
      <c r="AH1673" s="13"/>
      <c r="AI1673" s="13"/>
      <c r="AJ1673" s="13">
        <f t="shared" si="208"/>
        <v>0</v>
      </c>
      <c r="AK1673" s="12"/>
      <c r="AL1673" s="13"/>
      <c r="AM1673" s="9"/>
      <c r="AN1673" s="9"/>
      <c r="AO1673" s="9"/>
      <c r="AP1673" s="14"/>
    </row>
    <row r="1674" spans="1:42" s="45" customFormat="1" ht="22" customHeight="1">
      <c r="A1674" s="14" t="s">
        <v>17</v>
      </c>
      <c r="B1674" s="8">
        <v>2024</v>
      </c>
      <c r="C1674" s="8" t="s">
        <v>24</v>
      </c>
      <c r="D1674" s="9" t="s">
        <v>185</v>
      </c>
      <c r="E1674" s="9" t="s">
        <v>115</v>
      </c>
      <c r="F1674" s="9" t="s">
        <v>434</v>
      </c>
      <c r="G1674" s="8"/>
      <c r="H1674" s="8"/>
      <c r="I1674" s="9" t="s">
        <v>12</v>
      </c>
      <c r="J1674" s="9" t="s">
        <v>12</v>
      </c>
      <c r="K1674" s="9" t="s">
        <v>130</v>
      </c>
      <c r="L1674" s="9" t="s">
        <v>209</v>
      </c>
      <c r="M1674" s="14" t="s">
        <v>84</v>
      </c>
      <c r="N1674" s="9" t="s">
        <v>436</v>
      </c>
      <c r="O1674" s="9" t="s">
        <v>116</v>
      </c>
      <c r="P1674" s="9" t="s">
        <v>642</v>
      </c>
      <c r="Q1674" s="11"/>
      <c r="R1674" s="11"/>
      <c r="S1674" s="11">
        <v>0</v>
      </c>
      <c r="T1674" s="9"/>
      <c r="U1674" s="14" t="s">
        <v>77</v>
      </c>
      <c r="V1674" s="9"/>
      <c r="W1674" s="12"/>
      <c r="X1674" s="13"/>
      <c r="Y1674" s="13"/>
      <c r="Z1674" s="13"/>
      <c r="AA1674" s="13"/>
      <c r="AB1674" s="13"/>
      <c r="AC1674" s="13"/>
      <c r="AD1674" s="13"/>
      <c r="AE1674" s="13">
        <v>0</v>
      </c>
      <c r="AF1674" s="13"/>
      <c r="AG1674" s="13"/>
      <c r="AH1674" s="13"/>
      <c r="AI1674" s="13"/>
      <c r="AJ1674" s="13">
        <f t="shared" si="208"/>
        <v>0</v>
      </c>
      <c r="AK1674" s="12"/>
      <c r="AL1674" s="13"/>
      <c r="AM1674" s="9"/>
      <c r="AN1674" s="9"/>
      <c r="AO1674" s="9"/>
      <c r="AP1674" s="14"/>
    </row>
    <row r="1675" spans="1:42" s="45" customFormat="1" ht="22" customHeight="1">
      <c r="A1675" s="14" t="s">
        <v>17</v>
      </c>
      <c r="B1675" s="8">
        <v>2024</v>
      </c>
      <c r="C1675" s="8" t="s">
        <v>24</v>
      </c>
      <c r="D1675" s="9" t="s">
        <v>185</v>
      </c>
      <c r="E1675" s="9" t="s">
        <v>115</v>
      </c>
      <c r="F1675" s="9" t="s">
        <v>434</v>
      </c>
      <c r="G1675" s="8"/>
      <c r="H1675" s="8"/>
      <c r="I1675" s="9" t="s">
        <v>12</v>
      </c>
      <c r="J1675" s="9" t="s">
        <v>12</v>
      </c>
      <c r="K1675" s="9" t="s">
        <v>130</v>
      </c>
      <c r="L1675" s="9" t="s">
        <v>209</v>
      </c>
      <c r="M1675" s="14" t="s">
        <v>84</v>
      </c>
      <c r="N1675" s="9" t="s">
        <v>436</v>
      </c>
      <c r="O1675" s="9" t="s">
        <v>116</v>
      </c>
      <c r="P1675" s="9" t="s">
        <v>643</v>
      </c>
      <c r="Q1675" s="11"/>
      <c r="R1675" s="11"/>
      <c r="S1675" s="11">
        <v>0</v>
      </c>
      <c r="T1675" s="9"/>
      <c r="U1675" s="14" t="s">
        <v>77</v>
      </c>
      <c r="V1675" s="9"/>
      <c r="W1675" s="12"/>
      <c r="X1675" s="13"/>
      <c r="Y1675" s="13"/>
      <c r="Z1675" s="13"/>
      <c r="AA1675" s="13"/>
      <c r="AB1675" s="13"/>
      <c r="AC1675" s="13"/>
      <c r="AD1675" s="13"/>
      <c r="AE1675" s="13">
        <v>0</v>
      </c>
      <c r="AF1675" s="13"/>
      <c r="AG1675" s="13"/>
      <c r="AH1675" s="13"/>
      <c r="AI1675" s="13"/>
      <c r="AJ1675" s="13">
        <f t="shared" si="208"/>
        <v>0</v>
      </c>
      <c r="AK1675" s="12"/>
      <c r="AL1675" s="13"/>
      <c r="AM1675" s="9"/>
      <c r="AN1675" s="9"/>
      <c r="AO1675" s="9"/>
      <c r="AP1675" s="14"/>
    </row>
    <row r="1676" spans="1:42" s="45" customFormat="1" ht="22" customHeight="1">
      <c r="A1676" s="14" t="s">
        <v>17</v>
      </c>
      <c r="B1676" s="8">
        <v>2024</v>
      </c>
      <c r="C1676" s="8" t="s">
        <v>24</v>
      </c>
      <c r="D1676" s="9" t="s">
        <v>185</v>
      </c>
      <c r="E1676" s="9" t="s">
        <v>115</v>
      </c>
      <c r="F1676" s="9" t="s">
        <v>434</v>
      </c>
      <c r="G1676" s="8"/>
      <c r="H1676" s="8"/>
      <c r="I1676" s="9" t="s">
        <v>12</v>
      </c>
      <c r="J1676" s="9" t="s">
        <v>12</v>
      </c>
      <c r="K1676" s="9" t="s">
        <v>130</v>
      </c>
      <c r="L1676" s="9" t="s">
        <v>209</v>
      </c>
      <c r="M1676" s="14" t="s">
        <v>84</v>
      </c>
      <c r="N1676" s="9" t="s">
        <v>436</v>
      </c>
      <c r="O1676" s="9" t="s">
        <v>116</v>
      </c>
      <c r="P1676" s="9" t="s">
        <v>644</v>
      </c>
      <c r="Q1676" s="11"/>
      <c r="R1676" s="11"/>
      <c r="S1676" s="11">
        <v>0</v>
      </c>
      <c r="T1676" s="9"/>
      <c r="U1676" s="14" t="s">
        <v>77</v>
      </c>
      <c r="V1676" s="9"/>
      <c r="W1676" s="12"/>
      <c r="X1676" s="13"/>
      <c r="Y1676" s="13"/>
      <c r="Z1676" s="13"/>
      <c r="AA1676" s="13"/>
      <c r="AB1676" s="13"/>
      <c r="AC1676" s="13"/>
      <c r="AD1676" s="13"/>
      <c r="AE1676" s="13">
        <v>0</v>
      </c>
      <c r="AF1676" s="13"/>
      <c r="AG1676" s="13"/>
      <c r="AH1676" s="13"/>
      <c r="AI1676" s="13"/>
      <c r="AJ1676" s="13">
        <f t="shared" si="208"/>
        <v>0</v>
      </c>
      <c r="AK1676" s="12"/>
      <c r="AL1676" s="13"/>
      <c r="AM1676" s="9"/>
      <c r="AN1676" s="9"/>
      <c r="AO1676" s="9"/>
      <c r="AP1676" s="14"/>
    </row>
    <row r="1677" spans="1:42" s="45" customFormat="1" ht="22" customHeight="1">
      <c r="A1677" s="14" t="s">
        <v>17</v>
      </c>
      <c r="B1677" s="8">
        <v>2024</v>
      </c>
      <c r="C1677" s="8" t="s">
        <v>24</v>
      </c>
      <c r="D1677" s="9" t="s">
        <v>185</v>
      </c>
      <c r="E1677" s="9" t="s">
        <v>115</v>
      </c>
      <c r="F1677" s="9" t="s">
        <v>434</v>
      </c>
      <c r="G1677" s="8"/>
      <c r="H1677" s="8"/>
      <c r="I1677" s="9" t="s">
        <v>12</v>
      </c>
      <c r="J1677" s="9" t="s">
        <v>12</v>
      </c>
      <c r="K1677" s="9" t="s">
        <v>130</v>
      </c>
      <c r="L1677" s="9" t="s">
        <v>209</v>
      </c>
      <c r="M1677" s="14" t="s">
        <v>84</v>
      </c>
      <c r="N1677" s="9" t="s">
        <v>436</v>
      </c>
      <c r="O1677" s="9" t="s">
        <v>116</v>
      </c>
      <c r="P1677" s="9" t="s">
        <v>645</v>
      </c>
      <c r="Q1677" s="11"/>
      <c r="R1677" s="11"/>
      <c r="S1677" s="11">
        <v>0</v>
      </c>
      <c r="T1677" s="9"/>
      <c r="U1677" s="14" t="s">
        <v>77</v>
      </c>
      <c r="V1677" s="9"/>
      <c r="W1677" s="12"/>
      <c r="X1677" s="13"/>
      <c r="Y1677" s="13"/>
      <c r="Z1677" s="13"/>
      <c r="AA1677" s="13"/>
      <c r="AB1677" s="13"/>
      <c r="AC1677" s="13"/>
      <c r="AD1677" s="13"/>
      <c r="AE1677" s="13">
        <v>0</v>
      </c>
      <c r="AF1677" s="13"/>
      <c r="AG1677" s="13"/>
      <c r="AH1677" s="13"/>
      <c r="AI1677" s="13"/>
      <c r="AJ1677" s="13">
        <f t="shared" si="208"/>
        <v>0</v>
      </c>
      <c r="AK1677" s="12"/>
      <c r="AL1677" s="13"/>
      <c r="AM1677" s="9"/>
      <c r="AN1677" s="9"/>
      <c r="AO1677" s="9"/>
      <c r="AP1677" s="14"/>
    </row>
    <row r="1678" spans="1:42" s="45" customFormat="1" ht="22" customHeight="1">
      <c r="A1678" s="14" t="s">
        <v>17</v>
      </c>
      <c r="B1678" s="8">
        <v>2024</v>
      </c>
      <c r="C1678" s="8" t="s">
        <v>24</v>
      </c>
      <c r="D1678" s="9" t="s">
        <v>185</v>
      </c>
      <c r="E1678" s="9" t="s">
        <v>115</v>
      </c>
      <c r="F1678" s="9" t="s">
        <v>434</v>
      </c>
      <c r="G1678" s="8"/>
      <c r="H1678" s="8"/>
      <c r="I1678" s="9" t="s">
        <v>12</v>
      </c>
      <c r="J1678" s="9" t="s">
        <v>12</v>
      </c>
      <c r="K1678" s="9" t="s">
        <v>130</v>
      </c>
      <c r="L1678" s="9" t="s">
        <v>209</v>
      </c>
      <c r="M1678" s="14" t="s">
        <v>84</v>
      </c>
      <c r="N1678" s="9" t="s">
        <v>436</v>
      </c>
      <c r="O1678" s="9" t="s">
        <v>116</v>
      </c>
      <c r="P1678" s="9" t="s">
        <v>646</v>
      </c>
      <c r="Q1678" s="11"/>
      <c r="R1678" s="11"/>
      <c r="S1678" s="11">
        <v>0</v>
      </c>
      <c r="T1678" s="9"/>
      <c r="U1678" s="14" t="s">
        <v>77</v>
      </c>
      <c r="V1678" s="9"/>
      <c r="W1678" s="12"/>
      <c r="X1678" s="13"/>
      <c r="Y1678" s="13"/>
      <c r="Z1678" s="13"/>
      <c r="AA1678" s="13"/>
      <c r="AB1678" s="13"/>
      <c r="AC1678" s="13"/>
      <c r="AD1678" s="13"/>
      <c r="AE1678" s="13">
        <v>0</v>
      </c>
      <c r="AF1678" s="13"/>
      <c r="AG1678" s="13"/>
      <c r="AH1678" s="13"/>
      <c r="AI1678" s="13"/>
      <c r="AJ1678" s="13">
        <f t="shared" si="208"/>
        <v>0</v>
      </c>
      <c r="AK1678" s="12"/>
      <c r="AL1678" s="13"/>
      <c r="AM1678" s="9"/>
      <c r="AN1678" s="9"/>
      <c r="AO1678" s="9"/>
      <c r="AP1678" s="14"/>
    </row>
    <row r="1679" spans="1:42" s="45" customFormat="1" ht="22" customHeight="1">
      <c r="A1679" s="14" t="s">
        <v>17</v>
      </c>
      <c r="B1679" s="8">
        <v>2024</v>
      </c>
      <c r="C1679" s="8" t="s">
        <v>24</v>
      </c>
      <c r="D1679" s="9" t="s">
        <v>185</v>
      </c>
      <c r="E1679" s="9" t="s">
        <v>115</v>
      </c>
      <c r="F1679" s="9" t="s">
        <v>434</v>
      </c>
      <c r="G1679" s="8"/>
      <c r="H1679" s="8"/>
      <c r="I1679" s="9" t="s">
        <v>12</v>
      </c>
      <c r="J1679" s="9" t="s">
        <v>12</v>
      </c>
      <c r="K1679" s="9" t="s">
        <v>130</v>
      </c>
      <c r="L1679" s="9" t="s">
        <v>209</v>
      </c>
      <c r="M1679" s="14" t="s">
        <v>84</v>
      </c>
      <c r="N1679" s="9" t="s">
        <v>436</v>
      </c>
      <c r="O1679" s="9" t="s">
        <v>116</v>
      </c>
      <c r="P1679" s="9" t="s">
        <v>647</v>
      </c>
      <c r="Q1679" s="11"/>
      <c r="R1679" s="11"/>
      <c r="S1679" s="11">
        <v>0</v>
      </c>
      <c r="T1679" s="9"/>
      <c r="U1679" s="14" t="s">
        <v>77</v>
      </c>
      <c r="V1679" s="9"/>
      <c r="W1679" s="12"/>
      <c r="X1679" s="13"/>
      <c r="Y1679" s="13"/>
      <c r="Z1679" s="13"/>
      <c r="AA1679" s="13"/>
      <c r="AB1679" s="13"/>
      <c r="AC1679" s="13"/>
      <c r="AD1679" s="13"/>
      <c r="AE1679" s="13">
        <v>0</v>
      </c>
      <c r="AF1679" s="13"/>
      <c r="AG1679" s="13"/>
      <c r="AH1679" s="13"/>
      <c r="AI1679" s="13"/>
      <c r="AJ1679" s="13">
        <f t="shared" si="208"/>
        <v>0</v>
      </c>
      <c r="AK1679" s="12"/>
      <c r="AL1679" s="13"/>
      <c r="AM1679" s="9"/>
      <c r="AN1679" s="9"/>
      <c r="AO1679" s="9"/>
      <c r="AP1679" s="14"/>
    </row>
    <row r="1680" spans="1:42" s="45" customFormat="1" ht="22" customHeight="1">
      <c r="A1680" s="14" t="s">
        <v>17</v>
      </c>
      <c r="B1680" s="8">
        <v>2024</v>
      </c>
      <c r="C1680" s="8" t="s">
        <v>24</v>
      </c>
      <c r="D1680" s="9" t="s">
        <v>185</v>
      </c>
      <c r="E1680" s="9" t="s">
        <v>115</v>
      </c>
      <c r="F1680" s="9" t="s">
        <v>434</v>
      </c>
      <c r="G1680" s="8"/>
      <c r="H1680" s="8"/>
      <c r="I1680" s="9" t="s">
        <v>12</v>
      </c>
      <c r="J1680" s="9" t="s">
        <v>12</v>
      </c>
      <c r="K1680" s="9" t="s">
        <v>130</v>
      </c>
      <c r="L1680" s="9" t="s">
        <v>209</v>
      </c>
      <c r="M1680" s="14" t="s">
        <v>84</v>
      </c>
      <c r="N1680" s="9" t="s">
        <v>436</v>
      </c>
      <c r="O1680" s="9" t="s">
        <v>116</v>
      </c>
      <c r="P1680" s="9" t="s">
        <v>648</v>
      </c>
      <c r="Q1680" s="11"/>
      <c r="R1680" s="11"/>
      <c r="S1680" s="11">
        <v>0</v>
      </c>
      <c r="T1680" s="9"/>
      <c r="U1680" s="14" t="s">
        <v>77</v>
      </c>
      <c r="V1680" s="9"/>
      <c r="W1680" s="12"/>
      <c r="X1680" s="13"/>
      <c r="Y1680" s="13"/>
      <c r="Z1680" s="13"/>
      <c r="AA1680" s="13"/>
      <c r="AB1680" s="13"/>
      <c r="AC1680" s="13"/>
      <c r="AD1680" s="13"/>
      <c r="AE1680" s="13">
        <v>0</v>
      </c>
      <c r="AF1680" s="13"/>
      <c r="AG1680" s="13"/>
      <c r="AH1680" s="13"/>
      <c r="AI1680" s="13"/>
      <c r="AJ1680" s="13">
        <f t="shared" si="208"/>
        <v>0</v>
      </c>
      <c r="AK1680" s="12"/>
      <c r="AL1680" s="13"/>
      <c r="AM1680" s="9"/>
      <c r="AN1680" s="9"/>
      <c r="AO1680" s="9"/>
      <c r="AP1680" s="14"/>
    </row>
    <row r="1681" spans="1:42" s="45" customFormat="1" ht="22" customHeight="1">
      <c r="A1681" s="14" t="s">
        <v>17</v>
      </c>
      <c r="B1681" s="8">
        <v>2024</v>
      </c>
      <c r="C1681" s="8" t="s">
        <v>24</v>
      </c>
      <c r="D1681" s="9" t="s">
        <v>185</v>
      </c>
      <c r="E1681" s="9" t="s">
        <v>115</v>
      </c>
      <c r="F1681" s="9" t="s">
        <v>434</v>
      </c>
      <c r="G1681" s="8"/>
      <c r="H1681" s="8"/>
      <c r="I1681" s="9" t="s">
        <v>12</v>
      </c>
      <c r="J1681" s="9" t="s">
        <v>12</v>
      </c>
      <c r="K1681" s="9" t="s">
        <v>130</v>
      </c>
      <c r="L1681" s="9" t="s">
        <v>209</v>
      </c>
      <c r="M1681" s="14" t="s">
        <v>84</v>
      </c>
      <c r="N1681" s="9" t="s">
        <v>436</v>
      </c>
      <c r="O1681" s="9" t="s">
        <v>116</v>
      </c>
      <c r="P1681" s="9" t="s">
        <v>649</v>
      </c>
      <c r="Q1681" s="11"/>
      <c r="R1681" s="11"/>
      <c r="S1681" s="11">
        <v>0</v>
      </c>
      <c r="T1681" s="9"/>
      <c r="U1681" s="14" t="s">
        <v>77</v>
      </c>
      <c r="V1681" s="9"/>
      <c r="W1681" s="12"/>
      <c r="X1681" s="13"/>
      <c r="Y1681" s="13"/>
      <c r="Z1681" s="13"/>
      <c r="AA1681" s="13"/>
      <c r="AB1681" s="13"/>
      <c r="AC1681" s="13"/>
      <c r="AD1681" s="13"/>
      <c r="AE1681" s="13">
        <v>0</v>
      </c>
      <c r="AF1681" s="13"/>
      <c r="AG1681" s="13"/>
      <c r="AH1681" s="13"/>
      <c r="AI1681" s="13"/>
      <c r="AJ1681" s="13">
        <f t="shared" si="208"/>
        <v>0</v>
      </c>
      <c r="AK1681" s="12"/>
      <c r="AL1681" s="13"/>
      <c r="AM1681" s="9"/>
      <c r="AN1681" s="9"/>
      <c r="AO1681" s="9"/>
      <c r="AP1681" s="14"/>
    </row>
    <row r="1682" spans="1:42" s="45" customFormat="1" ht="22" customHeight="1">
      <c r="A1682" s="14" t="s">
        <v>17</v>
      </c>
      <c r="B1682" s="8">
        <v>2024</v>
      </c>
      <c r="C1682" s="8" t="s">
        <v>24</v>
      </c>
      <c r="D1682" s="9" t="s">
        <v>185</v>
      </c>
      <c r="E1682" s="9" t="s">
        <v>115</v>
      </c>
      <c r="F1682" s="9" t="s">
        <v>434</v>
      </c>
      <c r="G1682" s="8"/>
      <c r="H1682" s="8"/>
      <c r="I1682" s="9" t="s">
        <v>12</v>
      </c>
      <c r="J1682" s="9" t="s">
        <v>12</v>
      </c>
      <c r="K1682" s="9" t="s">
        <v>130</v>
      </c>
      <c r="L1682" s="9" t="s">
        <v>209</v>
      </c>
      <c r="M1682" s="14" t="s">
        <v>84</v>
      </c>
      <c r="N1682" s="9" t="s">
        <v>436</v>
      </c>
      <c r="O1682" s="9" t="s">
        <v>650</v>
      </c>
      <c r="P1682" s="9" t="s">
        <v>651</v>
      </c>
      <c r="Q1682" s="11"/>
      <c r="R1682" s="11"/>
      <c r="S1682" s="11">
        <v>0</v>
      </c>
      <c r="T1682" s="9"/>
      <c r="U1682" s="14" t="s">
        <v>77</v>
      </c>
      <c r="V1682" s="9"/>
      <c r="W1682" s="12"/>
      <c r="X1682" s="13"/>
      <c r="Y1682" s="13"/>
      <c r="Z1682" s="13"/>
      <c r="AA1682" s="13"/>
      <c r="AB1682" s="13"/>
      <c r="AC1682" s="13"/>
      <c r="AD1682" s="13"/>
      <c r="AE1682" s="13">
        <v>0</v>
      </c>
      <c r="AF1682" s="13"/>
      <c r="AG1682" s="13"/>
      <c r="AH1682" s="13"/>
      <c r="AI1682" s="13"/>
      <c r="AJ1682" s="13">
        <f t="shared" si="208"/>
        <v>0</v>
      </c>
      <c r="AK1682" s="12"/>
      <c r="AL1682" s="13"/>
      <c r="AM1682" s="9"/>
      <c r="AN1682" s="9"/>
      <c r="AO1682" s="9"/>
      <c r="AP1682" s="14"/>
    </row>
    <row r="1683" spans="1:42" s="45" customFormat="1" ht="22" customHeight="1">
      <c r="A1683" s="14" t="s">
        <v>17</v>
      </c>
      <c r="B1683" s="8">
        <v>2024</v>
      </c>
      <c r="C1683" s="8" t="s">
        <v>24</v>
      </c>
      <c r="D1683" s="9" t="s">
        <v>185</v>
      </c>
      <c r="E1683" s="9" t="s">
        <v>115</v>
      </c>
      <c r="F1683" s="9" t="s">
        <v>434</v>
      </c>
      <c r="G1683" s="8"/>
      <c r="H1683" s="8"/>
      <c r="I1683" s="9" t="s">
        <v>12</v>
      </c>
      <c r="J1683" s="9" t="s">
        <v>12</v>
      </c>
      <c r="K1683" s="9" t="s">
        <v>130</v>
      </c>
      <c r="L1683" s="9" t="s">
        <v>209</v>
      </c>
      <c r="M1683" s="14" t="s">
        <v>84</v>
      </c>
      <c r="N1683" s="9" t="s">
        <v>436</v>
      </c>
      <c r="O1683" s="9" t="s">
        <v>650</v>
      </c>
      <c r="P1683" s="9" t="s">
        <v>652</v>
      </c>
      <c r="Q1683" s="11"/>
      <c r="R1683" s="11"/>
      <c r="S1683" s="11">
        <v>0</v>
      </c>
      <c r="T1683" s="9"/>
      <c r="U1683" s="14" t="s">
        <v>77</v>
      </c>
      <c r="V1683" s="9"/>
      <c r="W1683" s="12"/>
      <c r="X1683" s="13"/>
      <c r="Y1683" s="13"/>
      <c r="Z1683" s="13"/>
      <c r="AA1683" s="13"/>
      <c r="AB1683" s="13"/>
      <c r="AC1683" s="13"/>
      <c r="AD1683" s="13"/>
      <c r="AE1683" s="13">
        <v>0</v>
      </c>
      <c r="AF1683" s="13"/>
      <c r="AG1683" s="13"/>
      <c r="AH1683" s="13"/>
      <c r="AI1683" s="13"/>
      <c r="AJ1683" s="13">
        <f t="shared" si="208"/>
        <v>0</v>
      </c>
      <c r="AK1683" s="12"/>
      <c r="AL1683" s="13"/>
      <c r="AM1683" s="9"/>
      <c r="AN1683" s="9"/>
      <c r="AO1683" s="9"/>
      <c r="AP1683" s="14"/>
    </row>
    <row r="1684" spans="1:42" s="45" customFormat="1" ht="22" customHeight="1">
      <c r="A1684" s="14" t="s">
        <v>17</v>
      </c>
      <c r="B1684" s="8">
        <v>2024</v>
      </c>
      <c r="C1684" s="8" t="s">
        <v>24</v>
      </c>
      <c r="D1684" s="9" t="s">
        <v>185</v>
      </c>
      <c r="E1684" s="9" t="s">
        <v>115</v>
      </c>
      <c r="F1684" s="9" t="s">
        <v>434</v>
      </c>
      <c r="G1684" s="8"/>
      <c r="H1684" s="8"/>
      <c r="I1684" s="9" t="s">
        <v>12</v>
      </c>
      <c r="J1684" s="9" t="s">
        <v>12</v>
      </c>
      <c r="K1684" s="9" t="s">
        <v>130</v>
      </c>
      <c r="L1684" s="9" t="s">
        <v>209</v>
      </c>
      <c r="M1684" s="14" t="s">
        <v>84</v>
      </c>
      <c r="N1684" s="9" t="s">
        <v>436</v>
      </c>
      <c r="O1684" s="9" t="s">
        <v>650</v>
      </c>
      <c r="P1684" s="9" t="s">
        <v>653</v>
      </c>
      <c r="Q1684" s="11"/>
      <c r="R1684" s="11"/>
      <c r="S1684" s="11">
        <v>0</v>
      </c>
      <c r="T1684" s="9"/>
      <c r="U1684" s="14" t="s">
        <v>77</v>
      </c>
      <c r="V1684" s="9"/>
      <c r="W1684" s="12"/>
      <c r="X1684" s="13"/>
      <c r="Y1684" s="13"/>
      <c r="Z1684" s="13"/>
      <c r="AA1684" s="13"/>
      <c r="AB1684" s="13"/>
      <c r="AC1684" s="13"/>
      <c r="AD1684" s="13"/>
      <c r="AE1684" s="13">
        <v>0</v>
      </c>
      <c r="AF1684" s="13"/>
      <c r="AG1684" s="13"/>
      <c r="AH1684" s="13"/>
      <c r="AI1684" s="13"/>
      <c r="AJ1684" s="13">
        <f t="shared" si="208"/>
        <v>0</v>
      </c>
      <c r="AK1684" s="12"/>
      <c r="AL1684" s="13"/>
      <c r="AM1684" s="9"/>
      <c r="AN1684" s="9"/>
      <c r="AO1684" s="9"/>
      <c r="AP1684" s="14"/>
    </row>
    <row r="1685" spans="1:42" s="45" customFormat="1" ht="22" customHeight="1">
      <c r="A1685" s="14" t="s">
        <v>17</v>
      </c>
      <c r="B1685" s="8">
        <v>2024</v>
      </c>
      <c r="C1685" s="8" t="s">
        <v>24</v>
      </c>
      <c r="D1685" s="9" t="s">
        <v>185</v>
      </c>
      <c r="E1685" s="9" t="s">
        <v>115</v>
      </c>
      <c r="F1685" s="9" t="s">
        <v>434</v>
      </c>
      <c r="G1685" s="8"/>
      <c r="H1685" s="8"/>
      <c r="I1685" s="9" t="s">
        <v>12</v>
      </c>
      <c r="J1685" s="9" t="s">
        <v>12</v>
      </c>
      <c r="K1685" s="9" t="s">
        <v>130</v>
      </c>
      <c r="L1685" s="9" t="s">
        <v>209</v>
      </c>
      <c r="M1685" s="14" t="s">
        <v>84</v>
      </c>
      <c r="N1685" s="9" t="s">
        <v>436</v>
      </c>
      <c r="O1685" s="9" t="s">
        <v>650</v>
      </c>
      <c r="P1685" s="9" t="s">
        <v>654</v>
      </c>
      <c r="Q1685" s="11"/>
      <c r="R1685" s="11"/>
      <c r="S1685" s="11">
        <v>0</v>
      </c>
      <c r="T1685" s="9"/>
      <c r="U1685" s="14" t="s">
        <v>77</v>
      </c>
      <c r="V1685" s="9"/>
      <c r="W1685" s="12"/>
      <c r="X1685" s="13"/>
      <c r="Y1685" s="13"/>
      <c r="Z1685" s="13"/>
      <c r="AA1685" s="13"/>
      <c r="AB1685" s="13"/>
      <c r="AC1685" s="13"/>
      <c r="AD1685" s="13"/>
      <c r="AE1685" s="13">
        <v>0</v>
      </c>
      <c r="AF1685" s="13"/>
      <c r="AG1685" s="13"/>
      <c r="AH1685" s="13"/>
      <c r="AI1685" s="13"/>
      <c r="AJ1685" s="13">
        <f t="shared" si="208"/>
        <v>0</v>
      </c>
      <c r="AK1685" s="12"/>
      <c r="AL1685" s="13"/>
      <c r="AM1685" s="9"/>
      <c r="AN1685" s="9"/>
      <c r="AO1685" s="9"/>
      <c r="AP1685" s="14"/>
    </row>
    <row r="1686" spans="1:42" s="45" customFormat="1" ht="22" customHeight="1">
      <c r="A1686" s="14" t="s">
        <v>17</v>
      </c>
      <c r="B1686" s="8">
        <v>2024</v>
      </c>
      <c r="C1686" s="8" t="s">
        <v>24</v>
      </c>
      <c r="D1686" s="9" t="s">
        <v>185</v>
      </c>
      <c r="E1686" s="9" t="s">
        <v>115</v>
      </c>
      <c r="F1686" s="9" t="s">
        <v>434</v>
      </c>
      <c r="G1686" s="8"/>
      <c r="H1686" s="8"/>
      <c r="I1686" s="9" t="s">
        <v>12</v>
      </c>
      <c r="J1686" s="9" t="s">
        <v>12</v>
      </c>
      <c r="K1686" s="9" t="s">
        <v>130</v>
      </c>
      <c r="L1686" s="9" t="s">
        <v>209</v>
      </c>
      <c r="M1686" s="14" t="s">
        <v>84</v>
      </c>
      <c r="N1686" s="9" t="s">
        <v>436</v>
      </c>
      <c r="O1686" s="9" t="s">
        <v>650</v>
      </c>
      <c r="P1686" s="9" t="s">
        <v>655</v>
      </c>
      <c r="Q1686" s="11"/>
      <c r="R1686" s="11"/>
      <c r="S1686" s="11">
        <v>0</v>
      </c>
      <c r="T1686" s="9"/>
      <c r="U1686" s="14" t="s">
        <v>77</v>
      </c>
      <c r="V1686" s="9"/>
      <c r="W1686" s="12"/>
      <c r="X1686" s="13"/>
      <c r="Y1686" s="13"/>
      <c r="Z1686" s="13"/>
      <c r="AA1686" s="13"/>
      <c r="AB1686" s="13"/>
      <c r="AC1686" s="13"/>
      <c r="AD1686" s="13"/>
      <c r="AE1686" s="13">
        <v>0</v>
      </c>
      <c r="AF1686" s="13"/>
      <c r="AG1686" s="13"/>
      <c r="AH1686" s="13"/>
      <c r="AI1686" s="13"/>
      <c r="AJ1686" s="13">
        <f t="shared" si="208"/>
        <v>0</v>
      </c>
      <c r="AK1686" s="12"/>
      <c r="AL1686" s="13"/>
      <c r="AM1686" s="9"/>
      <c r="AN1686" s="9"/>
      <c r="AO1686" s="9"/>
      <c r="AP1686" s="14"/>
    </row>
    <row r="1687" spans="1:42" s="45" customFormat="1" ht="22" customHeight="1">
      <c r="A1687" s="14" t="s">
        <v>17</v>
      </c>
      <c r="B1687" s="8">
        <v>2024</v>
      </c>
      <c r="C1687" s="8" t="s">
        <v>24</v>
      </c>
      <c r="D1687" s="9" t="s">
        <v>185</v>
      </c>
      <c r="E1687" s="9" t="s">
        <v>115</v>
      </c>
      <c r="F1687" s="9" t="s">
        <v>434</v>
      </c>
      <c r="G1687" s="8"/>
      <c r="H1687" s="8"/>
      <c r="I1687" s="9" t="s">
        <v>12</v>
      </c>
      <c r="J1687" s="9" t="s">
        <v>12</v>
      </c>
      <c r="K1687" s="9" t="s">
        <v>130</v>
      </c>
      <c r="L1687" s="9" t="s">
        <v>209</v>
      </c>
      <c r="M1687" s="14" t="s">
        <v>84</v>
      </c>
      <c r="N1687" s="9" t="s">
        <v>436</v>
      </c>
      <c r="O1687" s="9" t="s">
        <v>650</v>
      </c>
      <c r="P1687" s="9" t="s">
        <v>656</v>
      </c>
      <c r="Q1687" s="11"/>
      <c r="R1687" s="11"/>
      <c r="S1687" s="11">
        <v>0</v>
      </c>
      <c r="T1687" s="9"/>
      <c r="U1687" s="14" t="s">
        <v>77</v>
      </c>
      <c r="V1687" s="9"/>
      <c r="W1687" s="12"/>
      <c r="X1687" s="13"/>
      <c r="Y1687" s="13"/>
      <c r="Z1687" s="13"/>
      <c r="AA1687" s="13"/>
      <c r="AB1687" s="13"/>
      <c r="AC1687" s="13"/>
      <c r="AD1687" s="13"/>
      <c r="AE1687" s="13">
        <v>0</v>
      </c>
      <c r="AF1687" s="13"/>
      <c r="AG1687" s="13"/>
      <c r="AH1687" s="13"/>
      <c r="AI1687" s="13"/>
      <c r="AJ1687" s="13">
        <f t="shared" si="208"/>
        <v>0</v>
      </c>
      <c r="AK1687" s="12"/>
      <c r="AL1687" s="13"/>
      <c r="AM1687" s="9"/>
      <c r="AN1687" s="9"/>
      <c r="AO1687" s="9"/>
      <c r="AP1687" s="14"/>
    </row>
    <row r="1688" spans="1:42" s="45" customFormat="1" ht="22" customHeight="1">
      <c r="A1688" s="14" t="s">
        <v>17</v>
      </c>
      <c r="B1688" s="8">
        <v>2024</v>
      </c>
      <c r="C1688" s="8" t="s">
        <v>24</v>
      </c>
      <c r="D1688" s="9" t="s">
        <v>185</v>
      </c>
      <c r="E1688" s="9" t="s">
        <v>115</v>
      </c>
      <c r="F1688" s="9" t="s">
        <v>434</v>
      </c>
      <c r="G1688" s="8"/>
      <c r="H1688" s="8"/>
      <c r="I1688" s="9" t="s">
        <v>12</v>
      </c>
      <c r="J1688" s="9" t="s">
        <v>12</v>
      </c>
      <c r="K1688" s="9" t="s">
        <v>130</v>
      </c>
      <c r="L1688" s="9" t="s">
        <v>209</v>
      </c>
      <c r="M1688" s="14" t="s">
        <v>84</v>
      </c>
      <c r="N1688" s="9" t="s">
        <v>436</v>
      </c>
      <c r="O1688" s="9" t="s">
        <v>650</v>
      </c>
      <c r="P1688" s="9" t="s">
        <v>657</v>
      </c>
      <c r="Q1688" s="11"/>
      <c r="R1688" s="11"/>
      <c r="S1688" s="11">
        <v>0</v>
      </c>
      <c r="T1688" s="9"/>
      <c r="U1688" s="14" t="s">
        <v>77</v>
      </c>
      <c r="V1688" s="9"/>
      <c r="W1688" s="12"/>
      <c r="X1688" s="13"/>
      <c r="Y1688" s="13"/>
      <c r="Z1688" s="13"/>
      <c r="AA1688" s="13"/>
      <c r="AB1688" s="13"/>
      <c r="AC1688" s="13"/>
      <c r="AD1688" s="13"/>
      <c r="AE1688" s="13">
        <v>0</v>
      </c>
      <c r="AF1688" s="13"/>
      <c r="AG1688" s="13"/>
      <c r="AH1688" s="13"/>
      <c r="AI1688" s="13"/>
      <c r="AJ1688" s="13">
        <f t="shared" si="208"/>
        <v>0</v>
      </c>
      <c r="AK1688" s="12"/>
      <c r="AL1688" s="13"/>
      <c r="AM1688" s="9"/>
      <c r="AN1688" s="9"/>
      <c r="AO1688" s="9"/>
      <c r="AP1688" s="14"/>
    </row>
    <row r="1689" spans="1:42" s="45" customFormat="1" ht="22" customHeight="1">
      <c r="A1689" s="14" t="s">
        <v>17</v>
      </c>
      <c r="B1689" s="8">
        <v>2024</v>
      </c>
      <c r="C1689" s="8" t="s">
        <v>24</v>
      </c>
      <c r="D1689" s="9" t="s">
        <v>185</v>
      </c>
      <c r="E1689" s="9" t="s">
        <v>115</v>
      </c>
      <c r="F1689" s="9" t="s">
        <v>434</v>
      </c>
      <c r="G1689" s="8"/>
      <c r="H1689" s="8"/>
      <c r="I1689" s="9" t="s">
        <v>12</v>
      </c>
      <c r="J1689" s="9" t="s">
        <v>12</v>
      </c>
      <c r="K1689" s="9" t="s">
        <v>130</v>
      </c>
      <c r="L1689" s="9" t="s">
        <v>209</v>
      </c>
      <c r="M1689" s="14" t="s">
        <v>84</v>
      </c>
      <c r="N1689" s="9" t="s">
        <v>436</v>
      </c>
      <c r="O1689" s="9" t="s">
        <v>650</v>
      </c>
      <c r="P1689" s="9" t="s">
        <v>658</v>
      </c>
      <c r="Q1689" s="11"/>
      <c r="R1689" s="11"/>
      <c r="S1689" s="11">
        <v>0</v>
      </c>
      <c r="T1689" s="9"/>
      <c r="U1689" s="14" t="s">
        <v>77</v>
      </c>
      <c r="V1689" s="9"/>
      <c r="W1689" s="12"/>
      <c r="X1689" s="13"/>
      <c r="Y1689" s="13"/>
      <c r="Z1689" s="13"/>
      <c r="AA1689" s="13"/>
      <c r="AB1689" s="13"/>
      <c r="AC1689" s="13"/>
      <c r="AD1689" s="13"/>
      <c r="AE1689" s="13">
        <v>0</v>
      </c>
      <c r="AF1689" s="13"/>
      <c r="AG1689" s="13"/>
      <c r="AH1689" s="13"/>
      <c r="AI1689" s="13"/>
      <c r="AJ1689" s="13">
        <f t="shared" si="208"/>
        <v>0</v>
      </c>
      <c r="AK1689" s="12"/>
      <c r="AL1689" s="13"/>
      <c r="AM1689" s="9"/>
      <c r="AN1689" s="9"/>
      <c r="AO1689" s="9"/>
      <c r="AP1689" s="14"/>
    </row>
    <row r="1690" spans="1:42" s="45" customFormat="1" ht="22" customHeight="1">
      <c r="A1690" s="14" t="s">
        <v>17</v>
      </c>
      <c r="B1690" s="8">
        <v>2024</v>
      </c>
      <c r="C1690" s="8" t="s">
        <v>24</v>
      </c>
      <c r="D1690" s="9" t="s">
        <v>185</v>
      </c>
      <c r="E1690" s="9" t="s">
        <v>115</v>
      </c>
      <c r="F1690" s="9" t="s">
        <v>434</v>
      </c>
      <c r="G1690" s="8"/>
      <c r="H1690" s="8"/>
      <c r="I1690" s="9" t="s">
        <v>12</v>
      </c>
      <c r="J1690" s="9" t="s">
        <v>12</v>
      </c>
      <c r="K1690" s="9" t="s">
        <v>130</v>
      </c>
      <c r="L1690" s="9" t="s">
        <v>209</v>
      </c>
      <c r="M1690" s="14" t="s">
        <v>84</v>
      </c>
      <c r="N1690" s="9" t="s">
        <v>436</v>
      </c>
      <c r="O1690" s="9" t="s">
        <v>650</v>
      </c>
      <c r="P1690" s="9" t="s">
        <v>659</v>
      </c>
      <c r="Q1690" s="11"/>
      <c r="R1690" s="11"/>
      <c r="S1690" s="11">
        <v>0</v>
      </c>
      <c r="T1690" s="9"/>
      <c r="U1690" s="14" t="s">
        <v>77</v>
      </c>
      <c r="V1690" s="9"/>
      <c r="W1690" s="12"/>
      <c r="X1690" s="13"/>
      <c r="Y1690" s="13"/>
      <c r="Z1690" s="13"/>
      <c r="AA1690" s="13"/>
      <c r="AB1690" s="13"/>
      <c r="AC1690" s="13"/>
      <c r="AD1690" s="13"/>
      <c r="AE1690" s="13">
        <v>0</v>
      </c>
      <c r="AF1690" s="13"/>
      <c r="AG1690" s="13"/>
      <c r="AH1690" s="13"/>
      <c r="AI1690" s="13"/>
      <c r="AJ1690" s="13">
        <f t="shared" si="208"/>
        <v>0</v>
      </c>
      <c r="AK1690" s="12"/>
      <c r="AL1690" s="13"/>
      <c r="AM1690" s="9"/>
      <c r="AN1690" s="9"/>
      <c r="AO1690" s="9"/>
      <c r="AP1690" s="14"/>
    </row>
    <row r="1691" spans="1:42" s="45" customFormat="1" ht="22" customHeight="1">
      <c r="A1691" s="14" t="s">
        <v>17</v>
      </c>
      <c r="B1691" s="8">
        <v>2024</v>
      </c>
      <c r="C1691" s="8" t="s">
        <v>24</v>
      </c>
      <c r="D1691" s="9" t="s">
        <v>185</v>
      </c>
      <c r="E1691" s="9" t="s">
        <v>115</v>
      </c>
      <c r="F1691" s="9" t="s">
        <v>434</v>
      </c>
      <c r="G1691" s="8"/>
      <c r="H1691" s="8"/>
      <c r="I1691" s="9" t="s">
        <v>12</v>
      </c>
      <c r="J1691" s="9" t="s">
        <v>12</v>
      </c>
      <c r="K1691" s="9" t="s">
        <v>130</v>
      </c>
      <c r="L1691" s="9" t="s">
        <v>209</v>
      </c>
      <c r="M1691" s="14" t="s">
        <v>84</v>
      </c>
      <c r="N1691" s="9" t="s">
        <v>436</v>
      </c>
      <c r="O1691" s="9" t="s">
        <v>650</v>
      </c>
      <c r="P1691" s="9" t="s">
        <v>660</v>
      </c>
      <c r="Q1691" s="11"/>
      <c r="R1691" s="11"/>
      <c r="S1691" s="11">
        <v>0</v>
      </c>
      <c r="T1691" s="9"/>
      <c r="U1691" s="14" t="s">
        <v>77</v>
      </c>
      <c r="V1691" s="9"/>
      <c r="W1691" s="12"/>
      <c r="X1691" s="13"/>
      <c r="Y1691" s="13"/>
      <c r="Z1691" s="13"/>
      <c r="AA1691" s="13"/>
      <c r="AB1691" s="13"/>
      <c r="AC1691" s="13"/>
      <c r="AD1691" s="13"/>
      <c r="AE1691" s="13">
        <v>0</v>
      </c>
      <c r="AF1691" s="13"/>
      <c r="AG1691" s="13"/>
      <c r="AH1691" s="13"/>
      <c r="AI1691" s="13"/>
      <c r="AJ1691" s="13">
        <f t="shared" si="208"/>
        <v>0</v>
      </c>
      <c r="AK1691" s="12"/>
      <c r="AL1691" s="13"/>
      <c r="AM1691" s="9"/>
      <c r="AN1691" s="9"/>
      <c r="AO1691" s="9"/>
      <c r="AP1691" s="14"/>
    </row>
    <row r="1692" spans="1:42" s="45" customFormat="1" ht="22" customHeight="1">
      <c r="A1692" s="14" t="s">
        <v>17</v>
      </c>
      <c r="B1692" s="8">
        <v>2024</v>
      </c>
      <c r="C1692" s="8" t="s">
        <v>24</v>
      </c>
      <c r="D1692" s="9" t="s">
        <v>185</v>
      </c>
      <c r="E1692" s="9" t="s">
        <v>115</v>
      </c>
      <c r="F1692" s="9" t="s">
        <v>434</v>
      </c>
      <c r="G1692" s="8"/>
      <c r="H1692" s="8"/>
      <c r="I1692" s="9" t="s">
        <v>12</v>
      </c>
      <c r="J1692" s="9" t="s">
        <v>12</v>
      </c>
      <c r="K1692" s="9" t="s">
        <v>130</v>
      </c>
      <c r="L1692" s="9" t="s">
        <v>209</v>
      </c>
      <c r="M1692" s="14" t="s">
        <v>84</v>
      </c>
      <c r="N1692" s="9" t="s">
        <v>436</v>
      </c>
      <c r="O1692" s="9" t="s">
        <v>290</v>
      </c>
      <c r="P1692" s="9" t="s">
        <v>661</v>
      </c>
      <c r="Q1692" s="11"/>
      <c r="R1692" s="11"/>
      <c r="S1692" s="11">
        <v>0</v>
      </c>
      <c r="T1692" s="9"/>
      <c r="U1692" s="14" t="s">
        <v>77</v>
      </c>
      <c r="V1692" s="9"/>
      <c r="W1692" s="12"/>
      <c r="X1692" s="13"/>
      <c r="Y1692" s="13"/>
      <c r="Z1692" s="13"/>
      <c r="AA1692" s="13"/>
      <c r="AB1692" s="13"/>
      <c r="AC1692" s="13"/>
      <c r="AD1692" s="13"/>
      <c r="AE1692" s="13">
        <v>0</v>
      </c>
      <c r="AF1692" s="13"/>
      <c r="AG1692" s="13"/>
      <c r="AH1692" s="13"/>
      <c r="AI1692" s="13"/>
      <c r="AJ1692" s="13">
        <f t="shared" si="208"/>
        <v>0</v>
      </c>
      <c r="AK1692" s="12"/>
      <c r="AL1692" s="13"/>
      <c r="AM1692" s="9"/>
      <c r="AN1692" s="9"/>
      <c r="AO1692" s="9"/>
      <c r="AP1692" s="14"/>
    </row>
    <row r="1693" spans="1:42" s="45" customFormat="1" ht="22" customHeight="1">
      <c r="A1693" s="14" t="s">
        <v>17</v>
      </c>
      <c r="B1693" s="8">
        <v>2024</v>
      </c>
      <c r="C1693" s="8" t="s">
        <v>24</v>
      </c>
      <c r="D1693" s="9" t="s">
        <v>185</v>
      </c>
      <c r="E1693" s="9" t="s">
        <v>115</v>
      </c>
      <c r="F1693" s="9" t="s">
        <v>434</v>
      </c>
      <c r="G1693" s="8"/>
      <c r="H1693" s="8"/>
      <c r="I1693" s="9" t="s">
        <v>12</v>
      </c>
      <c r="J1693" s="9" t="s">
        <v>12</v>
      </c>
      <c r="K1693" s="9" t="s">
        <v>130</v>
      </c>
      <c r="L1693" s="9" t="s">
        <v>209</v>
      </c>
      <c r="M1693" s="14" t="s">
        <v>84</v>
      </c>
      <c r="N1693" s="9" t="s">
        <v>436</v>
      </c>
      <c r="O1693" s="9" t="s">
        <v>290</v>
      </c>
      <c r="P1693" s="9" t="s">
        <v>662</v>
      </c>
      <c r="Q1693" s="11"/>
      <c r="R1693" s="11"/>
      <c r="S1693" s="11">
        <v>0</v>
      </c>
      <c r="T1693" s="9"/>
      <c r="U1693" s="14" t="s">
        <v>77</v>
      </c>
      <c r="V1693" s="9"/>
      <c r="W1693" s="12"/>
      <c r="X1693" s="13"/>
      <c r="Y1693" s="13"/>
      <c r="Z1693" s="13"/>
      <c r="AA1693" s="13"/>
      <c r="AB1693" s="13"/>
      <c r="AC1693" s="13"/>
      <c r="AD1693" s="13"/>
      <c r="AE1693" s="13">
        <v>0</v>
      </c>
      <c r="AF1693" s="13"/>
      <c r="AG1693" s="13"/>
      <c r="AH1693" s="13"/>
      <c r="AI1693" s="13"/>
      <c r="AJ1693" s="13">
        <f t="shared" si="208"/>
        <v>0</v>
      </c>
      <c r="AK1693" s="12"/>
      <c r="AL1693" s="13"/>
      <c r="AM1693" s="9"/>
      <c r="AN1693" s="9"/>
      <c r="AO1693" s="9"/>
      <c r="AP1693" s="14"/>
    </row>
    <row r="1694" spans="1:42" s="45" customFormat="1" ht="22" customHeight="1">
      <c r="A1694" s="14" t="s">
        <v>17</v>
      </c>
      <c r="B1694" s="8">
        <v>2024</v>
      </c>
      <c r="C1694" s="8" t="s">
        <v>24</v>
      </c>
      <c r="D1694" s="9" t="s">
        <v>185</v>
      </c>
      <c r="E1694" s="9" t="s">
        <v>115</v>
      </c>
      <c r="F1694" s="9" t="s">
        <v>434</v>
      </c>
      <c r="G1694" s="8"/>
      <c r="H1694" s="8"/>
      <c r="I1694" s="9" t="s">
        <v>12</v>
      </c>
      <c r="J1694" s="9" t="s">
        <v>12</v>
      </c>
      <c r="K1694" s="9" t="s">
        <v>130</v>
      </c>
      <c r="L1694" s="9" t="s">
        <v>209</v>
      </c>
      <c r="M1694" s="14" t="s">
        <v>84</v>
      </c>
      <c r="N1694" s="9" t="s">
        <v>436</v>
      </c>
      <c r="O1694" s="9" t="s">
        <v>290</v>
      </c>
      <c r="P1694" s="9" t="s">
        <v>294</v>
      </c>
      <c r="Q1694" s="11"/>
      <c r="R1694" s="11"/>
      <c r="S1694" s="11">
        <v>0</v>
      </c>
      <c r="T1694" s="9"/>
      <c r="U1694" s="14" t="s">
        <v>77</v>
      </c>
      <c r="V1694" s="9"/>
      <c r="W1694" s="12"/>
      <c r="X1694" s="13"/>
      <c r="Y1694" s="13"/>
      <c r="Z1694" s="13"/>
      <c r="AA1694" s="13"/>
      <c r="AB1694" s="13"/>
      <c r="AC1694" s="13"/>
      <c r="AD1694" s="13"/>
      <c r="AE1694" s="13">
        <v>0</v>
      </c>
      <c r="AF1694" s="13"/>
      <c r="AG1694" s="13"/>
      <c r="AH1694" s="13"/>
      <c r="AI1694" s="13"/>
      <c r="AJ1694" s="13">
        <f t="shared" si="208"/>
        <v>0</v>
      </c>
      <c r="AK1694" s="12"/>
      <c r="AL1694" s="13"/>
      <c r="AM1694" s="9"/>
      <c r="AN1694" s="9"/>
      <c r="AO1694" s="9"/>
      <c r="AP1694" s="14"/>
    </row>
    <row r="1695" spans="1:42" s="45" customFormat="1" ht="22" customHeight="1">
      <c r="A1695" s="14" t="s">
        <v>17</v>
      </c>
      <c r="B1695" s="8">
        <v>2024</v>
      </c>
      <c r="C1695" s="8" t="s">
        <v>24</v>
      </c>
      <c r="D1695" s="9" t="s">
        <v>185</v>
      </c>
      <c r="E1695" s="9" t="s">
        <v>115</v>
      </c>
      <c r="F1695" s="9" t="s">
        <v>434</v>
      </c>
      <c r="G1695" s="8"/>
      <c r="H1695" s="8"/>
      <c r="I1695" s="9" t="s">
        <v>12</v>
      </c>
      <c r="J1695" s="9" t="s">
        <v>12</v>
      </c>
      <c r="K1695" s="9" t="s">
        <v>130</v>
      </c>
      <c r="L1695" s="9" t="s">
        <v>209</v>
      </c>
      <c r="M1695" s="14" t="s">
        <v>84</v>
      </c>
      <c r="N1695" s="9" t="s">
        <v>436</v>
      </c>
      <c r="O1695" s="9" t="s">
        <v>290</v>
      </c>
      <c r="P1695" s="9" t="s">
        <v>290</v>
      </c>
      <c r="Q1695" s="11"/>
      <c r="R1695" s="11"/>
      <c r="S1695" s="11">
        <v>0</v>
      </c>
      <c r="T1695" s="9"/>
      <c r="U1695" s="14" t="s">
        <v>77</v>
      </c>
      <c r="V1695" s="9"/>
      <c r="W1695" s="12"/>
      <c r="X1695" s="13"/>
      <c r="Y1695" s="13"/>
      <c r="Z1695" s="13"/>
      <c r="AA1695" s="13"/>
      <c r="AB1695" s="13"/>
      <c r="AC1695" s="13"/>
      <c r="AD1695" s="13"/>
      <c r="AE1695" s="13">
        <v>0</v>
      </c>
      <c r="AF1695" s="13"/>
      <c r="AG1695" s="13"/>
      <c r="AH1695" s="13"/>
      <c r="AI1695" s="13"/>
      <c r="AJ1695" s="13">
        <f t="shared" si="208"/>
        <v>0</v>
      </c>
      <c r="AK1695" s="12"/>
      <c r="AL1695" s="13"/>
      <c r="AM1695" s="9"/>
      <c r="AN1695" s="9"/>
      <c r="AO1695" s="9"/>
      <c r="AP1695" s="14"/>
    </row>
    <row r="1696" spans="1:42" s="45" customFormat="1" ht="22" customHeight="1">
      <c r="A1696" s="14" t="s">
        <v>17</v>
      </c>
      <c r="B1696" s="8">
        <v>2024</v>
      </c>
      <c r="C1696" s="8" t="s">
        <v>24</v>
      </c>
      <c r="D1696" s="9" t="s">
        <v>185</v>
      </c>
      <c r="E1696" s="9" t="s">
        <v>115</v>
      </c>
      <c r="F1696" s="9" t="s">
        <v>434</v>
      </c>
      <c r="G1696" s="8"/>
      <c r="H1696" s="8"/>
      <c r="I1696" s="9" t="s">
        <v>12</v>
      </c>
      <c r="J1696" s="9" t="s">
        <v>12</v>
      </c>
      <c r="K1696" s="9" t="s">
        <v>130</v>
      </c>
      <c r="L1696" s="9" t="s">
        <v>209</v>
      </c>
      <c r="M1696" s="14" t="s">
        <v>84</v>
      </c>
      <c r="N1696" s="9" t="s">
        <v>436</v>
      </c>
      <c r="O1696" s="9" t="s">
        <v>290</v>
      </c>
      <c r="P1696" s="9" t="s">
        <v>663</v>
      </c>
      <c r="Q1696" s="11"/>
      <c r="R1696" s="11"/>
      <c r="S1696" s="11">
        <v>0</v>
      </c>
      <c r="T1696" s="9"/>
      <c r="U1696" s="14" t="s">
        <v>77</v>
      </c>
      <c r="V1696" s="9"/>
      <c r="W1696" s="12"/>
      <c r="X1696" s="13"/>
      <c r="Y1696" s="13"/>
      <c r="Z1696" s="13"/>
      <c r="AA1696" s="13"/>
      <c r="AB1696" s="13"/>
      <c r="AC1696" s="13"/>
      <c r="AD1696" s="13"/>
      <c r="AE1696" s="13">
        <v>0</v>
      </c>
      <c r="AF1696" s="13"/>
      <c r="AG1696" s="13"/>
      <c r="AH1696" s="13"/>
      <c r="AI1696" s="13"/>
      <c r="AJ1696" s="13">
        <f t="shared" si="208"/>
        <v>0</v>
      </c>
      <c r="AK1696" s="12"/>
      <c r="AL1696" s="13"/>
      <c r="AM1696" s="9"/>
      <c r="AN1696" s="9"/>
      <c r="AO1696" s="9"/>
      <c r="AP1696" s="14"/>
    </row>
    <row r="1697" spans="1:42" s="45" customFormat="1" ht="22" customHeight="1">
      <c r="A1697" s="14" t="s">
        <v>17</v>
      </c>
      <c r="B1697" s="8">
        <v>2024</v>
      </c>
      <c r="C1697" s="8" t="s">
        <v>24</v>
      </c>
      <c r="D1697" s="9" t="s">
        <v>185</v>
      </c>
      <c r="E1697" s="9" t="s">
        <v>115</v>
      </c>
      <c r="F1697" s="9" t="s">
        <v>434</v>
      </c>
      <c r="G1697" s="8"/>
      <c r="H1697" s="8"/>
      <c r="I1697" s="9" t="s">
        <v>12</v>
      </c>
      <c r="J1697" s="9" t="s">
        <v>12</v>
      </c>
      <c r="K1697" s="9" t="s">
        <v>130</v>
      </c>
      <c r="L1697" s="9" t="s">
        <v>209</v>
      </c>
      <c r="M1697" s="14" t="s">
        <v>84</v>
      </c>
      <c r="N1697" s="9" t="s">
        <v>436</v>
      </c>
      <c r="O1697" s="9" t="s">
        <v>290</v>
      </c>
      <c r="P1697" s="9" t="s">
        <v>664</v>
      </c>
      <c r="Q1697" s="11"/>
      <c r="R1697" s="11"/>
      <c r="S1697" s="11">
        <v>0</v>
      </c>
      <c r="T1697" s="9"/>
      <c r="U1697" s="14" t="s">
        <v>77</v>
      </c>
      <c r="V1697" s="9"/>
      <c r="W1697" s="12"/>
      <c r="X1697" s="13"/>
      <c r="Y1697" s="13"/>
      <c r="Z1697" s="13"/>
      <c r="AA1697" s="13"/>
      <c r="AB1697" s="13"/>
      <c r="AC1697" s="13"/>
      <c r="AD1697" s="13"/>
      <c r="AE1697" s="13">
        <v>0</v>
      </c>
      <c r="AF1697" s="13"/>
      <c r="AG1697" s="13"/>
      <c r="AH1697" s="13"/>
      <c r="AI1697" s="13"/>
      <c r="AJ1697" s="13">
        <f t="shared" si="208"/>
        <v>0</v>
      </c>
      <c r="AK1697" s="12"/>
      <c r="AL1697" s="13"/>
      <c r="AM1697" s="9"/>
      <c r="AN1697" s="9"/>
      <c r="AO1697" s="9"/>
      <c r="AP1697" s="14"/>
    </row>
    <row r="1698" spans="1:42" s="45" customFormat="1" ht="22" customHeight="1">
      <c r="A1698" s="14" t="s">
        <v>17</v>
      </c>
      <c r="B1698" s="8">
        <v>2024</v>
      </c>
      <c r="C1698" s="8" t="s">
        <v>24</v>
      </c>
      <c r="D1698" s="9" t="s">
        <v>185</v>
      </c>
      <c r="E1698" s="9" t="s">
        <v>115</v>
      </c>
      <c r="F1698" s="9" t="s">
        <v>434</v>
      </c>
      <c r="G1698" s="8"/>
      <c r="H1698" s="8"/>
      <c r="I1698" s="9" t="s">
        <v>12</v>
      </c>
      <c r="J1698" s="9" t="s">
        <v>12</v>
      </c>
      <c r="K1698" s="9" t="s">
        <v>130</v>
      </c>
      <c r="L1698" s="9" t="s">
        <v>209</v>
      </c>
      <c r="M1698" s="14" t="s">
        <v>84</v>
      </c>
      <c r="N1698" s="9" t="s">
        <v>436</v>
      </c>
      <c r="O1698" s="9" t="s">
        <v>290</v>
      </c>
      <c r="P1698" s="9" t="s">
        <v>665</v>
      </c>
      <c r="Q1698" s="11"/>
      <c r="R1698" s="11"/>
      <c r="S1698" s="11">
        <v>0</v>
      </c>
      <c r="T1698" s="9"/>
      <c r="U1698" s="14" t="s">
        <v>77</v>
      </c>
      <c r="V1698" s="9"/>
      <c r="W1698" s="12"/>
      <c r="X1698" s="13"/>
      <c r="Y1698" s="13"/>
      <c r="Z1698" s="13"/>
      <c r="AA1698" s="13"/>
      <c r="AB1698" s="13"/>
      <c r="AC1698" s="13"/>
      <c r="AD1698" s="13"/>
      <c r="AE1698" s="13">
        <v>0</v>
      </c>
      <c r="AF1698" s="13"/>
      <c r="AG1698" s="13"/>
      <c r="AH1698" s="13"/>
      <c r="AI1698" s="13"/>
      <c r="AJ1698" s="13">
        <f t="shared" si="208"/>
        <v>0</v>
      </c>
      <c r="AK1698" s="12"/>
      <c r="AL1698" s="13"/>
      <c r="AM1698" s="9"/>
      <c r="AN1698" s="9"/>
      <c r="AO1698" s="9"/>
      <c r="AP1698" s="14"/>
    </row>
    <row r="1699" spans="1:42" s="45" customFormat="1" ht="22" customHeight="1">
      <c r="A1699" s="14" t="s">
        <v>17</v>
      </c>
      <c r="B1699" s="8">
        <v>2024</v>
      </c>
      <c r="C1699" s="8" t="s">
        <v>24</v>
      </c>
      <c r="D1699" s="9" t="s">
        <v>185</v>
      </c>
      <c r="E1699" s="9" t="s">
        <v>115</v>
      </c>
      <c r="F1699" s="9" t="s">
        <v>434</v>
      </c>
      <c r="G1699" s="8"/>
      <c r="H1699" s="8"/>
      <c r="I1699" s="9" t="s">
        <v>12</v>
      </c>
      <c r="J1699" s="9" t="s">
        <v>12</v>
      </c>
      <c r="K1699" s="9" t="s">
        <v>130</v>
      </c>
      <c r="L1699" s="9" t="s">
        <v>209</v>
      </c>
      <c r="M1699" s="14" t="s">
        <v>84</v>
      </c>
      <c r="N1699" s="9" t="s">
        <v>436</v>
      </c>
      <c r="O1699" s="9" t="s">
        <v>290</v>
      </c>
      <c r="P1699" s="9" t="s">
        <v>292</v>
      </c>
      <c r="Q1699" s="11"/>
      <c r="R1699" s="11"/>
      <c r="S1699" s="11">
        <v>0</v>
      </c>
      <c r="T1699" s="9"/>
      <c r="U1699" s="14" t="s">
        <v>77</v>
      </c>
      <c r="V1699" s="9"/>
      <c r="W1699" s="12"/>
      <c r="X1699" s="13"/>
      <c r="Y1699" s="13"/>
      <c r="Z1699" s="13"/>
      <c r="AA1699" s="13"/>
      <c r="AB1699" s="13"/>
      <c r="AC1699" s="13"/>
      <c r="AD1699" s="13"/>
      <c r="AE1699" s="13">
        <v>0</v>
      </c>
      <c r="AF1699" s="13"/>
      <c r="AG1699" s="13"/>
      <c r="AH1699" s="13"/>
      <c r="AI1699" s="13"/>
      <c r="AJ1699" s="13">
        <f t="shared" si="208"/>
        <v>0</v>
      </c>
      <c r="AK1699" s="12"/>
      <c r="AL1699" s="13"/>
      <c r="AM1699" s="9"/>
      <c r="AN1699" s="9"/>
      <c r="AO1699" s="9"/>
      <c r="AP1699" s="14"/>
    </row>
    <row r="1700" spans="1:42" s="45" customFormat="1" ht="22" customHeight="1">
      <c r="A1700" s="14" t="s">
        <v>17</v>
      </c>
      <c r="B1700" s="8">
        <v>2024</v>
      </c>
      <c r="C1700" s="8" t="s">
        <v>24</v>
      </c>
      <c r="D1700" s="9" t="s">
        <v>185</v>
      </c>
      <c r="E1700" s="9" t="s">
        <v>115</v>
      </c>
      <c r="F1700" s="9" t="s">
        <v>434</v>
      </c>
      <c r="G1700" s="8"/>
      <c r="H1700" s="8"/>
      <c r="I1700" s="9" t="s">
        <v>12</v>
      </c>
      <c r="J1700" s="9" t="s">
        <v>12</v>
      </c>
      <c r="K1700" s="9" t="s">
        <v>130</v>
      </c>
      <c r="L1700" s="9" t="s">
        <v>209</v>
      </c>
      <c r="M1700" s="14" t="s">
        <v>84</v>
      </c>
      <c r="N1700" s="9" t="s">
        <v>436</v>
      </c>
      <c r="O1700" s="9" t="s">
        <v>290</v>
      </c>
      <c r="P1700" s="9" t="s">
        <v>666</v>
      </c>
      <c r="Q1700" s="11"/>
      <c r="R1700" s="11"/>
      <c r="S1700" s="11">
        <v>0</v>
      </c>
      <c r="T1700" s="9"/>
      <c r="U1700" s="14" t="s">
        <v>77</v>
      </c>
      <c r="V1700" s="9"/>
      <c r="W1700" s="12"/>
      <c r="X1700" s="13"/>
      <c r="Y1700" s="13"/>
      <c r="Z1700" s="13"/>
      <c r="AA1700" s="13"/>
      <c r="AB1700" s="13"/>
      <c r="AC1700" s="13"/>
      <c r="AD1700" s="13"/>
      <c r="AE1700" s="13">
        <v>0</v>
      </c>
      <c r="AF1700" s="13"/>
      <c r="AG1700" s="13"/>
      <c r="AH1700" s="13"/>
      <c r="AI1700" s="13"/>
      <c r="AJ1700" s="13">
        <f t="shared" si="208"/>
        <v>0</v>
      </c>
      <c r="AK1700" s="12"/>
      <c r="AL1700" s="13"/>
      <c r="AM1700" s="9"/>
      <c r="AN1700" s="9"/>
      <c r="AO1700" s="9"/>
      <c r="AP1700" s="14"/>
    </row>
    <row r="1701" spans="1:42" s="45" customFormat="1" ht="22" customHeight="1">
      <c r="A1701" s="14" t="s">
        <v>17</v>
      </c>
      <c r="B1701" s="8">
        <v>2024</v>
      </c>
      <c r="C1701" s="8" t="s">
        <v>24</v>
      </c>
      <c r="D1701" s="9" t="s">
        <v>185</v>
      </c>
      <c r="E1701" s="9" t="s">
        <v>115</v>
      </c>
      <c r="F1701" s="9" t="s">
        <v>434</v>
      </c>
      <c r="G1701" s="8"/>
      <c r="H1701" s="8"/>
      <c r="I1701" s="9" t="s">
        <v>12</v>
      </c>
      <c r="J1701" s="9" t="s">
        <v>12</v>
      </c>
      <c r="K1701" s="9" t="s">
        <v>130</v>
      </c>
      <c r="L1701" s="9" t="s">
        <v>209</v>
      </c>
      <c r="M1701" s="14" t="s">
        <v>84</v>
      </c>
      <c r="N1701" s="9" t="s">
        <v>436</v>
      </c>
      <c r="O1701" s="9" t="s">
        <v>290</v>
      </c>
      <c r="P1701" s="9" t="s">
        <v>293</v>
      </c>
      <c r="Q1701" s="11"/>
      <c r="R1701" s="11"/>
      <c r="S1701" s="11">
        <v>0</v>
      </c>
      <c r="T1701" s="9"/>
      <c r="U1701" s="14" t="s">
        <v>77</v>
      </c>
      <c r="V1701" s="9"/>
      <c r="W1701" s="12"/>
      <c r="X1701" s="13"/>
      <c r="Y1701" s="13"/>
      <c r="Z1701" s="13"/>
      <c r="AA1701" s="13"/>
      <c r="AB1701" s="13"/>
      <c r="AC1701" s="13"/>
      <c r="AD1701" s="13"/>
      <c r="AE1701" s="13">
        <v>0</v>
      </c>
      <c r="AF1701" s="13"/>
      <c r="AG1701" s="13"/>
      <c r="AH1701" s="13"/>
      <c r="AI1701" s="13"/>
      <c r="AJ1701" s="13">
        <f t="shared" si="208"/>
        <v>0</v>
      </c>
      <c r="AK1701" s="12"/>
      <c r="AL1701" s="13"/>
      <c r="AM1701" s="9"/>
      <c r="AN1701" s="9"/>
      <c r="AO1701" s="9"/>
      <c r="AP1701" s="14"/>
    </row>
    <row r="1702" spans="1:42" s="45" customFormat="1" ht="22" customHeight="1">
      <c r="A1702" s="14" t="s">
        <v>17</v>
      </c>
      <c r="B1702" s="8">
        <v>2024</v>
      </c>
      <c r="C1702" s="8" t="s">
        <v>24</v>
      </c>
      <c r="D1702" s="9" t="s">
        <v>185</v>
      </c>
      <c r="E1702" s="9" t="s">
        <v>115</v>
      </c>
      <c r="F1702" s="9" t="s">
        <v>434</v>
      </c>
      <c r="G1702" s="8"/>
      <c r="H1702" s="8"/>
      <c r="I1702" s="9" t="s">
        <v>12</v>
      </c>
      <c r="J1702" s="9" t="s">
        <v>12</v>
      </c>
      <c r="K1702" s="9" t="s">
        <v>130</v>
      </c>
      <c r="L1702" s="9" t="s">
        <v>209</v>
      </c>
      <c r="M1702" s="14" t="s">
        <v>84</v>
      </c>
      <c r="N1702" s="9" t="s">
        <v>436</v>
      </c>
      <c r="O1702" s="9" t="s">
        <v>667</v>
      </c>
      <c r="P1702" s="9" t="s">
        <v>668</v>
      </c>
      <c r="Q1702" s="11"/>
      <c r="R1702" s="11"/>
      <c r="S1702" s="11">
        <v>0</v>
      </c>
      <c r="T1702" s="9"/>
      <c r="U1702" s="14" t="s">
        <v>77</v>
      </c>
      <c r="V1702" s="9"/>
      <c r="W1702" s="12"/>
      <c r="X1702" s="13"/>
      <c r="Y1702" s="13"/>
      <c r="Z1702" s="13"/>
      <c r="AA1702" s="13"/>
      <c r="AB1702" s="13"/>
      <c r="AC1702" s="13"/>
      <c r="AD1702" s="13"/>
      <c r="AE1702" s="13">
        <v>0</v>
      </c>
      <c r="AF1702" s="13"/>
      <c r="AG1702" s="13"/>
      <c r="AH1702" s="13"/>
      <c r="AI1702" s="13"/>
      <c r="AJ1702" s="13">
        <f t="shared" si="208"/>
        <v>0</v>
      </c>
      <c r="AK1702" s="12"/>
      <c r="AL1702" s="13"/>
      <c r="AM1702" s="9"/>
      <c r="AN1702" s="9"/>
      <c r="AO1702" s="9"/>
      <c r="AP1702" s="14"/>
    </row>
    <row r="1703" spans="1:42" s="45" customFormat="1" ht="22" customHeight="1">
      <c r="A1703" s="14" t="s">
        <v>17</v>
      </c>
      <c r="B1703" s="8">
        <v>2024</v>
      </c>
      <c r="C1703" s="8" t="s">
        <v>24</v>
      </c>
      <c r="D1703" s="9" t="s">
        <v>185</v>
      </c>
      <c r="E1703" s="9" t="s">
        <v>115</v>
      </c>
      <c r="F1703" s="9" t="s">
        <v>434</v>
      </c>
      <c r="G1703" s="8"/>
      <c r="H1703" s="8"/>
      <c r="I1703" s="9" t="s">
        <v>12</v>
      </c>
      <c r="J1703" s="9" t="s">
        <v>12</v>
      </c>
      <c r="K1703" s="9" t="s">
        <v>130</v>
      </c>
      <c r="L1703" s="9" t="s">
        <v>209</v>
      </c>
      <c r="M1703" s="14" t="s">
        <v>84</v>
      </c>
      <c r="N1703" s="9" t="s">
        <v>436</v>
      </c>
      <c r="O1703" s="9" t="s">
        <v>667</v>
      </c>
      <c r="P1703" s="9" t="s">
        <v>669</v>
      </c>
      <c r="Q1703" s="11"/>
      <c r="R1703" s="11"/>
      <c r="S1703" s="11">
        <v>0</v>
      </c>
      <c r="T1703" s="9"/>
      <c r="U1703" s="14" t="s">
        <v>77</v>
      </c>
      <c r="V1703" s="9"/>
      <c r="W1703" s="12"/>
      <c r="X1703" s="13"/>
      <c r="Y1703" s="13"/>
      <c r="Z1703" s="13"/>
      <c r="AA1703" s="13"/>
      <c r="AB1703" s="13"/>
      <c r="AC1703" s="13"/>
      <c r="AD1703" s="13"/>
      <c r="AE1703" s="13">
        <v>0</v>
      </c>
      <c r="AF1703" s="13"/>
      <c r="AG1703" s="13"/>
      <c r="AH1703" s="13"/>
      <c r="AI1703" s="13"/>
      <c r="AJ1703" s="13">
        <f t="shared" si="208"/>
        <v>0</v>
      </c>
      <c r="AK1703" s="12"/>
      <c r="AL1703" s="13"/>
      <c r="AM1703" s="9"/>
      <c r="AN1703" s="9"/>
      <c r="AO1703" s="9"/>
      <c r="AP1703" s="14"/>
    </row>
    <row r="1704" spans="1:42" s="45" customFormat="1" ht="22" customHeight="1">
      <c r="A1704" s="14" t="s">
        <v>17</v>
      </c>
      <c r="B1704" s="8">
        <v>2024</v>
      </c>
      <c r="C1704" s="8" t="s">
        <v>24</v>
      </c>
      <c r="D1704" s="9" t="s">
        <v>185</v>
      </c>
      <c r="E1704" s="9" t="s">
        <v>115</v>
      </c>
      <c r="F1704" s="9" t="s">
        <v>434</v>
      </c>
      <c r="G1704" s="8"/>
      <c r="H1704" s="8"/>
      <c r="I1704" s="9" t="s">
        <v>12</v>
      </c>
      <c r="J1704" s="9" t="s">
        <v>12</v>
      </c>
      <c r="K1704" s="9" t="s">
        <v>130</v>
      </c>
      <c r="L1704" s="9" t="s">
        <v>209</v>
      </c>
      <c r="M1704" s="14" t="s">
        <v>84</v>
      </c>
      <c r="N1704" s="9" t="s">
        <v>436</v>
      </c>
      <c r="O1704" s="9" t="s">
        <v>667</v>
      </c>
      <c r="P1704" s="9" t="s">
        <v>670</v>
      </c>
      <c r="Q1704" s="11"/>
      <c r="R1704" s="11"/>
      <c r="S1704" s="11">
        <v>0</v>
      </c>
      <c r="T1704" s="9"/>
      <c r="U1704" s="14" t="s">
        <v>77</v>
      </c>
      <c r="V1704" s="9"/>
      <c r="W1704" s="12"/>
      <c r="X1704" s="13"/>
      <c r="Y1704" s="13"/>
      <c r="Z1704" s="13"/>
      <c r="AA1704" s="13"/>
      <c r="AB1704" s="13"/>
      <c r="AC1704" s="13"/>
      <c r="AD1704" s="13"/>
      <c r="AE1704" s="13">
        <v>0</v>
      </c>
      <c r="AF1704" s="13"/>
      <c r="AG1704" s="13"/>
      <c r="AH1704" s="13"/>
      <c r="AI1704" s="13"/>
      <c r="AJ1704" s="13">
        <f t="shared" si="208"/>
        <v>0</v>
      </c>
      <c r="AK1704" s="12"/>
      <c r="AL1704" s="13"/>
      <c r="AM1704" s="9"/>
      <c r="AN1704" s="9"/>
      <c r="AO1704" s="9"/>
      <c r="AP1704" s="14"/>
    </row>
    <row r="1705" spans="1:42" s="45" customFormat="1" ht="22" customHeight="1">
      <c r="A1705" s="14" t="s">
        <v>17</v>
      </c>
      <c r="B1705" s="8">
        <v>2024</v>
      </c>
      <c r="C1705" s="8" t="s">
        <v>24</v>
      </c>
      <c r="D1705" s="9" t="s">
        <v>185</v>
      </c>
      <c r="E1705" s="9" t="s">
        <v>115</v>
      </c>
      <c r="F1705" s="9" t="s">
        <v>434</v>
      </c>
      <c r="G1705" s="8"/>
      <c r="H1705" s="8"/>
      <c r="I1705" s="9" t="s">
        <v>12</v>
      </c>
      <c r="J1705" s="9" t="s">
        <v>12</v>
      </c>
      <c r="K1705" s="9" t="s">
        <v>130</v>
      </c>
      <c r="L1705" s="9" t="s">
        <v>209</v>
      </c>
      <c r="M1705" s="14" t="s">
        <v>84</v>
      </c>
      <c r="N1705" s="9" t="s">
        <v>436</v>
      </c>
      <c r="O1705" s="9" t="s">
        <v>667</v>
      </c>
      <c r="P1705" s="9" t="s">
        <v>671</v>
      </c>
      <c r="Q1705" s="11"/>
      <c r="R1705" s="11"/>
      <c r="S1705" s="11">
        <v>0</v>
      </c>
      <c r="T1705" s="9"/>
      <c r="U1705" s="14" t="s">
        <v>77</v>
      </c>
      <c r="V1705" s="9"/>
      <c r="W1705" s="12"/>
      <c r="X1705" s="13"/>
      <c r="Y1705" s="13"/>
      <c r="Z1705" s="13"/>
      <c r="AA1705" s="13"/>
      <c r="AB1705" s="13"/>
      <c r="AC1705" s="13"/>
      <c r="AD1705" s="13"/>
      <c r="AE1705" s="13">
        <v>0</v>
      </c>
      <c r="AF1705" s="13"/>
      <c r="AG1705" s="13"/>
      <c r="AH1705" s="13"/>
      <c r="AI1705" s="13"/>
      <c r="AJ1705" s="13">
        <f t="shared" si="208"/>
        <v>0</v>
      </c>
      <c r="AK1705" s="12"/>
      <c r="AL1705" s="13"/>
      <c r="AM1705" s="9"/>
      <c r="AN1705" s="9"/>
      <c r="AO1705" s="9"/>
      <c r="AP1705" s="14"/>
    </row>
    <row r="1706" spans="1:42" s="45" customFormat="1" ht="22" customHeight="1">
      <c r="A1706" s="14" t="s">
        <v>17</v>
      </c>
      <c r="B1706" s="8">
        <v>2024</v>
      </c>
      <c r="C1706" s="8" t="s">
        <v>24</v>
      </c>
      <c r="D1706" s="9" t="s">
        <v>185</v>
      </c>
      <c r="E1706" s="9" t="s">
        <v>115</v>
      </c>
      <c r="F1706" s="9" t="s">
        <v>434</v>
      </c>
      <c r="G1706" s="8"/>
      <c r="H1706" s="8"/>
      <c r="I1706" s="9" t="s">
        <v>12</v>
      </c>
      <c r="J1706" s="9" t="s">
        <v>12</v>
      </c>
      <c r="K1706" s="9" t="s">
        <v>130</v>
      </c>
      <c r="L1706" s="9" t="s">
        <v>209</v>
      </c>
      <c r="M1706" s="14" t="s">
        <v>84</v>
      </c>
      <c r="N1706" s="9" t="s">
        <v>436</v>
      </c>
      <c r="O1706" s="9" t="s">
        <v>667</v>
      </c>
      <c r="P1706" s="9" t="s">
        <v>672</v>
      </c>
      <c r="Q1706" s="11"/>
      <c r="R1706" s="11"/>
      <c r="S1706" s="11">
        <v>0</v>
      </c>
      <c r="T1706" s="9"/>
      <c r="U1706" s="14" t="s">
        <v>77</v>
      </c>
      <c r="V1706" s="9"/>
      <c r="W1706" s="12"/>
      <c r="X1706" s="13"/>
      <c r="Y1706" s="13"/>
      <c r="Z1706" s="13"/>
      <c r="AA1706" s="13"/>
      <c r="AB1706" s="13"/>
      <c r="AC1706" s="13"/>
      <c r="AD1706" s="13"/>
      <c r="AE1706" s="13">
        <v>0</v>
      </c>
      <c r="AF1706" s="13"/>
      <c r="AG1706" s="13"/>
      <c r="AH1706" s="13"/>
      <c r="AI1706" s="13"/>
      <c r="AJ1706" s="13">
        <f t="shared" si="208"/>
        <v>0</v>
      </c>
      <c r="AK1706" s="12"/>
      <c r="AL1706" s="13"/>
      <c r="AM1706" s="9"/>
      <c r="AN1706" s="9"/>
      <c r="AO1706" s="9"/>
      <c r="AP1706" s="14"/>
    </row>
    <row r="1707" spans="1:42" s="45" customFormat="1" ht="22" customHeight="1">
      <c r="A1707" s="14" t="s">
        <v>17</v>
      </c>
      <c r="B1707" s="8">
        <v>2024</v>
      </c>
      <c r="C1707" s="8" t="s">
        <v>24</v>
      </c>
      <c r="D1707" s="9" t="s">
        <v>185</v>
      </c>
      <c r="E1707" s="9" t="s">
        <v>115</v>
      </c>
      <c r="F1707" s="9" t="s">
        <v>434</v>
      </c>
      <c r="G1707" s="8"/>
      <c r="H1707" s="8"/>
      <c r="I1707" s="9" t="s">
        <v>12</v>
      </c>
      <c r="J1707" s="9" t="s">
        <v>12</v>
      </c>
      <c r="K1707" s="9" t="s">
        <v>130</v>
      </c>
      <c r="L1707" s="9" t="s">
        <v>209</v>
      </c>
      <c r="M1707" s="14" t="s">
        <v>84</v>
      </c>
      <c r="N1707" s="9" t="s">
        <v>436</v>
      </c>
      <c r="O1707" s="9" t="s">
        <v>667</v>
      </c>
      <c r="P1707" s="9" t="s">
        <v>673</v>
      </c>
      <c r="Q1707" s="11"/>
      <c r="R1707" s="11"/>
      <c r="S1707" s="11">
        <v>0</v>
      </c>
      <c r="T1707" s="9"/>
      <c r="U1707" s="14" t="s">
        <v>77</v>
      </c>
      <c r="V1707" s="9"/>
      <c r="W1707" s="12"/>
      <c r="X1707" s="13"/>
      <c r="Y1707" s="13"/>
      <c r="Z1707" s="13"/>
      <c r="AA1707" s="13"/>
      <c r="AB1707" s="13"/>
      <c r="AC1707" s="13"/>
      <c r="AD1707" s="13"/>
      <c r="AE1707" s="13">
        <v>0</v>
      </c>
      <c r="AF1707" s="13"/>
      <c r="AG1707" s="13"/>
      <c r="AH1707" s="13"/>
      <c r="AI1707" s="13"/>
      <c r="AJ1707" s="13">
        <f t="shared" si="208"/>
        <v>0</v>
      </c>
      <c r="AK1707" s="12"/>
      <c r="AL1707" s="13"/>
      <c r="AM1707" s="9"/>
      <c r="AN1707" s="9"/>
      <c r="AO1707" s="9"/>
      <c r="AP1707" s="14"/>
    </row>
    <row r="1708" spans="1:42" s="45" customFormat="1" ht="22" customHeight="1">
      <c r="A1708" s="14" t="s">
        <v>17</v>
      </c>
      <c r="B1708" s="8">
        <v>2024</v>
      </c>
      <c r="C1708" s="8" t="s">
        <v>24</v>
      </c>
      <c r="D1708" s="9" t="s">
        <v>185</v>
      </c>
      <c r="E1708" s="9" t="s">
        <v>115</v>
      </c>
      <c r="F1708" s="9" t="s">
        <v>434</v>
      </c>
      <c r="G1708" s="8"/>
      <c r="H1708" s="8"/>
      <c r="I1708" s="9" t="s">
        <v>12</v>
      </c>
      <c r="J1708" s="9" t="s">
        <v>12</v>
      </c>
      <c r="K1708" s="9" t="s">
        <v>130</v>
      </c>
      <c r="L1708" s="9" t="s">
        <v>209</v>
      </c>
      <c r="M1708" s="14" t="s">
        <v>84</v>
      </c>
      <c r="N1708" s="9" t="s">
        <v>436</v>
      </c>
      <c r="O1708" s="9" t="s">
        <v>667</v>
      </c>
      <c r="P1708" s="9" t="s">
        <v>674</v>
      </c>
      <c r="Q1708" s="11"/>
      <c r="R1708" s="11"/>
      <c r="S1708" s="11">
        <v>0</v>
      </c>
      <c r="T1708" s="9"/>
      <c r="U1708" s="14" t="s">
        <v>77</v>
      </c>
      <c r="V1708" s="9"/>
      <c r="W1708" s="12"/>
      <c r="X1708" s="13"/>
      <c r="Y1708" s="13"/>
      <c r="Z1708" s="13"/>
      <c r="AA1708" s="13"/>
      <c r="AB1708" s="13"/>
      <c r="AC1708" s="13"/>
      <c r="AD1708" s="13"/>
      <c r="AE1708" s="13">
        <v>0</v>
      </c>
      <c r="AF1708" s="13"/>
      <c r="AG1708" s="13"/>
      <c r="AH1708" s="13"/>
      <c r="AI1708" s="13"/>
      <c r="AJ1708" s="13">
        <f t="shared" si="208"/>
        <v>0</v>
      </c>
      <c r="AK1708" s="12"/>
      <c r="AL1708" s="13"/>
      <c r="AM1708" s="9"/>
      <c r="AN1708" s="9"/>
      <c r="AO1708" s="9"/>
      <c r="AP1708" s="14"/>
    </row>
    <row r="1709" spans="1:42" s="45" customFormat="1" ht="22" customHeight="1">
      <c r="A1709" s="14" t="s">
        <v>17</v>
      </c>
      <c r="B1709" s="8">
        <v>2024</v>
      </c>
      <c r="C1709" s="8" t="s">
        <v>24</v>
      </c>
      <c r="D1709" s="9" t="s">
        <v>185</v>
      </c>
      <c r="E1709" s="9" t="s">
        <v>115</v>
      </c>
      <c r="F1709" s="9" t="s">
        <v>434</v>
      </c>
      <c r="G1709" s="8"/>
      <c r="H1709" s="8"/>
      <c r="I1709" s="9" t="s">
        <v>12</v>
      </c>
      <c r="J1709" s="9" t="s">
        <v>12</v>
      </c>
      <c r="K1709" s="9" t="s">
        <v>130</v>
      </c>
      <c r="L1709" s="9" t="s">
        <v>209</v>
      </c>
      <c r="M1709" s="14" t="s">
        <v>84</v>
      </c>
      <c r="N1709" s="9" t="s">
        <v>436</v>
      </c>
      <c r="O1709" s="9" t="s">
        <v>667</v>
      </c>
      <c r="P1709" s="9" t="s">
        <v>675</v>
      </c>
      <c r="Q1709" s="11"/>
      <c r="R1709" s="11"/>
      <c r="S1709" s="11">
        <v>0</v>
      </c>
      <c r="T1709" s="9"/>
      <c r="U1709" s="14" t="s">
        <v>77</v>
      </c>
      <c r="V1709" s="9"/>
      <c r="W1709" s="12"/>
      <c r="X1709" s="13"/>
      <c r="Y1709" s="13"/>
      <c r="Z1709" s="13"/>
      <c r="AA1709" s="13"/>
      <c r="AB1709" s="13"/>
      <c r="AC1709" s="13"/>
      <c r="AD1709" s="13"/>
      <c r="AE1709" s="13">
        <v>0</v>
      </c>
      <c r="AF1709" s="13"/>
      <c r="AG1709" s="13"/>
      <c r="AH1709" s="13"/>
      <c r="AI1709" s="13"/>
      <c r="AJ1709" s="13">
        <f t="shared" si="208"/>
        <v>0</v>
      </c>
      <c r="AK1709" s="12"/>
      <c r="AL1709" s="13"/>
      <c r="AM1709" s="9"/>
      <c r="AN1709" s="9"/>
      <c r="AO1709" s="9"/>
      <c r="AP1709" s="14"/>
    </row>
    <row r="1710" spans="1:42" s="45" customFormat="1" ht="22" customHeight="1">
      <c r="A1710" s="14" t="s">
        <v>17</v>
      </c>
      <c r="B1710" s="8">
        <v>2024</v>
      </c>
      <c r="C1710" s="8" t="s">
        <v>24</v>
      </c>
      <c r="D1710" s="9" t="s">
        <v>185</v>
      </c>
      <c r="E1710" s="9" t="s">
        <v>115</v>
      </c>
      <c r="F1710" s="9" t="s">
        <v>434</v>
      </c>
      <c r="G1710" s="8"/>
      <c r="H1710" s="8"/>
      <c r="I1710" s="9" t="s">
        <v>12</v>
      </c>
      <c r="J1710" s="9" t="s">
        <v>12</v>
      </c>
      <c r="K1710" s="9" t="s">
        <v>130</v>
      </c>
      <c r="L1710" s="9" t="s">
        <v>209</v>
      </c>
      <c r="M1710" s="14" t="s">
        <v>84</v>
      </c>
      <c r="N1710" s="9" t="s">
        <v>436</v>
      </c>
      <c r="O1710" s="9" t="s">
        <v>667</v>
      </c>
      <c r="P1710" s="9" t="s">
        <v>676</v>
      </c>
      <c r="Q1710" s="11"/>
      <c r="R1710" s="11"/>
      <c r="S1710" s="11">
        <v>0</v>
      </c>
      <c r="T1710" s="9"/>
      <c r="U1710" s="14" t="s">
        <v>77</v>
      </c>
      <c r="V1710" s="9"/>
      <c r="W1710" s="12"/>
      <c r="X1710" s="13"/>
      <c r="Y1710" s="13"/>
      <c r="Z1710" s="13"/>
      <c r="AA1710" s="13"/>
      <c r="AB1710" s="13"/>
      <c r="AC1710" s="13"/>
      <c r="AD1710" s="13"/>
      <c r="AE1710" s="13">
        <v>0</v>
      </c>
      <c r="AF1710" s="13"/>
      <c r="AG1710" s="13"/>
      <c r="AH1710" s="13"/>
      <c r="AI1710" s="13"/>
      <c r="AJ1710" s="13">
        <f t="shared" ref="AJ1710:AJ1773" si="209">SUBTOTAL(9,X1710:AI1710)</f>
        <v>0</v>
      </c>
      <c r="AK1710" s="12"/>
      <c r="AL1710" s="13"/>
      <c r="AM1710" s="9"/>
      <c r="AN1710" s="9"/>
      <c r="AO1710" s="9"/>
      <c r="AP1710" s="14"/>
    </row>
    <row r="1711" spans="1:42" s="45" customFormat="1" ht="22" customHeight="1">
      <c r="A1711" s="14" t="s">
        <v>17</v>
      </c>
      <c r="B1711" s="8">
        <v>2024</v>
      </c>
      <c r="C1711" s="8" t="s">
        <v>24</v>
      </c>
      <c r="D1711" s="9" t="s">
        <v>185</v>
      </c>
      <c r="E1711" s="9" t="s">
        <v>115</v>
      </c>
      <c r="F1711" s="9" t="s">
        <v>434</v>
      </c>
      <c r="G1711" s="8"/>
      <c r="H1711" s="8"/>
      <c r="I1711" s="9" t="s">
        <v>12</v>
      </c>
      <c r="J1711" s="9" t="s">
        <v>12</v>
      </c>
      <c r="K1711" s="9" t="s">
        <v>130</v>
      </c>
      <c r="L1711" s="9" t="s">
        <v>209</v>
      </c>
      <c r="M1711" s="14" t="s">
        <v>84</v>
      </c>
      <c r="N1711" s="9" t="s">
        <v>436</v>
      </c>
      <c r="O1711" s="9" t="s">
        <v>667</v>
      </c>
      <c r="P1711" s="9" t="s">
        <v>677</v>
      </c>
      <c r="Q1711" s="11"/>
      <c r="R1711" s="11"/>
      <c r="S1711" s="11">
        <v>0</v>
      </c>
      <c r="T1711" s="9"/>
      <c r="U1711" s="14" t="s">
        <v>77</v>
      </c>
      <c r="V1711" s="9"/>
      <c r="W1711" s="12"/>
      <c r="X1711" s="13"/>
      <c r="Y1711" s="13"/>
      <c r="Z1711" s="13"/>
      <c r="AA1711" s="13"/>
      <c r="AB1711" s="13"/>
      <c r="AC1711" s="13"/>
      <c r="AD1711" s="13"/>
      <c r="AE1711" s="13">
        <v>0</v>
      </c>
      <c r="AF1711" s="13"/>
      <c r="AG1711" s="13"/>
      <c r="AH1711" s="13"/>
      <c r="AI1711" s="13"/>
      <c r="AJ1711" s="13">
        <f t="shared" si="209"/>
        <v>0</v>
      </c>
      <c r="AK1711" s="12"/>
      <c r="AL1711" s="13"/>
      <c r="AM1711" s="9"/>
      <c r="AN1711" s="9"/>
      <c r="AO1711" s="9"/>
      <c r="AP1711" s="14"/>
    </row>
    <row r="1712" spans="1:42" s="45" customFormat="1" ht="22" customHeight="1">
      <c r="A1712" s="14" t="s">
        <v>17</v>
      </c>
      <c r="B1712" s="8">
        <v>2024</v>
      </c>
      <c r="C1712" s="8" t="s">
        <v>24</v>
      </c>
      <c r="D1712" s="9" t="s">
        <v>185</v>
      </c>
      <c r="E1712" s="9" t="s">
        <v>115</v>
      </c>
      <c r="F1712" s="9" t="s">
        <v>434</v>
      </c>
      <c r="G1712" s="8"/>
      <c r="H1712" s="8"/>
      <c r="I1712" s="9" t="s">
        <v>12</v>
      </c>
      <c r="J1712" s="9" t="s">
        <v>12</v>
      </c>
      <c r="K1712" s="9" t="s">
        <v>130</v>
      </c>
      <c r="L1712" s="9" t="s">
        <v>209</v>
      </c>
      <c r="M1712" s="14" t="s">
        <v>84</v>
      </c>
      <c r="N1712" s="9" t="s">
        <v>436</v>
      </c>
      <c r="O1712" s="9" t="s">
        <v>678</v>
      </c>
      <c r="P1712" s="9" t="s">
        <v>679</v>
      </c>
      <c r="Q1712" s="11"/>
      <c r="R1712" s="11"/>
      <c r="S1712" s="11">
        <v>0</v>
      </c>
      <c r="T1712" s="9"/>
      <c r="U1712" s="14" t="s">
        <v>77</v>
      </c>
      <c r="V1712" s="9"/>
      <c r="W1712" s="12"/>
      <c r="X1712" s="13"/>
      <c r="Y1712" s="13"/>
      <c r="Z1712" s="13"/>
      <c r="AA1712" s="13"/>
      <c r="AB1712" s="13"/>
      <c r="AC1712" s="13"/>
      <c r="AD1712" s="13"/>
      <c r="AE1712" s="13">
        <v>0</v>
      </c>
      <c r="AF1712" s="13"/>
      <c r="AG1712" s="13"/>
      <c r="AH1712" s="13"/>
      <c r="AI1712" s="13"/>
      <c r="AJ1712" s="13">
        <f t="shared" si="209"/>
        <v>0</v>
      </c>
      <c r="AK1712" s="12"/>
      <c r="AL1712" s="13"/>
      <c r="AM1712" s="9"/>
      <c r="AN1712" s="9"/>
      <c r="AO1712" s="9"/>
      <c r="AP1712" s="14"/>
    </row>
    <row r="1713" spans="1:42" s="45" customFormat="1" ht="22" customHeight="1">
      <c r="A1713" s="14" t="s">
        <v>17</v>
      </c>
      <c r="B1713" s="8">
        <v>2024</v>
      </c>
      <c r="C1713" s="8" t="s">
        <v>24</v>
      </c>
      <c r="D1713" s="9" t="s">
        <v>185</v>
      </c>
      <c r="E1713" s="9" t="s">
        <v>115</v>
      </c>
      <c r="F1713" s="9" t="s">
        <v>434</v>
      </c>
      <c r="G1713" s="8"/>
      <c r="H1713" s="8"/>
      <c r="I1713" s="9" t="s">
        <v>12</v>
      </c>
      <c r="J1713" s="9" t="s">
        <v>12</v>
      </c>
      <c r="K1713" s="9" t="s">
        <v>130</v>
      </c>
      <c r="L1713" s="9" t="s">
        <v>209</v>
      </c>
      <c r="M1713" s="14" t="s">
        <v>84</v>
      </c>
      <c r="N1713" s="9" t="s">
        <v>436</v>
      </c>
      <c r="O1713" s="9" t="s">
        <v>678</v>
      </c>
      <c r="P1713" s="9" t="s">
        <v>680</v>
      </c>
      <c r="Q1713" s="11"/>
      <c r="R1713" s="11"/>
      <c r="S1713" s="11">
        <v>0</v>
      </c>
      <c r="T1713" s="9"/>
      <c r="U1713" s="14" t="s">
        <v>77</v>
      </c>
      <c r="V1713" s="9"/>
      <c r="W1713" s="12"/>
      <c r="X1713" s="13"/>
      <c r="Y1713" s="13"/>
      <c r="Z1713" s="13"/>
      <c r="AA1713" s="13"/>
      <c r="AB1713" s="13"/>
      <c r="AC1713" s="13"/>
      <c r="AD1713" s="13"/>
      <c r="AE1713" s="13">
        <v>0</v>
      </c>
      <c r="AF1713" s="13"/>
      <c r="AG1713" s="13"/>
      <c r="AH1713" s="13"/>
      <c r="AI1713" s="13"/>
      <c r="AJ1713" s="13">
        <f t="shared" si="209"/>
        <v>0</v>
      </c>
      <c r="AK1713" s="12"/>
      <c r="AL1713" s="13"/>
      <c r="AM1713" s="9"/>
      <c r="AN1713" s="9"/>
      <c r="AO1713" s="9"/>
      <c r="AP1713" s="14"/>
    </row>
    <row r="1714" spans="1:42" s="45" customFormat="1" ht="22" customHeight="1">
      <c r="A1714" s="14" t="s">
        <v>17</v>
      </c>
      <c r="B1714" s="8">
        <v>2024</v>
      </c>
      <c r="C1714" s="8" t="s">
        <v>24</v>
      </c>
      <c r="D1714" s="9" t="s">
        <v>185</v>
      </c>
      <c r="E1714" s="9" t="s">
        <v>115</v>
      </c>
      <c r="F1714" s="9" t="s">
        <v>434</v>
      </c>
      <c r="G1714" s="8"/>
      <c r="H1714" s="8"/>
      <c r="I1714" s="9" t="s">
        <v>12</v>
      </c>
      <c r="J1714" s="9" t="s">
        <v>12</v>
      </c>
      <c r="K1714" s="9" t="s">
        <v>130</v>
      </c>
      <c r="L1714" s="9" t="s">
        <v>209</v>
      </c>
      <c r="M1714" s="14" t="s">
        <v>84</v>
      </c>
      <c r="N1714" s="9" t="s">
        <v>436</v>
      </c>
      <c r="O1714" s="9" t="s">
        <v>678</v>
      </c>
      <c r="P1714" s="9" t="s">
        <v>681</v>
      </c>
      <c r="Q1714" s="11"/>
      <c r="R1714" s="11"/>
      <c r="S1714" s="11">
        <v>0</v>
      </c>
      <c r="T1714" s="9"/>
      <c r="U1714" s="14" t="s">
        <v>77</v>
      </c>
      <c r="V1714" s="9"/>
      <c r="W1714" s="12"/>
      <c r="X1714" s="13"/>
      <c r="Y1714" s="13"/>
      <c r="Z1714" s="13"/>
      <c r="AA1714" s="13"/>
      <c r="AB1714" s="13"/>
      <c r="AC1714" s="13"/>
      <c r="AD1714" s="13"/>
      <c r="AE1714" s="13">
        <v>0</v>
      </c>
      <c r="AF1714" s="13"/>
      <c r="AG1714" s="13"/>
      <c r="AH1714" s="13"/>
      <c r="AI1714" s="13"/>
      <c r="AJ1714" s="13">
        <f t="shared" si="209"/>
        <v>0</v>
      </c>
      <c r="AK1714" s="12"/>
      <c r="AL1714" s="13"/>
      <c r="AM1714" s="9"/>
      <c r="AN1714" s="9"/>
      <c r="AO1714" s="9"/>
      <c r="AP1714" s="14"/>
    </row>
    <row r="1715" spans="1:42" s="45" customFormat="1" ht="22" customHeight="1">
      <c r="A1715" s="14" t="s">
        <v>17</v>
      </c>
      <c r="B1715" s="8">
        <v>2024</v>
      </c>
      <c r="C1715" s="8" t="s">
        <v>24</v>
      </c>
      <c r="D1715" s="9" t="s">
        <v>185</v>
      </c>
      <c r="E1715" s="9" t="s">
        <v>115</v>
      </c>
      <c r="F1715" s="9" t="s">
        <v>434</v>
      </c>
      <c r="G1715" s="8"/>
      <c r="H1715" s="8"/>
      <c r="I1715" s="9" t="s">
        <v>12</v>
      </c>
      <c r="J1715" s="9" t="s">
        <v>12</v>
      </c>
      <c r="K1715" s="9" t="s">
        <v>130</v>
      </c>
      <c r="L1715" s="9" t="s">
        <v>209</v>
      </c>
      <c r="M1715" s="14" t="s">
        <v>84</v>
      </c>
      <c r="N1715" s="9" t="s">
        <v>436</v>
      </c>
      <c r="O1715" s="9" t="s">
        <v>678</v>
      </c>
      <c r="P1715" s="9" t="s">
        <v>682</v>
      </c>
      <c r="Q1715" s="11"/>
      <c r="R1715" s="11"/>
      <c r="S1715" s="11">
        <v>0</v>
      </c>
      <c r="T1715" s="9"/>
      <c r="U1715" s="14" t="s">
        <v>77</v>
      </c>
      <c r="V1715" s="9"/>
      <c r="W1715" s="12"/>
      <c r="X1715" s="13"/>
      <c r="Y1715" s="13"/>
      <c r="Z1715" s="13"/>
      <c r="AA1715" s="13"/>
      <c r="AB1715" s="13"/>
      <c r="AC1715" s="13"/>
      <c r="AD1715" s="13"/>
      <c r="AE1715" s="13">
        <v>0</v>
      </c>
      <c r="AF1715" s="13"/>
      <c r="AG1715" s="13"/>
      <c r="AH1715" s="13"/>
      <c r="AI1715" s="13"/>
      <c r="AJ1715" s="13">
        <f t="shared" si="209"/>
        <v>0</v>
      </c>
      <c r="AK1715" s="12"/>
      <c r="AL1715" s="13"/>
      <c r="AM1715" s="9"/>
      <c r="AN1715" s="9"/>
      <c r="AO1715" s="9"/>
      <c r="AP1715" s="14"/>
    </row>
    <row r="1716" spans="1:42" s="45" customFormat="1" ht="22" customHeight="1">
      <c r="A1716" s="14" t="s">
        <v>17</v>
      </c>
      <c r="B1716" s="8">
        <v>2024</v>
      </c>
      <c r="C1716" s="8" t="s">
        <v>24</v>
      </c>
      <c r="D1716" s="9" t="s">
        <v>185</v>
      </c>
      <c r="E1716" s="9" t="s">
        <v>115</v>
      </c>
      <c r="F1716" s="9" t="s">
        <v>434</v>
      </c>
      <c r="G1716" s="8"/>
      <c r="H1716" s="8"/>
      <c r="I1716" s="9" t="s">
        <v>12</v>
      </c>
      <c r="J1716" s="9" t="s">
        <v>12</v>
      </c>
      <c r="K1716" s="9" t="s">
        <v>130</v>
      </c>
      <c r="L1716" s="9" t="s">
        <v>209</v>
      </c>
      <c r="M1716" s="14" t="s">
        <v>84</v>
      </c>
      <c r="N1716" s="9" t="s">
        <v>436</v>
      </c>
      <c r="O1716" s="9" t="s">
        <v>678</v>
      </c>
      <c r="P1716" s="9" t="s">
        <v>678</v>
      </c>
      <c r="Q1716" s="11"/>
      <c r="R1716" s="11"/>
      <c r="S1716" s="11">
        <v>0</v>
      </c>
      <c r="T1716" s="9"/>
      <c r="U1716" s="14" t="s">
        <v>77</v>
      </c>
      <c r="V1716" s="9"/>
      <c r="W1716" s="12"/>
      <c r="X1716" s="13"/>
      <c r="Y1716" s="13"/>
      <c r="Z1716" s="13"/>
      <c r="AA1716" s="13"/>
      <c r="AB1716" s="13"/>
      <c r="AC1716" s="13"/>
      <c r="AD1716" s="13"/>
      <c r="AE1716" s="13">
        <v>0</v>
      </c>
      <c r="AF1716" s="13"/>
      <c r="AG1716" s="13"/>
      <c r="AH1716" s="13"/>
      <c r="AI1716" s="13"/>
      <c r="AJ1716" s="13">
        <f t="shared" si="209"/>
        <v>0</v>
      </c>
      <c r="AK1716" s="12"/>
      <c r="AL1716" s="13"/>
      <c r="AM1716" s="9"/>
      <c r="AN1716" s="9"/>
      <c r="AO1716" s="9"/>
      <c r="AP1716" s="14"/>
    </row>
    <row r="1717" spans="1:42" s="45" customFormat="1" ht="22" customHeight="1">
      <c r="A1717" s="14" t="s">
        <v>17</v>
      </c>
      <c r="B1717" s="8">
        <v>2024</v>
      </c>
      <c r="C1717" s="8" t="s">
        <v>24</v>
      </c>
      <c r="D1717" s="9" t="s">
        <v>185</v>
      </c>
      <c r="E1717" s="9" t="s">
        <v>115</v>
      </c>
      <c r="F1717" s="9" t="s">
        <v>434</v>
      </c>
      <c r="G1717" s="8"/>
      <c r="H1717" s="8"/>
      <c r="I1717" s="9" t="s">
        <v>12</v>
      </c>
      <c r="J1717" s="9" t="s">
        <v>12</v>
      </c>
      <c r="K1717" s="9" t="s">
        <v>130</v>
      </c>
      <c r="L1717" s="9" t="s">
        <v>209</v>
      </c>
      <c r="M1717" s="14" t="s">
        <v>84</v>
      </c>
      <c r="N1717" s="9" t="s">
        <v>436</v>
      </c>
      <c r="O1717" s="9" t="s">
        <v>678</v>
      </c>
      <c r="P1717" s="9" t="s">
        <v>683</v>
      </c>
      <c r="Q1717" s="11"/>
      <c r="R1717" s="11"/>
      <c r="S1717" s="11">
        <v>0</v>
      </c>
      <c r="T1717" s="9"/>
      <c r="U1717" s="14" t="s">
        <v>77</v>
      </c>
      <c r="V1717" s="9"/>
      <c r="W1717" s="12"/>
      <c r="X1717" s="13"/>
      <c r="Y1717" s="13"/>
      <c r="Z1717" s="13"/>
      <c r="AA1717" s="13"/>
      <c r="AB1717" s="13"/>
      <c r="AC1717" s="13"/>
      <c r="AD1717" s="13"/>
      <c r="AE1717" s="13">
        <v>0</v>
      </c>
      <c r="AF1717" s="13"/>
      <c r="AG1717" s="13"/>
      <c r="AH1717" s="13"/>
      <c r="AI1717" s="13"/>
      <c r="AJ1717" s="13">
        <f t="shared" si="209"/>
        <v>0</v>
      </c>
      <c r="AK1717" s="12"/>
      <c r="AL1717" s="13"/>
      <c r="AM1717" s="9"/>
      <c r="AN1717" s="9"/>
      <c r="AO1717" s="9"/>
      <c r="AP1717" s="14"/>
    </row>
    <row r="1718" spans="1:42" s="45" customFormat="1" ht="22" customHeight="1">
      <c r="A1718" s="14" t="s">
        <v>17</v>
      </c>
      <c r="B1718" s="8">
        <v>2024</v>
      </c>
      <c r="C1718" s="8" t="s">
        <v>24</v>
      </c>
      <c r="D1718" s="9" t="s">
        <v>185</v>
      </c>
      <c r="E1718" s="9" t="s">
        <v>115</v>
      </c>
      <c r="F1718" s="9" t="s">
        <v>434</v>
      </c>
      <c r="G1718" s="8"/>
      <c r="H1718" s="8"/>
      <c r="I1718" s="9" t="s">
        <v>12</v>
      </c>
      <c r="J1718" s="9" t="s">
        <v>12</v>
      </c>
      <c r="K1718" s="9" t="s">
        <v>130</v>
      </c>
      <c r="L1718" s="9" t="s">
        <v>209</v>
      </c>
      <c r="M1718" s="14" t="s">
        <v>84</v>
      </c>
      <c r="N1718" s="9" t="s">
        <v>436</v>
      </c>
      <c r="O1718" s="9" t="s">
        <v>678</v>
      </c>
      <c r="P1718" s="9" t="s">
        <v>684</v>
      </c>
      <c r="Q1718" s="11"/>
      <c r="R1718" s="11"/>
      <c r="S1718" s="11">
        <v>0</v>
      </c>
      <c r="T1718" s="9"/>
      <c r="U1718" s="14" t="s">
        <v>77</v>
      </c>
      <c r="V1718" s="9"/>
      <c r="W1718" s="12"/>
      <c r="X1718" s="13"/>
      <c r="Y1718" s="13"/>
      <c r="Z1718" s="13"/>
      <c r="AA1718" s="13"/>
      <c r="AB1718" s="13"/>
      <c r="AC1718" s="13"/>
      <c r="AD1718" s="13"/>
      <c r="AE1718" s="13">
        <v>0</v>
      </c>
      <c r="AF1718" s="13"/>
      <c r="AG1718" s="13"/>
      <c r="AH1718" s="13"/>
      <c r="AI1718" s="13"/>
      <c r="AJ1718" s="13">
        <f t="shared" si="209"/>
        <v>0</v>
      </c>
      <c r="AK1718" s="12"/>
      <c r="AL1718" s="13"/>
      <c r="AM1718" s="9"/>
      <c r="AN1718" s="9"/>
      <c r="AO1718" s="9"/>
      <c r="AP1718" s="14"/>
    </row>
    <row r="1719" spans="1:42" s="45" customFormat="1" ht="22" customHeight="1">
      <c r="A1719" s="14" t="s">
        <v>17</v>
      </c>
      <c r="B1719" s="8">
        <v>2024</v>
      </c>
      <c r="C1719" s="8" t="s">
        <v>24</v>
      </c>
      <c r="D1719" s="9" t="s">
        <v>185</v>
      </c>
      <c r="E1719" s="9" t="s">
        <v>115</v>
      </c>
      <c r="F1719" s="9" t="s">
        <v>434</v>
      </c>
      <c r="G1719" s="8"/>
      <c r="H1719" s="8"/>
      <c r="I1719" s="9" t="s">
        <v>12</v>
      </c>
      <c r="J1719" s="9" t="s">
        <v>12</v>
      </c>
      <c r="K1719" s="9" t="s">
        <v>130</v>
      </c>
      <c r="L1719" s="9" t="s">
        <v>209</v>
      </c>
      <c r="M1719" s="14" t="s">
        <v>84</v>
      </c>
      <c r="N1719" s="9" t="s">
        <v>436</v>
      </c>
      <c r="O1719" s="9" t="s">
        <v>678</v>
      </c>
      <c r="P1719" s="9" t="s">
        <v>685</v>
      </c>
      <c r="Q1719" s="11"/>
      <c r="R1719" s="11"/>
      <c r="S1719" s="11">
        <v>0</v>
      </c>
      <c r="T1719" s="9"/>
      <c r="U1719" s="14" t="s">
        <v>77</v>
      </c>
      <c r="V1719" s="9"/>
      <c r="W1719" s="12"/>
      <c r="X1719" s="13"/>
      <c r="Y1719" s="13"/>
      <c r="Z1719" s="13"/>
      <c r="AA1719" s="13"/>
      <c r="AB1719" s="13"/>
      <c r="AC1719" s="13"/>
      <c r="AD1719" s="13"/>
      <c r="AE1719" s="13">
        <v>0</v>
      </c>
      <c r="AF1719" s="13"/>
      <c r="AG1719" s="13"/>
      <c r="AH1719" s="13"/>
      <c r="AI1719" s="13"/>
      <c r="AJ1719" s="13">
        <f t="shared" si="209"/>
        <v>0</v>
      </c>
      <c r="AK1719" s="12"/>
      <c r="AL1719" s="13"/>
      <c r="AM1719" s="9"/>
      <c r="AN1719" s="9"/>
      <c r="AO1719" s="9"/>
      <c r="AP1719" s="14"/>
    </row>
    <row r="1720" spans="1:42" s="45" customFormat="1" ht="22" customHeight="1">
      <c r="A1720" s="14" t="s">
        <v>17</v>
      </c>
      <c r="B1720" s="8">
        <v>2024</v>
      </c>
      <c r="C1720" s="8" t="s">
        <v>24</v>
      </c>
      <c r="D1720" s="9" t="s">
        <v>185</v>
      </c>
      <c r="E1720" s="9" t="s">
        <v>115</v>
      </c>
      <c r="F1720" s="9" t="s">
        <v>434</v>
      </c>
      <c r="G1720" s="8"/>
      <c r="H1720" s="8"/>
      <c r="I1720" s="9" t="s">
        <v>12</v>
      </c>
      <c r="J1720" s="9" t="s">
        <v>12</v>
      </c>
      <c r="K1720" s="9" t="s">
        <v>130</v>
      </c>
      <c r="L1720" s="9" t="s">
        <v>209</v>
      </c>
      <c r="M1720" s="14" t="s">
        <v>84</v>
      </c>
      <c r="N1720" s="9" t="s">
        <v>436</v>
      </c>
      <c r="O1720" s="9" t="s">
        <v>678</v>
      </c>
      <c r="P1720" s="9" t="s">
        <v>686</v>
      </c>
      <c r="Q1720" s="11"/>
      <c r="R1720" s="11"/>
      <c r="S1720" s="11">
        <v>0</v>
      </c>
      <c r="T1720" s="9"/>
      <c r="U1720" s="14" t="s">
        <v>77</v>
      </c>
      <c r="V1720" s="9"/>
      <c r="W1720" s="12"/>
      <c r="X1720" s="13"/>
      <c r="Y1720" s="13"/>
      <c r="Z1720" s="13"/>
      <c r="AA1720" s="13"/>
      <c r="AB1720" s="13"/>
      <c r="AC1720" s="13"/>
      <c r="AD1720" s="13"/>
      <c r="AE1720" s="13">
        <v>0</v>
      </c>
      <c r="AF1720" s="13"/>
      <c r="AG1720" s="13"/>
      <c r="AH1720" s="13"/>
      <c r="AI1720" s="13"/>
      <c r="AJ1720" s="13">
        <f t="shared" si="209"/>
        <v>0</v>
      </c>
      <c r="AK1720" s="12"/>
      <c r="AL1720" s="13"/>
      <c r="AM1720" s="9"/>
      <c r="AN1720" s="9"/>
      <c r="AO1720" s="9"/>
      <c r="AP1720" s="14"/>
    </row>
    <row r="1721" spans="1:42" s="45" customFormat="1" ht="22" customHeight="1">
      <c r="A1721" s="14" t="s">
        <v>17</v>
      </c>
      <c r="B1721" s="8">
        <v>2024</v>
      </c>
      <c r="C1721" s="8" t="s">
        <v>24</v>
      </c>
      <c r="D1721" s="9" t="s">
        <v>185</v>
      </c>
      <c r="E1721" s="9" t="s">
        <v>115</v>
      </c>
      <c r="F1721" s="9" t="s">
        <v>434</v>
      </c>
      <c r="G1721" s="8"/>
      <c r="H1721" s="8"/>
      <c r="I1721" s="9" t="s">
        <v>12</v>
      </c>
      <c r="J1721" s="9" t="s">
        <v>12</v>
      </c>
      <c r="K1721" s="9" t="s">
        <v>130</v>
      </c>
      <c r="L1721" s="9" t="s">
        <v>209</v>
      </c>
      <c r="M1721" s="14" t="s">
        <v>84</v>
      </c>
      <c r="N1721" s="9" t="s">
        <v>436</v>
      </c>
      <c r="O1721" s="9" t="s">
        <v>678</v>
      </c>
      <c r="P1721" s="9" t="s">
        <v>687</v>
      </c>
      <c r="Q1721" s="11"/>
      <c r="R1721" s="11"/>
      <c r="S1721" s="11">
        <v>0</v>
      </c>
      <c r="T1721" s="9"/>
      <c r="U1721" s="14" t="s">
        <v>77</v>
      </c>
      <c r="V1721" s="9"/>
      <c r="W1721" s="12"/>
      <c r="X1721" s="13"/>
      <c r="Y1721" s="13"/>
      <c r="Z1721" s="13"/>
      <c r="AA1721" s="13"/>
      <c r="AB1721" s="13"/>
      <c r="AC1721" s="13"/>
      <c r="AD1721" s="13"/>
      <c r="AE1721" s="13">
        <v>0</v>
      </c>
      <c r="AF1721" s="13"/>
      <c r="AG1721" s="13"/>
      <c r="AH1721" s="13"/>
      <c r="AI1721" s="13"/>
      <c r="AJ1721" s="13">
        <f t="shared" si="209"/>
        <v>0</v>
      </c>
      <c r="AK1721" s="12"/>
      <c r="AL1721" s="13"/>
      <c r="AM1721" s="9"/>
      <c r="AN1721" s="9"/>
      <c r="AO1721" s="9"/>
      <c r="AP1721" s="14"/>
    </row>
    <row r="1722" spans="1:42" s="45" customFormat="1" ht="22" customHeight="1">
      <c r="A1722" s="14" t="s">
        <v>17</v>
      </c>
      <c r="B1722" s="8">
        <v>2024</v>
      </c>
      <c r="C1722" s="8" t="s">
        <v>24</v>
      </c>
      <c r="D1722" s="9" t="s">
        <v>185</v>
      </c>
      <c r="E1722" s="9" t="s">
        <v>115</v>
      </c>
      <c r="F1722" s="9" t="s">
        <v>434</v>
      </c>
      <c r="G1722" s="8"/>
      <c r="H1722" s="8"/>
      <c r="I1722" s="9" t="s">
        <v>12</v>
      </c>
      <c r="J1722" s="9" t="s">
        <v>12</v>
      </c>
      <c r="K1722" s="9" t="s">
        <v>130</v>
      </c>
      <c r="L1722" s="9" t="s">
        <v>209</v>
      </c>
      <c r="M1722" s="14" t="s">
        <v>84</v>
      </c>
      <c r="N1722" s="9" t="s">
        <v>436</v>
      </c>
      <c r="O1722" s="9" t="s">
        <v>678</v>
      </c>
      <c r="P1722" s="9" t="s">
        <v>688</v>
      </c>
      <c r="Q1722" s="11"/>
      <c r="R1722" s="11"/>
      <c r="S1722" s="11">
        <v>0</v>
      </c>
      <c r="T1722" s="9"/>
      <c r="U1722" s="14" t="s">
        <v>77</v>
      </c>
      <c r="V1722" s="9"/>
      <c r="W1722" s="12"/>
      <c r="X1722" s="13"/>
      <c r="Y1722" s="13"/>
      <c r="Z1722" s="13"/>
      <c r="AA1722" s="13"/>
      <c r="AB1722" s="13"/>
      <c r="AC1722" s="13"/>
      <c r="AD1722" s="13"/>
      <c r="AE1722" s="13">
        <v>0</v>
      </c>
      <c r="AF1722" s="13"/>
      <c r="AG1722" s="13"/>
      <c r="AH1722" s="13"/>
      <c r="AI1722" s="13"/>
      <c r="AJ1722" s="13">
        <f t="shared" si="209"/>
        <v>0</v>
      </c>
      <c r="AK1722" s="12"/>
      <c r="AL1722" s="13"/>
      <c r="AM1722" s="9"/>
      <c r="AN1722" s="9"/>
      <c r="AO1722" s="9"/>
      <c r="AP1722" s="14"/>
    </row>
    <row r="1723" spans="1:42" s="45" customFormat="1" ht="22" customHeight="1">
      <c r="A1723" s="14" t="s">
        <v>17</v>
      </c>
      <c r="B1723" s="8">
        <v>2024</v>
      </c>
      <c r="C1723" s="8" t="s">
        <v>24</v>
      </c>
      <c r="D1723" s="9" t="s">
        <v>185</v>
      </c>
      <c r="E1723" s="9" t="s">
        <v>115</v>
      </c>
      <c r="F1723" s="9" t="s">
        <v>434</v>
      </c>
      <c r="G1723" s="8"/>
      <c r="H1723" s="8"/>
      <c r="I1723" s="9" t="s">
        <v>12</v>
      </c>
      <c r="J1723" s="9" t="s">
        <v>12</v>
      </c>
      <c r="K1723" s="9" t="s">
        <v>130</v>
      </c>
      <c r="L1723" s="9" t="s">
        <v>209</v>
      </c>
      <c r="M1723" s="14" t="s">
        <v>84</v>
      </c>
      <c r="N1723" s="9" t="s">
        <v>436</v>
      </c>
      <c r="O1723" s="9" t="s">
        <v>678</v>
      </c>
      <c r="P1723" s="9" t="s">
        <v>689</v>
      </c>
      <c r="Q1723" s="11"/>
      <c r="R1723" s="11"/>
      <c r="S1723" s="11">
        <v>0</v>
      </c>
      <c r="T1723" s="9"/>
      <c r="U1723" s="14" t="s">
        <v>77</v>
      </c>
      <c r="V1723" s="9"/>
      <c r="W1723" s="12"/>
      <c r="X1723" s="13"/>
      <c r="Y1723" s="13"/>
      <c r="Z1723" s="13"/>
      <c r="AA1723" s="13"/>
      <c r="AB1723" s="13"/>
      <c r="AC1723" s="13"/>
      <c r="AD1723" s="13"/>
      <c r="AE1723" s="13">
        <v>0</v>
      </c>
      <c r="AF1723" s="13"/>
      <c r="AG1723" s="13"/>
      <c r="AH1723" s="13"/>
      <c r="AI1723" s="13"/>
      <c r="AJ1723" s="13">
        <f t="shared" si="209"/>
        <v>0</v>
      </c>
      <c r="AK1723" s="12"/>
      <c r="AL1723" s="13"/>
      <c r="AM1723" s="9"/>
      <c r="AN1723" s="9"/>
      <c r="AO1723" s="9"/>
      <c r="AP1723" s="14"/>
    </row>
    <row r="1724" spans="1:42" s="45" customFormat="1" ht="22" customHeight="1">
      <c r="A1724" s="14" t="s">
        <v>17</v>
      </c>
      <c r="B1724" s="8">
        <v>2024</v>
      </c>
      <c r="C1724" s="8" t="s">
        <v>24</v>
      </c>
      <c r="D1724" s="9" t="s">
        <v>185</v>
      </c>
      <c r="E1724" s="9" t="s">
        <v>115</v>
      </c>
      <c r="F1724" s="9" t="s">
        <v>434</v>
      </c>
      <c r="G1724" s="8"/>
      <c r="H1724" s="8"/>
      <c r="I1724" s="9" t="s">
        <v>12</v>
      </c>
      <c r="J1724" s="9" t="s">
        <v>12</v>
      </c>
      <c r="K1724" s="9" t="s">
        <v>130</v>
      </c>
      <c r="L1724" s="9" t="s">
        <v>209</v>
      </c>
      <c r="M1724" s="14" t="s">
        <v>84</v>
      </c>
      <c r="N1724" s="9" t="s">
        <v>436</v>
      </c>
      <c r="O1724" s="9" t="s">
        <v>678</v>
      </c>
      <c r="P1724" s="9" t="s">
        <v>690</v>
      </c>
      <c r="Q1724" s="11"/>
      <c r="R1724" s="11"/>
      <c r="S1724" s="11">
        <v>0</v>
      </c>
      <c r="T1724" s="9"/>
      <c r="U1724" s="14" t="s">
        <v>77</v>
      </c>
      <c r="V1724" s="9"/>
      <c r="W1724" s="12"/>
      <c r="X1724" s="13"/>
      <c r="Y1724" s="13"/>
      <c r="Z1724" s="13"/>
      <c r="AA1724" s="13"/>
      <c r="AB1724" s="13"/>
      <c r="AC1724" s="13"/>
      <c r="AD1724" s="13"/>
      <c r="AE1724" s="13">
        <v>0</v>
      </c>
      <c r="AF1724" s="13"/>
      <c r="AG1724" s="13"/>
      <c r="AH1724" s="13"/>
      <c r="AI1724" s="13"/>
      <c r="AJ1724" s="13">
        <f t="shared" si="209"/>
        <v>0</v>
      </c>
      <c r="AK1724" s="12"/>
      <c r="AL1724" s="13"/>
      <c r="AM1724" s="9"/>
      <c r="AN1724" s="9"/>
      <c r="AO1724" s="9"/>
      <c r="AP1724" s="14"/>
    </row>
    <row r="1725" spans="1:42" s="45" customFormat="1" ht="22" customHeight="1">
      <c r="A1725" s="14" t="s">
        <v>17</v>
      </c>
      <c r="B1725" s="8">
        <v>2024</v>
      </c>
      <c r="C1725" s="8" t="s">
        <v>24</v>
      </c>
      <c r="D1725" s="9" t="s">
        <v>185</v>
      </c>
      <c r="E1725" s="9" t="s">
        <v>115</v>
      </c>
      <c r="F1725" s="9" t="s">
        <v>434</v>
      </c>
      <c r="G1725" s="8"/>
      <c r="H1725" s="8"/>
      <c r="I1725" s="9" t="s">
        <v>12</v>
      </c>
      <c r="J1725" s="9" t="s">
        <v>12</v>
      </c>
      <c r="K1725" s="9" t="s">
        <v>130</v>
      </c>
      <c r="L1725" s="9" t="s">
        <v>209</v>
      </c>
      <c r="M1725" s="14" t="s">
        <v>84</v>
      </c>
      <c r="N1725" s="9" t="s">
        <v>436</v>
      </c>
      <c r="O1725" s="9" t="s">
        <v>678</v>
      </c>
      <c r="P1725" s="9" t="s">
        <v>691</v>
      </c>
      <c r="Q1725" s="11"/>
      <c r="R1725" s="11"/>
      <c r="S1725" s="11">
        <v>0</v>
      </c>
      <c r="T1725" s="9"/>
      <c r="U1725" s="14" t="s">
        <v>77</v>
      </c>
      <c r="V1725" s="9"/>
      <c r="W1725" s="12"/>
      <c r="X1725" s="13"/>
      <c r="Y1725" s="13"/>
      <c r="Z1725" s="13"/>
      <c r="AA1725" s="13"/>
      <c r="AB1725" s="13"/>
      <c r="AC1725" s="13"/>
      <c r="AD1725" s="13"/>
      <c r="AE1725" s="13">
        <v>0</v>
      </c>
      <c r="AF1725" s="13"/>
      <c r="AG1725" s="13"/>
      <c r="AH1725" s="13"/>
      <c r="AI1725" s="13"/>
      <c r="AJ1725" s="13">
        <f t="shared" si="209"/>
        <v>0</v>
      </c>
      <c r="AK1725" s="12"/>
      <c r="AL1725" s="13"/>
      <c r="AM1725" s="9"/>
      <c r="AN1725" s="9"/>
      <c r="AO1725" s="9"/>
      <c r="AP1725" s="14"/>
    </row>
    <row r="1726" spans="1:42" s="45" customFormat="1" ht="22" customHeight="1">
      <c r="A1726" s="14" t="s">
        <v>17</v>
      </c>
      <c r="B1726" s="8">
        <v>2024</v>
      </c>
      <c r="C1726" s="8" t="s">
        <v>24</v>
      </c>
      <c r="D1726" s="9" t="s">
        <v>185</v>
      </c>
      <c r="E1726" s="9" t="s">
        <v>115</v>
      </c>
      <c r="F1726" s="9" t="s">
        <v>434</v>
      </c>
      <c r="G1726" s="8"/>
      <c r="H1726" s="8"/>
      <c r="I1726" s="9" t="s">
        <v>12</v>
      </c>
      <c r="J1726" s="9" t="s">
        <v>12</v>
      </c>
      <c r="K1726" s="9" t="s">
        <v>130</v>
      </c>
      <c r="L1726" s="9" t="s">
        <v>209</v>
      </c>
      <c r="M1726" s="14" t="s">
        <v>84</v>
      </c>
      <c r="N1726" s="9" t="s">
        <v>436</v>
      </c>
      <c r="O1726" s="9" t="s">
        <v>692</v>
      </c>
      <c r="P1726" s="9" t="s">
        <v>693</v>
      </c>
      <c r="Q1726" s="11"/>
      <c r="R1726" s="11"/>
      <c r="S1726" s="11">
        <v>0</v>
      </c>
      <c r="T1726" s="9"/>
      <c r="U1726" s="14" t="s">
        <v>77</v>
      </c>
      <c r="V1726" s="9"/>
      <c r="W1726" s="12"/>
      <c r="X1726" s="13"/>
      <c r="Y1726" s="13"/>
      <c r="Z1726" s="13"/>
      <c r="AA1726" s="13"/>
      <c r="AB1726" s="13"/>
      <c r="AC1726" s="13"/>
      <c r="AD1726" s="13"/>
      <c r="AE1726" s="13">
        <v>0</v>
      </c>
      <c r="AF1726" s="13"/>
      <c r="AG1726" s="13"/>
      <c r="AH1726" s="13"/>
      <c r="AI1726" s="13"/>
      <c r="AJ1726" s="13">
        <f t="shared" si="209"/>
        <v>0</v>
      </c>
      <c r="AK1726" s="12"/>
      <c r="AL1726" s="13"/>
      <c r="AM1726" s="9"/>
      <c r="AN1726" s="9"/>
      <c r="AO1726" s="9"/>
      <c r="AP1726" s="14"/>
    </row>
    <row r="1727" spans="1:42" s="45" customFormat="1" ht="22" customHeight="1">
      <c r="A1727" s="14" t="s">
        <v>17</v>
      </c>
      <c r="B1727" s="8">
        <v>2024</v>
      </c>
      <c r="C1727" s="8" t="s">
        <v>24</v>
      </c>
      <c r="D1727" s="9" t="s">
        <v>185</v>
      </c>
      <c r="E1727" s="9" t="s">
        <v>115</v>
      </c>
      <c r="F1727" s="9" t="s">
        <v>434</v>
      </c>
      <c r="G1727" s="8"/>
      <c r="H1727" s="8"/>
      <c r="I1727" s="9" t="s">
        <v>12</v>
      </c>
      <c r="J1727" s="9" t="s">
        <v>12</v>
      </c>
      <c r="K1727" s="9" t="s">
        <v>130</v>
      </c>
      <c r="L1727" s="9" t="s">
        <v>209</v>
      </c>
      <c r="M1727" s="14" t="s">
        <v>84</v>
      </c>
      <c r="N1727" s="9" t="s">
        <v>436</v>
      </c>
      <c r="O1727" s="9" t="s">
        <v>692</v>
      </c>
      <c r="P1727" s="9" t="s">
        <v>679</v>
      </c>
      <c r="Q1727" s="11"/>
      <c r="R1727" s="11"/>
      <c r="S1727" s="11">
        <v>0</v>
      </c>
      <c r="T1727" s="9"/>
      <c r="U1727" s="14" t="s">
        <v>77</v>
      </c>
      <c r="V1727" s="9"/>
      <c r="W1727" s="12"/>
      <c r="X1727" s="13"/>
      <c r="Y1727" s="13"/>
      <c r="Z1727" s="13"/>
      <c r="AA1727" s="13"/>
      <c r="AB1727" s="13"/>
      <c r="AC1727" s="13"/>
      <c r="AD1727" s="13"/>
      <c r="AE1727" s="13">
        <v>0</v>
      </c>
      <c r="AF1727" s="13"/>
      <c r="AG1727" s="13"/>
      <c r="AH1727" s="13"/>
      <c r="AI1727" s="13"/>
      <c r="AJ1727" s="13">
        <f t="shared" si="209"/>
        <v>0</v>
      </c>
      <c r="AK1727" s="12"/>
      <c r="AL1727" s="13"/>
      <c r="AM1727" s="9"/>
      <c r="AN1727" s="9"/>
      <c r="AO1727" s="9"/>
      <c r="AP1727" s="14"/>
    </row>
    <row r="1728" spans="1:42" s="45" customFormat="1" ht="22" customHeight="1">
      <c r="A1728" s="14" t="s">
        <v>17</v>
      </c>
      <c r="B1728" s="8">
        <v>2024</v>
      </c>
      <c r="C1728" s="8" t="s">
        <v>24</v>
      </c>
      <c r="D1728" s="9" t="s">
        <v>185</v>
      </c>
      <c r="E1728" s="9" t="s">
        <v>115</v>
      </c>
      <c r="F1728" s="9" t="s">
        <v>434</v>
      </c>
      <c r="G1728" s="8"/>
      <c r="H1728" s="8"/>
      <c r="I1728" s="9" t="s">
        <v>12</v>
      </c>
      <c r="J1728" s="9" t="s">
        <v>12</v>
      </c>
      <c r="K1728" s="9" t="s">
        <v>130</v>
      </c>
      <c r="L1728" s="9" t="s">
        <v>209</v>
      </c>
      <c r="M1728" s="14" t="s">
        <v>84</v>
      </c>
      <c r="N1728" s="9" t="s">
        <v>436</v>
      </c>
      <c r="O1728" s="9" t="s">
        <v>692</v>
      </c>
      <c r="P1728" s="9" t="s">
        <v>694</v>
      </c>
      <c r="Q1728" s="11"/>
      <c r="R1728" s="11"/>
      <c r="S1728" s="11">
        <v>0</v>
      </c>
      <c r="T1728" s="9"/>
      <c r="U1728" s="14" t="s">
        <v>77</v>
      </c>
      <c r="V1728" s="9"/>
      <c r="W1728" s="12"/>
      <c r="X1728" s="13"/>
      <c r="Y1728" s="13"/>
      <c r="Z1728" s="13"/>
      <c r="AA1728" s="13"/>
      <c r="AB1728" s="13"/>
      <c r="AC1728" s="13"/>
      <c r="AD1728" s="13"/>
      <c r="AE1728" s="13">
        <v>0</v>
      </c>
      <c r="AF1728" s="13"/>
      <c r="AG1728" s="13"/>
      <c r="AH1728" s="13"/>
      <c r="AI1728" s="13"/>
      <c r="AJ1728" s="13">
        <f t="shared" si="209"/>
        <v>0</v>
      </c>
      <c r="AK1728" s="12"/>
      <c r="AL1728" s="13"/>
      <c r="AM1728" s="9"/>
      <c r="AN1728" s="9"/>
      <c r="AO1728" s="9"/>
      <c r="AP1728" s="14"/>
    </row>
    <row r="1729" spans="1:42" s="45" customFormat="1" ht="22" customHeight="1">
      <c r="A1729" s="14" t="s">
        <v>17</v>
      </c>
      <c r="B1729" s="8">
        <v>2024</v>
      </c>
      <c r="C1729" s="8" t="s">
        <v>24</v>
      </c>
      <c r="D1729" s="9" t="s">
        <v>185</v>
      </c>
      <c r="E1729" s="9" t="s">
        <v>115</v>
      </c>
      <c r="F1729" s="9" t="s">
        <v>434</v>
      </c>
      <c r="G1729" s="8"/>
      <c r="H1729" s="8"/>
      <c r="I1729" s="9" t="s">
        <v>12</v>
      </c>
      <c r="J1729" s="9" t="s">
        <v>12</v>
      </c>
      <c r="K1729" s="9" t="s">
        <v>130</v>
      </c>
      <c r="L1729" s="9" t="s">
        <v>209</v>
      </c>
      <c r="M1729" s="14" t="s">
        <v>84</v>
      </c>
      <c r="N1729" s="9" t="s">
        <v>436</v>
      </c>
      <c r="O1729" s="9" t="s">
        <v>692</v>
      </c>
      <c r="P1729" s="9" t="s">
        <v>695</v>
      </c>
      <c r="Q1729" s="11"/>
      <c r="R1729" s="11"/>
      <c r="S1729" s="11">
        <v>0</v>
      </c>
      <c r="T1729" s="9"/>
      <c r="U1729" s="14" t="s">
        <v>77</v>
      </c>
      <c r="V1729" s="9"/>
      <c r="W1729" s="12"/>
      <c r="X1729" s="13"/>
      <c r="Y1729" s="13"/>
      <c r="Z1729" s="13"/>
      <c r="AA1729" s="13"/>
      <c r="AB1729" s="13"/>
      <c r="AC1729" s="13"/>
      <c r="AD1729" s="13"/>
      <c r="AE1729" s="13">
        <v>0</v>
      </c>
      <c r="AF1729" s="13"/>
      <c r="AG1729" s="13"/>
      <c r="AH1729" s="13"/>
      <c r="AI1729" s="13"/>
      <c r="AJ1729" s="13">
        <f t="shared" si="209"/>
        <v>0</v>
      </c>
      <c r="AK1729" s="12"/>
      <c r="AL1729" s="13"/>
      <c r="AM1729" s="9"/>
      <c r="AN1729" s="9"/>
      <c r="AO1729" s="9"/>
      <c r="AP1729" s="14"/>
    </row>
    <row r="1730" spans="1:42" s="45" customFormat="1" ht="22" customHeight="1">
      <c r="A1730" s="14" t="s">
        <v>17</v>
      </c>
      <c r="B1730" s="8">
        <v>2024</v>
      </c>
      <c r="C1730" s="8" t="s">
        <v>24</v>
      </c>
      <c r="D1730" s="9" t="s">
        <v>185</v>
      </c>
      <c r="E1730" s="9" t="s">
        <v>115</v>
      </c>
      <c r="F1730" s="9" t="s">
        <v>434</v>
      </c>
      <c r="G1730" s="8"/>
      <c r="H1730" s="8"/>
      <c r="I1730" s="9" t="s">
        <v>12</v>
      </c>
      <c r="J1730" s="9" t="s">
        <v>12</v>
      </c>
      <c r="K1730" s="9" t="s">
        <v>130</v>
      </c>
      <c r="L1730" s="9" t="s">
        <v>209</v>
      </c>
      <c r="M1730" s="14" t="s">
        <v>84</v>
      </c>
      <c r="N1730" s="9" t="s">
        <v>436</v>
      </c>
      <c r="O1730" s="9" t="s">
        <v>692</v>
      </c>
      <c r="P1730" s="9" t="s">
        <v>696</v>
      </c>
      <c r="Q1730" s="11"/>
      <c r="R1730" s="11"/>
      <c r="S1730" s="11">
        <v>0</v>
      </c>
      <c r="T1730" s="9"/>
      <c r="U1730" s="14" t="s">
        <v>77</v>
      </c>
      <c r="V1730" s="9"/>
      <c r="W1730" s="12"/>
      <c r="X1730" s="13"/>
      <c r="Y1730" s="13"/>
      <c r="Z1730" s="13"/>
      <c r="AA1730" s="13"/>
      <c r="AB1730" s="13"/>
      <c r="AC1730" s="13"/>
      <c r="AD1730" s="13"/>
      <c r="AE1730" s="13">
        <v>0</v>
      </c>
      <c r="AF1730" s="13"/>
      <c r="AG1730" s="13"/>
      <c r="AH1730" s="13"/>
      <c r="AI1730" s="13"/>
      <c r="AJ1730" s="13">
        <f t="shared" si="209"/>
        <v>0</v>
      </c>
      <c r="AK1730" s="12"/>
      <c r="AL1730" s="13"/>
      <c r="AM1730" s="9"/>
      <c r="AN1730" s="9"/>
      <c r="AO1730" s="9"/>
      <c r="AP1730" s="14"/>
    </row>
    <row r="1731" spans="1:42" s="45" customFormat="1" ht="22" customHeight="1">
      <c r="A1731" s="14" t="s">
        <v>17</v>
      </c>
      <c r="B1731" s="8">
        <v>2024</v>
      </c>
      <c r="C1731" s="8" t="s">
        <v>24</v>
      </c>
      <c r="D1731" s="9" t="s">
        <v>185</v>
      </c>
      <c r="E1731" s="9" t="s">
        <v>115</v>
      </c>
      <c r="F1731" s="9" t="s">
        <v>434</v>
      </c>
      <c r="G1731" s="8"/>
      <c r="H1731" s="8"/>
      <c r="I1731" s="9" t="s">
        <v>12</v>
      </c>
      <c r="J1731" s="9" t="s">
        <v>12</v>
      </c>
      <c r="K1731" s="9" t="s">
        <v>130</v>
      </c>
      <c r="L1731" s="9" t="s">
        <v>209</v>
      </c>
      <c r="M1731" s="14" t="s">
        <v>84</v>
      </c>
      <c r="N1731" s="9" t="s">
        <v>436</v>
      </c>
      <c r="O1731" s="9" t="s">
        <v>692</v>
      </c>
      <c r="P1731" s="9" t="s">
        <v>697</v>
      </c>
      <c r="Q1731" s="11"/>
      <c r="R1731" s="11"/>
      <c r="S1731" s="11">
        <v>0</v>
      </c>
      <c r="T1731" s="9"/>
      <c r="U1731" s="14" t="s">
        <v>77</v>
      </c>
      <c r="V1731" s="9"/>
      <c r="W1731" s="12"/>
      <c r="X1731" s="13"/>
      <c r="Y1731" s="13"/>
      <c r="Z1731" s="13"/>
      <c r="AA1731" s="13"/>
      <c r="AB1731" s="13"/>
      <c r="AC1731" s="13"/>
      <c r="AD1731" s="13"/>
      <c r="AE1731" s="13">
        <v>0</v>
      </c>
      <c r="AF1731" s="13"/>
      <c r="AG1731" s="13"/>
      <c r="AH1731" s="13"/>
      <c r="AI1731" s="13"/>
      <c r="AJ1731" s="13">
        <f t="shared" si="209"/>
        <v>0</v>
      </c>
      <c r="AK1731" s="12"/>
      <c r="AL1731" s="13"/>
      <c r="AM1731" s="9"/>
      <c r="AN1731" s="9"/>
      <c r="AO1731" s="9"/>
      <c r="AP1731" s="14"/>
    </row>
    <row r="1732" spans="1:42" s="45" customFormat="1" ht="22" customHeight="1">
      <c r="A1732" s="14" t="s">
        <v>17</v>
      </c>
      <c r="B1732" s="8">
        <v>2024</v>
      </c>
      <c r="C1732" s="8" t="s">
        <v>24</v>
      </c>
      <c r="D1732" s="9" t="s">
        <v>185</v>
      </c>
      <c r="E1732" s="9" t="s">
        <v>115</v>
      </c>
      <c r="F1732" s="9" t="s">
        <v>434</v>
      </c>
      <c r="G1732" s="8"/>
      <c r="H1732" s="8"/>
      <c r="I1732" s="9" t="s">
        <v>12</v>
      </c>
      <c r="J1732" s="9" t="s">
        <v>12</v>
      </c>
      <c r="K1732" s="9" t="s">
        <v>130</v>
      </c>
      <c r="L1732" s="9" t="s">
        <v>209</v>
      </c>
      <c r="M1732" s="14" t="s">
        <v>84</v>
      </c>
      <c r="N1732" s="9" t="s">
        <v>436</v>
      </c>
      <c r="O1732" s="9" t="s">
        <v>692</v>
      </c>
      <c r="P1732" s="9" t="s">
        <v>692</v>
      </c>
      <c r="Q1732" s="11"/>
      <c r="R1732" s="11"/>
      <c r="S1732" s="11">
        <v>0</v>
      </c>
      <c r="T1732" s="9"/>
      <c r="U1732" s="14" t="s">
        <v>77</v>
      </c>
      <c r="V1732" s="9"/>
      <c r="W1732" s="12"/>
      <c r="X1732" s="13"/>
      <c r="Y1732" s="13"/>
      <c r="Z1732" s="13"/>
      <c r="AA1732" s="13"/>
      <c r="AB1732" s="13"/>
      <c r="AC1732" s="13"/>
      <c r="AD1732" s="13"/>
      <c r="AE1732" s="13">
        <v>0</v>
      </c>
      <c r="AF1732" s="13"/>
      <c r="AG1732" s="13"/>
      <c r="AH1732" s="13"/>
      <c r="AI1732" s="13"/>
      <c r="AJ1732" s="13">
        <f t="shared" si="209"/>
        <v>0</v>
      </c>
      <c r="AK1732" s="12"/>
      <c r="AL1732" s="13"/>
      <c r="AM1732" s="9"/>
      <c r="AN1732" s="9"/>
      <c r="AO1732" s="9"/>
      <c r="AP1732" s="14"/>
    </row>
    <row r="1733" spans="1:42" s="45" customFormat="1" ht="22" customHeight="1">
      <c r="A1733" s="14" t="s">
        <v>17</v>
      </c>
      <c r="B1733" s="8">
        <v>2024</v>
      </c>
      <c r="C1733" s="8" t="s">
        <v>24</v>
      </c>
      <c r="D1733" s="9" t="s">
        <v>185</v>
      </c>
      <c r="E1733" s="9" t="s">
        <v>115</v>
      </c>
      <c r="F1733" s="9" t="s">
        <v>434</v>
      </c>
      <c r="G1733" s="8"/>
      <c r="H1733" s="8"/>
      <c r="I1733" s="9" t="s">
        <v>12</v>
      </c>
      <c r="J1733" s="9" t="s">
        <v>12</v>
      </c>
      <c r="K1733" s="9" t="s">
        <v>130</v>
      </c>
      <c r="L1733" s="9" t="s">
        <v>209</v>
      </c>
      <c r="M1733" s="14" t="s">
        <v>84</v>
      </c>
      <c r="N1733" s="9" t="s">
        <v>436</v>
      </c>
      <c r="O1733" s="9" t="s">
        <v>692</v>
      </c>
      <c r="P1733" s="9" t="s">
        <v>698</v>
      </c>
      <c r="Q1733" s="11"/>
      <c r="R1733" s="11"/>
      <c r="S1733" s="11">
        <v>0</v>
      </c>
      <c r="T1733" s="9"/>
      <c r="U1733" s="14" t="s">
        <v>77</v>
      </c>
      <c r="V1733" s="9"/>
      <c r="W1733" s="12"/>
      <c r="X1733" s="13"/>
      <c r="Y1733" s="13"/>
      <c r="Z1733" s="13"/>
      <c r="AA1733" s="13"/>
      <c r="AB1733" s="13"/>
      <c r="AC1733" s="13"/>
      <c r="AD1733" s="13"/>
      <c r="AE1733" s="13">
        <v>0</v>
      </c>
      <c r="AF1733" s="13"/>
      <c r="AG1733" s="13"/>
      <c r="AH1733" s="13"/>
      <c r="AI1733" s="13"/>
      <c r="AJ1733" s="13">
        <f t="shared" si="209"/>
        <v>0</v>
      </c>
      <c r="AK1733" s="12"/>
      <c r="AL1733" s="13"/>
      <c r="AM1733" s="9"/>
      <c r="AN1733" s="9"/>
      <c r="AO1733" s="9"/>
      <c r="AP1733" s="14"/>
    </row>
    <row r="1734" spans="1:42" s="45" customFormat="1" ht="22" customHeight="1">
      <c r="A1734" s="14" t="s">
        <v>17</v>
      </c>
      <c r="B1734" s="8">
        <v>2024</v>
      </c>
      <c r="C1734" s="8" t="s">
        <v>24</v>
      </c>
      <c r="D1734" s="9" t="s">
        <v>185</v>
      </c>
      <c r="E1734" s="9" t="s">
        <v>115</v>
      </c>
      <c r="F1734" s="9" t="s">
        <v>434</v>
      </c>
      <c r="G1734" s="8"/>
      <c r="H1734" s="8"/>
      <c r="I1734" s="9" t="s">
        <v>12</v>
      </c>
      <c r="J1734" s="9" t="s">
        <v>12</v>
      </c>
      <c r="K1734" s="9" t="s">
        <v>130</v>
      </c>
      <c r="L1734" s="9" t="s">
        <v>209</v>
      </c>
      <c r="M1734" s="14" t="s">
        <v>84</v>
      </c>
      <c r="N1734" s="9" t="s">
        <v>436</v>
      </c>
      <c r="O1734" s="9" t="s">
        <v>692</v>
      </c>
      <c r="P1734" s="9" t="s">
        <v>699</v>
      </c>
      <c r="Q1734" s="11"/>
      <c r="R1734" s="11"/>
      <c r="S1734" s="11">
        <v>0</v>
      </c>
      <c r="T1734" s="9"/>
      <c r="U1734" s="14" t="s">
        <v>77</v>
      </c>
      <c r="V1734" s="9"/>
      <c r="W1734" s="12"/>
      <c r="X1734" s="13"/>
      <c r="Y1734" s="13"/>
      <c r="Z1734" s="13"/>
      <c r="AA1734" s="13"/>
      <c r="AB1734" s="13"/>
      <c r="AC1734" s="13"/>
      <c r="AD1734" s="13"/>
      <c r="AE1734" s="13">
        <v>0</v>
      </c>
      <c r="AF1734" s="13"/>
      <c r="AG1734" s="13"/>
      <c r="AH1734" s="13"/>
      <c r="AI1734" s="13"/>
      <c r="AJ1734" s="13">
        <f t="shared" si="209"/>
        <v>0</v>
      </c>
      <c r="AK1734" s="12"/>
      <c r="AL1734" s="13"/>
      <c r="AM1734" s="9"/>
      <c r="AN1734" s="9"/>
      <c r="AO1734" s="9"/>
      <c r="AP1734" s="14"/>
    </row>
    <row r="1735" spans="1:42" s="45" customFormat="1" ht="22" customHeight="1">
      <c r="A1735" s="14" t="s">
        <v>17</v>
      </c>
      <c r="B1735" s="8">
        <v>2024</v>
      </c>
      <c r="C1735" s="8" t="s">
        <v>24</v>
      </c>
      <c r="D1735" s="9" t="s">
        <v>185</v>
      </c>
      <c r="E1735" s="9" t="s">
        <v>115</v>
      </c>
      <c r="F1735" s="9" t="s">
        <v>434</v>
      </c>
      <c r="G1735" s="8"/>
      <c r="H1735" s="8"/>
      <c r="I1735" s="9" t="s">
        <v>12</v>
      </c>
      <c r="J1735" s="9" t="s">
        <v>12</v>
      </c>
      <c r="K1735" s="9" t="s">
        <v>130</v>
      </c>
      <c r="L1735" s="9" t="s">
        <v>209</v>
      </c>
      <c r="M1735" s="14" t="s">
        <v>84</v>
      </c>
      <c r="N1735" s="9" t="s">
        <v>436</v>
      </c>
      <c r="O1735" s="9" t="s">
        <v>692</v>
      </c>
      <c r="P1735" s="9" t="s">
        <v>700</v>
      </c>
      <c r="Q1735" s="11"/>
      <c r="R1735" s="11"/>
      <c r="S1735" s="11">
        <v>0</v>
      </c>
      <c r="T1735" s="9"/>
      <c r="U1735" s="14" t="s">
        <v>77</v>
      </c>
      <c r="V1735" s="9"/>
      <c r="W1735" s="12"/>
      <c r="X1735" s="13"/>
      <c r="Y1735" s="13"/>
      <c r="Z1735" s="13"/>
      <c r="AA1735" s="13"/>
      <c r="AB1735" s="13"/>
      <c r="AC1735" s="13"/>
      <c r="AD1735" s="13"/>
      <c r="AE1735" s="13">
        <v>0</v>
      </c>
      <c r="AF1735" s="13"/>
      <c r="AG1735" s="13"/>
      <c r="AH1735" s="13"/>
      <c r="AI1735" s="13"/>
      <c r="AJ1735" s="13">
        <f t="shared" si="209"/>
        <v>0</v>
      </c>
      <c r="AK1735" s="12"/>
      <c r="AL1735" s="13"/>
      <c r="AM1735" s="9"/>
      <c r="AN1735" s="9"/>
      <c r="AO1735" s="9"/>
      <c r="AP1735" s="14"/>
    </row>
    <row r="1736" spans="1:42" s="45" customFormat="1" ht="22" customHeight="1">
      <c r="A1736" s="14" t="s">
        <v>17</v>
      </c>
      <c r="B1736" s="8">
        <v>2024</v>
      </c>
      <c r="C1736" s="8" t="s">
        <v>24</v>
      </c>
      <c r="D1736" s="9" t="s">
        <v>185</v>
      </c>
      <c r="E1736" s="9" t="s">
        <v>115</v>
      </c>
      <c r="F1736" s="9" t="s">
        <v>434</v>
      </c>
      <c r="G1736" s="8"/>
      <c r="H1736" s="8"/>
      <c r="I1736" s="9" t="s">
        <v>12</v>
      </c>
      <c r="J1736" s="9" t="s">
        <v>12</v>
      </c>
      <c r="K1736" s="9" t="s">
        <v>130</v>
      </c>
      <c r="L1736" s="9" t="s">
        <v>209</v>
      </c>
      <c r="M1736" s="14" t="s">
        <v>84</v>
      </c>
      <c r="N1736" s="9" t="s">
        <v>436</v>
      </c>
      <c r="O1736" s="9" t="s">
        <v>692</v>
      </c>
      <c r="P1736" s="9" t="s">
        <v>701</v>
      </c>
      <c r="Q1736" s="11"/>
      <c r="R1736" s="11"/>
      <c r="S1736" s="11">
        <v>0</v>
      </c>
      <c r="T1736" s="9"/>
      <c r="U1736" s="14" t="s">
        <v>77</v>
      </c>
      <c r="V1736" s="9"/>
      <c r="W1736" s="12"/>
      <c r="X1736" s="13"/>
      <c r="Y1736" s="13"/>
      <c r="Z1736" s="13"/>
      <c r="AA1736" s="13"/>
      <c r="AB1736" s="13"/>
      <c r="AC1736" s="13"/>
      <c r="AD1736" s="13"/>
      <c r="AE1736" s="13">
        <v>0</v>
      </c>
      <c r="AF1736" s="13"/>
      <c r="AG1736" s="13"/>
      <c r="AH1736" s="13"/>
      <c r="AI1736" s="13"/>
      <c r="AJ1736" s="13">
        <f t="shared" si="209"/>
        <v>0</v>
      </c>
      <c r="AK1736" s="12"/>
      <c r="AL1736" s="13"/>
      <c r="AM1736" s="9"/>
      <c r="AN1736" s="9"/>
      <c r="AO1736" s="9"/>
      <c r="AP1736" s="14"/>
    </row>
    <row r="1737" spans="1:42" s="45" customFormat="1" ht="22" customHeight="1">
      <c r="A1737" s="14" t="s">
        <v>17</v>
      </c>
      <c r="B1737" s="8">
        <v>2024</v>
      </c>
      <c r="C1737" s="8" t="s">
        <v>24</v>
      </c>
      <c r="D1737" s="9" t="s">
        <v>185</v>
      </c>
      <c r="E1737" s="9" t="s">
        <v>115</v>
      </c>
      <c r="F1737" s="9" t="s">
        <v>434</v>
      </c>
      <c r="G1737" s="8"/>
      <c r="H1737" s="8"/>
      <c r="I1737" s="9" t="s">
        <v>12</v>
      </c>
      <c r="J1737" s="9" t="s">
        <v>12</v>
      </c>
      <c r="K1737" s="9" t="s">
        <v>130</v>
      </c>
      <c r="L1737" s="9" t="s">
        <v>209</v>
      </c>
      <c r="M1737" s="14" t="s">
        <v>84</v>
      </c>
      <c r="N1737" s="9" t="s">
        <v>436</v>
      </c>
      <c r="O1737" s="9" t="s">
        <v>692</v>
      </c>
      <c r="P1737" s="9" t="s">
        <v>702</v>
      </c>
      <c r="Q1737" s="11"/>
      <c r="R1737" s="11"/>
      <c r="S1737" s="11">
        <v>0</v>
      </c>
      <c r="T1737" s="9"/>
      <c r="U1737" s="14" t="s">
        <v>77</v>
      </c>
      <c r="V1737" s="9"/>
      <c r="W1737" s="12"/>
      <c r="X1737" s="13"/>
      <c r="Y1737" s="13"/>
      <c r="Z1737" s="13"/>
      <c r="AA1737" s="13"/>
      <c r="AB1737" s="13"/>
      <c r="AC1737" s="13"/>
      <c r="AD1737" s="13"/>
      <c r="AE1737" s="13">
        <v>0</v>
      </c>
      <c r="AF1737" s="13"/>
      <c r="AG1737" s="13"/>
      <c r="AH1737" s="13"/>
      <c r="AI1737" s="13"/>
      <c r="AJ1737" s="13">
        <f t="shared" si="209"/>
        <v>0</v>
      </c>
      <c r="AK1737" s="12"/>
      <c r="AL1737" s="13"/>
      <c r="AM1737" s="9"/>
      <c r="AN1737" s="9"/>
      <c r="AO1737" s="9"/>
      <c r="AP1737" s="14"/>
    </row>
    <row r="1738" spans="1:42" s="45" customFormat="1" ht="22" customHeight="1">
      <c r="A1738" s="14" t="s">
        <v>17</v>
      </c>
      <c r="B1738" s="8">
        <v>2024</v>
      </c>
      <c r="C1738" s="8" t="s">
        <v>24</v>
      </c>
      <c r="D1738" s="9" t="s">
        <v>185</v>
      </c>
      <c r="E1738" s="9" t="s">
        <v>115</v>
      </c>
      <c r="F1738" s="9" t="s">
        <v>434</v>
      </c>
      <c r="G1738" s="8"/>
      <c r="H1738" s="8"/>
      <c r="I1738" s="9" t="s">
        <v>12</v>
      </c>
      <c r="J1738" s="9" t="s">
        <v>12</v>
      </c>
      <c r="K1738" s="9" t="s">
        <v>130</v>
      </c>
      <c r="L1738" s="9" t="s">
        <v>209</v>
      </c>
      <c r="M1738" s="14" t="s">
        <v>84</v>
      </c>
      <c r="N1738" s="9" t="s">
        <v>436</v>
      </c>
      <c r="O1738" s="9" t="s">
        <v>692</v>
      </c>
      <c r="P1738" s="9" t="s">
        <v>703</v>
      </c>
      <c r="Q1738" s="11"/>
      <c r="R1738" s="11"/>
      <c r="S1738" s="11">
        <v>0</v>
      </c>
      <c r="T1738" s="9"/>
      <c r="U1738" s="14" t="s">
        <v>77</v>
      </c>
      <c r="V1738" s="9"/>
      <c r="W1738" s="12"/>
      <c r="X1738" s="13"/>
      <c r="Y1738" s="13"/>
      <c r="Z1738" s="13"/>
      <c r="AA1738" s="13"/>
      <c r="AB1738" s="13"/>
      <c r="AC1738" s="13"/>
      <c r="AD1738" s="13"/>
      <c r="AE1738" s="13">
        <v>0</v>
      </c>
      <c r="AF1738" s="13"/>
      <c r="AG1738" s="13"/>
      <c r="AH1738" s="13"/>
      <c r="AI1738" s="13"/>
      <c r="AJ1738" s="13">
        <f t="shared" si="209"/>
        <v>0</v>
      </c>
      <c r="AK1738" s="12"/>
      <c r="AL1738" s="13"/>
      <c r="AM1738" s="9"/>
      <c r="AN1738" s="9"/>
      <c r="AO1738" s="9"/>
      <c r="AP1738" s="14"/>
    </row>
    <row r="1739" spans="1:42" s="45" customFormat="1" ht="22" customHeight="1">
      <c r="A1739" s="14" t="s">
        <v>17</v>
      </c>
      <c r="B1739" s="8">
        <v>2024</v>
      </c>
      <c r="C1739" s="8" t="s">
        <v>24</v>
      </c>
      <c r="D1739" s="9" t="s">
        <v>185</v>
      </c>
      <c r="E1739" s="9" t="s">
        <v>115</v>
      </c>
      <c r="F1739" s="9" t="s">
        <v>434</v>
      </c>
      <c r="G1739" s="8"/>
      <c r="H1739" s="8"/>
      <c r="I1739" s="9" t="s">
        <v>12</v>
      </c>
      <c r="J1739" s="9" t="s">
        <v>12</v>
      </c>
      <c r="K1739" s="9" t="s">
        <v>130</v>
      </c>
      <c r="L1739" s="9" t="s">
        <v>209</v>
      </c>
      <c r="M1739" s="14" t="s">
        <v>84</v>
      </c>
      <c r="N1739" s="9" t="s">
        <v>436</v>
      </c>
      <c r="O1739" s="9" t="s">
        <v>692</v>
      </c>
      <c r="P1739" s="9" t="s">
        <v>704</v>
      </c>
      <c r="Q1739" s="11"/>
      <c r="R1739" s="11"/>
      <c r="S1739" s="11">
        <v>0</v>
      </c>
      <c r="T1739" s="9"/>
      <c r="U1739" s="14" t="s">
        <v>77</v>
      </c>
      <c r="V1739" s="9"/>
      <c r="W1739" s="12"/>
      <c r="X1739" s="13"/>
      <c r="Y1739" s="13"/>
      <c r="Z1739" s="13"/>
      <c r="AA1739" s="13"/>
      <c r="AB1739" s="13"/>
      <c r="AC1739" s="13"/>
      <c r="AD1739" s="13"/>
      <c r="AE1739" s="13">
        <v>0</v>
      </c>
      <c r="AF1739" s="13"/>
      <c r="AG1739" s="13"/>
      <c r="AH1739" s="13"/>
      <c r="AI1739" s="13"/>
      <c r="AJ1739" s="13">
        <f t="shared" si="209"/>
        <v>0</v>
      </c>
      <c r="AK1739" s="12"/>
      <c r="AL1739" s="13"/>
      <c r="AM1739" s="9"/>
      <c r="AN1739" s="9"/>
      <c r="AO1739" s="9"/>
      <c r="AP1739" s="14"/>
    </row>
    <row r="1740" spans="1:42" s="45" customFormat="1" ht="22" customHeight="1">
      <c r="A1740" s="14" t="s">
        <v>17</v>
      </c>
      <c r="B1740" s="8">
        <v>2024</v>
      </c>
      <c r="C1740" s="8" t="s">
        <v>24</v>
      </c>
      <c r="D1740" s="9" t="s">
        <v>185</v>
      </c>
      <c r="E1740" s="9" t="s">
        <v>115</v>
      </c>
      <c r="F1740" s="9" t="s">
        <v>434</v>
      </c>
      <c r="G1740" s="8"/>
      <c r="H1740" s="8"/>
      <c r="I1740" s="9" t="s">
        <v>12</v>
      </c>
      <c r="J1740" s="9" t="s">
        <v>12</v>
      </c>
      <c r="K1740" s="9" t="s">
        <v>130</v>
      </c>
      <c r="L1740" s="9" t="s">
        <v>209</v>
      </c>
      <c r="M1740" s="14" t="s">
        <v>84</v>
      </c>
      <c r="N1740" s="9" t="s">
        <v>436</v>
      </c>
      <c r="O1740" s="9" t="s">
        <v>692</v>
      </c>
      <c r="P1740" s="9" t="s">
        <v>705</v>
      </c>
      <c r="Q1740" s="11"/>
      <c r="R1740" s="11"/>
      <c r="S1740" s="11">
        <v>0</v>
      </c>
      <c r="T1740" s="9"/>
      <c r="U1740" s="14" t="s">
        <v>77</v>
      </c>
      <c r="V1740" s="9"/>
      <c r="W1740" s="12"/>
      <c r="X1740" s="13"/>
      <c r="Y1740" s="13"/>
      <c r="Z1740" s="13"/>
      <c r="AA1740" s="13"/>
      <c r="AB1740" s="13"/>
      <c r="AC1740" s="13"/>
      <c r="AD1740" s="13"/>
      <c r="AE1740" s="13">
        <v>0</v>
      </c>
      <c r="AF1740" s="13"/>
      <c r="AG1740" s="13"/>
      <c r="AH1740" s="13"/>
      <c r="AI1740" s="13"/>
      <c r="AJ1740" s="13">
        <f t="shared" si="209"/>
        <v>0</v>
      </c>
      <c r="AK1740" s="12"/>
      <c r="AL1740" s="13"/>
      <c r="AM1740" s="9"/>
      <c r="AN1740" s="9"/>
      <c r="AO1740" s="9"/>
      <c r="AP1740" s="14"/>
    </row>
    <row r="1741" spans="1:42" s="45" customFormat="1" ht="22" customHeight="1">
      <c r="A1741" s="14" t="s">
        <v>17</v>
      </c>
      <c r="B1741" s="8">
        <v>2024</v>
      </c>
      <c r="C1741" s="8" t="s">
        <v>24</v>
      </c>
      <c r="D1741" s="9" t="s">
        <v>185</v>
      </c>
      <c r="E1741" s="9" t="s">
        <v>115</v>
      </c>
      <c r="F1741" s="9" t="s">
        <v>434</v>
      </c>
      <c r="G1741" s="8"/>
      <c r="H1741" s="8"/>
      <c r="I1741" s="9" t="s">
        <v>12</v>
      </c>
      <c r="J1741" s="9" t="s">
        <v>12</v>
      </c>
      <c r="K1741" s="9" t="s">
        <v>130</v>
      </c>
      <c r="L1741" s="9" t="s">
        <v>209</v>
      </c>
      <c r="M1741" s="14" t="s">
        <v>84</v>
      </c>
      <c r="N1741" s="9" t="s">
        <v>436</v>
      </c>
      <c r="O1741" s="9" t="s">
        <v>706</v>
      </c>
      <c r="P1741" s="9" t="s">
        <v>707</v>
      </c>
      <c r="Q1741" s="11"/>
      <c r="R1741" s="11"/>
      <c r="S1741" s="11">
        <v>0</v>
      </c>
      <c r="T1741" s="9"/>
      <c r="U1741" s="14" t="s">
        <v>77</v>
      </c>
      <c r="V1741" s="9"/>
      <c r="W1741" s="12"/>
      <c r="X1741" s="13"/>
      <c r="Y1741" s="13"/>
      <c r="Z1741" s="13"/>
      <c r="AA1741" s="13"/>
      <c r="AB1741" s="13"/>
      <c r="AC1741" s="13"/>
      <c r="AD1741" s="13"/>
      <c r="AE1741" s="13">
        <v>0</v>
      </c>
      <c r="AF1741" s="13"/>
      <c r="AG1741" s="13"/>
      <c r="AH1741" s="13"/>
      <c r="AI1741" s="13"/>
      <c r="AJ1741" s="13">
        <f t="shared" si="209"/>
        <v>0</v>
      </c>
      <c r="AK1741" s="12"/>
      <c r="AL1741" s="13"/>
      <c r="AM1741" s="9"/>
      <c r="AN1741" s="9"/>
      <c r="AO1741" s="9"/>
      <c r="AP1741" s="14"/>
    </row>
    <row r="1742" spans="1:42" s="45" customFormat="1" ht="22" customHeight="1">
      <c r="A1742" s="14" t="s">
        <v>17</v>
      </c>
      <c r="B1742" s="8">
        <v>2024</v>
      </c>
      <c r="C1742" s="8" t="s">
        <v>24</v>
      </c>
      <c r="D1742" s="9" t="s">
        <v>185</v>
      </c>
      <c r="E1742" s="9" t="s">
        <v>115</v>
      </c>
      <c r="F1742" s="9" t="s">
        <v>434</v>
      </c>
      <c r="G1742" s="8"/>
      <c r="H1742" s="8"/>
      <c r="I1742" s="9" t="s">
        <v>12</v>
      </c>
      <c r="J1742" s="9" t="s">
        <v>12</v>
      </c>
      <c r="K1742" s="9" t="s">
        <v>130</v>
      </c>
      <c r="L1742" s="9" t="s">
        <v>209</v>
      </c>
      <c r="M1742" s="14" t="s">
        <v>84</v>
      </c>
      <c r="N1742" s="9" t="s">
        <v>436</v>
      </c>
      <c r="O1742" s="9" t="s">
        <v>706</v>
      </c>
      <c r="P1742" s="9" t="s">
        <v>708</v>
      </c>
      <c r="Q1742" s="11"/>
      <c r="R1742" s="11"/>
      <c r="S1742" s="11">
        <v>0</v>
      </c>
      <c r="T1742" s="9"/>
      <c r="U1742" s="14" t="s">
        <v>77</v>
      </c>
      <c r="V1742" s="9"/>
      <c r="W1742" s="12"/>
      <c r="X1742" s="13"/>
      <c r="Y1742" s="13"/>
      <c r="Z1742" s="13"/>
      <c r="AA1742" s="13"/>
      <c r="AB1742" s="13"/>
      <c r="AC1742" s="13"/>
      <c r="AD1742" s="13"/>
      <c r="AE1742" s="13">
        <v>0</v>
      </c>
      <c r="AF1742" s="13"/>
      <c r="AG1742" s="13"/>
      <c r="AH1742" s="13"/>
      <c r="AI1742" s="13"/>
      <c r="AJ1742" s="13">
        <f t="shared" si="209"/>
        <v>0</v>
      </c>
      <c r="AK1742" s="12"/>
      <c r="AL1742" s="13"/>
      <c r="AM1742" s="9"/>
      <c r="AN1742" s="9"/>
      <c r="AO1742" s="9"/>
      <c r="AP1742" s="14"/>
    </row>
    <row r="1743" spans="1:42" s="45" customFormat="1" ht="22" customHeight="1">
      <c r="A1743" s="14" t="s">
        <v>17</v>
      </c>
      <c r="B1743" s="8">
        <v>2024</v>
      </c>
      <c r="C1743" s="8" t="s">
        <v>24</v>
      </c>
      <c r="D1743" s="9" t="s">
        <v>185</v>
      </c>
      <c r="E1743" s="9" t="s">
        <v>115</v>
      </c>
      <c r="F1743" s="9" t="s">
        <v>434</v>
      </c>
      <c r="G1743" s="8"/>
      <c r="H1743" s="8"/>
      <c r="I1743" s="9" t="s">
        <v>12</v>
      </c>
      <c r="J1743" s="9" t="s">
        <v>12</v>
      </c>
      <c r="K1743" s="9" t="s">
        <v>130</v>
      </c>
      <c r="L1743" s="9" t="s">
        <v>209</v>
      </c>
      <c r="M1743" s="14" t="s">
        <v>84</v>
      </c>
      <c r="N1743" s="9" t="s">
        <v>436</v>
      </c>
      <c r="O1743" s="9" t="s">
        <v>706</v>
      </c>
      <c r="P1743" s="9" t="s">
        <v>709</v>
      </c>
      <c r="Q1743" s="11"/>
      <c r="R1743" s="11"/>
      <c r="S1743" s="11">
        <v>0</v>
      </c>
      <c r="T1743" s="9"/>
      <c r="U1743" s="14" t="s">
        <v>77</v>
      </c>
      <c r="V1743" s="9"/>
      <c r="W1743" s="12"/>
      <c r="X1743" s="13"/>
      <c r="Y1743" s="13"/>
      <c r="Z1743" s="13"/>
      <c r="AA1743" s="13"/>
      <c r="AB1743" s="13"/>
      <c r="AC1743" s="13"/>
      <c r="AD1743" s="13"/>
      <c r="AE1743" s="13">
        <v>0</v>
      </c>
      <c r="AF1743" s="13"/>
      <c r="AG1743" s="13"/>
      <c r="AH1743" s="13"/>
      <c r="AI1743" s="13"/>
      <c r="AJ1743" s="13">
        <f t="shared" si="209"/>
        <v>0</v>
      </c>
      <c r="AK1743" s="12"/>
      <c r="AL1743" s="13"/>
      <c r="AM1743" s="9"/>
      <c r="AN1743" s="9"/>
      <c r="AO1743" s="9"/>
      <c r="AP1743" s="14"/>
    </row>
    <row r="1744" spans="1:42" s="45" customFormat="1" ht="22" customHeight="1">
      <c r="A1744" s="14" t="s">
        <v>17</v>
      </c>
      <c r="B1744" s="8">
        <v>2024</v>
      </c>
      <c r="C1744" s="8" t="s">
        <v>24</v>
      </c>
      <c r="D1744" s="9" t="s">
        <v>185</v>
      </c>
      <c r="E1744" s="9" t="s">
        <v>115</v>
      </c>
      <c r="F1744" s="9" t="s">
        <v>434</v>
      </c>
      <c r="G1744" s="8"/>
      <c r="H1744" s="8"/>
      <c r="I1744" s="9" t="s">
        <v>12</v>
      </c>
      <c r="J1744" s="9" t="s">
        <v>12</v>
      </c>
      <c r="K1744" s="9" t="s">
        <v>130</v>
      </c>
      <c r="L1744" s="9" t="s">
        <v>209</v>
      </c>
      <c r="M1744" s="14" t="s">
        <v>84</v>
      </c>
      <c r="N1744" s="9" t="s">
        <v>436</v>
      </c>
      <c r="O1744" s="9" t="s">
        <v>706</v>
      </c>
      <c r="P1744" s="9" t="s">
        <v>710</v>
      </c>
      <c r="Q1744" s="11"/>
      <c r="R1744" s="11"/>
      <c r="S1744" s="11">
        <v>0</v>
      </c>
      <c r="T1744" s="9"/>
      <c r="U1744" s="14" t="s">
        <v>77</v>
      </c>
      <c r="V1744" s="9"/>
      <c r="W1744" s="12"/>
      <c r="X1744" s="13"/>
      <c r="Y1744" s="13"/>
      <c r="Z1744" s="13"/>
      <c r="AA1744" s="13"/>
      <c r="AB1744" s="13"/>
      <c r="AC1744" s="13"/>
      <c r="AD1744" s="13"/>
      <c r="AE1744" s="13">
        <v>0</v>
      </c>
      <c r="AF1744" s="13"/>
      <c r="AG1744" s="13"/>
      <c r="AH1744" s="13"/>
      <c r="AI1744" s="13"/>
      <c r="AJ1744" s="13">
        <f t="shared" si="209"/>
        <v>0</v>
      </c>
      <c r="AK1744" s="12"/>
      <c r="AL1744" s="13"/>
      <c r="AM1744" s="9"/>
      <c r="AN1744" s="9"/>
      <c r="AO1744" s="9"/>
      <c r="AP1744" s="14"/>
    </row>
    <row r="1745" spans="1:42" s="45" customFormat="1" ht="22" customHeight="1">
      <c r="A1745" s="14" t="s">
        <v>17</v>
      </c>
      <c r="B1745" s="8">
        <v>2024</v>
      </c>
      <c r="C1745" s="8" t="s">
        <v>24</v>
      </c>
      <c r="D1745" s="9" t="s">
        <v>185</v>
      </c>
      <c r="E1745" s="9" t="s">
        <v>115</v>
      </c>
      <c r="F1745" s="9" t="s">
        <v>434</v>
      </c>
      <c r="G1745" s="8"/>
      <c r="H1745" s="8"/>
      <c r="I1745" s="9" t="s">
        <v>12</v>
      </c>
      <c r="J1745" s="9" t="s">
        <v>12</v>
      </c>
      <c r="K1745" s="9" t="s">
        <v>130</v>
      </c>
      <c r="L1745" s="9" t="s">
        <v>209</v>
      </c>
      <c r="M1745" s="14" t="s">
        <v>84</v>
      </c>
      <c r="N1745" s="9" t="s">
        <v>436</v>
      </c>
      <c r="O1745" s="9" t="s">
        <v>706</v>
      </c>
      <c r="P1745" s="9" t="s">
        <v>711</v>
      </c>
      <c r="Q1745" s="11"/>
      <c r="R1745" s="11"/>
      <c r="S1745" s="11">
        <v>0</v>
      </c>
      <c r="T1745" s="9"/>
      <c r="U1745" s="14" t="s">
        <v>77</v>
      </c>
      <c r="V1745" s="9"/>
      <c r="W1745" s="12"/>
      <c r="X1745" s="13"/>
      <c r="Y1745" s="13"/>
      <c r="Z1745" s="13"/>
      <c r="AA1745" s="13"/>
      <c r="AB1745" s="13"/>
      <c r="AC1745" s="13"/>
      <c r="AD1745" s="13"/>
      <c r="AE1745" s="13">
        <v>0</v>
      </c>
      <c r="AF1745" s="13"/>
      <c r="AG1745" s="13"/>
      <c r="AH1745" s="13"/>
      <c r="AI1745" s="13"/>
      <c r="AJ1745" s="13">
        <f t="shared" si="209"/>
        <v>0</v>
      </c>
      <c r="AK1745" s="12"/>
      <c r="AL1745" s="13"/>
      <c r="AM1745" s="9"/>
      <c r="AN1745" s="9"/>
      <c r="AO1745" s="9"/>
      <c r="AP1745" s="14"/>
    </row>
    <row r="1746" spans="1:42" s="45" customFormat="1" ht="22" customHeight="1">
      <c r="A1746" s="14" t="s">
        <v>17</v>
      </c>
      <c r="B1746" s="8">
        <v>2024</v>
      </c>
      <c r="C1746" s="8" t="s">
        <v>24</v>
      </c>
      <c r="D1746" s="9" t="s">
        <v>185</v>
      </c>
      <c r="E1746" s="9" t="s">
        <v>115</v>
      </c>
      <c r="F1746" s="9" t="s">
        <v>434</v>
      </c>
      <c r="G1746" s="8"/>
      <c r="H1746" s="8"/>
      <c r="I1746" s="9" t="s">
        <v>12</v>
      </c>
      <c r="J1746" s="9" t="s">
        <v>12</v>
      </c>
      <c r="K1746" s="9" t="s">
        <v>130</v>
      </c>
      <c r="L1746" s="9" t="s">
        <v>209</v>
      </c>
      <c r="M1746" s="14" t="s">
        <v>84</v>
      </c>
      <c r="N1746" s="9" t="s">
        <v>436</v>
      </c>
      <c r="O1746" s="9" t="s">
        <v>706</v>
      </c>
      <c r="P1746" s="9" t="s">
        <v>712</v>
      </c>
      <c r="Q1746" s="11"/>
      <c r="R1746" s="11"/>
      <c r="S1746" s="11">
        <v>0</v>
      </c>
      <c r="T1746" s="9"/>
      <c r="U1746" s="14" t="s">
        <v>77</v>
      </c>
      <c r="V1746" s="9"/>
      <c r="W1746" s="12"/>
      <c r="X1746" s="13"/>
      <c r="Y1746" s="13"/>
      <c r="Z1746" s="13"/>
      <c r="AA1746" s="13"/>
      <c r="AB1746" s="13"/>
      <c r="AC1746" s="13"/>
      <c r="AD1746" s="13"/>
      <c r="AE1746" s="13">
        <v>0</v>
      </c>
      <c r="AF1746" s="13"/>
      <c r="AG1746" s="13"/>
      <c r="AH1746" s="13"/>
      <c r="AI1746" s="13"/>
      <c r="AJ1746" s="13">
        <f t="shared" si="209"/>
        <v>0</v>
      </c>
      <c r="AK1746" s="12"/>
      <c r="AL1746" s="13"/>
      <c r="AM1746" s="9"/>
      <c r="AN1746" s="9"/>
      <c r="AO1746" s="9"/>
      <c r="AP1746" s="14"/>
    </row>
    <row r="1747" spans="1:42" s="45" customFormat="1" ht="22" customHeight="1">
      <c r="A1747" s="14" t="s">
        <v>17</v>
      </c>
      <c r="B1747" s="8">
        <v>2024</v>
      </c>
      <c r="C1747" s="8" t="s">
        <v>24</v>
      </c>
      <c r="D1747" s="9" t="s">
        <v>185</v>
      </c>
      <c r="E1747" s="9" t="s">
        <v>115</v>
      </c>
      <c r="F1747" s="9" t="s">
        <v>434</v>
      </c>
      <c r="G1747" s="8"/>
      <c r="H1747" s="8"/>
      <c r="I1747" s="9" t="s">
        <v>12</v>
      </c>
      <c r="J1747" s="9" t="s">
        <v>12</v>
      </c>
      <c r="K1747" s="9" t="s">
        <v>130</v>
      </c>
      <c r="L1747" s="9" t="s">
        <v>209</v>
      </c>
      <c r="M1747" s="14" t="s">
        <v>84</v>
      </c>
      <c r="N1747" s="9" t="s">
        <v>436</v>
      </c>
      <c r="O1747" s="9" t="s">
        <v>706</v>
      </c>
      <c r="P1747" s="9" t="s">
        <v>713</v>
      </c>
      <c r="Q1747" s="11"/>
      <c r="R1747" s="11"/>
      <c r="S1747" s="11">
        <v>0</v>
      </c>
      <c r="T1747" s="9"/>
      <c r="U1747" s="14" t="s">
        <v>77</v>
      </c>
      <c r="V1747" s="9"/>
      <c r="W1747" s="12"/>
      <c r="X1747" s="13"/>
      <c r="Y1747" s="13"/>
      <c r="Z1747" s="13"/>
      <c r="AA1747" s="13"/>
      <c r="AB1747" s="13"/>
      <c r="AC1747" s="13"/>
      <c r="AD1747" s="13"/>
      <c r="AE1747" s="13">
        <v>0</v>
      </c>
      <c r="AF1747" s="13"/>
      <c r="AG1747" s="13"/>
      <c r="AH1747" s="13"/>
      <c r="AI1747" s="13"/>
      <c r="AJ1747" s="13">
        <f t="shared" si="209"/>
        <v>0</v>
      </c>
      <c r="AK1747" s="12"/>
      <c r="AL1747" s="13"/>
      <c r="AM1747" s="9"/>
      <c r="AN1747" s="9"/>
      <c r="AO1747" s="9"/>
      <c r="AP1747" s="14"/>
    </row>
    <row r="1748" spans="1:42" s="45" customFormat="1" ht="22" customHeight="1">
      <c r="A1748" s="14" t="s">
        <v>17</v>
      </c>
      <c r="B1748" s="8">
        <v>2024</v>
      </c>
      <c r="C1748" s="8" t="s">
        <v>24</v>
      </c>
      <c r="D1748" s="9" t="s">
        <v>185</v>
      </c>
      <c r="E1748" s="9" t="s">
        <v>115</v>
      </c>
      <c r="F1748" s="9" t="s">
        <v>434</v>
      </c>
      <c r="G1748" s="8"/>
      <c r="H1748" s="8"/>
      <c r="I1748" s="9" t="s">
        <v>12</v>
      </c>
      <c r="J1748" s="9" t="s">
        <v>12</v>
      </c>
      <c r="K1748" s="9" t="s">
        <v>130</v>
      </c>
      <c r="L1748" s="9" t="s">
        <v>209</v>
      </c>
      <c r="M1748" s="14" t="s">
        <v>84</v>
      </c>
      <c r="N1748" s="9" t="s">
        <v>436</v>
      </c>
      <c r="O1748" s="9" t="s">
        <v>706</v>
      </c>
      <c r="P1748" s="9" t="s">
        <v>714</v>
      </c>
      <c r="Q1748" s="11"/>
      <c r="R1748" s="11"/>
      <c r="S1748" s="11">
        <v>0</v>
      </c>
      <c r="T1748" s="9"/>
      <c r="U1748" s="14" t="s">
        <v>77</v>
      </c>
      <c r="V1748" s="9"/>
      <c r="W1748" s="12"/>
      <c r="X1748" s="13"/>
      <c r="Y1748" s="13"/>
      <c r="Z1748" s="13"/>
      <c r="AA1748" s="13"/>
      <c r="AB1748" s="13"/>
      <c r="AC1748" s="13"/>
      <c r="AD1748" s="13"/>
      <c r="AE1748" s="13">
        <v>0</v>
      </c>
      <c r="AF1748" s="13"/>
      <c r="AG1748" s="13"/>
      <c r="AH1748" s="13"/>
      <c r="AI1748" s="13"/>
      <c r="AJ1748" s="13">
        <f t="shared" si="209"/>
        <v>0</v>
      </c>
      <c r="AK1748" s="12"/>
      <c r="AL1748" s="13"/>
      <c r="AM1748" s="9"/>
      <c r="AN1748" s="9"/>
      <c r="AO1748" s="9"/>
      <c r="AP1748" s="14"/>
    </row>
    <row r="1749" spans="1:42" s="45" customFormat="1" ht="22" customHeight="1">
      <c r="A1749" s="14" t="s">
        <v>17</v>
      </c>
      <c r="B1749" s="8">
        <v>2024</v>
      </c>
      <c r="C1749" s="8" t="s">
        <v>24</v>
      </c>
      <c r="D1749" s="9" t="s">
        <v>185</v>
      </c>
      <c r="E1749" s="9" t="s">
        <v>115</v>
      </c>
      <c r="F1749" s="9" t="s">
        <v>434</v>
      </c>
      <c r="G1749" s="8"/>
      <c r="H1749" s="8"/>
      <c r="I1749" s="9" t="s">
        <v>12</v>
      </c>
      <c r="J1749" s="9" t="s">
        <v>12</v>
      </c>
      <c r="K1749" s="9" t="s">
        <v>130</v>
      </c>
      <c r="L1749" s="9" t="s">
        <v>209</v>
      </c>
      <c r="M1749" s="14" t="s">
        <v>84</v>
      </c>
      <c r="N1749" s="9" t="s">
        <v>436</v>
      </c>
      <c r="O1749" s="9" t="s">
        <v>706</v>
      </c>
      <c r="P1749" s="9" t="s">
        <v>706</v>
      </c>
      <c r="Q1749" s="11"/>
      <c r="R1749" s="11"/>
      <c r="S1749" s="11">
        <v>0</v>
      </c>
      <c r="T1749" s="9"/>
      <c r="U1749" s="14" t="s">
        <v>77</v>
      </c>
      <c r="V1749" s="9"/>
      <c r="W1749" s="12"/>
      <c r="X1749" s="13"/>
      <c r="Y1749" s="13"/>
      <c r="Z1749" s="13"/>
      <c r="AA1749" s="13"/>
      <c r="AB1749" s="13"/>
      <c r="AC1749" s="13"/>
      <c r="AD1749" s="13"/>
      <c r="AE1749" s="13">
        <v>0</v>
      </c>
      <c r="AF1749" s="13"/>
      <c r="AG1749" s="13"/>
      <c r="AH1749" s="13"/>
      <c r="AI1749" s="13"/>
      <c r="AJ1749" s="13">
        <f t="shared" si="209"/>
        <v>0</v>
      </c>
      <c r="AK1749" s="12"/>
      <c r="AL1749" s="13"/>
      <c r="AM1749" s="9"/>
      <c r="AN1749" s="9"/>
      <c r="AO1749" s="9"/>
      <c r="AP1749" s="14"/>
    </row>
    <row r="1750" spans="1:42" s="45" customFormat="1" ht="22" customHeight="1">
      <c r="A1750" s="14" t="s">
        <v>17</v>
      </c>
      <c r="B1750" s="8">
        <v>2024</v>
      </c>
      <c r="C1750" s="8" t="s">
        <v>24</v>
      </c>
      <c r="D1750" s="9" t="s">
        <v>185</v>
      </c>
      <c r="E1750" s="9" t="s">
        <v>115</v>
      </c>
      <c r="F1750" s="9" t="s">
        <v>434</v>
      </c>
      <c r="G1750" s="8"/>
      <c r="H1750" s="8"/>
      <c r="I1750" s="9" t="s">
        <v>12</v>
      </c>
      <c r="J1750" s="9" t="s">
        <v>12</v>
      </c>
      <c r="K1750" s="9" t="s">
        <v>130</v>
      </c>
      <c r="L1750" s="9" t="s">
        <v>209</v>
      </c>
      <c r="M1750" s="14" t="s">
        <v>84</v>
      </c>
      <c r="N1750" s="9" t="s">
        <v>436</v>
      </c>
      <c r="O1750" s="9" t="s">
        <v>706</v>
      </c>
      <c r="P1750" s="9" t="s">
        <v>715</v>
      </c>
      <c r="Q1750" s="11"/>
      <c r="R1750" s="11"/>
      <c r="S1750" s="11">
        <v>0</v>
      </c>
      <c r="T1750" s="9"/>
      <c r="U1750" s="14" t="s">
        <v>77</v>
      </c>
      <c r="V1750" s="9"/>
      <c r="W1750" s="12"/>
      <c r="X1750" s="13"/>
      <c r="Y1750" s="13"/>
      <c r="Z1750" s="13"/>
      <c r="AA1750" s="13"/>
      <c r="AB1750" s="13"/>
      <c r="AC1750" s="13"/>
      <c r="AD1750" s="13"/>
      <c r="AE1750" s="13">
        <v>0</v>
      </c>
      <c r="AF1750" s="13"/>
      <c r="AG1750" s="13"/>
      <c r="AH1750" s="13"/>
      <c r="AI1750" s="13"/>
      <c r="AJ1750" s="13">
        <f t="shared" si="209"/>
        <v>0</v>
      </c>
      <c r="AK1750" s="12"/>
      <c r="AL1750" s="13"/>
      <c r="AM1750" s="9"/>
      <c r="AN1750" s="9"/>
      <c r="AO1750" s="9"/>
      <c r="AP1750" s="14"/>
    </row>
    <row r="1751" spans="1:42" s="45" customFormat="1" ht="22" customHeight="1">
      <c r="A1751" s="14" t="s">
        <v>17</v>
      </c>
      <c r="B1751" s="8">
        <v>2024</v>
      </c>
      <c r="C1751" s="8" t="s">
        <v>24</v>
      </c>
      <c r="D1751" s="9" t="s">
        <v>185</v>
      </c>
      <c r="E1751" s="9" t="s">
        <v>115</v>
      </c>
      <c r="F1751" s="9" t="s">
        <v>434</v>
      </c>
      <c r="G1751" s="8"/>
      <c r="H1751" s="8"/>
      <c r="I1751" s="9" t="s">
        <v>12</v>
      </c>
      <c r="J1751" s="9" t="s">
        <v>12</v>
      </c>
      <c r="K1751" s="9" t="s">
        <v>130</v>
      </c>
      <c r="L1751" s="9" t="s">
        <v>209</v>
      </c>
      <c r="M1751" s="14" t="s">
        <v>84</v>
      </c>
      <c r="N1751" s="9" t="s">
        <v>436</v>
      </c>
      <c r="O1751" s="9" t="s">
        <v>706</v>
      </c>
      <c r="P1751" s="9" t="s">
        <v>716</v>
      </c>
      <c r="Q1751" s="11"/>
      <c r="R1751" s="11"/>
      <c r="S1751" s="11">
        <v>0</v>
      </c>
      <c r="T1751" s="9"/>
      <c r="U1751" s="14" t="s">
        <v>77</v>
      </c>
      <c r="V1751" s="9"/>
      <c r="W1751" s="12"/>
      <c r="X1751" s="13"/>
      <c r="Y1751" s="13"/>
      <c r="Z1751" s="13"/>
      <c r="AA1751" s="13"/>
      <c r="AB1751" s="13"/>
      <c r="AC1751" s="13"/>
      <c r="AD1751" s="13"/>
      <c r="AE1751" s="13">
        <v>0</v>
      </c>
      <c r="AF1751" s="13"/>
      <c r="AG1751" s="13"/>
      <c r="AH1751" s="13"/>
      <c r="AI1751" s="13"/>
      <c r="AJ1751" s="13">
        <f t="shared" si="209"/>
        <v>0</v>
      </c>
      <c r="AK1751" s="12"/>
      <c r="AL1751" s="13"/>
      <c r="AM1751" s="9"/>
      <c r="AN1751" s="9"/>
      <c r="AO1751" s="9"/>
      <c r="AP1751" s="14"/>
    </row>
    <row r="1752" spans="1:42" s="45" customFormat="1" ht="22" customHeight="1">
      <c r="A1752" s="14" t="s">
        <v>17</v>
      </c>
      <c r="B1752" s="8">
        <v>2024</v>
      </c>
      <c r="C1752" s="8" t="s">
        <v>24</v>
      </c>
      <c r="D1752" s="9" t="s">
        <v>185</v>
      </c>
      <c r="E1752" s="9" t="s">
        <v>115</v>
      </c>
      <c r="F1752" s="9" t="s">
        <v>434</v>
      </c>
      <c r="G1752" s="8"/>
      <c r="H1752" s="8"/>
      <c r="I1752" s="9" t="s">
        <v>12</v>
      </c>
      <c r="J1752" s="9" t="s">
        <v>12</v>
      </c>
      <c r="K1752" s="9" t="s">
        <v>130</v>
      </c>
      <c r="L1752" s="9" t="s">
        <v>209</v>
      </c>
      <c r="M1752" s="14" t="s">
        <v>84</v>
      </c>
      <c r="N1752" s="9" t="s">
        <v>436</v>
      </c>
      <c r="O1752" s="9" t="s">
        <v>706</v>
      </c>
      <c r="P1752" s="9" t="s">
        <v>717</v>
      </c>
      <c r="Q1752" s="11"/>
      <c r="R1752" s="11"/>
      <c r="S1752" s="11">
        <v>0</v>
      </c>
      <c r="T1752" s="9"/>
      <c r="U1752" s="14" t="s">
        <v>77</v>
      </c>
      <c r="V1752" s="9"/>
      <c r="W1752" s="12"/>
      <c r="X1752" s="13"/>
      <c r="Y1752" s="13"/>
      <c r="Z1752" s="13"/>
      <c r="AA1752" s="13"/>
      <c r="AB1752" s="13"/>
      <c r="AC1752" s="13"/>
      <c r="AD1752" s="13"/>
      <c r="AE1752" s="13">
        <v>0</v>
      </c>
      <c r="AF1752" s="13"/>
      <c r="AG1752" s="13"/>
      <c r="AH1752" s="13"/>
      <c r="AI1752" s="13"/>
      <c r="AJ1752" s="13">
        <f t="shared" si="209"/>
        <v>0</v>
      </c>
      <c r="AK1752" s="12"/>
      <c r="AL1752" s="13"/>
      <c r="AM1752" s="9"/>
      <c r="AN1752" s="9"/>
      <c r="AO1752" s="9"/>
      <c r="AP1752" s="14"/>
    </row>
    <row r="1753" spans="1:42" s="45" customFormat="1" ht="22" customHeight="1">
      <c r="A1753" s="14" t="s">
        <v>17</v>
      </c>
      <c r="B1753" s="8">
        <v>2024</v>
      </c>
      <c r="C1753" s="8" t="s">
        <v>24</v>
      </c>
      <c r="D1753" s="9" t="s">
        <v>185</v>
      </c>
      <c r="E1753" s="9" t="s">
        <v>115</v>
      </c>
      <c r="F1753" s="9" t="s">
        <v>434</v>
      </c>
      <c r="G1753" s="8"/>
      <c r="H1753" s="8"/>
      <c r="I1753" s="9" t="s">
        <v>12</v>
      </c>
      <c r="J1753" s="9" t="s">
        <v>12</v>
      </c>
      <c r="K1753" s="9" t="s">
        <v>130</v>
      </c>
      <c r="L1753" s="9" t="s">
        <v>209</v>
      </c>
      <c r="M1753" s="14" t="s">
        <v>84</v>
      </c>
      <c r="N1753" s="9" t="s">
        <v>436</v>
      </c>
      <c r="O1753" s="9" t="s">
        <v>706</v>
      </c>
      <c r="P1753" s="9" t="s">
        <v>718</v>
      </c>
      <c r="Q1753" s="11"/>
      <c r="R1753" s="11"/>
      <c r="S1753" s="11">
        <v>0</v>
      </c>
      <c r="T1753" s="9"/>
      <c r="U1753" s="14" t="s">
        <v>77</v>
      </c>
      <c r="V1753" s="9"/>
      <c r="W1753" s="12"/>
      <c r="X1753" s="13"/>
      <c r="Y1753" s="13"/>
      <c r="Z1753" s="13"/>
      <c r="AA1753" s="13"/>
      <c r="AB1753" s="13"/>
      <c r="AC1753" s="13"/>
      <c r="AD1753" s="13"/>
      <c r="AE1753" s="13">
        <v>0</v>
      </c>
      <c r="AF1753" s="13"/>
      <c r="AG1753" s="13"/>
      <c r="AH1753" s="13"/>
      <c r="AI1753" s="13"/>
      <c r="AJ1753" s="13">
        <f t="shared" si="209"/>
        <v>0</v>
      </c>
      <c r="AK1753" s="12"/>
      <c r="AL1753" s="13"/>
      <c r="AM1753" s="9"/>
      <c r="AN1753" s="9"/>
      <c r="AO1753" s="9"/>
      <c r="AP1753" s="14"/>
    </row>
    <row r="1754" spans="1:42" s="45" customFormat="1" ht="22" customHeight="1">
      <c r="A1754" s="14" t="s">
        <v>17</v>
      </c>
      <c r="B1754" s="8">
        <v>2024</v>
      </c>
      <c r="C1754" s="8" t="s">
        <v>24</v>
      </c>
      <c r="D1754" s="9" t="s">
        <v>185</v>
      </c>
      <c r="E1754" s="9" t="s">
        <v>115</v>
      </c>
      <c r="F1754" s="9" t="s">
        <v>434</v>
      </c>
      <c r="G1754" s="8"/>
      <c r="H1754" s="8"/>
      <c r="I1754" s="9" t="s">
        <v>12</v>
      </c>
      <c r="J1754" s="9" t="s">
        <v>12</v>
      </c>
      <c r="K1754" s="9" t="s">
        <v>130</v>
      </c>
      <c r="L1754" s="9" t="s">
        <v>209</v>
      </c>
      <c r="M1754" s="14" t="s">
        <v>84</v>
      </c>
      <c r="N1754" s="9" t="s">
        <v>436</v>
      </c>
      <c r="O1754" s="9" t="s">
        <v>706</v>
      </c>
      <c r="P1754" s="9" t="s">
        <v>719</v>
      </c>
      <c r="Q1754" s="11"/>
      <c r="R1754" s="11"/>
      <c r="S1754" s="11">
        <v>0</v>
      </c>
      <c r="T1754" s="9"/>
      <c r="U1754" s="14" t="s">
        <v>77</v>
      </c>
      <c r="V1754" s="9"/>
      <c r="W1754" s="12"/>
      <c r="X1754" s="13"/>
      <c r="Y1754" s="13"/>
      <c r="Z1754" s="13"/>
      <c r="AA1754" s="13"/>
      <c r="AB1754" s="13"/>
      <c r="AC1754" s="13"/>
      <c r="AD1754" s="13"/>
      <c r="AE1754" s="13">
        <v>0</v>
      </c>
      <c r="AF1754" s="13"/>
      <c r="AG1754" s="13"/>
      <c r="AH1754" s="13"/>
      <c r="AI1754" s="13"/>
      <c r="AJ1754" s="13">
        <f t="shared" si="209"/>
        <v>0</v>
      </c>
      <c r="AK1754" s="12"/>
      <c r="AL1754" s="13"/>
      <c r="AM1754" s="9"/>
      <c r="AN1754" s="9"/>
      <c r="AO1754" s="9"/>
      <c r="AP1754" s="14"/>
    </row>
    <row r="1755" spans="1:42" s="45" customFormat="1" ht="22" customHeight="1">
      <c r="A1755" s="14" t="s">
        <v>17</v>
      </c>
      <c r="B1755" s="8">
        <v>2024</v>
      </c>
      <c r="C1755" s="8" t="s">
        <v>24</v>
      </c>
      <c r="D1755" s="9" t="s">
        <v>185</v>
      </c>
      <c r="E1755" s="9" t="s">
        <v>115</v>
      </c>
      <c r="F1755" s="9" t="s">
        <v>434</v>
      </c>
      <c r="G1755" s="8"/>
      <c r="H1755" s="8"/>
      <c r="I1755" s="9" t="s">
        <v>12</v>
      </c>
      <c r="J1755" s="9" t="s">
        <v>12</v>
      </c>
      <c r="K1755" s="9" t="s">
        <v>130</v>
      </c>
      <c r="L1755" s="9" t="s">
        <v>209</v>
      </c>
      <c r="M1755" s="14" t="s">
        <v>84</v>
      </c>
      <c r="N1755" s="9" t="s">
        <v>436</v>
      </c>
      <c r="O1755" s="9" t="s">
        <v>706</v>
      </c>
      <c r="P1755" s="9" t="s">
        <v>687</v>
      </c>
      <c r="Q1755" s="11"/>
      <c r="R1755" s="11"/>
      <c r="S1755" s="11">
        <v>0</v>
      </c>
      <c r="T1755" s="9"/>
      <c r="U1755" s="14" t="s">
        <v>77</v>
      </c>
      <c r="V1755" s="9"/>
      <c r="W1755" s="12"/>
      <c r="X1755" s="13"/>
      <c r="Y1755" s="13"/>
      <c r="Z1755" s="13"/>
      <c r="AA1755" s="13"/>
      <c r="AB1755" s="13"/>
      <c r="AC1755" s="13"/>
      <c r="AD1755" s="13"/>
      <c r="AE1755" s="13">
        <v>0</v>
      </c>
      <c r="AF1755" s="13"/>
      <c r="AG1755" s="13"/>
      <c r="AH1755" s="13"/>
      <c r="AI1755" s="13"/>
      <c r="AJ1755" s="13">
        <f t="shared" si="209"/>
        <v>0</v>
      </c>
      <c r="AK1755" s="12"/>
      <c r="AL1755" s="13"/>
      <c r="AM1755" s="9"/>
      <c r="AN1755" s="9"/>
      <c r="AO1755" s="9"/>
      <c r="AP1755" s="14"/>
    </row>
    <row r="1756" spans="1:42" s="45" customFormat="1" ht="22" customHeight="1">
      <c r="A1756" s="14" t="s">
        <v>17</v>
      </c>
      <c r="B1756" s="8">
        <v>2024</v>
      </c>
      <c r="C1756" s="8" t="s">
        <v>24</v>
      </c>
      <c r="D1756" s="9" t="s">
        <v>185</v>
      </c>
      <c r="E1756" s="9" t="s">
        <v>115</v>
      </c>
      <c r="F1756" s="9" t="s">
        <v>434</v>
      </c>
      <c r="G1756" s="8"/>
      <c r="H1756" s="8"/>
      <c r="I1756" s="9" t="s">
        <v>12</v>
      </c>
      <c r="J1756" s="9" t="s">
        <v>12</v>
      </c>
      <c r="K1756" s="9" t="s">
        <v>130</v>
      </c>
      <c r="L1756" s="9" t="s">
        <v>209</v>
      </c>
      <c r="M1756" s="14" t="s">
        <v>84</v>
      </c>
      <c r="N1756" s="9" t="s">
        <v>436</v>
      </c>
      <c r="O1756" s="9" t="s">
        <v>706</v>
      </c>
      <c r="P1756" s="9" t="s">
        <v>720</v>
      </c>
      <c r="Q1756" s="11"/>
      <c r="R1756" s="11"/>
      <c r="S1756" s="11">
        <v>0</v>
      </c>
      <c r="T1756" s="9"/>
      <c r="U1756" s="14" t="s">
        <v>77</v>
      </c>
      <c r="V1756" s="9"/>
      <c r="W1756" s="12"/>
      <c r="X1756" s="13"/>
      <c r="Y1756" s="13"/>
      <c r="Z1756" s="13"/>
      <c r="AA1756" s="13"/>
      <c r="AB1756" s="13"/>
      <c r="AC1756" s="13"/>
      <c r="AD1756" s="13"/>
      <c r="AE1756" s="13">
        <v>0</v>
      </c>
      <c r="AF1756" s="13"/>
      <c r="AG1756" s="13"/>
      <c r="AH1756" s="13"/>
      <c r="AI1756" s="13"/>
      <c r="AJ1756" s="13">
        <f t="shared" si="209"/>
        <v>0</v>
      </c>
      <c r="AK1756" s="12"/>
      <c r="AL1756" s="13"/>
      <c r="AM1756" s="9"/>
      <c r="AN1756" s="9"/>
      <c r="AO1756" s="9"/>
      <c r="AP1756" s="14"/>
    </row>
    <row r="1757" spans="1:42" s="45" customFormat="1" ht="22" customHeight="1">
      <c r="A1757" s="14" t="s">
        <v>17</v>
      </c>
      <c r="B1757" s="8">
        <v>2024</v>
      </c>
      <c r="C1757" s="8" t="s">
        <v>24</v>
      </c>
      <c r="D1757" s="9" t="s">
        <v>185</v>
      </c>
      <c r="E1757" s="9" t="s">
        <v>115</v>
      </c>
      <c r="F1757" s="9" t="s">
        <v>434</v>
      </c>
      <c r="G1757" s="8"/>
      <c r="H1757" s="8"/>
      <c r="I1757" s="9" t="s">
        <v>12</v>
      </c>
      <c r="J1757" s="9" t="s">
        <v>12</v>
      </c>
      <c r="K1757" s="9" t="s">
        <v>130</v>
      </c>
      <c r="L1757" s="9" t="s">
        <v>209</v>
      </c>
      <c r="M1757" s="14" t="s">
        <v>84</v>
      </c>
      <c r="N1757" s="9" t="s">
        <v>436</v>
      </c>
      <c r="O1757" s="9" t="s">
        <v>706</v>
      </c>
      <c r="P1757" s="9" t="s">
        <v>721</v>
      </c>
      <c r="Q1757" s="11"/>
      <c r="R1757" s="11"/>
      <c r="S1757" s="11">
        <v>0</v>
      </c>
      <c r="T1757" s="9"/>
      <c r="U1757" s="14" t="s">
        <v>77</v>
      </c>
      <c r="V1757" s="9"/>
      <c r="W1757" s="12"/>
      <c r="X1757" s="13"/>
      <c r="Y1757" s="13"/>
      <c r="Z1757" s="13"/>
      <c r="AA1757" s="13"/>
      <c r="AB1757" s="13"/>
      <c r="AC1757" s="13"/>
      <c r="AD1757" s="13"/>
      <c r="AE1757" s="13">
        <v>0</v>
      </c>
      <c r="AF1757" s="13"/>
      <c r="AG1757" s="13"/>
      <c r="AH1757" s="13"/>
      <c r="AI1757" s="13"/>
      <c r="AJ1757" s="13">
        <f t="shared" si="209"/>
        <v>0</v>
      </c>
      <c r="AK1757" s="12"/>
      <c r="AL1757" s="13"/>
      <c r="AM1757" s="9"/>
      <c r="AN1757" s="9"/>
      <c r="AO1757" s="9"/>
      <c r="AP1757" s="14"/>
    </row>
    <row r="1758" spans="1:42" s="45" customFormat="1" ht="22" customHeight="1">
      <c r="A1758" s="14" t="s">
        <v>17</v>
      </c>
      <c r="B1758" s="8">
        <v>2024</v>
      </c>
      <c r="C1758" s="8" t="s">
        <v>24</v>
      </c>
      <c r="D1758" s="9" t="s">
        <v>185</v>
      </c>
      <c r="E1758" s="9" t="s">
        <v>115</v>
      </c>
      <c r="F1758" s="9" t="s">
        <v>434</v>
      </c>
      <c r="G1758" s="8"/>
      <c r="H1758" s="8"/>
      <c r="I1758" s="9" t="s">
        <v>12</v>
      </c>
      <c r="J1758" s="9" t="s">
        <v>12</v>
      </c>
      <c r="K1758" s="9" t="s">
        <v>130</v>
      </c>
      <c r="L1758" s="9" t="s">
        <v>209</v>
      </c>
      <c r="M1758" s="14" t="s">
        <v>84</v>
      </c>
      <c r="N1758" s="9" t="s">
        <v>436</v>
      </c>
      <c r="O1758" s="9" t="s">
        <v>706</v>
      </c>
      <c r="P1758" s="9" t="s">
        <v>722</v>
      </c>
      <c r="Q1758" s="11"/>
      <c r="R1758" s="11"/>
      <c r="S1758" s="11">
        <v>0</v>
      </c>
      <c r="T1758" s="9"/>
      <c r="U1758" s="14" t="s">
        <v>77</v>
      </c>
      <c r="V1758" s="9"/>
      <c r="W1758" s="12"/>
      <c r="X1758" s="13"/>
      <c r="Y1758" s="13"/>
      <c r="Z1758" s="13"/>
      <c r="AA1758" s="13"/>
      <c r="AB1758" s="13"/>
      <c r="AC1758" s="13"/>
      <c r="AD1758" s="13"/>
      <c r="AE1758" s="13">
        <v>0</v>
      </c>
      <c r="AF1758" s="13"/>
      <c r="AG1758" s="13"/>
      <c r="AH1758" s="13"/>
      <c r="AI1758" s="13"/>
      <c r="AJ1758" s="13">
        <f t="shared" si="209"/>
        <v>0</v>
      </c>
      <c r="AK1758" s="12"/>
      <c r="AL1758" s="13"/>
      <c r="AM1758" s="9"/>
      <c r="AN1758" s="9"/>
      <c r="AO1758" s="9"/>
      <c r="AP1758" s="14"/>
    </row>
    <row r="1759" spans="1:42" s="45" customFormat="1" ht="22" customHeight="1">
      <c r="A1759" s="14" t="s">
        <v>17</v>
      </c>
      <c r="B1759" s="8">
        <v>2024</v>
      </c>
      <c r="C1759" s="8" t="s">
        <v>24</v>
      </c>
      <c r="D1759" s="9" t="s">
        <v>185</v>
      </c>
      <c r="E1759" s="9" t="s">
        <v>115</v>
      </c>
      <c r="F1759" s="9" t="s">
        <v>434</v>
      </c>
      <c r="G1759" s="8"/>
      <c r="H1759" s="8"/>
      <c r="I1759" s="9" t="s">
        <v>12</v>
      </c>
      <c r="J1759" s="9" t="s">
        <v>12</v>
      </c>
      <c r="K1759" s="9" t="s">
        <v>130</v>
      </c>
      <c r="L1759" s="9" t="s">
        <v>209</v>
      </c>
      <c r="M1759" s="14" t="s">
        <v>84</v>
      </c>
      <c r="N1759" s="9" t="s">
        <v>436</v>
      </c>
      <c r="O1759" s="9" t="s">
        <v>706</v>
      </c>
      <c r="P1759" s="9" t="s">
        <v>723</v>
      </c>
      <c r="Q1759" s="11"/>
      <c r="R1759" s="11"/>
      <c r="S1759" s="11">
        <v>0</v>
      </c>
      <c r="T1759" s="9"/>
      <c r="U1759" s="14" t="s">
        <v>77</v>
      </c>
      <c r="V1759" s="9"/>
      <c r="W1759" s="12"/>
      <c r="X1759" s="13"/>
      <c r="Y1759" s="13"/>
      <c r="Z1759" s="13"/>
      <c r="AA1759" s="13"/>
      <c r="AB1759" s="13"/>
      <c r="AC1759" s="13"/>
      <c r="AD1759" s="13"/>
      <c r="AE1759" s="13">
        <v>0</v>
      </c>
      <c r="AF1759" s="13"/>
      <c r="AG1759" s="13"/>
      <c r="AH1759" s="13"/>
      <c r="AI1759" s="13"/>
      <c r="AJ1759" s="13">
        <f t="shared" si="209"/>
        <v>0</v>
      </c>
      <c r="AK1759" s="12"/>
      <c r="AL1759" s="13"/>
      <c r="AM1759" s="9"/>
      <c r="AN1759" s="9"/>
      <c r="AO1759" s="9"/>
      <c r="AP1759" s="14"/>
    </row>
    <row r="1760" spans="1:42" s="45" customFormat="1" ht="22" customHeight="1">
      <c r="A1760" s="14" t="s">
        <v>17</v>
      </c>
      <c r="B1760" s="8">
        <v>2024</v>
      </c>
      <c r="C1760" s="8" t="s">
        <v>24</v>
      </c>
      <c r="D1760" s="9" t="s">
        <v>185</v>
      </c>
      <c r="E1760" s="9" t="s">
        <v>115</v>
      </c>
      <c r="F1760" s="9" t="s">
        <v>434</v>
      </c>
      <c r="G1760" s="8"/>
      <c r="H1760" s="8"/>
      <c r="I1760" s="9" t="s">
        <v>12</v>
      </c>
      <c r="J1760" s="9" t="s">
        <v>12</v>
      </c>
      <c r="K1760" s="9" t="s">
        <v>130</v>
      </c>
      <c r="L1760" s="9" t="s">
        <v>209</v>
      </c>
      <c r="M1760" s="14" t="s">
        <v>84</v>
      </c>
      <c r="N1760" s="9" t="s">
        <v>436</v>
      </c>
      <c r="O1760" s="9" t="s">
        <v>724</v>
      </c>
      <c r="P1760" s="9" t="s">
        <v>725</v>
      </c>
      <c r="Q1760" s="11"/>
      <c r="R1760" s="11"/>
      <c r="S1760" s="11">
        <v>0</v>
      </c>
      <c r="T1760" s="9"/>
      <c r="U1760" s="14" t="s">
        <v>77</v>
      </c>
      <c r="V1760" s="9"/>
      <c r="W1760" s="12"/>
      <c r="X1760" s="13"/>
      <c r="Y1760" s="13"/>
      <c r="Z1760" s="13"/>
      <c r="AA1760" s="13"/>
      <c r="AB1760" s="13"/>
      <c r="AC1760" s="13"/>
      <c r="AD1760" s="13"/>
      <c r="AE1760" s="13">
        <v>0</v>
      </c>
      <c r="AF1760" s="13"/>
      <c r="AG1760" s="13"/>
      <c r="AH1760" s="13"/>
      <c r="AI1760" s="13"/>
      <c r="AJ1760" s="13">
        <f t="shared" si="209"/>
        <v>0</v>
      </c>
      <c r="AK1760" s="12"/>
      <c r="AL1760" s="13"/>
      <c r="AM1760" s="9"/>
      <c r="AN1760" s="9"/>
      <c r="AO1760" s="9"/>
      <c r="AP1760" s="14"/>
    </row>
    <row r="1761" spans="1:42" s="45" customFormat="1" ht="22" customHeight="1">
      <c r="A1761" s="14" t="s">
        <v>17</v>
      </c>
      <c r="B1761" s="8">
        <v>2024</v>
      </c>
      <c r="C1761" s="8" t="s">
        <v>24</v>
      </c>
      <c r="D1761" s="9" t="s">
        <v>185</v>
      </c>
      <c r="E1761" s="9" t="s">
        <v>115</v>
      </c>
      <c r="F1761" s="9" t="s">
        <v>434</v>
      </c>
      <c r="G1761" s="8"/>
      <c r="H1761" s="8"/>
      <c r="I1761" s="9" t="s">
        <v>12</v>
      </c>
      <c r="J1761" s="9" t="s">
        <v>12</v>
      </c>
      <c r="K1761" s="9" t="s">
        <v>130</v>
      </c>
      <c r="L1761" s="9" t="s">
        <v>209</v>
      </c>
      <c r="M1761" s="14" t="s">
        <v>84</v>
      </c>
      <c r="N1761" s="9" t="s">
        <v>436</v>
      </c>
      <c r="O1761" s="9" t="s">
        <v>724</v>
      </c>
      <c r="P1761" s="9" t="s">
        <v>726</v>
      </c>
      <c r="Q1761" s="11"/>
      <c r="R1761" s="11"/>
      <c r="S1761" s="11">
        <v>0</v>
      </c>
      <c r="T1761" s="9"/>
      <c r="U1761" s="14" t="s">
        <v>77</v>
      </c>
      <c r="V1761" s="9"/>
      <c r="W1761" s="12"/>
      <c r="X1761" s="13"/>
      <c r="Y1761" s="13"/>
      <c r="Z1761" s="13"/>
      <c r="AA1761" s="13"/>
      <c r="AB1761" s="13"/>
      <c r="AC1761" s="13"/>
      <c r="AD1761" s="13"/>
      <c r="AE1761" s="13">
        <v>0</v>
      </c>
      <c r="AF1761" s="13"/>
      <c r="AG1761" s="13"/>
      <c r="AH1761" s="13"/>
      <c r="AI1761" s="13"/>
      <c r="AJ1761" s="13">
        <f t="shared" si="209"/>
        <v>0</v>
      </c>
      <c r="AK1761" s="12"/>
      <c r="AL1761" s="13"/>
      <c r="AM1761" s="9"/>
      <c r="AN1761" s="9"/>
      <c r="AO1761" s="9"/>
      <c r="AP1761" s="14"/>
    </row>
    <row r="1762" spans="1:42" s="45" customFormat="1" ht="22" customHeight="1">
      <c r="A1762" s="14" t="s">
        <v>17</v>
      </c>
      <c r="B1762" s="8">
        <v>2024</v>
      </c>
      <c r="C1762" s="8" t="s">
        <v>24</v>
      </c>
      <c r="D1762" s="9" t="s">
        <v>185</v>
      </c>
      <c r="E1762" s="9" t="s">
        <v>115</v>
      </c>
      <c r="F1762" s="9" t="s">
        <v>434</v>
      </c>
      <c r="G1762" s="8"/>
      <c r="H1762" s="8"/>
      <c r="I1762" s="9" t="s">
        <v>12</v>
      </c>
      <c r="J1762" s="9" t="s">
        <v>12</v>
      </c>
      <c r="K1762" s="9" t="s">
        <v>130</v>
      </c>
      <c r="L1762" s="9" t="s">
        <v>209</v>
      </c>
      <c r="M1762" s="14" t="s">
        <v>84</v>
      </c>
      <c r="N1762" s="9" t="s">
        <v>436</v>
      </c>
      <c r="O1762" s="9" t="s">
        <v>724</v>
      </c>
      <c r="P1762" s="9" t="s">
        <v>727</v>
      </c>
      <c r="Q1762" s="11"/>
      <c r="R1762" s="11"/>
      <c r="S1762" s="11">
        <v>0</v>
      </c>
      <c r="T1762" s="9"/>
      <c r="U1762" s="14" t="s">
        <v>77</v>
      </c>
      <c r="V1762" s="9"/>
      <c r="W1762" s="12"/>
      <c r="X1762" s="13"/>
      <c r="Y1762" s="13"/>
      <c r="Z1762" s="13"/>
      <c r="AA1762" s="13"/>
      <c r="AB1762" s="13"/>
      <c r="AC1762" s="13"/>
      <c r="AD1762" s="13"/>
      <c r="AE1762" s="13">
        <v>0</v>
      </c>
      <c r="AF1762" s="13"/>
      <c r="AG1762" s="13"/>
      <c r="AH1762" s="13"/>
      <c r="AI1762" s="13"/>
      <c r="AJ1762" s="13">
        <f t="shared" si="209"/>
        <v>0</v>
      </c>
      <c r="AK1762" s="12"/>
      <c r="AL1762" s="13"/>
      <c r="AM1762" s="9"/>
      <c r="AN1762" s="9"/>
      <c r="AO1762" s="9"/>
      <c r="AP1762" s="14"/>
    </row>
    <row r="1763" spans="1:42" s="45" customFormat="1" ht="22" customHeight="1">
      <c r="A1763" s="14" t="s">
        <v>17</v>
      </c>
      <c r="B1763" s="8">
        <v>2024</v>
      </c>
      <c r="C1763" s="8" t="s">
        <v>24</v>
      </c>
      <c r="D1763" s="9" t="s">
        <v>185</v>
      </c>
      <c r="E1763" s="9" t="s">
        <v>115</v>
      </c>
      <c r="F1763" s="9" t="s">
        <v>434</v>
      </c>
      <c r="G1763" s="8"/>
      <c r="H1763" s="8"/>
      <c r="I1763" s="9" t="s">
        <v>12</v>
      </c>
      <c r="J1763" s="9" t="s">
        <v>12</v>
      </c>
      <c r="K1763" s="9" t="s">
        <v>130</v>
      </c>
      <c r="L1763" s="9" t="s">
        <v>209</v>
      </c>
      <c r="M1763" s="14" t="s">
        <v>84</v>
      </c>
      <c r="N1763" s="9" t="s">
        <v>436</v>
      </c>
      <c r="O1763" s="9" t="s">
        <v>724</v>
      </c>
      <c r="P1763" s="9" t="s">
        <v>728</v>
      </c>
      <c r="Q1763" s="11"/>
      <c r="R1763" s="11"/>
      <c r="S1763" s="11">
        <v>0</v>
      </c>
      <c r="T1763" s="9"/>
      <c r="U1763" s="14" t="s">
        <v>77</v>
      </c>
      <c r="V1763" s="9"/>
      <c r="W1763" s="12"/>
      <c r="X1763" s="13"/>
      <c r="Y1763" s="13"/>
      <c r="Z1763" s="13"/>
      <c r="AA1763" s="13"/>
      <c r="AB1763" s="13"/>
      <c r="AC1763" s="13"/>
      <c r="AD1763" s="13"/>
      <c r="AE1763" s="13">
        <v>0</v>
      </c>
      <c r="AF1763" s="13"/>
      <c r="AG1763" s="13"/>
      <c r="AH1763" s="13"/>
      <c r="AI1763" s="13"/>
      <c r="AJ1763" s="13">
        <f t="shared" si="209"/>
        <v>0</v>
      </c>
      <c r="AK1763" s="12"/>
      <c r="AL1763" s="13"/>
      <c r="AM1763" s="9"/>
      <c r="AN1763" s="9"/>
      <c r="AO1763" s="9"/>
      <c r="AP1763" s="14"/>
    </row>
    <row r="1764" spans="1:42" s="45" customFormat="1" ht="22" customHeight="1">
      <c r="A1764" s="14" t="s">
        <v>17</v>
      </c>
      <c r="B1764" s="8">
        <v>2024</v>
      </c>
      <c r="C1764" s="8" t="s">
        <v>24</v>
      </c>
      <c r="D1764" s="9" t="s">
        <v>185</v>
      </c>
      <c r="E1764" s="9" t="s">
        <v>115</v>
      </c>
      <c r="F1764" s="9" t="s">
        <v>434</v>
      </c>
      <c r="G1764" s="8"/>
      <c r="H1764" s="8"/>
      <c r="I1764" s="9" t="s">
        <v>12</v>
      </c>
      <c r="J1764" s="9" t="s">
        <v>12</v>
      </c>
      <c r="K1764" s="9" t="s">
        <v>130</v>
      </c>
      <c r="L1764" s="9" t="s">
        <v>209</v>
      </c>
      <c r="M1764" s="14" t="s">
        <v>84</v>
      </c>
      <c r="N1764" s="9" t="s">
        <v>436</v>
      </c>
      <c r="O1764" s="9" t="s">
        <v>724</v>
      </c>
      <c r="P1764" s="9" t="s">
        <v>729</v>
      </c>
      <c r="Q1764" s="11"/>
      <c r="R1764" s="11"/>
      <c r="S1764" s="11">
        <v>0</v>
      </c>
      <c r="T1764" s="9"/>
      <c r="U1764" s="14" t="s">
        <v>77</v>
      </c>
      <c r="V1764" s="9"/>
      <c r="W1764" s="12"/>
      <c r="X1764" s="13"/>
      <c r="Y1764" s="13"/>
      <c r="Z1764" s="13"/>
      <c r="AA1764" s="13"/>
      <c r="AB1764" s="13"/>
      <c r="AC1764" s="13"/>
      <c r="AD1764" s="13"/>
      <c r="AE1764" s="13">
        <v>0</v>
      </c>
      <c r="AF1764" s="13"/>
      <c r="AG1764" s="13"/>
      <c r="AH1764" s="13"/>
      <c r="AI1764" s="13"/>
      <c r="AJ1764" s="13">
        <f t="shared" si="209"/>
        <v>0</v>
      </c>
      <c r="AK1764" s="12"/>
      <c r="AL1764" s="13"/>
      <c r="AM1764" s="9"/>
      <c r="AN1764" s="9"/>
      <c r="AO1764" s="9"/>
      <c r="AP1764" s="14"/>
    </row>
    <row r="1765" spans="1:42" s="45" customFormat="1" ht="22" customHeight="1">
      <c r="A1765" s="14" t="s">
        <v>17</v>
      </c>
      <c r="B1765" s="8">
        <v>2024</v>
      </c>
      <c r="C1765" s="8" t="s">
        <v>24</v>
      </c>
      <c r="D1765" s="9" t="s">
        <v>185</v>
      </c>
      <c r="E1765" s="9" t="s">
        <v>115</v>
      </c>
      <c r="F1765" s="9" t="s">
        <v>434</v>
      </c>
      <c r="G1765" s="8"/>
      <c r="H1765" s="8"/>
      <c r="I1765" s="9" t="s">
        <v>12</v>
      </c>
      <c r="J1765" s="9" t="s">
        <v>12</v>
      </c>
      <c r="K1765" s="9" t="s">
        <v>130</v>
      </c>
      <c r="L1765" s="9" t="s">
        <v>209</v>
      </c>
      <c r="M1765" s="14" t="s">
        <v>84</v>
      </c>
      <c r="N1765" s="9" t="s">
        <v>436</v>
      </c>
      <c r="O1765" s="9" t="s">
        <v>724</v>
      </c>
      <c r="P1765" s="9" t="s">
        <v>730</v>
      </c>
      <c r="Q1765" s="11"/>
      <c r="R1765" s="11"/>
      <c r="S1765" s="11">
        <v>0</v>
      </c>
      <c r="T1765" s="9"/>
      <c r="U1765" s="14" t="s">
        <v>77</v>
      </c>
      <c r="V1765" s="9"/>
      <c r="W1765" s="12"/>
      <c r="X1765" s="13"/>
      <c r="Y1765" s="13"/>
      <c r="Z1765" s="13"/>
      <c r="AA1765" s="13"/>
      <c r="AB1765" s="13"/>
      <c r="AC1765" s="13"/>
      <c r="AD1765" s="13"/>
      <c r="AE1765" s="13">
        <v>0</v>
      </c>
      <c r="AF1765" s="13"/>
      <c r="AG1765" s="13"/>
      <c r="AH1765" s="13"/>
      <c r="AI1765" s="13"/>
      <c r="AJ1765" s="13">
        <f t="shared" si="209"/>
        <v>0</v>
      </c>
      <c r="AK1765" s="12"/>
      <c r="AL1765" s="13"/>
      <c r="AM1765" s="9"/>
      <c r="AN1765" s="9"/>
      <c r="AO1765" s="9"/>
      <c r="AP1765" s="14"/>
    </row>
    <row r="1766" spans="1:42" s="45" customFormat="1" ht="22" customHeight="1">
      <c r="A1766" s="14" t="s">
        <v>17</v>
      </c>
      <c r="B1766" s="8">
        <v>2024</v>
      </c>
      <c r="C1766" s="8" t="s">
        <v>24</v>
      </c>
      <c r="D1766" s="9" t="s">
        <v>185</v>
      </c>
      <c r="E1766" s="9" t="s">
        <v>115</v>
      </c>
      <c r="F1766" s="9" t="s">
        <v>434</v>
      </c>
      <c r="G1766" s="8"/>
      <c r="H1766" s="8"/>
      <c r="I1766" s="9" t="s">
        <v>12</v>
      </c>
      <c r="J1766" s="9" t="s">
        <v>12</v>
      </c>
      <c r="K1766" s="9" t="s">
        <v>130</v>
      </c>
      <c r="L1766" s="9" t="s">
        <v>209</v>
      </c>
      <c r="M1766" s="14" t="s">
        <v>84</v>
      </c>
      <c r="N1766" s="9" t="s">
        <v>436</v>
      </c>
      <c r="O1766" s="9" t="s">
        <v>724</v>
      </c>
      <c r="P1766" s="9" t="s">
        <v>731</v>
      </c>
      <c r="Q1766" s="11"/>
      <c r="R1766" s="11"/>
      <c r="S1766" s="11">
        <v>0</v>
      </c>
      <c r="T1766" s="9"/>
      <c r="U1766" s="14" t="s">
        <v>77</v>
      </c>
      <c r="V1766" s="9"/>
      <c r="W1766" s="12"/>
      <c r="X1766" s="13"/>
      <c r="Y1766" s="13"/>
      <c r="Z1766" s="13"/>
      <c r="AA1766" s="13"/>
      <c r="AB1766" s="13"/>
      <c r="AC1766" s="13"/>
      <c r="AD1766" s="13"/>
      <c r="AE1766" s="13">
        <v>0</v>
      </c>
      <c r="AF1766" s="13"/>
      <c r="AG1766" s="13"/>
      <c r="AH1766" s="13"/>
      <c r="AI1766" s="13"/>
      <c r="AJ1766" s="13">
        <f t="shared" si="209"/>
        <v>0</v>
      </c>
      <c r="AK1766" s="12"/>
      <c r="AL1766" s="13"/>
      <c r="AM1766" s="9"/>
      <c r="AN1766" s="9"/>
      <c r="AO1766" s="9"/>
      <c r="AP1766" s="14"/>
    </row>
    <row r="1767" spans="1:42" s="45" customFormat="1" ht="22" customHeight="1">
      <c r="A1767" s="14" t="s">
        <v>17</v>
      </c>
      <c r="B1767" s="8">
        <v>2024</v>
      </c>
      <c r="C1767" s="8" t="s">
        <v>24</v>
      </c>
      <c r="D1767" s="9" t="s">
        <v>185</v>
      </c>
      <c r="E1767" s="9" t="s">
        <v>115</v>
      </c>
      <c r="F1767" s="9" t="s">
        <v>434</v>
      </c>
      <c r="G1767" s="8"/>
      <c r="H1767" s="8"/>
      <c r="I1767" s="9" t="s">
        <v>12</v>
      </c>
      <c r="J1767" s="9" t="s">
        <v>12</v>
      </c>
      <c r="K1767" s="9" t="s">
        <v>130</v>
      </c>
      <c r="L1767" s="9" t="s">
        <v>209</v>
      </c>
      <c r="M1767" s="14" t="s">
        <v>84</v>
      </c>
      <c r="N1767" s="9" t="s">
        <v>436</v>
      </c>
      <c r="O1767" s="9" t="s">
        <v>724</v>
      </c>
      <c r="P1767" s="9" t="s">
        <v>732</v>
      </c>
      <c r="Q1767" s="11"/>
      <c r="R1767" s="11"/>
      <c r="S1767" s="11">
        <v>0</v>
      </c>
      <c r="T1767" s="9"/>
      <c r="U1767" s="14" t="s">
        <v>77</v>
      </c>
      <c r="V1767" s="9"/>
      <c r="W1767" s="12"/>
      <c r="X1767" s="13"/>
      <c r="Y1767" s="13"/>
      <c r="Z1767" s="13"/>
      <c r="AA1767" s="13"/>
      <c r="AB1767" s="13"/>
      <c r="AC1767" s="13"/>
      <c r="AD1767" s="13"/>
      <c r="AE1767" s="13">
        <v>0</v>
      </c>
      <c r="AF1767" s="13"/>
      <c r="AG1767" s="13"/>
      <c r="AH1767" s="13"/>
      <c r="AI1767" s="13"/>
      <c r="AJ1767" s="13">
        <f t="shared" si="209"/>
        <v>0</v>
      </c>
      <c r="AK1767" s="12"/>
      <c r="AL1767" s="13"/>
      <c r="AM1767" s="9"/>
      <c r="AN1767" s="9"/>
      <c r="AO1767" s="9"/>
      <c r="AP1767" s="14"/>
    </row>
    <row r="1768" spans="1:42" s="45" customFormat="1" ht="22" customHeight="1">
      <c r="A1768" s="14" t="s">
        <v>17</v>
      </c>
      <c r="B1768" s="8">
        <v>2024</v>
      </c>
      <c r="C1768" s="8" t="s">
        <v>24</v>
      </c>
      <c r="D1768" s="9" t="s">
        <v>185</v>
      </c>
      <c r="E1768" s="9" t="s">
        <v>115</v>
      </c>
      <c r="F1768" s="9" t="s">
        <v>434</v>
      </c>
      <c r="G1768" s="8"/>
      <c r="H1768" s="8"/>
      <c r="I1768" s="9" t="s">
        <v>12</v>
      </c>
      <c r="J1768" s="9" t="s">
        <v>12</v>
      </c>
      <c r="K1768" s="9" t="s">
        <v>130</v>
      </c>
      <c r="L1768" s="9" t="s">
        <v>209</v>
      </c>
      <c r="M1768" s="14" t="s">
        <v>84</v>
      </c>
      <c r="N1768" s="9" t="s">
        <v>436</v>
      </c>
      <c r="O1768" s="9" t="s">
        <v>724</v>
      </c>
      <c r="P1768" s="9" t="s">
        <v>733</v>
      </c>
      <c r="Q1768" s="11"/>
      <c r="R1768" s="11"/>
      <c r="S1768" s="11">
        <v>0</v>
      </c>
      <c r="T1768" s="9"/>
      <c r="U1768" s="14" t="s">
        <v>77</v>
      </c>
      <c r="V1768" s="9"/>
      <c r="W1768" s="12"/>
      <c r="X1768" s="13"/>
      <c r="Y1768" s="13"/>
      <c r="Z1768" s="13"/>
      <c r="AA1768" s="13"/>
      <c r="AB1768" s="13"/>
      <c r="AC1768" s="13"/>
      <c r="AD1768" s="13"/>
      <c r="AE1768" s="13">
        <v>0</v>
      </c>
      <c r="AF1768" s="13"/>
      <c r="AG1768" s="13"/>
      <c r="AH1768" s="13"/>
      <c r="AI1768" s="13"/>
      <c r="AJ1768" s="13">
        <f t="shared" si="209"/>
        <v>0</v>
      </c>
      <c r="AK1768" s="12"/>
      <c r="AL1768" s="13"/>
      <c r="AM1768" s="9"/>
      <c r="AN1768" s="9"/>
      <c r="AO1768" s="9"/>
      <c r="AP1768" s="14"/>
    </row>
    <row r="1769" spans="1:42" s="45" customFormat="1" ht="22" customHeight="1">
      <c r="A1769" s="14" t="s">
        <v>17</v>
      </c>
      <c r="B1769" s="8">
        <v>2024</v>
      </c>
      <c r="C1769" s="8" t="s">
        <v>24</v>
      </c>
      <c r="D1769" s="9" t="s">
        <v>185</v>
      </c>
      <c r="E1769" s="9" t="s">
        <v>115</v>
      </c>
      <c r="F1769" s="9" t="s">
        <v>434</v>
      </c>
      <c r="G1769" s="8"/>
      <c r="H1769" s="8"/>
      <c r="I1769" s="9" t="s">
        <v>12</v>
      </c>
      <c r="J1769" s="9" t="s">
        <v>12</v>
      </c>
      <c r="K1769" s="9" t="s">
        <v>130</v>
      </c>
      <c r="L1769" s="9" t="s">
        <v>209</v>
      </c>
      <c r="M1769" s="14" t="s">
        <v>84</v>
      </c>
      <c r="N1769" s="9" t="s">
        <v>436</v>
      </c>
      <c r="O1769" s="9" t="s">
        <v>724</v>
      </c>
      <c r="P1769" s="9" t="s">
        <v>734</v>
      </c>
      <c r="Q1769" s="11"/>
      <c r="R1769" s="11"/>
      <c r="S1769" s="11">
        <v>0</v>
      </c>
      <c r="T1769" s="9"/>
      <c r="U1769" s="14" t="s">
        <v>77</v>
      </c>
      <c r="V1769" s="9"/>
      <c r="W1769" s="12"/>
      <c r="X1769" s="13"/>
      <c r="Y1769" s="13"/>
      <c r="Z1769" s="13"/>
      <c r="AA1769" s="13"/>
      <c r="AB1769" s="13"/>
      <c r="AC1769" s="13"/>
      <c r="AD1769" s="13"/>
      <c r="AE1769" s="13">
        <v>0</v>
      </c>
      <c r="AF1769" s="13"/>
      <c r="AG1769" s="13"/>
      <c r="AH1769" s="13"/>
      <c r="AI1769" s="13"/>
      <c r="AJ1769" s="13">
        <f t="shared" si="209"/>
        <v>0</v>
      </c>
      <c r="AK1769" s="12"/>
      <c r="AL1769" s="13"/>
      <c r="AM1769" s="9"/>
      <c r="AN1769" s="9"/>
      <c r="AO1769" s="9"/>
      <c r="AP1769" s="14"/>
    </row>
    <row r="1770" spans="1:42" s="45" customFormat="1" ht="22" customHeight="1">
      <c r="A1770" s="14" t="s">
        <v>17</v>
      </c>
      <c r="B1770" s="8">
        <v>2024</v>
      </c>
      <c r="C1770" s="8" t="s">
        <v>24</v>
      </c>
      <c r="D1770" s="9" t="s">
        <v>185</v>
      </c>
      <c r="E1770" s="9" t="s">
        <v>115</v>
      </c>
      <c r="F1770" s="9" t="s">
        <v>434</v>
      </c>
      <c r="G1770" s="8"/>
      <c r="H1770" s="8"/>
      <c r="I1770" s="9" t="s">
        <v>12</v>
      </c>
      <c r="J1770" s="9" t="s">
        <v>12</v>
      </c>
      <c r="K1770" s="9" t="s">
        <v>130</v>
      </c>
      <c r="L1770" s="9" t="s">
        <v>209</v>
      </c>
      <c r="M1770" s="14" t="s">
        <v>84</v>
      </c>
      <c r="N1770" s="9" t="s">
        <v>436</v>
      </c>
      <c r="O1770" s="9" t="s">
        <v>724</v>
      </c>
      <c r="P1770" s="9" t="s">
        <v>735</v>
      </c>
      <c r="Q1770" s="11"/>
      <c r="R1770" s="11"/>
      <c r="S1770" s="11">
        <v>0</v>
      </c>
      <c r="T1770" s="9"/>
      <c r="U1770" s="14" t="s">
        <v>77</v>
      </c>
      <c r="V1770" s="9"/>
      <c r="W1770" s="12"/>
      <c r="X1770" s="13"/>
      <c r="Y1770" s="13"/>
      <c r="Z1770" s="13"/>
      <c r="AA1770" s="13"/>
      <c r="AB1770" s="13"/>
      <c r="AC1770" s="13"/>
      <c r="AD1770" s="13"/>
      <c r="AE1770" s="13">
        <v>0</v>
      </c>
      <c r="AF1770" s="13"/>
      <c r="AG1770" s="13"/>
      <c r="AH1770" s="13"/>
      <c r="AI1770" s="13"/>
      <c r="AJ1770" s="13">
        <f t="shared" si="209"/>
        <v>0</v>
      </c>
      <c r="AK1770" s="12"/>
      <c r="AL1770" s="13"/>
      <c r="AM1770" s="9"/>
      <c r="AN1770" s="9"/>
      <c r="AO1770" s="9"/>
      <c r="AP1770" s="14"/>
    </row>
    <row r="1771" spans="1:42" s="45" customFormat="1" ht="22" customHeight="1">
      <c r="A1771" s="14" t="s">
        <v>17</v>
      </c>
      <c r="B1771" s="8">
        <v>2024</v>
      </c>
      <c r="C1771" s="8" t="s">
        <v>24</v>
      </c>
      <c r="D1771" s="9" t="s">
        <v>185</v>
      </c>
      <c r="E1771" s="9" t="s">
        <v>115</v>
      </c>
      <c r="F1771" s="9" t="s">
        <v>434</v>
      </c>
      <c r="G1771" s="8"/>
      <c r="H1771" s="8"/>
      <c r="I1771" s="9" t="s">
        <v>12</v>
      </c>
      <c r="J1771" s="9" t="s">
        <v>12</v>
      </c>
      <c r="K1771" s="9" t="s">
        <v>130</v>
      </c>
      <c r="L1771" s="9" t="s">
        <v>209</v>
      </c>
      <c r="M1771" s="14" t="s">
        <v>84</v>
      </c>
      <c r="N1771" s="9" t="s">
        <v>436</v>
      </c>
      <c r="O1771" s="9" t="s">
        <v>724</v>
      </c>
      <c r="P1771" s="9" t="s">
        <v>736</v>
      </c>
      <c r="Q1771" s="11"/>
      <c r="R1771" s="11"/>
      <c r="S1771" s="11">
        <v>0</v>
      </c>
      <c r="T1771" s="9"/>
      <c r="U1771" s="14" t="s">
        <v>77</v>
      </c>
      <c r="V1771" s="9"/>
      <c r="W1771" s="12"/>
      <c r="X1771" s="13"/>
      <c r="Y1771" s="13"/>
      <c r="Z1771" s="13"/>
      <c r="AA1771" s="13"/>
      <c r="AB1771" s="13"/>
      <c r="AC1771" s="13"/>
      <c r="AD1771" s="13"/>
      <c r="AE1771" s="13">
        <v>0</v>
      </c>
      <c r="AF1771" s="13"/>
      <c r="AG1771" s="13"/>
      <c r="AH1771" s="13"/>
      <c r="AI1771" s="13"/>
      <c r="AJ1771" s="13">
        <f t="shared" si="209"/>
        <v>0</v>
      </c>
      <c r="AK1771" s="12"/>
      <c r="AL1771" s="13"/>
      <c r="AM1771" s="9"/>
      <c r="AN1771" s="9"/>
      <c r="AO1771" s="9"/>
      <c r="AP1771" s="14"/>
    </row>
    <row r="1772" spans="1:42" s="45" customFormat="1" ht="22" customHeight="1">
      <c r="A1772" s="14" t="s">
        <v>17</v>
      </c>
      <c r="B1772" s="8">
        <v>2024</v>
      </c>
      <c r="C1772" s="8" t="s">
        <v>24</v>
      </c>
      <c r="D1772" s="9" t="s">
        <v>185</v>
      </c>
      <c r="E1772" s="9" t="s">
        <v>115</v>
      </c>
      <c r="F1772" s="9" t="s">
        <v>434</v>
      </c>
      <c r="G1772" s="8"/>
      <c r="H1772" s="8"/>
      <c r="I1772" s="9" t="s">
        <v>12</v>
      </c>
      <c r="J1772" s="9" t="s">
        <v>12</v>
      </c>
      <c r="K1772" s="9" t="s">
        <v>130</v>
      </c>
      <c r="L1772" s="9" t="s">
        <v>209</v>
      </c>
      <c r="M1772" s="14" t="s">
        <v>84</v>
      </c>
      <c r="N1772" s="9" t="s">
        <v>436</v>
      </c>
      <c r="O1772" s="9" t="s">
        <v>724</v>
      </c>
      <c r="P1772" s="9" t="s">
        <v>737</v>
      </c>
      <c r="Q1772" s="11"/>
      <c r="R1772" s="11"/>
      <c r="S1772" s="11">
        <v>0</v>
      </c>
      <c r="T1772" s="9"/>
      <c r="U1772" s="14" t="s">
        <v>77</v>
      </c>
      <c r="V1772" s="9"/>
      <c r="W1772" s="12"/>
      <c r="X1772" s="13"/>
      <c r="Y1772" s="13"/>
      <c r="Z1772" s="13"/>
      <c r="AA1772" s="13"/>
      <c r="AB1772" s="13"/>
      <c r="AC1772" s="13"/>
      <c r="AD1772" s="13"/>
      <c r="AE1772" s="13">
        <v>0</v>
      </c>
      <c r="AF1772" s="13"/>
      <c r="AG1772" s="13"/>
      <c r="AH1772" s="13"/>
      <c r="AI1772" s="13"/>
      <c r="AJ1772" s="13">
        <f t="shared" si="209"/>
        <v>0</v>
      </c>
      <c r="AK1772" s="12"/>
      <c r="AL1772" s="13"/>
      <c r="AM1772" s="9"/>
      <c r="AN1772" s="9"/>
      <c r="AO1772" s="9"/>
      <c r="AP1772" s="14"/>
    </row>
    <row r="1773" spans="1:42" s="45" customFormat="1" ht="22" customHeight="1">
      <c r="A1773" s="14" t="s">
        <v>17</v>
      </c>
      <c r="B1773" s="8">
        <v>2024</v>
      </c>
      <c r="C1773" s="8" t="s">
        <v>24</v>
      </c>
      <c r="D1773" s="9" t="s">
        <v>185</v>
      </c>
      <c r="E1773" s="9" t="s">
        <v>115</v>
      </c>
      <c r="F1773" s="9" t="s">
        <v>434</v>
      </c>
      <c r="G1773" s="8"/>
      <c r="H1773" s="8"/>
      <c r="I1773" s="9" t="s">
        <v>12</v>
      </c>
      <c r="J1773" s="9" t="s">
        <v>12</v>
      </c>
      <c r="K1773" s="9" t="s">
        <v>130</v>
      </c>
      <c r="L1773" s="9" t="s">
        <v>209</v>
      </c>
      <c r="M1773" s="14" t="s">
        <v>84</v>
      </c>
      <c r="N1773" s="9" t="s">
        <v>436</v>
      </c>
      <c r="O1773" s="9" t="s">
        <v>724</v>
      </c>
      <c r="P1773" s="9" t="s">
        <v>738</v>
      </c>
      <c r="Q1773" s="11"/>
      <c r="R1773" s="11"/>
      <c r="S1773" s="11">
        <v>0</v>
      </c>
      <c r="T1773" s="9"/>
      <c r="U1773" s="14" t="s">
        <v>77</v>
      </c>
      <c r="V1773" s="9"/>
      <c r="W1773" s="12"/>
      <c r="X1773" s="13"/>
      <c r="Y1773" s="13"/>
      <c r="Z1773" s="13"/>
      <c r="AA1773" s="13"/>
      <c r="AB1773" s="13"/>
      <c r="AC1773" s="13"/>
      <c r="AD1773" s="13"/>
      <c r="AE1773" s="13">
        <v>0</v>
      </c>
      <c r="AF1773" s="13"/>
      <c r="AG1773" s="13"/>
      <c r="AH1773" s="13"/>
      <c r="AI1773" s="13"/>
      <c r="AJ1773" s="13">
        <f t="shared" si="209"/>
        <v>0</v>
      </c>
      <c r="AK1773" s="12"/>
      <c r="AL1773" s="13"/>
      <c r="AM1773" s="9"/>
      <c r="AN1773" s="9"/>
      <c r="AO1773" s="9"/>
      <c r="AP1773" s="14"/>
    </row>
    <row r="1774" spans="1:42" s="45" customFormat="1" ht="22" customHeight="1">
      <c r="A1774" s="14" t="s">
        <v>17</v>
      </c>
      <c r="B1774" s="8">
        <v>2024</v>
      </c>
      <c r="C1774" s="8" t="s">
        <v>24</v>
      </c>
      <c r="D1774" s="9" t="s">
        <v>185</v>
      </c>
      <c r="E1774" s="9" t="s">
        <v>115</v>
      </c>
      <c r="F1774" s="9" t="s">
        <v>434</v>
      </c>
      <c r="G1774" s="8"/>
      <c r="H1774" s="8"/>
      <c r="I1774" s="9" t="s">
        <v>12</v>
      </c>
      <c r="J1774" s="9" t="s">
        <v>12</v>
      </c>
      <c r="K1774" s="9" t="s">
        <v>130</v>
      </c>
      <c r="L1774" s="9" t="s">
        <v>209</v>
      </c>
      <c r="M1774" s="14" t="s">
        <v>84</v>
      </c>
      <c r="N1774" s="9" t="s">
        <v>436</v>
      </c>
      <c r="O1774" s="9" t="s">
        <v>724</v>
      </c>
      <c r="P1774" s="9" t="s">
        <v>739</v>
      </c>
      <c r="Q1774" s="11"/>
      <c r="R1774" s="11"/>
      <c r="S1774" s="11">
        <v>0</v>
      </c>
      <c r="T1774" s="9"/>
      <c r="U1774" s="14" t="s">
        <v>77</v>
      </c>
      <c r="V1774" s="9"/>
      <c r="W1774" s="12"/>
      <c r="X1774" s="13"/>
      <c r="Y1774" s="13"/>
      <c r="Z1774" s="13"/>
      <c r="AA1774" s="13"/>
      <c r="AB1774" s="13"/>
      <c r="AC1774" s="13"/>
      <c r="AD1774" s="13"/>
      <c r="AE1774" s="13">
        <v>0</v>
      </c>
      <c r="AF1774" s="13"/>
      <c r="AG1774" s="13"/>
      <c r="AH1774" s="13"/>
      <c r="AI1774" s="13"/>
      <c r="AJ1774" s="13">
        <f t="shared" ref="AJ1774:AJ1837" si="210">SUBTOTAL(9,X1774:AI1774)</f>
        <v>0</v>
      </c>
      <c r="AK1774" s="12"/>
      <c r="AL1774" s="13"/>
      <c r="AM1774" s="9"/>
      <c r="AN1774" s="9"/>
      <c r="AO1774" s="9"/>
      <c r="AP1774" s="14"/>
    </row>
    <row r="1775" spans="1:42" s="45" customFormat="1" ht="22" customHeight="1">
      <c r="A1775" s="14" t="s">
        <v>17</v>
      </c>
      <c r="B1775" s="8">
        <v>2024</v>
      </c>
      <c r="C1775" s="8" t="s">
        <v>24</v>
      </c>
      <c r="D1775" s="9" t="s">
        <v>185</v>
      </c>
      <c r="E1775" s="9" t="s">
        <v>115</v>
      </c>
      <c r="F1775" s="9" t="s">
        <v>434</v>
      </c>
      <c r="G1775" s="8"/>
      <c r="H1775" s="8"/>
      <c r="I1775" s="9" t="s">
        <v>12</v>
      </c>
      <c r="J1775" s="9" t="s">
        <v>12</v>
      </c>
      <c r="K1775" s="9" t="s">
        <v>130</v>
      </c>
      <c r="L1775" s="9" t="s">
        <v>209</v>
      </c>
      <c r="M1775" s="14" t="s">
        <v>84</v>
      </c>
      <c r="N1775" s="9" t="s">
        <v>436</v>
      </c>
      <c r="O1775" s="9" t="s">
        <v>724</v>
      </c>
      <c r="P1775" s="9" t="s">
        <v>740</v>
      </c>
      <c r="Q1775" s="11"/>
      <c r="R1775" s="11"/>
      <c r="S1775" s="11">
        <v>0</v>
      </c>
      <c r="T1775" s="9"/>
      <c r="U1775" s="14" t="s">
        <v>77</v>
      </c>
      <c r="V1775" s="9"/>
      <c r="W1775" s="12"/>
      <c r="X1775" s="13"/>
      <c r="Y1775" s="13"/>
      <c r="Z1775" s="13"/>
      <c r="AA1775" s="13"/>
      <c r="AB1775" s="13"/>
      <c r="AC1775" s="13"/>
      <c r="AD1775" s="13"/>
      <c r="AE1775" s="13">
        <v>0</v>
      </c>
      <c r="AF1775" s="13"/>
      <c r="AG1775" s="13"/>
      <c r="AH1775" s="13"/>
      <c r="AI1775" s="13"/>
      <c r="AJ1775" s="13">
        <f t="shared" si="210"/>
        <v>0</v>
      </c>
      <c r="AK1775" s="12"/>
      <c r="AL1775" s="13"/>
      <c r="AM1775" s="9"/>
      <c r="AN1775" s="9"/>
      <c r="AO1775" s="9"/>
      <c r="AP1775" s="14"/>
    </row>
    <row r="1776" spans="1:42" s="45" customFormat="1" ht="22" customHeight="1">
      <c r="A1776" s="14" t="s">
        <v>17</v>
      </c>
      <c r="B1776" s="8">
        <v>2024</v>
      </c>
      <c r="C1776" s="8" t="s">
        <v>24</v>
      </c>
      <c r="D1776" s="9" t="s">
        <v>185</v>
      </c>
      <c r="E1776" s="9" t="s">
        <v>115</v>
      </c>
      <c r="F1776" s="9" t="s">
        <v>434</v>
      </c>
      <c r="G1776" s="8"/>
      <c r="H1776" s="8"/>
      <c r="I1776" s="9" t="s">
        <v>12</v>
      </c>
      <c r="J1776" s="9" t="s">
        <v>12</v>
      </c>
      <c r="K1776" s="9" t="s">
        <v>130</v>
      </c>
      <c r="L1776" s="9" t="s">
        <v>209</v>
      </c>
      <c r="M1776" s="14" t="s">
        <v>84</v>
      </c>
      <c r="N1776" s="9" t="s">
        <v>436</v>
      </c>
      <c r="O1776" s="9" t="s">
        <v>724</v>
      </c>
      <c r="P1776" s="9" t="s">
        <v>741</v>
      </c>
      <c r="Q1776" s="11"/>
      <c r="R1776" s="11"/>
      <c r="S1776" s="11">
        <v>0</v>
      </c>
      <c r="T1776" s="9"/>
      <c r="U1776" s="14" t="s">
        <v>77</v>
      </c>
      <c r="V1776" s="9"/>
      <c r="W1776" s="12"/>
      <c r="X1776" s="13"/>
      <c r="Y1776" s="13"/>
      <c r="Z1776" s="13"/>
      <c r="AA1776" s="13"/>
      <c r="AB1776" s="13"/>
      <c r="AC1776" s="13"/>
      <c r="AD1776" s="13"/>
      <c r="AE1776" s="13">
        <v>0</v>
      </c>
      <c r="AF1776" s="13"/>
      <c r="AG1776" s="13"/>
      <c r="AH1776" s="13"/>
      <c r="AI1776" s="13"/>
      <c r="AJ1776" s="13">
        <f t="shared" si="210"/>
        <v>0</v>
      </c>
      <c r="AK1776" s="12"/>
      <c r="AL1776" s="13"/>
      <c r="AM1776" s="9"/>
      <c r="AN1776" s="9"/>
      <c r="AO1776" s="9"/>
      <c r="AP1776" s="14"/>
    </row>
    <row r="1777" spans="1:42" s="45" customFormat="1" ht="22" customHeight="1">
      <c r="A1777" s="14" t="s">
        <v>17</v>
      </c>
      <c r="B1777" s="8">
        <v>2024</v>
      </c>
      <c r="C1777" s="8" t="s">
        <v>24</v>
      </c>
      <c r="D1777" s="9" t="s">
        <v>185</v>
      </c>
      <c r="E1777" s="9" t="s">
        <v>115</v>
      </c>
      <c r="F1777" s="9" t="s">
        <v>434</v>
      </c>
      <c r="G1777" s="8"/>
      <c r="H1777" s="8"/>
      <c r="I1777" s="9" t="s">
        <v>12</v>
      </c>
      <c r="J1777" s="9" t="s">
        <v>12</v>
      </c>
      <c r="K1777" s="9" t="s">
        <v>130</v>
      </c>
      <c r="L1777" s="9" t="s">
        <v>209</v>
      </c>
      <c r="M1777" s="14" t="s">
        <v>84</v>
      </c>
      <c r="N1777" s="9" t="s">
        <v>436</v>
      </c>
      <c r="O1777" s="9" t="s">
        <v>724</v>
      </c>
      <c r="P1777" s="9" t="s">
        <v>742</v>
      </c>
      <c r="Q1777" s="11"/>
      <c r="R1777" s="11"/>
      <c r="S1777" s="11">
        <v>0</v>
      </c>
      <c r="T1777" s="9"/>
      <c r="U1777" s="14" t="s">
        <v>77</v>
      </c>
      <c r="V1777" s="9"/>
      <c r="W1777" s="12"/>
      <c r="X1777" s="13"/>
      <c r="Y1777" s="13"/>
      <c r="Z1777" s="13"/>
      <c r="AA1777" s="13"/>
      <c r="AB1777" s="13"/>
      <c r="AC1777" s="13"/>
      <c r="AD1777" s="13"/>
      <c r="AE1777" s="13">
        <v>0</v>
      </c>
      <c r="AF1777" s="13"/>
      <c r="AG1777" s="13"/>
      <c r="AH1777" s="13"/>
      <c r="AI1777" s="13"/>
      <c r="AJ1777" s="13">
        <f t="shared" si="210"/>
        <v>0</v>
      </c>
      <c r="AK1777" s="12"/>
      <c r="AL1777" s="13"/>
      <c r="AM1777" s="9"/>
      <c r="AN1777" s="9"/>
      <c r="AO1777" s="9"/>
      <c r="AP1777" s="14"/>
    </row>
    <row r="1778" spans="1:42" s="45" customFormat="1" ht="22" customHeight="1">
      <c r="A1778" s="14" t="s">
        <v>17</v>
      </c>
      <c r="B1778" s="8">
        <v>2024</v>
      </c>
      <c r="C1778" s="8" t="s">
        <v>24</v>
      </c>
      <c r="D1778" s="9" t="s">
        <v>185</v>
      </c>
      <c r="E1778" s="9" t="s">
        <v>115</v>
      </c>
      <c r="F1778" s="9" t="s">
        <v>434</v>
      </c>
      <c r="G1778" s="8"/>
      <c r="H1778" s="8"/>
      <c r="I1778" s="9" t="s">
        <v>12</v>
      </c>
      <c r="J1778" s="9" t="s">
        <v>12</v>
      </c>
      <c r="K1778" s="9" t="s">
        <v>130</v>
      </c>
      <c r="L1778" s="9" t="s">
        <v>209</v>
      </c>
      <c r="M1778" s="14" t="s">
        <v>84</v>
      </c>
      <c r="N1778" s="9" t="s">
        <v>436</v>
      </c>
      <c r="O1778" s="9" t="s">
        <v>724</v>
      </c>
      <c r="P1778" s="9" t="s">
        <v>743</v>
      </c>
      <c r="Q1778" s="11"/>
      <c r="R1778" s="11"/>
      <c r="S1778" s="11">
        <v>0</v>
      </c>
      <c r="T1778" s="9"/>
      <c r="U1778" s="14" t="s">
        <v>77</v>
      </c>
      <c r="V1778" s="9"/>
      <c r="W1778" s="12"/>
      <c r="X1778" s="13"/>
      <c r="Y1778" s="13"/>
      <c r="Z1778" s="13"/>
      <c r="AA1778" s="13"/>
      <c r="AB1778" s="13"/>
      <c r="AC1778" s="13"/>
      <c r="AD1778" s="13"/>
      <c r="AE1778" s="13">
        <v>0</v>
      </c>
      <c r="AF1778" s="13"/>
      <c r="AG1778" s="13"/>
      <c r="AH1778" s="13"/>
      <c r="AI1778" s="13"/>
      <c r="AJ1778" s="13">
        <f t="shared" si="210"/>
        <v>0</v>
      </c>
      <c r="AK1778" s="12"/>
      <c r="AL1778" s="13"/>
      <c r="AM1778" s="9"/>
      <c r="AN1778" s="9"/>
      <c r="AO1778" s="9"/>
      <c r="AP1778" s="14"/>
    </row>
    <row r="1779" spans="1:42" s="45" customFormat="1" ht="22" customHeight="1">
      <c r="A1779" s="14" t="s">
        <v>17</v>
      </c>
      <c r="B1779" s="8">
        <v>2024</v>
      </c>
      <c r="C1779" s="8" t="s">
        <v>24</v>
      </c>
      <c r="D1779" s="9" t="s">
        <v>185</v>
      </c>
      <c r="E1779" s="9" t="s">
        <v>115</v>
      </c>
      <c r="F1779" s="9" t="s">
        <v>434</v>
      </c>
      <c r="G1779" s="8"/>
      <c r="H1779" s="8"/>
      <c r="I1779" s="9" t="s">
        <v>12</v>
      </c>
      <c r="J1779" s="9" t="s">
        <v>12</v>
      </c>
      <c r="K1779" s="9" t="s">
        <v>130</v>
      </c>
      <c r="L1779" s="9" t="s">
        <v>209</v>
      </c>
      <c r="M1779" s="14" t="s">
        <v>84</v>
      </c>
      <c r="N1779" s="9" t="s">
        <v>436</v>
      </c>
      <c r="O1779" s="9" t="s">
        <v>724</v>
      </c>
      <c r="P1779" s="9" t="s">
        <v>744</v>
      </c>
      <c r="Q1779" s="11"/>
      <c r="R1779" s="11"/>
      <c r="S1779" s="11">
        <v>0</v>
      </c>
      <c r="T1779" s="9"/>
      <c r="U1779" s="14" t="s">
        <v>77</v>
      </c>
      <c r="V1779" s="9"/>
      <c r="W1779" s="12"/>
      <c r="X1779" s="13"/>
      <c r="Y1779" s="13"/>
      <c r="Z1779" s="13"/>
      <c r="AA1779" s="13"/>
      <c r="AB1779" s="13"/>
      <c r="AC1779" s="13"/>
      <c r="AD1779" s="13"/>
      <c r="AE1779" s="13">
        <v>0</v>
      </c>
      <c r="AF1779" s="13"/>
      <c r="AG1779" s="13"/>
      <c r="AH1779" s="13"/>
      <c r="AI1779" s="13"/>
      <c r="AJ1779" s="13">
        <f t="shared" si="210"/>
        <v>0</v>
      </c>
      <c r="AK1779" s="12"/>
      <c r="AL1779" s="13"/>
      <c r="AM1779" s="9"/>
      <c r="AN1779" s="9"/>
      <c r="AO1779" s="9"/>
      <c r="AP1779" s="14"/>
    </row>
    <row r="1780" spans="1:42" s="45" customFormat="1" ht="22" customHeight="1">
      <c r="A1780" s="14" t="s">
        <v>17</v>
      </c>
      <c r="B1780" s="8">
        <v>2024</v>
      </c>
      <c r="C1780" s="8" t="s">
        <v>24</v>
      </c>
      <c r="D1780" s="9" t="s">
        <v>185</v>
      </c>
      <c r="E1780" s="9" t="s">
        <v>115</v>
      </c>
      <c r="F1780" s="9" t="s">
        <v>434</v>
      </c>
      <c r="G1780" s="8"/>
      <c r="H1780" s="8"/>
      <c r="I1780" s="9" t="s">
        <v>12</v>
      </c>
      <c r="J1780" s="9" t="s">
        <v>12</v>
      </c>
      <c r="K1780" s="9" t="s">
        <v>130</v>
      </c>
      <c r="L1780" s="9" t="s">
        <v>209</v>
      </c>
      <c r="M1780" s="14" t="s">
        <v>84</v>
      </c>
      <c r="N1780" s="9" t="s">
        <v>436</v>
      </c>
      <c r="O1780" s="9" t="s">
        <v>724</v>
      </c>
      <c r="P1780" s="9" t="s">
        <v>745</v>
      </c>
      <c r="Q1780" s="11"/>
      <c r="R1780" s="11"/>
      <c r="S1780" s="11">
        <v>0</v>
      </c>
      <c r="T1780" s="9"/>
      <c r="U1780" s="14" t="s">
        <v>77</v>
      </c>
      <c r="V1780" s="9"/>
      <c r="W1780" s="12"/>
      <c r="X1780" s="13"/>
      <c r="Y1780" s="13"/>
      <c r="Z1780" s="13"/>
      <c r="AA1780" s="13"/>
      <c r="AB1780" s="13"/>
      <c r="AC1780" s="13"/>
      <c r="AD1780" s="13"/>
      <c r="AE1780" s="13">
        <v>0</v>
      </c>
      <c r="AF1780" s="13"/>
      <c r="AG1780" s="13"/>
      <c r="AH1780" s="13"/>
      <c r="AI1780" s="13"/>
      <c r="AJ1780" s="13">
        <f t="shared" si="210"/>
        <v>0</v>
      </c>
      <c r="AK1780" s="12"/>
      <c r="AL1780" s="13"/>
      <c r="AM1780" s="9"/>
      <c r="AN1780" s="9"/>
      <c r="AO1780" s="9"/>
      <c r="AP1780" s="14"/>
    </row>
    <row r="1781" spans="1:42" s="45" customFormat="1" ht="22" customHeight="1">
      <c r="A1781" s="14" t="s">
        <v>17</v>
      </c>
      <c r="B1781" s="8">
        <v>2024</v>
      </c>
      <c r="C1781" s="8" t="s">
        <v>24</v>
      </c>
      <c r="D1781" s="9" t="s">
        <v>185</v>
      </c>
      <c r="E1781" s="9" t="s">
        <v>115</v>
      </c>
      <c r="F1781" s="9" t="s">
        <v>434</v>
      </c>
      <c r="G1781" s="8"/>
      <c r="H1781" s="8"/>
      <c r="I1781" s="9" t="s">
        <v>12</v>
      </c>
      <c r="J1781" s="9" t="s">
        <v>12</v>
      </c>
      <c r="K1781" s="9" t="s">
        <v>130</v>
      </c>
      <c r="L1781" s="9" t="s">
        <v>209</v>
      </c>
      <c r="M1781" s="14" t="s">
        <v>84</v>
      </c>
      <c r="N1781" s="9" t="s">
        <v>436</v>
      </c>
      <c r="O1781" s="9" t="s">
        <v>724</v>
      </c>
      <c r="P1781" s="9" t="s">
        <v>746</v>
      </c>
      <c r="Q1781" s="11"/>
      <c r="R1781" s="11"/>
      <c r="S1781" s="11">
        <v>0</v>
      </c>
      <c r="T1781" s="9"/>
      <c r="U1781" s="14" t="s">
        <v>77</v>
      </c>
      <c r="V1781" s="9"/>
      <c r="W1781" s="12"/>
      <c r="X1781" s="13"/>
      <c r="Y1781" s="13"/>
      <c r="Z1781" s="13"/>
      <c r="AA1781" s="13"/>
      <c r="AB1781" s="13"/>
      <c r="AC1781" s="13"/>
      <c r="AD1781" s="13"/>
      <c r="AE1781" s="13">
        <v>0</v>
      </c>
      <c r="AF1781" s="13"/>
      <c r="AG1781" s="13"/>
      <c r="AH1781" s="13"/>
      <c r="AI1781" s="13"/>
      <c r="AJ1781" s="13">
        <f t="shared" si="210"/>
        <v>0</v>
      </c>
      <c r="AK1781" s="12"/>
      <c r="AL1781" s="13"/>
      <c r="AM1781" s="9"/>
      <c r="AN1781" s="9"/>
      <c r="AO1781" s="9"/>
      <c r="AP1781" s="14"/>
    </row>
    <row r="1782" spans="1:42" s="45" customFormat="1" ht="22" customHeight="1">
      <c r="A1782" s="14" t="s">
        <v>17</v>
      </c>
      <c r="B1782" s="8">
        <v>2024</v>
      </c>
      <c r="C1782" s="8" t="s">
        <v>24</v>
      </c>
      <c r="D1782" s="9" t="s">
        <v>185</v>
      </c>
      <c r="E1782" s="9" t="s">
        <v>115</v>
      </c>
      <c r="F1782" s="9" t="s">
        <v>434</v>
      </c>
      <c r="G1782" s="8"/>
      <c r="H1782" s="8"/>
      <c r="I1782" s="9" t="s">
        <v>12</v>
      </c>
      <c r="J1782" s="9" t="s">
        <v>12</v>
      </c>
      <c r="K1782" s="9" t="s">
        <v>130</v>
      </c>
      <c r="L1782" s="9" t="s">
        <v>209</v>
      </c>
      <c r="M1782" s="14" t="s">
        <v>84</v>
      </c>
      <c r="N1782" s="9" t="s">
        <v>436</v>
      </c>
      <c r="O1782" s="9" t="s">
        <v>724</v>
      </c>
      <c r="P1782" s="9" t="s">
        <v>747</v>
      </c>
      <c r="Q1782" s="11"/>
      <c r="R1782" s="11"/>
      <c r="S1782" s="11">
        <v>0</v>
      </c>
      <c r="T1782" s="9"/>
      <c r="U1782" s="14" t="s">
        <v>77</v>
      </c>
      <c r="V1782" s="9"/>
      <c r="W1782" s="12"/>
      <c r="X1782" s="13"/>
      <c r="Y1782" s="13"/>
      <c r="Z1782" s="13"/>
      <c r="AA1782" s="13"/>
      <c r="AB1782" s="13"/>
      <c r="AC1782" s="13"/>
      <c r="AD1782" s="13"/>
      <c r="AE1782" s="13">
        <v>0</v>
      </c>
      <c r="AF1782" s="13"/>
      <c r="AG1782" s="13"/>
      <c r="AH1782" s="13"/>
      <c r="AI1782" s="13"/>
      <c r="AJ1782" s="13">
        <f t="shared" si="210"/>
        <v>0</v>
      </c>
      <c r="AK1782" s="12"/>
      <c r="AL1782" s="13"/>
      <c r="AM1782" s="9"/>
      <c r="AN1782" s="9"/>
      <c r="AO1782" s="9"/>
      <c r="AP1782" s="14"/>
    </row>
    <row r="1783" spans="1:42" s="45" customFormat="1" ht="22" customHeight="1">
      <c r="A1783" s="14" t="s">
        <v>17</v>
      </c>
      <c r="B1783" s="8">
        <v>2024</v>
      </c>
      <c r="C1783" s="8" t="s">
        <v>24</v>
      </c>
      <c r="D1783" s="9" t="s">
        <v>185</v>
      </c>
      <c r="E1783" s="9" t="s">
        <v>115</v>
      </c>
      <c r="F1783" s="9" t="s">
        <v>434</v>
      </c>
      <c r="G1783" s="8"/>
      <c r="H1783" s="8"/>
      <c r="I1783" s="9" t="s">
        <v>12</v>
      </c>
      <c r="J1783" s="9" t="s">
        <v>12</v>
      </c>
      <c r="K1783" s="9" t="s">
        <v>130</v>
      </c>
      <c r="L1783" s="9" t="s">
        <v>209</v>
      </c>
      <c r="M1783" s="14" t="s">
        <v>84</v>
      </c>
      <c r="N1783" s="9" t="s">
        <v>436</v>
      </c>
      <c r="O1783" s="9" t="s">
        <v>724</v>
      </c>
      <c r="P1783" s="9" t="s">
        <v>748</v>
      </c>
      <c r="Q1783" s="11"/>
      <c r="R1783" s="11"/>
      <c r="S1783" s="11">
        <v>0</v>
      </c>
      <c r="T1783" s="9"/>
      <c r="U1783" s="14" t="s">
        <v>77</v>
      </c>
      <c r="V1783" s="9"/>
      <c r="W1783" s="12"/>
      <c r="X1783" s="13"/>
      <c r="Y1783" s="13"/>
      <c r="Z1783" s="13"/>
      <c r="AA1783" s="13"/>
      <c r="AB1783" s="13"/>
      <c r="AC1783" s="13"/>
      <c r="AD1783" s="13"/>
      <c r="AE1783" s="13">
        <v>0</v>
      </c>
      <c r="AF1783" s="13"/>
      <c r="AG1783" s="13"/>
      <c r="AH1783" s="13"/>
      <c r="AI1783" s="13"/>
      <c r="AJ1783" s="13">
        <f t="shared" si="210"/>
        <v>0</v>
      </c>
      <c r="AK1783" s="12"/>
      <c r="AL1783" s="13"/>
      <c r="AM1783" s="9"/>
      <c r="AN1783" s="9"/>
      <c r="AO1783" s="9"/>
      <c r="AP1783" s="14"/>
    </row>
    <row r="1784" spans="1:42" s="45" customFormat="1" ht="22" customHeight="1">
      <c r="A1784" s="14" t="s">
        <v>17</v>
      </c>
      <c r="B1784" s="8">
        <v>2024</v>
      </c>
      <c r="C1784" s="8" t="s">
        <v>24</v>
      </c>
      <c r="D1784" s="9" t="s">
        <v>185</v>
      </c>
      <c r="E1784" s="9" t="s">
        <v>115</v>
      </c>
      <c r="F1784" s="9" t="s">
        <v>434</v>
      </c>
      <c r="G1784" s="8"/>
      <c r="H1784" s="8"/>
      <c r="I1784" s="9" t="s">
        <v>12</v>
      </c>
      <c r="J1784" s="9" t="s">
        <v>12</v>
      </c>
      <c r="K1784" s="9" t="s">
        <v>130</v>
      </c>
      <c r="L1784" s="9" t="s">
        <v>209</v>
      </c>
      <c r="M1784" s="14" t="s">
        <v>84</v>
      </c>
      <c r="N1784" s="9" t="s">
        <v>436</v>
      </c>
      <c r="O1784" s="9" t="s">
        <v>724</v>
      </c>
      <c r="P1784" s="9" t="s">
        <v>749</v>
      </c>
      <c r="Q1784" s="11"/>
      <c r="R1784" s="11"/>
      <c r="S1784" s="11">
        <v>0</v>
      </c>
      <c r="T1784" s="9"/>
      <c r="U1784" s="14" t="s">
        <v>77</v>
      </c>
      <c r="V1784" s="9"/>
      <c r="W1784" s="12"/>
      <c r="X1784" s="13"/>
      <c r="Y1784" s="13"/>
      <c r="Z1784" s="13"/>
      <c r="AA1784" s="13"/>
      <c r="AB1784" s="13"/>
      <c r="AC1784" s="13"/>
      <c r="AD1784" s="13"/>
      <c r="AE1784" s="13">
        <v>0</v>
      </c>
      <c r="AF1784" s="13"/>
      <c r="AG1784" s="13"/>
      <c r="AH1784" s="13"/>
      <c r="AI1784" s="13"/>
      <c r="AJ1784" s="13">
        <f t="shared" si="210"/>
        <v>0</v>
      </c>
      <c r="AK1784" s="12"/>
      <c r="AL1784" s="13"/>
      <c r="AM1784" s="9"/>
      <c r="AN1784" s="9"/>
      <c r="AO1784" s="9"/>
      <c r="AP1784" s="14"/>
    </row>
    <row r="1785" spans="1:42" s="45" customFormat="1" ht="22" customHeight="1">
      <c r="A1785" s="14" t="s">
        <v>17</v>
      </c>
      <c r="B1785" s="8">
        <v>2024</v>
      </c>
      <c r="C1785" s="8" t="s">
        <v>24</v>
      </c>
      <c r="D1785" s="9" t="s">
        <v>185</v>
      </c>
      <c r="E1785" s="9" t="s">
        <v>115</v>
      </c>
      <c r="F1785" s="9" t="s">
        <v>434</v>
      </c>
      <c r="G1785" s="8"/>
      <c r="H1785" s="8"/>
      <c r="I1785" s="9" t="s">
        <v>12</v>
      </c>
      <c r="J1785" s="9" t="s">
        <v>12</v>
      </c>
      <c r="K1785" s="9" t="s">
        <v>130</v>
      </c>
      <c r="L1785" s="9" t="s">
        <v>209</v>
      </c>
      <c r="M1785" s="14" t="s">
        <v>84</v>
      </c>
      <c r="N1785" s="9" t="s">
        <v>436</v>
      </c>
      <c r="O1785" s="9" t="s">
        <v>724</v>
      </c>
      <c r="P1785" s="9" t="s">
        <v>750</v>
      </c>
      <c r="Q1785" s="11"/>
      <c r="R1785" s="11"/>
      <c r="S1785" s="11">
        <v>0</v>
      </c>
      <c r="T1785" s="9"/>
      <c r="U1785" s="14" t="s">
        <v>77</v>
      </c>
      <c r="V1785" s="9"/>
      <c r="W1785" s="12"/>
      <c r="X1785" s="13"/>
      <c r="Y1785" s="13"/>
      <c r="Z1785" s="13"/>
      <c r="AA1785" s="13"/>
      <c r="AB1785" s="13"/>
      <c r="AC1785" s="13"/>
      <c r="AD1785" s="13"/>
      <c r="AE1785" s="13">
        <v>0</v>
      </c>
      <c r="AF1785" s="13"/>
      <c r="AG1785" s="13"/>
      <c r="AH1785" s="13"/>
      <c r="AI1785" s="13"/>
      <c r="AJ1785" s="13">
        <f t="shared" si="210"/>
        <v>0</v>
      </c>
      <c r="AK1785" s="12"/>
      <c r="AL1785" s="13"/>
      <c r="AM1785" s="9"/>
      <c r="AN1785" s="9"/>
      <c r="AO1785" s="9"/>
      <c r="AP1785" s="14"/>
    </row>
    <row r="1786" spans="1:42" s="45" customFormat="1" ht="22" customHeight="1">
      <c r="A1786" s="14" t="s">
        <v>17</v>
      </c>
      <c r="B1786" s="8">
        <v>2024</v>
      </c>
      <c r="C1786" s="8" t="s">
        <v>24</v>
      </c>
      <c r="D1786" s="9" t="s">
        <v>185</v>
      </c>
      <c r="E1786" s="9" t="s">
        <v>115</v>
      </c>
      <c r="F1786" s="9" t="s">
        <v>434</v>
      </c>
      <c r="G1786" s="8"/>
      <c r="H1786" s="8"/>
      <c r="I1786" s="9" t="s">
        <v>12</v>
      </c>
      <c r="J1786" s="9" t="s">
        <v>12</v>
      </c>
      <c r="K1786" s="9" t="s">
        <v>130</v>
      </c>
      <c r="L1786" s="9" t="s">
        <v>209</v>
      </c>
      <c r="M1786" s="14" t="s">
        <v>84</v>
      </c>
      <c r="N1786" s="9" t="s">
        <v>436</v>
      </c>
      <c r="O1786" s="9" t="s">
        <v>724</v>
      </c>
      <c r="P1786" s="9" t="s">
        <v>751</v>
      </c>
      <c r="Q1786" s="11"/>
      <c r="R1786" s="11"/>
      <c r="S1786" s="11">
        <v>0</v>
      </c>
      <c r="T1786" s="9"/>
      <c r="U1786" s="14" t="s">
        <v>77</v>
      </c>
      <c r="V1786" s="9"/>
      <c r="W1786" s="12"/>
      <c r="X1786" s="13"/>
      <c r="Y1786" s="13"/>
      <c r="Z1786" s="13"/>
      <c r="AA1786" s="13"/>
      <c r="AB1786" s="13"/>
      <c r="AC1786" s="13"/>
      <c r="AD1786" s="13"/>
      <c r="AE1786" s="13">
        <v>0</v>
      </c>
      <c r="AF1786" s="13"/>
      <c r="AG1786" s="13"/>
      <c r="AH1786" s="13"/>
      <c r="AI1786" s="13"/>
      <c r="AJ1786" s="13">
        <f t="shared" si="210"/>
        <v>0</v>
      </c>
      <c r="AK1786" s="12"/>
      <c r="AL1786" s="13"/>
      <c r="AM1786" s="9"/>
      <c r="AN1786" s="9"/>
      <c r="AO1786" s="9"/>
      <c r="AP1786" s="14"/>
    </row>
    <row r="1787" spans="1:42" s="45" customFormat="1" ht="22" customHeight="1">
      <c r="A1787" s="14" t="s">
        <v>17</v>
      </c>
      <c r="B1787" s="8">
        <v>2024</v>
      </c>
      <c r="C1787" s="8" t="s">
        <v>24</v>
      </c>
      <c r="D1787" s="9" t="s">
        <v>185</v>
      </c>
      <c r="E1787" s="9" t="s">
        <v>115</v>
      </c>
      <c r="F1787" s="9" t="s">
        <v>434</v>
      </c>
      <c r="G1787" s="8"/>
      <c r="H1787" s="8"/>
      <c r="I1787" s="9" t="s">
        <v>12</v>
      </c>
      <c r="J1787" s="9" t="s">
        <v>12</v>
      </c>
      <c r="K1787" s="9" t="s">
        <v>130</v>
      </c>
      <c r="L1787" s="9" t="s">
        <v>209</v>
      </c>
      <c r="M1787" s="14" t="s">
        <v>84</v>
      </c>
      <c r="N1787" s="9" t="s">
        <v>436</v>
      </c>
      <c r="O1787" s="9" t="s">
        <v>724</v>
      </c>
      <c r="P1787" s="9" t="s">
        <v>752</v>
      </c>
      <c r="Q1787" s="11"/>
      <c r="R1787" s="11"/>
      <c r="S1787" s="11">
        <v>0</v>
      </c>
      <c r="T1787" s="9"/>
      <c r="U1787" s="14" t="s">
        <v>77</v>
      </c>
      <c r="V1787" s="9"/>
      <c r="W1787" s="12"/>
      <c r="X1787" s="13"/>
      <c r="Y1787" s="13"/>
      <c r="Z1787" s="13"/>
      <c r="AA1787" s="13"/>
      <c r="AB1787" s="13"/>
      <c r="AC1787" s="13"/>
      <c r="AD1787" s="13"/>
      <c r="AE1787" s="13">
        <v>0</v>
      </c>
      <c r="AF1787" s="13"/>
      <c r="AG1787" s="13"/>
      <c r="AH1787" s="13"/>
      <c r="AI1787" s="13"/>
      <c r="AJ1787" s="13">
        <f t="shared" si="210"/>
        <v>0</v>
      </c>
      <c r="AK1787" s="12"/>
      <c r="AL1787" s="13"/>
      <c r="AM1787" s="9"/>
      <c r="AN1787" s="9"/>
      <c r="AO1787" s="9"/>
      <c r="AP1787" s="14"/>
    </row>
    <row r="1788" spans="1:42" s="45" customFormat="1" ht="22" customHeight="1">
      <c r="A1788" s="14" t="s">
        <v>17</v>
      </c>
      <c r="B1788" s="8">
        <v>2024</v>
      </c>
      <c r="C1788" s="8" t="s">
        <v>24</v>
      </c>
      <c r="D1788" s="9" t="s">
        <v>185</v>
      </c>
      <c r="E1788" s="9" t="s">
        <v>115</v>
      </c>
      <c r="F1788" s="9" t="s">
        <v>434</v>
      </c>
      <c r="G1788" s="8"/>
      <c r="H1788" s="8"/>
      <c r="I1788" s="9" t="s">
        <v>12</v>
      </c>
      <c r="J1788" s="9" t="s">
        <v>12</v>
      </c>
      <c r="K1788" s="9" t="s">
        <v>130</v>
      </c>
      <c r="L1788" s="9" t="s">
        <v>209</v>
      </c>
      <c r="M1788" s="14" t="s">
        <v>84</v>
      </c>
      <c r="N1788" s="9" t="s">
        <v>436</v>
      </c>
      <c r="O1788" s="9" t="s">
        <v>753</v>
      </c>
      <c r="P1788" s="9" t="s">
        <v>754</v>
      </c>
      <c r="Q1788" s="11"/>
      <c r="R1788" s="11"/>
      <c r="S1788" s="11">
        <v>0</v>
      </c>
      <c r="T1788" s="9"/>
      <c r="U1788" s="14" t="s">
        <v>77</v>
      </c>
      <c r="V1788" s="9"/>
      <c r="W1788" s="12"/>
      <c r="X1788" s="13"/>
      <c r="Y1788" s="13"/>
      <c r="Z1788" s="13"/>
      <c r="AA1788" s="13"/>
      <c r="AB1788" s="13"/>
      <c r="AC1788" s="13"/>
      <c r="AD1788" s="13"/>
      <c r="AE1788" s="13">
        <v>0</v>
      </c>
      <c r="AF1788" s="13"/>
      <c r="AG1788" s="13"/>
      <c r="AH1788" s="13"/>
      <c r="AI1788" s="13"/>
      <c r="AJ1788" s="13">
        <f t="shared" si="210"/>
        <v>0</v>
      </c>
      <c r="AK1788" s="12"/>
      <c r="AL1788" s="13"/>
      <c r="AM1788" s="9"/>
      <c r="AN1788" s="9"/>
      <c r="AO1788" s="9"/>
      <c r="AP1788" s="14"/>
    </row>
    <row r="1789" spans="1:42" s="45" customFormat="1" ht="22" customHeight="1">
      <c r="A1789" s="14" t="s">
        <v>17</v>
      </c>
      <c r="B1789" s="8">
        <v>2024</v>
      </c>
      <c r="C1789" s="8" t="s">
        <v>24</v>
      </c>
      <c r="D1789" s="9" t="s">
        <v>185</v>
      </c>
      <c r="E1789" s="9" t="s">
        <v>115</v>
      </c>
      <c r="F1789" s="9" t="s">
        <v>434</v>
      </c>
      <c r="G1789" s="8"/>
      <c r="H1789" s="8"/>
      <c r="I1789" s="9" t="s">
        <v>12</v>
      </c>
      <c r="J1789" s="9" t="s">
        <v>12</v>
      </c>
      <c r="K1789" s="9" t="s">
        <v>130</v>
      </c>
      <c r="L1789" s="9" t="s">
        <v>209</v>
      </c>
      <c r="M1789" s="14" t="s">
        <v>84</v>
      </c>
      <c r="N1789" s="9" t="s">
        <v>436</v>
      </c>
      <c r="O1789" s="9" t="s">
        <v>753</v>
      </c>
      <c r="P1789" s="9" t="s">
        <v>755</v>
      </c>
      <c r="Q1789" s="11"/>
      <c r="R1789" s="11"/>
      <c r="S1789" s="11">
        <v>0</v>
      </c>
      <c r="T1789" s="9"/>
      <c r="U1789" s="14" t="s">
        <v>77</v>
      </c>
      <c r="V1789" s="9"/>
      <c r="W1789" s="12"/>
      <c r="X1789" s="13"/>
      <c r="Y1789" s="13"/>
      <c r="Z1789" s="13"/>
      <c r="AA1789" s="13"/>
      <c r="AB1789" s="13"/>
      <c r="AC1789" s="13"/>
      <c r="AD1789" s="13"/>
      <c r="AE1789" s="13">
        <v>0</v>
      </c>
      <c r="AF1789" s="13"/>
      <c r="AG1789" s="13"/>
      <c r="AH1789" s="13"/>
      <c r="AI1789" s="13"/>
      <c r="AJ1789" s="13">
        <f t="shared" si="210"/>
        <v>0</v>
      </c>
      <c r="AK1789" s="12"/>
      <c r="AL1789" s="13"/>
      <c r="AM1789" s="9"/>
      <c r="AN1789" s="9"/>
      <c r="AO1789" s="9"/>
      <c r="AP1789" s="14"/>
    </row>
    <row r="1790" spans="1:42" s="45" customFormat="1" ht="22" customHeight="1">
      <c r="A1790" s="14" t="s">
        <v>17</v>
      </c>
      <c r="B1790" s="8">
        <v>2024</v>
      </c>
      <c r="C1790" s="8" t="s">
        <v>24</v>
      </c>
      <c r="D1790" s="9" t="s">
        <v>185</v>
      </c>
      <c r="E1790" s="9" t="s">
        <v>115</v>
      </c>
      <c r="F1790" s="9" t="s">
        <v>434</v>
      </c>
      <c r="G1790" s="8"/>
      <c r="H1790" s="8"/>
      <c r="I1790" s="9" t="s">
        <v>12</v>
      </c>
      <c r="J1790" s="9" t="s">
        <v>12</v>
      </c>
      <c r="K1790" s="9" t="s">
        <v>130</v>
      </c>
      <c r="L1790" s="9" t="s">
        <v>209</v>
      </c>
      <c r="M1790" s="14" t="s">
        <v>84</v>
      </c>
      <c r="N1790" s="9" t="s">
        <v>436</v>
      </c>
      <c r="O1790" s="9" t="s">
        <v>753</v>
      </c>
      <c r="P1790" s="9" t="s">
        <v>756</v>
      </c>
      <c r="Q1790" s="11"/>
      <c r="R1790" s="11"/>
      <c r="S1790" s="11">
        <v>0</v>
      </c>
      <c r="T1790" s="9"/>
      <c r="U1790" s="14" t="s">
        <v>77</v>
      </c>
      <c r="V1790" s="9"/>
      <c r="W1790" s="12"/>
      <c r="X1790" s="13"/>
      <c r="Y1790" s="13"/>
      <c r="Z1790" s="13"/>
      <c r="AA1790" s="13"/>
      <c r="AB1790" s="13"/>
      <c r="AC1790" s="13"/>
      <c r="AD1790" s="13"/>
      <c r="AE1790" s="13">
        <v>0</v>
      </c>
      <c r="AF1790" s="13"/>
      <c r="AG1790" s="13"/>
      <c r="AH1790" s="13"/>
      <c r="AI1790" s="13"/>
      <c r="AJ1790" s="13">
        <f t="shared" si="210"/>
        <v>0</v>
      </c>
      <c r="AK1790" s="12"/>
      <c r="AL1790" s="13"/>
      <c r="AM1790" s="9"/>
      <c r="AN1790" s="9"/>
      <c r="AO1790" s="9"/>
      <c r="AP1790" s="14"/>
    </row>
    <row r="1791" spans="1:42" s="45" customFormat="1" ht="22" customHeight="1">
      <c r="A1791" s="14" t="s">
        <v>17</v>
      </c>
      <c r="B1791" s="8">
        <v>2024</v>
      </c>
      <c r="C1791" s="8" t="s">
        <v>24</v>
      </c>
      <c r="D1791" s="9" t="s">
        <v>185</v>
      </c>
      <c r="E1791" s="9" t="s">
        <v>115</v>
      </c>
      <c r="F1791" s="9" t="s">
        <v>434</v>
      </c>
      <c r="G1791" s="8"/>
      <c r="H1791" s="8"/>
      <c r="I1791" s="9" t="s">
        <v>12</v>
      </c>
      <c r="J1791" s="9" t="s">
        <v>12</v>
      </c>
      <c r="K1791" s="9" t="s">
        <v>130</v>
      </c>
      <c r="L1791" s="9" t="s">
        <v>209</v>
      </c>
      <c r="M1791" s="14" t="s">
        <v>84</v>
      </c>
      <c r="N1791" s="9" t="s">
        <v>436</v>
      </c>
      <c r="O1791" s="9" t="s">
        <v>753</v>
      </c>
      <c r="P1791" s="9" t="s">
        <v>757</v>
      </c>
      <c r="Q1791" s="11"/>
      <c r="R1791" s="11"/>
      <c r="S1791" s="11">
        <v>0</v>
      </c>
      <c r="T1791" s="9"/>
      <c r="U1791" s="14" t="s">
        <v>77</v>
      </c>
      <c r="V1791" s="9"/>
      <c r="W1791" s="12"/>
      <c r="X1791" s="13"/>
      <c r="Y1791" s="13"/>
      <c r="Z1791" s="13"/>
      <c r="AA1791" s="13"/>
      <c r="AB1791" s="13"/>
      <c r="AC1791" s="13"/>
      <c r="AD1791" s="13"/>
      <c r="AE1791" s="13">
        <v>0</v>
      </c>
      <c r="AF1791" s="13"/>
      <c r="AG1791" s="13"/>
      <c r="AH1791" s="13"/>
      <c r="AI1791" s="13"/>
      <c r="AJ1791" s="13">
        <f t="shared" si="210"/>
        <v>0</v>
      </c>
      <c r="AK1791" s="12"/>
      <c r="AL1791" s="13"/>
      <c r="AM1791" s="9"/>
      <c r="AN1791" s="9"/>
      <c r="AO1791" s="9"/>
      <c r="AP1791" s="14"/>
    </row>
    <row r="1792" spans="1:42" s="45" customFormat="1" ht="22" customHeight="1">
      <c r="A1792" s="14" t="s">
        <v>17</v>
      </c>
      <c r="B1792" s="8">
        <v>2024</v>
      </c>
      <c r="C1792" s="8" t="s">
        <v>24</v>
      </c>
      <c r="D1792" s="9" t="s">
        <v>185</v>
      </c>
      <c r="E1792" s="9" t="s">
        <v>115</v>
      </c>
      <c r="F1792" s="9" t="s">
        <v>434</v>
      </c>
      <c r="G1792" s="8"/>
      <c r="H1792" s="8"/>
      <c r="I1792" s="9" t="s">
        <v>12</v>
      </c>
      <c r="J1792" s="9" t="s">
        <v>12</v>
      </c>
      <c r="K1792" s="9" t="s">
        <v>130</v>
      </c>
      <c r="L1792" s="9" t="s">
        <v>209</v>
      </c>
      <c r="M1792" s="14" t="s">
        <v>84</v>
      </c>
      <c r="N1792" s="9" t="s">
        <v>436</v>
      </c>
      <c r="O1792" s="9" t="s">
        <v>753</v>
      </c>
      <c r="P1792" s="9" t="s">
        <v>758</v>
      </c>
      <c r="Q1792" s="11"/>
      <c r="R1792" s="11"/>
      <c r="S1792" s="11">
        <v>0</v>
      </c>
      <c r="T1792" s="9"/>
      <c r="U1792" s="14" t="s">
        <v>77</v>
      </c>
      <c r="V1792" s="9"/>
      <c r="W1792" s="12"/>
      <c r="X1792" s="13"/>
      <c r="Y1792" s="13"/>
      <c r="Z1792" s="13"/>
      <c r="AA1792" s="13"/>
      <c r="AB1792" s="13"/>
      <c r="AC1792" s="13"/>
      <c r="AD1792" s="13"/>
      <c r="AE1792" s="13">
        <v>0</v>
      </c>
      <c r="AF1792" s="13"/>
      <c r="AG1792" s="13"/>
      <c r="AH1792" s="13"/>
      <c r="AI1792" s="13"/>
      <c r="AJ1792" s="13">
        <f t="shared" si="210"/>
        <v>0</v>
      </c>
      <c r="AK1792" s="12"/>
      <c r="AL1792" s="13"/>
      <c r="AM1792" s="9"/>
      <c r="AN1792" s="9"/>
      <c r="AO1792" s="9"/>
      <c r="AP1792" s="14"/>
    </row>
    <row r="1793" spans="1:42" s="45" customFormat="1" ht="22" customHeight="1">
      <c r="A1793" s="14" t="s">
        <v>17</v>
      </c>
      <c r="B1793" s="8">
        <v>2024</v>
      </c>
      <c r="C1793" s="8" t="s">
        <v>24</v>
      </c>
      <c r="D1793" s="9" t="s">
        <v>185</v>
      </c>
      <c r="E1793" s="9" t="s">
        <v>115</v>
      </c>
      <c r="F1793" s="9" t="s">
        <v>434</v>
      </c>
      <c r="G1793" s="8"/>
      <c r="H1793" s="8"/>
      <c r="I1793" s="9" t="s">
        <v>12</v>
      </c>
      <c r="J1793" s="9" t="s">
        <v>12</v>
      </c>
      <c r="K1793" s="9" t="s">
        <v>130</v>
      </c>
      <c r="L1793" s="9" t="s">
        <v>209</v>
      </c>
      <c r="M1793" s="14" t="s">
        <v>84</v>
      </c>
      <c r="N1793" s="9" t="s">
        <v>436</v>
      </c>
      <c r="O1793" s="9" t="s">
        <v>753</v>
      </c>
      <c r="P1793" s="9" t="s">
        <v>759</v>
      </c>
      <c r="Q1793" s="11"/>
      <c r="R1793" s="11"/>
      <c r="S1793" s="11">
        <v>0</v>
      </c>
      <c r="T1793" s="9"/>
      <c r="U1793" s="14" t="s">
        <v>77</v>
      </c>
      <c r="V1793" s="9"/>
      <c r="W1793" s="12"/>
      <c r="X1793" s="13"/>
      <c r="Y1793" s="13"/>
      <c r="Z1793" s="13"/>
      <c r="AA1793" s="13"/>
      <c r="AB1793" s="13"/>
      <c r="AC1793" s="13"/>
      <c r="AD1793" s="13"/>
      <c r="AE1793" s="13">
        <v>0</v>
      </c>
      <c r="AF1793" s="13"/>
      <c r="AG1793" s="13"/>
      <c r="AH1793" s="13"/>
      <c r="AI1793" s="13"/>
      <c r="AJ1793" s="13">
        <f t="shared" si="210"/>
        <v>0</v>
      </c>
      <c r="AK1793" s="12"/>
      <c r="AL1793" s="13"/>
      <c r="AM1793" s="9"/>
      <c r="AN1793" s="9"/>
      <c r="AO1793" s="9"/>
      <c r="AP1793" s="14"/>
    </row>
    <row r="1794" spans="1:42" s="45" customFormat="1" ht="22" customHeight="1">
      <c r="A1794" s="14" t="s">
        <v>17</v>
      </c>
      <c r="B1794" s="8">
        <v>2024</v>
      </c>
      <c r="C1794" s="8" t="s">
        <v>24</v>
      </c>
      <c r="D1794" s="9" t="s">
        <v>185</v>
      </c>
      <c r="E1794" s="9" t="s">
        <v>115</v>
      </c>
      <c r="F1794" s="9" t="s">
        <v>434</v>
      </c>
      <c r="G1794" s="8"/>
      <c r="H1794" s="8"/>
      <c r="I1794" s="9" t="s">
        <v>12</v>
      </c>
      <c r="J1794" s="9" t="s">
        <v>12</v>
      </c>
      <c r="K1794" s="9" t="s">
        <v>130</v>
      </c>
      <c r="L1794" s="9" t="s">
        <v>209</v>
      </c>
      <c r="M1794" s="14" t="s">
        <v>84</v>
      </c>
      <c r="N1794" s="9" t="s">
        <v>436</v>
      </c>
      <c r="O1794" s="9" t="s">
        <v>753</v>
      </c>
      <c r="P1794" s="9" t="s">
        <v>760</v>
      </c>
      <c r="Q1794" s="11"/>
      <c r="R1794" s="11"/>
      <c r="S1794" s="11">
        <v>0</v>
      </c>
      <c r="T1794" s="9"/>
      <c r="U1794" s="14" t="s">
        <v>77</v>
      </c>
      <c r="V1794" s="9"/>
      <c r="W1794" s="12"/>
      <c r="X1794" s="13"/>
      <c r="Y1794" s="13"/>
      <c r="Z1794" s="13"/>
      <c r="AA1794" s="13"/>
      <c r="AB1794" s="13"/>
      <c r="AC1794" s="13"/>
      <c r="AD1794" s="13"/>
      <c r="AE1794" s="13">
        <v>0</v>
      </c>
      <c r="AF1794" s="13"/>
      <c r="AG1794" s="13"/>
      <c r="AH1794" s="13"/>
      <c r="AI1794" s="13"/>
      <c r="AJ1794" s="13">
        <f t="shared" si="210"/>
        <v>0</v>
      </c>
      <c r="AK1794" s="12"/>
      <c r="AL1794" s="13"/>
      <c r="AM1794" s="9"/>
      <c r="AN1794" s="9"/>
      <c r="AO1794" s="9"/>
      <c r="AP1794" s="14"/>
    </row>
    <row r="1795" spans="1:42" s="45" customFormat="1" ht="22" customHeight="1">
      <c r="A1795" s="14" t="s">
        <v>17</v>
      </c>
      <c r="B1795" s="8">
        <v>2024</v>
      </c>
      <c r="C1795" s="8" t="s">
        <v>24</v>
      </c>
      <c r="D1795" s="9" t="s">
        <v>185</v>
      </c>
      <c r="E1795" s="9" t="s">
        <v>115</v>
      </c>
      <c r="F1795" s="9" t="s">
        <v>434</v>
      </c>
      <c r="G1795" s="8"/>
      <c r="H1795" s="8"/>
      <c r="I1795" s="9" t="s">
        <v>12</v>
      </c>
      <c r="J1795" s="9" t="s">
        <v>12</v>
      </c>
      <c r="K1795" s="9" t="s">
        <v>130</v>
      </c>
      <c r="L1795" s="9" t="s">
        <v>209</v>
      </c>
      <c r="M1795" s="14" t="s">
        <v>84</v>
      </c>
      <c r="N1795" s="9" t="s">
        <v>436</v>
      </c>
      <c r="O1795" s="9" t="s">
        <v>753</v>
      </c>
      <c r="P1795" s="9" t="s">
        <v>761</v>
      </c>
      <c r="Q1795" s="11"/>
      <c r="R1795" s="11"/>
      <c r="S1795" s="11">
        <v>0</v>
      </c>
      <c r="T1795" s="9"/>
      <c r="U1795" s="14" t="s">
        <v>77</v>
      </c>
      <c r="V1795" s="9"/>
      <c r="W1795" s="12"/>
      <c r="X1795" s="13"/>
      <c r="Y1795" s="13"/>
      <c r="Z1795" s="13"/>
      <c r="AA1795" s="13"/>
      <c r="AB1795" s="13"/>
      <c r="AC1795" s="13"/>
      <c r="AD1795" s="13"/>
      <c r="AE1795" s="13">
        <v>0</v>
      </c>
      <c r="AF1795" s="13"/>
      <c r="AG1795" s="13"/>
      <c r="AH1795" s="13"/>
      <c r="AI1795" s="13"/>
      <c r="AJ1795" s="13">
        <f t="shared" si="210"/>
        <v>0</v>
      </c>
      <c r="AK1795" s="12"/>
      <c r="AL1795" s="13"/>
      <c r="AM1795" s="9"/>
      <c r="AN1795" s="9"/>
      <c r="AO1795" s="9"/>
      <c r="AP1795" s="14"/>
    </row>
    <row r="1796" spans="1:42" s="45" customFormat="1" ht="22" customHeight="1">
      <c r="A1796" s="14" t="s">
        <v>17</v>
      </c>
      <c r="B1796" s="8">
        <v>2024</v>
      </c>
      <c r="C1796" s="8" t="s">
        <v>24</v>
      </c>
      <c r="D1796" s="9" t="s">
        <v>185</v>
      </c>
      <c r="E1796" s="9" t="s">
        <v>115</v>
      </c>
      <c r="F1796" s="9" t="s">
        <v>434</v>
      </c>
      <c r="G1796" s="8"/>
      <c r="H1796" s="8"/>
      <c r="I1796" s="9" t="s">
        <v>12</v>
      </c>
      <c r="J1796" s="9" t="s">
        <v>12</v>
      </c>
      <c r="K1796" s="9" t="s">
        <v>130</v>
      </c>
      <c r="L1796" s="9" t="s">
        <v>209</v>
      </c>
      <c r="M1796" s="14" t="s">
        <v>84</v>
      </c>
      <c r="N1796" s="9" t="s">
        <v>436</v>
      </c>
      <c r="O1796" s="9" t="s">
        <v>753</v>
      </c>
      <c r="P1796" s="9" t="s">
        <v>762</v>
      </c>
      <c r="Q1796" s="11"/>
      <c r="R1796" s="11"/>
      <c r="S1796" s="11">
        <v>0</v>
      </c>
      <c r="T1796" s="9"/>
      <c r="U1796" s="14" t="s">
        <v>77</v>
      </c>
      <c r="V1796" s="9"/>
      <c r="W1796" s="12"/>
      <c r="X1796" s="13"/>
      <c r="Y1796" s="13"/>
      <c r="Z1796" s="13"/>
      <c r="AA1796" s="13"/>
      <c r="AB1796" s="13"/>
      <c r="AC1796" s="13"/>
      <c r="AD1796" s="13"/>
      <c r="AE1796" s="13">
        <v>0</v>
      </c>
      <c r="AF1796" s="13"/>
      <c r="AG1796" s="13"/>
      <c r="AH1796" s="13"/>
      <c r="AI1796" s="13"/>
      <c r="AJ1796" s="13">
        <f t="shared" si="210"/>
        <v>0</v>
      </c>
      <c r="AK1796" s="12"/>
      <c r="AL1796" s="13"/>
      <c r="AM1796" s="9"/>
      <c r="AN1796" s="9"/>
      <c r="AO1796" s="9"/>
      <c r="AP1796" s="14"/>
    </row>
    <row r="1797" spans="1:42" s="45" customFormat="1" ht="22" customHeight="1">
      <c r="A1797" s="14" t="s">
        <v>17</v>
      </c>
      <c r="B1797" s="8">
        <v>2024</v>
      </c>
      <c r="C1797" s="8" t="s">
        <v>24</v>
      </c>
      <c r="D1797" s="9" t="s">
        <v>185</v>
      </c>
      <c r="E1797" s="9" t="s">
        <v>115</v>
      </c>
      <c r="F1797" s="9" t="s">
        <v>434</v>
      </c>
      <c r="G1797" s="8"/>
      <c r="H1797" s="8"/>
      <c r="I1797" s="9" t="s">
        <v>12</v>
      </c>
      <c r="J1797" s="9" t="s">
        <v>12</v>
      </c>
      <c r="K1797" s="9" t="s">
        <v>130</v>
      </c>
      <c r="L1797" s="9" t="s">
        <v>209</v>
      </c>
      <c r="M1797" s="14" t="s">
        <v>84</v>
      </c>
      <c r="N1797" s="9" t="s">
        <v>436</v>
      </c>
      <c r="O1797" s="9" t="s">
        <v>753</v>
      </c>
      <c r="P1797" s="9" t="s">
        <v>763</v>
      </c>
      <c r="Q1797" s="11"/>
      <c r="R1797" s="11"/>
      <c r="S1797" s="11">
        <v>0</v>
      </c>
      <c r="T1797" s="9"/>
      <c r="U1797" s="14" t="s">
        <v>77</v>
      </c>
      <c r="V1797" s="9"/>
      <c r="W1797" s="12"/>
      <c r="X1797" s="13"/>
      <c r="Y1797" s="13"/>
      <c r="Z1797" s="13"/>
      <c r="AA1797" s="13"/>
      <c r="AB1797" s="13"/>
      <c r="AC1797" s="13"/>
      <c r="AD1797" s="13"/>
      <c r="AE1797" s="13">
        <v>0</v>
      </c>
      <c r="AF1797" s="13"/>
      <c r="AG1797" s="13"/>
      <c r="AH1797" s="13"/>
      <c r="AI1797" s="13"/>
      <c r="AJ1797" s="13">
        <f t="shared" si="210"/>
        <v>0</v>
      </c>
      <c r="AK1797" s="12"/>
      <c r="AL1797" s="13"/>
      <c r="AM1797" s="9"/>
      <c r="AN1797" s="9"/>
      <c r="AO1797" s="9"/>
      <c r="AP1797" s="14"/>
    </row>
    <row r="1798" spans="1:42" s="45" customFormat="1" ht="22" customHeight="1">
      <c r="A1798" s="14" t="s">
        <v>17</v>
      </c>
      <c r="B1798" s="8">
        <v>2024</v>
      </c>
      <c r="C1798" s="8" t="s">
        <v>24</v>
      </c>
      <c r="D1798" s="9" t="s">
        <v>185</v>
      </c>
      <c r="E1798" s="9" t="s">
        <v>115</v>
      </c>
      <c r="F1798" s="9" t="s">
        <v>434</v>
      </c>
      <c r="G1798" s="8"/>
      <c r="H1798" s="8"/>
      <c r="I1798" s="9" t="s">
        <v>12</v>
      </c>
      <c r="J1798" s="9" t="s">
        <v>12</v>
      </c>
      <c r="K1798" s="9" t="s">
        <v>130</v>
      </c>
      <c r="L1798" s="9" t="s">
        <v>209</v>
      </c>
      <c r="M1798" s="14" t="s">
        <v>84</v>
      </c>
      <c r="N1798" s="9" t="s">
        <v>436</v>
      </c>
      <c r="O1798" s="9" t="s">
        <v>753</v>
      </c>
      <c r="P1798" s="9" t="s">
        <v>764</v>
      </c>
      <c r="Q1798" s="11"/>
      <c r="R1798" s="11"/>
      <c r="S1798" s="11">
        <v>0</v>
      </c>
      <c r="T1798" s="9"/>
      <c r="U1798" s="14" t="s">
        <v>77</v>
      </c>
      <c r="V1798" s="9"/>
      <c r="W1798" s="12"/>
      <c r="X1798" s="13"/>
      <c r="Y1798" s="13"/>
      <c r="Z1798" s="13"/>
      <c r="AA1798" s="13"/>
      <c r="AB1798" s="13"/>
      <c r="AC1798" s="13"/>
      <c r="AD1798" s="13"/>
      <c r="AE1798" s="13">
        <v>0</v>
      </c>
      <c r="AF1798" s="13"/>
      <c r="AG1798" s="13"/>
      <c r="AH1798" s="13"/>
      <c r="AI1798" s="13"/>
      <c r="AJ1798" s="13">
        <f t="shared" si="210"/>
        <v>0</v>
      </c>
      <c r="AK1798" s="12"/>
      <c r="AL1798" s="13"/>
      <c r="AM1798" s="9"/>
      <c r="AN1798" s="9"/>
      <c r="AO1798" s="9"/>
      <c r="AP1798" s="14"/>
    </row>
    <row r="1799" spans="1:42" s="45" customFormat="1" ht="22" customHeight="1">
      <c r="A1799" s="14" t="s">
        <v>17</v>
      </c>
      <c r="B1799" s="8">
        <v>2024</v>
      </c>
      <c r="C1799" s="8" t="s">
        <v>24</v>
      </c>
      <c r="D1799" s="9" t="s">
        <v>185</v>
      </c>
      <c r="E1799" s="9" t="s">
        <v>115</v>
      </c>
      <c r="F1799" s="9" t="s">
        <v>434</v>
      </c>
      <c r="G1799" s="8"/>
      <c r="H1799" s="8"/>
      <c r="I1799" s="9" t="s">
        <v>12</v>
      </c>
      <c r="J1799" s="9" t="s">
        <v>12</v>
      </c>
      <c r="K1799" s="9" t="s">
        <v>130</v>
      </c>
      <c r="L1799" s="9" t="s">
        <v>209</v>
      </c>
      <c r="M1799" s="14" t="s">
        <v>84</v>
      </c>
      <c r="N1799" s="9" t="s">
        <v>436</v>
      </c>
      <c r="O1799" s="9" t="s">
        <v>753</v>
      </c>
      <c r="P1799" s="9" t="s">
        <v>765</v>
      </c>
      <c r="Q1799" s="11"/>
      <c r="R1799" s="11"/>
      <c r="S1799" s="11">
        <v>0</v>
      </c>
      <c r="T1799" s="9"/>
      <c r="U1799" s="14" t="s">
        <v>77</v>
      </c>
      <c r="V1799" s="9"/>
      <c r="W1799" s="12"/>
      <c r="X1799" s="13"/>
      <c r="Y1799" s="13"/>
      <c r="Z1799" s="13"/>
      <c r="AA1799" s="13"/>
      <c r="AB1799" s="13"/>
      <c r="AC1799" s="13"/>
      <c r="AD1799" s="13"/>
      <c r="AE1799" s="13">
        <v>0</v>
      </c>
      <c r="AF1799" s="13"/>
      <c r="AG1799" s="13"/>
      <c r="AH1799" s="13"/>
      <c r="AI1799" s="13"/>
      <c r="AJ1799" s="13">
        <f t="shared" si="210"/>
        <v>0</v>
      </c>
      <c r="AK1799" s="12"/>
      <c r="AL1799" s="13"/>
      <c r="AM1799" s="9"/>
      <c r="AN1799" s="9"/>
      <c r="AO1799" s="9"/>
      <c r="AP1799" s="14"/>
    </row>
    <row r="1800" spans="1:42" s="45" customFormat="1" ht="22" customHeight="1">
      <c r="A1800" s="14" t="s">
        <v>17</v>
      </c>
      <c r="B1800" s="8">
        <v>2024</v>
      </c>
      <c r="C1800" s="8" t="s">
        <v>24</v>
      </c>
      <c r="D1800" s="9" t="s">
        <v>185</v>
      </c>
      <c r="E1800" s="9" t="s">
        <v>115</v>
      </c>
      <c r="F1800" s="9" t="s">
        <v>434</v>
      </c>
      <c r="G1800" s="8"/>
      <c r="H1800" s="8"/>
      <c r="I1800" s="9" t="s">
        <v>12</v>
      </c>
      <c r="J1800" s="9" t="s">
        <v>12</v>
      </c>
      <c r="K1800" s="9" t="s">
        <v>130</v>
      </c>
      <c r="L1800" s="9" t="s">
        <v>209</v>
      </c>
      <c r="M1800" s="14" t="s">
        <v>84</v>
      </c>
      <c r="N1800" s="9" t="s">
        <v>436</v>
      </c>
      <c r="O1800" s="9" t="s">
        <v>753</v>
      </c>
      <c r="P1800" s="9" t="s">
        <v>766</v>
      </c>
      <c r="Q1800" s="11"/>
      <c r="R1800" s="11"/>
      <c r="S1800" s="11">
        <v>0</v>
      </c>
      <c r="T1800" s="9"/>
      <c r="U1800" s="14" t="s">
        <v>77</v>
      </c>
      <c r="V1800" s="9"/>
      <c r="W1800" s="12"/>
      <c r="X1800" s="13"/>
      <c r="Y1800" s="13"/>
      <c r="Z1800" s="13"/>
      <c r="AA1800" s="13"/>
      <c r="AB1800" s="13"/>
      <c r="AC1800" s="13"/>
      <c r="AD1800" s="13"/>
      <c r="AE1800" s="13">
        <v>0</v>
      </c>
      <c r="AF1800" s="13"/>
      <c r="AG1800" s="13"/>
      <c r="AH1800" s="13"/>
      <c r="AI1800" s="13"/>
      <c r="AJ1800" s="13">
        <f t="shared" si="210"/>
        <v>0</v>
      </c>
      <c r="AK1800" s="12"/>
      <c r="AL1800" s="13"/>
      <c r="AM1800" s="9"/>
      <c r="AN1800" s="9"/>
      <c r="AO1800" s="9"/>
      <c r="AP1800" s="14"/>
    </row>
    <row r="1801" spans="1:42" s="45" customFormat="1" ht="22" customHeight="1">
      <c r="A1801" s="14" t="s">
        <v>17</v>
      </c>
      <c r="B1801" s="8">
        <v>2024</v>
      </c>
      <c r="C1801" s="8" t="s">
        <v>24</v>
      </c>
      <c r="D1801" s="9" t="s">
        <v>185</v>
      </c>
      <c r="E1801" s="9" t="s">
        <v>115</v>
      </c>
      <c r="F1801" s="9" t="s">
        <v>434</v>
      </c>
      <c r="G1801" s="8"/>
      <c r="H1801" s="8"/>
      <c r="I1801" s="9" t="s">
        <v>12</v>
      </c>
      <c r="J1801" s="9" t="s">
        <v>12</v>
      </c>
      <c r="K1801" s="9" t="s">
        <v>130</v>
      </c>
      <c r="L1801" s="9" t="s">
        <v>209</v>
      </c>
      <c r="M1801" s="14" t="s">
        <v>84</v>
      </c>
      <c r="N1801" s="9" t="s">
        <v>436</v>
      </c>
      <c r="O1801" s="9" t="s">
        <v>753</v>
      </c>
      <c r="P1801" s="9" t="s">
        <v>767</v>
      </c>
      <c r="Q1801" s="11"/>
      <c r="R1801" s="11"/>
      <c r="S1801" s="11">
        <v>0</v>
      </c>
      <c r="T1801" s="9"/>
      <c r="U1801" s="14" t="s">
        <v>77</v>
      </c>
      <c r="V1801" s="9"/>
      <c r="W1801" s="12"/>
      <c r="X1801" s="13"/>
      <c r="Y1801" s="13"/>
      <c r="Z1801" s="13"/>
      <c r="AA1801" s="13"/>
      <c r="AB1801" s="13"/>
      <c r="AC1801" s="13"/>
      <c r="AD1801" s="13"/>
      <c r="AE1801" s="13">
        <v>0</v>
      </c>
      <c r="AF1801" s="13"/>
      <c r="AG1801" s="13"/>
      <c r="AH1801" s="13"/>
      <c r="AI1801" s="13"/>
      <c r="AJ1801" s="13">
        <f t="shared" si="210"/>
        <v>0</v>
      </c>
      <c r="AK1801" s="12"/>
      <c r="AL1801" s="13"/>
      <c r="AM1801" s="9"/>
      <c r="AN1801" s="9"/>
      <c r="AO1801" s="9"/>
      <c r="AP1801" s="14"/>
    </row>
    <row r="1802" spans="1:42" s="45" customFormat="1" ht="22" customHeight="1">
      <c r="A1802" s="14" t="s">
        <v>17</v>
      </c>
      <c r="B1802" s="8">
        <v>2024</v>
      </c>
      <c r="C1802" s="8" t="s">
        <v>24</v>
      </c>
      <c r="D1802" s="9" t="s">
        <v>185</v>
      </c>
      <c r="E1802" s="9" t="s">
        <v>115</v>
      </c>
      <c r="F1802" s="9" t="s">
        <v>434</v>
      </c>
      <c r="G1802" s="8"/>
      <c r="H1802" s="8"/>
      <c r="I1802" s="9" t="s">
        <v>12</v>
      </c>
      <c r="J1802" s="9" t="s">
        <v>12</v>
      </c>
      <c r="K1802" s="9" t="s">
        <v>130</v>
      </c>
      <c r="L1802" s="9" t="s">
        <v>209</v>
      </c>
      <c r="M1802" s="14" t="s">
        <v>84</v>
      </c>
      <c r="N1802" s="9" t="s">
        <v>436</v>
      </c>
      <c r="O1802" s="9" t="s">
        <v>753</v>
      </c>
      <c r="P1802" s="9" t="s">
        <v>768</v>
      </c>
      <c r="Q1802" s="11"/>
      <c r="R1802" s="11"/>
      <c r="S1802" s="11">
        <v>0</v>
      </c>
      <c r="T1802" s="9"/>
      <c r="U1802" s="14" t="s">
        <v>77</v>
      </c>
      <c r="V1802" s="9"/>
      <c r="W1802" s="12"/>
      <c r="X1802" s="13"/>
      <c r="Y1802" s="13"/>
      <c r="Z1802" s="13"/>
      <c r="AA1802" s="13"/>
      <c r="AB1802" s="13"/>
      <c r="AC1802" s="13"/>
      <c r="AD1802" s="13"/>
      <c r="AE1802" s="13">
        <v>0</v>
      </c>
      <c r="AF1802" s="13"/>
      <c r="AG1802" s="13"/>
      <c r="AH1802" s="13"/>
      <c r="AI1802" s="13"/>
      <c r="AJ1802" s="13">
        <f t="shared" si="210"/>
        <v>0</v>
      </c>
      <c r="AK1802" s="12"/>
      <c r="AL1802" s="13"/>
      <c r="AM1802" s="9"/>
      <c r="AN1802" s="9"/>
      <c r="AO1802" s="9"/>
      <c r="AP1802" s="14"/>
    </row>
    <row r="1803" spans="1:42" s="45" customFormat="1" ht="22" customHeight="1">
      <c r="A1803" s="14" t="s">
        <v>17</v>
      </c>
      <c r="B1803" s="8">
        <v>2024</v>
      </c>
      <c r="C1803" s="8" t="s">
        <v>24</v>
      </c>
      <c r="D1803" s="9" t="s">
        <v>185</v>
      </c>
      <c r="E1803" s="9" t="s">
        <v>115</v>
      </c>
      <c r="F1803" s="9" t="s">
        <v>434</v>
      </c>
      <c r="G1803" s="8"/>
      <c r="H1803" s="8"/>
      <c r="I1803" s="9" t="s">
        <v>12</v>
      </c>
      <c r="J1803" s="9" t="s">
        <v>12</v>
      </c>
      <c r="K1803" s="9" t="s">
        <v>130</v>
      </c>
      <c r="L1803" s="9" t="s">
        <v>209</v>
      </c>
      <c r="M1803" s="14" t="s">
        <v>84</v>
      </c>
      <c r="N1803" s="9" t="s">
        <v>436</v>
      </c>
      <c r="O1803" s="9" t="s">
        <v>753</v>
      </c>
      <c r="P1803" s="9" t="s">
        <v>769</v>
      </c>
      <c r="Q1803" s="11"/>
      <c r="R1803" s="11"/>
      <c r="S1803" s="11">
        <v>0</v>
      </c>
      <c r="T1803" s="9"/>
      <c r="U1803" s="14" t="s">
        <v>77</v>
      </c>
      <c r="V1803" s="9"/>
      <c r="W1803" s="12"/>
      <c r="X1803" s="13"/>
      <c r="Y1803" s="13"/>
      <c r="Z1803" s="13"/>
      <c r="AA1803" s="13"/>
      <c r="AB1803" s="13"/>
      <c r="AC1803" s="13"/>
      <c r="AD1803" s="13"/>
      <c r="AE1803" s="13">
        <v>0</v>
      </c>
      <c r="AF1803" s="13"/>
      <c r="AG1803" s="13"/>
      <c r="AH1803" s="13"/>
      <c r="AI1803" s="13"/>
      <c r="AJ1803" s="13">
        <f t="shared" si="210"/>
        <v>0</v>
      </c>
      <c r="AK1803" s="12"/>
      <c r="AL1803" s="13"/>
      <c r="AM1803" s="9"/>
      <c r="AN1803" s="9"/>
      <c r="AO1803" s="9"/>
      <c r="AP1803" s="14"/>
    </row>
    <row r="1804" spans="1:42" s="45" customFormat="1" ht="22" customHeight="1">
      <c r="A1804" s="14" t="s">
        <v>17</v>
      </c>
      <c r="B1804" s="8">
        <v>2024</v>
      </c>
      <c r="C1804" s="8" t="s">
        <v>24</v>
      </c>
      <c r="D1804" s="9" t="s">
        <v>185</v>
      </c>
      <c r="E1804" s="9" t="s">
        <v>115</v>
      </c>
      <c r="F1804" s="9" t="s">
        <v>434</v>
      </c>
      <c r="G1804" s="8"/>
      <c r="H1804" s="8"/>
      <c r="I1804" s="9" t="s">
        <v>12</v>
      </c>
      <c r="J1804" s="9" t="s">
        <v>12</v>
      </c>
      <c r="K1804" s="9" t="s">
        <v>130</v>
      </c>
      <c r="L1804" s="9" t="s">
        <v>209</v>
      </c>
      <c r="M1804" s="14" t="s">
        <v>84</v>
      </c>
      <c r="N1804" s="9" t="s">
        <v>436</v>
      </c>
      <c r="O1804" s="9" t="s">
        <v>753</v>
      </c>
      <c r="P1804" s="9" t="s">
        <v>770</v>
      </c>
      <c r="Q1804" s="11"/>
      <c r="R1804" s="11"/>
      <c r="S1804" s="11">
        <v>0</v>
      </c>
      <c r="T1804" s="9"/>
      <c r="U1804" s="14" t="s">
        <v>77</v>
      </c>
      <c r="V1804" s="9"/>
      <c r="W1804" s="12"/>
      <c r="X1804" s="13"/>
      <c r="Y1804" s="13"/>
      <c r="Z1804" s="13"/>
      <c r="AA1804" s="13"/>
      <c r="AB1804" s="13"/>
      <c r="AC1804" s="13"/>
      <c r="AD1804" s="13"/>
      <c r="AE1804" s="13">
        <v>0</v>
      </c>
      <c r="AF1804" s="13"/>
      <c r="AG1804" s="13"/>
      <c r="AH1804" s="13"/>
      <c r="AI1804" s="13"/>
      <c r="AJ1804" s="13">
        <f t="shared" si="210"/>
        <v>0</v>
      </c>
      <c r="AK1804" s="12"/>
      <c r="AL1804" s="13"/>
      <c r="AM1804" s="9"/>
      <c r="AN1804" s="9"/>
      <c r="AO1804" s="9"/>
      <c r="AP1804" s="14"/>
    </row>
    <row r="1805" spans="1:42" s="45" customFormat="1" ht="22" customHeight="1">
      <c r="A1805" s="14" t="s">
        <v>17</v>
      </c>
      <c r="B1805" s="8">
        <v>2024</v>
      </c>
      <c r="C1805" s="8" t="s">
        <v>24</v>
      </c>
      <c r="D1805" s="9" t="s">
        <v>185</v>
      </c>
      <c r="E1805" s="9" t="s">
        <v>115</v>
      </c>
      <c r="F1805" s="9" t="s">
        <v>434</v>
      </c>
      <c r="G1805" s="8"/>
      <c r="H1805" s="8"/>
      <c r="I1805" s="9" t="s">
        <v>12</v>
      </c>
      <c r="J1805" s="9" t="s">
        <v>12</v>
      </c>
      <c r="K1805" s="9" t="s">
        <v>130</v>
      </c>
      <c r="L1805" s="9" t="s">
        <v>209</v>
      </c>
      <c r="M1805" s="14" t="s">
        <v>84</v>
      </c>
      <c r="N1805" s="9" t="s">
        <v>436</v>
      </c>
      <c r="O1805" s="9" t="s">
        <v>753</v>
      </c>
      <c r="P1805" s="9" t="s">
        <v>771</v>
      </c>
      <c r="Q1805" s="11"/>
      <c r="R1805" s="11"/>
      <c r="S1805" s="11">
        <v>0</v>
      </c>
      <c r="T1805" s="9"/>
      <c r="U1805" s="14" t="s">
        <v>77</v>
      </c>
      <c r="V1805" s="9"/>
      <c r="W1805" s="12"/>
      <c r="X1805" s="13"/>
      <c r="Y1805" s="13"/>
      <c r="Z1805" s="13"/>
      <c r="AA1805" s="13"/>
      <c r="AB1805" s="13"/>
      <c r="AC1805" s="13"/>
      <c r="AD1805" s="13"/>
      <c r="AE1805" s="13">
        <v>0</v>
      </c>
      <c r="AF1805" s="13"/>
      <c r="AG1805" s="13"/>
      <c r="AH1805" s="13"/>
      <c r="AI1805" s="13"/>
      <c r="AJ1805" s="13">
        <f t="shared" si="210"/>
        <v>0</v>
      </c>
      <c r="AK1805" s="12"/>
      <c r="AL1805" s="13"/>
      <c r="AM1805" s="9"/>
      <c r="AN1805" s="9"/>
      <c r="AO1805" s="9"/>
      <c r="AP1805" s="14"/>
    </row>
    <row r="1806" spans="1:42" s="45" customFormat="1" ht="22" customHeight="1">
      <c r="A1806" s="14" t="s">
        <v>17</v>
      </c>
      <c r="B1806" s="8">
        <v>2024</v>
      </c>
      <c r="C1806" s="8" t="s">
        <v>24</v>
      </c>
      <c r="D1806" s="9" t="s">
        <v>185</v>
      </c>
      <c r="E1806" s="9" t="s">
        <v>115</v>
      </c>
      <c r="F1806" s="9" t="s">
        <v>434</v>
      </c>
      <c r="G1806" s="8"/>
      <c r="H1806" s="8"/>
      <c r="I1806" s="9" t="s">
        <v>12</v>
      </c>
      <c r="J1806" s="9" t="s">
        <v>12</v>
      </c>
      <c r="K1806" s="9" t="s">
        <v>130</v>
      </c>
      <c r="L1806" s="9" t="s">
        <v>209</v>
      </c>
      <c r="M1806" s="14" t="s">
        <v>84</v>
      </c>
      <c r="N1806" s="9" t="s">
        <v>436</v>
      </c>
      <c r="O1806" s="9" t="s">
        <v>753</v>
      </c>
      <c r="P1806" s="9" t="s">
        <v>772</v>
      </c>
      <c r="Q1806" s="11"/>
      <c r="R1806" s="11"/>
      <c r="S1806" s="11">
        <v>0</v>
      </c>
      <c r="T1806" s="9"/>
      <c r="U1806" s="14" t="s">
        <v>77</v>
      </c>
      <c r="V1806" s="9"/>
      <c r="W1806" s="12"/>
      <c r="X1806" s="13"/>
      <c r="Y1806" s="13"/>
      <c r="Z1806" s="13"/>
      <c r="AA1806" s="13"/>
      <c r="AB1806" s="13"/>
      <c r="AC1806" s="13"/>
      <c r="AD1806" s="13"/>
      <c r="AE1806" s="13">
        <v>0</v>
      </c>
      <c r="AF1806" s="13"/>
      <c r="AG1806" s="13"/>
      <c r="AH1806" s="13"/>
      <c r="AI1806" s="13"/>
      <c r="AJ1806" s="13">
        <f t="shared" si="210"/>
        <v>0</v>
      </c>
      <c r="AK1806" s="12"/>
      <c r="AL1806" s="13"/>
      <c r="AM1806" s="9"/>
      <c r="AN1806" s="9"/>
      <c r="AO1806" s="9"/>
      <c r="AP1806" s="14"/>
    </row>
    <row r="1807" spans="1:42" s="45" customFormat="1" ht="22" customHeight="1">
      <c r="A1807" s="14" t="s">
        <v>17</v>
      </c>
      <c r="B1807" s="8">
        <v>2024</v>
      </c>
      <c r="C1807" s="8" t="s">
        <v>24</v>
      </c>
      <c r="D1807" s="9" t="s">
        <v>185</v>
      </c>
      <c r="E1807" s="9" t="s">
        <v>115</v>
      </c>
      <c r="F1807" s="9" t="s">
        <v>434</v>
      </c>
      <c r="G1807" s="8"/>
      <c r="H1807" s="8"/>
      <c r="I1807" s="9" t="s">
        <v>12</v>
      </c>
      <c r="J1807" s="9" t="s">
        <v>12</v>
      </c>
      <c r="K1807" s="9" t="s">
        <v>130</v>
      </c>
      <c r="L1807" s="9" t="s">
        <v>209</v>
      </c>
      <c r="M1807" s="14" t="s">
        <v>84</v>
      </c>
      <c r="N1807" s="9" t="s">
        <v>436</v>
      </c>
      <c r="O1807" s="9" t="s">
        <v>753</v>
      </c>
      <c r="P1807" s="9" t="s">
        <v>773</v>
      </c>
      <c r="Q1807" s="11"/>
      <c r="R1807" s="11"/>
      <c r="S1807" s="11">
        <v>0</v>
      </c>
      <c r="T1807" s="9"/>
      <c r="U1807" s="14" t="s">
        <v>77</v>
      </c>
      <c r="V1807" s="9"/>
      <c r="W1807" s="12"/>
      <c r="X1807" s="13"/>
      <c r="Y1807" s="13"/>
      <c r="Z1807" s="13"/>
      <c r="AA1807" s="13"/>
      <c r="AB1807" s="13"/>
      <c r="AC1807" s="13"/>
      <c r="AD1807" s="13"/>
      <c r="AE1807" s="13">
        <v>0</v>
      </c>
      <c r="AF1807" s="13"/>
      <c r="AG1807" s="13"/>
      <c r="AH1807" s="13"/>
      <c r="AI1807" s="13"/>
      <c r="AJ1807" s="13">
        <f t="shared" si="210"/>
        <v>0</v>
      </c>
      <c r="AK1807" s="12"/>
      <c r="AL1807" s="13"/>
      <c r="AM1807" s="9"/>
      <c r="AN1807" s="9"/>
      <c r="AO1807" s="9"/>
      <c r="AP1807" s="14"/>
    </row>
    <row r="1808" spans="1:42" s="45" customFormat="1" ht="22" customHeight="1">
      <c r="A1808" s="14" t="s">
        <v>17</v>
      </c>
      <c r="B1808" s="8">
        <v>2024</v>
      </c>
      <c r="C1808" s="8" t="s">
        <v>24</v>
      </c>
      <c r="D1808" s="9" t="s">
        <v>185</v>
      </c>
      <c r="E1808" s="9" t="s">
        <v>115</v>
      </c>
      <c r="F1808" s="9" t="s">
        <v>434</v>
      </c>
      <c r="G1808" s="8"/>
      <c r="H1808" s="8"/>
      <c r="I1808" s="9" t="s">
        <v>12</v>
      </c>
      <c r="J1808" s="9" t="s">
        <v>12</v>
      </c>
      <c r="K1808" s="9" t="s">
        <v>130</v>
      </c>
      <c r="L1808" s="9" t="s">
        <v>209</v>
      </c>
      <c r="M1808" s="14" t="s">
        <v>84</v>
      </c>
      <c r="N1808" s="9" t="s">
        <v>436</v>
      </c>
      <c r="O1808" s="9" t="s">
        <v>753</v>
      </c>
      <c r="P1808" s="9" t="s">
        <v>774</v>
      </c>
      <c r="Q1808" s="11"/>
      <c r="R1808" s="11"/>
      <c r="S1808" s="11">
        <v>0</v>
      </c>
      <c r="T1808" s="9"/>
      <c r="U1808" s="14" t="s">
        <v>77</v>
      </c>
      <c r="V1808" s="9"/>
      <c r="W1808" s="12"/>
      <c r="X1808" s="13"/>
      <c r="Y1808" s="13"/>
      <c r="Z1808" s="13"/>
      <c r="AA1808" s="13"/>
      <c r="AB1808" s="13"/>
      <c r="AC1808" s="13"/>
      <c r="AD1808" s="13"/>
      <c r="AE1808" s="13">
        <v>0</v>
      </c>
      <c r="AF1808" s="13"/>
      <c r="AG1808" s="13"/>
      <c r="AH1808" s="13"/>
      <c r="AI1808" s="13"/>
      <c r="AJ1808" s="13">
        <f t="shared" si="210"/>
        <v>0</v>
      </c>
      <c r="AK1808" s="12"/>
      <c r="AL1808" s="13"/>
      <c r="AM1808" s="9"/>
      <c r="AN1808" s="9"/>
      <c r="AO1808" s="9"/>
      <c r="AP1808" s="14"/>
    </row>
    <row r="1809" spans="1:42" s="45" customFormat="1" ht="22" customHeight="1">
      <c r="A1809" s="14" t="s">
        <v>17</v>
      </c>
      <c r="B1809" s="8">
        <v>2024</v>
      </c>
      <c r="C1809" s="8" t="s">
        <v>24</v>
      </c>
      <c r="D1809" s="9" t="s">
        <v>185</v>
      </c>
      <c r="E1809" s="9" t="s">
        <v>115</v>
      </c>
      <c r="F1809" s="9" t="s">
        <v>434</v>
      </c>
      <c r="G1809" s="8"/>
      <c r="H1809" s="8"/>
      <c r="I1809" s="9" t="s">
        <v>12</v>
      </c>
      <c r="J1809" s="9" t="s">
        <v>12</v>
      </c>
      <c r="K1809" s="9" t="s">
        <v>130</v>
      </c>
      <c r="L1809" s="9" t="s">
        <v>209</v>
      </c>
      <c r="M1809" s="14" t="s">
        <v>84</v>
      </c>
      <c r="N1809" s="9" t="s">
        <v>436</v>
      </c>
      <c r="O1809" s="9" t="s">
        <v>753</v>
      </c>
      <c r="P1809" s="9" t="s">
        <v>775</v>
      </c>
      <c r="Q1809" s="11"/>
      <c r="R1809" s="11"/>
      <c r="S1809" s="11">
        <v>0</v>
      </c>
      <c r="T1809" s="9"/>
      <c r="U1809" s="14" t="s">
        <v>77</v>
      </c>
      <c r="V1809" s="9"/>
      <c r="W1809" s="12"/>
      <c r="X1809" s="13"/>
      <c r="Y1809" s="13"/>
      <c r="Z1809" s="13"/>
      <c r="AA1809" s="13"/>
      <c r="AB1809" s="13"/>
      <c r="AC1809" s="13"/>
      <c r="AD1809" s="13"/>
      <c r="AE1809" s="13">
        <v>0</v>
      </c>
      <c r="AF1809" s="13"/>
      <c r="AG1809" s="13"/>
      <c r="AH1809" s="13"/>
      <c r="AI1809" s="13"/>
      <c r="AJ1809" s="13">
        <f t="shared" si="210"/>
        <v>0</v>
      </c>
      <c r="AK1809" s="12"/>
      <c r="AL1809" s="13"/>
      <c r="AM1809" s="9"/>
      <c r="AN1809" s="9"/>
      <c r="AO1809" s="9"/>
      <c r="AP1809" s="14"/>
    </row>
    <row r="1810" spans="1:42" s="45" customFormat="1" ht="22" customHeight="1">
      <c r="A1810" s="14" t="s">
        <v>17</v>
      </c>
      <c r="B1810" s="8">
        <v>2024</v>
      </c>
      <c r="C1810" s="8" t="s">
        <v>24</v>
      </c>
      <c r="D1810" s="9" t="s">
        <v>185</v>
      </c>
      <c r="E1810" s="9" t="s">
        <v>115</v>
      </c>
      <c r="F1810" s="9" t="s">
        <v>434</v>
      </c>
      <c r="G1810" s="8"/>
      <c r="H1810" s="8"/>
      <c r="I1810" s="9" t="s">
        <v>12</v>
      </c>
      <c r="J1810" s="9" t="s">
        <v>12</v>
      </c>
      <c r="K1810" s="9" t="s">
        <v>130</v>
      </c>
      <c r="L1810" s="9" t="s">
        <v>209</v>
      </c>
      <c r="M1810" s="14" t="s">
        <v>84</v>
      </c>
      <c r="N1810" s="9" t="s">
        <v>436</v>
      </c>
      <c r="O1810" s="9" t="s">
        <v>753</v>
      </c>
      <c r="P1810" s="9" t="s">
        <v>776</v>
      </c>
      <c r="Q1810" s="11"/>
      <c r="R1810" s="11"/>
      <c r="S1810" s="11">
        <v>0</v>
      </c>
      <c r="T1810" s="9"/>
      <c r="U1810" s="14" t="s">
        <v>77</v>
      </c>
      <c r="V1810" s="9"/>
      <c r="W1810" s="12"/>
      <c r="X1810" s="13"/>
      <c r="Y1810" s="13"/>
      <c r="Z1810" s="13"/>
      <c r="AA1810" s="13"/>
      <c r="AB1810" s="13"/>
      <c r="AC1810" s="13"/>
      <c r="AD1810" s="13"/>
      <c r="AE1810" s="13">
        <v>0</v>
      </c>
      <c r="AF1810" s="13"/>
      <c r="AG1810" s="13"/>
      <c r="AH1810" s="13"/>
      <c r="AI1810" s="13"/>
      <c r="AJ1810" s="13">
        <f t="shared" si="210"/>
        <v>0</v>
      </c>
      <c r="AK1810" s="12"/>
      <c r="AL1810" s="13"/>
      <c r="AM1810" s="9"/>
      <c r="AN1810" s="9"/>
      <c r="AO1810" s="9"/>
      <c r="AP1810" s="14"/>
    </row>
    <row r="1811" spans="1:42" s="45" customFormat="1" ht="22" customHeight="1">
      <c r="A1811" s="14" t="s">
        <v>17</v>
      </c>
      <c r="B1811" s="8">
        <v>2024</v>
      </c>
      <c r="C1811" s="8" t="s">
        <v>24</v>
      </c>
      <c r="D1811" s="9" t="s">
        <v>185</v>
      </c>
      <c r="E1811" s="9" t="s">
        <v>115</v>
      </c>
      <c r="F1811" s="9" t="s">
        <v>434</v>
      </c>
      <c r="G1811" s="8"/>
      <c r="H1811" s="8"/>
      <c r="I1811" s="9" t="s">
        <v>12</v>
      </c>
      <c r="J1811" s="9" t="s">
        <v>12</v>
      </c>
      <c r="K1811" s="9" t="s">
        <v>130</v>
      </c>
      <c r="L1811" s="9" t="s">
        <v>209</v>
      </c>
      <c r="M1811" s="14" t="s">
        <v>84</v>
      </c>
      <c r="N1811" s="9" t="s">
        <v>436</v>
      </c>
      <c r="O1811" s="9" t="s">
        <v>753</v>
      </c>
      <c r="P1811" s="9" t="s">
        <v>777</v>
      </c>
      <c r="Q1811" s="11"/>
      <c r="R1811" s="11"/>
      <c r="S1811" s="11">
        <v>0</v>
      </c>
      <c r="T1811" s="9"/>
      <c r="U1811" s="14" t="s">
        <v>77</v>
      </c>
      <c r="V1811" s="9"/>
      <c r="W1811" s="12"/>
      <c r="X1811" s="13"/>
      <c r="Y1811" s="13"/>
      <c r="Z1811" s="13"/>
      <c r="AA1811" s="13"/>
      <c r="AB1811" s="13"/>
      <c r="AC1811" s="13"/>
      <c r="AD1811" s="13"/>
      <c r="AE1811" s="13">
        <v>0</v>
      </c>
      <c r="AF1811" s="13"/>
      <c r="AG1811" s="13"/>
      <c r="AH1811" s="13"/>
      <c r="AI1811" s="13"/>
      <c r="AJ1811" s="13">
        <f t="shared" si="210"/>
        <v>0</v>
      </c>
      <c r="AK1811" s="12"/>
      <c r="AL1811" s="13"/>
      <c r="AM1811" s="9"/>
      <c r="AN1811" s="9"/>
      <c r="AO1811" s="9"/>
      <c r="AP1811" s="14"/>
    </row>
    <row r="1812" spans="1:42" s="45" customFormat="1" ht="22" customHeight="1">
      <c r="A1812" s="14" t="s">
        <v>17</v>
      </c>
      <c r="B1812" s="8">
        <v>2024</v>
      </c>
      <c r="C1812" s="8" t="s">
        <v>24</v>
      </c>
      <c r="D1812" s="9" t="s">
        <v>185</v>
      </c>
      <c r="E1812" s="9" t="s">
        <v>115</v>
      </c>
      <c r="F1812" s="9" t="s">
        <v>434</v>
      </c>
      <c r="G1812" s="8"/>
      <c r="H1812" s="8"/>
      <c r="I1812" s="9" t="s">
        <v>12</v>
      </c>
      <c r="J1812" s="9" t="s">
        <v>12</v>
      </c>
      <c r="K1812" s="9" t="s">
        <v>130</v>
      </c>
      <c r="L1812" s="9" t="s">
        <v>209</v>
      </c>
      <c r="M1812" s="14" t="s">
        <v>84</v>
      </c>
      <c r="N1812" s="9" t="s">
        <v>436</v>
      </c>
      <c r="O1812" s="9" t="s">
        <v>753</v>
      </c>
      <c r="P1812" s="9" t="s">
        <v>778</v>
      </c>
      <c r="Q1812" s="11"/>
      <c r="R1812" s="11"/>
      <c r="S1812" s="11">
        <v>0</v>
      </c>
      <c r="T1812" s="9"/>
      <c r="U1812" s="14" t="s">
        <v>77</v>
      </c>
      <c r="V1812" s="9"/>
      <c r="W1812" s="12"/>
      <c r="X1812" s="13"/>
      <c r="Y1812" s="13"/>
      <c r="Z1812" s="13"/>
      <c r="AA1812" s="13"/>
      <c r="AB1812" s="13"/>
      <c r="AC1812" s="13"/>
      <c r="AD1812" s="13"/>
      <c r="AE1812" s="13">
        <v>0</v>
      </c>
      <c r="AF1812" s="13"/>
      <c r="AG1812" s="13"/>
      <c r="AH1812" s="13"/>
      <c r="AI1812" s="13"/>
      <c r="AJ1812" s="13">
        <f t="shared" si="210"/>
        <v>0</v>
      </c>
      <c r="AK1812" s="12"/>
      <c r="AL1812" s="13"/>
      <c r="AM1812" s="9"/>
      <c r="AN1812" s="9"/>
      <c r="AO1812" s="9"/>
      <c r="AP1812" s="14"/>
    </row>
    <row r="1813" spans="1:42" s="45" customFormat="1" ht="22" customHeight="1">
      <c r="A1813" s="14" t="s">
        <v>17</v>
      </c>
      <c r="B1813" s="8">
        <v>2024</v>
      </c>
      <c r="C1813" s="8" t="s">
        <v>24</v>
      </c>
      <c r="D1813" s="9" t="s">
        <v>185</v>
      </c>
      <c r="E1813" s="9" t="s">
        <v>115</v>
      </c>
      <c r="F1813" s="9" t="s">
        <v>434</v>
      </c>
      <c r="G1813" s="8"/>
      <c r="H1813" s="8"/>
      <c r="I1813" s="9" t="s">
        <v>12</v>
      </c>
      <c r="J1813" s="9" t="s">
        <v>12</v>
      </c>
      <c r="K1813" s="9" t="s">
        <v>130</v>
      </c>
      <c r="L1813" s="9" t="s">
        <v>209</v>
      </c>
      <c r="M1813" s="14" t="s">
        <v>84</v>
      </c>
      <c r="N1813" s="9" t="s">
        <v>436</v>
      </c>
      <c r="O1813" s="9" t="s">
        <v>753</v>
      </c>
      <c r="P1813" s="9" t="s">
        <v>779</v>
      </c>
      <c r="Q1813" s="11"/>
      <c r="R1813" s="11"/>
      <c r="S1813" s="11">
        <v>0</v>
      </c>
      <c r="T1813" s="9"/>
      <c r="U1813" s="14" t="s">
        <v>77</v>
      </c>
      <c r="V1813" s="9"/>
      <c r="W1813" s="12"/>
      <c r="X1813" s="13"/>
      <c r="Y1813" s="13"/>
      <c r="Z1813" s="13"/>
      <c r="AA1813" s="13"/>
      <c r="AB1813" s="13"/>
      <c r="AC1813" s="13"/>
      <c r="AD1813" s="13"/>
      <c r="AE1813" s="13">
        <v>0</v>
      </c>
      <c r="AF1813" s="13"/>
      <c r="AG1813" s="13"/>
      <c r="AH1813" s="13"/>
      <c r="AI1813" s="13"/>
      <c r="AJ1813" s="13">
        <f t="shared" si="210"/>
        <v>0</v>
      </c>
      <c r="AK1813" s="12"/>
      <c r="AL1813" s="13"/>
      <c r="AM1813" s="9"/>
      <c r="AN1813" s="9"/>
      <c r="AO1813" s="9"/>
      <c r="AP1813" s="14"/>
    </row>
    <row r="1814" spans="1:42" s="45" customFormat="1" ht="22" customHeight="1">
      <c r="A1814" s="14" t="s">
        <v>17</v>
      </c>
      <c r="B1814" s="8">
        <v>2024</v>
      </c>
      <c r="C1814" s="8" t="s">
        <v>24</v>
      </c>
      <c r="D1814" s="9" t="s">
        <v>185</v>
      </c>
      <c r="E1814" s="9" t="s">
        <v>115</v>
      </c>
      <c r="F1814" s="9" t="s">
        <v>434</v>
      </c>
      <c r="G1814" s="8"/>
      <c r="H1814" s="8"/>
      <c r="I1814" s="9" t="s">
        <v>12</v>
      </c>
      <c r="J1814" s="9" t="s">
        <v>12</v>
      </c>
      <c r="K1814" s="9" t="s">
        <v>130</v>
      </c>
      <c r="L1814" s="9" t="s">
        <v>209</v>
      </c>
      <c r="M1814" s="14" t="s">
        <v>84</v>
      </c>
      <c r="N1814" s="9" t="s">
        <v>436</v>
      </c>
      <c r="O1814" s="9" t="s">
        <v>753</v>
      </c>
      <c r="P1814" s="9" t="s">
        <v>780</v>
      </c>
      <c r="Q1814" s="11"/>
      <c r="R1814" s="11"/>
      <c r="S1814" s="11">
        <v>0</v>
      </c>
      <c r="T1814" s="9"/>
      <c r="U1814" s="14" t="s">
        <v>77</v>
      </c>
      <c r="V1814" s="9"/>
      <c r="W1814" s="12"/>
      <c r="X1814" s="13"/>
      <c r="Y1814" s="13"/>
      <c r="Z1814" s="13"/>
      <c r="AA1814" s="13"/>
      <c r="AB1814" s="13"/>
      <c r="AC1814" s="13"/>
      <c r="AD1814" s="13"/>
      <c r="AE1814" s="13">
        <v>0</v>
      </c>
      <c r="AF1814" s="13"/>
      <c r="AG1814" s="13"/>
      <c r="AH1814" s="13"/>
      <c r="AI1814" s="13"/>
      <c r="AJ1814" s="13">
        <f t="shared" si="210"/>
        <v>0</v>
      </c>
      <c r="AK1814" s="12"/>
      <c r="AL1814" s="13"/>
      <c r="AM1814" s="9"/>
      <c r="AN1814" s="9"/>
      <c r="AO1814" s="9"/>
      <c r="AP1814" s="14"/>
    </row>
    <row r="1815" spans="1:42" s="45" customFormat="1" ht="22" customHeight="1">
      <c r="A1815" s="14" t="s">
        <v>17</v>
      </c>
      <c r="B1815" s="8">
        <v>2024</v>
      </c>
      <c r="C1815" s="8" t="s">
        <v>24</v>
      </c>
      <c r="D1815" s="9" t="s">
        <v>185</v>
      </c>
      <c r="E1815" s="9" t="s">
        <v>115</v>
      </c>
      <c r="F1815" s="9" t="s">
        <v>434</v>
      </c>
      <c r="G1815" s="8"/>
      <c r="H1815" s="8"/>
      <c r="I1815" s="9" t="s">
        <v>12</v>
      </c>
      <c r="J1815" s="9" t="s">
        <v>12</v>
      </c>
      <c r="K1815" s="9" t="s">
        <v>130</v>
      </c>
      <c r="L1815" s="9" t="s">
        <v>209</v>
      </c>
      <c r="M1815" s="14" t="s">
        <v>84</v>
      </c>
      <c r="N1815" s="9" t="s">
        <v>436</v>
      </c>
      <c r="O1815" s="9" t="s">
        <v>753</v>
      </c>
      <c r="P1815" s="9" t="s">
        <v>781</v>
      </c>
      <c r="Q1815" s="11"/>
      <c r="R1815" s="11"/>
      <c r="S1815" s="11">
        <v>0</v>
      </c>
      <c r="T1815" s="9"/>
      <c r="U1815" s="14" t="s">
        <v>77</v>
      </c>
      <c r="V1815" s="9"/>
      <c r="W1815" s="12"/>
      <c r="X1815" s="13"/>
      <c r="Y1815" s="13"/>
      <c r="Z1815" s="13"/>
      <c r="AA1815" s="13"/>
      <c r="AB1815" s="13"/>
      <c r="AC1815" s="13"/>
      <c r="AD1815" s="13"/>
      <c r="AE1815" s="13">
        <v>0</v>
      </c>
      <c r="AF1815" s="13"/>
      <c r="AG1815" s="13"/>
      <c r="AH1815" s="13"/>
      <c r="AI1815" s="13"/>
      <c r="AJ1815" s="13">
        <f t="shared" si="210"/>
        <v>0</v>
      </c>
      <c r="AK1815" s="12"/>
      <c r="AL1815" s="13"/>
      <c r="AM1815" s="9"/>
      <c r="AN1815" s="9"/>
      <c r="AO1815" s="9"/>
      <c r="AP1815" s="14"/>
    </row>
    <row r="1816" spans="1:42" s="45" customFormat="1" ht="22" customHeight="1">
      <c r="A1816" s="14" t="s">
        <v>17</v>
      </c>
      <c r="B1816" s="8">
        <v>2024</v>
      </c>
      <c r="C1816" s="8" t="s">
        <v>24</v>
      </c>
      <c r="D1816" s="9" t="s">
        <v>185</v>
      </c>
      <c r="E1816" s="9" t="s">
        <v>115</v>
      </c>
      <c r="F1816" s="9" t="s">
        <v>434</v>
      </c>
      <c r="G1816" s="8"/>
      <c r="H1816" s="8"/>
      <c r="I1816" s="9" t="s">
        <v>12</v>
      </c>
      <c r="J1816" s="9" t="s">
        <v>12</v>
      </c>
      <c r="K1816" s="9" t="s">
        <v>130</v>
      </c>
      <c r="L1816" s="9" t="s">
        <v>209</v>
      </c>
      <c r="M1816" s="14" t="s">
        <v>84</v>
      </c>
      <c r="N1816" s="9" t="s">
        <v>436</v>
      </c>
      <c r="O1816" s="9" t="s">
        <v>753</v>
      </c>
      <c r="P1816" s="9" t="s">
        <v>782</v>
      </c>
      <c r="Q1816" s="11"/>
      <c r="R1816" s="11"/>
      <c r="S1816" s="11">
        <v>0</v>
      </c>
      <c r="T1816" s="9"/>
      <c r="U1816" s="14" t="s">
        <v>77</v>
      </c>
      <c r="V1816" s="9"/>
      <c r="W1816" s="12"/>
      <c r="X1816" s="13"/>
      <c r="Y1816" s="13"/>
      <c r="Z1816" s="13"/>
      <c r="AA1816" s="13"/>
      <c r="AB1816" s="13"/>
      <c r="AC1816" s="13"/>
      <c r="AD1816" s="13"/>
      <c r="AE1816" s="13">
        <v>0</v>
      </c>
      <c r="AF1816" s="13"/>
      <c r="AG1816" s="13"/>
      <c r="AH1816" s="13"/>
      <c r="AI1816" s="13"/>
      <c r="AJ1816" s="13">
        <f t="shared" si="210"/>
        <v>0</v>
      </c>
      <c r="AK1816" s="12"/>
      <c r="AL1816" s="13"/>
      <c r="AM1816" s="9"/>
      <c r="AN1816" s="9"/>
      <c r="AO1816" s="9"/>
      <c r="AP1816" s="14"/>
    </row>
    <row r="1817" spans="1:42" s="45" customFormat="1" ht="22" customHeight="1">
      <c r="A1817" s="14" t="s">
        <v>17</v>
      </c>
      <c r="B1817" s="8">
        <v>2024</v>
      </c>
      <c r="C1817" s="8" t="s">
        <v>24</v>
      </c>
      <c r="D1817" s="9" t="s">
        <v>185</v>
      </c>
      <c r="E1817" s="9" t="s">
        <v>115</v>
      </c>
      <c r="F1817" s="9" t="s">
        <v>434</v>
      </c>
      <c r="G1817" s="8"/>
      <c r="H1817" s="8"/>
      <c r="I1817" s="9" t="s">
        <v>12</v>
      </c>
      <c r="J1817" s="9" t="s">
        <v>12</v>
      </c>
      <c r="K1817" s="9" t="s">
        <v>130</v>
      </c>
      <c r="L1817" s="9" t="s">
        <v>209</v>
      </c>
      <c r="M1817" s="14" t="s">
        <v>84</v>
      </c>
      <c r="N1817" s="9" t="s">
        <v>436</v>
      </c>
      <c r="O1817" s="9" t="s">
        <v>753</v>
      </c>
      <c r="P1817" s="9" t="s">
        <v>783</v>
      </c>
      <c r="Q1817" s="11"/>
      <c r="R1817" s="11"/>
      <c r="S1817" s="11">
        <v>0</v>
      </c>
      <c r="T1817" s="9"/>
      <c r="U1817" s="14" t="s">
        <v>77</v>
      </c>
      <c r="V1817" s="9"/>
      <c r="W1817" s="12"/>
      <c r="X1817" s="13"/>
      <c r="Y1817" s="13"/>
      <c r="Z1817" s="13"/>
      <c r="AA1817" s="13"/>
      <c r="AB1817" s="13"/>
      <c r="AC1817" s="13"/>
      <c r="AD1817" s="13"/>
      <c r="AE1817" s="13">
        <v>0</v>
      </c>
      <c r="AF1817" s="13"/>
      <c r="AG1817" s="13"/>
      <c r="AH1817" s="13"/>
      <c r="AI1817" s="13"/>
      <c r="AJ1817" s="13">
        <f t="shared" si="210"/>
        <v>0</v>
      </c>
      <c r="AK1817" s="12"/>
      <c r="AL1817" s="13"/>
      <c r="AM1817" s="9"/>
      <c r="AN1817" s="9"/>
      <c r="AO1817" s="9"/>
      <c r="AP1817" s="14"/>
    </row>
    <row r="1818" spans="1:42" s="45" customFormat="1" ht="22" customHeight="1">
      <c r="A1818" s="14" t="s">
        <v>17</v>
      </c>
      <c r="B1818" s="8">
        <v>2024</v>
      </c>
      <c r="C1818" s="8" t="s">
        <v>24</v>
      </c>
      <c r="D1818" s="9" t="s">
        <v>185</v>
      </c>
      <c r="E1818" s="9" t="s">
        <v>115</v>
      </c>
      <c r="F1818" s="9" t="s">
        <v>434</v>
      </c>
      <c r="G1818" s="8"/>
      <c r="H1818" s="8"/>
      <c r="I1818" s="9" t="s">
        <v>12</v>
      </c>
      <c r="J1818" s="9" t="s">
        <v>12</v>
      </c>
      <c r="K1818" s="9" t="s">
        <v>130</v>
      </c>
      <c r="L1818" s="9" t="s">
        <v>209</v>
      </c>
      <c r="M1818" s="14" t="s">
        <v>84</v>
      </c>
      <c r="N1818" s="9" t="s">
        <v>436</v>
      </c>
      <c r="O1818" s="9" t="s">
        <v>753</v>
      </c>
      <c r="P1818" s="9" t="s">
        <v>784</v>
      </c>
      <c r="Q1818" s="11"/>
      <c r="R1818" s="11"/>
      <c r="S1818" s="11">
        <v>0</v>
      </c>
      <c r="T1818" s="9"/>
      <c r="U1818" s="14" t="s">
        <v>77</v>
      </c>
      <c r="V1818" s="9"/>
      <c r="W1818" s="12"/>
      <c r="X1818" s="13"/>
      <c r="Y1818" s="13"/>
      <c r="Z1818" s="13"/>
      <c r="AA1818" s="13"/>
      <c r="AB1818" s="13"/>
      <c r="AC1818" s="13"/>
      <c r="AD1818" s="13"/>
      <c r="AE1818" s="13">
        <v>0</v>
      </c>
      <c r="AF1818" s="13"/>
      <c r="AG1818" s="13"/>
      <c r="AH1818" s="13"/>
      <c r="AI1818" s="13"/>
      <c r="AJ1818" s="13">
        <f t="shared" si="210"/>
        <v>0</v>
      </c>
      <c r="AK1818" s="12"/>
      <c r="AL1818" s="13"/>
      <c r="AM1818" s="9"/>
      <c r="AN1818" s="9"/>
      <c r="AO1818" s="9"/>
      <c r="AP1818" s="14"/>
    </row>
    <row r="1819" spans="1:42" s="45" customFormat="1" ht="22" customHeight="1">
      <c r="A1819" s="14" t="s">
        <v>17</v>
      </c>
      <c r="B1819" s="8">
        <v>2024</v>
      </c>
      <c r="C1819" s="8" t="s">
        <v>24</v>
      </c>
      <c r="D1819" s="9" t="s">
        <v>185</v>
      </c>
      <c r="E1819" s="9" t="s">
        <v>115</v>
      </c>
      <c r="F1819" s="9" t="s">
        <v>434</v>
      </c>
      <c r="G1819" s="8"/>
      <c r="H1819" s="8"/>
      <c r="I1819" s="9" t="s">
        <v>12</v>
      </c>
      <c r="J1819" s="9" t="s">
        <v>12</v>
      </c>
      <c r="K1819" s="9" t="s">
        <v>130</v>
      </c>
      <c r="L1819" s="9" t="s">
        <v>209</v>
      </c>
      <c r="M1819" s="14" t="s">
        <v>84</v>
      </c>
      <c r="N1819" s="9" t="s">
        <v>436</v>
      </c>
      <c r="O1819" s="9" t="s">
        <v>753</v>
      </c>
      <c r="P1819" s="9" t="s">
        <v>785</v>
      </c>
      <c r="Q1819" s="11"/>
      <c r="R1819" s="11"/>
      <c r="S1819" s="11">
        <v>0</v>
      </c>
      <c r="T1819" s="9"/>
      <c r="U1819" s="14" t="s">
        <v>77</v>
      </c>
      <c r="V1819" s="9"/>
      <c r="W1819" s="12"/>
      <c r="X1819" s="13"/>
      <c r="Y1819" s="13"/>
      <c r="Z1819" s="13"/>
      <c r="AA1819" s="13"/>
      <c r="AB1819" s="13"/>
      <c r="AC1819" s="13"/>
      <c r="AD1819" s="13"/>
      <c r="AE1819" s="13">
        <v>0</v>
      </c>
      <c r="AF1819" s="13"/>
      <c r="AG1819" s="13"/>
      <c r="AH1819" s="13"/>
      <c r="AI1819" s="13"/>
      <c r="AJ1819" s="13">
        <f t="shared" si="210"/>
        <v>0</v>
      </c>
      <c r="AK1819" s="12"/>
      <c r="AL1819" s="13"/>
      <c r="AM1819" s="9"/>
      <c r="AN1819" s="9"/>
      <c r="AO1819" s="9"/>
      <c r="AP1819" s="14"/>
    </row>
    <row r="1820" spans="1:42" s="45" customFormat="1" ht="22" customHeight="1">
      <c r="A1820" s="14" t="s">
        <v>17</v>
      </c>
      <c r="B1820" s="8">
        <v>2024</v>
      </c>
      <c r="C1820" s="8" t="s">
        <v>24</v>
      </c>
      <c r="D1820" s="9" t="s">
        <v>185</v>
      </c>
      <c r="E1820" s="9" t="s">
        <v>115</v>
      </c>
      <c r="F1820" s="9" t="s">
        <v>434</v>
      </c>
      <c r="G1820" s="8"/>
      <c r="H1820" s="8"/>
      <c r="I1820" s="9" t="s">
        <v>12</v>
      </c>
      <c r="J1820" s="9" t="s">
        <v>12</v>
      </c>
      <c r="K1820" s="9" t="s">
        <v>130</v>
      </c>
      <c r="L1820" s="9" t="s">
        <v>209</v>
      </c>
      <c r="M1820" s="14" t="s">
        <v>84</v>
      </c>
      <c r="N1820" s="9" t="s">
        <v>436</v>
      </c>
      <c r="O1820" s="9" t="s">
        <v>753</v>
      </c>
      <c r="P1820" s="9" t="s">
        <v>786</v>
      </c>
      <c r="Q1820" s="11"/>
      <c r="R1820" s="11"/>
      <c r="S1820" s="11">
        <v>0</v>
      </c>
      <c r="T1820" s="9"/>
      <c r="U1820" s="14" t="s">
        <v>77</v>
      </c>
      <c r="V1820" s="9"/>
      <c r="W1820" s="12"/>
      <c r="X1820" s="13"/>
      <c r="Y1820" s="13"/>
      <c r="Z1820" s="13"/>
      <c r="AA1820" s="13"/>
      <c r="AB1820" s="13"/>
      <c r="AC1820" s="13"/>
      <c r="AD1820" s="13"/>
      <c r="AE1820" s="13">
        <v>0</v>
      </c>
      <c r="AF1820" s="13"/>
      <c r="AG1820" s="13"/>
      <c r="AH1820" s="13"/>
      <c r="AI1820" s="13"/>
      <c r="AJ1820" s="13">
        <f t="shared" si="210"/>
        <v>0</v>
      </c>
      <c r="AK1820" s="12"/>
      <c r="AL1820" s="13"/>
      <c r="AM1820" s="9"/>
      <c r="AN1820" s="9"/>
      <c r="AO1820" s="9"/>
      <c r="AP1820" s="14"/>
    </row>
    <row r="1821" spans="1:42" s="45" customFormat="1" ht="22" customHeight="1">
      <c r="A1821" s="14" t="s">
        <v>17</v>
      </c>
      <c r="B1821" s="8">
        <v>2024</v>
      </c>
      <c r="C1821" s="8" t="s">
        <v>24</v>
      </c>
      <c r="D1821" s="9" t="s">
        <v>185</v>
      </c>
      <c r="E1821" s="9" t="s">
        <v>115</v>
      </c>
      <c r="F1821" s="9" t="s">
        <v>434</v>
      </c>
      <c r="G1821" s="8"/>
      <c r="H1821" s="8"/>
      <c r="I1821" s="9" t="s">
        <v>12</v>
      </c>
      <c r="J1821" s="9" t="s">
        <v>12</v>
      </c>
      <c r="K1821" s="9" t="s">
        <v>130</v>
      </c>
      <c r="L1821" s="9" t="s">
        <v>209</v>
      </c>
      <c r="M1821" s="14" t="s">
        <v>84</v>
      </c>
      <c r="N1821" s="9" t="s">
        <v>436</v>
      </c>
      <c r="O1821" s="9" t="s">
        <v>753</v>
      </c>
      <c r="P1821" s="9" t="s">
        <v>787</v>
      </c>
      <c r="Q1821" s="11"/>
      <c r="R1821" s="11"/>
      <c r="S1821" s="11">
        <v>0</v>
      </c>
      <c r="T1821" s="9"/>
      <c r="U1821" s="14" t="s">
        <v>77</v>
      </c>
      <c r="V1821" s="9"/>
      <c r="W1821" s="12"/>
      <c r="X1821" s="13"/>
      <c r="Y1821" s="13"/>
      <c r="Z1821" s="13"/>
      <c r="AA1821" s="13"/>
      <c r="AB1821" s="13"/>
      <c r="AC1821" s="13"/>
      <c r="AD1821" s="13"/>
      <c r="AE1821" s="13">
        <v>0</v>
      </c>
      <c r="AF1821" s="13"/>
      <c r="AG1821" s="13"/>
      <c r="AH1821" s="13"/>
      <c r="AI1821" s="13"/>
      <c r="AJ1821" s="13">
        <f t="shared" si="210"/>
        <v>0</v>
      </c>
      <c r="AK1821" s="12"/>
      <c r="AL1821" s="13"/>
      <c r="AM1821" s="9"/>
      <c r="AN1821" s="9"/>
      <c r="AO1821" s="9"/>
      <c r="AP1821" s="14"/>
    </row>
    <row r="1822" spans="1:42" s="45" customFormat="1" ht="22" customHeight="1">
      <c r="A1822" s="14" t="s">
        <v>17</v>
      </c>
      <c r="B1822" s="8">
        <v>2024</v>
      </c>
      <c r="C1822" s="8" t="s">
        <v>24</v>
      </c>
      <c r="D1822" s="9" t="s">
        <v>185</v>
      </c>
      <c r="E1822" s="9" t="s">
        <v>115</v>
      </c>
      <c r="F1822" s="9" t="s">
        <v>434</v>
      </c>
      <c r="G1822" s="8"/>
      <c r="H1822" s="8"/>
      <c r="I1822" s="9" t="s">
        <v>12</v>
      </c>
      <c r="J1822" s="9" t="s">
        <v>12</v>
      </c>
      <c r="K1822" s="9" t="s">
        <v>130</v>
      </c>
      <c r="L1822" s="9" t="s">
        <v>209</v>
      </c>
      <c r="M1822" s="14" t="s">
        <v>84</v>
      </c>
      <c r="N1822" s="9" t="s">
        <v>436</v>
      </c>
      <c r="O1822" s="9" t="s">
        <v>753</v>
      </c>
      <c r="P1822" s="9" t="s">
        <v>788</v>
      </c>
      <c r="Q1822" s="11"/>
      <c r="R1822" s="11"/>
      <c r="S1822" s="11">
        <v>0</v>
      </c>
      <c r="T1822" s="9"/>
      <c r="U1822" s="14" t="s">
        <v>77</v>
      </c>
      <c r="V1822" s="9"/>
      <c r="W1822" s="12"/>
      <c r="X1822" s="13"/>
      <c r="Y1822" s="13"/>
      <c r="Z1822" s="13"/>
      <c r="AA1822" s="13"/>
      <c r="AB1822" s="13"/>
      <c r="AC1822" s="13"/>
      <c r="AD1822" s="13"/>
      <c r="AE1822" s="13">
        <v>0</v>
      </c>
      <c r="AF1822" s="13"/>
      <c r="AG1822" s="13"/>
      <c r="AH1822" s="13"/>
      <c r="AI1822" s="13"/>
      <c r="AJ1822" s="13">
        <f t="shared" si="210"/>
        <v>0</v>
      </c>
      <c r="AK1822" s="12"/>
      <c r="AL1822" s="13"/>
      <c r="AM1822" s="9"/>
      <c r="AN1822" s="9"/>
      <c r="AO1822" s="9"/>
      <c r="AP1822" s="14"/>
    </row>
    <row r="1823" spans="1:42" s="45" customFormat="1" ht="22" customHeight="1">
      <c r="A1823" s="14" t="s">
        <v>17</v>
      </c>
      <c r="B1823" s="8">
        <v>2024</v>
      </c>
      <c r="C1823" s="8" t="s">
        <v>24</v>
      </c>
      <c r="D1823" s="9" t="s">
        <v>185</v>
      </c>
      <c r="E1823" s="9" t="s">
        <v>115</v>
      </c>
      <c r="F1823" s="9" t="s">
        <v>434</v>
      </c>
      <c r="G1823" s="8"/>
      <c r="H1823" s="8"/>
      <c r="I1823" s="9" t="s">
        <v>12</v>
      </c>
      <c r="J1823" s="9" t="s">
        <v>12</v>
      </c>
      <c r="K1823" s="9" t="s">
        <v>130</v>
      </c>
      <c r="L1823" s="9" t="s">
        <v>209</v>
      </c>
      <c r="M1823" s="14" t="s">
        <v>84</v>
      </c>
      <c r="N1823" s="9" t="s">
        <v>436</v>
      </c>
      <c r="O1823" s="9" t="s">
        <v>753</v>
      </c>
      <c r="P1823" s="9" t="s">
        <v>789</v>
      </c>
      <c r="Q1823" s="11"/>
      <c r="R1823" s="11"/>
      <c r="S1823" s="11">
        <v>0</v>
      </c>
      <c r="T1823" s="9"/>
      <c r="U1823" s="14" t="s">
        <v>77</v>
      </c>
      <c r="V1823" s="9"/>
      <c r="W1823" s="12"/>
      <c r="X1823" s="13"/>
      <c r="Y1823" s="13"/>
      <c r="Z1823" s="13"/>
      <c r="AA1823" s="13"/>
      <c r="AB1823" s="13"/>
      <c r="AC1823" s="13"/>
      <c r="AD1823" s="13"/>
      <c r="AE1823" s="13">
        <v>0</v>
      </c>
      <c r="AF1823" s="13"/>
      <c r="AG1823" s="13"/>
      <c r="AH1823" s="13"/>
      <c r="AI1823" s="13"/>
      <c r="AJ1823" s="13">
        <f t="shared" si="210"/>
        <v>0</v>
      </c>
      <c r="AK1823" s="12"/>
      <c r="AL1823" s="13"/>
      <c r="AM1823" s="9"/>
      <c r="AN1823" s="9"/>
      <c r="AO1823" s="9"/>
      <c r="AP1823" s="14"/>
    </row>
    <row r="1824" spans="1:42" s="45" customFormat="1" ht="22" customHeight="1">
      <c r="A1824" s="14" t="s">
        <v>17</v>
      </c>
      <c r="B1824" s="8">
        <v>2024</v>
      </c>
      <c r="C1824" s="8" t="s">
        <v>24</v>
      </c>
      <c r="D1824" s="9" t="s">
        <v>185</v>
      </c>
      <c r="E1824" s="9" t="s">
        <v>115</v>
      </c>
      <c r="F1824" s="9" t="s">
        <v>434</v>
      </c>
      <c r="G1824" s="8"/>
      <c r="H1824" s="8"/>
      <c r="I1824" s="9" t="s">
        <v>12</v>
      </c>
      <c r="J1824" s="9" t="s">
        <v>12</v>
      </c>
      <c r="K1824" s="9" t="s">
        <v>130</v>
      </c>
      <c r="L1824" s="9" t="s">
        <v>209</v>
      </c>
      <c r="M1824" s="14" t="s">
        <v>84</v>
      </c>
      <c r="N1824" s="9" t="s">
        <v>436</v>
      </c>
      <c r="O1824" s="9" t="s">
        <v>753</v>
      </c>
      <c r="P1824" s="9" t="s">
        <v>339</v>
      </c>
      <c r="Q1824" s="11"/>
      <c r="R1824" s="11"/>
      <c r="S1824" s="11">
        <v>0</v>
      </c>
      <c r="T1824" s="9"/>
      <c r="U1824" s="14" t="s">
        <v>77</v>
      </c>
      <c r="V1824" s="9"/>
      <c r="W1824" s="12"/>
      <c r="X1824" s="13"/>
      <c r="Y1824" s="13"/>
      <c r="Z1824" s="13"/>
      <c r="AA1824" s="13"/>
      <c r="AB1824" s="13"/>
      <c r="AC1824" s="13"/>
      <c r="AD1824" s="13"/>
      <c r="AE1824" s="13">
        <v>0</v>
      </c>
      <c r="AF1824" s="13"/>
      <c r="AG1824" s="13"/>
      <c r="AH1824" s="13"/>
      <c r="AI1824" s="13"/>
      <c r="AJ1824" s="13">
        <f t="shared" si="210"/>
        <v>0</v>
      </c>
      <c r="AK1824" s="12"/>
      <c r="AL1824" s="13"/>
      <c r="AM1824" s="9"/>
      <c r="AN1824" s="9"/>
      <c r="AO1824" s="9"/>
      <c r="AP1824" s="14"/>
    </row>
    <row r="1825" spans="1:42" s="45" customFormat="1" ht="22" customHeight="1">
      <c r="A1825" s="14" t="s">
        <v>17</v>
      </c>
      <c r="B1825" s="8">
        <v>2024</v>
      </c>
      <c r="C1825" s="8" t="s">
        <v>24</v>
      </c>
      <c r="D1825" s="9" t="s">
        <v>185</v>
      </c>
      <c r="E1825" s="9" t="s">
        <v>115</v>
      </c>
      <c r="F1825" s="9" t="s">
        <v>434</v>
      </c>
      <c r="G1825" s="8"/>
      <c r="H1825" s="8"/>
      <c r="I1825" s="9" t="s">
        <v>12</v>
      </c>
      <c r="J1825" s="9" t="s">
        <v>12</v>
      </c>
      <c r="K1825" s="9" t="s">
        <v>130</v>
      </c>
      <c r="L1825" s="9" t="s">
        <v>209</v>
      </c>
      <c r="M1825" s="14" t="s">
        <v>84</v>
      </c>
      <c r="N1825" s="9" t="s">
        <v>436</v>
      </c>
      <c r="O1825" s="9" t="s">
        <v>753</v>
      </c>
      <c r="P1825" s="9" t="s">
        <v>790</v>
      </c>
      <c r="Q1825" s="11"/>
      <c r="R1825" s="11"/>
      <c r="S1825" s="11">
        <v>0</v>
      </c>
      <c r="T1825" s="9"/>
      <c r="U1825" s="14" t="s">
        <v>77</v>
      </c>
      <c r="V1825" s="9"/>
      <c r="W1825" s="12"/>
      <c r="X1825" s="13"/>
      <c r="Y1825" s="13"/>
      <c r="Z1825" s="13"/>
      <c r="AA1825" s="13"/>
      <c r="AB1825" s="13"/>
      <c r="AC1825" s="13"/>
      <c r="AD1825" s="13"/>
      <c r="AE1825" s="13">
        <v>0</v>
      </c>
      <c r="AF1825" s="13"/>
      <c r="AG1825" s="13"/>
      <c r="AH1825" s="13"/>
      <c r="AI1825" s="13"/>
      <c r="AJ1825" s="13">
        <f t="shared" si="210"/>
        <v>0</v>
      </c>
      <c r="AK1825" s="12"/>
      <c r="AL1825" s="13"/>
      <c r="AM1825" s="9"/>
      <c r="AN1825" s="9"/>
      <c r="AO1825" s="9"/>
      <c r="AP1825" s="14"/>
    </row>
    <row r="1826" spans="1:42" s="45" customFormat="1" ht="22" customHeight="1">
      <c r="A1826" s="14" t="s">
        <v>17</v>
      </c>
      <c r="B1826" s="8">
        <v>2024</v>
      </c>
      <c r="C1826" s="8" t="s">
        <v>24</v>
      </c>
      <c r="D1826" s="9" t="s">
        <v>185</v>
      </c>
      <c r="E1826" s="9" t="s">
        <v>115</v>
      </c>
      <c r="F1826" s="9" t="s">
        <v>434</v>
      </c>
      <c r="G1826" s="8"/>
      <c r="H1826" s="8"/>
      <c r="I1826" s="9" t="s">
        <v>12</v>
      </c>
      <c r="J1826" s="9" t="s">
        <v>12</v>
      </c>
      <c r="K1826" s="9" t="s">
        <v>130</v>
      </c>
      <c r="L1826" s="9" t="s">
        <v>209</v>
      </c>
      <c r="M1826" s="14" t="s">
        <v>84</v>
      </c>
      <c r="N1826" s="9" t="s">
        <v>436</v>
      </c>
      <c r="O1826" s="9" t="s">
        <v>753</v>
      </c>
      <c r="P1826" s="9" t="s">
        <v>791</v>
      </c>
      <c r="Q1826" s="11"/>
      <c r="R1826" s="11"/>
      <c r="S1826" s="11">
        <v>0</v>
      </c>
      <c r="T1826" s="9"/>
      <c r="U1826" s="14" t="s">
        <v>77</v>
      </c>
      <c r="V1826" s="9"/>
      <c r="W1826" s="12"/>
      <c r="X1826" s="13"/>
      <c r="Y1826" s="13"/>
      <c r="Z1826" s="13"/>
      <c r="AA1826" s="13"/>
      <c r="AB1826" s="13"/>
      <c r="AC1826" s="13"/>
      <c r="AD1826" s="13"/>
      <c r="AE1826" s="13">
        <v>0</v>
      </c>
      <c r="AF1826" s="13"/>
      <c r="AG1826" s="13"/>
      <c r="AH1826" s="13"/>
      <c r="AI1826" s="13"/>
      <c r="AJ1826" s="13">
        <f t="shared" si="210"/>
        <v>0</v>
      </c>
      <c r="AK1826" s="12"/>
      <c r="AL1826" s="13"/>
      <c r="AM1826" s="9"/>
      <c r="AN1826" s="9"/>
      <c r="AO1826" s="9"/>
      <c r="AP1826" s="14"/>
    </row>
    <row r="1827" spans="1:42" s="45" customFormat="1" ht="22" customHeight="1">
      <c r="A1827" s="14" t="s">
        <v>17</v>
      </c>
      <c r="B1827" s="8">
        <v>2024</v>
      </c>
      <c r="C1827" s="8" t="s">
        <v>24</v>
      </c>
      <c r="D1827" s="9" t="s">
        <v>185</v>
      </c>
      <c r="E1827" s="9" t="s">
        <v>115</v>
      </c>
      <c r="F1827" s="9" t="s">
        <v>434</v>
      </c>
      <c r="G1827" s="8"/>
      <c r="H1827" s="8"/>
      <c r="I1827" s="9" t="s">
        <v>12</v>
      </c>
      <c r="J1827" s="9" t="s">
        <v>12</v>
      </c>
      <c r="K1827" s="9" t="s">
        <v>130</v>
      </c>
      <c r="L1827" s="9" t="s">
        <v>209</v>
      </c>
      <c r="M1827" s="14" t="s">
        <v>84</v>
      </c>
      <c r="N1827" s="9" t="s">
        <v>436</v>
      </c>
      <c r="O1827" s="9" t="s">
        <v>753</v>
      </c>
      <c r="P1827" s="9" t="s">
        <v>792</v>
      </c>
      <c r="Q1827" s="11"/>
      <c r="R1827" s="11"/>
      <c r="S1827" s="11">
        <v>0</v>
      </c>
      <c r="T1827" s="9"/>
      <c r="U1827" s="14" t="s">
        <v>77</v>
      </c>
      <c r="V1827" s="9"/>
      <c r="W1827" s="12"/>
      <c r="X1827" s="13"/>
      <c r="Y1827" s="13"/>
      <c r="Z1827" s="13"/>
      <c r="AA1827" s="13"/>
      <c r="AB1827" s="13"/>
      <c r="AC1827" s="13"/>
      <c r="AD1827" s="13"/>
      <c r="AE1827" s="13">
        <v>0</v>
      </c>
      <c r="AF1827" s="13"/>
      <c r="AG1827" s="13"/>
      <c r="AH1827" s="13"/>
      <c r="AI1827" s="13"/>
      <c r="AJ1827" s="13">
        <f t="shared" si="210"/>
        <v>0</v>
      </c>
      <c r="AK1827" s="12"/>
      <c r="AL1827" s="13"/>
      <c r="AM1827" s="9"/>
      <c r="AN1827" s="9"/>
      <c r="AO1827" s="9"/>
      <c r="AP1827" s="14"/>
    </row>
    <row r="1828" spans="1:42" s="45" customFormat="1" ht="22" customHeight="1">
      <c r="A1828" s="14" t="s">
        <v>17</v>
      </c>
      <c r="B1828" s="8">
        <v>2024</v>
      </c>
      <c r="C1828" s="8" t="s">
        <v>24</v>
      </c>
      <c r="D1828" s="9" t="s">
        <v>185</v>
      </c>
      <c r="E1828" s="9" t="s">
        <v>115</v>
      </c>
      <c r="F1828" s="9" t="s">
        <v>434</v>
      </c>
      <c r="G1828" s="8"/>
      <c r="H1828" s="8"/>
      <c r="I1828" s="9" t="s">
        <v>12</v>
      </c>
      <c r="J1828" s="9" t="s">
        <v>12</v>
      </c>
      <c r="K1828" s="9" t="s">
        <v>130</v>
      </c>
      <c r="L1828" s="9" t="s">
        <v>209</v>
      </c>
      <c r="M1828" s="14" t="s">
        <v>84</v>
      </c>
      <c r="N1828" s="9" t="s">
        <v>436</v>
      </c>
      <c r="O1828" s="9" t="s">
        <v>753</v>
      </c>
      <c r="P1828" s="9" t="s">
        <v>793</v>
      </c>
      <c r="Q1828" s="11"/>
      <c r="R1828" s="11"/>
      <c r="S1828" s="11">
        <v>0</v>
      </c>
      <c r="T1828" s="9"/>
      <c r="U1828" s="14" t="s">
        <v>77</v>
      </c>
      <c r="V1828" s="9"/>
      <c r="W1828" s="12"/>
      <c r="X1828" s="13"/>
      <c r="Y1828" s="13"/>
      <c r="Z1828" s="13"/>
      <c r="AA1828" s="13"/>
      <c r="AB1828" s="13"/>
      <c r="AC1828" s="13"/>
      <c r="AD1828" s="13"/>
      <c r="AE1828" s="13">
        <v>0</v>
      </c>
      <c r="AF1828" s="13"/>
      <c r="AG1828" s="13"/>
      <c r="AH1828" s="13"/>
      <c r="AI1828" s="13"/>
      <c r="AJ1828" s="13">
        <f t="shared" si="210"/>
        <v>0</v>
      </c>
      <c r="AK1828" s="12"/>
      <c r="AL1828" s="13"/>
      <c r="AM1828" s="9"/>
      <c r="AN1828" s="9"/>
      <c r="AO1828" s="9"/>
      <c r="AP1828" s="14"/>
    </row>
    <row r="1829" spans="1:42" s="45" customFormat="1" ht="22" customHeight="1">
      <c r="A1829" s="14" t="s">
        <v>17</v>
      </c>
      <c r="B1829" s="8">
        <v>2024</v>
      </c>
      <c r="C1829" s="8" t="s">
        <v>24</v>
      </c>
      <c r="D1829" s="9" t="s">
        <v>185</v>
      </c>
      <c r="E1829" s="9" t="s">
        <v>115</v>
      </c>
      <c r="F1829" s="9" t="s">
        <v>434</v>
      </c>
      <c r="G1829" s="8"/>
      <c r="H1829" s="8"/>
      <c r="I1829" s="9" t="s">
        <v>12</v>
      </c>
      <c r="J1829" s="9" t="s">
        <v>12</v>
      </c>
      <c r="K1829" s="9" t="s">
        <v>130</v>
      </c>
      <c r="L1829" s="9" t="s">
        <v>209</v>
      </c>
      <c r="M1829" s="14" t="s">
        <v>84</v>
      </c>
      <c r="N1829" s="9" t="s">
        <v>436</v>
      </c>
      <c r="O1829" s="9" t="s">
        <v>296</v>
      </c>
      <c r="P1829" s="9" t="s">
        <v>303</v>
      </c>
      <c r="Q1829" s="11"/>
      <c r="R1829" s="11"/>
      <c r="S1829" s="11">
        <v>0</v>
      </c>
      <c r="T1829" s="9"/>
      <c r="U1829" s="14" t="s">
        <v>77</v>
      </c>
      <c r="V1829" s="9"/>
      <c r="W1829" s="12"/>
      <c r="X1829" s="13"/>
      <c r="Y1829" s="13"/>
      <c r="Z1829" s="13"/>
      <c r="AA1829" s="13"/>
      <c r="AB1829" s="13"/>
      <c r="AC1829" s="13"/>
      <c r="AD1829" s="13"/>
      <c r="AE1829" s="13">
        <v>0</v>
      </c>
      <c r="AF1829" s="13"/>
      <c r="AG1829" s="13"/>
      <c r="AH1829" s="13"/>
      <c r="AI1829" s="13"/>
      <c r="AJ1829" s="13">
        <f t="shared" si="210"/>
        <v>0</v>
      </c>
      <c r="AK1829" s="12"/>
      <c r="AL1829" s="13"/>
      <c r="AM1829" s="9"/>
      <c r="AN1829" s="9"/>
      <c r="AO1829" s="9"/>
      <c r="AP1829" s="14"/>
    </row>
    <row r="1830" spans="1:42" s="45" customFormat="1" ht="22" customHeight="1">
      <c r="A1830" s="14" t="s">
        <v>17</v>
      </c>
      <c r="B1830" s="8">
        <v>2024</v>
      </c>
      <c r="C1830" s="8" t="s">
        <v>24</v>
      </c>
      <c r="D1830" s="9" t="s">
        <v>185</v>
      </c>
      <c r="E1830" s="9" t="s">
        <v>115</v>
      </c>
      <c r="F1830" s="9" t="s">
        <v>434</v>
      </c>
      <c r="G1830" s="8"/>
      <c r="H1830" s="8"/>
      <c r="I1830" s="9" t="s">
        <v>12</v>
      </c>
      <c r="J1830" s="9" t="s">
        <v>12</v>
      </c>
      <c r="K1830" s="9" t="s">
        <v>130</v>
      </c>
      <c r="L1830" s="9" t="s">
        <v>209</v>
      </c>
      <c r="M1830" s="14" t="s">
        <v>84</v>
      </c>
      <c r="N1830" s="9" t="s">
        <v>436</v>
      </c>
      <c r="O1830" s="9" t="s">
        <v>296</v>
      </c>
      <c r="P1830" s="9" t="s">
        <v>794</v>
      </c>
      <c r="Q1830" s="11"/>
      <c r="R1830" s="11"/>
      <c r="S1830" s="11">
        <v>0</v>
      </c>
      <c r="T1830" s="9"/>
      <c r="U1830" s="14" t="s">
        <v>77</v>
      </c>
      <c r="V1830" s="9"/>
      <c r="W1830" s="12"/>
      <c r="X1830" s="13"/>
      <c r="Y1830" s="13"/>
      <c r="Z1830" s="13"/>
      <c r="AA1830" s="13"/>
      <c r="AB1830" s="13"/>
      <c r="AC1830" s="13"/>
      <c r="AD1830" s="13"/>
      <c r="AE1830" s="13">
        <v>0</v>
      </c>
      <c r="AF1830" s="13"/>
      <c r="AG1830" s="13"/>
      <c r="AH1830" s="13"/>
      <c r="AI1830" s="13"/>
      <c r="AJ1830" s="13">
        <f t="shared" si="210"/>
        <v>0</v>
      </c>
      <c r="AK1830" s="12"/>
      <c r="AL1830" s="13"/>
      <c r="AM1830" s="9"/>
      <c r="AN1830" s="9"/>
      <c r="AO1830" s="9"/>
      <c r="AP1830" s="14"/>
    </row>
    <row r="1831" spans="1:42" s="45" customFormat="1" ht="22" customHeight="1">
      <c r="A1831" s="14" t="s">
        <v>17</v>
      </c>
      <c r="B1831" s="8">
        <v>2024</v>
      </c>
      <c r="C1831" s="8" t="s">
        <v>24</v>
      </c>
      <c r="D1831" s="9" t="s">
        <v>185</v>
      </c>
      <c r="E1831" s="9" t="s">
        <v>115</v>
      </c>
      <c r="F1831" s="9" t="s">
        <v>434</v>
      </c>
      <c r="G1831" s="8"/>
      <c r="H1831" s="8"/>
      <c r="I1831" s="9" t="s">
        <v>12</v>
      </c>
      <c r="J1831" s="9" t="s">
        <v>12</v>
      </c>
      <c r="K1831" s="9" t="s">
        <v>130</v>
      </c>
      <c r="L1831" s="9" t="s">
        <v>209</v>
      </c>
      <c r="M1831" s="14" t="s">
        <v>84</v>
      </c>
      <c r="N1831" s="9" t="s">
        <v>436</v>
      </c>
      <c r="O1831" s="9" t="s">
        <v>296</v>
      </c>
      <c r="P1831" s="9" t="s">
        <v>312</v>
      </c>
      <c r="Q1831" s="11"/>
      <c r="R1831" s="11"/>
      <c r="S1831" s="11">
        <v>0</v>
      </c>
      <c r="T1831" s="9"/>
      <c r="U1831" s="14" t="s">
        <v>77</v>
      </c>
      <c r="V1831" s="9"/>
      <c r="W1831" s="12"/>
      <c r="X1831" s="13"/>
      <c r="Y1831" s="13"/>
      <c r="Z1831" s="13"/>
      <c r="AA1831" s="13"/>
      <c r="AB1831" s="13"/>
      <c r="AC1831" s="13"/>
      <c r="AD1831" s="13"/>
      <c r="AE1831" s="13">
        <v>0</v>
      </c>
      <c r="AF1831" s="13"/>
      <c r="AG1831" s="13"/>
      <c r="AH1831" s="13"/>
      <c r="AI1831" s="13"/>
      <c r="AJ1831" s="13">
        <f t="shared" si="210"/>
        <v>0</v>
      </c>
      <c r="AK1831" s="12"/>
      <c r="AL1831" s="13"/>
      <c r="AM1831" s="9"/>
      <c r="AN1831" s="9"/>
      <c r="AO1831" s="9"/>
      <c r="AP1831" s="14"/>
    </row>
    <row r="1832" spans="1:42" s="45" customFormat="1" ht="22" customHeight="1">
      <c r="A1832" s="14" t="s">
        <v>17</v>
      </c>
      <c r="B1832" s="8">
        <v>2024</v>
      </c>
      <c r="C1832" s="8" t="s">
        <v>24</v>
      </c>
      <c r="D1832" s="9" t="s">
        <v>185</v>
      </c>
      <c r="E1832" s="9" t="s">
        <v>115</v>
      </c>
      <c r="F1832" s="9" t="s">
        <v>434</v>
      </c>
      <c r="G1832" s="8"/>
      <c r="H1832" s="8"/>
      <c r="I1832" s="9" t="s">
        <v>12</v>
      </c>
      <c r="J1832" s="9" t="s">
        <v>12</v>
      </c>
      <c r="K1832" s="9" t="s">
        <v>130</v>
      </c>
      <c r="L1832" s="9" t="s">
        <v>209</v>
      </c>
      <c r="M1832" s="14" t="s">
        <v>84</v>
      </c>
      <c r="N1832" s="9" t="s">
        <v>436</v>
      </c>
      <c r="O1832" s="9" t="s">
        <v>296</v>
      </c>
      <c r="P1832" s="9" t="s">
        <v>297</v>
      </c>
      <c r="Q1832" s="11"/>
      <c r="R1832" s="11"/>
      <c r="S1832" s="11">
        <v>0</v>
      </c>
      <c r="T1832" s="9"/>
      <c r="U1832" s="14" t="s">
        <v>77</v>
      </c>
      <c r="V1832" s="9"/>
      <c r="W1832" s="12"/>
      <c r="X1832" s="13"/>
      <c r="Y1832" s="13"/>
      <c r="Z1832" s="13"/>
      <c r="AA1832" s="13"/>
      <c r="AB1832" s="13"/>
      <c r="AC1832" s="13"/>
      <c r="AD1832" s="13"/>
      <c r="AE1832" s="13">
        <v>0</v>
      </c>
      <c r="AF1832" s="13"/>
      <c r="AG1832" s="13"/>
      <c r="AH1832" s="13"/>
      <c r="AI1832" s="13"/>
      <c r="AJ1832" s="13">
        <f t="shared" si="210"/>
        <v>0</v>
      </c>
      <c r="AK1832" s="12"/>
      <c r="AL1832" s="13"/>
      <c r="AM1832" s="9"/>
      <c r="AN1832" s="9"/>
      <c r="AO1832" s="9"/>
      <c r="AP1832" s="14"/>
    </row>
    <row r="1833" spans="1:42" s="45" customFormat="1" ht="22" customHeight="1">
      <c r="A1833" s="14" t="s">
        <v>17</v>
      </c>
      <c r="B1833" s="8">
        <v>2024</v>
      </c>
      <c r="C1833" s="8" t="s">
        <v>24</v>
      </c>
      <c r="D1833" s="9" t="s">
        <v>185</v>
      </c>
      <c r="E1833" s="9" t="s">
        <v>115</v>
      </c>
      <c r="F1833" s="9" t="s">
        <v>434</v>
      </c>
      <c r="G1833" s="8"/>
      <c r="H1833" s="8"/>
      <c r="I1833" s="9" t="s">
        <v>12</v>
      </c>
      <c r="J1833" s="9" t="s">
        <v>12</v>
      </c>
      <c r="K1833" s="9" t="s">
        <v>130</v>
      </c>
      <c r="L1833" s="9" t="s">
        <v>209</v>
      </c>
      <c r="M1833" s="14" t="s">
        <v>84</v>
      </c>
      <c r="N1833" s="9" t="s">
        <v>436</v>
      </c>
      <c r="O1833" s="9" t="s">
        <v>296</v>
      </c>
      <c r="P1833" s="9" t="s">
        <v>795</v>
      </c>
      <c r="Q1833" s="11"/>
      <c r="R1833" s="11"/>
      <c r="S1833" s="11">
        <v>0</v>
      </c>
      <c r="T1833" s="9"/>
      <c r="U1833" s="14" t="s">
        <v>77</v>
      </c>
      <c r="V1833" s="9"/>
      <c r="W1833" s="12"/>
      <c r="X1833" s="13"/>
      <c r="Y1833" s="13"/>
      <c r="Z1833" s="13"/>
      <c r="AA1833" s="13"/>
      <c r="AB1833" s="13"/>
      <c r="AC1833" s="13"/>
      <c r="AD1833" s="13"/>
      <c r="AE1833" s="13">
        <v>0</v>
      </c>
      <c r="AF1833" s="13"/>
      <c r="AG1833" s="13"/>
      <c r="AH1833" s="13"/>
      <c r="AI1833" s="13"/>
      <c r="AJ1833" s="13">
        <f t="shared" si="210"/>
        <v>0</v>
      </c>
      <c r="AK1833" s="12"/>
      <c r="AL1833" s="13"/>
      <c r="AM1833" s="9"/>
      <c r="AN1833" s="9"/>
      <c r="AO1833" s="9"/>
      <c r="AP1833" s="14"/>
    </row>
    <row r="1834" spans="1:42" s="45" customFormat="1" ht="22" customHeight="1">
      <c r="A1834" s="14" t="s">
        <v>17</v>
      </c>
      <c r="B1834" s="8">
        <v>2024</v>
      </c>
      <c r="C1834" s="8" t="s">
        <v>24</v>
      </c>
      <c r="D1834" s="9" t="s">
        <v>185</v>
      </c>
      <c r="E1834" s="9" t="s">
        <v>115</v>
      </c>
      <c r="F1834" s="9" t="s">
        <v>434</v>
      </c>
      <c r="G1834" s="8"/>
      <c r="H1834" s="8"/>
      <c r="I1834" s="9" t="s">
        <v>12</v>
      </c>
      <c r="J1834" s="9" t="s">
        <v>12</v>
      </c>
      <c r="K1834" s="9" t="s">
        <v>130</v>
      </c>
      <c r="L1834" s="9" t="s">
        <v>209</v>
      </c>
      <c r="M1834" s="14" t="s">
        <v>84</v>
      </c>
      <c r="N1834" s="9" t="s">
        <v>436</v>
      </c>
      <c r="O1834" s="9" t="s">
        <v>296</v>
      </c>
      <c r="P1834" s="9" t="s">
        <v>298</v>
      </c>
      <c r="Q1834" s="11"/>
      <c r="R1834" s="11"/>
      <c r="S1834" s="11">
        <v>0</v>
      </c>
      <c r="T1834" s="9"/>
      <c r="U1834" s="14" t="s">
        <v>77</v>
      </c>
      <c r="V1834" s="9"/>
      <c r="W1834" s="12"/>
      <c r="X1834" s="13"/>
      <c r="Y1834" s="13"/>
      <c r="Z1834" s="13"/>
      <c r="AA1834" s="13"/>
      <c r="AB1834" s="13"/>
      <c r="AC1834" s="13"/>
      <c r="AD1834" s="13"/>
      <c r="AE1834" s="13">
        <v>0</v>
      </c>
      <c r="AF1834" s="13"/>
      <c r="AG1834" s="13"/>
      <c r="AH1834" s="13"/>
      <c r="AI1834" s="13"/>
      <c r="AJ1834" s="13">
        <f t="shared" si="210"/>
        <v>0</v>
      </c>
      <c r="AK1834" s="12"/>
      <c r="AL1834" s="13"/>
      <c r="AM1834" s="9"/>
      <c r="AN1834" s="9"/>
      <c r="AO1834" s="9"/>
      <c r="AP1834" s="14"/>
    </row>
    <row r="1835" spans="1:42" s="45" customFormat="1" ht="22" customHeight="1">
      <c r="A1835" s="14" t="s">
        <v>17</v>
      </c>
      <c r="B1835" s="8">
        <v>2024</v>
      </c>
      <c r="C1835" s="8" t="s">
        <v>24</v>
      </c>
      <c r="D1835" s="9" t="s">
        <v>185</v>
      </c>
      <c r="E1835" s="9" t="s">
        <v>115</v>
      </c>
      <c r="F1835" s="9" t="s">
        <v>434</v>
      </c>
      <c r="G1835" s="8"/>
      <c r="H1835" s="8"/>
      <c r="I1835" s="9" t="s">
        <v>12</v>
      </c>
      <c r="J1835" s="9" t="s">
        <v>12</v>
      </c>
      <c r="K1835" s="9" t="s">
        <v>130</v>
      </c>
      <c r="L1835" s="9" t="s">
        <v>209</v>
      </c>
      <c r="M1835" s="14" t="s">
        <v>84</v>
      </c>
      <c r="N1835" s="9" t="s">
        <v>436</v>
      </c>
      <c r="O1835" s="9" t="s">
        <v>296</v>
      </c>
      <c r="P1835" s="9" t="s">
        <v>307</v>
      </c>
      <c r="Q1835" s="11"/>
      <c r="R1835" s="11"/>
      <c r="S1835" s="11">
        <v>0</v>
      </c>
      <c r="T1835" s="9"/>
      <c r="U1835" s="14" t="s">
        <v>77</v>
      </c>
      <c r="V1835" s="9"/>
      <c r="W1835" s="12"/>
      <c r="X1835" s="13"/>
      <c r="Y1835" s="13"/>
      <c r="Z1835" s="13"/>
      <c r="AA1835" s="13"/>
      <c r="AB1835" s="13"/>
      <c r="AC1835" s="13"/>
      <c r="AD1835" s="13"/>
      <c r="AE1835" s="13">
        <v>0</v>
      </c>
      <c r="AF1835" s="13"/>
      <c r="AG1835" s="13"/>
      <c r="AH1835" s="13"/>
      <c r="AI1835" s="13"/>
      <c r="AJ1835" s="13">
        <f t="shared" si="210"/>
        <v>0</v>
      </c>
      <c r="AK1835" s="12"/>
      <c r="AL1835" s="13"/>
      <c r="AM1835" s="9"/>
      <c r="AN1835" s="9"/>
      <c r="AO1835" s="9"/>
      <c r="AP1835" s="14"/>
    </row>
    <row r="1836" spans="1:42" s="45" customFormat="1" ht="22" customHeight="1">
      <c r="A1836" s="14" t="s">
        <v>17</v>
      </c>
      <c r="B1836" s="8">
        <v>2024</v>
      </c>
      <c r="C1836" s="8" t="s">
        <v>24</v>
      </c>
      <c r="D1836" s="9" t="s">
        <v>185</v>
      </c>
      <c r="E1836" s="9" t="s">
        <v>115</v>
      </c>
      <c r="F1836" s="9" t="s">
        <v>434</v>
      </c>
      <c r="G1836" s="8"/>
      <c r="H1836" s="8"/>
      <c r="I1836" s="9" t="s">
        <v>12</v>
      </c>
      <c r="J1836" s="9" t="s">
        <v>12</v>
      </c>
      <c r="K1836" s="9" t="s">
        <v>130</v>
      </c>
      <c r="L1836" s="9" t="s">
        <v>209</v>
      </c>
      <c r="M1836" s="14" t="s">
        <v>84</v>
      </c>
      <c r="N1836" s="9" t="s">
        <v>436</v>
      </c>
      <c r="O1836" s="9" t="s">
        <v>296</v>
      </c>
      <c r="P1836" s="9" t="s">
        <v>796</v>
      </c>
      <c r="Q1836" s="11"/>
      <c r="R1836" s="11"/>
      <c r="S1836" s="11">
        <v>0</v>
      </c>
      <c r="T1836" s="9"/>
      <c r="U1836" s="14" t="s">
        <v>77</v>
      </c>
      <c r="V1836" s="9"/>
      <c r="W1836" s="12"/>
      <c r="X1836" s="13"/>
      <c r="Y1836" s="13"/>
      <c r="Z1836" s="13"/>
      <c r="AA1836" s="13"/>
      <c r="AB1836" s="13"/>
      <c r="AC1836" s="13"/>
      <c r="AD1836" s="13"/>
      <c r="AE1836" s="13">
        <v>0</v>
      </c>
      <c r="AF1836" s="13"/>
      <c r="AG1836" s="13"/>
      <c r="AH1836" s="13"/>
      <c r="AI1836" s="13"/>
      <c r="AJ1836" s="13">
        <f t="shared" si="210"/>
        <v>0</v>
      </c>
      <c r="AK1836" s="12"/>
      <c r="AL1836" s="13"/>
      <c r="AM1836" s="9"/>
      <c r="AN1836" s="9"/>
      <c r="AO1836" s="9"/>
      <c r="AP1836" s="14"/>
    </row>
    <row r="1837" spans="1:42" s="45" customFormat="1" ht="22" customHeight="1">
      <c r="A1837" s="14" t="s">
        <v>17</v>
      </c>
      <c r="B1837" s="8">
        <v>2024</v>
      </c>
      <c r="C1837" s="8" t="s">
        <v>24</v>
      </c>
      <c r="D1837" s="9" t="s">
        <v>185</v>
      </c>
      <c r="E1837" s="9" t="s">
        <v>115</v>
      </c>
      <c r="F1837" s="9" t="s">
        <v>434</v>
      </c>
      <c r="G1837" s="8"/>
      <c r="H1837" s="8"/>
      <c r="I1837" s="9" t="s">
        <v>12</v>
      </c>
      <c r="J1837" s="9" t="s">
        <v>12</v>
      </c>
      <c r="K1837" s="9" t="s">
        <v>130</v>
      </c>
      <c r="L1837" s="9" t="s">
        <v>209</v>
      </c>
      <c r="M1837" s="14" t="s">
        <v>84</v>
      </c>
      <c r="N1837" s="9" t="s">
        <v>436</v>
      </c>
      <c r="O1837" s="9" t="s">
        <v>296</v>
      </c>
      <c r="P1837" s="9" t="s">
        <v>797</v>
      </c>
      <c r="Q1837" s="11"/>
      <c r="R1837" s="11"/>
      <c r="S1837" s="11">
        <v>0</v>
      </c>
      <c r="T1837" s="9"/>
      <c r="U1837" s="14" t="s">
        <v>77</v>
      </c>
      <c r="V1837" s="9"/>
      <c r="W1837" s="12"/>
      <c r="X1837" s="13"/>
      <c r="Y1837" s="13"/>
      <c r="Z1837" s="13"/>
      <c r="AA1837" s="13"/>
      <c r="AB1837" s="13"/>
      <c r="AC1837" s="13"/>
      <c r="AD1837" s="13"/>
      <c r="AE1837" s="13">
        <v>0</v>
      </c>
      <c r="AF1837" s="13"/>
      <c r="AG1837" s="13"/>
      <c r="AH1837" s="13"/>
      <c r="AI1837" s="13"/>
      <c r="AJ1837" s="13">
        <f t="shared" si="210"/>
        <v>0</v>
      </c>
      <c r="AK1837" s="12"/>
      <c r="AL1837" s="13"/>
      <c r="AM1837" s="9"/>
      <c r="AN1837" s="9"/>
      <c r="AO1837" s="9"/>
      <c r="AP1837" s="14"/>
    </row>
    <row r="1838" spans="1:42" s="45" customFormat="1" ht="22" customHeight="1">
      <c r="A1838" s="14" t="s">
        <v>17</v>
      </c>
      <c r="B1838" s="8">
        <v>2024</v>
      </c>
      <c r="C1838" s="8" t="s">
        <v>24</v>
      </c>
      <c r="D1838" s="9" t="s">
        <v>185</v>
      </c>
      <c r="E1838" s="9" t="s">
        <v>115</v>
      </c>
      <c r="F1838" s="9" t="s">
        <v>434</v>
      </c>
      <c r="G1838" s="8"/>
      <c r="H1838" s="8"/>
      <c r="I1838" s="9" t="s">
        <v>12</v>
      </c>
      <c r="J1838" s="9" t="s">
        <v>12</v>
      </c>
      <c r="K1838" s="9" t="s">
        <v>130</v>
      </c>
      <c r="L1838" s="9" t="s">
        <v>209</v>
      </c>
      <c r="M1838" s="14" t="s">
        <v>84</v>
      </c>
      <c r="N1838" s="9" t="s">
        <v>436</v>
      </c>
      <c r="O1838" s="9" t="s">
        <v>296</v>
      </c>
      <c r="P1838" s="9" t="s">
        <v>798</v>
      </c>
      <c r="Q1838" s="11"/>
      <c r="R1838" s="11"/>
      <c r="S1838" s="11">
        <v>0</v>
      </c>
      <c r="T1838" s="9"/>
      <c r="U1838" s="14" t="s">
        <v>77</v>
      </c>
      <c r="V1838" s="9"/>
      <c r="W1838" s="12"/>
      <c r="X1838" s="13"/>
      <c r="Y1838" s="13"/>
      <c r="Z1838" s="13"/>
      <c r="AA1838" s="13"/>
      <c r="AB1838" s="13"/>
      <c r="AC1838" s="13"/>
      <c r="AD1838" s="13"/>
      <c r="AE1838" s="13">
        <v>0</v>
      </c>
      <c r="AF1838" s="13"/>
      <c r="AG1838" s="13"/>
      <c r="AH1838" s="13"/>
      <c r="AI1838" s="13"/>
      <c r="AJ1838" s="13">
        <f t="shared" ref="AJ1838:AJ1901" si="211">SUBTOTAL(9,X1838:AI1838)</f>
        <v>0</v>
      </c>
      <c r="AK1838" s="12"/>
      <c r="AL1838" s="13"/>
      <c r="AM1838" s="9"/>
      <c r="AN1838" s="9"/>
      <c r="AO1838" s="9"/>
      <c r="AP1838" s="14"/>
    </row>
    <row r="1839" spans="1:42" s="45" customFormat="1" ht="22" customHeight="1">
      <c r="A1839" s="14" t="s">
        <v>17</v>
      </c>
      <c r="B1839" s="8">
        <v>2024</v>
      </c>
      <c r="C1839" s="8" t="s">
        <v>24</v>
      </c>
      <c r="D1839" s="9" t="s">
        <v>185</v>
      </c>
      <c r="E1839" s="9" t="s">
        <v>115</v>
      </c>
      <c r="F1839" s="9" t="s">
        <v>434</v>
      </c>
      <c r="G1839" s="8"/>
      <c r="H1839" s="8"/>
      <c r="I1839" s="9" t="s">
        <v>12</v>
      </c>
      <c r="J1839" s="9" t="s">
        <v>12</v>
      </c>
      <c r="K1839" s="9" t="s">
        <v>130</v>
      </c>
      <c r="L1839" s="9" t="s">
        <v>209</v>
      </c>
      <c r="M1839" s="14" t="s">
        <v>84</v>
      </c>
      <c r="N1839" s="9" t="s">
        <v>436</v>
      </c>
      <c r="O1839" s="9" t="s">
        <v>799</v>
      </c>
      <c r="P1839" s="9" t="s">
        <v>800</v>
      </c>
      <c r="Q1839" s="11"/>
      <c r="R1839" s="11"/>
      <c r="S1839" s="11">
        <v>0</v>
      </c>
      <c r="T1839" s="9"/>
      <c r="U1839" s="14" t="s">
        <v>77</v>
      </c>
      <c r="V1839" s="9"/>
      <c r="W1839" s="12"/>
      <c r="X1839" s="13"/>
      <c r="Y1839" s="13"/>
      <c r="Z1839" s="13"/>
      <c r="AA1839" s="13"/>
      <c r="AB1839" s="13"/>
      <c r="AC1839" s="13"/>
      <c r="AD1839" s="13"/>
      <c r="AE1839" s="13">
        <v>0</v>
      </c>
      <c r="AF1839" s="13"/>
      <c r="AG1839" s="13"/>
      <c r="AH1839" s="13"/>
      <c r="AI1839" s="13"/>
      <c r="AJ1839" s="13">
        <f t="shared" si="211"/>
        <v>0</v>
      </c>
      <c r="AK1839" s="12"/>
      <c r="AL1839" s="13"/>
      <c r="AM1839" s="9"/>
      <c r="AN1839" s="9"/>
      <c r="AO1839" s="9"/>
      <c r="AP1839" s="14"/>
    </row>
    <row r="1840" spans="1:42" s="45" customFormat="1" ht="22" customHeight="1">
      <c r="A1840" s="14" t="s">
        <v>17</v>
      </c>
      <c r="B1840" s="8">
        <v>2024</v>
      </c>
      <c r="C1840" s="8" t="s">
        <v>24</v>
      </c>
      <c r="D1840" s="9" t="s">
        <v>185</v>
      </c>
      <c r="E1840" s="9" t="s">
        <v>115</v>
      </c>
      <c r="F1840" s="9" t="s">
        <v>434</v>
      </c>
      <c r="G1840" s="8"/>
      <c r="H1840" s="8"/>
      <c r="I1840" s="9" t="s">
        <v>12</v>
      </c>
      <c r="J1840" s="9" t="s">
        <v>12</v>
      </c>
      <c r="K1840" s="9" t="s">
        <v>130</v>
      </c>
      <c r="L1840" s="9" t="s">
        <v>209</v>
      </c>
      <c r="M1840" s="14" t="s">
        <v>84</v>
      </c>
      <c r="N1840" s="9" t="s">
        <v>436</v>
      </c>
      <c r="O1840" s="9" t="s">
        <v>799</v>
      </c>
      <c r="P1840" s="9" t="s">
        <v>801</v>
      </c>
      <c r="Q1840" s="11"/>
      <c r="R1840" s="11"/>
      <c r="S1840" s="11">
        <v>0</v>
      </c>
      <c r="T1840" s="9"/>
      <c r="U1840" s="14" t="s">
        <v>77</v>
      </c>
      <c r="V1840" s="9"/>
      <c r="W1840" s="12"/>
      <c r="X1840" s="13"/>
      <c r="Y1840" s="13"/>
      <c r="Z1840" s="13"/>
      <c r="AA1840" s="13"/>
      <c r="AB1840" s="13"/>
      <c r="AC1840" s="13"/>
      <c r="AD1840" s="13"/>
      <c r="AE1840" s="13">
        <v>0</v>
      </c>
      <c r="AF1840" s="13"/>
      <c r="AG1840" s="13"/>
      <c r="AH1840" s="13"/>
      <c r="AI1840" s="13"/>
      <c r="AJ1840" s="13">
        <f t="shared" si="211"/>
        <v>0</v>
      </c>
      <c r="AK1840" s="12"/>
      <c r="AL1840" s="13"/>
      <c r="AM1840" s="9"/>
      <c r="AN1840" s="9"/>
      <c r="AO1840" s="9"/>
      <c r="AP1840" s="14"/>
    </row>
    <row r="1841" spans="1:42" s="45" customFormat="1" ht="22" customHeight="1">
      <c r="A1841" s="14" t="s">
        <v>17</v>
      </c>
      <c r="B1841" s="8">
        <v>2024</v>
      </c>
      <c r="C1841" s="8" t="s">
        <v>24</v>
      </c>
      <c r="D1841" s="9" t="s">
        <v>185</v>
      </c>
      <c r="E1841" s="9" t="s">
        <v>115</v>
      </c>
      <c r="F1841" s="9" t="s">
        <v>434</v>
      </c>
      <c r="G1841" s="8"/>
      <c r="H1841" s="8"/>
      <c r="I1841" s="9" t="s">
        <v>12</v>
      </c>
      <c r="J1841" s="9" t="s">
        <v>12</v>
      </c>
      <c r="K1841" s="9" t="s">
        <v>130</v>
      </c>
      <c r="L1841" s="9" t="s">
        <v>209</v>
      </c>
      <c r="M1841" s="14" t="s">
        <v>84</v>
      </c>
      <c r="N1841" s="9" t="s">
        <v>436</v>
      </c>
      <c r="O1841" s="9" t="s">
        <v>799</v>
      </c>
      <c r="P1841" s="9" t="s">
        <v>802</v>
      </c>
      <c r="Q1841" s="11"/>
      <c r="R1841" s="11"/>
      <c r="S1841" s="11">
        <v>0</v>
      </c>
      <c r="T1841" s="9"/>
      <c r="U1841" s="14" t="s">
        <v>77</v>
      </c>
      <c r="V1841" s="9"/>
      <c r="W1841" s="12"/>
      <c r="X1841" s="13"/>
      <c r="Y1841" s="13"/>
      <c r="Z1841" s="13"/>
      <c r="AA1841" s="13"/>
      <c r="AB1841" s="13"/>
      <c r="AC1841" s="13"/>
      <c r="AD1841" s="13"/>
      <c r="AE1841" s="13">
        <v>0</v>
      </c>
      <c r="AF1841" s="13"/>
      <c r="AG1841" s="13"/>
      <c r="AH1841" s="13"/>
      <c r="AI1841" s="13"/>
      <c r="AJ1841" s="13">
        <f t="shared" si="211"/>
        <v>0</v>
      </c>
      <c r="AK1841" s="12"/>
      <c r="AL1841" s="13"/>
      <c r="AM1841" s="9"/>
      <c r="AN1841" s="9"/>
      <c r="AO1841" s="9"/>
      <c r="AP1841" s="14"/>
    </row>
    <row r="1842" spans="1:42" s="45" customFormat="1" ht="22" customHeight="1">
      <c r="A1842" s="14" t="s">
        <v>17</v>
      </c>
      <c r="B1842" s="8">
        <v>2024</v>
      </c>
      <c r="C1842" s="8" t="s">
        <v>24</v>
      </c>
      <c r="D1842" s="9" t="s">
        <v>185</v>
      </c>
      <c r="E1842" s="9" t="s">
        <v>115</v>
      </c>
      <c r="F1842" s="9" t="s">
        <v>434</v>
      </c>
      <c r="G1842" s="8"/>
      <c r="H1842" s="8"/>
      <c r="I1842" s="9" t="s">
        <v>12</v>
      </c>
      <c r="J1842" s="9" t="s">
        <v>12</v>
      </c>
      <c r="K1842" s="9" t="s">
        <v>130</v>
      </c>
      <c r="L1842" s="9" t="s">
        <v>209</v>
      </c>
      <c r="M1842" s="14" t="s">
        <v>84</v>
      </c>
      <c r="N1842" s="9" t="s">
        <v>436</v>
      </c>
      <c r="O1842" s="9" t="s">
        <v>799</v>
      </c>
      <c r="P1842" s="9" t="s">
        <v>803</v>
      </c>
      <c r="Q1842" s="11"/>
      <c r="R1842" s="11"/>
      <c r="S1842" s="11">
        <v>0</v>
      </c>
      <c r="T1842" s="9"/>
      <c r="U1842" s="14" t="s">
        <v>77</v>
      </c>
      <c r="V1842" s="9"/>
      <c r="W1842" s="12"/>
      <c r="X1842" s="13"/>
      <c r="Y1842" s="13"/>
      <c r="Z1842" s="13"/>
      <c r="AA1842" s="13"/>
      <c r="AB1842" s="13"/>
      <c r="AC1842" s="13"/>
      <c r="AD1842" s="13"/>
      <c r="AE1842" s="13">
        <v>0</v>
      </c>
      <c r="AF1842" s="13"/>
      <c r="AG1842" s="13"/>
      <c r="AH1842" s="13"/>
      <c r="AI1842" s="13"/>
      <c r="AJ1842" s="13">
        <f t="shared" si="211"/>
        <v>0</v>
      </c>
      <c r="AK1842" s="12"/>
      <c r="AL1842" s="13"/>
      <c r="AM1842" s="9"/>
      <c r="AN1842" s="9"/>
      <c r="AO1842" s="9"/>
      <c r="AP1842" s="14"/>
    </row>
    <row r="1843" spans="1:42" s="45" customFormat="1" ht="22" customHeight="1">
      <c r="A1843" s="14" t="s">
        <v>17</v>
      </c>
      <c r="B1843" s="8">
        <v>2024</v>
      </c>
      <c r="C1843" s="8" t="s">
        <v>24</v>
      </c>
      <c r="D1843" s="9" t="s">
        <v>185</v>
      </c>
      <c r="E1843" s="9" t="s">
        <v>115</v>
      </c>
      <c r="F1843" s="9" t="s">
        <v>434</v>
      </c>
      <c r="G1843" s="8"/>
      <c r="H1843" s="8"/>
      <c r="I1843" s="9" t="s">
        <v>12</v>
      </c>
      <c r="J1843" s="9" t="s">
        <v>12</v>
      </c>
      <c r="K1843" s="9" t="s">
        <v>130</v>
      </c>
      <c r="L1843" s="9" t="s">
        <v>209</v>
      </c>
      <c r="M1843" s="14" t="s">
        <v>84</v>
      </c>
      <c r="N1843" s="9" t="s">
        <v>436</v>
      </c>
      <c r="O1843" s="9" t="s">
        <v>799</v>
      </c>
      <c r="P1843" s="9" t="s">
        <v>692</v>
      </c>
      <c r="Q1843" s="11"/>
      <c r="R1843" s="11"/>
      <c r="S1843" s="11">
        <v>0</v>
      </c>
      <c r="T1843" s="9"/>
      <c r="U1843" s="14" t="s">
        <v>77</v>
      </c>
      <c r="V1843" s="9"/>
      <c r="W1843" s="12"/>
      <c r="X1843" s="13"/>
      <c r="Y1843" s="13"/>
      <c r="Z1843" s="13"/>
      <c r="AA1843" s="13"/>
      <c r="AB1843" s="13"/>
      <c r="AC1843" s="13"/>
      <c r="AD1843" s="13"/>
      <c r="AE1843" s="13">
        <v>0</v>
      </c>
      <c r="AF1843" s="13"/>
      <c r="AG1843" s="13"/>
      <c r="AH1843" s="13"/>
      <c r="AI1843" s="13"/>
      <c r="AJ1843" s="13">
        <f t="shared" si="211"/>
        <v>0</v>
      </c>
      <c r="AK1843" s="12"/>
      <c r="AL1843" s="13"/>
      <c r="AM1843" s="9"/>
      <c r="AN1843" s="9"/>
      <c r="AO1843" s="9"/>
      <c r="AP1843" s="14"/>
    </row>
    <row r="1844" spans="1:42" s="45" customFormat="1" ht="22" customHeight="1">
      <c r="A1844" s="14" t="s">
        <v>17</v>
      </c>
      <c r="B1844" s="8">
        <v>2024</v>
      </c>
      <c r="C1844" s="8" t="s">
        <v>24</v>
      </c>
      <c r="D1844" s="9" t="s">
        <v>185</v>
      </c>
      <c r="E1844" s="9" t="s">
        <v>115</v>
      </c>
      <c r="F1844" s="9" t="s">
        <v>434</v>
      </c>
      <c r="G1844" s="8"/>
      <c r="H1844" s="8"/>
      <c r="I1844" s="9" t="s">
        <v>12</v>
      </c>
      <c r="J1844" s="9" t="s">
        <v>12</v>
      </c>
      <c r="K1844" s="9" t="s">
        <v>130</v>
      </c>
      <c r="L1844" s="9" t="s">
        <v>209</v>
      </c>
      <c r="M1844" s="14" t="s">
        <v>84</v>
      </c>
      <c r="N1844" s="9" t="s">
        <v>436</v>
      </c>
      <c r="O1844" s="9" t="s">
        <v>799</v>
      </c>
      <c r="P1844" s="9" t="s">
        <v>804</v>
      </c>
      <c r="Q1844" s="11"/>
      <c r="R1844" s="11"/>
      <c r="S1844" s="11">
        <v>0</v>
      </c>
      <c r="T1844" s="9"/>
      <c r="U1844" s="14" t="s">
        <v>77</v>
      </c>
      <c r="V1844" s="9"/>
      <c r="W1844" s="12"/>
      <c r="X1844" s="13"/>
      <c r="Y1844" s="13"/>
      <c r="Z1844" s="13"/>
      <c r="AA1844" s="13"/>
      <c r="AB1844" s="13"/>
      <c r="AC1844" s="13"/>
      <c r="AD1844" s="13"/>
      <c r="AE1844" s="13">
        <v>0</v>
      </c>
      <c r="AF1844" s="13"/>
      <c r="AG1844" s="13"/>
      <c r="AH1844" s="13"/>
      <c r="AI1844" s="13"/>
      <c r="AJ1844" s="13">
        <f t="shared" si="211"/>
        <v>0</v>
      </c>
      <c r="AK1844" s="12"/>
      <c r="AL1844" s="13"/>
      <c r="AM1844" s="9"/>
      <c r="AN1844" s="9"/>
      <c r="AO1844" s="9"/>
      <c r="AP1844" s="14"/>
    </row>
    <row r="1845" spans="1:42" s="45" customFormat="1" ht="22" customHeight="1">
      <c r="A1845" s="14" t="s">
        <v>17</v>
      </c>
      <c r="B1845" s="8">
        <v>2024</v>
      </c>
      <c r="C1845" s="8" t="s">
        <v>24</v>
      </c>
      <c r="D1845" s="9" t="s">
        <v>185</v>
      </c>
      <c r="E1845" s="9" t="s">
        <v>115</v>
      </c>
      <c r="F1845" s="9" t="s">
        <v>434</v>
      </c>
      <c r="G1845" s="8"/>
      <c r="H1845" s="8"/>
      <c r="I1845" s="9" t="s">
        <v>12</v>
      </c>
      <c r="J1845" s="9" t="s">
        <v>12</v>
      </c>
      <c r="K1845" s="9" t="s">
        <v>130</v>
      </c>
      <c r="L1845" s="9" t="s">
        <v>209</v>
      </c>
      <c r="M1845" s="14" t="s">
        <v>84</v>
      </c>
      <c r="N1845" s="9" t="s">
        <v>436</v>
      </c>
      <c r="O1845" s="9" t="s">
        <v>799</v>
      </c>
      <c r="P1845" s="9" t="s">
        <v>805</v>
      </c>
      <c r="Q1845" s="11"/>
      <c r="R1845" s="11"/>
      <c r="S1845" s="11">
        <v>0</v>
      </c>
      <c r="T1845" s="9"/>
      <c r="U1845" s="14" t="s">
        <v>77</v>
      </c>
      <c r="V1845" s="9"/>
      <c r="W1845" s="12"/>
      <c r="X1845" s="13"/>
      <c r="Y1845" s="13"/>
      <c r="Z1845" s="13"/>
      <c r="AA1845" s="13"/>
      <c r="AB1845" s="13"/>
      <c r="AC1845" s="13"/>
      <c r="AD1845" s="13"/>
      <c r="AE1845" s="13">
        <v>0</v>
      </c>
      <c r="AF1845" s="13"/>
      <c r="AG1845" s="13"/>
      <c r="AH1845" s="13"/>
      <c r="AI1845" s="13"/>
      <c r="AJ1845" s="13">
        <f t="shared" si="211"/>
        <v>0</v>
      </c>
      <c r="AK1845" s="12"/>
      <c r="AL1845" s="13"/>
      <c r="AM1845" s="9"/>
      <c r="AN1845" s="9"/>
      <c r="AO1845" s="9"/>
      <c r="AP1845" s="14"/>
    </row>
    <row r="1846" spans="1:42" s="45" customFormat="1" ht="22" customHeight="1">
      <c r="A1846" s="14" t="s">
        <v>17</v>
      </c>
      <c r="B1846" s="8">
        <v>2024</v>
      </c>
      <c r="C1846" s="8" t="s">
        <v>24</v>
      </c>
      <c r="D1846" s="9" t="s">
        <v>185</v>
      </c>
      <c r="E1846" s="9" t="s">
        <v>115</v>
      </c>
      <c r="F1846" s="9" t="s">
        <v>434</v>
      </c>
      <c r="G1846" s="8"/>
      <c r="H1846" s="8"/>
      <c r="I1846" s="9" t="s">
        <v>12</v>
      </c>
      <c r="J1846" s="9" t="s">
        <v>12</v>
      </c>
      <c r="K1846" s="9" t="s">
        <v>130</v>
      </c>
      <c r="L1846" s="9" t="s">
        <v>209</v>
      </c>
      <c r="M1846" s="14" t="s">
        <v>84</v>
      </c>
      <c r="N1846" s="9" t="s">
        <v>436</v>
      </c>
      <c r="O1846" s="9" t="s">
        <v>799</v>
      </c>
      <c r="P1846" s="9" t="s">
        <v>806</v>
      </c>
      <c r="Q1846" s="11"/>
      <c r="R1846" s="11"/>
      <c r="S1846" s="11">
        <v>0</v>
      </c>
      <c r="T1846" s="9"/>
      <c r="U1846" s="14" t="s">
        <v>77</v>
      </c>
      <c r="V1846" s="9"/>
      <c r="W1846" s="12"/>
      <c r="X1846" s="13"/>
      <c r="Y1846" s="13"/>
      <c r="Z1846" s="13"/>
      <c r="AA1846" s="13"/>
      <c r="AB1846" s="13"/>
      <c r="AC1846" s="13"/>
      <c r="AD1846" s="13"/>
      <c r="AE1846" s="13">
        <v>0</v>
      </c>
      <c r="AF1846" s="13"/>
      <c r="AG1846" s="13"/>
      <c r="AH1846" s="13"/>
      <c r="AI1846" s="13"/>
      <c r="AJ1846" s="13">
        <f t="shared" si="211"/>
        <v>0</v>
      </c>
      <c r="AK1846" s="12"/>
      <c r="AL1846" s="13"/>
      <c r="AM1846" s="9"/>
      <c r="AN1846" s="9"/>
      <c r="AO1846" s="9"/>
      <c r="AP1846" s="14"/>
    </row>
    <row r="1847" spans="1:42" s="45" customFormat="1" ht="22" customHeight="1">
      <c r="A1847" s="14" t="s">
        <v>17</v>
      </c>
      <c r="B1847" s="8">
        <v>2024</v>
      </c>
      <c r="C1847" s="8" t="s">
        <v>24</v>
      </c>
      <c r="D1847" s="9" t="s">
        <v>185</v>
      </c>
      <c r="E1847" s="9" t="s">
        <v>115</v>
      </c>
      <c r="F1847" s="9" t="s">
        <v>434</v>
      </c>
      <c r="G1847" s="8"/>
      <c r="H1847" s="8"/>
      <c r="I1847" s="9" t="s">
        <v>12</v>
      </c>
      <c r="J1847" s="9" t="s">
        <v>12</v>
      </c>
      <c r="K1847" s="9" t="s">
        <v>130</v>
      </c>
      <c r="L1847" s="9" t="s">
        <v>209</v>
      </c>
      <c r="M1847" s="14" t="s">
        <v>84</v>
      </c>
      <c r="N1847" s="9" t="s">
        <v>436</v>
      </c>
      <c r="O1847" s="9" t="s">
        <v>799</v>
      </c>
      <c r="P1847" s="9" t="s">
        <v>807</v>
      </c>
      <c r="Q1847" s="11"/>
      <c r="R1847" s="11"/>
      <c r="S1847" s="11">
        <v>0</v>
      </c>
      <c r="T1847" s="9"/>
      <c r="U1847" s="14" t="s">
        <v>77</v>
      </c>
      <c r="V1847" s="9"/>
      <c r="W1847" s="12"/>
      <c r="X1847" s="13"/>
      <c r="Y1847" s="13"/>
      <c r="Z1847" s="13"/>
      <c r="AA1847" s="13"/>
      <c r="AB1847" s="13"/>
      <c r="AC1847" s="13"/>
      <c r="AD1847" s="13"/>
      <c r="AE1847" s="13">
        <v>0</v>
      </c>
      <c r="AF1847" s="13"/>
      <c r="AG1847" s="13"/>
      <c r="AH1847" s="13"/>
      <c r="AI1847" s="13"/>
      <c r="AJ1847" s="13">
        <f t="shared" si="211"/>
        <v>0</v>
      </c>
      <c r="AK1847" s="12"/>
      <c r="AL1847" s="13"/>
      <c r="AM1847" s="9"/>
      <c r="AN1847" s="9"/>
      <c r="AO1847" s="9"/>
      <c r="AP1847" s="14"/>
    </row>
    <row r="1848" spans="1:42" s="45" customFormat="1" ht="22" customHeight="1">
      <c r="A1848" s="14" t="s">
        <v>17</v>
      </c>
      <c r="B1848" s="8">
        <v>2024</v>
      </c>
      <c r="C1848" s="8" t="s">
        <v>24</v>
      </c>
      <c r="D1848" s="9" t="s">
        <v>185</v>
      </c>
      <c r="E1848" s="9" t="s">
        <v>115</v>
      </c>
      <c r="F1848" s="9" t="s">
        <v>434</v>
      </c>
      <c r="G1848" s="8"/>
      <c r="H1848" s="8"/>
      <c r="I1848" s="9" t="s">
        <v>12</v>
      </c>
      <c r="J1848" s="9" t="s">
        <v>12</v>
      </c>
      <c r="K1848" s="9" t="s">
        <v>130</v>
      </c>
      <c r="L1848" s="9" t="s">
        <v>209</v>
      </c>
      <c r="M1848" s="14" t="s">
        <v>84</v>
      </c>
      <c r="N1848" s="9" t="s">
        <v>436</v>
      </c>
      <c r="O1848" s="9" t="s">
        <v>799</v>
      </c>
      <c r="P1848" s="9" t="s">
        <v>808</v>
      </c>
      <c r="Q1848" s="11"/>
      <c r="R1848" s="11"/>
      <c r="S1848" s="11">
        <v>0</v>
      </c>
      <c r="T1848" s="9"/>
      <c r="U1848" s="14" t="s">
        <v>77</v>
      </c>
      <c r="V1848" s="9"/>
      <c r="W1848" s="12"/>
      <c r="X1848" s="13"/>
      <c r="Y1848" s="13"/>
      <c r="Z1848" s="13"/>
      <c r="AA1848" s="13"/>
      <c r="AB1848" s="13"/>
      <c r="AC1848" s="13"/>
      <c r="AD1848" s="13"/>
      <c r="AE1848" s="13">
        <v>0</v>
      </c>
      <c r="AF1848" s="13"/>
      <c r="AG1848" s="13"/>
      <c r="AH1848" s="13"/>
      <c r="AI1848" s="13"/>
      <c r="AJ1848" s="13">
        <f t="shared" si="211"/>
        <v>0</v>
      </c>
      <c r="AK1848" s="12"/>
      <c r="AL1848" s="13"/>
      <c r="AM1848" s="9"/>
      <c r="AN1848" s="9"/>
      <c r="AO1848" s="9"/>
      <c r="AP1848" s="14"/>
    </row>
    <row r="1849" spans="1:42" s="45" customFormat="1" ht="22" customHeight="1">
      <c r="A1849" s="14" t="s">
        <v>17</v>
      </c>
      <c r="B1849" s="8">
        <v>2024</v>
      </c>
      <c r="C1849" s="8" t="s">
        <v>24</v>
      </c>
      <c r="D1849" s="9" t="s">
        <v>185</v>
      </c>
      <c r="E1849" s="9" t="s">
        <v>115</v>
      </c>
      <c r="F1849" s="9" t="s">
        <v>434</v>
      </c>
      <c r="G1849" s="8"/>
      <c r="H1849" s="8"/>
      <c r="I1849" s="9" t="s">
        <v>12</v>
      </c>
      <c r="J1849" s="9" t="s">
        <v>12</v>
      </c>
      <c r="K1849" s="9" t="s">
        <v>130</v>
      </c>
      <c r="L1849" s="9" t="s">
        <v>209</v>
      </c>
      <c r="M1849" s="14" t="s">
        <v>84</v>
      </c>
      <c r="N1849" s="9" t="s">
        <v>436</v>
      </c>
      <c r="O1849" s="9" t="s">
        <v>799</v>
      </c>
      <c r="P1849" s="9" t="s">
        <v>809</v>
      </c>
      <c r="Q1849" s="11"/>
      <c r="R1849" s="11"/>
      <c r="S1849" s="11">
        <v>0</v>
      </c>
      <c r="T1849" s="9"/>
      <c r="U1849" s="14" t="s">
        <v>77</v>
      </c>
      <c r="V1849" s="9"/>
      <c r="W1849" s="12"/>
      <c r="X1849" s="13"/>
      <c r="Y1849" s="13"/>
      <c r="Z1849" s="13"/>
      <c r="AA1849" s="13"/>
      <c r="AB1849" s="13"/>
      <c r="AC1849" s="13"/>
      <c r="AD1849" s="13"/>
      <c r="AE1849" s="13">
        <v>0</v>
      </c>
      <c r="AF1849" s="13"/>
      <c r="AG1849" s="13"/>
      <c r="AH1849" s="13"/>
      <c r="AI1849" s="13"/>
      <c r="AJ1849" s="13">
        <f t="shared" si="211"/>
        <v>0</v>
      </c>
      <c r="AK1849" s="12"/>
      <c r="AL1849" s="13"/>
      <c r="AM1849" s="9"/>
      <c r="AN1849" s="9"/>
      <c r="AO1849" s="9"/>
      <c r="AP1849" s="14"/>
    </row>
    <row r="1850" spans="1:42" s="45" customFormat="1" ht="22" customHeight="1">
      <c r="A1850" s="14" t="s">
        <v>17</v>
      </c>
      <c r="B1850" s="8">
        <v>2024</v>
      </c>
      <c r="C1850" s="8" t="s">
        <v>24</v>
      </c>
      <c r="D1850" s="9" t="s">
        <v>185</v>
      </c>
      <c r="E1850" s="9" t="s">
        <v>115</v>
      </c>
      <c r="F1850" s="9" t="s">
        <v>434</v>
      </c>
      <c r="G1850" s="8"/>
      <c r="H1850" s="8"/>
      <c r="I1850" s="9" t="s">
        <v>12</v>
      </c>
      <c r="J1850" s="9" t="s">
        <v>12</v>
      </c>
      <c r="K1850" s="9" t="s">
        <v>130</v>
      </c>
      <c r="L1850" s="9" t="s">
        <v>209</v>
      </c>
      <c r="M1850" s="14" t="s">
        <v>84</v>
      </c>
      <c r="N1850" s="9" t="s">
        <v>436</v>
      </c>
      <c r="O1850" s="9" t="s">
        <v>799</v>
      </c>
      <c r="P1850" s="9" t="s">
        <v>810</v>
      </c>
      <c r="Q1850" s="11"/>
      <c r="R1850" s="11"/>
      <c r="S1850" s="11">
        <v>0</v>
      </c>
      <c r="T1850" s="9"/>
      <c r="U1850" s="14" t="s">
        <v>77</v>
      </c>
      <c r="V1850" s="9"/>
      <c r="W1850" s="12"/>
      <c r="X1850" s="13"/>
      <c r="Y1850" s="13"/>
      <c r="Z1850" s="13"/>
      <c r="AA1850" s="13"/>
      <c r="AB1850" s="13"/>
      <c r="AC1850" s="13"/>
      <c r="AD1850" s="13"/>
      <c r="AE1850" s="13">
        <v>0</v>
      </c>
      <c r="AF1850" s="13"/>
      <c r="AG1850" s="13"/>
      <c r="AH1850" s="13"/>
      <c r="AI1850" s="13"/>
      <c r="AJ1850" s="13">
        <f t="shared" si="211"/>
        <v>0</v>
      </c>
      <c r="AK1850" s="12"/>
      <c r="AL1850" s="13"/>
      <c r="AM1850" s="9"/>
      <c r="AN1850" s="9"/>
      <c r="AO1850" s="9"/>
      <c r="AP1850" s="14"/>
    </row>
    <row r="1851" spans="1:42" s="45" customFormat="1" ht="22" customHeight="1">
      <c r="A1851" s="14" t="s">
        <v>17</v>
      </c>
      <c r="B1851" s="8">
        <v>2024</v>
      </c>
      <c r="C1851" s="8" t="s">
        <v>24</v>
      </c>
      <c r="D1851" s="9" t="s">
        <v>185</v>
      </c>
      <c r="E1851" s="9" t="s">
        <v>115</v>
      </c>
      <c r="F1851" s="9" t="s">
        <v>434</v>
      </c>
      <c r="G1851" s="8"/>
      <c r="H1851" s="8"/>
      <c r="I1851" s="9" t="s">
        <v>12</v>
      </c>
      <c r="J1851" s="9" t="s">
        <v>12</v>
      </c>
      <c r="K1851" s="9" t="s">
        <v>130</v>
      </c>
      <c r="L1851" s="9" t="s">
        <v>209</v>
      </c>
      <c r="M1851" s="14" t="s">
        <v>84</v>
      </c>
      <c r="N1851" s="9" t="s">
        <v>436</v>
      </c>
      <c r="O1851" s="9" t="s">
        <v>799</v>
      </c>
      <c r="P1851" s="9" t="s">
        <v>811</v>
      </c>
      <c r="Q1851" s="11"/>
      <c r="R1851" s="11"/>
      <c r="S1851" s="11">
        <v>0</v>
      </c>
      <c r="T1851" s="9"/>
      <c r="U1851" s="14" t="s">
        <v>77</v>
      </c>
      <c r="V1851" s="9"/>
      <c r="W1851" s="12"/>
      <c r="X1851" s="13"/>
      <c r="Y1851" s="13"/>
      <c r="Z1851" s="13"/>
      <c r="AA1851" s="13"/>
      <c r="AB1851" s="13"/>
      <c r="AC1851" s="13"/>
      <c r="AD1851" s="13"/>
      <c r="AE1851" s="13">
        <v>0</v>
      </c>
      <c r="AF1851" s="13"/>
      <c r="AG1851" s="13"/>
      <c r="AH1851" s="13"/>
      <c r="AI1851" s="13"/>
      <c r="AJ1851" s="13">
        <f t="shared" si="211"/>
        <v>0</v>
      </c>
      <c r="AK1851" s="12"/>
      <c r="AL1851" s="13"/>
      <c r="AM1851" s="9"/>
      <c r="AN1851" s="9"/>
      <c r="AO1851" s="9"/>
      <c r="AP1851" s="14"/>
    </row>
    <row r="1852" spans="1:42" s="45" customFormat="1" ht="22" customHeight="1">
      <c r="A1852" s="14" t="s">
        <v>17</v>
      </c>
      <c r="B1852" s="8">
        <v>2024</v>
      </c>
      <c r="C1852" s="8" t="s">
        <v>24</v>
      </c>
      <c r="D1852" s="9" t="s">
        <v>185</v>
      </c>
      <c r="E1852" s="9" t="s">
        <v>115</v>
      </c>
      <c r="F1852" s="9" t="s">
        <v>434</v>
      </c>
      <c r="G1852" s="8"/>
      <c r="H1852" s="8"/>
      <c r="I1852" s="9" t="s">
        <v>12</v>
      </c>
      <c r="J1852" s="9" t="s">
        <v>12</v>
      </c>
      <c r="K1852" s="9" t="s">
        <v>130</v>
      </c>
      <c r="L1852" s="9" t="s">
        <v>209</v>
      </c>
      <c r="M1852" s="14" t="s">
        <v>84</v>
      </c>
      <c r="N1852" s="9" t="s">
        <v>436</v>
      </c>
      <c r="O1852" s="9" t="s">
        <v>799</v>
      </c>
      <c r="P1852" s="9" t="s">
        <v>812</v>
      </c>
      <c r="Q1852" s="11"/>
      <c r="R1852" s="11"/>
      <c r="S1852" s="11">
        <v>0</v>
      </c>
      <c r="T1852" s="9"/>
      <c r="U1852" s="14" t="s">
        <v>77</v>
      </c>
      <c r="V1852" s="9"/>
      <c r="W1852" s="12"/>
      <c r="X1852" s="13"/>
      <c r="Y1852" s="13"/>
      <c r="Z1852" s="13"/>
      <c r="AA1852" s="13"/>
      <c r="AB1852" s="13"/>
      <c r="AC1852" s="13"/>
      <c r="AD1852" s="13"/>
      <c r="AE1852" s="13">
        <v>0</v>
      </c>
      <c r="AF1852" s="13"/>
      <c r="AG1852" s="13"/>
      <c r="AH1852" s="13"/>
      <c r="AI1852" s="13"/>
      <c r="AJ1852" s="13">
        <f t="shared" si="211"/>
        <v>0</v>
      </c>
      <c r="AK1852" s="12"/>
      <c r="AL1852" s="13"/>
      <c r="AM1852" s="9"/>
      <c r="AN1852" s="9"/>
      <c r="AO1852" s="9"/>
      <c r="AP1852" s="14"/>
    </row>
    <row r="1853" spans="1:42" s="45" customFormat="1" ht="22" customHeight="1">
      <c r="A1853" s="14" t="s">
        <v>17</v>
      </c>
      <c r="B1853" s="8">
        <v>2024</v>
      </c>
      <c r="C1853" s="8" t="s">
        <v>24</v>
      </c>
      <c r="D1853" s="9" t="s">
        <v>185</v>
      </c>
      <c r="E1853" s="9" t="s">
        <v>115</v>
      </c>
      <c r="F1853" s="9" t="s">
        <v>434</v>
      </c>
      <c r="G1853" s="8"/>
      <c r="H1853" s="8"/>
      <c r="I1853" s="9" t="s">
        <v>12</v>
      </c>
      <c r="J1853" s="9" t="s">
        <v>12</v>
      </c>
      <c r="K1853" s="9" t="s">
        <v>130</v>
      </c>
      <c r="L1853" s="9" t="s">
        <v>209</v>
      </c>
      <c r="M1853" s="14" t="s">
        <v>84</v>
      </c>
      <c r="N1853" s="9" t="s">
        <v>436</v>
      </c>
      <c r="O1853" s="9" t="s">
        <v>799</v>
      </c>
      <c r="P1853" s="9" t="s">
        <v>813</v>
      </c>
      <c r="Q1853" s="11"/>
      <c r="R1853" s="11"/>
      <c r="S1853" s="11">
        <v>0</v>
      </c>
      <c r="T1853" s="9"/>
      <c r="U1853" s="14" t="s">
        <v>77</v>
      </c>
      <c r="V1853" s="9"/>
      <c r="W1853" s="12"/>
      <c r="X1853" s="13"/>
      <c r="Y1853" s="13"/>
      <c r="Z1853" s="13"/>
      <c r="AA1853" s="13"/>
      <c r="AB1853" s="13"/>
      <c r="AC1853" s="13"/>
      <c r="AD1853" s="13"/>
      <c r="AE1853" s="13">
        <v>0</v>
      </c>
      <c r="AF1853" s="13"/>
      <c r="AG1853" s="13"/>
      <c r="AH1853" s="13"/>
      <c r="AI1853" s="13"/>
      <c r="AJ1853" s="13">
        <f t="shared" si="211"/>
        <v>0</v>
      </c>
      <c r="AK1853" s="12"/>
      <c r="AL1853" s="13"/>
      <c r="AM1853" s="9"/>
      <c r="AN1853" s="9"/>
      <c r="AO1853" s="9"/>
      <c r="AP1853" s="14"/>
    </row>
    <row r="1854" spans="1:42" s="45" customFormat="1" ht="22" customHeight="1">
      <c r="A1854" s="14" t="s">
        <v>17</v>
      </c>
      <c r="B1854" s="8">
        <v>2024</v>
      </c>
      <c r="C1854" s="8" t="s">
        <v>24</v>
      </c>
      <c r="D1854" s="9" t="s">
        <v>185</v>
      </c>
      <c r="E1854" s="9" t="s">
        <v>115</v>
      </c>
      <c r="F1854" s="9" t="s">
        <v>434</v>
      </c>
      <c r="G1854" s="8"/>
      <c r="H1854" s="8"/>
      <c r="I1854" s="9" t="s">
        <v>12</v>
      </c>
      <c r="J1854" s="9" t="s">
        <v>12</v>
      </c>
      <c r="K1854" s="9" t="s">
        <v>130</v>
      </c>
      <c r="L1854" s="9" t="s">
        <v>209</v>
      </c>
      <c r="M1854" s="14" t="s">
        <v>84</v>
      </c>
      <c r="N1854" s="9" t="s">
        <v>436</v>
      </c>
      <c r="O1854" s="9" t="s">
        <v>799</v>
      </c>
      <c r="P1854" s="9" t="s">
        <v>814</v>
      </c>
      <c r="Q1854" s="11"/>
      <c r="R1854" s="11"/>
      <c r="S1854" s="11">
        <v>0</v>
      </c>
      <c r="T1854" s="9"/>
      <c r="U1854" s="14" t="s">
        <v>77</v>
      </c>
      <c r="V1854" s="9"/>
      <c r="W1854" s="12"/>
      <c r="X1854" s="13"/>
      <c r="Y1854" s="13"/>
      <c r="Z1854" s="13"/>
      <c r="AA1854" s="13"/>
      <c r="AB1854" s="13"/>
      <c r="AC1854" s="13"/>
      <c r="AD1854" s="13"/>
      <c r="AE1854" s="13">
        <v>0</v>
      </c>
      <c r="AF1854" s="13"/>
      <c r="AG1854" s="13"/>
      <c r="AH1854" s="13"/>
      <c r="AI1854" s="13"/>
      <c r="AJ1854" s="13">
        <f t="shared" si="211"/>
        <v>0</v>
      </c>
      <c r="AK1854" s="12"/>
      <c r="AL1854" s="13"/>
      <c r="AM1854" s="9"/>
      <c r="AN1854" s="9"/>
      <c r="AO1854" s="9"/>
      <c r="AP1854" s="14"/>
    </row>
    <row r="1855" spans="1:42" s="45" customFormat="1" ht="22" customHeight="1">
      <c r="A1855" s="14" t="s">
        <v>17</v>
      </c>
      <c r="B1855" s="8">
        <v>2024</v>
      </c>
      <c r="C1855" s="8" t="s">
        <v>24</v>
      </c>
      <c r="D1855" s="9" t="s">
        <v>185</v>
      </c>
      <c r="E1855" s="9" t="s">
        <v>115</v>
      </c>
      <c r="F1855" s="9" t="s">
        <v>434</v>
      </c>
      <c r="G1855" s="8"/>
      <c r="H1855" s="8"/>
      <c r="I1855" s="9" t="s">
        <v>12</v>
      </c>
      <c r="J1855" s="9" t="s">
        <v>12</v>
      </c>
      <c r="K1855" s="9" t="s">
        <v>130</v>
      </c>
      <c r="L1855" s="9" t="s">
        <v>209</v>
      </c>
      <c r="M1855" s="14" t="s">
        <v>84</v>
      </c>
      <c r="N1855" s="9" t="s">
        <v>436</v>
      </c>
      <c r="O1855" s="9" t="s">
        <v>799</v>
      </c>
      <c r="P1855" s="9" t="s">
        <v>301</v>
      </c>
      <c r="Q1855" s="11"/>
      <c r="R1855" s="11"/>
      <c r="S1855" s="11">
        <v>0</v>
      </c>
      <c r="T1855" s="9"/>
      <c r="U1855" s="14" t="s">
        <v>77</v>
      </c>
      <c r="V1855" s="9"/>
      <c r="W1855" s="12"/>
      <c r="X1855" s="13"/>
      <c r="Y1855" s="13"/>
      <c r="Z1855" s="13"/>
      <c r="AA1855" s="13"/>
      <c r="AB1855" s="13"/>
      <c r="AC1855" s="13"/>
      <c r="AD1855" s="13"/>
      <c r="AE1855" s="13">
        <v>0</v>
      </c>
      <c r="AF1855" s="13"/>
      <c r="AG1855" s="13"/>
      <c r="AH1855" s="13"/>
      <c r="AI1855" s="13"/>
      <c r="AJ1855" s="13">
        <f t="shared" si="211"/>
        <v>0</v>
      </c>
      <c r="AK1855" s="12"/>
      <c r="AL1855" s="13"/>
      <c r="AM1855" s="9"/>
      <c r="AN1855" s="9"/>
      <c r="AO1855" s="9"/>
      <c r="AP1855" s="14"/>
    </row>
    <row r="1856" spans="1:42" s="45" customFormat="1" ht="22" customHeight="1">
      <c r="A1856" s="14" t="s">
        <v>17</v>
      </c>
      <c r="B1856" s="8">
        <v>2024</v>
      </c>
      <c r="C1856" s="8" t="s">
        <v>24</v>
      </c>
      <c r="D1856" s="9" t="s">
        <v>185</v>
      </c>
      <c r="E1856" s="9" t="s">
        <v>115</v>
      </c>
      <c r="F1856" s="9" t="s">
        <v>434</v>
      </c>
      <c r="G1856" s="8"/>
      <c r="H1856" s="8"/>
      <c r="I1856" s="9" t="s">
        <v>12</v>
      </c>
      <c r="J1856" s="9" t="s">
        <v>12</v>
      </c>
      <c r="K1856" s="9" t="s">
        <v>130</v>
      </c>
      <c r="L1856" s="9" t="s">
        <v>209</v>
      </c>
      <c r="M1856" s="14" t="s">
        <v>84</v>
      </c>
      <c r="N1856" s="9" t="s">
        <v>436</v>
      </c>
      <c r="O1856" s="9" t="s">
        <v>799</v>
      </c>
      <c r="P1856" s="9" t="s">
        <v>815</v>
      </c>
      <c r="Q1856" s="11"/>
      <c r="R1856" s="11"/>
      <c r="S1856" s="11">
        <v>0</v>
      </c>
      <c r="T1856" s="9"/>
      <c r="U1856" s="14" t="s">
        <v>77</v>
      </c>
      <c r="V1856" s="9"/>
      <c r="W1856" s="12"/>
      <c r="X1856" s="13"/>
      <c r="Y1856" s="13"/>
      <c r="Z1856" s="13"/>
      <c r="AA1856" s="13"/>
      <c r="AB1856" s="13"/>
      <c r="AC1856" s="13"/>
      <c r="AD1856" s="13"/>
      <c r="AE1856" s="13">
        <v>0</v>
      </c>
      <c r="AF1856" s="13"/>
      <c r="AG1856" s="13"/>
      <c r="AH1856" s="13"/>
      <c r="AI1856" s="13"/>
      <c r="AJ1856" s="13">
        <f t="shared" si="211"/>
        <v>0</v>
      </c>
      <c r="AK1856" s="12"/>
      <c r="AL1856" s="13"/>
      <c r="AM1856" s="9"/>
      <c r="AN1856" s="9"/>
      <c r="AO1856" s="9"/>
      <c r="AP1856" s="14"/>
    </row>
    <row r="1857" spans="1:42" s="45" customFormat="1" ht="22" customHeight="1">
      <c r="A1857" s="14" t="s">
        <v>17</v>
      </c>
      <c r="B1857" s="8">
        <v>2024</v>
      </c>
      <c r="C1857" s="8" t="s">
        <v>24</v>
      </c>
      <c r="D1857" s="9" t="s">
        <v>185</v>
      </c>
      <c r="E1857" s="9" t="s">
        <v>115</v>
      </c>
      <c r="F1857" s="9" t="s">
        <v>434</v>
      </c>
      <c r="G1857" s="8"/>
      <c r="H1857" s="8"/>
      <c r="I1857" s="9" t="s">
        <v>12</v>
      </c>
      <c r="J1857" s="9" t="s">
        <v>12</v>
      </c>
      <c r="K1857" s="9" t="s">
        <v>130</v>
      </c>
      <c r="L1857" s="9" t="s">
        <v>209</v>
      </c>
      <c r="M1857" s="14" t="s">
        <v>84</v>
      </c>
      <c r="N1857" s="9" t="s">
        <v>436</v>
      </c>
      <c r="O1857" s="9" t="s">
        <v>799</v>
      </c>
      <c r="P1857" s="9" t="s">
        <v>816</v>
      </c>
      <c r="Q1857" s="11"/>
      <c r="R1857" s="11"/>
      <c r="S1857" s="11">
        <v>0</v>
      </c>
      <c r="T1857" s="9"/>
      <c r="U1857" s="14" t="s">
        <v>77</v>
      </c>
      <c r="V1857" s="9"/>
      <c r="W1857" s="12"/>
      <c r="X1857" s="13"/>
      <c r="Y1857" s="13"/>
      <c r="Z1857" s="13"/>
      <c r="AA1857" s="13"/>
      <c r="AB1857" s="13"/>
      <c r="AC1857" s="13"/>
      <c r="AD1857" s="13"/>
      <c r="AE1857" s="13">
        <v>0</v>
      </c>
      <c r="AF1857" s="13"/>
      <c r="AG1857" s="13"/>
      <c r="AH1857" s="13"/>
      <c r="AI1857" s="13"/>
      <c r="AJ1857" s="13">
        <f t="shared" si="211"/>
        <v>0</v>
      </c>
      <c r="AK1857" s="12"/>
      <c r="AL1857" s="13"/>
      <c r="AM1857" s="9"/>
      <c r="AN1857" s="9"/>
      <c r="AO1857" s="9"/>
      <c r="AP1857" s="14"/>
    </row>
    <row r="1858" spans="1:42" s="45" customFormat="1" ht="22" customHeight="1">
      <c r="A1858" s="14" t="s">
        <v>17</v>
      </c>
      <c r="B1858" s="8">
        <v>2024</v>
      </c>
      <c r="C1858" s="8" t="s">
        <v>24</v>
      </c>
      <c r="D1858" s="9" t="s">
        <v>185</v>
      </c>
      <c r="E1858" s="9" t="s">
        <v>115</v>
      </c>
      <c r="F1858" s="9" t="s">
        <v>434</v>
      </c>
      <c r="G1858" s="8"/>
      <c r="H1858" s="8"/>
      <c r="I1858" s="9" t="s">
        <v>12</v>
      </c>
      <c r="J1858" s="9" t="s">
        <v>12</v>
      </c>
      <c r="K1858" s="9" t="s">
        <v>130</v>
      </c>
      <c r="L1858" s="9" t="s">
        <v>209</v>
      </c>
      <c r="M1858" s="14" t="s">
        <v>84</v>
      </c>
      <c r="N1858" s="9" t="s">
        <v>436</v>
      </c>
      <c r="O1858" s="9" t="s">
        <v>799</v>
      </c>
      <c r="P1858" s="9" t="s">
        <v>817</v>
      </c>
      <c r="Q1858" s="11"/>
      <c r="R1858" s="11"/>
      <c r="S1858" s="11">
        <v>0</v>
      </c>
      <c r="T1858" s="9"/>
      <c r="U1858" s="14" t="s">
        <v>77</v>
      </c>
      <c r="V1858" s="9"/>
      <c r="W1858" s="12"/>
      <c r="X1858" s="13"/>
      <c r="Y1858" s="13"/>
      <c r="Z1858" s="13"/>
      <c r="AA1858" s="13"/>
      <c r="AB1858" s="13"/>
      <c r="AC1858" s="13"/>
      <c r="AD1858" s="13"/>
      <c r="AE1858" s="13">
        <v>0</v>
      </c>
      <c r="AF1858" s="13"/>
      <c r="AG1858" s="13"/>
      <c r="AH1858" s="13"/>
      <c r="AI1858" s="13"/>
      <c r="AJ1858" s="13">
        <f t="shared" si="211"/>
        <v>0</v>
      </c>
      <c r="AK1858" s="12"/>
      <c r="AL1858" s="13"/>
      <c r="AM1858" s="9"/>
      <c r="AN1858" s="9"/>
      <c r="AO1858" s="9"/>
      <c r="AP1858" s="14"/>
    </row>
    <row r="1859" spans="1:42" s="45" customFormat="1" ht="22" customHeight="1">
      <c r="A1859" s="14" t="s">
        <v>17</v>
      </c>
      <c r="B1859" s="8">
        <v>2024</v>
      </c>
      <c r="C1859" s="8" t="s">
        <v>24</v>
      </c>
      <c r="D1859" s="9" t="s">
        <v>185</v>
      </c>
      <c r="E1859" s="9" t="s">
        <v>115</v>
      </c>
      <c r="F1859" s="9" t="s">
        <v>434</v>
      </c>
      <c r="G1859" s="8"/>
      <c r="H1859" s="8"/>
      <c r="I1859" s="9" t="s">
        <v>12</v>
      </c>
      <c r="J1859" s="9" t="s">
        <v>12</v>
      </c>
      <c r="K1859" s="9" t="s">
        <v>130</v>
      </c>
      <c r="L1859" s="9" t="s">
        <v>209</v>
      </c>
      <c r="M1859" s="14" t="s">
        <v>84</v>
      </c>
      <c r="N1859" s="9" t="s">
        <v>436</v>
      </c>
      <c r="O1859" s="9" t="s">
        <v>818</v>
      </c>
      <c r="P1859" s="9" t="s">
        <v>819</v>
      </c>
      <c r="Q1859" s="11">
        <v>25</v>
      </c>
      <c r="R1859" s="11">
        <v>25</v>
      </c>
      <c r="S1859" s="11">
        <f>+Q1859+R1859</f>
        <v>50</v>
      </c>
      <c r="T1859" s="9"/>
      <c r="U1859" s="14" t="s">
        <v>77</v>
      </c>
      <c r="W1859" s="9">
        <v>60</v>
      </c>
      <c r="X1859" s="13"/>
      <c r="Y1859" s="13"/>
      <c r="Z1859" s="13"/>
      <c r="AA1859" s="13"/>
      <c r="AB1859" s="13"/>
      <c r="AC1859" s="13"/>
      <c r="AD1859" s="13"/>
      <c r="AE1859" s="13">
        <f t="shared" ref="AE1859:AE1868" si="212">+S1859*W1859*100/1000000</f>
        <v>0.3</v>
      </c>
      <c r="AF1859" s="13"/>
      <c r="AG1859" s="13"/>
      <c r="AH1859" s="13"/>
      <c r="AI1859" s="13"/>
      <c r="AJ1859" s="13">
        <f t="shared" si="211"/>
        <v>0.3</v>
      </c>
      <c r="AK1859" s="12"/>
      <c r="AL1859" s="13"/>
      <c r="AM1859" s="9"/>
      <c r="AN1859" s="9"/>
      <c r="AO1859" s="9"/>
      <c r="AP1859" s="14"/>
    </row>
    <row r="1860" spans="1:42" s="45" customFormat="1" ht="22" customHeight="1">
      <c r="A1860" s="14" t="s">
        <v>17</v>
      </c>
      <c r="B1860" s="8">
        <v>2024</v>
      </c>
      <c r="C1860" s="8" t="s">
        <v>24</v>
      </c>
      <c r="D1860" s="9" t="s">
        <v>185</v>
      </c>
      <c r="E1860" s="9" t="s">
        <v>115</v>
      </c>
      <c r="F1860" s="9" t="s">
        <v>434</v>
      </c>
      <c r="G1860" s="8"/>
      <c r="H1860" s="8"/>
      <c r="I1860" s="9" t="s">
        <v>12</v>
      </c>
      <c r="J1860" s="9" t="s">
        <v>12</v>
      </c>
      <c r="K1860" s="9" t="s">
        <v>130</v>
      </c>
      <c r="L1860" s="9" t="s">
        <v>209</v>
      </c>
      <c r="M1860" s="14" t="s">
        <v>84</v>
      </c>
      <c r="N1860" s="9" t="s">
        <v>436</v>
      </c>
      <c r="O1860" s="9" t="s">
        <v>818</v>
      </c>
      <c r="P1860" s="9" t="s">
        <v>820</v>
      </c>
      <c r="Q1860" s="11">
        <v>25</v>
      </c>
      <c r="R1860" s="11">
        <v>25</v>
      </c>
      <c r="S1860" s="11">
        <f t="shared" ref="S1860:S1868" si="213">+Q1860+R1860</f>
        <v>50</v>
      </c>
      <c r="T1860" s="9"/>
      <c r="U1860" s="14" t="s">
        <v>77</v>
      </c>
      <c r="W1860" s="9">
        <v>60</v>
      </c>
      <c r="X1860" s="13"/>
      <c r="Y1860" s="13"/>
      <c r="Z1860" s="13"/>
      <c r="AA1860" s="13"/>
      <c r="AB1860" s="13"/>
      <c r="AC1860" s="13"/>
      <c r="AD1860" s="13"/>
      <c r="AE1860" s="13">
        <f t="shared" si="212"/>
        <v>0.3</v>
      </c>
      <c r="AF1860" s="13"/>
      <c r="AG1860" s="13"/>
      <c r="AH1860" s="13"/>
      <c r="AI1860" s="13"/>
      <c r="AJ1860" s="13">
        <f t="shared" si="211"/>
        <v>0.3</v>
      </c>
      <c r="AK1860" s="12"/>
      <c r="AL1860" s="13"/>
      <c r="AM1860" s="9"/>
      <c r="AN1860" s="9"/>
      <c r="AO1860" s="9"/>
      <c r="AP1860" s="14"/>
    </row>
    <row r="1861" spans="1:42" s="45" customFormat="1" ht="22" customHeight="1">
      <c r="A1861" s="14" t="s">
        <v>17</v>
      </c>
      <c r="B1861" s="8">
        <v>2024</v>
      </c>
      <c r="C1861" s="8" t="s">
        <v>24</v>
      </c>
      <c r="D1861" s="9" t="s">
        <v>185</v>
      </c>
      <c r="E1861" s="9" t="s">
        <v>115</v>
      </c>
      <c r="F1861" s="9" t="s">
        <v>434</v>
      </c>
      <c r="G1861" s="8"/>
      <c r="H1861" s="8"/>
      <c r="I1861" s="9" t="s">
        <v>12</v>
      </c>
      <c r="J1861" s="9" t="s">
        <v>12</v>
      </c>
      <c r="K1861" s="9" t="s">
        <v>130</v>
      </c>
      <c r="L1861" s="9" t="s">
        <v>209</v>
      </c>
      <c r="M1861" s="14" t="s">
        <v>84</v>
      </c>
      <c r="N1861" s="9" t="s">
        <v>436</v>
      </c>
      <c r="O1861" s="9" t="s">
        <v>818</v>
      </c>
      <c r="P1861" s="9" t="s">
        <v>821</v>
      </c>
      <c r="Q1861" s="11">
        <v>25</v>
      </c>
      <c r="R1861" s="11">
        <v>25</v>
      </c>
      <c r="S1861" s="11">
        <f t="shared" si="213"/>
        <v>50</v>
      </c>
      <c r="T1861" s="9"/>
      <c r="U1861" s="14" t="s">
        <v>77</v>
      </c>
      <c r="W1861" s="9">
        <v>60</v>
      </c>
      <c r="X1861" s="13"/>
      <c r="Y1861" s="13"/>
      <c r="Z1861" s="13"/>
      <c r="AA1861" s="13"/>
      <c r="AB1861" s="13"/>
      <c r="AC1861" s="13"/>
      <c r="AD1861" s="13"/>
      <c r="AE1861" s="13">
        <f t="shared" si="212"/>
        <v>0.3</v>
      </c>
      <c r="AF1861" s="13"/>
      <c r="AG1861" s="13"/>
      <c r="AH1861" s="13"/>
      <c r="AI1861" s="13"/>
      <c r="AJ1861" s="13">
        <f t="shared" si="211"/>
        <v>0.3</v>
      </c>
      <c r="AK1861" s="12"/>
      <c r="AL1861" s="13"/>
      <c r="AM1861" s="9"/>
      <c r="AN1861" s="9"/>
      <c r="AO1861" s="9"/>
      <c r="AP1861" s="14"/>
    </row>
    <row r="1862" spans="1:42" s="45" customFormat="1" ht="22" customHeight="1">
      <c r="A1862" s="14" t="s">
        <v>17</v>
      </c>
      <c r="B1862" s="8">
        <v>2024</v>
      </c>
      <c r="C1862" s="8" t="s">
        <v>24</v>
      </c>
      <c r="D1862" s="9" t="s">
        <v>185</v>
      </c>
      <c r="E1862" s="9" t="s">
        <v>115</v>
      </c>
      <c r="F1862" s="9" t="s">
        <v>434</v>
      </c>
      <c r="G1862" s="8"/>
      <c r="H1862" s="8"/>
      <c r="I1862" s="9" t="s">
        <v>12</v>
      </c>
      <c r="J1862" s="9" t="s">
        <v>12</v>
      </c>
      <c r="K1862" s="9" t="s">
        <v>130</v>
      </c>
      <c r="L1862" s="9" t="s">
        <v>209</v>
      </c>
      <c r="M1862" s="14" t="s">
        <v>84</v>
      </c>
      <c r="N1862" s="9" t="s">
        <v>436</v>
      </c>
      <c r="O1862" s="9" t="s">
        <v>818</v>
      </c>
      <c r="P1862" s="9" t="s">
        <v>822</v>
      </c>
      <c r="Q1862" s="11">
        <v>25</v>
      </c>
      <c r="R1862" s="11">
        <v>25</v>
      </c>
      <c r="S1862" s="11">
        <f t="shared" si="213"/>
        <v>50</v>
      </c>
      <c r="T1862" s="9"/>
      <c r="U1862" s="14" t="s">
        <v>77</v>
      </c>
      <c r="W1862" s="9">
        <v>60</v>
      </c>
      <c r="X1862" s="13"/>
      <c r="Y1862" s="13"/>
      <c r="Z1862" s="13"/>
      <c r="AA1862" s="13"/>
      <c r="AB1862" s="13"/>
      <c r="AC1862" s="13"/>
      <c r="AD1862" s="13"/>
      <c r="AE1862" s="13">
        <f t="shared" si="212"/>
        <v>0.3</v>
      </c>
      <c r="AF1862" s="13"/>
      <c r="AG1862" s="13"/>
      <c r="AH1862" s="13"/>
      <c r="AI1862" s="13"/>
      <c r="AJ1862" s="13">
        <f t="shared" si="211"/>
        <v>0.3</v>
      </c>
      <c r="AK1862" s="12"/>
      <c r="AL1862" s="13"/>
      <c r="AM1862" s="9"/>
      <c r="AN1862" s="9"/>
      <c r="AO1862" s="9"/>
      <c r="AP1862" s="14"/>
    </row>
    <row r="1863" spans="1:42" s="45" customFormat="1" ht="22" customHeight="1">
      <c r="A1863" s="14" t="s">
        <v>17</v>
      </c>
      <c r="B1863" s="8">
        <v>2024</v>
      </c>
      <c r="C1863" s="8" t="s">
        <v>24</v>
      </c>
      <c r="D1863" s="9" t="s">
        <v>185</v>
      </c>
      <c r="E1863" s="9" t="s">
        <v>115</v>
      </c>
      <c r="F1863" s="9" t="s">
        <v>434</v>
      </c>
      <c r="G1863" s="8"/>
      <c r="H1863" s="8"/>
      <c r="I1863" s="9" t="s">
        <v>12</v>
      </c>
      <c r="J1863" s="9" t="s">
        <v>12</v>
      </c>
      <c r="K1863" s="9" t="s">
        <v>130</v>
      </c>
      <c r="L1863" s="9" t="s">
        <v>209</v>
      </c>
      <c r="M1863" s="14" t="s">
        <v>84</v>
      </c>
      <c r="N1863" s="9" t="s">
        <v>436</v>
      </c>
      <c r="O1863" s="9" t="s">
        <v>818</v>
      </c>
      <c r="P1863" s="9" t="s">
        <v>823</v>
      </c>
      <c r="Q1863" s="11">
        <v>25</v>
      </c>
      <c r="R1863" s="11">
        <v>25</v>
      </c>
      <c r="S1863" s="11">
        <f t="shared" si="213"/>
        <v>50</v>
      </c>
      <c r="T1863" s="9"/>
      <c r="U1863" s="14" t="s">
        <v>77</v>
      </c>
      <c r="W1863" s="9">
        <v>60</v>
      </c>
      <c r="X1863" s="13"/>
      <c r="Y1863" s="13"/>
      <c r="Z1863" s="13"/>
      <c r="AA1863" s="13"/>
      <c r="AB1863" s="13"/>
      <c r="AC1863" s="13"/>
      <c r="AD1863" s="13"/>
      <c r="AE1863" s="13">
        <f t="shared" si="212"/>
        <v>0.3</v>
      </c>
      <c r="AF1863" s="13"/>
      <c r="AG1863" s="13"/>
      <c r="AH1863" s="13"/>
      <c r="AI1863" s="13"/>
      <c r="AJ1863" s="13">
        <f t="shared" si="211"/>
        <v>0.3</v>
      </c>
      <c r="AK1863" s="12"/>
      <c r="AL1863" s="13"/>
      <c r="AM1863" s="9"/>
      <c r="AN1863" s="9"/>
      <c r="AO1863" s="9"/>
      <c r="AP1863" s="14"/>
    </row>
    <row r="1864" spans="1:42" s="45" customFormat="1" ht="22" customHeight="1">
      <c r="A1864" s="14" t="s">
        <v>17</v>
      </c>
      <c r="B1864" s="8">
        <v>2024</v>
      </c>
      <c r="C1864" s="8" t="s">
        <v>24</v>
      </c>
      <c r="D1864" s="9" t="s">
        <v>185</v>
      </c>
      <c r="E1864" s="9" t="s">
        <v>115</v>
      </c>
      <c r="F1864" s="9" t="s">
        <v>434</v>
      </c>
      <c r="G1864" s="8"/>
      <c r="H1864" s="8"/>
      <c r="I1864" s="9" t="s">
        <v>12</v>
      </c>
      <c r="J1864" s="9" t="s">
        <v>12</v>
      </c>
      <c r="K1864" s="9" t="s">
        <v>130</v>
      </c>
      <c r="L1864" s="9" t="s">
        <v>209</v>
      </c>
      <c r="M1864" s="14" t="s">
        <v>84</v>
      </c>
      <c r="N1864" s="9" t="s">
        <v>436</v>
      </c>
      <c r="O1864" s="9" t="s">
        <v>818</v>
      </c>
      <c r="P1864" s="9" t="s">
        <v>824</v>
      </c>
      <c r="Q1864" s="11">
        <v>25</v>
      </c>
      <c r="R1864" s="11">
        <v>25</v>
      </c>
      <c r="S1864" s="11">
        <f t="shared" si="213"/>
        <v>50</v>
      </c>
      <c r="T1864" s="9"/>
      <c r="U1864" s="14" t="s">
        <v>77</v>
      </c>
      <c r="W1864" s="9">
        <v>60</v>
      </c>
      <c r="X1864" s="13"/>
      <c r="Y1864" s="13"/>
      <c r="Z1864" s="13"/>
      <c r="AA1864" s="13"/>
      <c r="AB1864" s="13"/>
      <c r="AC1864" s="13"/>
      <c r="AD1864" s="13"/>
      <c r="AE1864" s="13">
        <f t="shared" si="212"/>
        <v>0.3</v>
      </c>
      <c r="AF1864" s="13"/>
      <c r="AG1864" s="13"/>
      <c r="AH1864" s="13"/>
      <c r="AI1864" s="13"/>
      <c r="AJ1864" s="13">
        <f t="shared" si="211"/>
        <v>0.3</v>
      </c>
      <c r="AK1864" s="12"/>
      <c r="AL1864" s="13"/>
      <c r="AM1864" s="9"/>
      <c r="AN1864" s="9"/>
      <c r="AO1864" s="9"/>
      <c r="AP1864" s="14"/>
    </row>
    <row r="1865" spans="1:42" s="45" customFormat="1" ht="22" customHeight="1">
      <c r="A1865" s="14" t="s">
        <v>17</v>
      </c>
      <c r="B1865" s="8">
        <v>2024</v>
      </c>
      <c r="C1865" s="8" t="s">
        <v>24</v>
      </c>
      <c r="D1865" s="9" t="s">
        <v>185</v>
      </c>
      <c r="E1865" s="9" t="s">
        <v>115</v>
      </c>
      <c r="F1865" s="9" t="s">
        <v>434</v>
      </c>
      <c r="G1865" s="8"/>
      <c r="H1865" s="8"/>
      <c r="I1865" s="9" t="s">
        <v>12</v>
      </c>
      <c r="J1865" s="9" t="s">
        <v>12</v>
      </c>
      <c r="K1865" s="9" t="s">
        <v>130</v>
      </c>
      <c r="L1865" s="9" t="s">
        <v>209</v>
      </c>
      <c r="M1865" s="14" t="s">
        <v>84</v>
      </c>
      <c r="N1865" s="9" t="s">
        <v>436</v>
      </c>
      <c r="O1865" s="9" t="s">
        <v>818</v>
      </c>
      <c r="P1865" s="9" t="s">
        <v>825</v>
      </c>
      <c r="Q1865" s="11">
        <v>25</v>
      </c>
      <c r="R1865" s="11">
        <v>25</v>
      </c>
      <c r="S1865" s="11">
        <f t="shared" si="213"/>
        <v>50</v>
      </c>
      <c r="T1865" s="9"/>
      <c r="U1865" s="14" t="s">
        <v>77</v>
      </c>
      <c r="W1865" s="9">
        <v>60</v>
      </c>
      <c r="X1865" s="13"/>
      <c r="Y1865" s="13"/>
      <c r="Z1865" s="13"/>
      <c r="AA1865" s="13"/>
      <c r="AB1865" s="13"/>
      <c r="AC1865" s="13"/>
      <c r="AD1865" s="13"/>
      <c r="AE1865" s="13">
        <f t="shared" si="212"/>
        <v>0.3</v>
      </c>
      <c r="AF1865" s="13"/>
      <c r="AG1865" s="13"/>
      <c r="AH1865" s="13"/>
      <c r="AI1865" s="13"/>
      <c r="AJ1865" s="13">
        <f t="shared" si="211"/>
        <v>0.3</v>
      </c>
      <c r="AK1865" s="12"/>
      <c r="AL1865" s="13"/>
      <c r="AM1865" s="9"/>
      <c r="AN1865" s="9"/>
      <c r="AO1865" s="9"/>
      <c r="AP1865" s="14"/>
    </row>
    <row r="1866" spans="1:42" s="45" customFormat="1" ht="22" customHeight="1">
      <c r="A1866" s="14" t="s">
        <v>17</v>
      </c>
      <c r="B1866" s="8">
        <v>2024</v>
      </c>
      <c r="C1866" s="8" t="s">
        <v>24</v>
      </c>
      <c r="D1866" s="9" t="s">
        <v>185</v>
      </c>
      <c r="E1866" s="9" t="s">
        <v>115</v>
      </c>
      <c r="F1866" s="9" t="s">
        <v>434</v>
      </c>
      <c r="G1866" s="8"/>
      <c r="H1866" s="8"/>
      <c r="I1866" s="9" t="s">
        <v>12</v>
      </c>
      <c r="J1866" s="9" t="s">
        <v>12</v>
      </c>
      <c r="K1866" s="9" t="s">
        <v>130</v>
      </c>
      <c r="L1866" s="9" t="s">
        <v>209</v>
      </c>
      <c r="M1866" s="14" t="s">
        <v>84</v>
      </c>
      <c r="N1866" s="9" t="s">
        <v>436</v>
      </c>
      <c r="O1866" s="9" t="s">
        <v>818</v>
      </c>
      <c r="P1866" s="9" t="s">
        <v>826</v>
      </c>
      <c r="Q1866" s="11">
        <v>25</v>
      </c>
      <c r="R1866" s="11">
        <v>25</v>
      </c>
      <c r="S1866" s="11">
        <f t="shared" si="213"/>
        <v>50</v>
      </c>
      <c r="T1866" s="9"/>
      <c r="U1866" s="14" t="s">
        <v>77</v>
      </c>
      <c r="W1866" s="9">
        <v>60</v>
      </c>
      <c r="X1866" s="13"/>
      <c r="Y1866" s="13"/>
      <c r="Z1866" s="13"/>
      <c r="AA1866" s="13"/>
      <c r="AB1866" s="13"/>
      <c r="AC1866" s="13"/>
      <c r="AD1866" s="13"/>
      <c r="AE1866" s="13">
        <f t="shared" si="212"/>
        <v>0.3</v>
      </c>
      <c r="AF1866" s="13"/>
      <c r="AG1866" s="13"/>
      <c r="AH1866" s="13"/>
      <c r="AI1866" s="13"/>
      <c r="AJ1866" s="13">
        <f t="shared" si="211"/>
        <v>0.3</v>
      </c>
      <c r="AK1866" s="12"/>
      <c r="AL1866" s="13"/>
      <c r="AM1866" s="9"/>
      <c r="AN1866" s="9"/>
      <c r="AO1866" s="9"/>
      <c r="AP1866" s="14"/>
    </row>
    <row r="1867" spans="1:42" s="45" customFormat="1" ht="22" customHeight="1">
      <c r="A1867" s="14" t="s">
        <v>17</v>
      </c>
      <c r="B1867" s="8">
        <v>2024</v>
      </c>
      <c r="C1867" s="8" t="s">
        <v>24</v>
      </c>
      <c r="D1867" s="9" t="s">
        <v>185</v>
      </c>
      <c r="E1867" s="9" t="s">
        <v>115</v>
      </c>
      <c r="F1867" s="9" t="s">
        <v>434</v>
      </c>
      <c r="G1867" s="8"/>
      <c r="H1867" s="8"/>
      <c r="I1867" s="9" t="s">
        <v>12</v>
      </c>
      <c r="J1867" s="9" t="s">
        <v>12</v>
      </c>
      <c r="K1867" s="9" t="s">
        <v>130</v>
      </c>
      <c r="L1867" s="9" t="s">
        <v>209</v>
      </c>
      <c r="M1867" s="14" t="s">
        <v>84</v>
      </c>
      <c r="N1867" s="9" t="s">
        <v>436</v>
      </c>
      <c r="O1867" s="9" t="s">
        <v>818</v>
      </c>
      <c r="P1867" s="9" t="s">
        <v>827</v>
      </c>
      <c r="Q1867" s="11">
        <v>25</v>
      </c>
      <c r="R1867" s="11">
        <v>25</v>
      </c>
      <c r="S1867" s="11">
        <f t="shared" si="213"/>
        <v>50</v>
      </c>
      <c r="T1867" s="9"/>
      <c r="U1867" s="14" t="s">
        <v>77</v>
      </c>
      <c r="W1867" s="9">
        <v>60</v>
      </c>
      <c r="X1867" s="13"/>
      <c r="Y1867" s="13"/>
      <c r="Z1867" s="13"/>
      <c r="AA1867" s="13"/>
      <c r="AB1867" s="13"/>
      <c r="AC1867" s="13"/>
      <c r="AD1867" s="13"/>
      <c r="AE1867" s="13">
        <f t="shared" si="212"/>
        <v>0.3</v>
      </c>
      <c r="AF1867" s="13"/>
      <c r="AG1867" s="13"/>
      <c r="AH1867" s="13"/>
      <c r="AI1867" s="13"/>
      <c r="AJ1867" s="13">
        <f t="shared" si="211"/>
        <v>0.3</v>
      </c>
      <c r="AK1867" s="12"/>
      <c r="AL1867" s="13"/>
      <c r="AM1867" s="9"/>
      <c r="AN1867" s="9"/>
      <c r="AO1867" s="9"/>
      <c r="AP1867" s="14"/>
    </row>
    <row r="1868" spans="1:42" s="45" customFormat="1" ht="22" customHeight="1">
      <c r="A1868" s="14" t="s">
        <v>17</v>
      </c>
      <c r="B1868" s="8">
        <v>2024</v>
      </c>
      <c r="C1868" s="8" t="s">
        <v>24</v>
      </c>
      <c r="D1868" s="9" t="s">
        <v>185</v>
      </c>
      <c r="E1868" s="9" t="s">
        <v>115</v>
      </c>
      <c r="F1868" s="9" t="s">
        <v>434</v>
      </c>
      <c r="G1868" s="8"/>
      <c r="H1868" s="8"/>
      <c r="I1868" s="9" t="s">
        <v>12</v>
      </c>
      <c r="J1868" s="9" t="s">
        <v>12</v>
      </c>
      <c r="K1868" s="9" t="s">
        <v>130</v>
      </c>
      <c r="L1868" s="9" t="s">
        <v>209</v>
      </c>
      <c r="M1868" s="14" t="s">
        <v>84</v>
      </c>
      <c r="N1868" s="9" t="s">
        <v>436</v>
      </c>
      <c r="O1868" s="9" t="s">
        <v>818</v>
      </c>
      <c r="P1868" s="9" t="s">
        <v>828</v>
      </c>
      <c r="Q1868" s="11">
        <v>25</v>
      </c>
      <c r="R1868" s="11">
        <v>25</v>
      </c>
      <c r="S1868" s="11">
        <f t="shared" si="213"/>
        <v>50</v>
      </c>
      <c r="T1868" s="9"/>
      <c r="U1868" s="14" t="s">
        <v>77</v>
      </c>
      <c r="W1868" s="9">
        <v>60</v>
      </c>
      <c r="X1868" s="13"/>
      <c r="Y1868" s="13"/>
      <c r="Z1868" s="13"/>
      <c r="AA1868" s="13"/>
      <c r="AB1868" s="13"/>
      <c r="AC1868" s="13"/>
      <c r="AD1868" s="13"/>
      <c r="AE1868" s="13">
        <f t="shared" si="212"/>
        <v>0.3</v>
      </c>
      <c r="AF1868" s="13"/>
      <c r="AG1868" s="13"/>
      <c r="AH1868" s="13"/>
      <c r="AI1868" s="13"/>
      <c r="AJ1868" s="13">
        <f t="shared" si="211"/>
        <v>0.3</v>
      </c>
      <c r="AK1868" s="12"/>
      <c r="AL1868" s="13"/>
      <c r="AM1868" s="9"/>
      <c r="AN1868" s="9"/>
      <c r="AO1868" s="9"/>
      <c r="AP1868" s="14"/>
    </row>
    <row r="1869" spans="1:42" s="45" customFormat="1" ht="22" customHeight="1">
      <c r="A1869" s="14" t="s">
        <v>17</v>
      </c>
      <c r="B1869" s="8">
        <v>2024</v>
      </c>
      <c r="C1869" s="8" t="s">
        <v>24</v>
      </c>
      <c r="D1869" s="9" t="s">
        <v>185</v>
      </c>
      <c r="E1869" s="9" t="s">
        <v>115</v>
      </c>
      <c r="F1869" s="9" t="s">
        <v>434</v>
      </c>
      <c r="G1869" s="8"/>
      <c r="H1869" s="8"/>
      <c r="I1869" s="9" t="s">
        <v>12</v>
      </c>
      <c r="J1869" s="9" t="s">
        <v>12</v>
      </c>
      <c r="K1869" s="9" t="s">
        <v>130</v>
      </c>
      <c r="L1869" s="9" t="s">
        <v>209</v>
      </c>
      <c r="M1869" s="14" t="s">
        <v>84</v>
      </c>
      <c r="N1869" s="9" t="s">
        <v>436</v>
      </c>
      <c r="O1869" s="9" t="s">
        <v>272</v>
      </c>
      <c r="P1869" s="9" t="s">
        <v>829</v>
      </c>
      <c r="Q1869" s="11"/>
      <c r="R1869" s="11"/>
      <c r="S1869" s="11">
        <v>0</v>
      </c>
      <c r="T1869" s="9"/>
      <c r="U1869" s="14" t="s">
        <v>77</v>
      </c>
      <c r="V1869" s="9"/>
      <c r="W1869" s="12"/>
      <c r="X1869" s="13"/>
      <c r="Y1869" s="13"/>
      <c r="Z1869" s="13"/>
      <c r="AA1869" s="13"/>
      <c r="AB1869" s="13"/>
      <c r="AC1869" s="13"/>
      <c r="AD1869" s="13"/>
      <c r="AE1869" s="13">
        <v>0</v>
      </c>
      <c r="AF1869" s="13"/>
      <c r="AG1869" s="13"/>
      <c r="AH1869" s="13"/>
      <c r="AI1869" s="13"/>
      <c r="AJ1869" s="13">
        <f t="shared" si="211"/>
        <v>0</v>
      </c>
      <c r="AK1869" s="12"/>
      <c r="AL1869" s="13"/>
      <c r="AM1869" s="9"/>
      <c r="AN1869" s="9"/>
      <c r="AO1869" s="9"/>
      <c r="AP1869" s="14"/>
    </row>
    <row r="1870" spans="1:42" s="45" customFormat="1" ht="22" customHeight="1">
      <c r="A1870" s="14" t="s">
        <v>17</v>
      </c>
      <c r="B1870" s="8">
        <v>2024</v>
      </c>
      <c r="C1870" s="8" t="s">
        <v>24</v>
      </c>
      <c r="D1870" s="9" t="s">
        <v>185</v>
      </c>
      <c r="E1870" s="9" t="s">
        <v>115</v>
      </c>
      <c r="F1870" s="9" t="s">
        <v>434</v>
      </c>
      <c r="G1870" s="8"/>
      <c r="H1870" s="8"/>
      <c r="I1870" s="9" t="s">
        <v>12</v>
      </c>
      <c r="J1870" s="9" t="s">
        <v>12</v>
      </c>
      <c r="K1870" s="9" t="s">
        <v>130</v>
      </c>
      <c r="L1870" s="9" t="s">
        <v>209</v>
      </c>
      <c r="M1870" s="14" t="s">
        <v>84</v>
      </c>
      <c r="N1870" s="9" t="s">
        <v>436</v>
      </c>
      <c r="O1870" s="9" t="s">
        <v>272</v>
      </c>
      <c r="P1870" s="9" t="s">
        <v>830</v>
      </c>
      <c r="Q1870" s="11"/>
      <c r="R1870" s="11"/>
      <c r="S1870" s="11">
        <v>0</v>
      </c>
      <c r="T1870" s="9"/>
      <c r="U1870" s="14" t="s">
        <v>77</v>
      </c>
      <c r="V1870" s="9"/>
      <c r="W1870" s="12"/>
      <c r="X1870" s="13"/>
      <c r="Y1870" s="13"/>
      <c r="Z1870" s="13"/>
      <c r="AA1870" s="13"/>
      <c r="AB1870" s="13"/>
      <c r="AC1870" s="13"/>
      <c r="AD1870" s="13"/>
      <c r="AE1870" s="13">
        <v>0</v>
      </c>
      <c r="AF1870" s="13"/>
      <c r="AG1870" s="13"/>
      <c r="AH1870" s="13"/>
      <c r="AI1870" s="13"/>
      <c r="AJ1870" s="13">
        <f t="shared" si="211"/>
        <v>0</v>
      </c>
      <c r="AK1870" s="12"/>
      <c r="AL1870" s="13"/>
      <c r="AM1870" s="9"/>
      <c r="AN1870" s="9"/>
      <c r="AO1870" s="9"/>
      <c r="AP1870" s="14"/>
    </row>
    <row r="1871" spans="1:42" s="45" customFormat="1" ht="22" customHeight="1">
      <c r="A1871" s="14" t="s">
        <v>17</v>
      </c>
      <c r="B1871" s="8">
        <v>2024</v>
      </c>
      <c r="C1871" s="8" t="s">
        <v>24</v>
      </c>
      <c r="D1871" s="9" t="s">
        <v>185</v>
      </c>
      <c r="E1871" s="9" t="s">
        <v>115</v>
      </c>
      <c r="F1871" s="9" t="s">
        <v>434</v>
      </c>
      <c r="G1871" s="8"/>
      <c r="H1871" s="8"/>
      <c r="I1871" s="9" t="s">
        <v>12</v>
      </c>
      <c r="J1871" s="9" t="s">
        <v>12</v>
      </c>
      <c r="K1871" s="9" t="s">
        <v>130</v>
      </c>
      <c r="L1871" s="9" t="s">
        <v>209</v>
      </c>
      <c r="M1871" s="14" t="s">
        <v>84</v>
      </c>
      <c r="N1871" s="9" t="s">
        <v>436</v>
      </c>
      <c r="O1871" s="9" t="s">
        <v>272</v>
      </c>
      <c r="P1871" s="9" t="s">
        <v>831</v>
      </c>
      <c r="Q1871" s="11"/>
      <c r="R1871" s="11"/>
      <c r="S1871" s="11">
        <v>0</v>
      </c>
      <c r="T1871" s="9"/>
      <c r="U1871" s="14" t="s">
        <v>77</v>
      </c>
      <c r="V1871" s="9"/>
      <c r="W1871" s="12"/>
      <c r="X1871" s="13"/>
      <c r="Y1871" s="13"/>
      <c r="Z1871" s="13"/>
      <c r="AA1871" s="13"/>
      <c r="AB1871" s="13"/>
      <c r="AC1871" s="13"/>
      <c r="AD1871" s="13"/>
      <c r="AE1871" s="13">
        <v>0</v>
      </c>
      <c r="AF1871" s="13"/>
      <c r="AG1871" s="13"/>
      <c r="AH1871" s="13"/>
      <c r="AI1871" s="13"/>
      <c r="AJ1871" s="13">
        <f t="shared" si="211"/>
        <v>0</v>
      </c>
      <c r="AK1871" s="12"/>
      <c r="AL1871" s="13"/>
      <c r="AM1871" s="9"/>
      <c r="AN1871" s="9"/>
      <c r="AO1871" s="9"/>
      <c r="AP1871" s="14"/>
    </row>
    <row r="1872" spans="1:42" s="45" customFormat="1" ht="22" customHeight="1">
      <c r="A1872" s="14" t="s">
        <v>17</v>
      </c>
      <c r="B1872" s="8">
        <v>2024</v>
      </c>
      <c r="C1872" s="8" t="s">
        <v>24</v>
      </c>
      <c r="D1872" s="9" t="s">
        <v>185</v>
      </c>
      <c r="E1872" s="9" t="s">
        <v>115</v>
      </c>
      <c r="F1872" s="9" t="s">
        <v>434</v>
      </c>
      <c r="G1872" s="8"/>
      <c r="H1872" s="8"/>
      <c r="I1872" s="9" t="s">
        <v>12</v>
      </c>
      <c r="J1872" s="9" t="s">
        <v>12</v>
      </c>
      <c r="K1872" s="9" t="s">
        <v>130</v>
      </c>
      <c r="L1872" s="9" t="s">
        <v>209</v>
      </c>
      <c r="M1872" s="14" t="s">
        <v>84</v>
      </c>
      <c r="N1872" s="9" t="s">
        <v>436</v>
      </c>
      <c r="O1872" s="9" t="s">
        <v>272</v>
      </c>
      <c r="P1872" s="9" t="s">
        <v>278</v>
      </c>
      <c r="Q1872" s="11"/>
      <c r="R1872" s="11"/>
      <c r="S1872" s="11">
        <v>0</v>
      </c>
      <c r="T1872" s="9"/>
      <c r="U1872" s="14" t="s">
        <v>77</v>
      </c>
      <c r="V1872" s="9"/>
      <c r="W1872" s="12"/>
      <c r="X1872" s="13"/>
      <c r="Y1872" s="13"/>
      <c r="Z1872" s="13"/>
      <c r="AA1872" s="13"/>
      <c r="AB1872" s="13"/>
      <c r="AC1872" s="13"/>
      <c r="AD1872" s="13"/>
      <c r="AE1872" s="13">
        <v>0</v>
      </c>
      <c r="AF1872" s="13"/>
      <c r="AG1872" s="13"/>
      <c r="AH1872" s="13"/>
      <c r="AI1872" s="13"/>
      <c r="AJ1872" s="13">
        <f t="shared" si="211"/>
        <v>0</v>
      </c>
      <c r="AK1872" s="12"/>
      <c r="AL1872" s="13"/>
      <c r="AM1872" s="9"/>
      <c r="AN1872" s="9"/>
      <c r="AO1872" s="9"/>
      <c r="AP1872" s="14"/>
    </row>
    <row r="1873" spans="1:42" s="45" customFormat="1" ht="22" customHeight="1">
      <c r="A1873" s="14" t="s">
        <v>17</v>
      </c>
      <c r="B1873" s="8">
        <v>2024</v>
      </c>
      <c r="C1873" s="8" t="s">
        <v>24</v>
      </c>
      <c r="D1873" s="9" t="s">
        <v>185</v>
      </c>
      <c r="E1873" s="9" t="s">
        <v>115</v>
      </c>
      <c r="F1873" s="9" t="s">
        <v>434</v>
      </c>
      <c r="G1873" s="8"/>
      <c r="H1873" s="8"/>
      <c r="I1873" s="9" t="s">
        <v>12</v>
      </c>
      <c r="J1873" s="9" t="s">
        <v>12</v>
      </c>
      <c r="K1873" s="9" t="s">
        <v>130</v>
      </c>
      <c r="L1873" s="9" t="s">
        <v>209</v>
      </c>
      <c r="M1873" s="14" t="s">
        <v>84</v>
      </c>
      <c r="N1873" s="9" t="s">
        <v>436</v>
      </c>
      <c r="O1873" s="9" t="s">
        <v>272</v>
      </c>
      <c r="P1873" s="9" t="s">
        <v>832</v>
      </c>
      <c r="Q1873" s="11"/>
      <c r="R1873" s="11"/>
      <c r="S1873" s="11">
        <v>0</v>
      </c>
      <c r="T1873" s="9"/>
      <c r="U1873" s="14" t="s">
        <v>77</v>
      </c>
      <c r="V1873" s="9"/>
      <c r="W1873" s="12"/>
      <c r="X1873" s="13"/>
      <c r="Y1873" s="13"/>
      <c r="Z1873" s="13"/>
      <c r="AA1873" s="13"/>
      <c r="AB1873" s="13"/>
      <c r="AC1873" s="13"/>
      <c r="AD1873" s="13"/>
      <c r="AE1873" s="13">
        <v>0</v>
      </c>
      <c r="AF1873" s="13"/>
      <c r="AG1873" s="13"/>
      <c r="AH1873" s="13"/>
      <c r="AI1873" s="13"/>
      <c r="AJ1873" s="13">
        <f t="shared" si="211"/>
        <v>0</v>
      </c>
      <c r="AK1873" s="12"/>
      <c r="AL1873" s="13"/>
      <c r="AM1873" s="9"/>
      <c r="AN1873" s="9"/>
      <c r="AO1873" s="9"/>
      <c r="AP1873" s="14"/>
    </row>
    <row r="1874" spans="1:42" s="45" customFormat="1" ht="22" customHeight="1">
      <c r="A1874" s="14" t="s">
        <v>17</v>
      </c>
      <c r="B1874" s="8">
        <v>2024</v>
      </c>
      <c r="C1874" s="8" t="s">
        <v>24</v>
      </c>
      <c r="D1874" s="9" t="s">
        <v>185</v>
      </c>
      <c r="E1874" s="9" t="s">
        <v>115</v>
      </c>
      <c r="F1874" s="9" t="s">
        <v>434</v>
      </c>
      <c r="G1874" s="8"/>
      <c r="H1874" s="8"/>
      <c r="I1874" s="9" t="s">
        <v>12</v>
      </c>
      <c r="J1874" s="9" t="s">
        <v>12</v>
      </c>
      <c r="K1874" s="9" t="s">
        <v>130</v>
      </c>
      <c r="L1874" s="9" t="s">
        <v>209</v>
      </c>
      <c r="M1874" s="14" t="s">
        <v>84</v>
      </c>
      <c r="N1874" s="9" t="s">
        <v>436</v>
      </c>
      <c r="O1874" s="9" t="s">
        <v>272</v>
      </c>
      <c r="P1874" s="9" t="s">
        <v>833</v>
      </c>
      <c r="Q1874" s="11"/>
      <c r="R1874" s="11"/>
      <c r="S1874" s="11">
        <v>0</v>
      </c>
      <c r="T1874" s="9"/>
      <c r="U1874" s="14" t="s">
        <v>77</v>
      </c>
      <c r="V1874" s="9"/>
      <c r="W1874" s="12"/>
      <c r="X1874" s="13"/>
      <c r="Y1874" s="13"/>
      <c r="Z1874" s="13"/>
      <c r="AA1874" s="13"/>
      <c r="AB1874" s="13"/>
      <c r="AC1874" s="13"/>
      <c r="AD1874" s="13"/>
      <c r="AE1874" s="13">
        <v>0</v>
      </c>
      <c r="AF1874" s="13"/>
      <c r="AG1874" s="13"/>
      <c r="AH1874" s="13"/>
      <c r="AI1874" s="13"/>
      <c r="AJ1874" s="13">
        <f t="shared" si="211"/>
        <v>0</v>
      </c>
      <c r="AK1874" s="12"/>
      <c r="AL1874" s="13"/>
      <c r="AM1874" s="9"/>
      <c r="AN1874" s="9"/>
      <c r="AO1874" s="9"/>
      <c r="AP1874" s="14"/>
    </row>
    <row r="1875" spans="1:42" s="45" customFormat="1" ht="22" customHeight="1">
      <c r="A1875" s="14" t="s">
        <v>17</v>
      </c>
      <c r="B1875" s="8">
        <v>2024</v>
      </c>
      <c r="C1875" s="8" t="s">
        <v>24</v>
      </c>
      <c r="D1875" s="9" t="s">
        <v>185</v>
      </c>
      <c r="E1875" s="9" t="s">
        <v>115</v>
      </c>
      <c r="F1875" s="9" t="s">
        <v>434</v>
      </c>
      <c r="G1875" s="8"/>
      <c r="H1875" s="8"/>
      <c r="I1875" s="9" t="s">
        <v>12</v>
      </c>
      <c r="J1875" s="9" t="s">
        <v>12</v>
      </c>
      <c r="K1875" s="9" t="s">
        <v>130</v>
      </c>
      <c r="L1875" s="9" t="s">
        <v>209</v>
      </c>
      <c r="M1875" s="14" t="s">
        <v>84</v>
      </c>
      <c r="N1875" s="9" t="s">
        <v>436</v>
      </c>
      <c r="O1875" s="9" t="s">
        <v>272</v>
      </c>
      <c r="P1875" s="9" t="s">
        <v>834</v>
      </c>
      <c r="Q1875" s="11"/>
      <c r="R1875" s="11"/>
      <c r="S1875" s="11">
        <v>0</v>
      </c>
      <c r="T1875" s="9"/>
      <c r="U1875" s="14" t="s">
        <v>77</v>
      </c>
      <c r="V1875" s="9"/>
      <c r="W1875" s="12"/>
      <c r="X1875" s="13"/>
      <c r="Y1875" s="13"/>
      <c r="Z1875" s="13"/>
      <c r="AA1875" s="13"/>
      <c r="AB1875" s="13"/>
      <c r="AC1875" s="13"/>
      <c r="AD1875" s="13"/>
      <c r="AE1875" s="13">
        <v>0</v>
      </c>
      <c r="AF1875" s="13"/>
      <c r="AG1875" s="13"/>
      <c r="AH1875" s="13"/>
      <c r="AI1875" s="13"/>
      <c r="AJ1875" s="13">
        <f t="shared" si="211"/>
        <v>0</v>
      </c>
      <c r="AK1875" s="12"/>
      <c r="AL1875" s="13"/>
      <c r="AM1875" s="9"/>
      <c r="AN1875" s="9"/>
      <c r="AO1875" s="9"/>
      <c r="AP1875" s="14"/>
    </row>
    <row r="1876" spans="1:42" s="45" customFormat="1" ht="22" customHeight="1">
      <c r="A1876" s="14" t="s">
        <v>17</v>
      </c>
      <c r="B1876" s="8">
        <v>2024</v>
      </c>
      <c r="C1876" s="8" t="s">
        <v>24</v>
      </c>
      <c r="D1876" s="9" t="s">
        <v>185</v>
      </c>
      <c r="E1876" s="9" t="s">
        <v>115</v>
      </c>
      <c r="F1876" s="9" t="s">
        <v>434</v>
      </c>
      <c r="G1876" s="8"/>
      <c r="H1876" s="8"/>
      <c r="I1876" s="9" t="s">
        <v>12</v>
      </c>
      <c r="J1876" s="9" t="s">
        <v>12</v>
      </c>
      <c r="K1876" s="9" t="s">
        <v>130</v>
      </c>
      <c r="L1876" s="9" t="s">
        <v>209</v>
      </c>
      <c r="M1876" s="14" t="s">
        <v>84</v>
      </c>
      <c r="N1876" s="9" t="s">
        <v>436</v>
      </c>
      <c r="O1876" s="9" t="s">
        <v>272</v>
      </c>
      <c r="P1876" s="9" t="s">
        <v>835</v>
      </c>
      <c r="Q1876" s="11"/>
      <c r="R1876" s="11"/>
      <c r="S1876" s="11">
        <v>0</v>
      </c>
      <c r="T1876" s="9"/>
      <c r="U1876" s="14" t="s">
        <v>77</v>
      </c>
      <c r="V1876" s="9"/>
      <c r="W1876" s="12"/>
      <c r="X1876" s="13"/>
      <c r="Y1876" s="13"/>
      <c r="Z1876" s="13"/>
      <c r="AA1876" s="13"/>
      <c r="AB1876" s="13"/>
      <c r="AC1876" s="13"/>
      <c r="AD1876" s="13"/>
      <c r="AE1876" s="13">
        <v>0</v>
      </c>
      <c r="AF1876" s="13"/>
      <c r="AG1876" s="13"/>
      <c r="AH1876" s="13"/>
      <c r="AI1876" s="13"/>
      <c r="AJ1876" s="13">
        <f t="shared" si="211"/>
        <v>0</v>
      </c>
      <c r="AK1876" s="12"/>
      <c r="AL1876" s="13"/>
      <c r="AM1876" s="9"/>
      <c r="AN1876" s="9"/>
      <c r="AO1876" s="9"/>
      <c r="AP1876" s="14"/>
    </row>
    <row r="1877" spans="1:42" s="45" customFormat="1" ht="22" customHeight="1">
      <c r="A1877" s="14" t="s">
        <v>17</v>
      </c>
      <c r="B1877" s="8">
        <v>2024</v>
      </c>
      <c r="C1877" s="8" t="s">
        <v>24</v>
      </c>
      <c r="D1877" s="9" t="s">
        <v>185</v>
      </c>
      <c r="E1877" s="9" t="s">
        <v>115</v>
      </c>
      <c r="F1877" s="9" t="s">
        <v>434</v>
      </c>
      <c r="G1877" s="8"/>
      <c r="H1877" s="8"/>
      <c r="I1877" s="9" t="s">
        <v>12</v>
      </c>
      <c r="J1877" s="9" t="s">
        <v>12</v>
      </c>
      <c r="K1877" s="9" t="s">
        <v>130</v>
      </c>
      <c r="L1877" s="9" t="s">
        <v>209</v>
      </c>
      <c r="M1877" s="14" t="s">
        <v>84</v>
      </c>
      <c r="N1877" s="9" t="s">
        <v>436</v>
      </c>
      <c r="O1877" s="9" t="s">
        <v>272</v>
      </c>
      <c r="P1877" s="9" t="s">
        <v>283</v>
      </c>
      <c r="Q1877" s="11"/>
      <c r="R1877" s="11"/>
      <c r="S1877" s="11">
        <v>0</v>
      </c>
      <c r="T1877" s="9"/>
      <c r="U1877" s="14" t="s">
        <v>77</v>
      </c>
      <c r="V1877" s="9"/>
      <c r="W1877" s="12"/>
      <c r="X1877" s="13"/>
      <c r="Y1877" s="13"/>
      <c r="Z1877" s="13"/>
      <c r="AA1877" s="13"/>
      <c r="AB1877" s="13"/>
      <c r="AC1877" s="13"/>
      <c r="AD1877" s="13"/>
      <c r="AE1877" s="13">
        <v>0</v>
      </c>
      <c r="AF1877" s="13"/>
      <c r="AG1877" s="13"/>
      <c r="AH1877" s="13"/>
      <c r="AI1877" s="13"/>
      <c r="AJ1877" s="13">
        <f t="shared" si="211"/>
        <v>0</v>
      </c>
      <c r="AK1877" s="12"/>
      <c r="AL1877" s="13"/>
      <c r="AM1877" s="9"/>
      <c r="AN1877" s="9"/>
      <c r="AO1877" s="9"/>
      <c r="AP1877" s="14"/>
    </row>
    <row r="1878" spans="1:42" s="45" customFormat="1" ht="22" customHeight="1">
      <c r="A1878" s="14" t="s">
        <v>17</v>
      </c>
      <c r="B1878" s="8">
        <v>2024</v>
      </c>
      <c r="C1878" s="8" t="s">
        <v>24</v>
      </c>
      <c r="D1878" s="9" t="s">
        <v>185</v>
      </c>
      <c r="E1878" s="9" t="s">
        <v>115</v>
      </c>
      <c r="F1878" s="9" t="s">
        <v>434</v>
      </c>
      <c r="G1878" s="8"/>
      <c r="H1878" s="8"/>
      <c r="I1878" s="9" t="s">
        <v>12</v>
      </c>
      <c r="J1878" s="9" t="s">
        <v>12</v>
      </c>
      <c r="K1878" s="9" t="s">
        <v>130</v>
      </c>
      <c r="L1878" s="9" t="s">
        <v>209</v>
      </c>
      <c r="M1878" s="14" t="s">
        <v>84</v>
      </c>
      <c r="N1878" s="9" t="s">
        <v>436</v>
      </c>
      <c r="O1878" s="9" t="s">
        <v>272</v>
      </c>
      <c r="P1878" s="9" t="s">
        <v>836</v>
      </c>
      <c r="Q1878" s="11"/>
      <c r="R1878" s="11"/>
      <c r="S1878" s="11">
        <v>0</v>
      </c>
      <c r="T1878" s="9"/>
      <c r="U1878" s="14" t="s">
        <v>77</v>
      </c>
      <c r="V1878" s="9"/>
      <c r="W1878" s="12"/>
      <c r="X1878" s="13"/>
      <c r="Y1878" s="13"/>
      <c r="Z1878" s="13"/>
      <c r="AA1878" s="13"/>
      <c r="AB1878" s="13"/>
      <c r="AC1878" s="13"/>
      <c r="AD1878" s="13"/>
      <c r="AE1878" s="13">
        <v>0</v>
      </c>
      <c r="AF1878" s="13"/>
      <c r="AG1878" s="13"/>
      <c r="AH1878" s="13"/>
      <c r="AI1878" s="13"/>
      <c r="AJ1878" s="13">
        <f t="shared" si="211"/>
        <v>0</v>
      </c>
      <c r="AK1878" s="12"/>
      <c r="AL1878" s="13"/>
      <c r="AM1878" s="9"/>
      <c r="AN1878" s="9"/>
      <c r="AO1878" s="9"/>
      <c r="AP1878" s="14"/>
    </row>
    <row r="1879" spans="1:42" s="45" customFormat="1" ht="22" customHeight="1">
      <c r="A1879" s="14" t="s">
        <v>17</v>
      </c>
      <c r="B1879" s="8">
        <v>2024</v>
      </c>
      <c r="C1879" s="8" t="s">
        <v>24</v>
      </c>
      <c r="D1879" s="9" t="s">
        <v>185</v>
      </c>
      <c r="E1879" s="9" t="s">
        <v>115</v>
      </c>
      <c r="F1879" s="9" t="s">
        <v>434</v>
      </c>
      <c r="G1879" s="8"/>
      <c r="H1879" s="8"/>
      <c r="I1879" s="9" t="s">
        <v>12</v>
      </c>
      <c r="J1879" s="9" t="s">
        <v>12</v>
      </c>
      <c r="K1879" s="9" t="s">
        <v>130</v>
      </c>
      <c r="L1879" s="9" t="s">
        <v>209</v>
      </c>
      <c r="M1879" s="14" t="s">
        <v>84</v>
      </c>
      <c r="N1879" s="9" t="s">
        <v>436</v>
      </c>
      <c r="O1879" s="9" t="s">
        <v>272</v>
      </c>
      <c r="P1879" s="9" t="s">
        <v>282</v>
      </c>
      <c r="Q1879" s="11"/>
      <c r="R1879" s="11"/>
      <c r="S1879" s="11">
        <v>0</v>
      </c>
      <c r="T1879" s="9"/>
      <c r="U1879" s="14" t="s">
        <v>77</v>
      </c>
      <c r="V1879" s="9"/>
      <c r="W1879" s="12"/>
      <c r="X1879" s="13"/>
      <c r="Y1879" s="13"/>
      <c r="Z1879" s="13"/>
      <c r="AA1879" s="13"/>
      <c r="AB1879" s="13"/>
      <c r="AC1879" s="13"/>
      <c r="AD1879" s="13"/>
      <c r="AE1879" s="13">
        <v>0</v>
      </c>
      <c r="AF1879" s="13"/>
      <c r="AG1879" s="13"/>
      <c r="AH1879" s="13"/>
      <c r="AI1879" s="13"/>
      <c r="AJ1879" s="13">
        <f t="shared" si="211"/>
        <v>0</v>
      </c>
      <c r="AK1879" s="12"/>
      <c r="AL1879" s="13"/>
      <c r="AM1879" s="9"/>
      <c r="AN1879" s="9"/>
      <c r="AO1879" s="9"/>
      <c r="AP1879" s="14"/>
    </row>
    <row r="1880" spans="1:42" s="45" customFormat="1" ht="22" customHeight="1">
      <c r="A1880" s="14" t="s">
        <v>17</v>
      </c>
      <c r="B1880" s="8">
        <v>2024</v>
      </c>
      <c r="C1880" s="8" t="s">
        <v>24</v>
      </c>
      <c r="D1880" s="9" t="s">
        <v>185</v>
      </c>
      <c r="E1880" s="9" t="s">
        <v>115</v>
      </c>
      <c r="F1880" s="9" t="s">
        <v>434</v>
      </c>
      <c r="G1880" s="8"/>
      <c r="H1880" s="8"/>
      <c r="I1880" s="9" t="s">
        <v>12</v>
      </c>
      <c r="J1880" s="9" t="s">
        <v>12</v>
      </c>
      <c r="K1880" s="9" t="s">
        <v>130</v>
      </c>
      <c r="L1880" s="9" t="s">
        <v>209</v>
      </c>
      <c r="M1880" s="14" t="s">
        <v>84</v>
      </c>
      <c r="N1880" s="9" t="s">
        <v>436</v>
      </c>
      <c r="O1880" s="9" t="s">
        <v>837</v>
      </c>
      <c r="P1880" s="9" t="s">
        <v>838</v>
      </c>
      <c r="Q1880" s="11"/>
      <c r="R1880" s="11"/>
      <c r="S1880" s="11">
        <v>0</v>
      </c>
      <c r="T1880" s="9"/>
      <c r="U1880" s="14" t="s">
        <v>77</v>
      </c>
      <c r="V1880" s="9"/>
      <c r="W1880" s="12"/>
      <c r="X1880" s="13"/>
      <c r="Y1880" s="13"/>
      <c r="Z1880" s="13"/>
      <c r="AA1880" s="13"/>
      <c r="AB1880" s="13"/>
      <c r="AC1880" s="13"/>
      <c r="AD1880" s="13"/>
      <c r="AE1880" s="13">
        <v>0</v>
      </c>
      <c r="AF1880" s="13"/>
      <c r="AG1880" s="13"/>
      <c r="AH1880" s="13"/>
      <c r="AI1880" s="13"/>
      <c r="AJ1880" s="13">
        <f t="shared" si="211"/>
        <v>0</v>
      </c>
      <c r="AK1880" s="12"/>
      <c r="AL1880" s="13"/>
      <c r="AM1880" s="9"/>
      <c r="AN1880" s="9"/>
      <c r="AO1880" s="9"/>
      <c r="AP1880" s="14"/>
    </row>
    <row r="1881" spans="1:42" s="45" customFormat="1" ht="22" customHeight="1">
      <c r="A1881" s="14" t="s">
        <v>17</v>
      </c>
      <c r="B1881" s="8">
        <v>2024</v>
      </c>
      <c r="C1881" s="8" t="s">
        <v>24</v>
      </c>
      <c r="D1881" s="9" t="s">
        <v>185</v>
      </c>
      <c r="E1881" s="9" t="s">
        <v>115</v>
      </c>
      <c r="F1881" s="9" t="s">
        <v>434</v>
      </c>
      <c r="G1881" s="8"/>
      <c r="H1881" s="8"/>
      <c r="I1881" s="9" t="s">
        <v>12</v>
      </c>
      <c r="J1881" s="9" t="s">
        <v>12</v>
      </c>
      <c r="K1881" s="9" t="s">
        <v>130</v>
      </c>
      <c r="L1881" s="9" t="s">
        <v>209</v>
      </c>
      <c r="M1881" s="14" t="s">
        <v>84</v>
      </c>
      <c r="N1881" s="9" t="s">
        <v>436</v>
      </c>
      <c r="O1881" s="9" t="s">
        <v>837</v>
      </c>
      <c r="P1881" s="9" t="s">
        <v>839</v>
      </c>
      <c r="Q1881" s="11"/>
      <c r="R1881" s="11"/>
      <c r="S1881" s="11">
        <v>0</v>
      </c>
      <c r="T1881" s="9"/>
      <c r="U1881" s="14" t="s">
        <v>77</v>
      </c>
      <c r="V1881" s="9"/>
      <c r="W1881" s="12"/>
      <c r="X1881" s="13"/>
      <c r="Y1881" s="13"/>
      <c r="Z1881" s="13"/>
      <c r="AA1881" s="13"/>
      <c r="AB1881" s="13"/>
      <c r="AC1881" s="13"/>
      <c r="AD1881" s="13"/>
      <c r="AE1881" s="13">
        <v>0</v>
      </c>
      <c r="AF1881" s="13"/>
      <c r="AG1881" s="13"/>
      <c r="AH1881" s="13"/>
      <c r="AI1881" s="13"/>
      <c r="AJ1881" s="13">
        <f t="shared" si="211"/>
        <v>0</v>
      </c>
      <c r="AK1881" s="12"/>
      <c r="AL1881" s="13"/>
      <c r="AM1881" s="9"/>
      <c r="AN1881" s="9"/>
      <c r="AO1881" s="9"/>
      <c r="AP1881" s="14"/>
    </row>
    <row r="1882" spans="1:42" s="45" customFormat="1" ht="22" customHeight="1">
      <c r="A1882" s="14" t="s">
        <v>17</v>
      </c>
      <c r="B1882" s="8">
        <v>2024</v>
      </c>
      <c r="C1882" s="8" t="s">
        <v>24</v>
      </c>
      <c r="D1882" s="9" t="s">
        <v>185</v>
      </c>
      <c r="E1882" s="9" t="s">
        <v>115</v>
      </c>
      <c r="F1882" s="9" t="s">
        <v>434</v>
      </c>
      <c r="G1882" s="8"/>
      <c r="H1882" s="8"/>
      <c r="I1882" s="9" t="s">
        <v>12</v>
      </c>
      <c r="J1882" s="9" t="s">
        <v>12</v>
      </c>
      <c r="K1882" s="9" t="s">
        <v>130</v>
      </c>
      <c r="L1882" s="9" t="s">
        <v>209</v>
      </c>
      <c r="M1882" s="14" t="s">
        <v>84</v>
      </c>
      <c r="N1882" s="9" t="s">
        <v>436</v>
      </c>
      <c r="O1882" s="9" t="s">
        <v>837</v>
      </c>
      <c r="P1882" s="9" t="s">
        <v>840</v>
      </c>
      <c r="Q1882" s="11"/>
      <c r="R1882" s="11"/>
      <c r="S1882" s="11">
        <v>0</v>
      </c>
      <c r="T1882" s="9"/>
      <c r="U1882" s="14" t="s">
        <v>77</v>
      </c>
      <c r="V1882" s="9"/>
      <c r="W1882" s="12"/>
      <c r="X1882" s="13"/>
      <c r="Y1882" s="13"/>
      <c r="Z1882" s="13"/>
      <c r="AA1882" s="13"/>
      <c r="AB1882" s="13"/>
      <c r="AC1882" s="13"/>
      <c r="AD1882" s="13"/>
      <c r="AE1882" s="13">
        <v>0</v>
      </c>
      <c r="AF1882" s="13"/>
      <c r="AG1882" s="13"/>
      <c r="AH1882" s="13"/>
      <c r="AI1882" s="13"/>
      <c r="AJ1882" s="13">
        <f t="shared" si="211"/>
        <v>0</v>
      </c>
      <c r="AK1882" s="12"/>
      <c r="AL1882" s="13"/>
      <c r="AM1882" s="9"/>
      <c r="AN1882" s="9"/>
      <c r="AO1882" s="9"/>
      <c r="AP1882" s="14"/>
    </row>
    <row r="1883" spans="1:42" s="45" customFormat="1" ht="22" customHeight="1">
      <c r="A1883" s="14" t="s">
        <v>17</v>
      </c>
      <c r="B1883" s="8">
        <v>2024</v>
      </c>
      <c r="C1883" s="8" t="s">
        <v>24</v>
      </c>
      <c r="D1883" s="9" t="s">
        <v>185</v>
      </c>
      <c r="E1883" s="9" t="s">
        <v>115</v>
      </c>
      <c r="F1883" s="9" t="s">
        <v>434</v>
      </c>
      <c r="G1883" s="8"/>
      <c r="H1883" s="8"/>
      <c r="I1883" s="9" t="s">
        <v>12</v>
      </c>
      <c r="J1883" s="9" t="s">
        <v>12</v>
      </c>
      <c r="K1883" s="9" t="s">
        <v>130</v>
      </c>
      <c r="L1883" s="9" t="s">
        <v>209</v>
      </c>
      <c r="M1883" s="14" t="s">
        <v>84</v>
      </c>
      <c r="N1883" s="9" t="s">
        <v>436</v>
      </c>
      <c r="O1883" s="9" t="s">
        <v>837</v>
      </c>
      <c r="P1883" s="9" t="s">
        <v>841</v>
      </c>
      <c r="Q1883" s="11"/>
      <c r="R1883" s="11"/>
      <c r="S1883" s="11">
        <v>0</v>
      </c>
      <c r="T1883" s="9"/>
      <c r="U1883" s="14" t="s">
        <v>77</v>
      </c>
      <c r="V1883" s="9"/>
      <c r="W1883" s="12"/>
      <c r="X1883" s="13"/>
      <c r="Y1883" s="13"/>
      <c r="Z1883" s="13"/>
      <c r="AA1883" s="13"/>
      <c r="AB1883" s="13"/>
      <c r="AC1883" s="13"/>
      <c r="AD1883" s="13"/>
      <c r="AE1883" s="13">
        <v>0</v>
      </c>
      <c r="AF1883" s="13"/>
      <c r="AG1883" s="13"/>
      <c r="AH1883" s="13"/>
      <c r="AI1883" s="13"/>
      <c r="AJ1883" s="13">
        <f t="shared" si="211"/>
        <v>0</v>
      </c>
      <c r="AK1883" s="12"/>
      <c r="AL1883" s="13"/>
      <c r="AM1883" s="9"/>
      <c r="AN1883" s="9"/>
      <c r="AO1883" s="9"/>
      <c r="AP1883" s="14"/>
    </row>
    <row r="1884" spans="1:42" s="45" customFormat="1" ht="22" customHeight="1">
      <c r="A1884" s="14" t="s">
        <v>17</v>
      </c>
      <c r="B1884" s="8">
        <v>2024</v>
      </c>
      <c r="C1884" s="8" t="s">
        <v>24</v>
      </c>
      <c r="D1884" s="9" t="s">
        <v>185</v>
      </c>
      <c r="E1884" s="9" t="s">
        <v>115</v>
      </c>
      <c r="F1884" s="9" t="s">
        <v>434</v>
      </c>
      <c r="G1884" s="8"/>
      <c r="H1884" s="8"/>
      <c r="I1884" s="9" t="s">
        <v>12</v>
      </c>
      <c r="J1884" s="9" t="s">
        <v>12</v>
      </c>
      <c r="K1884" s="9" t="s">
        <v>130</v>
      </c>
      <c r="L1884" s="9" t="s">
        <v>209</v>
      </c>
      <c r="M1884" s="14" t="s">
        <v>84</v>
      </c>
      <c r="N1884" s="9" t="s">
        <v>436</v>
      </c>
      <c r="O1884" s="9" t="s">
        <v>837</v>
      </c>
      <c r="P1884" s="9" t="s">
        <v>842</v>
      </c>
      <c r="Q1884" s="11"/>
      <c r="R1884" s="11"/>
      <c r="S1884" s="11">
        <v>0</v>
      </c>
      <c r="T1884" s="9"/>
      <c r="U1884" s="14" t="s">
        <v>77</v>
      </c>
      <c r="V1884" s="9"/>
      <c r="W1884" s="12"/>
      <c r="X1884" s="13"/>
      <c r="Y1884" s="13"/>
      <c r="Z1884" s="13"/>
      <c r="AA1884" s="13"/>
      <c r="AB1884" s="13"/>
      <c r="AC1884" s="13"/>
      <c r="AD1884" s="13"/>
      <c r="AE1884" s="13">
        <v>0</v>
      </c>
      <c r="AF1884" s="13"/>
      <c r="AG1884" s="13"/>
      <c r="AH1884" s="13"/>
      <c r="AI1884" s="13"/>
      <c r="AJ1884" s="13">
        <f t="shared" si="211"/>
        <v>0</v>
      </c>
      <c r="AK1884" s="12"/>
      <c r="AL1884" s="13"/>
      <c r="AM1884" s="9"/>
      <c r="AN1884" s="9"/>
      <c r="AO1884" s="9"/>
      <c r="AP1884" s="14"/>
    </row>
    <row r="1885" spans="1:42" s="45" customFormat="1" ht="22" customHeight="1">
      <c r="A1885" s="14" t="s">
        <v>17</v>
      </c>
      <c r="B1885" s="8">
        <v>2024</v>
      </c>
      <c r="C1885" s="8" t="s">
        <v>24</v>
      </c>
      <c r="D1885" s="9" t="s">
        <v>185</v>
      </c>
      <c r="E1885" s="9" t="s">
        <v>115</v>
      </c>
      <c r="F1885" s="9" t="s">
        <v>434</v>
      </c>
      <c r="G1885" s="8"/>
      <c r="H1885" s="8"/>
      <c r="I1885" s="9" t="s">
        <v>12</v>
      </c>
      <c r="J1885" s="9" t="s">
        <v>12</v>
      </c>
      <c r="K1885" s="9" t="s">
        <v>130</v>
      </c>
      <c r="L1885" s="9" t="s">
        <v>209</v>
      </c>
      <c r="M1885" s="14" t="s">
        <v>84</v>
      </c>
      <c r="N1885" s="9" t="s">
        <v>436</v>
      </c>
      <c r="O1885" s="9" t="s">
        <v>837</v>
      </c>
      <c r="P1885" s="9" t="s">
        <v>843</v>
      </c>
      <c r="Q1885" s="11"/>
      <c r="R1885" s="11"/>
      <c r="S1885" s="11">
        <v>0</v>
      </c>
      <c r="T1885" s="9"/>
      <c r="U1885" s="14" t="s">
        <v>77</v>
      </c>
      <c r="V1885" s="9"/>
      <c r="W1885" s="12"/>
      <c r="X1885" s="13"/>
      <c r="Y1885" s="13"/>
      <c r="Z1885" s="13"/>
      <c r="AA1885" s="13"/>
      <c r="AB1885" s="13"/>
      <c r="AC1885" s="13"/>
      <c r="AD1885" s="13"/>
      <c r="AE1885" s="13">
        <v>0</v>
      </c>
      <c r="AF1885" s="13"/>
      <c r="AG1885" s="13"/>
      <c r="AH1885" s="13"/>
      <c r="AI1885" s="13"/>
      <c r="AJ1885" s="13">
        <f t="shared" si="211"/>
        <v>0</v>
      </c>
      <c r="AK1885" s="12"/>
      <c r="AL1885" s="13"/>
      <c r="AM1885" s="9"/>
      <c r="AN1885" s="9"/>
      <c r="AO1885" s="9"/>
      <c r="AP1885" s="14"/>
    </row>
    <row r="1886" spans="1:42" s="45" customFormat="1" ht="22" customHeight="1">
      <c r="A1886" s="14" t="s">
        <v>17</v>
      </c>
      <c r="B1886" s="8">
        <v>2024</v>
      </c>
      <c r="C1886" s="8" t="s">
        <v>24</v>
      </c>
      <c r="D1886" s="9" t="s">
        <v>185</v>
      </c>
      <c r="E1886" s="9" t="s">
        <v>115</v>
      </c>
      <c r="F1886" s="9" t="s">
        <v>434</v>
      </c>
      <c r="G1886" s="8"/>
      <c r="H1886" s="8"/>
      <c r="I1886" s="9" t="s">
        <v>12</v>
      </c>
      <c r="J1886" s="9" t="s">
        <v>12</v>
      </c>
      <c r="K1886" s="9" t="s">
        <v>130</v>
      </c>
      <c r="L1886" s="9" t="s">
        <v>209</v>
      </c>
      <c r="M1886" s="14" t="s">
        <v>84</v>
      </c>
      <c r="N1886" s="9" t="s">
        <v>436</v>
      </c>
      <c r="O1886" s="9" t="s">
        <v>837</v>
      </c>
      <c r="P1886" s="9" t="s">
        <v>844</v>
      </c>
      <c r="Q1886" s="11"/>
      <c r="R1886" s="11"/>
      <c r="S1886" s="11">
        <v>0</v>
      </c>
      <c r="T1886" s="9"/>
      <c r="U1886" s="14" t="s">
        <v>77</v>
      </c>
      <c r="V1886" s="9"/>
      <c r="W1886" s="12"/>
      <c r="X1886" s="13"/>
      <c r="Y1886" s="13"/>
      <c r="Z1886" s="13"/>
      <c r="AA1886" s="13"/>
      <c r="AB1886" s="13"/>
      <c r="AC1886" s="13"/>
      <c r="AD1886" s="13"/>
      <c r="AE1886" s="13">
        <v>0</v>
      </c>
      <c r="AF1886" s="13"/>
      <c r="AG1886" s="13"/>
      <c r="AH1886" s="13"/>
      <c r="AI1886" s="13"/>
      <c r="AJ1886" s="13">
        <f t="shared" si="211"/>
        <v>0</v>
      </c>
      <c r="AK1886" s="12"/>
      <c r="AL1886" s="13"/>
      <c r="AM1886" s="9"/>
      <c r="AN1886" s="9"/>
      <c r="AO1886" s="9"/>
      <c r="AP1886" s="14"/>
    </row>
    <row r="1887" spans="1:42" s="45" customFormat="1" ht="22" customHeight="1">
      <c r="A1887" s="14" t="s">
        <v>17</v>
      </c>
      <c r="B1887" s="8">
        <v>2024</v>
      </c>
      <c r="C1887" s="8" t="s">
        <v>24</v>
      </c>
      <c r="D1887" s="9" t="s">
        <v>185</v>
      </c>
      <c r="E1887" s="9" t="s">
        <v>115</v>
      </c>
      <c r="F1887" s="9" t="s">
        <v>434</v>
      </c>
      <c r="G1887" s="8"/>
      <c r="H1887" s="8"/>
      <c r="I1887" s="9" t="s">
        <v>12</v>
      </c>
      <c r="J1887" s="9" t="s">
        <v>12</v>
      </c>
      <c r="K1887" s="9" t="s">
        <v>130</v>
      </c>
      <c r="L1887" s="9" t="s">
        <v>209</v>
      </c>
      <c r="M1887" s="14" t="s">
        <v>84</v>
      </c>
      <c r="N1887" s="9" t="s">
        <v>436</v>
      </c>
      <c r="O1887" s="9" t="s">
        <v>837</v>
      </c>
      <c r="P1887" s="9" t="s">
        <v>845</v>
      </c>
      <c r="Q1887" s="11"/>
      <c r="R1887" s="11"/>
      <c r="S1887" s="11">
        <v>0</v>
      </c>
      <c r="T1887" s="9"/>
      <c r="U1887" s="14" t="s">
        <v>77</v>
      </c>
      <c r="V1887" s="9"/>
      <c r="W1887" s="12"/>
      <c r="X1887" s="13"/>
      <c r="Y1887" s="13"/>
      <c r="Z1887" s="13"/>
      <c r="AA1887" s="13"/>
      <c r="AB1887" s="13"/>
      <c r="AC1887" s="13"/>
      <c r="AD1887" s="13"/>
      <c r="AE1887" s="13">
        <v>0</v>
      </c>
      <c r="AF1887" s="13"/>
      <c r="AG1887" s="13"/>
      <c r="AH1887" s="13"/>
      <c r="AI1887" s="13"/>
      <c r="AJ1887" s="13">
        <f t="shared" si="211"/>
        <v>0</v>
      </c>
      <c r="AK1887" s="12"/>
      <c r="AL1887" s="13"/>
      <c r="AM1887" s="9"/>
      <c r="AN1887" s="9"/>
      <c r="AO1887" s="9"/>
      <c r="AP1887" s="14"/>
    </row>
    <row r="1888" spans="1:42" s="45" customFormat="1" ht="22" customHeight="1">
      <c r="A1888" s="14" t="s">
        <v>17</v>
      </c>
      <c r="B1888" s="8">
        <v>2024</v>
      </c>
      <c r="C1888" s="8" t="s">
        <v>24</v>
      </c>
      <c r="D1888" s="9" t="s">
        <v>185</v>
      </c>
      <c r="E1888" s="9" t="s">
        <v>115</v>
      </c>
      <c r="F1888" s="9" t="s">
        <v>434</v>
      </c>
      <c r="G1888" s="8"/>
      <c r="H1888" s="8"/>
      <c r="I1888" s="9" t="s">
        <v>12</v>
      </c>
      <c r="J1888" s="9" t="s">
        <v>12</v>
      </c>
      <c r="K1888" s="9" t="s">
        <v>130</v>
      </c>
      <c r="L1888" s="9" t="s">
        <v>209</v>
      </c>
      <c r="M1888" s="14" t="s">
        <v>84</v>
      </c>
      <c r="N1888" s="9" t="s">
        <v>436</v>
      </c>
      <c r="O1888" s="9" t="s">
        <v>837</v>
      </c>
      <c r="P1888" s="9" t="s">
        <v>846</v>
      </c>
      <c r="Q1888" s="11"/>
      <c r="R1888" s="11"/>
      <c r="S1888" s="11">
        <v>0</v>
      </c>
      <c r="T1888" s="9"/>
      <c r="U1888" s="14" t="s">
        <v>77</v>
      </c>
      <c r="V1888" s="9"/>
      <c r="W1888" s="12"/>
      <c r="X1888" s="13"/>
      <c r="Y1888" s="13"/>
      <c r="Z1888" s="13"/>
      <c r="AA1888" s="13"/>
      <c r="AB1888" s="13"/>
      <c r="AC1888" s="13"/>
      <c r="AD1888" s="13"/>
      <c r="AE1888" s="13">
        <v>0</v>
      </c>
      <c r="AF1888" s="13"/>
      <c r="AG1888" s="13"/>
      <c r="AH1888" s="13"/>
      <c r="AI1888" s="13"/>
      <c r="AJ1888" s="13">
        <f t="shared" si="211"/>
        <v>0</v>
      </c>
      <c r="AK1888" s="12"/>
      <c r="AL1888" s="13"/>
      <c r="AM1888" s="9"/>
      <c r="AN1888" s="9"/>
      <c r="AO1888" s="9"/>
      <c r="AP1888" s="14"/>
    </row>
    <row r="1889" spans="1:42" s="45" customFormat="1" ht="22" customHeight="1">
      <c r="A1889" s="14" t="s">
        <v>17</v>
      </c>
      <c r="B1889" s="8">
        <v>2024</v>
      </c>
      <c r="C1889" s="8" t="s">
        <v>24</v>
      </c>
      <c r="D1889" s="9" t="s">
        <v>185</v>
      </c>
      <c r="E1889" s="9" t="s">
        <v>115</v>
      </c>
      <c r="F1889" s="9" t="s">
        <v>434</v>
      </c>
      <c r="G1889" s="8"/>
      <c r="H1889" s="8"/>
      <c r="I1889" s="9" t="s">
        <v>12</v>
      </c>
      <c r="J1889" s="9" t="s">
        <v>12</v>
      </c>
      <c r="K1889" s="9" t="s">
        <v>130</v>
      </c>
      <c r="L1889" s="9" t="s">
        <v>209</v>
      </c>
      <c r="M1889" s="14" t="s">
        <v>84</v>
      </c>
      <c r="N1889" s="9" t="s">
        <v>436</v>
      </c>
      <c r="O1889" s="9" t="s">
        <v>837</v>
      </c>
      <c r="P1889" s="9" t="s">
        <v>847</v>
      </c>
      <c r="Q1889" s="11"/>
      <c r="R1889" s="11"/>
      <c r="S1889" s="11">
        <v>0</v>
      </c>
      <c r="T1889" s="9"/>
      <c r="U1889" s="14" t="s">
        <v>77</v>
      </c>
      <c r="V1889" s="9"/>
      <c r="W1889" s="12"/>
      <c r="X1889" s="13"/>
      <c r="Y1889" s="13"/>
      <c r="Z1889" s="13"/>
      <c r="AA1889" s="13"/>
      <c r="AB1889" s="13"/>
      <c r="AC1889" s="13"/>
      <c r="AD1889" s="13"/>
      <c r="AE1889" s="13">
        <v>0</v>
      </c>
      <c r="AF1889" s="13"/>
      <c r="AG1889" s="13"/>
      <c r="AH1889" s="13"/>
      <c r="AI1889" s="13"/>
      <c r="AJ1889" s="13">
        <f t="shared" si="211"/>
        <v>0</v>
      </c>
      <c r="AK1889" s="12"/>
      <c r="AL1889" s="13"/>
      <c r="AM1889" s="9"/>
      <c r="AN1889" s="9"/>
      <c r="AO1889" s="9"/>
      <c r="AP1889" s="14"/>
    </row>
    <row r="1890" spans="1:42" s="45" customFormat="1" ht="22" customHeight="1">
      <c r="A1890" s="14" t="s">
        <v>17</v>
      </c>
      <c r="B1890" s="8">
        <v>2024</v>
      </c>
      <c r="C1890" s="8" t="s">
        <v>24</v>
      </c>
      <c r="D1890" s="9" t="s">
        <v>185</v>
      </c>
      <c r="E1890" s="9" t="s">
        <v>115</v>
      </c>
      <c r="F1890" s="9" t="s">
        <v>434</v>
      </c>
      <c r="G1890" s="8"/>
      <c r="H1890" s="8"/>
      <c r="I1890" s="9" t="s">
        <v>12</v>
      </c>
      <c r="J1890" s="9" t="s">
        <v>12</v>
      </c>
      <c r="K1890" s="9" t="s">
        <v>130</v>
      </c>
      <c r="L1890" s="9" t="s">
        <v>209</v>
      </c>
      <c r="M1890" s="14" t="s">
        <v>84</v>
      </c>
      <c r="N1890" s="9" t="s">
        <v>436</v>
      </c>
      <c r="O1890" s="9" t="s">
        <v>837</v>
      </c>
      <c r="P1890" s="9" t="s">
        <v>848</v>
      </c>
      <c r="Q1890" s="11"/>
      <c r="R1890" s="11"/>
      <c r="S1890" s="11">
        <v>0</v>
      </c>
      <c r="T1890" s="9"/>
      <c r="U1890" s="14" t="s">
        <v>77</v>
      </c>
      <c r="V1890" s="9"/>
      <c r="W1890" s="12"/>
      <c r="X1890" s="13"/>
      <c r="Y1890" s="13"/>
      <c r="Z1890" s="13"/>
      <c r="AA1890" s="13"/>
      <c r="AB1890" s="13"/>
      <c r="AC1890" s="13"/>
      <c r="AD1890" s="13"/>
      <c r="AE1890" s="13">
        <v>0</v>
      </c>
      <c r="AF1890" s="13"/>
      <c r="AG1890" s="13"/>
      <c r="AH1890" s="13"/>
      <c r="AI1890" s="13"/>
      <c r="AJ1890" s="13">
        <f t="shared" si="211"/>
        <v>0</v>
      </c>
      <c r="AK1890" s="12"/>
      <c r="AL1890" s="13"/>
      <c r="AM1890" s="9"/>
      <c r="AN1890" s="9"/>
      <c r="AO1890" s="9"/>
      <c r="AP1890" s="14"/>
    </row>
    <row r="1891" spans="1:42" s="45" customFormat="1" ht="22" customHeight="1">
      <c r="A1891" s="14" t="s">
        <v>17</v>
      </c>
      <c r="B1891" s="8">
        <v>2024</v>
      </c>
      <c r="C1891" s="8" t="s">
        <v>24</v>
      </c>
      <c r="D1891" s="9" t="s">
        <v>185</v>
      </c>
      <c r="E1891" s="9" t="s">
        <v>115</v>
      </c>
      <c r="F1891" s="9" t="s">
        <v>434</v>
      </c>
      <c r="G1891" s="8"/>
      <c r="H1891" s="8"/>
      <c r="I1891" s="9" t="s">
        <v>12</v>
      </c>
      <c r="J1891" s="9" t="s">
        <v>12</v>
      </c>
      <c r="K1891" s="9" t="s">
        <v>130</v>
      </c>
      <c r="L1891" s="9" t="s">
        <v>209</v>
      </c>
      <c r="M1891" s="14" t="s">
        <v>84</v>
      </c>
      <c r="N1891" s="9" t="s">
        <v>436</v>
      </c>
      <c r="O1891" s="9" t="s">
        <v>837</v>
      </c>
      <c r="P1891" s="9" t="s">
        <v>849</v>
      </c>
      <c r="Q1891" s="11"/>
      <c r="R1891" s="11"/>
      <c r="S1891" s="11">
        <v>0</v>
      </c>
      <c r="T1891" s="9"/>
      <c r="U1891" s="14" t="s">
        <v>77</v>
      </c>
      <c r="V1891" s="9"/>
      <c r="W1891" s="12"/>
      <c r="X1891" s="13"/>
      <c r="Y1891" s="13"/>
      <c r="Z1891" s="13"/>
      <c r="AA1891" s="13"/>
      <c r="AB1891" s="13"/>
      <c r="AC1891" s="13"/>
      <c r="AD1891" s="13"/>
      <c r="AE1891" s="13">
        <v>0</v>
      </c>
      <c r="AF1891" s="13"/>
      <c r="AG1891" s="13"/>
      <c r="AH1891" s="13"/>
      <c r="AI1891" s="13"/>
      <c r="AJ1891" s="13">
        <f t="shared" si="211"/>
        <v>0</v>
      </c>
      <c r="AK1891" s="12"/>
      <c r="AL1891" s="13"/>
      <c r="AM1891" s="9"/>
      <c r="AN1891" s="9"/>
      <c r="AO1891" s="9"/>
      <c r="AP1891" s="14"/>
    </row>
    <row r="1892" spans="1:42" s="45" customFormat="1" ht="22" customHeight="1">
      <c r="A1892" s="14" t="s">
        <v>17</v>
      </c>
      <c r="B1892" s="8">
        <v>2024</v>
      </c>
      <c r="C1892" s="8" t="s">
        <v>24</v>
      </c>
      <c r="D1892" s="9" t="s">
        <v>185</v>
      </c>
      <c r="E1892" s="9" t="s">
        <v>115</v>
      </c>
      <c r="F1892" s="9" t="s">
        <v>434</v>
      </c>
      <c r="G1892" s="8"/>
      <c r="H1892" s="8"/>
      <c r="I1892" s="9" t="s">
        <v>12</v>
      </c>
      <c r="J1892" s="9" t="s">
        <v>12</v>
      </c>
      <c r="K1892" s="9" t="s">
        <v>130</v>
      </c>
      <c r="L1892" s="9" t="s">
        <v>209</v>
      </c>
      <c r="M1892" s="14" t="s">
        <v>84</v>
      </c>
      <c r="N1892" s="9" t="s">
        <v>436</v>
      </c>
      <c r="O1892" s="9" t="s">
        <v>837</v>
      </c>
      <c r="P1892" s="9" t="s">
        <v>850</v>
      </c>
      <c r="Q1892" s="11"/>
      <c r="R1892" s="11"/>
      <c r="S1892" s="11">
        <v>0</v>
      </c>
      <c r="T1892" s="9"/>
      <c r="U1892" s="14" t="s">
        <v>77</v>
      </c>
      <c r="V1892" s="9"/>
      <c r="W1892" s="12"/>
      <c r="X1892" s="13"/>
      <c r="Y1892" s="13"/>
      <c r="Z1892" s="13"/>
      <c r="AA1892" s="13"/>
      <c r="AB1892" s="13"/>
      <c r="AC1892" s="13"/>
      <c r="AD1892" s="13"/>
      <c r="AE1892" s="13">
        <v>0</v>
      </c>
      <c r="AF1892" s="13"/>
      <c r="AG1892" s="13"/>
      <c r="AH1892" s="13"/>
      <c r="AI1892" s="13"/>
      <c r="AJ1892" s="13">
        <f t="shared" si="211"/>
        <v>0</v>
      </c>
      <c r="AK1892" s="12"/>
      <c r="AL1892" s="13"/>
      <c r="AM1892" s="9"/>
      <c r="AN1892" s="9"/>
      <c r="AO1892" s="9"/>
      <c r="AP1892" s="14"/>
    </row>
    <row r="1893" spans="1:42" s="45" customFormat="1" ht="22" customHeight="1">
      <c r="A1893" s="14" t="s">
        <v>17</v>
      </c>
      <c r="B1893" s="8">
        <v>2024</v>
      </c>
      <c r="C1893" s="8" t="s">
        <v>24</v>
      </c>
      <c r="D1893" s="9" t="s">
        <v>185</v>
      </c>
      <c r="E1893" s="9" t="s">
        <v>115</v>
      </c>
      <c r="F1893" s="9" t="s">
        <v>434</v>
      </c>
      <c r="G1893" s="8"/>
      <c r="H1893" s="8"/>
      <c r="I1893" s="9" t="s">
        <v>12</v>
      </c>
      <c r="J1893" s="9" t="s">
        <v>12</v>
      </c>
      <c r="K1893" s="9" t="s">
        <v>130</v>
      </c>
      <c r="L1893" s="9" t="s">
        <v>209</v>
      </c>
      <c r="M1893" s="14" t="s">
        <v>84</v>
      </c>
      <c r="N1893" s="9" t="s">
        <v>436</v>
      </c>
      <c r="O1893" s="9" t="s">
        <v>837</v>
      </c>
      <c r="P1893" s="9" t="s">
        <v>851</v>
      </c>
      <c r="Q1893" s="11"/>
      <c r="R1893" s="11"/>
      <c r="S1893" s="11">
        <v>0</v>
      </c>
      <c r="T1893" s="9"/>
      <c r="U1893" s="14" t="s">
        <v>77</v>
      </c>
      <c r="V1893" s="9"/>
      <c r="W1893" s="12"/>
      <c r="X1893" s="13"/>
      <c r="Y1893" s="13"/>
      <c r="Z1893" s="13"/>
      <c r="AA1893" s="13"/>
      <c r="AB1893" s="13"/>
      <c r="AC1893" s="13"/>
      <c r="AD1893" s="13"/>
      <c r="AE1893" s="13">
        <v>0</v>
      </c>
      <c r="AF1893" s="13"/>
      <c r="AG1893" s="13"/>
      <c r="AH1893" s="13"/>
      <c r="AI1893" s="13"/>
      <c r="AJ1893" s="13">
        <f t="shared" si="211"/>
        <v>0</v>
      </c>
      <c r="AK1893" s="12"/>
      <c r="AL1893" s="13"/>
      <c r="AM1893" s="9"/>
      <c r="AN1893" s="9"/>
      <c r="AO1893" s="9"/>
      <c r="AP1893" s="14"/>
    </row>
    <row r="1894" spans="1:42" s="45" customFormat="1" ht="22" customHeight="1">
      <c r="A1894" s="14" t="s">
        <v>17</v>
      </c>
      <c r="B1894" s="8">
        <v>2024</v>
      </c>
      <c r="C1894" s="8" t="s">
        <v>24</v>
      </c>
      <c r="D1894" s="9" t="s">
        <v>185</v>
      </c>
      <c r="E1894" s="9" t="s">
        <v>115</v>
      </c>
      <c r="F1894" s="9" t="s">
        <v>434</v>
      </c>
      <c r="G1894" s="8"/>
      <c r="H1894" s="8"/>
      <c r="I1894" s="9" t="s">
        <v>12</v>
      </c>
      <c r="J1894" s="9" t="s">
        <v>12</v>
      </c>
      <c r="K1894" s="9" t="s">
        <v>130</v>
      </c>
      <c r="L1894" s="9" t="s">
        <v>209</v>
      </c>
      <c r="M1894" s="14" t="s">
        <v>84</v>
      </c>
      <c r="N1894" s="9" t="s">
        <v>436</v>
      </c>
      <c r="O1894" s="9" t="s">
        <v>837</v>
      </c>
      <c r="P1894" s="9" t="s">
        <v>852</v>
      </c>
      <c r="Q1894" s="11"/>
      <c r="R1894" s="11"/>
      <c r="S1894" s="11">
        <v>0</v>
      </c>
      <c r="T1894" s="9"/>
      <c r="U1894" s="14" t="s">
        <v>77</v>
      </c>
      <c r="V1894" s="9"/>
      <c r="W1894" s="12"/>
      <c r="X1894" s="13"/>
      <c r="Y1894" s="13"/>
      <c r="Z1894" s="13"/>
      <c r="AA1894" s="13"/>
      <c r="AB1894" s="13"/>
      <c r="AC1894" s="13"/>
      <c r="AD1894" s="13"/>
      <c r="AE1894" s="13">
        <v>0</v>
      </c>
      <c r="AF1894" s="13"/>
      <c r="AG1894" s="13"/>
      <c r="AH1894" s="13"/>
      <c r="AI1894" s="13"/>
      <c r="AJ1894" s="13">
        <f t="shared" si="211"/>
        <v>0</v>
      </c>
      <c r="AK1894" s="12"/>
      <c r="AL1894" s="13"/>
      <c r="AM1894" s="9"/>
      <c r="AN1894" s="9"/>
      <c r="AO1894" s="9"/>
      <c r="AP1894" s="14"/>
    </row>
    <row r="1895" spans="1:42" s="45" customFormat="1" ht="22" customHeight="1">
      <c r="A1895" s="14" t="s">
        <v>17</v>
      </c>
      <c r="B1895" s="8">
        <v>2024</v>
      </c>
      <c r="C1895" s="8" t="s">
        <v>24</v>
      </c>
      <c r="D1895" s="9" t="s">
        <v>185</v>
      </c>
      <c r="E1895" s="9" t="s">
        <v>115</v>
      </c>
      <c r="F1895" s="9" t="s">
        <v>434</v>
      </c>
      <c r="G1895" s="8"/>
      <c r="H1895" s="8"/>
      <c r="I1895" s="9" t="s">
        <v>12</v>
      </c>
      <c r="J1895" s="9" t="s">
        <v>12</v>
      </c>
      <c r="K1895" s="9" t="s">
        <v>130</v>
      </c>
      <c r="L1895" s="9" t="s">
        <v>209</v>
      </c>
      <c r="M1895" s="14" t="s">
        <v>84</v>
      </c>
      <c r="N1895" s="9" t="s">
        <v>436</v>
      </c>
      <c r="O1895" s="9" t="s">
        <v>837</v>
      </c>
      <c r="P1895" s="9" t="s">
        <v>853</v>
      </c>
      <c r="Q1895" s="11"/>
      <c r="R1895" s="11"/>
      <c r="S1895" s="11">
        <v>0</v>
      </c>
      <c r="T1895" s="9"/>
      <c r="U1895" s="14" t="s">
        <v>77</v>
      </c>
      <c r="V1895" s="9"/>
      <c r="W1895" s="12"/>
      <c r="X1895" s="13"/>
      <c r="Y1895" s="13"/>
      <c r="Z1895" s="13"/>
      <c r="AA1895" s="13"/>
      <c r="AB1895" s="13"/>
      <c r="AC1895" s="13"/>
      <c r="AD1895" s="13"/>
      <c r="AE1895" s="13">
        <v>0</v>
      </c>
      <c r="AF1895" s="13"/>
      <c r="AG1895" s="13"/>
      <c r="AH1895" s="13"/>
      <c r="AI1895" s="13"/>
      <c r="AJ1895" s="13">
        <f t="shared" si="211"/>
        <v>0</v>
      </c>
      <c r="AK1895" s="12"/>
      <c r="AL1895" s="13"/>
      <c r="AM1895" s="9"/>
      <c r="AN1895" s="9"/>
      <c r="AO1895" s="9"/>
      <c r="AP1895" s="14"/>
    </row>
    <row r="1896" spans="1:42" s="45" customFormat="1" ht="22" customHeight="1">
      <c r="A1896" s="14" t="s">
        <v>17</v>
      </c>
      <c r="B1896" s="8">
        <v>2024</v>
      </c>
      <c r="C1896" s="8" t="s">
        <v>24</v>
      </c>
      <c r="D1896" s="9" t="s">
        <v>185</v>
      </c>
      <c r="E1896" s="9" t="s">
        <v>115</v>
      </c>
      <c r="F1896" s="9" t="s">
        <v>434</v>
      </c>
      <c r="G1896" s="8"/>
      <c r="H1896" s="8"/>
      <c r="I1896" s="9" t="s">
        <v>12</v>
      </c>
      <c r="J1896" s="9" t="s">
        <v>12</v>
      </c>
      <c r="K1896" s="9" t="s">
        <v>130</v>
      </c>
      <c r="L1896" s="9" t="s">
        <v>209</v>
      </c>
      <c r="M1896" s="14" t="s">
        <v>84</v>
      </c>
      <c r="N1896" s="9" t="s">
        <v>436</v>
      </c>
      <c r="O1896" s="9" t="s">
        <v>837</v>
      </c>
      <c r="P1896" s="9" t="s">
        <v>837</v>
      </c>
      <c r="Q1896" s="11"/>
      <c r="R1896" s="11"/>
      <c r="S1896" s="11">
        <v>0</v>
      </c>
      <c r="T1896" s="9"/>
      <c r="U1896" s="14" t="s">
        <v>77</v>
      </c>
      <c r="V1896" s="9"/>
      <c r="W1896" s="12"/>
      <c r="X1896" s="13"/>
      <c r="Y1896" s="13"/>
      <c r="Z1896" s="13"/>
      <c r="AA1896" s="13"/>
      <c r="AB1896" s="13"/>
      <c r="AC1896" s="13"/>
      <c r="AD1896" s="13"/>
      <c r="AE1896" s="13">
        <v>0</v>
      </c>
      <c r="AF1896" s="13"/>
      <c r="AG1896" s="13"/>
      <c r="AH1896" s="13"/>
      <c r="AI1896" s="13"/>
      <c r="AJ1896" s="13">
        <f t="shared" si="211"/>
        <v>0</v>
      </c>
      <c r="AK1896" s="12"/>
      <c r="AL1896" s="13"/>
      <c r="AM1896" s="9"/>
      <c r="AN1896" s="9"/>
      <c r="AO1896" s="9"/>
      <c r="AP1896" s="14"/>
    </row>
    <row r="1897" spans="1:42" s="45" customFormat="1" ht="22" customHeight="1">
      <c r="A1897" s="14" t="s">
        <v>17</v>
      </c>
      <c r="B1897" s="8">
        <v>2024</v>
      </c>
      <c r="C1897" s="8" t="s">
        <v>24</v>
      </c>
      <c r="D1897" s="9" t="s">
        <v>185</v>
      </c>
      <c r="E1897" s="9" t="s">
        <v>115</v>
      </c>
      <c r="F1897" s="9" t="s">
        <v>434</v>
      </c>
      <c r="G1897" s="8"/>
      <c r="H1897" s="8"/>
      <c r="I1897" s="9" t="s">
        <v>12</v>
      </c>
      <c r="J1897" s="9" t="s">
        <v>12</v>
      </c>
      <c r="K1897" s="9" t="s">
        <v>130</v>
      </c>
      <c r="L1897" s="9" t="s">
        <v>209</v>
      </c>
      <c r="M1897" s="14" t="s">
        <v>84</v>
      </c>
      <c r="N1897" s="9" t="s">
        <v>436</v>
      </c>
      <c r="O1897" s="9" t="s">
        <v>837</v>
      </c>
      <c r="P1897" s="9" t="s">
        <v>854</v>
      </c>
      <c r="Q1897" s="11"/>
      <c r="R1897" s="11"/>
      <c r="S1897" s="11">
        <v>0</v>
      </c>
      <c r="T1897" s="9"/>
      <c r="U1897" s="14" t="s">
        <v>77</v>
      </c>
      <c r="V1897" s="9"/>
      <c r="W1897" s="12"/>
      <c r="X1897" s="13"/>
      <c r="Y1897" s="13"/>
      <c r="Z1897" s="13"/>
      <c r="AA1897" s="13"/>
      <c r="AB1897" s="13"/>
      <c r="AC1897" s="13"/>
      <c r="AD1897" s="13"/>
      <c r="AE1897" s="13">
        <v>0</v>
      </c>
      <c r="AF1897" s="13"/>
      <c r="AG1897" s="13"/>
      <c r="AH1897" s="13"/>
      <c r="AI1897" s="13"/>
      <c r="AJ1897" s="13">
        <f t="shared" si="211"/>
        <v>0</v>
      </c>
      <c r="AK1897" s="12"/>
      <c r="AL1897" s="13"/>
      <c r="AM1897" s="9"/>
      <c r="AN1897" s="9"/>
      <c r="AO1897" s="9"/>
      <c r="AP1897" s="14"/>
    </row>
    <row r="1898" spans="1:42" s="45" customFormat="1" ht="22" customHeight="1">
      <c r="A1898" s="14" t="s">
        <v>17</v>
      </c>
      <c r="B1898" s="8">
        <v>2024</v>
      </c>
      <c r="C1898" s="8" t="s">
        <v>24</v>
      </c>
      <c r="D1898" s="9" t="s">
        <v>185</v>
      </c>
      <c r="E1898" s="9" t="s">
        <v>115</v>
      </c>
      <c r="F1898" s="9" t="s">
        <v>434</v>
      </c>
      <c r="G1898" s="8"/>
      <c r="H1898" s="8"/>
      <c r="I1898" s="9" t="s">
        <v>12</v>
      </c>
      <c r="J1898" s="9" t="s">
        <v>12</v>
      </c>
      <c r="K1898" s="9" t="s">
        <v>130</v>
      </c>
      <c r="L1898" s="9" t="s">
        <v>209</v>
      </c>
      <c r="M1898" s="14" t="s">
        <v>84</v>
      </c>
      <c r="N1898" s="9" t="s">
        <v>436</v>
      </c>
      <c r="O1898" s="9" t="s">
        <v>837</v>
      </c>
      <c r="P1898" s="9" t="s">
        <v>855</v>
      </c>
      <c r="Q1898" s="11"/>
      <c r="R1898" s="11"/>
      <c r="S1898" s="11">
        <v>0</v>
      </c>
      <c r="T1898" s="9"/>
      <c r="U1898" s="14" t="s">
        <v>77</v>
      </c>
      <c r="V1898" s="9"/>
      <c r="W1898" s="12"/>
      <c r="X1898" s="13"/>
      <c r="Y1898" s="13"/>
      <c r="Z1898" s="13"/>
      <c r="AA1898" s="13"/>
      <c r="AB1898" s="13"/>
      <c r="AC1898" s="13"/>
      <c r="AD1898" s="13"/>
      <c r="AE1898" s="13">
        <v>0</v>
      </c>
      <c r="AF1898" s="13"/>
      <c r="AG1898" s="13"/>
      <c r="AH1898" s="13"/>
      <c r="AI1898" s="13"/>
      <c r="AJ1898" s="13">
        <f t="shared" si="211"/>
        <v>0</v>
      </c>
      <c r="AK1898" s="12"/>
      <c r="AL1898" s="13"/>
      <c r="AM1898" s="9"/>
      <c r="AN1898" s="9"/>
      <c r="AO1898" s="9"/>
      <c r="AP1898" s="14"/>
    </row>
    <row r="1899" spans="1:42" s="45" customFormat="1" ht="22" customHeight="1">
      <c r="A1899" s="14" t="s">
        <v>17</v>
      </c>
      <c r="B1899" s="8">
        <v>2024</v>
      </c>
      <c r="C1899" s="8" t="s">
        <v>24</v>
      </c>
      <c r="D1899" s="9" t="s">
        <v>185</v>
      </c>
      <c r="E1899" s="9" t="s">
        <v>115</v>
      </c>
      <c r="F1899" s="9" t="s">
        <v>434</v>
      </c>
      <c r="G1899" s="8"/>
      <c r="H1899" s="8"/>
      <c r="I1899" s="9" t="s">
        <v>12</v>
      </c>
      <c r="J1899" s="9" t="s">
        <v>12</v>
      </c>
      <c r="K1899" s="9" t="s">
        <v>130</v>
      </c>
      <c r="L1899" s="9" t="s">
        <v>209</v>
      </c>
      <c r="M1899" s="14" t="s">
        <v>84</v>
      </c>
      <c r="N1899" s="9" t="s">
        <v>436</v>
      </c>
      <c r="O1899" s="9" t="s">
        <v>837</v>
      </c>
      <c r="P1899" s="9" t="s">
        <v>856</v>
      </c>
      <c r="Q1899" s="11"/>
      <c r="R1899" s="11"/>
      <c r="S1899" s="11">
        <v>0</v>
      </c>
      <c r="T1899" s="9"/>
      <c r="U1899" s="14" t="s">
        <v>77</v>
      </c>
      <c r="V1899" s="9"/>
      <c r="W1899" s="12"/>
      <c r="X1899" s="13"/>
      <c r="Y1899" s="13"/>
      <c r="Z1899" s="13"/>
      <c r="AA1899" s="13"/>
      <c r="AB1899" s="13"/>
      <c r="AC1899" s="13"/>
      <c r="AD1899" s="13"/>
      <c r="AE1899" s="13">
        <v>0</v>
      </c>
      <c r="AF1899" s="13"/>
      <c r="AG1899" s="13"/>
      <c r="AH1899" s="13"/>
      <c r="AI1899" s="13"/>
      <c r="AJ1899" s="13">
        <f t="shared" si="211"/>
        <v>0</v>
      </c>
      <c r="AK1899" s="12"/>
      <c r="AL1899" s="13"/>
      <c r="AM1899" s="9"/>
      <c r="AN1899" s="9"/>
      <c r="AO1899" s="9"/>
      <c r="AP1899" s="14"/>
    </row>
    <row r="1900" spans="1:42" s="45" customFormat="1" ht="22" customHeight="1">
      <c r="A1900" s="14" t="s">
        <v>17</v>
      </c>
      <c r="B1900" s="8">
        <v>2024</v>
      </c>
      <c r="C1900" s="8" t="s">
        <v>24</v>
      </c>
      <c r="D1900" s="9" t="s">
        <v>185</v>
      </c>
      <c r="E1900" s="9" t="s">
        <v>115</v>
      </c>
      <c r="F1900" s="9" t="s">
        <v>434</v>
      </c>
      <c r="G1900" s="8"/>
      <c r="H1900" s="8"/>
      <c r="I1900" s="9" t="s">
        <v>12</v>
      </c>
      <c r="J1900" s="9" t="s">
        <v>12</v>
      </c>
      <c r="K1900" s="9" t="s">
        <v>130</v>
      </c>
      <c r="L1900" s="9" t="s">
        <v>209</v>
      </c>
      <c r="M1900" s="14" t="s">
        <v>84</v>
      </c>
      <c r="N1900" s="9" t="s">
        <v>436</v>
      </c>
      <c r="O1900" s="9" t="s">
        <v>837</v>
      </c>
      <c r="P1900" s="9" t="s">
        <v>857</v>
      </c>
      <c r="Q1900" s="11"/>
      <c r="R1900" s="11"/>
      <c r="S1900" s="11">
        <v>0</v>
      </c>
      <c r="T1900" s="9"/>
      <c r="U1900" s="14" t="s">
        <v>77</v>
      </c>
      <c r="V1900" s="9"/>
      <c r="W1900" s="12"/>
      <c r="X1900" s="13"/>
      <c r="Y1900" s="13"/>
      <c r="Z1900" s="13"/>
      <c r="AA1900" s="13"/>
      <c r="AB1900" s="13"/>
      <c r="AC1900" s="13"/>
      <c r="AD1900" s="13"/>
      <c r="AE1900" s="13">
        <v>0</v>
      </c>
      <c r="AF1900" s="13"/>
      <c r="AG1900" s="13"/>
      <c r="AH1900" s="13"/>
      <c r="AI1900" s="13"/>
      <c r="AJ1900" s="13">
        <f t="shared" si="211"/>
        <v>0</v>
      </c>
      <c r="AK1900" s="12"/>
      <c r="AL1900" s="13"/>
      <c r="AM1900" s="9"/>
      <c r="AN1900" s="9"/>
      <c r="AO1900" s="9"/>
      <c r="AP1900" s="14"/>
    </row>
    <row r="1901" spans="1:42" s="45" customFormat="1" ht="22" customHeight="1">
      <c r="A1901" s="14" t="s">
        <v>17</v>
      </c>
      <c r="B1901" s="8">
        <v>2024</v>
      </c>
      <c r="C1901" s="8" t="s">
        <v>24</v>
      </c>
      <c r="D1901" s="9" t="s">
        <v>185</v>
      </c>
      <c r="E1901" s="9" t="s">
        <v>115</v>
      </c>
      <c r="F1901" s="9" t="s">
        <v>434</v>
      </c>
      <c r="G1901" s="8"/>
      <c r="H1901" s="8"/>
      <c r="I1901" s="9" t="s">
        <v>12</v>
      </c>
      <c r="J1901" s="9" t="s">
        <v>12</v>
      </c>
      <c r="K1901" s="9" t="s">
        <v>130</v>
      </c>
      <c r="L1901" s="9" t="s">
        <v>209</v>
      </c>
      <c r="M1901" s="14" t="s">
        <v>84</v>
      </c>
      <c r="N1901" s="9" t="s">
        <v>436</v>
      </c>
      <c r="O1901" s="9" t="s">
        <v>837</v>
      </c>
      <c r="P1901" s="9" t="s">
        <v>858</v>
      </c>
      <c r="Q1901" s="11"/>
      <c r="R1901" s="11"/>
      <c r="S1901" s="11">
        <v>0</v>
      </c>
      <c r="T1901" s="9"/>
      <c r="U1901" s="14" t="s">
        <v>77</v>
      </c>
      <c r="V1901" s="9"/>
      <c r="W1901" s="12"/>
      <c r="X1901" s="13"/>
      <c r="Y1901" s="13"/>
      <c r="Z1901" s="13"/>
      <c r="AA1901" s="13"/>
      <c r="AB1901" s="13"/>
      <c r="AC1901" s="13"/>
      <c r="AD1901" s="13"/>
      <c r="AE1901" s="13">
        <v>0</v>
      </c>
      <c r="AF1901" s="13"/>
      <c r="AG1901" s="13"/>
      <c r="AH1901" s="13"/>
      <c r="AI1901" s="13"/>
      <c r="AJ1901" s="13">
        <f t="shared" si="211"/>
        <v>0</v>
      </c>
      <c r="AK1901" s="12"/>
      <c r="AL1901" s="13"/>
      <c r="AM1901" s="9"/>
      <c r="AN1901" s="9"/>
      <c r="AO1901" s="9"/>
      <c r="AP1901" s="14"/>
    </row>
    <row r="1902" spans="1:42" s="45" customFormat="1" ht="22" customHeight="1">
      <c r="A1902" s="14" t="s">
        <v>17</v>
      </c>
      <c r="B1902" s="8">
        <v>2024</v>
      </c>
      <c r="C1902" s="8" t="s">
        <v>24</v>
      </c>
      <c r="D1902" s="9" t="s">
        <v>185</v>
      </c>
      <c r="E1902" s="9" t="s">
        <v>115</v>
      </c>
      <c r="F1902" s="9" t="s">
        <v>434</v>
      </c>
      <c r="G1902" s="8"/>
      <c r="H1902" s="8"/>
      <c r="I1902" s="9" t="s">
        <v>12</v>
      </c>
      <c r="J1902" s="9" t="s">
        <v>12</v>
      </c>
      <c r="K1902" s="9" t="s">
        <v>130</v>
      </c>
      <c r="L1902" s="9" t="s">
        <v>209</v>
      </c>
      <c r="M1902" s="14" t="s">
        <v>84</v>
      </c>
      <c r="N1902" s="9" t="s">
        <v>436</v>
      </c>
      <c r="O1902" s="9" t="s">
        <v>837</v>
      </c>
      <c r="P1902" s="9" t="s">
        <v>859</v>
      </c>
      <c r="Q1902" s="11"/>
      <c r="R1902" s="11"/>
      <c r="S1902" s="11">
        <v>0</v>
      </c>
      <c r="T1902" s="9"/>
      <c r="U1902" s="14" t="s">
        <v>77</v>
      </c>
      <c r="V1902" s="9"/>
      <c r="W1902" s="12"/>
      <c r="X1902" s="13"/>
      <c r="Y1902" s="13"/>
      <c r="Z1902" s="13"/>
      <c r="AA1902" s="13"/>
      <c r="AB1902" s="13"/>
      <c r="AC1902" s="13"/>
      <c r="AD1902" s="13"/>
      <c r="AE1902" s="13">
        <v>0</v>
      </c>
      <c r="AF1902" s="13"/>
      <c r="AG1902" s="13"/>
      <c r="AH1902" s="13"/>
      <c r="AI1902" s="13"/>
      <c r="AJ1902" s="13">
        <f t="shared" ref="AJ1902:AJ1965" si="214">SUBTOTAL(9,X1902:AI1902)</f>
        <v>0</v>
      </c>
      <c r="AK1902" s="12"/>
      <c r="AL1902" s="13"/>
      <c r="AM1902" s="9"/>
      <c r="AN1902" s="9"/>
      <c r="AO1902" s="9"/>
      <c r="AP1902" s="14"/>
    </row>
    <row r="1903" spans="1:42" s="45" customFormat="1" ht="22" customHeight="1">
      <c r="A1903" s="14" t="s">
        <v>17</v>
      </c>
      <c r="B1903" s="8">
        <v>2024</v>
      </c>
      <c r="C1903" s="8" t="s">
        <v>24</v>
      </c>
      <c r="D1903" s="9" t="s">
        <v>185</v>
      </c>
      <c r="E1903" s="9" t="s">
        <v>115</v>
      </c>
      <c r="F1903" s="9" t="s">
        <v>434</v>
      </c>
      <c r="G1903" s="8"/>
      <c r="H1903" s="8"/>
      <c r="I1903" s="9" t="s">
        <v>11</v>
      </c>
      <c r="J1903" s="9" t="s">
        <v>11</v>
      </c>
      <c r="K1903" s="9" t="s">
        <v>82</v>
      </c>
      <c r="L1903" s="9" t="s">
        <v>171</v>
      </c>
      <c r="M1903" s="9" t="s">
        <v>860</v>
      </c>
      <c r="N1903" s="9" t="s">
        <v>861</v>
      </c>
      <c r="O1903" s="9" t="s">
        <v>860</v>
      </c>
      <c r="P1903" s="9" t="s">
        <v>862</v>
      </c>
      <c r="Q1903" s="11"/>
      <c r="R1903" s="11"/>
      <c r="S1903" s="11">
        <v>44</v>
      </c>
      <c r="T1903" s="9"/>
      <c r="U1903" s="14" t="s">
        <v>77</v>
      </c>
      <c r="V1903" s="9"/>
      <c r="W1903" s="12">
        <v>30</v>
      </c>
      <c r="X1903" s="13"/>
      <c r="Y1903" s="13"/>
      <c r="Z1903" s="13"/>
      <c r="AA1903" s="13"/>
      <c r="AB1903" s="13"/>
      <c r="AC1903" s="13"/>
      <c r="AD1903" s="13"/>
      <c r="AE1903" s="13">
        <f>S1903*W1903*100/1000000</f>
        <v>0.13200000000000001</v>
      </c>
      <c r="AF1903" s="13"/>
      <c r="AG1903" s="13"/>
      <c r="AH1903" s="13"/>
      <c r="AI1903" s="13"/>
      <c r="AJ1903" s="13">
        <f t="shared" si="214"/>
        <v>0.13200000000000001</v>
      </c>
      <c r="AK1903" s="12"/>
      <c r="AL1903" s="13"/>
      <c r="AM1903" s="9"/>
      <c r="AN1903" s="9"/>
      <c r="AO1903" s="9"/>
      <c r="AP1903" s="14"/>
    </row>
    <row r="1904" spans="1:42" s="45" customFormat="1" ht="22" customHeight="1">
      <c r="A1904" s="14" t="s">
        <v>17</v>
      </c>
      <c r="B1904" s="8">
        <v>2024</v>
      </c>
      <c r="C1904" s="8" t="s">
        <v>24</v>
      </c>
      <c r="D1904" s="9" t="s">
        <v>185</v>
      </c>
      <c r="E1904" s="9" t="s">
        <v>115</v>
      </c>
      <c r="F1904" s="9" t="s">
        <v>434</v>
      </c>
      <c r="G1904" s="8"/>
      <c r="H1904" s="8"/>
      <c r="I1904" s="9" t="s">
        <v>11</v>
      </c>
      <c r="J1904" s="9" t="s">
        <v>11</v>
      </c>
      <c r="K1904" s="9" t="s">
        <v>82</v>
      </c>
      <c r="L1904" s="9" t="s">
        <v>171</v>
      </c>
      <c r="M1904" s="9" t="s">
        <v>860</v>
      </c>
      <c r="N1904" s="9" t="s">
        <v>861</v>
      </c>
      <c r="O1904" s="9" t="s">
        <v>860</v>
      </c>
      <c r="P1904" s="9" t="s">
        <v>863</v>
      </c>
      <c r="Q1904" s="11"/>
      <c r="R1904" s="11"/>
      <c r="S1904" s="11">
        <v>54</v>
      </c>
      <c r="T1904" s="9"/>
      <c r="U1904" s="14" t="s">
        <v>77</v>
      </c>
      <c r="V1904" s="9"/>
      <c r="W1904" s="12">
        <v>30</v>
      </c>
      <c r="X1904" s="13"/>
      <c r="Y1904" s="13"/>
      <c r="Z1904" s="13"/>
      <c r="AA1904" s="13"/>
      <c r="AB1904" s="13"/>
      <c r="AC1904" s="13"/>
      <c r="AD1904" s="13"/>
      <c r="AE1904" s="13">
        <f t="shared" ref="AE1904:AE1967" si="215">S1904*W1904*100/1000000</f>
        <v>0.16200000000000001</v>
      </c>
      <c r="AF1904" s="13"/>
      <c r="AG1904" s="13"/>
      <c r="AH1904" s="13"/>
      <c r="AI1904" s="13"/>
      <c r="AJ1904" s="13">
        <f t="shared" si="214"/>
        <v>0.16200000000000001</v>
      </c>
      <c r="AK1904" s="12"/>
      <c r="AL1904" s="13"/>
      <c r="AM1904" s="9"/>
      <c r="AN1904" s="9"/>
      <c r="AO1904" s="9"/>
      <c r="AP1904" s="14"/>
    </row>
    <row r="1905" spans="1:42" s="45" customFormat="1" ht="22" customHeight="1">
      <c r="A1905" s="14" t="s">
        <v>17</v>
      </c>
      <c r="B1905" s="8">
        <v>2024</v>
      </c>
      <c r="C1905" s="8" t="s">
        <v>24</v>
      </c>
      <c r="D1905" s="9" t="s">
        <v>185</v>
      </c>
      <c r="E1905" s="9" t="s">
        <v>115</v>
      </c>
      <c r="F1905" s="9" t="s">
        <v>434</v>
      </c>
      <c r="G1905" s="8"/>
      <c r="H1905" s="8"/>
      <c r="I1905" s="9" t="s">
        <v>11</v>
      </c>
      <c r="J1905" s="9" t="s">
        <v>11</v>
      </c>
      <c r="K1905" s="9" t="s">
        <v>82</v>
      </c>
      <c r="L1905" s="9" t="s">
        <v>171</v>
      </c>
      <c r="M1905" s="9" t="s">
        <v>860</v>
      </c>
      <c r="N1905" s="9" t="s">
        <v>861</v>
      </c>
      <c r="O1905" s="9" t="s">
        <v>860</v>
      </c>
      <c r="P1905" s="9" t="s">
        <v>864</v>
      </c>
      <c r="Q1905" s="11"/>
      <c r="R1905" s="11"/>
      <c r="S1905" s="11">
        <v>77</v>
      </c>
      <c r="T1905" s="9"/>
      <c r="U1905" s="14" t="s">
        <v>77</v>
      </c>
      <c r="V1905" s="9"/>
      <c r="W1905" s="12">
        <v>30</v>
      </c>
      <c r="X1905" s="13"/>
      <c r="Y1905" s="13"/>
      <c r="Z1905" s="13"/>
      <c r="AA1905" s="13"/>
      <c r="AB1905" s="13"/>
      <c r="AC1905" s="13"/>
      <c r="AD1905" s="13"/>
      <c r="AE1905" s="13">
        <f t="shared" si="215"/>
        <v>0.23100000000000001</v>
      </c>
      <c r="AF1905" s="13"/>
      <c r="AG1905" s="13"/>
      <c r="AH1905" s="13"/>
      <c r="AI1905" s="13"/>
      <c r="AJ1905" s="13">
        <f t="shared" si="214"/>
        <v>0.23100000000000001</v>
      </c>
      <c r="AK1905" s="12"/>
      <c r="AL1905" s="13"/>
      <c r="AM1905" s="9"/>
      <c r="AN1905" s="9"/>
      <c r="AO1905" s="9"/>
      <c r="AP1905" s="14"/>
    </row>
    <row r="1906" spans="1:42" s="45" customFormat="1" ht="22" customHeight="1">
      <c r="A1906" s="14" t="s">
        <v>17</v>
      </c>
      <c r="B1906" s="8">
        <v>2024</v>
      </c>
      <c r="C1906" s="8" t="s">
        <v>24</v>
      </c>
      <c r="D1906" s="9" t="s">
        <v>185</v>
      </c>
      <c r="E1906" s="9" t="s">
        <v>115</v>
      </c>
      <c r="F1906" s="9" t="s">
        <v>434</v>
      </c>
      <c r="G1906" s="8"/>
      <c r="H1906" s="8"/>
      <c r="I1906" s="9" t="s">
        <v>11</v>
      </c>
      <c r="J1906" s="9" t="s">
        <v>11</v>
      </c>
      <c r="K1906" s="9" t="s">
        <v>82</v>
      </c>
      <c r="L1906" s="9" t="s">
        <v>171</v>
      </c>
      <c r="M1906" s="9" t="s">
        <v>860</v>
      </c>
      <c r="N1906" s="9" t="s">
        <v>861</v>
      </c>
      <c r="O1906" s="9" t="s">
        <v>860</v>
      </c>
      <c r="P1906" s="9" t="s">
        <v>865</v>
      </c>
      <c r="Q1906" s="11"/>
      <c r="R1906" s="11"/>
      <c r="S1906" s="11">
        <v>43</v>
      </c>
      <c r="T1906" s="9"/>
      <c r="U1906" s="14" t="s">
        <v>77</v>
      </c>
      <c r="V1906" s="9"/>
      <c r="W1906" s="12">
        <v>30</v>
      </c>
      <c r="X1906" s="13"/>
      <c r="Y1906" s="13"/>
      <c r="Z1906" s="13"/>
      <c r="AA1906" s="13"/>
      <c r="AB1906" s="13"/>
      <c r="AC1906" s="13"/>
      <c r="AD1906" s="13"/>
      <c r="AE1906" s="13">
        <f t="shared" si="215"/>
        <v>0.129</v>
      </c>
      <c r="AF1906" s="13"/>
      <c r="AG1906" s="13"/>
      <c r="AH1906" s="13"/>
      <c r="AI1906" s="13"/>
      <c r="AJ1906" s="13">
        <f t="shared" si="214"/>
        <v>0.129</v>
      </c>
      <c r="AK1906" s="12"/>
      <c r="AL1906" s="13"/>
      <c r="AM1906" s="9"/>
      <c r="AN1906" s="9"/>
      <c r="AO1906" s="9"/>
      <c r="AP1906" s="14"/>
    </row>
    <row r="1907" spans="1:42" s="45" customFormat="1" ht="22" customHeight="1">
      <c r="A1907" s="14" t="s">
        <v>17</v>
      </c>
      <c r="B1907" s="8">
        <v>2024</v>
      </c>
      <c r="C1907" s="8" t="s">
        <v>24</v>
      </c>
      <c r="D1907" s="9" t="s">
        <v>185</v>
      </c>
      <c r="E1907" s="9" t="s">
        <v>115</v>
      </c>
      <c r="F1907" s="9" t="s">
        <v>434</v>
      </c>
      <c r="G1907" s="8"/>
      <c r="H1907" s="8"/>
      <c r="I1907" s="9" t="s">
        <v>11</v>
      </c>
      <c r="J1907" s="9" t="s">
        <v>11</v>
      </c>
      <c r="K1907" s="9" t="s">
        <v>82</v>
      </c>
      <c r="L1907" s="9" t="s">
        <v>171</v>
      </c>
      <c r="M1907" s="9" t="s">
        <v>860</v>
      </c>
      <c r="N1907" s="9" t="s">
        <v>861</v>
      </c>
      <c r="O1907" s="9" t="s">
        <v>860</v>
      </c>
      <c r="P1907" s="9" t="s">
        <v>866</v>
      </c>
      <c r="Q1907" s="11"/>
      <c r="R1907" s="11"/>
      <c r="S1907" s="11">
        <v>13</v>
      </c>
      <c r="T1907" s="9"/>
      <c r="U1907" s="14" t="s">
        <v>77</v>
      </c>
      <c r="V1907" s="9"/>
      <c r="W1907" s="12">
        <v>30</v>
      </c>
      <c r="X1907" s="13"/>
      <c r="Y1907" s="13"/>
      <c r="Z1907" s="13"/>
      <c r="AA1907" s="13"/>
      <c r="AB1907" s="13"/>
      <c r="AC1907" s="13"/>
      <c r="AD1907" s="13"/>
      <c r="AE1907" s="13">
        <f t="shared" si="215"/>
        <v>3.9E-2</v>
      </c>
      <c r="AF1907" s="13"/>
      <c r="AG1907" s="13"/>
      <c r="AH1907" s="13"/>
      <c r="AI1907" s="13"/>
      <c r="AJ1907" s="13">
        <f t="shared" si="214"/>
        <v>3.9E-2</v>
      </c>
      <c r="AK1907" s="12"/>
      <c r="AL1907" s="13"/>
      <c r="AM1907" s="9"/>
      <c r="AN1907" s="9"/>
      <c r="AO1907" s="9"/>
      <c r="AP1907" s="14"/>
    </row>
    <row r="1908" spans="1:42" s="45" customFormat="1" ht="22" customHeight="1">
      <c r="A1908" s="14" t="s">
        <v>17</v>
      </c>
      <c r="B1908" s="8">
        <v>2024</v>
      </c>
      <c r="C1908" s="8" t="s">
        <v>24</v>
      </c>
      <c r="D1908" s="9" t="s">
        <v>185</v>
      </c>
      <c r="E1908" s="9" t="s">
        <v>115</v>
      </c>
      <c r="F1908" s="9" t="s">
        <v>434</v>
      </c>
      <c r="G1908" s="8"/>
      <c r="H1908" s="8"/>
      <c r="I1908" s="9" t="s">
        <v>11</v>
      </c>
      <c r="J1908" s="9" t="s">
        <v>11</v>
      </c>
      <c r="K1908" s="9" t="s">
        <v>82</v>
      </c>
      <c r="L1908" s="9" t="s">
        <v>171</v>
      </c>
      <c r="M1908" s="9" t="s">
        <v>860</v>
      </c>
      <c r="N1908" s="9" t="s">
        <v>861</v>
      </c>
      <c r="O1908" s="9" t="s">
        <v>860</v>
      </c>
      <c r="P1908" s="9" t="s">
        <v>867</v>
      </c>
      <c r="Q1908" s="11"/>
      <c r="R1908" s="11"/>
      <c r="S1908" s="11">
        <v>20</v>
      </c>
      <c r="T1908" s="9"/>
      <c r="U1908" s="14" t="s">
        <v>77</v>
      </c>
      <c r="V1908" s="9"/>
      <c r="W1908" s="12">
        <v>30</v>
      </c>
      <c r="X1908" s="13"/>
      <c r="Y1908" s="13"/>
      <c r="Z1908" s="13"/>
      <c r="AA1908" s="13"/>
      <c r="AB1908" s="13"/>
      <c r="AC1908" s="13"/>
      <c r="AD1908" s="13"/>
      <c r="AE1908" s="13">
        <f t="shared" si="215"/>
        <v>0.06</v>
      </c>
      <c r="AF1908" s="13"/>
      <c r="AG1908" s="13"/>
      <c r="AH1908" s="13"/>
      <c r="AI1908" s="13"/>
      <c r="AJ1908" s="13">
        <f t="shared" si="214"/>
        <v>0.06</v>
      </c>
      <c r="AK1908" s="12"/>
      <c r="AL1908" s="13"/>
      <c r="AM1908" s="9"/>
      <c r="AN1908" s="9"/>
      <c r="AO1908" s="9"/>
      <c r="AP1908" s="14"/>
    </row>
    <row r="1909" spans="1:42" s="45" customFormat="1" ht="22" customHeight="1">
      <c r="A1909" s="14" t="s">
        <v>17</v>
      </c>
      <c r="B1909" s="8">
        <v>2024</v>
      </c>
      <c r="C1909" s="8" t="s">
        <v>24</v>
      </c>
      <c r="D1909" s="9" t="s">
        <v>185</v>
      </c>
      <c r="E1909" s="9" t="s">
        <v>115</v>
      </c>
      <c r="F1909" s="9" t="s">
        <v>434</v>
      </c>
      <c r="G1909" s="8"/>
      <c r="H1909" s="8"/>
      <c r="I1909" s="9" t="s">
        <v>11</v>
      </c>
      <c r="J1909" s="9" t="s">
        <v>11</v>
      </c>
      <c r="K1909" s="9" t="s">
        <v>82</v>
      </c>
      <c r="L1909" s="9" t="s">
        <v>171</v>
      </c>
      <c r="M1909" s="9" t="s">
        <v>860</v>
      </c>
      <c r="N1909" s="9" t="s">
        <v>861</v>
      </c>
      <c r="O1909" s="9" t="s">
        <v>860</v>
      </c>
      <c r="P1909" s="9" t="s">
        <v>868</v>
      </c>
      <c r="Q1909" s="11"/>
      <c r="R1909" s="11"/>
      <c r="S1909" s="11">
        <v>34</v>
      </c>
      <c r="T1909" s="9"/>
      <c r="U1909" s="14" t="s">
        <v>77</v>
      </c>
      <c r="V1909" s="9"/>
      <c r="W1909" s="12">
        <v>30</v>
      </c>
      <c r="X1909" s="13"/>
      <c r="Y1909" s="13"/>
      <c r="Z1909" s="13"/>
      <c r="AA1909" s="13"/>
      <c r="AB1909" s="13"/>
      <c r="AC1909" s="13"/>
      <c r="AD1909" s="13"/>
      <c r="AE1909" s="13">
        <f t="shared" si="215"/>
        <v>0.10199999999999999</v>
      </c>
      <c r="AF1909" s="13"/>
      <c r="AG1909" s="13"/>
      <c r="AH1909" s="13"/>
      <c r="AI1909" s="13"/>
      <c r="AJ1909" s="13">
        <f t="shared" si="214"/>
        <v>0.10199999999999999</v>
      </c>
      <c r="AK1909" s="12"/>
      <c r="AL1909" s="13"/>
      <c r="AM1909" s="9"/>
      <c r="AN1909" s="9"/>
      <c r="AO1909" s="9"/>
      <c r="AP1909" s="14"/>
    </row>
    <row r="1910" spans="1:42" s="45" customFormat="1" ht="22" customHeight="1">
      <c r="A1910" s="14" t="s">
        <v>17</v>
      </c>
      <c r="B1910" s="8">
        <v>2024</v>
      </c>
      <c r="C1910" s="8" t="s">
        <v>24</v>
      </c>
      <c r="D1910" s="9" t="s">
        <v>185</v>
      </c>
      <c r="E1910" s="9" t="s">
        <v>115</v>
      </c>
      <c r="F1910" s="9" t="s">
        <v>434</v>
      </c>
      <c r="G1910" s="8"/>
      <c r="H1910" s="8"/>
      <c r="I1910" s="9" t="s">
        <v>11</v>
      </c>
      <c r="J1910" s="9" t="s">
        <v>11</v>
      </c>
      <c r="K1910" s="9" t="s">
        <v>82</v>
      </c>
      <c r="L1910" s="9" t="s">
        <v>171</v>
      </c>
      <c r="M1910" s="9" t="s">
        <v>860</v>
      </c>
      <c r="N1910" s="9" t="s">
        <v>861</v>
      </c>
      <c r="O1910" s="9" t="s">
        <v>860</v>
      </c>
      <c r="P1910" s="9" t="s">
        <v>869</v>
      </c>
      <c r="Q1910" s="11"/>
      <c r="R1910" s="11"/>
      <c r="S1910" s="11">
        <v>37</v>
      </c>
      <c r="T1910" s="9"/>
      <c r="U1910" s="14" t="s">
        <v>77</v>
      </c>
      <c r="V1910" s="9"/>
      <c r="W1910" s="12">
        <v>30</v>
      </c>
      <c r="X1910" s="13"/>
      <c r="Y1910" s="13"/>
      <c r="Z1910" s="13"/>
      <c r="AA1910" s="13"/>
      <c r="AB1910" s="13"/>
      <c r="AC1910" s="13"/>
      <c r="AD1910" s="13"/>
      <c r="AE1910" s="13">
        <f t="shared" si="215"/>
        <v>0.111</v>
      </c>
      <c r="AF1910" s="13"/>
      <c r="AG1910" s="13"/>
      <c r="AH1910" s="13"/>
      <c r="AI1910" s="13"/>
      <c r="AJ1910" s="13">
        <f t="shared" si="214"/>
        <v>0.111</v>
      </c>
      <c r="AK1910" s="12"/>
      <c r="AL1910" s="13"/>
      <c r="AM1910" s="9"/>
      <c r="AN1910" s="9"/>
      <c r="AO1910" s="9"/>
      <c r="AP1910" s="14"/>
    </row>
    <row r="1911" spans="1:42" s="45" customFormat="1" ht="22" customHeight="1">
      <c r="A1911" s="14" t="s">
        <v>17</v>
      </c>
      <c r="B1911" s="8">
        <v>2024</v>
      </c>
      <c r="C1911" s="8" t="s">
        <v>24</v>
      </c>
      <c r="D1911" s="9" t="s">
        <v>185</v>
      </c>
      <c r="E1911" s="9" t="s">
        <v>115</v>
      </c>
      <c r="F1911" s="9" t="s">
        <v>434</v>
      </c>
      <c r="G1911" s="8"/>
      <c r="H1911" s="8"/>
      <c r="I1911" s="9" t="s">
        <v>11</v>
      </c>
      <c r="J1911" s="9" t="s">
        <v>11</v>
      </c>
      <c r="K1911" s="9" t="s">
        <v>82</v>
      </c>
      <c r="L1911" s="9" t="s">
        <v>171</v>
      </c>
      <c r="M1911" s="9" t="s">
        <v>860</v>
      </c>
      <c r="N1911" s="9" t="s">
        <v>861</v>
      </c>
      <c r="O1911" s="9" t="s">
        <v>860</v>
      </c>
      <c r="P1911" s="9" t="s">
        <v>870</v>
      </c>
      <c r="Q1911" s="11"/>
      <c r="R1911" s="11"/>
      <c r="S1911" s="11">
        <v>50</v>
      </c>
      <c r="T1911" s="9"/>
      <c r="U1911" s="14" t="s">
        <v>77</v>
      </c>
      <c r="V1911" s="9"/>
      <c r="W1911" s="12">
        <v>30</v>
      </c>
      <c r="X1911" s="13"/>
      <c r="Y1911" s="13"/>
      <c r="Z1911" s="13"/>
      <c r="AA1911" s="13"/>
      <c r="AB1911" s="13"/>
      <c r="AC1911" s="13"/>
      <c r="AD1911" s="13"/>
      <c r="AE1911" s="13">
        <f t="shared" si="215"/>
        <v>0.15</v>
      </c>
      <c r="AF1911" s="13"/>
      <c r="AG1911" s="13"/>
      <c r="AH1911" s="13"/>
      <c r="AI1911" s="13"/>
      <c r="AJ1911" s="13">
        <f t="shared" si="214"/>
        <v>0.15</v>
      </c>
      <c r="AK1911" s="12"/>
      <c r="AL1911" s="13"/>
      <c r="AM1911" s="9"/>
      <c r="AN1911" s="9"/>
      <c r="AO1911" s="9"/>
      <c r="AP1911" s="14"/>
    </row>
    <row r="1912" spans="1:42" s="45" customFormat="1" ht="22" customHeight="1">
      <c r="A1912" s="14" t="s">
        <v>17</v>
      </c>
      <c r="B1912" s="8">
        <v>2024</v>
      </c>
      <c r="C1912" s="8" t="s">
        <v>24</v>
      </c>
      <c r="D1912" s="9" t="s">
        <v>185</v>
      </c>
      <c r="E1912" s="9" t="s">
        <v>115</v>
      </c>
      <c r="F1912" s="9" t="s">
        <v>434</v>
      </c>
      <c r="G1912" s="8"/>
      <c r="H1912" s="8"/>
      <c r="I1912" s="9" t="s">
        <v>11</v>
      </c>
      <c r="J1912" s="9" t="s">
        <v>11</v>
      </c>
      <c r="K1912" s="9" t="s">
        <v>82</v>
      </c>
      <c r="L1912" s="9" t="s">
        <v>171</v>
      </c>
      <c r="M1912" s="9" t="s">
        <v>860</v>
      </c>
      <c r="N1912" s="9" t="s">
        <v>861</v>
      </c>
      <c r="O1912" s="9" t="s">
        <v>860</v>
      </c>
      <c r="P1912" s="9" t="s">
        <v>871</v>
      </c>
      <c r="Q1912" s="11"/>
      <c r="R1912" s="11"/>
      <c r="S1912" s="11">
        <v>40</v>
      </c>
      <c r="T1912" s="9"/>
      <c r="U1912" s="14" t="s">
        <v>77</v>
      </c>
      <c r="V1912" s="9"/>
      <c r="W1912" s="12">
        <v>30</v>
      </c>
      <c r="X1912" s="13"/>
      <c r="Y1912" s="13"/>
      <c r="Z1912" s="13"/>
      <c r="AA1912" s="13"/>
      <c r="AB1912" s="13"/>
      <c r="AC1912" s="13"/>
      <c r="AD1912" s="13"/>
      <c r="AE1912" s="13">
        <f t="shared" si="215"/>
        <v>0.12</v>
      </c>
      <c r="AF1912" s="13"/>
      <c r="AG1912" s="13"/>
      <c r="AH1912" s="13"/>
      <c r="AI1912" s="13"/>
      <c r="AJ1912" s="13">
        <f t="shared" si="214"/>
        <v>0.12</v>
      </c>
      <c r="AK1912" s="12"/>
      <c r="AL1912" s="13"/>
      <c r="AM1912" s="9"/>
      <c r="AN1912" s="9"/>
      <c r="AO1912" s="9"/>
      <c r="AP1912" s="14"/>
    </row>
    <row r="1913" spans="1:42" s="45" customFormat="1" ht="22" customHeight="1">
      <c r="A1913" s="14" t="s">
        <v>17</v>
      </c>
      <c r="B1913" s="8">
        <v>2024</v>
      </c>
      <c r="C1913" s="8" t="s">
        <v>24</v>
      </c>
      <c r="D1913" s="9" t="s">
        <v>185</v>
      </c>
      <c r="E1913" s="9" t="s">
        <v>115</v>
      </c>
      <c r="F1913" s="9" t="s">
        <v>434</v>
      </c>
      <c r="G1913" s="8"/>
      <c r="H1913" s="8"/>
      <c r="I1913" s="9" t="s">
        <v>11</v>
      </c>
      <c r="J1913" s="9" t="s">
        <v>11</v>
      </c>
      <c r="K1913" s="9" t="s">
        <v>82</v>
      </c>
      <c r="L1913" s="9" t="s">
        <v>171</v>
      </c>
      <c r="M1913" s="9" t="s">
        <v>860</v>
      </c>
      <c r="N1913" s="9" t="s">
        <v>861</v>
      </c>
      <c r="O1913" s="9" t="s">
        <v>860</v>
      </c>
      <c r="P1913" s="9" t="s">
        <v>872</v>
      </c>
      <c r="Q1913" s="11"/>
      <c r="R1913" s="11"/>
      <c r="S1913" s="11">
        <v>20</v>
      </c>
      <c r="T1913" s="9"/>
      <c r="U1913" s="14" t="s">
        <v>77</v>
      </c>
      <c r="V1913" s="9"/>
      <c r="W1913" s="12">
        <v>30</v>
      </c>
      <c r="X1913" s="13"/>
      <c r="Y1913" s="13"/>
      <c r="Z1913" s="13"/>
      <c r="AA1913" s="13"/>
      <c r="AB1913" s="13"/>
      <c r="AC1913" s="13"/>
      <c r="AD1913" s="13"/>
      <c r="AE1913" s="13">
        <f t="shared" si="215"/>
        <v>0.06</v>
      </c>
      <c r="AF1913" s="13"/>
      <c r="AG1913" s="13"/>
      <c r="AH1913" s="13"/>
      <c r="AI1913" s="13"/>
      <c r="AJ1913" s="13">
        <f t="shared" si="214"/>
        <v>0.06</v>
      </c>
      <c r="AK1913" s="12"/>
      <c r="AL1913" s="13"/>
      <c r="AM1913" s="9"/>
      <c r="AN1913" s="9"/>
      <c r="AO1913" s="9"/>
      <c r="AP1913" s="14"/>
    </row>
    <row r="1914" spans="1:42" s="45" customFormat="1" ht="22" customHeight="1">
      <c r="A1914" s="14" t="s">
        <v>17</v>
      </c>
      <c r="B1914" s="8">
        <v>2024</v>
      </c>
      <c r="C1914" s="8" t="s">
        <v>24</v>
      </c>
      <c r="D1914" s="9" t="s">
        <v>185</v>
      </c>
      <c r="E1914" s="9" t="s">
        <v>115</v>
      </c>
      <c r="F1914" s="9" t="s">
        <v>434</v>
      </c>
      <c r="G1914" s="8"/>
      <c r="H1914" s="8"/>
      <c r="I1914" s="9" t="s">
        <v>11</v>
      </c>
      <c r="J1914" s="9" t="s">
        <v>11</v>
      </c>
      <c r="K1914" s="9" t="s">
        <v>82</v>
      </c>
      <c r="L1914" s="9" t="s">
        <v>171</v>
      </c>
      <c r="M1914" s="9" t="s">
        <v>860</v>
      </c>
      <c r="N1914" s="9" t="s">
        <v>861</v>
      </c>
      <c r="O1914" s="9" t="s">
        <v>860</v>
      </c>
      <c r="P1914" s="9" t="s">
        <v>873</v>
      </c>
      <c r="Q1914" s="11"/>
      <c r="R1914" s="11"/>
      <c r="S1914" s="11">
        <v>49</v>
      </c>
      <c r="T1914" s="9"/>
      <c r="U1914" s="14" t="s">
        <v>77</v>
      </c>
      <c r="V1914" s="9"/>
      <c r="W1914" s="12">
        <v>30</v>
      </c>
      <c r="X1914" s="13"/>
      <c r="Y1914" s="13"/>
      <c r="Z1914" s="13"/>
      <c r="AA1914" s="13"/>
      <c r="AB1914" s="13"/>
      <c r="AC1914" s="13"/>
      <c r="AD1914" s="13"/>
      <c r="AE1914" s="13">
        <f t="shared" si="215"/>
        <v>0.14699999999999999</v>
      </c>
      <c r="AF1914" s="13"/>
      <c r="AG1914" s="13"/>
      <c r="AH1914" s="13"/>
      <c r="AI1914" s="13"/>
      <c r="AJ1914" s="13">
        <f t="shared" si="214"/>
        <v>0.14699999999999999</v>
      </c>
      <c r="AK1914" s="12"/>
      <c r="AL1914" s="13"/>
      <c r="AM1914" s="9"/>
      <c r="AN1914" s="9"/>
      <c r="AO1914" s="9"/>
      <c r="AP1914" s="14"/>
    </row>
    <row r="1915" spans="1:42" s="45" customFormat="1" ht="22" customHeight="1">
      <c r="A1915" s="14" t="s">
        <v>17</v>
      </c>
      <c r="B1915" s="8">
        <v>2024</v>
      </c>
      <c r="C1915" s="8" t="s">
        <v>24</v>
      </c>
      <c r="D1915" s="9" t="s">
        <v>185</v>
      </c>
      <c r="E1915" s="9" t="s">
        <v>115</v>
      </c>
      <c r="F1915" s="9" t="s">
        <v>434</v>
      </c>
      <c r="G1915" s="8"/>
      <c r="H1915" s="8"/>
      <c r="I1915" s="9" t="s">
        <v>11</v>
      </c>
      <c r="J1915" s="9" t="s">
        <v>11</v>
      </c>
      <c r="K1915" s="9" t="s">
        <v>82</v>
      </c>
      <c r="L1915" s="9" t="s">
        <v>171</v>
      </c>
      <c r="M1915" s="9" t="s">
        <v>860</v>
      </c>
      <c r="N1915" s="9" t="s">
        <v>861</v>
      </c>
      <c r="O1915" s="9" t="s">
        <v>860</v>
      </c>
      <c r="P1915" s="9" t="s">
        <v>874</v>
      </c>
      <c r="Q1915" s="11"/>
      <c r="R1915" s="11"/>
      <c r="S1915" s="11">
        <v>56</v>
      </c>
      <c r="T1915" s="9"/>
      <c r="U1915" s="14" t="s">
        <v>77</v>
      </c>
      <c r="V1915" s="9"/>
      <c r="W1915" s="12">
        <v>30</v>
      </c>
      <c r="X1915" s="13"/>
      <c r="Y1915" s="13"/>
      <c r="Z1915" s="13"/>
      <c r="AA1915" s="13"/>
      <c r="AB1915" s="13"/>
      <c r="AC1915" s="13"/>
      <c r="AD1915" s="13"/>
      <c r="AE1915" s="13">
        <f t="shared" si="215"/>
        <v>0.16800000000000001</v>
      </c>
      <c r="AF1915" s="13"/>
      <c r="AG1915" s="13"/>
      <c r="AH1915" s="13"/>
      <c r="AI1915" s="13"/>
      <c r="AJ1915" s="13">
        <f t="shared" si="214"/>
        <v>0.16800000000000001</v>
      </c>
      <c r="AK1915" s="12"/>
      <c r="AL1915" s="13"/>
      <c r="AM1915" s="9"/>
      <c r="AN1915" s="9"/>
      <c r="AO1915" s="9"/>
      <c r="AP1915" s="14"/>
    </row>
    <row r="1916" spans="1:42" s="45" customFormat="1" ht="22" customHeight="1">
      <c r="A1916" s="14" t="s">
        <v>17</v>
      </c>
      <c r="B1916" s="8">
        <v>2024</v>
      </c>
      <c r="C1916" s="8" t="s">
        <v>24</v>
      </c>
      <c r="D1916" s="9" t="s">
        <v>185</v>
      </c>
      <c r="E1916" s="9" t="s">
        <v>115</v>
      </c>
      <c r="F1916" s="9" t="s">
        <v>434</v>
      </c>
      <c r="G1916" s="8"/>
      <c r="H1916" s="8"/>
      <c r="I1916" s="9" t="s">
        <v>11</v>
      </c>
      <c r="J1916" s="9" t="s">
        <v>11</v>
      </c>
      <c r="K1916" s="9" t="s">
        <v>82</v>
      </c>
      <c r="L1916" s="9" t="s">
        <v>171</v>
      </c>
      <c r="M1916" s="9" t="s">
        <v>860</v>
      </c>
      <c r="N1916" s="9" t="s">
        <v>861</v>
      </c>
      <c r="O1916" s="9" t="s">
        <v>860</v>
      </c>
      <c r="P1916" s="9" t="s">
        <v>875</v>
      </c>
      <c r="Q1916" s="11"/>
      <c r="R1916" s="11"/>
      <c r="S1916" s="11">
        <v>20</v>
      </c>
      <c r="T1916" s="9"/>
      <c r="U1916" s="14" t="s">
        <v>77</v>
      </c>
      <c r="V1916" s="9"/>
      <c r="W1916" s="12">
        <v>30</v>
      </c>
      <c r="X1916" s="13"/>
      <c r="Y1916" s="13"/>
      <c r="Z1916" s="13"/>
      <c r="AA1916" s="13"/>
      <c r="AB1916" s="13"/>
      <c r="AC1916" s="13"/>
      <c r="AD1916" s="13"/>
      <c r="AE1916" s="13">
        <f t="shared" si="215"/>
        <v>0.06</v>
      </c>
      <c r="AF1916" s="13"/>
      <c r="AG1916" s="13"/>
      <c r="AH1916" s="13"/>
      <c r="AI1916" s="13"/>
      <c r="AJ1916" s="13">
        <f t="shared" si="214"/>
        <v>0.06</v>
      </c>
      <c r="AK1916" s="12"/>
      <c r="AL1916" s="13"/>
      <c r="AM1916" s="9"/>
      <c r="AN1916" s="9"/>
      <c r="AO1916" s="9"/>
      <c r="AP1916" s="14"/>
    </row>
    <row r="1917" spans="1:42" s="45" customFormat="1" ht="22" customHeight="1">
      <c r="A1917" s="14" t="s">
        <v>17</v>
      </c>
      <c r="B1917" s="8">
        <v>2024</v>
      </c>
      <c r="C1917" s="8" t="s">
        <v>24</v>
      </c>
      <c r="D1917" s="9" t="s">
        <v>185</v>
      </c>
      <c r="E1917" s="9" t="s">
        <v>115</v>
      </c>
      <c r="F1917" s="9" t="s">
        <v>434</v>
      </c>
      <c r="G1917" s="8"/>
      <c r="H1917" s="8"/>
      <c r="I1917" s="9" t="s">
        <v>11</v>
      </c>
      <c r="J1917" s="9" t="s">
        <v>11</v>
      </c>
      <c r="K1917" s="9" t="s">
        <v>82</v>
      </c>
      <c r="L1917" s="9" t="s">
        <v>171</v>
      </c>
      <c r="M1917" s="9" t="s">
        <v>860</v>
      </c>
      <c r="N1917" s="9" t="s">
        <v>861</v>
      </c>
      <c r="O1917" s="9" t="s">
        <v>860</v>
      </c>
      <c r="P1917" s="9" t="s">
        <v>876</v>
      </c>
      <c r="Q1917" s="11"/>
      <c r="R1917" s="11"/>
      <c r="S1917" s="11">
        <v>40</v>
      </c>
      <c r="T1917" s="9"/>
      <c r="U1917" s="14" t="s">
        <v>77</v>
      </c>
      <c r="V1917" s="9"/>
      <c r="W1917" s="12">
        <v>30</v>
      </c>
      <c r="X1917" s="13"/>
      <c r="Y1917" s="13"/>
      <c r="Z1917" s="13"/>
      <c r="AA1917" s="13"/>
      <c r="AB1917" s="13"/>
      <c r="AC1917" s="13"/>
      <c r="AD1917" s="13"/>
      <c r="AE1917" s="13">
        <f t="shared" si="215"/>
        <v>0.12</v>
      </c>
      <c r="AF1917" s="13"/>
      <c r="AG1917" s="13"/>
      <c r="AH1917" s="13"/>
      <c r="AI1917" s="13"/>
      <c r="AJ1917" s="13">
        <f t="shared" si="214"/>
        <v>0.12</v>
      </c>
      <c r="AK1917" s="12"/>
      <c r="AL1917" s="13"/>
      <c r="AM1917" s="9"/>
      <c r="AN1917" s="9"/>
      <c r="AO1917" s="9"/>
      <c r="AP1917" s="14"/>
    </row>
    <row r="1918" spans="1:42" s="45" customFormat="1" ht="22" customHeight="1">
      <c r="A1918" s="14" t="s">
        <v>17</v>
      </c>
      <c r="B1918" s="8">
        <v>2024</v>
      </c>
      <c r="C1918" s="8" t="s">
        <v>24</v>
      </c>
      <c r="D1918" s="9" t="s">
        <v>185</v>
      </c>
      <c r="E1918" s="9" t="s">
        <v>115</v>
      </c>
      <c r="F1918" s="9" t="s">
        <v>434</v>
      </c>
      <c r="G1918" s="8"/>
      <c r="H1918" s="8"/>
      <c r="I1918" s="9" t="s">
        <v>11</v>
      </c>
      <c r="J1918" s="9" t="s">
        <v>11</v>
      </c>
      <c r="K1918" s="9" t="s">
        <v>82</v>
      </c>
      <c r="L1918" s="9" t="s">
        <v>171</v>
      </c>
      <c r="M1918" s="9" t="s">
        <v>860</v>
      </c>
      <c r="N1918" s="9" t="s">
        <v>861</v>
      </c>
      <c r="O1918" s="9" t="s">
        <v>860</v>
      </c>
      <c r="P1918" s="9" t="s">
        <v>877</v>
      </c>
      <c r="Q1918" s="11"/>
      <c r="R1918" s="11"/>
      <c r="S1918" s="11">
        <v>52</v>
      </c>
      <c r="T1918" s="9"/>
      <c r="U1918" s="14" t="s">
        <v>77</v>
      </c>
      <c r="V1918" s="9"/>
      <c r="W1918" s="12">
        <v>30</v>
      </c>
      <c r="X1918" s="13"/>
      <c r="Y1918" s="13"/>
      <c r="Z1918" s="13"/>
      <c r="AA1918" s="13"/>
      <c r="AB1918" s="13"/>
      <c r="AC1918" s="13"/>
      <c r="AD1918" s="13"/>
      <c r="AE1918" s="13">
        <f t="shared" si="215"/>
        <v>0.156</v>
      </c>
      <c r="AF1918" s="13"/>
      <c r="AG1918" s="13"/>
      <c r="AH1918" s="13"/>
      <c r="AI1918" s="13"/>
      <c r="AJ1918" s="13">
        <f t="shared" si="214"/>
        <v>0.156</v>
      </c>
      <c r="AK1918" s="12"/>
      <c r="AL1918" s="13"/>
      <c r="AM1918" s="9"/>
      <c r="AN1918" s="9"/>
      <c r="AO1918" s="9"/>
      <c r="AP1918" s="14"/>
    </row>
    <row r="1919" spans="1:42" s="45" customFormat="1" ht="22" customHeight="1">
      <c r="A1919" s="14" t="s">
        <v>17</v>
      </c>
      <c r="B1919" s="8">
        <v>2024</v>
      </c>
      <c r="C1919" s="8" t="s">
        <v>24</v>
      </c>
      <c r="D1919" s="9" t="s">
        <v>185</v>
      </c>
      <c r="E1919" s="9" t="s">
        <v>115</v>
      </c>
      <c r="F1919" s="9" t="s">
        <v>434</v>
      </c>
      <c r="G1919" s="8"/>
      <c r="H1919" s="8"/>
      <c r="I1919" s="9" t="s">
        <v>11</v>
      </c>
      <c r="J1919" s="9" t="s">
        <v>11</v>
      </c>
      <c r="K1919" s="9" t="s">
        <v>82</v>
      </c>
      <c r="L1919" s="9" t="s">
        <v>171</v>
      </c>
      <c r="M1919" s="9" t="s">
        <v>860</v>
      </c>
      <c r="N1919" s="9" t="s">
        <v>861</v>
      </c>
      <c r="O1919" s="9" t="s">
        <v>860</v>
      </c>
      <c r="P1919" s="9" t="s">
        <v>878</v>
      </c>
      <c r="Q1919" s="11"/>
      <c r="R1919" s="11"/>
      <c r="S1919" s="11">
        <v>28</v>
      </c>
      <c r="T1919" s="9"/>
      <c r="U1919" s="14" t="s">
        <v>77</v>
      </c>
      <c r="V1919" s="9"/>
      <c r="W1919" s="12">
        <v>30</v>
      </c>
      <c r="X1919" s="13"/>
      <c r="Y1919" s="13"/>
      <c r="Z1919" s="13"/>
      <c r="AA1919" s="13"/>
      <c r="AB1919" s="13"/>
      <c r="AC1919" s="13"/>
      <c r="AD1919" s="13"/>
      <c r="AE1919" s="13">
        <f t="shared" si="215"/>
        <v>8.4000000000000005E-2</v>
      </c>
      <c r="AF1919" s="13"/>
      <c r="AG1919" s="13"/>
      <c r="AH1919" s="13"/>
      <c r="AI1919" s="13"/>
      <c r="AJ1919" s="13">
        <f t="shared" si="214"/>
        <v>8.4000000000000005E-2</v>
      </c>
      <c r="AK1919" s="12"/>
      <c r="AL1919" s="13"/>
      <c r="AM1919" s="9"/>
      <c r="AN1919" s="9"/>
      <c r="AO1919" s="9"/>
      <c r="AP1919" s="14"/>
    </row>
    <row r="1920" spans="1:42" s="45" customFormat="1" ht="22" customHeight="1">
      <c r="A1920" s="14" t="s">
        <v>17</v>
      </c>
      <c r="B1920" s="8">
        <v>2024</v>
      </c>
      <c r="C1920" s="8" t="s">
        <v>24</v>
      </c>
      <c r="D1920" s="9" t="s">
        <v>185</v>
      </c>
      <c r="E1920" s="9" t="s">
        <v>115</v>
      </c>
      <c r="F1920" s="9" t="s">
        <v>434</v>
      </c>
      <c r="G1920" s="8"/>
      <c r="H1920" s="8"/>
      <c r="I1920" s="9" t="s">
        <v>11</v>
      </c>
      <c r="J1920" s="9" t="s">
        <v>11</v>
      </c>
      <c r="K1920" s="9" t="s">
        <v>82</v>
      </c>
      <c r="L1920" s="9" t="s">
        <v>171</v>
      </c>
      <c r="M1920" s="9" t="s">
        <v>860</v>
      </c>
      <c r="N1920" s="9" t="s">
        <v>861</v>
      </c>
      <c r="O1920" s="9" t="s">
        <v>860</v>
      </c>
      <c r="P1920" s="9" t="s">
        <v>879</v>
      </c>
      <c r="Q1920" s="11"/>
      <c r="R1920" s="11"/>
      <c r="S1920" s="11">
        <v>52</v>
      </c>
      <c r="T1920" s="9"/>
      <c r="U1920" s="14" t="s">
        <v>77</v>
      </c>
      <c r="V1920" s="9"/>
      <c r="W1920" s="12">
        <v>30</v>
      </c>
      <c r="X1920" s="13"/>
      <c r="Y1920" s="13"/>
      <c r="Z1920" s="13"/>
      <c r="AA1920" s="13"/>
      <c r="AB1920" s="13"/>
      <c r="AC1920" s="13"/>
      <c r="AD1920" s="13"/>
      <c r="AE1920" s="13">
        <f t="shared" si="215"/>
        <v>0.156</v>
      </c>
      <c r="AF1920" s="13"/>
      <c r="AG1920" s="13"/>
      <c r="AH1920" s="13"/>
      <c r="AI1920" s="13"/>
      <c r="AJ1920" s="13">
        <f t="shared" si="214"/>
        <v>0.156</v>
      </c>
      <c r="AK1920" s="12"/>
      <c r="AL1920" s="13"/>
      <c r="AM1920" s="9"/>
      <c r="AN1920" s="9"/>
      <c r="AO1920" s="9"/>
      <c r="AP1920" s="14"/>
    </row>
    <row r="1921" spans="1:42" s="45" customFormat="1" ht="22" customHeight="1">
      <c r="A1921" s="14" t="s">
        <v>17</v>
      </c>
      <c r="B1921" s="8">
        <v>2024</v>
      </c>
      <c r="C1921" s="8" t="s">
        <v>24</v>
      </c>
      <c r="D1921" s="9" t="s">
        <v>185</v>
      </c>
      <c r="E1921" s="9" t="s">
        <v>115</v>
      </c>
      <c r="F1921" s="9" t="s">
        <v>434</v>
      </c>
      <c r="G1921" s="8"/>
      <c r="H1921" s="8"/>
      <c r="I1921" s="9" t="s">
        <v>11</v>
      </c>
      <c r="J1921" s="9" t="s">
        <v>11</v>
      </c>
      <c r="K1921" s="9" t="s">
        <v>82</v>
      </c>
      <c r="L1921" s="9" t="s">
        <v>171</v>
      </c>
      <c r="M1921" s="9" t="s">
        <v>860</v>
      </c>
      <c r="N1921" s="9" t="s">
        <v>861</v>
      </c>
      <c r="O1921" s="9" t="s">
        <v>860</v>
      </c>
      <c r="P1921" s="9" t="s">
        <v>880</v>
      </c>
      <c r="Q1921" s="11"/>
      <c r="R1921" s="11"/>
      <c r="S1921" s="11">
        <v>43</v>
      </c>
      <c r="T1921" s="9"/>
      <c r="U1921" s="14" t="s">
        <v>77</v>
      </c>
      <c r="V1921" s="9"/>
      <c r="W1921" s="12">
        <v>30</v>
      </c>
      <c r="X1921" s="13"/>
      <c r="Y1921" s="13"/>
      <c r="Z1921" s="13"/>
      <c r="AA1921" s="13"/>
      <c r="AB1921" s="13"/>
      <c r="AC1921" s="13"/>
      <c r="AD1921" s="13"/>
      <c r="AE1921" s="13">
        <f t="shared" si="215"/>
        <v>0.129</v>
      </c>
      <c r="AF1921" s="13"/>
      <c r="AG1921" s="13"/>
      <c r="AH1921" s="13"/>
      <c r="AI1921" s="13"/>
      <c r="AJ1921" s="13">
        <f t="shared" si="214"/>
        <v>0.129</v>
      </c>
      <c r="AK1921" s="12"/>
      <c r="AL1921" s="13"/>
      <c r="AM1921" s="9"/>
      <c r="AN1921" s="9"/>
      <c r="AO1921" s="9"/>
      <c r="AP1921" s="14"/>
    </row>
    <row r="1922" spans="1:42" s="45" customFormat="1" ht="22" customHeight="1">
      <c r="A1922" s="14" t="s">
        <v>17</v>
      </c>
      <c r="B1922" s="8">
        <v>2024</v>
      </c>
      <c r="C1922" s="8" t="s">
        <v>24</v>
      </c>
      <c r="D1922" s="9" t="s">
        <v>185</v>
      </c>
      <c r="E1922" s="9" t="s">
        <v>115</v>
      </c>
      <c r="F1922" s="9" t="s">
        <v>434</v>
      </c>
      <c r="G1922" s="8"/>
      <c r="H1922" s="8"/>
      <c r="I1922" s="9" t="s">
        <v>11</v>
      </c>
      <c r="J1922" s="9" t="s">
        <v>11</v>
      </c>
      <c r="K1922" s="9" t="s">
        <v>82</v>
      </c>
      <c r="L1922" s="9" t="s">
        <v>171</v>
      </c>
      <c r="M1922" s="9" t="s">
        <v>860</v>
      </c>
      <c r="N1922" s="9" t="s">
        <v>861</v>
      </c>
      <c r="O1922" s="9" t="s">
        <v>860</v>
      </c>
      <c r="P1922" s="9" t="s">
        <v>881</v>
      </c>
      <c r="Q1922" s="11"/>
      <c r="R1922" s="11"/>
      <c r="S1922" s="11">
        <v>0</v>
      </c>
      <c r="T1922" s="9"/>
      <c r="U1922" s="14" t="s">
        <v>77</v>
      </c>
      <c r="V1922" s="9"/>
      <c r="W1922" s="12">
        <v>30</v>
      </c>
      <c r="X1922" s="13"/>
      <c r="Y1922" s="13"/>
      <c r="Z1922" s="13"/>
      <c r="AA1922" s="13"/>
      <c r="AB1922" s="13"/>
      <c r="AC1922" s="13"/>
      <c r="AD1922" s="13"/>
      <c r="AE1922" s="13">
        <f t="shared" si="215"/>
        <v>0</v>
      </c>
      <c r="AF1922" s="13"/>
      <c r="AG1922" s="13"/>
      <c r="AH1922" s="13"/>
      <c r="AI1922" s="13"/>
      <c r="AJ1922" s="13">
        <f t="shared" si="214"/>
        <v>0</v>
      </c>
      <c r="AK1922" s="12"/>
      <c r="AL1922" s="13"/>
      <c r="AM1922" s="9"/>
      <c r="AN1922" s="9"/>
      <c r="AO1922" s="9"/>
      <c r="AP1922" s="14"/>
    </row>
    <row r="1923" spans="1:42" s="45" customFormat="1" ht="22" customHeight="1">
      <c r="A1923" s="14" t="s">
        <v>17</v>
      </c>
      <c r="B1923" s="8">
        <v>2024</v>
      </c>
      <c r="C1923" s="8" t="s">
        <v>24</v>
      </c>
      <c r="D1923" s="9" t="s">
        <v>185</v>
      </c>
      <c r="E1923" s="9" t="s">
        <v>115</v>
      </c>
      <c r="F1923" s="9" t="s">
        <v>434</v>
      </c>
      <c r="G1923" s="8"/>
      <c r="H1923" s="8"/>
      <c r="I1923" s="9" t="s">
        <v>11</v>
      </c>
      <c r="J1923" s="9" t="s">
        <v>11</v>
      </c>
      <c r="K1923" s="9" t="s">
        <v>82</v>
      </c>
      <c r="L1923" s="9" t="s">
        <v>171</v>
      </c>
      <c r="M1923" s="9" t="s">
        <v>860</v>
      </c>
      <c r="N1923" s="9" t="s">
        <v>861</v>
      </c>
      <c r="O1923" s="9" t="s">
        <v>860</v>
      </c>
      <c r="P1923" s="9" t="s">
        <v>882</v>
      </c>
      <c r="Q1923" s="11"/>
      <c r="R1923" s="11"/>
      <c r="S1923" s="11">
        <v>0</v>
      </c>
      <c r="T1923" s="9"/>
      <c r="U1923" s="14" t="s">
        <v>77</v>
      </c>
      <c r="V1923" s="9"/>
      <c r="W1923" s="12">
        <v>30</v>
      </c>
      <c r="X1923" s="13"/>
      <c r="Y1923" s="13"/>
      <c r="Z1923" s="13"/>
      <c r="AA1923" s="13"/>
      <c r="AB1923" s="13"/>
      <c r="AC1923" s="13"/>
      <c r="AD1923" s="13"/>
      <c r="AE1923" s="13">
        <f t="shared" si="215"/>
        <v>0</v>
      </c>
      <c r="AF1923" s="13"/>
      <c r="AG1923" s="13"/>
      <c r="AH1923" s="13"/>
      <c r="AI1923" s="13"/>
      <c r="AJ1923" s="13">
        <f t="shared" si="214"/>
        <v>0</v>
      </c>
      <c r="AK1923" s="12"/>
      <c r="AL1923" s="13"/>
      <c r="AM1923" s="9"/>
      <c r="AN1923" s="9"/>
      <c r="AO1923" s="9"/>
      <c r="AP1923" s="14"/>
    </row>
    <row r="1924" spans="1:42" s="45" customFormat="1" ht="22" customHeight="1">
      <c r="A1924" s="14" t="s">
        <v>17</v>
      </c>
      <c r="B1924" s="8">
        <v>2024</v>
      </c>
      <c r="C1924" s="8" t="s">
        <v>24</v>
      </c>
      <c r="D1924" s="9" t="s">
        <v>185</v>
      </c>
      <c r="E1924" s="9" t="s">
        <v>115</v>
      </c>
      <c r="F1924" s="9" t="s">
        <v>434</v>
      </c>
      <c r="G1924" s="8"/>
      <c r="H1924" s="8"/>
      <c r="I1924" s="9" t="s">
        <v>11</v>
      </c>
      <c r="J1924" s="9" t="s">
        <v>11</v>
      </c>
      <c r="K1924" s="9" t="s">
        <v>82</v>
      </c>
      <c r="L1924" s="9" t="s">
        <v>171</v>
      </c>
      <c r="M1924" s="9" t="s">
        <v>860</v>
      </c>
      <c r="N1924" s="9" t="s">
        <v>861</v>
      </c>
      <c r="O1924" s="9" t="s">
        <v>860</v>
      </c>
      <c r="P1924" s="9" t="s">
        <v>883</v>
      </c>
      <c r="Q1924" s="11"/>
      <c r="R1924" s="11"/>
      <c r="S1924" s="11">
        <v>63</v>
      </c>
      <c r="T1924" s="9"/>
      <c r="U1924" s="14" t="s">
        <v>77</v>
      </c>
      <c r="V1924" s="9"/>
      <c r="W1924" s="12">
        <v>30</v>
      </c>
      <c r="X1924" s="13"/>
      <c r="Y1924" s="13"/>
      <c r="Z1924" s="13"/>
      <c r="AA1924" s="13"/>
      <c r="AB1924" s="13"/>
      <c r="AC1924" s="13"/>
      <c r="AD1924" s="13"/>
      <c r="AE1924" s="13">
        <f t="shared" si="215"/>
        <v>0.189</v>
      </c>
      <c r="AF1924" s="13"/>
      <c r="AG1924" s="13"/>
      <c r="AH1924" s="13"/>
      <c r="AI1924" s="13"/>
      <c r="AJ1924" s="13">
        <f t="shared" si="214"/>
        <v>0.189</v>
      </c>
      <c r="AK1924" s="12"/>
      <c r="AL1924" s="13"/>
      <c r="AM1924" s="9"/>
      <c r="AN1924" s="9"/>
      <c r="AO1924" s="9"/>
      <c r="AP1924" s="14"/>
    </row>
    <row r="1925" spans="1:42" s="45" customFormat="1" ht="22" customHeight="1">
      <c r="A1925" s="14" t="s">
        <v>17</v>
      </c>
      <c r="B1925" s="8">
        <v>2024</v>
      </c>
      <c r="C1925" s="8" t="s">
        <v>24</v>
      </c>
      <c r="D1925" s="9" t="s">
        <v>185</v>
      </c>
      <c r="E1925" s="9" t="s">
        <v>115</v>
      </c>
      <c r="F1925" s="9" t="s">
        <v>434</v>
      </c>
      <c r="G1925" s="8"/>
      <c r="H1925" s="8"/>
      <c r="I1925" s="9" t="s">
        <v>11</v>
      </c>
      <c r="J1925" s="9" t="s">
        <v>11</v>
      </c>
      <c r="K1925" s="9" t="s">
        <v>82</v>
      </c>
      <c r="L1925" s="9" t="s">
        <v>171</v>
      </c>
      <c r="M1925" s="9" t="s">
        <v>860</v>
      </c>
      <c r="N1925" s="9" t="s">
        <v>861</v>
      </c>
      <c r="O1925" s="9" t="s">
        <v>860</v>
      </c>
      <c r="P1925" s="9" t="s">
        <v>884</v>
      </c>
      <c r="Q1925" s="11"/>
      <c r="R1925" s="11"/>
      <c r="S1925" s="11">
        <v>62</v>
      </c>
      <c r="T1925" s="9"/>
      <c r="U1925" s="14" t="s">
        <v>77</v>
      </c>
      <c r="V1925" s="9"/>
      <c r="W1925" s="12">
        <v>30</v>
      </c>
      <c r="X1925" s="13"/>
      <c r="Y1925" s="13"/>
      <c r="Z1925" s="13"/>
      <c r="AA1925" s="13"/>
      <c r="AB1925" s="13"/>
      <c r="AC1925" s="13"/>
      <c r="AD1925" s="13"/>
      <c r="AE1925" s="13">
        <f t="shared" si="215"/>
        <v>0.186</v>
      </c>
      <c r="AF1925" s="13"/>
      <c r="AG1925" s="13"/>
      <c r="AH1925" s="13"/>
      <c r="AI1925" s="13"/>
      <c r="AJ1925" s="13">
        <f t="shared" si="214"/>
        <v>0.186</v>
      </c>
      <c r="AK1925" s="12"/>
      <c r="AL1925" s="13"/>
      <c r="AM1925" s="9"/>
      <c r="AN1925" s="9"/>
      <c r="AO1925" s="9"/>
      <c r="AP1925" s="14"/>
    </row>
    <row r="1926" spans="1:42" s="45" customFormat="1" ht="22" customHeight="1">
      <c r="A1926" s="14" t="s">
        <v>17</v>
      </c>
      <c r="B1926" s="8">
        <v>2024</v>
      </c>
      <c r="C1926" s="8" t="s">
        <v>24</v>
      </c>
      <c r="D1926" s="9" t="s">
        <v>185</v>
      </c>
      <c r="E1926" s="9" t="s">
        <v>115</v>
      </c>
      <c r="F1926" s="9" t="s">
        <v>434</v>
      </c>
      <c r="G1926" s="8"/>
      <c r="H1926" s="8"/>
      <c r="I1926" s="9" t="s">
        <v>11</v>
      </c>
      <c r="J1926" s="9" t="s">
        <v>11</v>
      </c>
      <c r="K1926" s="9" t="s">
        <v>82</v>
      </c>
      <c r="L1926" s="9" t="s">
        <v>171</v>
      </c>
      <c r="M1926" s="9" t="s">
        <v>860</v>
      </c>
      <c r="N1926" s="9" t="s">
        <v>861</v>
      </c>
      <c r="O1926" s="9" t="s">
        <v>860</v>
      </c>
      <c r="P1926" s="9" t="s">
        <v>885</v>
      </c>
      <c r="Q1926" s="11"/>
      <c r="R1926" s="11"/>
      <c r="S1926" s="11">
        <v>0</v>
      </c>
      <c r="T1926" s="9"/>
      <c r="U1926" s="14" t="s">
        <v>77</v>
      </c>
      <c r="V1926" s="9"/>
      <c r="W1926" s="12">
        <v>30</v>
      </c>
      <c r="X1926" s="13"/>
      <c r="Y1926" s="13"/>
      <c r="Z1926" s="13"/>
      <c r="AA1926" s="13"/>
      <c r="AB1926" s="13"/>
      <c r="AC1926" s="13"/>
      <c r="AD1926" s="13"/>
      <c r="AE1926" s="13">
        <f t="shared" si="215"/>
        <v>0</v>
      </c>
      <c r="AF1926" s="13"/>
      <c r="AG1926" s="13"/>
      <c r="AH1926" s="13"/>
      <c r="AI1926" s="13"/>
      <c r="AJ1926" s="13">
        <f t="shared" si="214"/>
        <v>0</v>
      </c>
      <c r="AK1926" s="12"/>
      <c r="AL1926" s="13"/>
      <c r="AM1926" s="9"/>
      <c r="AN1926" s="9"/>
      <c r="AO1926" s="9"/>
      <c r="AP1926" s="14"/>
    </row>
    <row r="1927" spans="1:42" s="45" customFormat="1" ht="22" customHeight="1">
      <c r="A1927" s="14" t="s">
        <v>17</v>
      </c>
      <c r="B1927" s="8">
        <v>2024</v>
      </c>
      <c r="C1927" s="8" t="s">
        <v>24</v>
      </c>
      <c r="D1927" s="9" t="s">
        <v>185</v>
      </c>
      <c r="E1927" s="9" t="s">
        <v>115</v>
      </c>
      <c r="F1927" s="9" t="s">
        <v>434</v>
      </c>
      <c r="G1927" s="8"/>
      <c r="H1927" s="8"/>
      <c r="I1927" s="9" t="s">
        <v>11</v>
      </c>
      <c r="J1927" s="9" t="s">
        <v>11</v>
      </c>
      <c r="K1927" s="9" t="s">
        <v>82</v>
      </c>
      <c r="L1927" s="9" t="s">
        <v>171</v>
      </c>
      <c r="M1927" s="9" t="s">
        <v>860</v>
      </c>
      <c r="N1927" s="9" t="s">
        <v>861</v>
      </c>
      <c r="O1927" s="9" t="s">
        <v>860</v>
      </c>
      <c r="P1927" s="9" t="s">
        <v>886</v>
      </c>
      <c r="Q1927" s="11"/>
      <c r="R1927" s="11"/>
      <c r="S1927" s="11">
        <v>20</v>
      </c>
      <c r="T1927" s="9"/>
      <c r="U1927" s="14" t="s">
        <v>77</v>
      </c>
      <c r="V1927" s="9"/>
      <c r="W1927" s="12">
        <v>30</v>
      </c>
      <c r="X1927" s="13"/>
      <c r="Y1927" s="13"/>
      <c r="Z1927" s="13"/>
      <c r="AA1927" s="13"/>
      <c r="AB1927" s="13"/>
      <c r="AC1927" s="13"/>
      <c r="AD1927" s="13"/>
      <c r="AE1927" s="13">
        <f t="shared" si="215"/>
        <v>0.06</v>
      </c>
      <c r="AF1927" s="13"/>
      <c r="AG1927" s="13"/>
      <c r="AH1927" s="13"/>
      <c r="AI1927" s="13"/>
      <c r="AJ1927" s="13">
        <f t="shared" si="214"/>
        <v>0.06</v>
      </c>
      <c r="AK1927" s="12"/>
      <c r="AL1927" s="13"/>
      <c r="AM1927" s="9"/>
      <c r="AN1927" s="9"/>
      <c r="AO1927" s="9"/>
      <c r="AP1927" s="14"/>
    </row>
    <row r="1928" spans="1:42" s="45" customFormat="1" ht="22" customHeight="1">
      <c r="A1928" s="14" t="s">
        <v>17</v>
      </c>
      <c r="B1928" s="8">
        <v>2024</v>
      </c>
      <c r="C1928" s="8" t="s">
        <v>24</v>
      </c>
      <c r="D1928" s="9" t="s">
        <v>185</v>
      </c>
      <c r="E1928" s="9" t="s">
        <v>115</v>
      </c>
      <c r="F1928" s="9" t="s">
        <v>434</v>
      </c>
      <c r="G1928" s="8"/>
      <c r="H1928" s="8"/>
      <c r="I1928" s="9" t="s">
        <v>11</v>
      </c>
      <c r="J1928" s="9" t="s">
        <v>11</v>
      </c>
      <c r="K1928" s="9" t="s">
        <v>82</v>
      </c>
      <c r="L1928" s="9" t="s">
        <v>171</v>
      </c>
      <c r="M1928" s="9" t="s">
        <v>860</v>
      </c>
      <c r="N1928" s="9" t="s">
        <v>861</v>
      </c>
      <c r="O1928" s="9" t="s">
        <v>860</v>
      </c>
      <c r="P1928" s="9" t="s">
        <v>887</v>
      </c>
      <c r="Q1928" s="11"/>
      <c r="R1928" s="11"/>
      <c r="S1928" s="11">
        <v>20</v>
      </c>
      <c r="T1928" s="9"/>
      <c r="U1928" s="14" t="s">
        <v>77</v>
      </c>
      <c r="V1928" s="9"/>
      <c r="W1928" s="12">
        <v>30</v>
      </c>
      <c r="X1928" s="13"/>
      <c r="Y1928" s="13"/>
      <c r="Z1928" s="13"/>
      <c r="AA1928" s="13"/>
      <c r="AB1928" s="13"/>
      <c r="AC1928" s="13"/>
      <c r="AD1928" s="13"/>
      <c r="AE1928" s="13">
        <f t="shared" si="215"/>
        <v>0.06</v>
      </c>
      <c r="AF1928" s="13"/>
      <c r="AG1928" s="13"/>
      <c r="AH1928" s="13"/>
      <c r="AI1928" s="13"/>
      <c r="AJ1928" s="13">
        <f t="shared" si="214"/>
        <v>0.06</v>
      </c>
      <c r="AK1928" s="12"/>
      <c r="AL1928" s="13"/>
      <c r="AM1928" s="9"/>
      <c r="AN1928" s="9"/>
      <c r="AO1928" s="9"/>
      <c r="AP1928" s="14"/>
    </row>
    <row r="1929" spans="1:42" s="45" customFormat="1" ht="22" customHeight="1">
      <c r="A1929" s="14" t="s">
        <v>17</v>
      </c>
      <c r="B1929" s="8">
        <v>2024</v>
      </c>
      <c r="C1929" s="8" t="s">
        <v>24</v>
      </c>
      <c r="D1929" s="9" t="s">
        <v>185</v>
      </c>
      <c r="E1929" s="9" t="s">
        <v>115</v>
      </c>
      <c r="F1929" s="9" t="s">
        <v>434</v>
      </c>
      <c r="G1929" s="8"/>
      <c r="H1929" s="8"/>
      <c r="I1929" s="9" t="s">
        <v>11</v>
      </c>
      <c r="J1929" s="9" t="s">
        <v>11</v>
      </c>
      <c r="K1929" s="9" t="s">
        <v>82</v>
      </c>
      <c r="L1929" s="9" t="s">
        <v>171</v>
      </c>
      <c r="M1929" s="9" t="s">
        <v>860</v>
      </c>
      <c r="N1929" s="9" t="s">
        <v>861</v>
      </c>
      <c r="O1929" s="9" t="s">
        <v>860</v>
      </c>
      <c r="P1929" s="9" t="s">
        <v>888</v>
      </c>
      <c r="Q1929" s="11"/>
      <c r="R1929" s="11"/>
      <c r="S1929" s="11">
        <v>30</v>
      </c>
      <c r="T1929" s="9"/>
      <c r="U1929" s="14" t="s">
        <v>77</v>
      </c>
      <c r="V1929" s="9"/>
      <c r="W1929" s="12">
        <v>30</v>
      </c>
      <c r="X1929" s="13"/>
      <c r="Y1929" s="13"/>
      <c r="Z1929" s="13"/>
      <c r="AA1929" s="13"/>
      <c r="AB1929" s="13"/>
      <c r="AC1929" s="13"/>
      <c r="AD1929" s="13"/>
      <c r="AE1929" s="13">
        <f t="shared" si="215"/>
        <v>0.09</v>
      </c>
      <c r="AF1929" s="13"/>
      <c r="AG1929" s="13"/>
      <c r="AH1929" s="13"/>
      <c r="AI1929" s="13"/>
      <c r="AJ1929" s="13">
        <f t="shared" si="214"/>
        <v>0.09</v>
      </c>
      <c r="AK1929" s="12"/>
      <c r="AL1929" s="13"/>
      <c r="AM1929" s="9"/>
      <c r="AN1929" s="9"/>
      <c r="AO1929" s="9"/>
      <c r="AP1929" s="14"/>
    </row>
    <row r="1930" spans="1:42" s="45" customFormat="1" ht="22" customHeight="1">
      <c r="A1930" s="14" t="s">
        <v>17</v>
      </c>
      <c r="B1930" s="8">
        <v>2024</v>
      </c>
      <c r="C1930" s="8" t="s">
        <v>24</v>
      </c>
      <c r="D1930" s="9" t="s">
        <v>185</v>
      </c>
      <c r="E1930" s="9" t="s">
        <v>115</v>
      </c>
      <c r="F1930" s="9" t="s">
        <v>434</v>
      </c>
      <c r="G1930" s="8"/>
      <c r="H1930" s="8"/>
      <c r="I1930" s="9" t="s">
        <v>11</v>
      </c>
      <c r="J1930" s="9" t="s">
        <v>11</v>
      </c>
      <c r="K1930" s="9" t="s">
        <v>82</v>
      </c>
      <c r="L1930" s="9" t="s">
        <v>171</v>
      </c>
      <c r="M1930" s="9" t="s">
        <v>860</v>
      </c>
      <c r="N1930" s="9" t="s">
        <v>861</v>
      </c>
      <c r="O1930" s="9" t="s">
        <v>860</v>
      </c>
      <c r="P1930" s="9" t="s">
        <v>889</v>
      </c>
      <c r="Q1930" s="11"/>
      <c r="R1930" s="11"/>
      <c r="S1930" s="11">
        <v>57</v>
      </c>
      <c r="T1930" s="9"/>
      <c r="U1930" s="14" t="s">
        <v>77</v>
      </c>
      <c r="V1930" s="9"/>
      <c r="W1930" s="12">
        <v>30</v>
      </c>
      <c r="X1930" s="13"/>
      <c r="Y1930" s="13"/>
      <c r="Z1930" s="13"/>
      <c r="AA1930" s="13"/>
      <c r="AB1930" s="13"/>
      <c r="AC1930" s="13"/>
      <c r="AD1930" s="13"/>
      <c r="AE1930" s="13">
        <f t="shared" si="215"/>
        <v>0.17100000000000001</v>
      </c>
      <c r="AF1930" s="13"/>
      <c r="AG1930" s="13"/>
      <c r="AH1930" s="13"/>
      <c r="AI1930" s="13"/>
      <c r="AJ1930" s="13">
        <f t="shared" si="214"/>
        <v>0.17100000000000001</v>
      </c>
      <c r="AK1930" s="12"/>
      <c r="AL1930" s="13"/>
      <c r="AM1930" s="9"/>
      <c r="AN1930" s="9"/>
      <c r="AO1930" s="9"/>
      <c r="AP1930" s="14"/>
    </row>
    <row r="1931" spans="1:42" s="45" customFormat="1" ht="22" customHeight="1">
      <c r="A1931" s="14" t="s">
        <v>17</v>
      </c>
      <c r="B1931" s="8">
        <v>2024</v>
      </c>
      <c r="C1931" s="8" t="s">
        <v>24</v>
      </c>
      <c r="D1931" s="9" t="s">
        <v>185</v>
      </c>
      <c r="E1931" s="9" t="s">
        <v>115</v>
      </c>
      <c r="F1931" s="9" t="s">
        <v>434</v>
      </c>
      <c r="G1931" s="8"/>
      <c r="H1931" s="8"/>
      <c r="I1931" s="9" t="s">
        <v>11</v>
      </c>
      <c r="J1931" s="9" t="s">
        <v>11</v>
      </c>
      <c r="K1931" s="9" t="s">
        <v>82</v>
      </c>
      <c r="L1931" s="9" t="s">
        <v>171</v>
      </c>
      <c r="M1931" s="9" t="s">
        <v>860</v>
      </c>
      <c r="N1931" s="9" t="s">
        <v>861</v>
      </c>
      <c r="O1931" s="9" t="s">
        <v>860</v>
      </c>
      <c r="P1931" s="9" t="s">
        <v>890</v>
      </c>
      <c r="Q1931" s="11"/>
      <c r="R1931" s="11"/>
      <c r="S1931" s="11">
        <v>39</v>
      </c>
      <c r="T1931" s="9"/>
      <c r="U1931" s="14" t="s">
        <v>77</v>
      </c>
      <c r="V1931" s="9"/>
      <c r="W1931" s="12">
        <v>30</v>
      </c>
      <c r="X1931" s="13"/>
      <c r="Y1931" s="13"/>
      <c r="Z1931" s="13"/>
      <c r="AA1931" s="13"/>
      <c r="AB1931" s="13"/>
      <c r="AC1931" s="13"/>
      <c r="AD1931" s="13"/>
      <c r="AE1931" s="13">
        <f t="shared" si="215"/>
        <v>0.11700000000000001</v>
      </c>
      <c r="AF1931" s="13"/>
      <c r="AG1931" s="13"/>
      <c r="AH1931" s="13"/>
      <c r="AI1931" s="13"/>
      <c r="AJ1931" s="13">
        <f t="shared" si="214"/>
        <v>0.11700000000000001</v>
      </c>
      <c r="AK1931" s="12"/>
      <c r="AL1931" s="13"/>
      <c r="AM1931" s="9"/>
      <c r="AN1931" s="9"/>
      <c r="AO1931" s="9"/>
      <c r="AP1931" s="14"/>
    </row>
    <row r="1932" spans="1:42" s="45" customFormat="1" ht="22" customHeight="1">
      <c r="A1932" s="14" t="s">
        <v>17</v>
      </c>
      <c r="B1932" s="8">
        <v>2024</v>
      </c>
      <c r="C1932" s="8" t="s">
        <v>24</v>
      </c>
      <c r="D1932" s="9" t="s">
        <v>185</v>
      </c>
      <c r="E1932" s="9" t="s">
        <v>115</v>
      </c>
      <c r="F1932" s="9" t="s">
        <v>434</v>
      </c>
      <c r="G1932" s="8"/>
      <c r="H1932" s="8"/>
      <c r="I1932" s="9" t="s">
        <v>11</v>
      </c>
      <c r="J1932" s="9" t="s">
        <v>11</v>
      </c>
      <c r="K1932" s="9" t="s">
        <v>82</v>
      </c>
      <c r="L1932" s="9" t="s">
        <v>171</v>
      </c>
      <c r="M1932" s="9" t="s">
        <v>860</v>
      </c>
      <c r="N1932" s="9" t="s">
        <v>861</v>
      </c>
      <c r="O1932" s="9" t="s">
        <v>860</v>
      </c>
      <c r="P1932" s="9" t="s">
        <v>891</v>
      </c>
      <c r="Q1932" s="11"/>
      <c r="R1932" s="11"/>
      <c r="S1932" s="11">
        <v>37</v>
      </c>
      <c r="T1932" s="9"/>
      <c r="U1932" s="14" t="s">
        <v>77</v>
      </c>
      <c r="V1932" s="9"/>
      <c r="W1932" s="12">
        <v>30</v>
      </c>
      <c r="X1932" s="13"/>
      <c r="Y1932" s="13"/>
      <c r="Z1932" s="13"/>
      <c r="AA1932" s="13"/>
      <c r="AB1932" s="13"/>
      <c r="AC1932" s="13"/>
      <c r="AD1932" s="13"/>
      <c r="AE1932" s="13">
        <f t="shared" si="215"/>
        <v>0.111</v>
      </c>
      <c r="AF1932" s="13"/>
      <c r="AG1932" s="13"/>
      <c r="AH1932" s="13"/>
      <c r="AI1932" s="13"/>
      <c r="AJ1932" s="13">
        <f t="shared" si="214"/>
        <v>0.111</v>
      </c>
      <c r="AK1932" s="12"/>
      <c r="AL1932" s="13"/>
      <c r="AM1932" s="9"/>
      <c r="AN1932" s="9"/>
      <c r="AO1932" s="9"/>
      <c r="AP1932" s="14"/>
    </row>
    <row r="1933" spans="1:42" s="45" customFormat="1" ht="22" customHeight="1">
      <c r="A1933" s="14" t="s">
        <v>17</v>
      </c>
      <c r="B1933" s="8">
        <v>2024</v>
      </c>
      <c r="C1933" s="8" t="s">
        <v>24</v>
      </c>
      <c r="D1933" s="9" t="s">
        <v>185</v>
      </c>
      <c r="E1933" s="9" t="s">
        <v>115</v>
      </c>
      <c r="F1933" s="9" t="s">
        <v>434</v>
      </c>
      <c r="G1933" s="8"/>
      <c r="H1933" s="8"/>
      <c r="I1933" s="9" t="s">
        <v>11</v>
      </c>
      <c r="J1933" s="9" t="s">
        <v>11</v>
      </c>
      <c r="K1933" s="9" t="s">
        <v>82</v>
      </c>
      <c r="L1933" s="9" t="s">
        <v>171</v>
      </c>
      <c r="M1933" s="9" t="s">
        <v>860</v>
      </c>
      <c r="N1933" s="9" t="s">
        <v>861</v>
      </c>
      <c r="O1933" s="9" t="s">
        <v>860</v>
      </c>
      <c r="P1933" s="9" t="s">
        <v>892</v>
      </c>
      <c r="Q1933" s="11"/>
      <c r="R1933" s="11"/>
      <c r="S1933" s="11">
        <v>20</v>
      </c>
      <c r="T1933" s="9"/>
      <c r="U1933" s="14" t="s">
        <v>77</v>
      </c>
      <c r="V1933" s="9"/>
      <c r="W1933" s="12">
        <v>30</v>
      </c>
      <c r="X1933" s="13"/>
      <c r="Y1933" s="13"/>
      <c r="Z1933" s="13"/>
      <c r="AA1933" s="13"/>
      <c r="AB1933" s="13"/>
      <c r="AC1933" s="13"/>
      <c r="AD1933" s="13"/>
      <c r="AE1933" s="13">
        <f t="shared" si="215"/>
        <v>0.06</v>
      </c>
      <c r="AF1933" s="13"/>
      <c r="AG1933" s="13"/>
      <c r="AH1933" s="13"/>
      <c r="AI1933" s="13"/>
      <c r="AJ1933" s="13">
        <f t="shared" si="214"/>
        <v>0.06</v>
      </c>
      <c r="AK1933" s="12"/>
      <c r="AL1933" s="13"/>
      <c r="AM1933" s="9"/>
      <c r="AN1933" s="9"/>
      <c r="AO1933" s="9"/>
      <c r="AP1933" s="14"/>
    </row>
    <row r="1934" spans="1:42" s="45" customFormat="1" ht="22" customHeight="1">
      <c r="A1934" s="14" t="s">
        <v>17</v>
      </c>
      <c r="B1934" s="8">
        <v>2024</v>
      </c>
      <c r="C1934" s="8" t="s">
        <v>24</v>
      </c>
      <c r="D1934" s="9" t="s">
        <v>185</v>
      </c>
      <c r="E1934" s="9" t="s">
        <v>115</v>
      </c>
      <c r="F1934" s="9" t="s">
        <v>434</v>
      </c>
      <c r="G1934" s="8"/>
      <c r="H1934" s="8"/>
      <c r="I1934" s="9" t="s">
        <v>11</v>
      </c>
      <c r="J1934" s="9" t="s">
        <v>11</v>
      </c>
      <c r="K1934" s="9" t="s">
        <v>82</v>
      </c>
      <c r="L1934" s="9" t="s">
        <v>171</v>
      </c>
      <c r="M1934" s="9" t="s">
        <v>860</v>
      </c>
      <c r="N1934" s="9" t="s">
        <v>861</v>
      </c>
      <c r="O1934" s="9" t="s">
        <v>860</v>
      </c>
      <c r="P1934" s="9" t="s">
        <v>893</v>
      </c>
      <c r="Q1934" s="11"/>
      <c r="R1934" s="11"/>
      <c r="S1934" s="11">
        <v>33</v>
      </c>
      <c r="T1934" s="9"/>
      <c r="U1934" s="14" t="s">
        <v>77</v>
      </c>
      <c r="V1934" s="9"/>
      <c r="W1934" s="12">
        <v>30</v>
      </c>
      <c r="X1934" s="13"/>
      <c r="Y1934" s="13"/>
      <c r="Z1934" s="13"/>
      <c r="AA1934" s="13"/>
      <c r="AB1934" s="13"/>
      <c r="AC1934" s="13"/>
      <c r="AD1934" s="13"/>
      <c r="AE1934" s="13">
        <f t="shared" si="215"/>
        <v>9.9000000000000005E-2</v>
      </c>
      <c r="AF1934" s="13"/>
      <c r="AG1934" s="13"/>
      <c r="AH1934" s="13"/>
      <c r="AI1934" s="13"/>
      <c r="AJ1934" s="13">
        <f t="shared" si="214"/>
        <v>9.9000000000000005E-2</v>
      </c>
      <c r="AK1934" s="12"/>
      <c r="AL1934" s="13"/>
      <c r="AM1934" s="9"/>
      <c r="AN1934" s="9"/>
      <c r="AO1934" s="9"/>
      <c r="AP1934" s="14"/>
    </row>
    <row r="1935" spans="1:42" s="45" customFormat="1" ht="22" customHeight="1">
      <c r="A1935" s="14" t="s">
        <v>17</v>
      </c>
      <c r="B1935" s="8">
        <v>2024</v>
      </c>
      <c r="C1935" s="8" t="s">
        <v>24</v>
      </c>
      <c r="D1935" s="9" t="s">
        <v>185</v>
      </c>
      <c r="E1935" s="9" t="s">
        <v>115</v>
      </c>
      <c r="F1935" s="9" t="s">
        <v>434</v>
      </c>
      <c r="G1935" s="8"/>
      <c r="H1935" s="8"/>
      <c r="I1935" s="9" t="s">
        <v>11</v>
      </c>
      <c r="J1935" s="9" t="s">
        <v>11</v>
      </c>
      <c r="K1935" s="9" t="s">
        <v>82</v>
      </c>
      <c r="L1935" s="9" t="s">
        <v>171</v>
      </c>
      <c r="M1935" s="9" t="s">
        <v>860</v>
      </c>
      <c r="N1935" s="9" t="s">
        <v>861</v>
      </c>
      <c r="O1935" s="9" t="s">
        <v>860</v>
      </c>
      <c r="P1935" s="9" t="s">
        <v>894</v>
      </c>
      <c r="Q1935" s="11"/>
      <c r="R1935" s="11"/>
      <c r="S1935" s="11">
        <v>51</v>
      </c>
      <c r="T1935" s="9"/>
      <c r="U1935" s="14" t="s">
        <v>77</v>
      </c>
      <c r="V1935" s="9"/>
      <c r="W1935" s="12">
        <v>30</v>
      </c>
      <c r="X1935" s="13"/>
      <c r="Y1935" s="13"/>
      <c r="Z1935" s="13"/>
      <c r="AA1935" s="13"/>
      <c r="AB1935" s="13"/>
      <c r="AC1935" s="13"/>
      <c r="AD1935" s="13"/>
      <c r="AE1935" s="13">
        <f t="shared" si="215"/>
        <v>0.153</v>
      </c>
      <c r="AF1935" s="13"/>
      <c r="AG1935" s="13"/>
      <c r="AH1935" s="13"/>
      <c r="AI1935" s="13"/>
      <c r="AJ1935" s="13">
        <f t="shared" si="214"/>
        <v>0.153</v>
      </c>
      <c r="AK1935" s="12"/>
      <c r="AL1935" s="13"/>
      <c r="AM1935" s="9"/>
      <c r="AN1935" s="9"/>
      <c r="AO1935" s="9"/>
      <c r="AP1935" s="14"/>
    </row>
    <row r="1936" spans="1:42" s="45" customFormat="1" ht="22" customHeight="1">
      <c r="A1936" s="14" t="s">
        <v>17</v>
      </c>
      <c r="B1936" s="8">
        <v>2024</v>
      </c>
      <c r="C1936" s="8" t="s">
        <v>24</v>
      </c>
      <c r="D1936" s="9" t="s">
        <v>185</v>
      </c>
      <c r="E1936" s="9" t="s">
        <v>115</v>
      </c>
      <c r="F1936" s="9" t="s">
        <v>434</v>
      </c>
      <c r="G1936" s="8"/>
      <c r="H1936" s="8"/>
      <c r="I1936" s="9" t="s">
        <v>11</v>
      </c>
      <c r="J1936" s="9" t="s">
        <v>11</v>
      </c>
      <c r="K1936" s="9" t="s">
        <v>82</v>
      </c>
      <c r="L1936" s="9" t="s">
        <v>171</v>
      </c>
      <c r="M1936" s="9" t="s">
        <v>860</v>
      </c>
      <c r="N1936" s="9" t="s">
        <v>861</v>
      </c>
      <c r="O1936" s="9" t="s">
        <v>895</v>
      </c>
      <c r="P1936" s="9" t="s">
        <v>895</v>
      </c>
      <c r="Q1936" s="11"/>
      <c r="R1936" s="11"/>
      <c r="S1936" s="11">
        <v>75</v>
      </c>
      <c r="T1936" s="9"/>
      <c r="U1936" s="14" t="s">
        <v>77</v>
      </c>
      <c r="V1936" s="9"/>
      <c r="W1936" s="12">
        <v>30</v>
      </c>
      <c r="X1936" s="13"/>
      <c r="Y1936" s="13"/>
      <c r="Z1936" s="13"/>
      <c r="AA1936" s="13"/>
      <c r="AB1936" s="13"/>
      <c r="AC1936" s="13"/>
      <c r="AD1936" s="13"/>
      <c r="AE1936" s="13">
        <f t="shared" si="215"/>
        <v>0.22500000000000001</v>
      </c>
      <c r="AF1936" s="13"/>
      <c r="AG1936" s="13"/>
      <c r="AH1936" s="13"/>
      <c r="AI1936" s="13"/>
      <c r="AJ1936" s="13">
        <f t="shared" si="214"/>
        <v>0.22500000000000001</v>
      </c>
      <c r="AK1936" s="12"/>
      <c r="AL1936" s="13"/>
      <c r="AM1936" s="9"/>
      <c r="AN1936" s="9"/>
      <c r="AO1936" s="9"/>
      <c r="AP1936" s="14"/>
    </row>
    <row r="1937" spans="1:42" s="45" customFormat="1" ht="22" customHeight="1">
      <c r="A1937" s="14" t="s">
        <v>17</v>
      </c>
      <c r="B1937" s="8">
        <v>2024</v>
      </c>
      <c r="C1937" s="8" t="s">
        <v>24</v>
      </c>
      <c r="D1937" s="9" t="s">
        <v>185</v>
      </c>
      <c r="E1937" s="9" t="s">
        <v>115</v>
      </c>
      <c r="F1937" s="9" t="s">
        <v>434</v>
      </c>
      <c r="G1937" s="8"/>
      <c r="H1937" s="8"/>
      <c r="I1937" s="9" t="s">
        <v>11</v>
      </c>
      <c r="J1937" s="9" t="s">
        <v>11</v>
      </c>
      <c r="K1937" s="9" t="s">
        <v>82</v>
      </c>
      <c r="L1937" s="9" t="s">
        <v>171</v>
      </c>
      <c r="M1937" s="9" t="s">
        <v>860</v>
      </c>
      <c r="N1937" s="9" t="s">
        <v>861</v>
      </c>
      <c r="O1937" s="9" t="s">
        <v>895</v>
      </c>
      <c r="P1937" s="9" t="s">
        <v>896</v>
      </c>
      <c r="Q1937" s="11"/>
      <c r="R1937" s="11"/>
      <c r="S1937" s="11">
        <v>73</v>
      </c>
      <c r="T1937" s="9"/>
      <c r="U1937" s="14" t="s">
        <v>77</v>
      </c>
      <c r="V1937" s="9"/>
      <c r="W1937" s="12">
        <v>30</v>
      </c>
      <c r="X1937" s="13"/>
      <c r="Y1937" s="13"/>
      <c r="Z1937" s="13"/>
      <c r="AA1937" s="13"/>
      <c r="AB1937" s="13"/>
      <c r="AC1937" s="13"/>
      <c r="AD1937" s="13"/>
      <c r="AE1937" s="13">
        <f t="shared" si="215"/>
        <v>0.219</v>
      </c>
      <c r="AF1937" s="13"/>
      <c r="AG1937" s="13"/>
      <c r="AH1937" s="13"/>
      <c r="AI1937" s="13"/>
      <c r="AJ1937" s="13">
        <f t="shared" si="214"/>
        <v>0.219</v>
      </c>
      <c r="AK1937" s="12"/>
      <c r="AL1937" s="13"/>
      <c r="AM1937" s="9"/>
      <c r="AN1937" s="9"/>
      <c r="AO1937" s="9"/>
      <c r="AP1937" s="14"/>
    </row>
    <row r="1938" spans="1:42" s="45" customFormat="1" ht="22" customHeight="1">
      <c r="A1938" s="14" t="s">
        <v>17</v>
      </c>
      <c r="B1938" s="8">
        <v>2024</v>
      </c>
      <c r="C1938" s="8" t="s">
        <v>24</v>
      </c>
      <c r="D1938" s="9" t="s">
        <v>185</v>
      </c>
      <c r="E1938" s="9" t="s">
        <v>115</v>
      </c>
      <c r="F1938" s="9" t="s">
        <v>434</v>
      </c>
      <c r="G1938" s="8"/>
      <c r="H1938" s="8"/>
      <c r="I1938" s="9" t="s">
        <v>11</v>
      </c>
      <c r="J1938" s="9" t="s">
        <v>11</v>
      </c>
      <c r="K1938" s="9" t="s">
        <v>82</v>
      </c>
      <c r="L1938" s="9" t="s">
        <v>171</v>
      </c>
      <c r="M1938" s="9" t="s">
        <v>860</v>
      </c>
      <c r="N1938" s="9" t="s">
        <v>861</v>
      </c>
      <c r="O1938" s="9" t="s">
        <v>895</v>
      </c>
      <c r="P1938" s="9" t="s">
        <v>897</v>
      </c>
      <c r="Q1938" s="11"/>
      <c r="R1938" s="11"/>
      <c r="S1938" s="11">
        <v>72</v>
      </c>
      <c r="T1938" s="9"/>
      <c r="U1938" s="14" t="s">
        <v>77</v>
      </c>
      <c r="V1938" s="9"/>
      <c r="W1938" s="12">
        <v>30</v>
      </c>
      <c r="X1938" s="13"/>
      <c r="Y1938" s="13"/>
      <c r="Z1938" s="13"/>
      <c r="AA1938" s="13"/>
      <c r="AB1938" s="13"/>
      <c r="AC1938" s="13"/>
      <c r="AD1938" s="13"/>
      <c r="AE1938" s="13">
        <f t="shared" si="215"/>
        <v>0.216</v>
      </c>
      <c r="AF1938" s="13"/>
      <c r="AG1938" s="13"/>
      <c r="AH1938" s="13"/>
      <c r="AI1938" s="13"/>
      <c r="AJ1938" s="13">
        <f t="shared" si="214"/>
        <v>0.216</v>
      </c>
      <c r="AK1938" s="12"/>
      <c r="AL1938" s="13"/>
      <c r="AM1938" s="9"/>
      <c r="AN1938" s="9"/>
      <c r="AO1938" s="9"/>
      <c r="AP1938" s="14"/>
    </row>
    <row r="1939" spans="1:42" s="45" customFormat="1" ht="22" customHeight="1">
      <c r="A1939" s="14" t="s">
        <v>17</v>
      </c>
      <c r="B1939" s="8">
        <v>2024</v>
      </c>
      <c r="C1939" s="8" t="s">
        <v>24</v>
      </c>
      <c r="D1939" s="9" t="s">
        <v>185</v>
      </c>
      <c r="E1939" s="9" t="s">
        <v>115</v>
      </c>
      <c r="F1939" s="9" t="s">
        <v>434</v>
      </c>
      <c r="G1939" s="8"/>
      <c r="H1939" s="8"/>
      <c r="I1939" s="9" t="s">
        <v>11</v>
      </c>
      <c r="J1939" s="9" t="s">
        <v>11</v>
      </c>
      <c r="K1939" s="9" t="s">
        <v>82</v>
      </c>
      <c r="L1939" s="9" t="s">
        <v>171</v>
      </c>
      <c r="M1939" s="9" t="s">
        <v>860</v>
      </c>
      <c r="N1939" s="9" t="s">
        <v>861</v>
      </c>
      <c r="O1939" s="9" t="s">
        <v>895</v>
      </c>
      <c r="P1939" s="9" t="s">
        <v>898</v>
      </c>
      <c r="Q1939" s="11"/>
      <c r="R1939" s="11"/>
      <c r="S1939" s="11">
        <v>67</v>
      </c>
      <c r="T1939" s="9"/>
      <c r="U1939" s="14" t="s">
        <v>77</v>
      </c>
      <c r="V1939" s="9"/>
      <c r="W1939" s="12">
        <v>30</v>
      </c>
      <c r="X1939" s="13"/>
      <c r="Y1939" s="13"/>
      <c r="Z1939" s="13"/>
      <c r="AA1939" s="13"/>
      <c r="AB1939" s="13"/>
      <c r="AC1939" s="13"/>
      <c r="AD1939" s="13"/>
      <c r="AE1939" s="13">
        <f t="shared" si="215"/>
        <v>0.20100000000000001</v>
      </c>
      <c r="AF1939" s="13"/>
      <c r="AG1939" s="13"/>
      <c r="AH1939" s="13"/>
      <c r="AI1939" s="13"/>
      <c r="AJ1939" s="13">
        <f t="shared" si="214"/>
        <v>0.20100000000000001</v>
      </c>
      <c r="AK1939" s="12"/>
      <c r="AL1939" s="13"/>
      <c r="AM1939" s="9"/>
      <c r="AN1939" s="9"/>
      <c r="AO1939" s="9"/>
      <c r="AP1939" s="14"/>
    </row>
    <row r="1940" spans="1:42" s="45" customFormat="1" ht="22" customHeight="1">
      <c r="A1940" s="14" t="s">
        <v>17</v>
      </c>
      <c r="B1940" s="8">
        <v>2024</v>
      </c>
      <c r="C1940" s="8" t="s">
        <v>24</v>
      </c>
      <c r="D1940" s="9" t="s">
        <v>185</v>
      </c>
      <c r="E1940" s="9" t="s">
        <v>115</v>
      </c>
      <c r="F1940" s="9" t="s">
        <v>434</v>
      </c>
      <c r="G1940" s="8"/>
      <c r="H1940" s="8"/>
      <c r="I1940" s="9" t="s">
        <v>11</v>
      </c>
      <c r="J1940" s="9" t="s">
        <v>11</v>
      </c>
      <c r="K1940" s="9" t="s">
        <v>82</v>
      </c>
      <c r="L1940" s="9" t="s">
        <v>171</v>
      </c>
      <c r="M1940" s="9" t="s">
        <v>860</v>
      </c>
      <c r="N1940" s="9" t="s">
        <v>861</v>
      </c>
      <c r="O1940" s="9" t="s">
        <v>895</v>
      </c>
      <c r="P1940" s="9" t="s">
        <v>899</v>
      </c>
      <c r="Q1940" s="11"/>
      <c r="R1940" s="11"/>
      <c r="S1940" s="11">
        <v>66</v>
      </c>
      <c r="T1940" s="9"/>
      <c r="U1940" s="14" t="s">
        <v>77</v>
      </c>
      <c r="V1940" s="9"/>
      <c r="W1940" s="12">
        <v>30</v>
      </c>
      <c r="X1940" s="13"/>
      <c r="Y1940" s="13"/>
      <c r="Z1940" s="13"/>
      <c r="AA1940" s="13"/>
      <c r="AB1940" s="13"/>
      <c r="AC1940" s="13"/>
      <c r="AD1940" s="13"/>
      <c r="AE1940" s="13">
        <f t="shared" si="215"/>
        <v>0.19800000000000001</v>
      </c>
      <c r="AF1940" s="13"/>
      <c r="AG1940" s="13"/>
      <c r="AH1940" s="13"/>
      <c r="AI1940" s="13"/>
      <c r="AJ1940" s="13">
        <f t="shared" si="214"/>
        <v>0.19800000000000001</v>
      </c>
      <c r="AK1940" s="12"/>
      <c r="AL1940" s="13"/>
      <c r="AM1940" s="9"/>
      <c r="AN1940" s="9"/>
      <c r="AO1940" s="9"/>
      <c r="AP1940" s="14"/>
    </row>
    <row r="1941" spans="1:42" s="45" customFormat="1" ht="22" customHeight="1">
      <c r="A1941" s="14" t="s">
        <v>17</v>
      </c>
      <c r="B1941" s="8">
        <v>2024</v>
      </c>
      <c r="C1941" s="8" t="s">
        <v>24</v>
      </c>
      <c r="D1941" s="9" t="s">
        <v>185</v>
      </c>
      <c r="E1941" s="9" t="s">
        <v>115</v>
      </c>
      <c r="F1941" s="9" t="s">
        <v>434</v>
      </c>
      <c r="G1941" s="8"/>
      <c r="H1941" s="8"/>
      <c r="I1941" s="9" t="s">
        <v>11</v>
      </c>
      <c r="J1941" s="9" t="s">
        <v>11</v>
      </c>
      <c r="K1941" s="9" t="s">
        <v>82</v>
      </c>
      <c r="L1941" s="9" t="s">
        <v>171</v>
      </c>
      <c r="M1941" s="9" t="s">
        <v>860</v>
      </c>
      <c r="N1941" s="9" t="s">
        <v>861</v>
      </c>
      <c r="O1941" s="9" t="s">
        <v>900</v>
      </c>
      <c r="P1941" s="9" t="s">
        <v>900</v>
      </c>
      <c r="Q1941" s="11"/>
      <c r="R1941" s="11"/>
      <c r="S1941" s="11">
        <v>57</v>
      </c>
      <c r="T1941" s="9"/>
      <c r="U1941" s="14" t="s">
        <v>77</v>
      </c>
      <c r="V1941" s="9"/>
      <c r="W1941" s="12">
        <v>30</v>
      </c>
      <c r="X1941" s="13"/>
      <c r="Y1941" s="13"/>
      <c r="Z1941" s="13"/>
      <c r="AA1941" s="13"/>
      <c r="AB1941" s="13"/>
      <c r="AC1941" s="13"/>
      <c r="AD1941" s="13"/>
      <c r="AE1941" s="13">
        <f t="shared" si="215"/>
        <v>0.17100000000000001</v>
      </c>
      <c r="AF1941" s="13"/>
      <c r="AG1941" s="13"/>
      <c r="AH1941" s="13"/>
      <c r="AI1941" s="13"/>
      <c r="AJ1941" s="13">
        <f t="shared" si="214"/>
        <v>0.17100000000000001</v>
      </c>
      <c r="AK1941" s="12"/>
      <c r="AL1941" s="13"/>
      <c r="AM1941" s="9"/>
      <c r="AN1941" s="9"/>
      <c r="AO1941" s="9"/>
      <c r="AP1941" s="14"/>
    </row>
    <row r="1942" spans="1:42" s="45" customFormat="1" ht="22" customHeight="1">
      <c r="A1942" s="14" t="s">
        <v>17</v>
      </c>
      <c r="B1942" s="8">
        <v>2024</v>
      </c>
      <c r="C1942" s="8" t="s">
        <v>24</v>
      </c>
      <c r="D1942" s="9" t="s">
        <v>185</v>
      </c>
      <c r="E1942" s="9" t="s">
        <v>115</v>
      </c>
      <c r="F1942" s="9" t="s">
        <v>434</v>
      </c>
      <c r="G1942" s="8"/>
      <c r="H1942" s="8"/>
      <c r="I1942" s="9" t="s">
        <v>11</v>
      </c>
      <c r="J1942" s="9" t="s">
        <v>11</v>
      </c>
      <c r="K1942" s="9" t="s">
        <v>82</v>
      </c>
      <c r="L1942" s="9" t="s">
        <v>171</v>
      </c>
      <c r="M1942" s="9" t="s">
        <v>860</v>
      </c>
      <c r="N1942" s="9" t="s">
        <v>861</v>
      </c>
      <c r="O1942" s="9" t="s">
        <v>900</v>
      </c>
      <c r="P1942" s="9" t="s">
        <v>901</v>
      </c>
      <c r="Q1942" s="11"/>
      <c r="R1942" s="11"/>
      <c r="S1942" s="11">
        <v>35</v>
      </c>
      <c r="T1942" s="9"/>
      <c r="U1942" s="14" t="s">
        <v>77</v>
      </c>
      <c r="V1942" s="9"/>
      <c r="W1942" s="12">
        <v>30</v>
      </c>
      <c r="X1942" s="13"/>
      <c r="Y1942" s="13"/>
      <c r="Z1942" s="13"/>
      <c r="AA1942" s="13"/>
      <c r="AB1942" s="13"/>
      <c r="AC1942" s="13"/>
      <c r="AD1942" s="13"/>
      <c r="AE1942" s="13">
        <f t="shared" si="215"/>
        <v>0.105</v>
      </c>
      <c r="AF1942" s="13"/>
      <c r="AG1942" s="13"/>
      <c r="AH1942" s="13"/>
      <c r="AI1942" s="13"/>
      <c r="AJ1942" s="13">
        <f t="shared" si="214"/>
        <v>0.105</v>
      </c>
      <c r="AK1942" s="12"/>
      <c r="AL1942" s="13"/>
      <c r="AM1942" s="9"/>
      <c r="AN1942" s="9"/>
      <c r="AO1942" s="9"/>
      <c r="AP1942" s="14"/>
    </row>
    <row r="1943" spans="1:42" s="45" customFormat="1" ht="22" customHeight="1">
      <c r="A1943" s="14" t="s">
        <v>17</v>
      </c>
      <c r="B1943" s="8">
        <v>2024</v>
      </c>
      <c r="C1943" s="8" t="s">
        <v>24</v>
      </c>
      <c r="D1943" s="9" t="s">
        <v>185</v>
      </c>
      <c r="E1943" s="9" t="s">
        <v>115</v>
      </c>
      <c r="F1943" s="9" t="s">
        <v>434</v>
      </c>
      <c r="G1943" s="8"/>
      <c r="H1943" s="8"/>
      <c r="I1943" s="9" t="s">
        <v>11</v>
      </c>
      <c r="J1943" s="9" t="s">
        <v>11</v>
      </c>
      <c r="K1943" s="9" t="s">
        <v>82</v>
      </c>
      <c r="L1943" s="9" t="s">
        <v>171</v>
      </c>
      <c r="M1943" s="9" t="s">
        <v>860</v>
      </c>
      <c r="N1943" s="9" t="s">
        <v>861</v>
      </c>
      <c r="O1943" s="9" t="s">
        <v>900</v>
      </c>
      <c r="P1943" s="9" t="s">
        <v>902</v>
      </c>
      <c r="Q1943" s="11"/>
      <c r="R1943" s="11"/>
      <c r="S1943" s="11">
        <v>53</v>
      </c>
      <c r="T1943" s="9"/>
      <c r="U1943" s="14" t="s">
        <v>77</v>
      </c>
      <c r="V1943" s="9"/>
      <c r="W1943" s="12">
        <v>30</v>
      </c>
      <c r="X1943" s="13"/>
      <c r="Y1943" s="13"/>
      <c r="Z1943" s="13"/>
      <c r="AA1943" s="13"/>
      <c r="AB1943" s="13"/>
      <c r="AC1943" s="13"/>
      <c r="AD1943" s="13"/>
      <c r="AE1943" s="13">
        <f t="shared" si="215"/>
        <v>0.159</v>
      </c>
      <c r="AF1943" s="13"/>
      <c r="AG1943" s="13"/>
      <c r="AH1943" s="13"/>
      <c r="AI1943" s="13"/>
      <c r="AJ1943" s="13">
        <f t="shared" si="214"/>
        <v>0.159</v>
      </c>
      <c r="AK1943" s="12"/>
      <c r="AL1943" s="13"/>
      <c r="AM1943" s="9"/>
      <c r="AN1943" s="9"/>
      <c r="AO1943" s="9"/>
      <c r="AP1943" s="14"/>
    </row>
    <row r="1944" spans="1:42" s="45" customFormat="1" ht="22" customHeight="1">
      <c r="A1944" s="14" t="s">
        <v>17</v>
      </c>
      <c r="B1944" s="8">
        <v>2024</v>
      </c>
      <c r="C1944" s="8" t="s">
        <v>24</v>
      </c>
      <c r="D1944" s="9" t="s">
        <v>185</v>
      </c>
      <c r="E1944" s="9" t="s">
        <v>115</v>
      </c>
      <c r="F1944" s="9" t="s">
        <v>434</v>
      </c>
      <c r="G1944" s="8"/>
      <c r="H1944" s="8"/>
      <c r="I1944" s="9" t="s">
        <v>11</v>
      </c>
      <c r="J1944" s="9" t="s">
        <v>11</v>
      </c>
      <c r="K1944" s="9" t="s">
        <v>82</v>
      </c>
      <c r="L1944" s="9" t="s">
        <v>171</v>
      </c>
      <c r="M1944" s="9" t="s">
        <v>860</v>
      </c>
      <c r="N1944" s="9" t="s">
        <v>861</v>
      </c>
      <c r="O1944" s="9" t="s">
        <v>900</v>
      </c>
      <c r="P1944" s="9" t="s">
        <v>903</v>
      </c>
      <c r="Q1944" s="11"/>
      <c r="R1944" s="11"/>
      <c r="S1944" s="11">
        <v>38</v>
      </c>
      <c r="T1944" s="9"/>
      <c r="U1944" s="14" t="s">
        <v>77</v>
      </c>
      <c r="V1944" s="9"/>
      <c r="W1944" s="12">
        <v>30</v>
      </c>
      <c r="X1944" s="13"/>
      <c r="Y1944" s="13"/>
      <c r="Z1944" s="13"/>
      <c r="AA1944" s="13"/>
      <c r="AB1944" s="13"/>
      <c r="AC1944" s="13"/>
      <c r="AD1944" s="13"/>
      <c r="AE1944" s="13">
        <f t="shared" si="215"/>
        <v>0.114</v>
      </c>
      <c r="AF1944" s="13"/>
      <c r="AG1944" s="13"/>
      <c r="AH1944" s="13"/>
      <c r="AI1944" s="13"/>
      <c r="AJ1944" s="13">
        <f t="shared" si="214"/>
        <v>0.114</v>
      </c>
      <c r="AK1944" s="12"/>
      <c r="AL1944" s="13"/>
      <c r="AM1944" s="9"/>
      <c r="AN1944" s="9"/>
      <c r="AO1944" s="9"/>
      <c r="AP1944" s="14"/>
    </row>
    <row r="1945" spans="1:42" s="45" customFormat="1" ht="22" customHeight="1">
      <c r="A1945" s="14" t="s">
        <v>17</v>
      </c>
      <c r="B1945" s="8">
        <v>2024</v>
      </c>
      <c r="C1945" s="8" t="s">
        <v>24</v>
      </c>
      <c r="D1945" s="9" t="s">
        <v>185</v>
      </c>
      <c r="E1945" s="9" t="s">
        <v>115</v>
      </c>
      <c r="F1945" s="9" t="s">
        <v>434</v>
      </c>
      <c r="G1945" s="8"/>
      <c r="H1945" s="8"/>
      <c r="I1945" s="9" t="s">
        <v>11</v>
      </c>
      <c r="J1945" s="9" t="s">
        <v>11</v>
      </c>
      <c r="K1945" s="9" t="s">
        <v>82</v>
      </c>
      <c r="L1945" s="9" t="s">
        <v>171</v>
      </c>
      <c r="M1945" s="9" t="s">
        <v>860</v>
      </c>
      <c r="N1945" s="9" t="s">
        <v>861</v>
      </c>
      <c r="O1945" s="9" t="s">
        <v>904</v>
      </c>
      <c r="P1945" s="9" t="s">
        <v>905</v>
      </c>
      <c r="Q1945" s="11"/>
      <c r="R1945" s="11"/>
      <c r="S1945" s="11">
        <v>23</v>
      </c>
      <c r="T1945" s="9"/>
      <c r="U1945" s="14" t="s">
        <v>77</v>
      </c>
      <c r="V1945" s="9"/>
      <c r="W1945" s="12">
        <v>30</v>
      </c>
      <c r="X1945" s="13"/>
      <c r="Y1945" s="13"/>
      <c r="Z1945" s="13"/>
      <c r="AA1945" s="13"/>
      <c r="AB1945" s="13"/>
      <c r="AC1945" s="13"/>
      <c r="AD1945" s="13"/>
      <c r="AE1945" s="13">
        <f t="shared" si="215"/>
        <v>6.9000000000000006E-2</v>
      </c>
      <c r="AF1945" s="13"/>
      <c r="AG1945" s="13"/>
      <c r="AH1945" s="13"/>
      <c r="AI1945" s="13"/>
      <c r="AJ1945" s="13">
        <f t="shared" si="214"/>
        <v>6.9000000000000006E-2</v>
      </c>
      <c r="AK1945" s="12"/>
      <c r="AL1945" s="13"/>
      <c r="AM1945" s="9"/>
      <c r="AN1945" s="9"/>
      <c r="AO1945" s="9"/>
      <c r="AP1945" s="14"/>
    </row>
    <row r="1946" spans="1:42" s="45" customFormat="1" ht="22" customHeight="1">
      <c r="A1946" s="14" t="s">
        <v>17</v>
      </c>
      <c r="B1946" s="8">
        <v>2024</v>
      </c>
      <c r="C1946" s="8" t="s">
        <v>24</v>
      </c>
      <c r="D1946" s="9" t="s">
        <v>185</v>
      </c>
      <c r="E1946" s="9" t="s">
        <v>115</v>
      </c>
      <c r="F1946" s="9" t="s">
        <v>434</v>
      </c>
      <c r="G1946" s="8"/>
      <c r="H1946" s="8"/>
      <c r="I1946" s="9" t="s">
        <v>11</v>
      </c>
      <c r="J1946" s="9" t="s">
        <v>11</v>
      </c>
      <c r="K1946" s="9" t="s">
        <v>82</v>
      </c>
      <c r="L1946" s="9" t="s">
        <v>171</v>
      </c>
      <c r="M1946" s="9" t="s">
        <v>860</v>
      </c>
      <c r="N1946" s="9" t="s">
        <v>861</v>
      </c>
      <c r="O1946" s="9" t="s">
        <v>904</v>
      </c>
      <c r="P1946" s="9" t="s">
        <v>559</v>
      </c>
      <c r="Q1946" s="11"/>
      <c r="R1946" s="11"/>
      <c r="S1946" s="11">
        <v>40</v>
      </c>
      <c r="T1946" s="9"/>
      <c r="U1946" s="14" t="s">
        <v>77</v>
      </c>
      <c r="V1946" s="9"/>
      <c r="W1946" s="12">
        <v>30</v>
      </c>
      <c r="X1946" s="13"/>
      <c r="Y1946" s="13"/>
      <c r="Z1946" s="13"/>
      <c r="AA1946" s="13"/>
      <c r="AB1946" s="13"/>
      <c r="AC1946" s="13"/>
      <c r="AD1946" s="13"/>
      <c r="AE1946" s="13">
        <f t="shared" si="215"/>
        <v>0.12</v>
      </c>
      <c r="AF1946" s="13"/>
      <c r="AG1946" s="13"/>
      <c r="AH1946" s="13"/>
      <c r="AI1946" s="13"/>
      <c r="AJ1946" s="13">
        <f t="shared" si="214"/>
        <v>0.12</v>
      </c>
      <c r="AK1946" s="12"/>
      <c r="AL1946" s="13"/>
      <c r="AM1946" s="9"/>
      <c r="AN1946" s="9"/>
      <c r="AO1946" s="9"/>
      <c r="AP1946" s="14"/>
    </row>
    <row r="1947" spans="1:42" s="45" customFormat="1" ht="22" customHeight="1">
      <c r="A1947" s="14" t="s">
        <v>17</v>
      </c>
      <c r="B1947" s="8">
        <v>2024</v>
      </c>
      <c r="C1947" s="8" t="s">
        <v>24</v>
      </c>
      <c r="D1947" s="9" t="s">
        <v>185</v>
      </c>
      <c r="E1947" s="9" t="s">
        <v>115</v>
      </c>
      <c r="F1947" s="9" t="s">
        <v>434</v>
      </c>
      <c r="G1947" s="8"/>
      <c r="H1947" s="8"/>
      <c r="I1947" s="9" t="s">
        <v>11</v>
      </c>
      <c r="J1947" s="9" t="s">
        <v>11</v>
      </c>
      <c r="K1947" s="9" t="s">
        <v>82</v>
      </c>
      <c r="L1947" s="9" t="s">
        <v>171</v>
      </c>
      <c r="M1947" s="9" t="s">
        <v>860</v>
      </c>
      <c r="N1947" s="9" t="s">
        <v>861</v>
      </c>
      <c r="O1947" s="9" t="s">
        <v>904</v>
      </c>
      <c r="P1947" s="9" t="s">
        <v>906</v>
      </c>
      <c r="Q1947" s="11"/>
      <c r="R1947" s="11"/>
      <c r="S1947" s="11">
        <v>33</v>
      </c>
      <c r="T1947" s="9"/>
      <c r="U1947" s="14" t="s">
        <v>77</v>
      </c>
      <c r="V1947" s="9"/>
      <c r="W1947" s="12">
        <v>30</v>
      </c>
      <c r="X1947" s="13"/>
      <c r="Y1947" s="13"/>
      <c r="Z1947" s="13"/>
      <c r="AA1947" s="13"/>
      <c r="AB1947" s="13"/>
      <c r="AC1947" s="13"/>
      <c r="AD1947" s="13"/>
      <c r="AE1947" s="13">
        <f t="shared" si="215"/>
        <v>9.9000000000000005E-2</v>
      </c>
      <c r="AF1947" s="13"/>
      <c r="AG1947" s="13"/>
      <c r="AH1947" s="13"/>
      <c r="AI1947" s="13"/>
      <c r="AJ1947" s="13">
        <f t="shared" si="214"/>
        <v>9.9000000000000005E-2</v>
      </c>
      <c r="AK1947" s="12"/>
      <c r="AL1947" s="13"/>
      <c r="AM1947" s="9"/>
      <c r="AN1947" s="9"/>
      <c r="AO1947" s="9"/>
      <c r="AP1947" s="14"/>
    </row>
    <row r="1948" spans="1:42" s="45" customFormat="1" ht="22" customHeight="1">
      <c r="A1948" s="14" t="s">
        <v>17</v>
      </c>
      <c r="B1948" s="8">
        <v>2024</v>
      </c>
      <c r="C1948" s="8" t="s">
        <v>24</v>
      </c>
      <c r="D1948" s="9" t="s">
        <v>185</v>
      </c>
      <c r="E1948" s="9" t="s">
        <v>115</v>
      </c>
      <c r="F1948" s="9" t="s">
        <v>434</v>
      </c>
      <c r="G1948" s="8"/>
      <c r="H1948" s="8"/>
      <c r="I1948" s="9" t="s">
        <v>11</v>
      </c>
      <c r="J1948" s="9" t="s">
        <v>11</v>
      </c>
      <c r="K1948" s="9" t="s">
        <v>82</v>
      </c>
      <c r="L1948" s="9" t="s">
        <v>171</v>
      </c>
      <c r="M1948" s="9" t="s">
        <v>860</v>
      </c>
      <c r="N1948" s="9" t="s">
        <v>861</v>
      </c>
      <c r="O1948" s="9" t="s">
        <v>904</v>
      </c>
      <c r="P1948" s="9" t="s">
        <v>907</v>
      </c>
      <c r="Q1948" s="11"/>
      <c r="R1948" s="11"/>
      <c r="S1948" s="11">
        <v>30</v>
      </c>
      <c r="T1948" s="9"/>
      <c r="U1948" s="14" t="s">
        <v>77</v>
      </c>
      <c r="V1948" s="9"/>
      <c r="W1948" s="12">
        <v>30</v>
      </c>
      <c r="X1948" s="13"/>
      <c r="Y1948" s="13"/>
      <c r="Z1948" s="13"/>
      <c r="AA1948" s="13"/>
      <c r="AB1948" s="13"/>
      <c r="AC1948" s="13"/>
      <c r="AD1948" s="13"/>
      <c r="AE1948" s="13">
        <f t="shared" si="215"/>
        <v>0.09</v>
      </c>
      <c r="AF1948" s="13"/>
      <c r="AG1948" s="13"/>
      <c r="AH1948" s="13"/>
      <c r="AI1948" s="13"/>
      <c r="AJ1948" s="13">
        <f t="shared" si="214"/>
        <v>0.09</v>
      </c>
      <c r="AK1948" s="12"/>
      <c r="AL1948" s="13"/>
      <c r="AM1948" s="9"/>
      <c r="AN1948" s="9"/>
      <c r="AO1948" s="9"/>
      <c r="AP1948" s="14"/>
    </row>
    <row r="1949" spans="1:42" s="45" customFormat="1" ht="22" customHeight="1">
      <c r="A1949" s="14" t="s">
        <v>17</v>
      </c>
      <c r="B1949" s="8">
        <v>2024</v>
      </c>
      <c r="C1949" s="8" t="s">
        <v>24</v>
      </c>
      <c r="D1949" s="9" t="s">
        <v>185</v>
      </c>
      <c r="E1949" s="9" t="s">
        <v>115</v>
      </c>
      <c r="F1949" s="9" t="s">
        <v>434</v>
      </c>
      <c r="G1949" s="8"/>
      <c r="H1949" s="8"/>
      <c r="I1949" s="9" t="s">
        <v>11</v>
      </c>
      <c r="J1949" s="9" t="s">
        <v>11</v>
      </c>
      <c r="K1949" s="9" t="s">
        <v>82</v>
      </c>
      <c r="L1949" s="9" t="s">
        <v>171</v>
      </c>
      <c r="M1949" s="9" t="s">
        <v>860</v>
      </c>
      <c r="N1949" s="9" t="s">
        <v>861</v>
      </c>
      <c r="O1949" s="9" t="s">
        <v>904</v>
      </c>
      <c r="P1949" s="9" t="s">
        <v>908</v>
      </c>
      <c r="Q1949" s="11"/>
      <c r="R1949" s="11"/>
      <c r="S1949" s="11">
        <v>14</v>
      </c>
      <c r="T1949" s="9"/>
      <c r="U1949" s="14" t="s">
        <v>77</v>
      </c>
      <c r="V1949" s="9"/>
      <c r="W1949" s="12">
        <v>30</v>
      </c>
      <c r="X1949" s="13"/>
      <c r="Y1949" s="13"/>
      <c r="Z1949" s="13"/>
      <c r="AA1949" s="13"/>
      <c r="AB1949" s="13"/>
      <c r="AC1949" s="13"/>
      <c r="AD1949" s="13"/>
      <c r="AE1949" s="13">
        <f t="shared" si="215"/>
        <v>4.2000000000000003E-2</v>
      </c>
      <c r="AF1949" s="13"/>
      <c r="AG1949" s="13"/>
      <c r="AH1949" s="13"/>
      <c r="AI1949" s="13"/>
      <c r="AJ1949" s="13">
        <f t="shared" si="214"/>
        <v>4.2000000000000003E-2</v>
      </c>
      <c r="AK1949" s="12"/>
      <c r="AL1949" s="13"/>
      <c r="AM1949" s="9"/>
      <c r="AN1949" s="9"/>
      <c r="AO1949" s="9"/>
      <c r="AP1949" s="14"/>
    </row>
    <row r="1950" spans="1:42" s="45" customFormat="1" ht="22" customHeight="1">
      <c r="A1950" s="14" t="s">
        <v>17</v>
      </c>
      <c r="B1950" s="8">
        <v>2024</v>
      </c>
      <c r="C1950" s="8" t="s">
        <v>24</v>
      </c>
      <c r="D1950" s="9" t="s">
        <v>185</v>
      </c>
      <c r="E1950" s="9" t="s">
        <v>115</v>
      </c>
      <c r="F1950" s="9" t="s">
        <v>434</v>
      </c>
      <c r="G1950" s="8"/>
      <c r="H1950" s="8"/>
      <c r="I1950" s="9" t="s">
        <v>11</v>
      </c>
      <c r="J1950" s="9" t="s">
        <v>11</v>
      </c>
      <c r="K1950" s="9" t="s">
        <v>82</v>
      </c>
      <c r="L1950" s="9" t="s">
        <v>171</v>
      </c>
      <c r="M1950" s="9" t="s">
        <v>860</v>
      </c>
      <c r="N1950" s="9" t="s">
        <v>861</v>
      </c>
      <c r="O1950" s="9" t="s">
        <v>909</v>
      </c>
      <c r="P1950" s="9" t="s">
        <v>910</v>
      </c>
      <c r="Q1950" s="11"/>
      <c r="R1950" s="11"/>
      <c r="S1950" s="11">
        <v>58</v>
      </c>
      <c r="T1950" s="9"/>
      <c r="U1950" s="14" t="s">
        <v>77</v>
      </c>
      <c r="V1950" s="9"/>
      <c r="W1950" s="12">
        <v>30</v>
      </c>
      <c r="X1950" s="13"/>
      <c r="Y1950" s="13"/>
      <c r="Z1950" s="13"/>
      <c r="AA1950" s="13"/>
      <c r="AB1950" s="13"/>
      <c r="AC1950" s="13"/>
      <c r="AD1950" s="13"/>
      <c r="AE1950" s="13">
        <f t="shared" si="215"/>
        <v>0.17399999999999999</v>
      </c>
      <c r="AF1950" s="13"/>
      <c r="AG1950" s="13"/>
      <c r="AH1950" s="13"/>
      <c r="AI1950" s="13"/>
      <c r="AJ1950" s="13">
        <f t="shared" si="214"/>
        <v>0.17399999999999999</v>
      </c>
      <c r="AK1950" s="12"/>
      <c r="AL1950" s="13"/>
      <c r="AM1950" s="9"/>
      <c r="AN1950" s="9"/>
      <c r="AO1950" s="9"/>
      <c r="AP1950" s="14"/>
    </row>
    <row r="1951" spans="1:42" s="45" customFormat="1" ht="22" customHeight="1">
      <c r="A1951" s="14" t="s">
        <v>17</v>
      </c>
      <c r="B1951" s="8">
        <v>2024</v>
      </c>
      <c r="C1951" s="8" t="s">
        <v>24</v>
      </c>
      <c r="D1951" s="9" t="s">
        <v>185</v>
      </c>
      <c r="E1951" s="9" t="s">
        <v>115</v>
      </c>
      <c r="F1951" s="9" t="s">
        <v>434</v>
      </c>
      <c r="G1951" s="8"/>
      <c r="H1951" s="8"/>
      <c r="I1951" s="9" t="s">
        <v>11</v>
      </c>
      <c r="J1951" s="9" t="s">
        <v>11</v>
      </c>
      <c r="K1951" s="9" t="s">
        <v>82</v>
      </c>
      <c r="L1951" s="9" t="s">
        <v>171</v>
      </c>
      <c r="M1951" s="9" t="s">
        <v>860</v>
      </c>
      <c r="N1951" s="9" t="s">
        <v>861</v>
      </c>
      <c r="O1951" s="9" t="s">
        <v>909</v>
      </c>
      <c r="P1951" s="9" t="s">
        <v>911</v>
      </c>
      <c r="Q1951" s="11"/>
      <c r="R1951" s="11"/>
      <c r="S1951" s="11">
        <v>40</v>
      </c>
      <c r="T1951" s="9"/>
      <c r="U1951" s="14" t="s">
        <v>77</v>
      </c>
      <c r="V1951" s="9"/>
      <c r="W1951" s="12">
        <v>30</v>
      </c>
      <c r="X1951" s="13"/>
      <c r="Y1951" s="13"/>
      <c r="Z1951" s="13"/>
      <c r="AA1951" s="13"/>
      <c r="AB1951" s="13"/>
      <c r="AC1951" s="13"/>
      <c r="AD1951" s="13"/>
      <c r="AE1951" s="13">
        <f t="shared" si="215"/>
        <v>0.12</v>
      </c>
      <c r="AF1951" s="13"/>
      <c r="AG1951" s="13"/>
      <c r="AH1951" s="13"/>
      <c r="AI1951" s="13"/>
      <c r="AJ1951" s="13">
        <f t="shared" si="214"/>
        <v>0.12</v>
      </c>
      <c r="AK1951" s="12"/>
      <c r="AL1951" s="13"/>
      <c r="AM1951" s="9"/>
      <c r="AN1951" s="9"/>
      <c r="AO1951" s="9"/>
      <c r="AP1951" s="14"/>
    </row>
    <row r="1952" spans="1:42" s="45" customFormat="1" ht="22" customHeight="1">
      <c r="A1952" s="14" t="s">
        <v>17</v>
      </c>
      <c r="B1952" s="8">
        <v>2024</v>
      </c>
      <c r="C1952" s="8" t="s">
        <v>24</v>
      </c>
      <c r="D1952" s="9" t="s">
        <v>185</v>
      </c>
      <c r="E1952" s="9" t="s">
        <v>115</v>
      </c>
      <c r="F1952" s="9" t="s">
        <v>434</v>
      </c>
      <c r="G1952" s="8"/>
      <c r="H1952" s="8"/>
      <c r="I1952" s="9" t="s">
        <v>11</v>
      </c>
      <c r="J1952" s="9" t="s">
        <v>11</v>
      </c>
      <c r="K1952" s="9" t="s">
        <v>82</v>
      </c>
      <c r="L1952" s="9" t="s">
        <v>171</v>
      </c>
      <c r="M1952" s="9" t="s">
        <v>860</v>
      </c>
      <c r="N1952" s="9" t="s">
        <v>861</v>
      </c>
      <c r="O1952" s="9" t="s">
        <v>909</v>
      </c>
      <c r="P1952" s="9" t="s">
        <v>912</v>
      </c>
      <c r="Q1952" s="11"/>
      <c r="R1952" s="11"/>
      <c r="S1952" s="11">
        <v>68</v>
      </c>
      <c r="T1952" s="9"/>
      <c r="U1952" s="14" t="s">
        <v>77</v>
      </c>
      <c r="V1952" s="9"/>
      <c r="W1952" s="12">
        <v>30</v>
      </c>
      <c r="X1952" s="13"/>
      <c r="Y1952" s="13"/>
      <c r="Z1952" s="13"/>
      <c r="AA1952" s="13"/>
      <c r="AB1952" s="13"/>
      <c r="AC1952" s="13"/>
      <c r="AD1952" s="13"/>
      <c r="AE1952" s="13">
        <f t="shared" si="215"/>
        <v>0.20399999999999999</v>
      </c>
      <c r="AF1952" s="13"/>
      <c r="AG1952" s="13"/>
      <c r="AH1952" s="13"/>
      <c r="AI1952" s="13"/>
      <c r="AJ1952" s="13">
        <f t="shared" si="214"/>
        <v>0.20399999999999999</v>
      </c>
      <c r="AK1952" s="12"/>
      <c r="AL1952" s="13"/>
      <c r="AM1952" s="9"/>
      <c r="AN1952" s="9"/>
      <c r="AO1952" s="9"/>
      <c r="AP1952" s="14"/>
    </row>
    <row r="1953" spans="1:42" s="45" customFormat="1" ht="22" customHeight="1">
      <c r="A1953" s="14" t="s">
        <v>17</v>
      </c>
      <c r="B1953" s="8">
        <v>2024</v>
      </c>
      <c r="C1953" s="8" t="s">
        <v>24</v>
      </c>
      <c r="D1953" s="9" t="s">
        <v>185</v>
      </c>
      <c r="E1953" s="9" t="s">
        <v>115</v>
      </c>
      <c r="F1953" s="9" t="s">
        <v>434</v>
      </c>
      <c r="G1953" s="8"/>
      <c r="H1953" s="8"/>
      <c r="I1953" s="9" t="s">
        <v>11</v>
      </c>
      <c r="J1953" s="9" t="s">
        <v>11</v>
      </c>
      <c r="K1953" s="9" t="s">
        <v>82</v>
      </c>
      <c r="L1953" s="9" t="s">
        <v>171</v>
      </c>
      <c r="M1953" s="9" t="s">
        <v>860</v>
      </c>
      <c r="N1953" s="9" t="s">
        <v>861</v>
      </c>
      <c r="O1953" s="9" t="s">
        <v>909</v>
      </c>
      <c r="P1953" s="9" t="s">
        <v>913</v>
      </c>
      <c r="Q1953" s="11"/>
      <c r="R1953" s="11"/>
      <c r="S1953" s="11">
        <v>83</v>
      </c>
      <c r="T1953" s="9"/>
      <c r="U1953" s="14" t="s">
        <v>77</v>
      </c>
      <c r="V1953" s="9"/>
      <c r="W1953" s="12">
        <v>30</v>
      </c>
      <c r="X1953" s="13"/>
      <c r="Y1953" s="13"/>
      <c r="Z1953" s="13"/>
      <c r="AA1953" s="13"/>
      <c r="AB1953" s="13"/>
      <c r="AC1953" s="13"/>
      <c r="AD1953" s="13"/>
      <c r="AE1953" s="13">
        <f t="shared" si="215"/>
        <v>0.249</v>
      </c>
      <c r="AF1953" s="13"/>
      <c r="AG1953" s="13"/>
      <c r="AH1953" s="13"/>
      <c r="AI1953" s="13"/>
      <c r="AJ1953" s="13">
        <f t="shared" si="214"/>
        <v>0.249</v>
      </c>
      <c r="AK1953" s="12"/>
      <c r="AL1953" s="13"/>
      <c r="AM1953" s="9"/>
      <c r="AN1953" s="9"/>
      <c r="AO1953" s="9"/>
      <c r="AP1953" s="14"/>
    </row>
    <row r="1954" spans="1:42" s="45" customFormat="1" ht="22" customHeight="1">
      <c r="A1954" s="14" t="s">
        <v>17</v>
      </c>
      <c r="B1954" s="8">
        <v>2024</v>
      </c>
      <c r="C1954" s="8" t="s">
        <v>24</v>
      </c>
      <c r="D1954" s="9" t="s">
        <v>185</v>
      </c>
      <c r="E1954" s="9" t="s">
        <v>115</v>
      </c>
      <c r="F1954" s="9" t="s">
        <v>434</v>
      </c>
      <c r="G1954" s="8"/>
      <c r="H1954" s="8"/>
      <c r="I1954" s="9" t="s">
        <v>11</v>
      </c>
      <c r="J1954" s="9" t="s">
        <v>11</v>
      </c>
      <c r="K1954" s="9" t="s">
        <v>82</v>
      </c>
      <c r="L1954" s="9" t="s">
        <v>171</v>
      </c>
      <c r="M1954" s="9" t="s">
        <v>860</v>
      </c>
      <c r="N1954" s="9" t="s">
        <v>861</v>
      </c>
      <c r="O1954" s="9" t="s">
        <v>909</v>
      </c>
      <c r="P1954" s="9" t="s">
        <v>914</v>
      </c>
      <c r="Q1954" s="11"/>
      <c r="R1954" s="11"/>
      <c r="S1954" s="11">
        <v>29</v>
      </c>
      <c r="T1954" s="9"/>
      <c r="U1954" s="14" t="s">
        <v>77</v>
      </c>
      <c r="V1954" s="9"/>
      <c r="W1954" s="12">
        <v>30</v>
      </c>
      <c r="X1954" s="13"/>
      <c r="Y1954" s="13"/>
      <c r="Z1954" s="13"/>
      <c r="AA1954" s="13"/>
      <c r="AB1954" s="13"/>
      <c r="AC1954" s="13"/>
      <c r="AD1954" s="13"/>
      <c r="AE1954" s="13">
        <f t="shared" si="215"/>
        <v>8.6999999999999994E-2</v>
      </c>
      <c r="AF1954" s="13"/>
      <c r="AG1954" s="13"/>
      <c r="AH1954" s="13"/>
      <c r="AI1954" s="13"/>
      <c r="AJ1954" s="13">
        <f t="shared" si="214"/>
        <v>8.6999999999999994E-2</v>
      </c>
      <c r="AK1954" s="12"/>
      <c r="AL1954" s="13"/>
      <c r="AM1954" s="9"/>
      <c r="AN1954" s="9"/>
      <c r="AO1954" s="9"/>
      <c r="AP1954" s="14"/>
    </row>
    <row r="1955" spans="1:42" s="45" customFormat="1" ht="22" customHeight="1">
      <c r="A1955" s="14" t="s">
        <v>17</v>
      </c>
      <c r="B1955" s="8">
        <v>2024</v>
      </c>
      <c r="C1955" s="8" t="s">
        <v>24</v>
      </c>
      <c r="D1955" s="9" t="s">
        <v>185</v>
      </c>
      <c r="E1955" s="9" t="s">
        <v>115</v>
      </c>
      <c r="F1955" s="9" t="s">
        <v>434</v>
      </c>
      <c r="G1955" s="8"/>
      <c r="H1955" s="8"/>
      <c r="I1955" s="9" t="s">
        <v>11</v>
      </c>
      <c r="J1955" s="9" t="s">
        <v>11</v>
      </c>
      <c r="K1955" s="9" t="s">
        <v>82</v>
      </c>
      <c r="L1955" s="9" t="s">
        <v>171</v>
      </c>
      <c r="M1955" s="9" t="s">
        <v>860</v>
      </c>
      <c r="N1955" s="9" t="s">
        <v>861</v>
      </c>
      <c r="O1955" s="9" t="s">
        <v>909</v>
      </c>
      <c r="P1955" s="9" t="s">
        <v>915</v>
      </c>
      <c r="Q1955" s="11"/>
      <c r="R1955" s="11"/>
      <c r="S1955" s="11">
        <v>70</v>
      </c>
      <c r="T1955" s="9"/>
      <c r="U1955" s="14" t="s">
        <v>77</v>
      </c>
      <c r="V1955" s="9"/>
      <c r="W1955" s="12">
        <v>30</v>
      </c>
      <c r="X1955" s="13"/>
      <c r="Y1955" s="13"/>
      <c r="Z1955" s="13"/>
      <c r="AA1955" s="13"/>
      <c r="AB1955" s="13"/>
      <c r="AC1955" s="13"/>
      <c r="AD1955" s="13"/>
      <c r="AE1955" s="13">
        <f t="shared" si="215"/>
        <v>0.21</v>
      </c>
      <c r="AF1955" s="13"/>
      <c r="AG1955" s="13"/>
      <c r="AH1955" s="13"/>
      <c r="AI1955" s="13"/>
      <c r="AJ1955" s="13">
        <f t="shared" si="214"/>
        <v>0.21</v>
      </c>
      <c r="AK1955" s="12"/>
      <c r="AL1955" s="13"/>
      <c r="AM1955" s="9"/>
      <c r="AN1955" s="9"/>
      <c r="AO1955" s="9"/>
      <c r="AP1955" s="14"/>
    </row>
    <row r="1956" spans="1:42" s="45" customFormat="1" ht="22" customHeight="1">
      <c r="A1956" s="14" t="s">
        <v>17</v>
      </c>
      <c r="B1956" s="8">
        <v>2024</v>
      </c>
      <c r="C1956" s="8" t="s">
        <v>24</v>
      </c>
      <c r="D1956" s="9" t="s">
        <v>185</v>
      </c>
      <c r="E1956" s="9" t="s">
        <v>115</v>
      </c>
      <c r="F1956" s="9" t="s">
        <v>434</v>
      </c>
      <c r="G1956" s="8"/>
      <c r="H1956" s="8"/>
      <c r="I1956" s="9" t="s">
        <v>11</v>
      </c>
      <c r="J1956" s="9" t="s">
        <v>11</v>
      </c>
      <c r="K1956" s="9" t="s">
        <v>82</v>
      </c>
      <c r="L1956" s="9" t="s">
        <v>171</v>
      </c>
      <c r="M1956" s="9" t="s">
        <v>860</v>
      </c>
      <c r="N1956" s="9" t="s">
        <v>861</v>
      </c>
      <c r="O1956" s="9" t="s">
        <v>909</v>
      </c>
      <c r="P1956" s="9" t="s">
        <v>916</v>
      </c>
      <c r="Q1956" s="11"/>
      <c r="R1956" s="11"/>
      <c r="S1956" s="11">
        <v>31</v>
      </c>
      <c r="T1956" s="9"/>
      <c r="U1956" s="14" t="s">
        <v>77</v>
      </c>
      <c r="V1956" s="9"/>
      <c r="W1956" s="12">
        <v>30</v>
      </c>
      <c r="X1956" s="13"/>
      <c r="Y1956" s="13"/>
      <c r="Z1956" s="13"/>
      <c r="AA1956" s="13"/>
      <c r="AB1956" s="13"/>
      <c r="AC1956" s="13"/>
      <c r="AD1956" s="13"/>
      <c r="AE1956" s="13">
        <f t="shared" si="215"/>
        <v>9.2999999999999999E-2</v>
      </c>
      <c r="AF1956" s="13"/>
      <c r="AG1956" s="13"/>
      <c r="AH1956" s="13"/>
      <c r="AI1956" s="13"/>
      <c r="AJ1956" s="13">
        <f t="shared" si="214"/>
        <v>9.2999999999999999E-2</v>
      </c>
      <c r="AK1956" s="12"/>
      <c r="AL1956" s="13"/>
      <c r="AM1956" s="9"/>
      <c r="AN1956" s="9"/>
      <c r="AO1956" s="9"/>
      <c r="AP1956" s="14"/>
    </row>
    <row r="1957" spans="1:42" s="45" customFormat="1" ht="22" customHeight="1">
      <c r="A1957" s="14" t="s">
        <v>17</v>
      </c>
      <c r="B1957" s="8">
        <v>2024</v>
      </c>
      <c r="C1957" s="8" t="s">
        <v>24</v>
      </c>
      <c r="D1957" s="9" t="s">
        <v>185</v>
      </c>
      <c r="E1957" s="9" t="s">
        <v>115</v>
      </c>
      <c r="F1957" s="9" t="s">
        <v>434</v>
      </c>
      <c r="G1957" s="8"/>
      <c r="H1957" s="8"/>
      <c r="I1957" s="9" t="s">
        <v>11</v>
      </c>
      <c r="J1957" s="9" t="s">
        <v>11</v>
      </c>
      <c r="K1957" s="9" t="s">
        <v>82</v>
      </c>
      <c r="L1957" s="9" t="s">
        <v>171</v>
      </c>
      <c r="M1957" s="9" t="s">
        <v>860</v>
      </c>
      <c r="N1957" s="9" t="s">
        <v>861</v>
      </c>
      <c r="O1957" s="9" t="s">
        <v>909</v>
      </c>
      <c r="P1957" s="9" t="s">
        <v>917</v>
      </c>
      <c r="Q1957" s="11"/>
      <c r="R1957" s="11"/>
      <c r="S1957" s="11">
        <v>43</v>
      </c>
      <c r="T1957" s="9"/>
      <c r="U1957" s="14" t="s">
        <v>77</v>
      </c>
      <c r="V1957" s="9"/>
      <c r="W1957" s="12">
        <v>30</v>
      </c>
      <c r="X1957" s="13"/>
      <c r="Y1957" s="13"/>
      <c r="Z1957" s="13"/>
      <c r="AA1957" s="13"/>
      <c r="AB1957" s="13"/>
      <c r="AC1957" s="13"/>
      <c r="AD1957" s="13"/>
      <c r="AE1957" s="13">
        <f t="shared" si="215"/>
        <v>0.129</v>
      </c>
      <c r="AF1957" s="13"/>
      <c r="AG1957" s="13"/>
      <c r="AH1957" s="13"/>
      <c r="AI1957" s="13"/>
      <c r="AJ1957" s="13">
        <f t="shared" si="214"/>
        <v>0.129</v>
      </c>
      <c r="AK1957" s="12"/>
      <c r="AL1957" s="13"/>
      <c r="AM1957" s="9"/>
      <c r="AN1957" s="9"/>
      <c r="AO1957" s="9"/>
      <c r="AP1957" s="14"/>
    </row>
    <row r="1958" spans="1:42" s="45" customFormat="1" ht="22" customHeight="1">
      <c r="A1958" s="14" t="s">
        <v>17</v>
      </c>
      <c r="B1958" s="8">
        <v>2024</v>
      </c>
      <c r="C1958" s="8" t="s">
        <v>24</v>
      </c>
      <c r="D1958" s="9" t="s">
        <v>185</v>
      </c>
      <c r="E1958" s="9" t="s">
        <v>115</v>
      </c>
      <c r="F1958" s="9" t="s">
        <v>434</v>
      </c>
      <c r="G1958" s="8"/>
      <c r="H1958" s="8"/>
      <c r="I1958" s="9" t="s">
        <v>11</v>
      </c>
      <c r="J1958" s="9" t="s">
        <v>11</v>
      </c>
      <c r="K1958" s="9" t="s">
        <v>82</v>
      </c>
      <c r="L1958" s="9" t="s">
        <v>171</v>
      </c>
      <c r="M1958" s="9" t="s">
        <v>860</v>
      </c>
      <c r="N1958" s="9" t="s">
        <v>861</v>
      </c>
      <c r="O1958" s="9" t="s">
        <v>909</v>
      </c>
      <c r="P1958" s="9" t="s">
        <v>918</v>
      </c>
      <c r="Q1958" s="11"/>
      <c r="R1958" s="11"/>
      <c r="S1958" s="11">
        <v>67</v>
      </c>
      <c r="T1958" s="9"/>
      <c r="U1958" s="14" t="s">
        <v>77</v>
      </c>
      <c r="V1958" s="9"/>
      <c r="W1958" s="12">
        <v>30</v>
      </c>
      <c r="X1958" s="13"/>
      <c r="Y1958" s="13"/>
      <c r="Z1958" s="13"/>
      <c r="AA1958" s="13"/>
      <c r="AB1958" s="13"/>
      <c r="AC1958" s="13"/>
      <c r="AD1958" s="13"/>
      <c r="AE1958" s="13">
        <f t="shared" si="215"/>
        <v>0.20100000000000001</v>
      </c>
      <c r="AF1958" s="13"/>
      <c r="AG1958" s="13"/>
      <c r="AH1958" s="13"/>
      <c r="AI1958" s="13"/>
      <c r="AJ1958" s="13">
        <f t="shared" si="214"/>
        <v>0.20100000000000001</v>
      </c>
      <c r="AK1958" s="12"/>
      <c r="AL1958" s="13"/>
      <c r="AM1958" s="9"/>
      <c r="AN1958" s="9"/>
      <c r="AO1958" s="9"/>
      <c r="AP1958" s="14"/>
    </row>
    <row r="1959" spans="1:42" s="45" customFormat="1" ht="22" customHeight="1">
      <c r="A1959" s="14" t="s">
        <v>17</v>
      </c>
      <c r="B1959" s="8">
        <v>2024</v>
      </c>
      <c r="C1959" s="8" t="s">
        <v>24</v>
      </c>
      <c r="D1959" s="9" t="s">
        <v>185</v>
      </c>
      <c r="E1959" s="9" t="s">
        <v>115</v>
      </c>
      <c r="F1959" s="9" t="s">
        <v>434</v>
      </c>
      <c r="G1959" s="8"/>
      <c r="H1959" s="8"/>
      <c r="I1959" s="9" t="s">
        <v>11</v>
      </c>
      <c r="J1959" s="9" t="s">
        <v>11</v>
      </c>
      <c r="K1959" s="9" t="s">
        <v>82</v>
      </c>
      <c r="L1959" s="9" t="s">
        <v>171</v>
      </c>
      <c r="M1959" s="9" t="s">
        <v>860</v>
      </c>
      <c r="N1959" s="9" t="s">
        <v>861</v>
      </c>
      <c r="O1959" s="9" t="s">
        <v>919</v>
      </c>
      <c r="P1959" s="9" t="s">
        <v>920</v>
      </c>
      <c r="Q1959" s="11"/>
      <c r="R1959" s="11"/>
      <c r="S1959" s="11">
        <v>28</v>
      </c>
      <c r="T1959" s="9"/>
      <c r="U1959" s="14" t="s">
        <v>77</v>
      </c>
      <c r="V1959" s="9"/>
      <c r="W1959" s="12">
        <v>30</v>
      </c>
      <c r="X1959" s="13"/>
      <c r="Y1959" s="13"/>
      <c r="Z1959" s="13"/>
      <c r="AA1959" s="13"/>
      <c r="AB1959" s="13"/>
      <c r="AC1959" s="13"/>
      <c r="AD1959" s="13"/>
      <c r="AE1959" s="13">
        <f t="shared" si="215"/>
        <v>8.4000000000000005E-2</v>
      </c>
      <c r="AF1959" s="13"/>
      <c r="AG1959" s="13"/>
      <c r="AH1959" s="13"/>
      <c r="AI1959" s="13"/>
      <c r="AJ1959" s="13">
        <f t="shared" si="214"/>
        <v>8.4000000000000005E-2</v>
      </c>
      <c r="AK1959" s="12"/>
      <c r="AL1959" s="13"/>
      <c r="AM1959" s="9"/>
      <c r="AN1959" s="9"/>
      <c r="AO1959" s="9"/>
      <c r="AP1959" s="14"/>
    </row>
    <row r="1960" spans="1:42" s="45" customFormat="1" ht="22" customHeight="1">
      <c r="A1960" s="14" t="s">
        <v>17</v>
      </c>
      <c r="B1960" s="8">
        <v>2024</v>
      </c>
      <c r="C1960" s="8" t="s">
        <v>24</v>
      </c>
      <c r="D1960" s="9" t="s">
        <v>185</v>
      </c>
      <c r="E1960" s="9" t="s">
        <v>115</v>
      </c>
      <c r="F1960" s="9" t="s">
        <v>434</v>
      </c>
      <c r="G1960" s="8"/>
      <c r="H1960" s="8"/>
      <c r="I1960" s="9" t="s">
        <v>11</v>
      </c>
      <c r="J1960" s="9" t="s">
        <v>11</v>
      </c>
      <c r="K1960" s="9" t="s">
        <v>82</v>
      </c>
      <c r="L1960" s="9" t="s">
        <v>171</v>
      </c>
      <c r="M1960" s="9" t="s">
        <v>860</v>
      </c>
      <c r="N1960" s="9" t="s">
        <v>861</v>
      </c>
      <c r="O1960" s="9" t="s">
        <v>919</v>
      </c>
      <c r="P1960" s="9" t="s">
        <v>921</v>
      </c>
      <c r="Q1960" s="11"/>
      <c r="R1960" s="11"/>
      <c r="S1960" s="11">
        <v>45</v>
      </c>
      <c r="T1960" s="9"/>
      <c r="U1960" s="14" t="s">
        <v>77</v>
      </c>
      <c r="V1960" s="9"/>
      <c r="W1960" s="12">
        <v>30</v>
      </c>
      <c r="X1960" s="13"/>
      <c r="Y1960" s="13"/>
      <c r="Z1960" s="13"/>
      <c r="AA1960" s="13"/>
      <c r="AB1960" s="13"/>
      <c r="AC1960" s="13"/>
      <c r="AD1960" s="13"/>
      <c r="AE1960" s="13">
        <f t="shared" si="215"/>
        <v>0.13500000000000001</v>
      </c>
      <c r="AF1960" s="13"/>
      <c r="AG1960" s="13"/>
      <c r="AH1960" s="13"/>
      <c r="AI1960" s="13"/>
      <c r="AJ1960" s="13">
        <f t="shared" si="214"/>
        <v>0.13500000000000001</v>
      </c>
      <c r="AK1960" s="12"/>
      <c r="AL1960" s="13"/>
      <c r="AM1960" s="9"/>
      <c r="AN1960" s="9"/>
      <c r="AO1960" s="9"/>
      <c r="AP1960" s="14"/>
    </row>
    <row r="1961" spans="1:42" s="45" customFormat="1" ht="22" customHeight="1">
      <c r="A1961" s="14" t="s">
        <v>17</v>
      </c>
      <c r="B1961" s="8">
        <v>2024</v>
      </c>
      <c r="C1961" s="8" t="s">
        <v>24</v>
      </c>
      <c r="D1961" s="9" t="s">
        <v>185</v>
      </c>
      <c r="E1961" s="9" t="s">
        <v>115</v>
      </c>
      <c r="F1961" s="9" t="s">
        <v>434</v>
      </c>
      <c r="G1961" s="8"/>
      <c r="H1961" s="8"/>
      <c r="I1961" s="9" t="s">
        <v>11</v>
      </c>
      <c r="J1961" s="9" t="s">
        <v>11</v>
      </c>
      <c r="K1961" s="9" t="s">
        <v>82</v>
      </c>
      <c r="L1961" s="9" t="s">
        <v>171</v>
      </c>
      <c r="M1961" s="9" t="s">
        <v>860</v>
      </c>
      <c r="N1961" s="9" t="s">
        <v>861</v>
      </c>
      <c r="O1961" s="9" t="s">
        <v>919</v>
      </c>
      <c r="P1961" s="9" t="s">
        <v>922</v>
      </c>
      <c r="Q1961" s="11"/>
      <c r="R1961" s="11"/>
      <c r="S1961" s="11">
        <v>41</v>
      </c>
      <c r="T1961" s="9"/>
      <c r="U1961" s="14" t="s">
        <v>77</v>
      </c>
      <c r="V1961" s="9"/>
      <c r="W1961" s="12">
        <v>30</v>
      </c>
      <c r="X1961" s="13"/>
      <c r="Y1961" s="13"/>
      <c r="Z1961" s="13"/>
      <c r="AA1961" s="13"/>
      <c r="AB1961" s="13"/>
      <c r="AC1961" s="13"/>
      <c r="AD1961" s="13"/>
      <c r="AE1961" s="13">
        <f t="shared" si="215"/>
        <v>0.123</v>
      </c>
      <c r="AF1961" s="13"/>
      <c r="AG1961" s="13"/>
      <c r="AH1961" s="13"/>
      <c r="AI1961" s="13"/>
      <c r="AJ1961" s="13">
        <f t="shared" si="214"/>
        <v>0.123</v>
      </c>
      <c r="AK1961" s="12"/>
      <c r="AL1961" s="13"/>
      <c r="AM1961" s="9"/>
      <c r="AN1961" s="9"/>
      <c r="AO1961" s="9"/>
      <c r="AP1961" s="14"/>
    </row>
    <row r="1962" spans="1:42" s="45" customFormat="1" ht="22" customHeight="1">
      <c r="A1962" s="14" t="s">
        <v>17</v>
      </c>
      <c r="B1962" s="8">
        <v>2024</v>
      </c>
      <c r="C1962" s="8" t="s">
        <v>24</v>
      </c>
      <c r="D1962" s="9" t="s">
        <v>185</v>
      </c>
      <c r="E1962" s="9" t="s">
        <v>115</v>
      </c>
      <c r="F1962" s="9" t="s">
        <v>434</v>
      </c>
      <c r="G1962" s="8"/>
      <c r="H1962" s="8"/>
      <c r="I1962" s="9" t="s">
        <v>11</v>
      </c>
      <c r="J1962" s="9" t="s">
        <v>11</v>
      </c>
      <c r="K1962" s="9" t="s">
        <v>82</v>
      </c>
      <c r="L1962" s="9" t="s">
        <v>171</v>
      </c>
      <c r="M1962" s="9" t="s">
        <v>860</v>
      </c>
      <c r="N1962" s="9" t="s">
        <v>861</v>
      </c>
      <c r="O1962" s="9" t="s">
        <v>919</v>
      </c>
      <c r="P1962" s="9" t="s">
        <v>923</v>
      </c>
      <c r="Q1962" s="11"/>
      <c r="R1962" s="11"/>
      <c r="S1962" s="11">
        <v>46</v>
      </c>
      <c r="T1962" s="9"/>
      <c r="U1962" s="14" t="s">
        <v>77</v>
      </c>
      <c r="V1962" s="9"/>
      <c r="W1962" s="12">
        <v>30</v>
      </c>
      <c r="X1962" s="13"/>
      <c r="Y1962" s="13"/>
      <c r="Z1962" s="13"/>
      <c r="AA1962" s="13"/>
      <c r="AB1962" s="13"/>
      <c r="AC1962" s="13"/>
      <c r="AD1962" s="13"/>
      <c r="AE1962" s="13">
        <f t="shared" si="215"/>
        <v>0.13800000000000001</v>
      </c>
      <c r="AF1962" s="13"/>
      <c r="AG1962" s="13"/>
      <c r="AH1962" s="13"/>
      <c r="AI1962" s="13"/>
      <c r="AJ1962" s="13">
        <f t="shared" si="214"/>
        <v>0.13800000000000001</v>
      </c>
      <c r="AK1962" s="12"/>
      <c r="AL1962" s="13"/>
      <c r="AM1962" s="9"/>
      <c r="AN1962" s="9"/>
      <c r="AO1962" s="9"/>
      <c r="AP1962" s="14"/>
    </row>
    <row r="1963" spans="1:42" s="45" customFormat="1" ht="22" customHeight="1">
      <c r="A1963" s="14" t="s">
        <v>17</v>
      </c>
      <c r="B1963" s="8">
        <v>2024</v>
      </c>
      <c r="C1963" s="8" t="s">
        <v>24</v>
      </c>
      <c r="D1963" s="9" t="s">
        <v>185</v>
      </c>
      <c r="E1963" s="9" t="s">
        <v>115</v>
      </c>
      <c r="F1963" s="9" t="s">
        <v>434</v>
      </c>
      <c r="G1963" s="8"/>
      <c r="H1963" s="8"/>
      <c r="I1963" s="9" t="s">
        <v>11</v>
      </c>
      <c r="J1963" s="9" t="s">
        <v>11</v>
      </c>
      <c r="K1963" s="9" t="s">
        <v>82</v>
      </c>
      <c r="L1963" s="9" t="s">
        <v>171</v>
      </c>
      <c r="M1963" s="9" t="s">
        <v>860</v>
      </c>
      <c r="N1963" s="9" t="s">
        <v>861</v>
      </c>
      <c r="O1963" s="9" t="s">
        <v>919</v>
      </c>
      <c r="P1963" s="9" t="s">
        <v>924</v>
      </c>
      <c r="Q1963" s="11"/>
      <c r="R1963" s="11"/>
      <c r="S1963" s="11">
        <v>44</v>
      </c>
      <c r="T1963" s="9"/>
      <c r="U1963" s="14" t="s">
        <v>77</v>
      </c>
      <c r="V1963" s="9"/>
      <c r="W1963" s="12">
        <v>30</v>
      </c>
      <c r="X1963" s="13"/>
      <c r="Y1963" s="13"/>
      <c r="Z1963" s="13"/>
      <c r="AA1963" s="13"/>
      <c r="AB1963" s="13"/>
      <c r="AC1963" s="13"/>
      <c r="AD1963" s="13"/>
      <c r="AE1963" s="13">
        <f t="shared" si="215"/>
        <v>0.13200000000000001</v>
      </c>
      <c r="AF1963" s="13"/>
      <c r="AG1963" s="13"/>
      <c r="AH1963" s="13"/>
      <c r="AI1963" s="13"/>
      <c r="AJ1963" s="13">
        <f t="shared" si="214"/>
        <v>0.13200000000000001</v>
      </c>
      <c r="AK1963" s="12"/>
      <c r="AL1963" s="13"/>
      <c r="AM1963" s="9"/>
      <c r="AN1963" s="9"/>
      <c r="AO1963" s="9"/>
      <c r="AP1963" s="14"/>
    </row>
    <row r="1964" spans="1:42" s="45" customFormat="1" ht="22" customHeight="1">
      <c r="A1964" s="14" t="s">
        <v>17</v>
      </c>
      <c r="B1964" s="8">
        <v>2024</v>
      </c>
      <c r="C1964" s="8" t="s">
        <v>24</v>
      </c>
      <c r="D1964" s="9" t="s">
        <v>185</v>
      </c>
      <c r="E1964" s="9" t="s">
        <v>115</v>
      </c>
      <c r="F1964" s="9" t="s">
        <v>434</v>
      </c>
      <c r="G1964" s="8"/>
      <c r="H1964" s="8"/>
      <c r="I1964" s="9" t="s">
        <v>11</v>
      </c>
      <c r="J1964" s="9" t="s">
        <v>11</v>
      </c>
      <c r="K1964" s="9" t="s">
        <v>82</v>
      </c>
      <c r="L1964" s="9" t="s">
        <v>171</v>
      </c>
      <c r="M1964" s="9" t="s">
        <v>860</v>
      </c>
      <c r="N1964" s="9" t="s">
        <v>861</v>
      </c>
      <c r="O1964" s="9" t="s">
        <v>919</v>
      </c>
      <c r="P1964" s="9" t="s">
        <v>925</v>
      </c>
      <c r="Q1964" s="11"/>
      <c r="R1964" s="11"/>
      <c r="S1964" s="11">
        <v>56</v>
      </c>
      <c r="T1964" s="9"/>
      <c r="U1964" s="14" t="s">
        <v>77</v>
      </c>
      <c r="V1964" s="9"/>
      <c r="W1964" s="12">
        <v>30</v>
      </c>
      <c r="X1964" s="13"/>
      <c r="Y1964" s="13"/>
      <c r="Z1964" s="13"/>
      <c r="AA1964" s="13"/>
      <c r="AB1964" s="13"/>
      <c r="AC1964" s="13"/>
      <c r="AD1964" s="13"/>
      <c r="AE1964" s="13">
        <f t="shared" si="215"/>
        <v>0.16800000000000001</v>
      </c>
      <c r="AF1964" s="13"/>
      <c r="AG1964" s="13"/>
      <c r="AH1964" s="13"/>
      <c r="AI1964" s="13"/>
      <c r="AJ1964" s="13">
        <f t="shared" si="214"/>
        <v>0.16800000000000001</v>
      </c>
      <c r="AK1964" s="12"/>
      <c r="AL1964" s="13"/>
      <c r="AM1964" s="9"/>
      <c r="AN1964" s="9"/>
      <c r="AO1964" s="9"/>
      <c r="AP1964" s="14"/>
    </row>
    <row r="1965" spans="1:42" s="45" customFormat="1" ht="22" customHeight="1">
      <c r="A1965" s="14" t="s">
        <v>17</v>
      </c>
      <c r="B1965" s="8">
        <v>2024</v>
      </c>
      <c r="C1965" s="8" t="s">
        <v>24</v>
      </c>
      <c r="D1965" s="9" t="s">
        <v>185</v>
      </c>
      <c r="E1965" s="9" t="s">
        <v>115</v>
      </c>
      <c r="F1965" s="9" t="s">
        <v>434</v>
      </c>
      <c r="G1965" s="8"/>
      <c r="H1965" s="8"/>
      <c r="I1965" s="9" t="s">
        <v>11</v>
      </c>
      <c r="J1965" s="9" t="s">
        <v>11</v>
      </c>
      <c r="K1965" s="9" t="s">
        <v>82</v>
      </c>
      <c r="L1965" s="9" t="s">
        <v>171</v>
      </c>
      <c r="M1965" s="9" t="s">
        <v>860</v>
      </c>
      <c r="N1965" s="9" t="s">
        <v>861</v>
      </c>
      <c r="O1965" s="9" t="s">
        <v>919</v>
      </c>
      <c r="P1965" s="9" t="s">
        <v>926</v>
      </c>
      <c r="Q1965" s="11"/>
      <c r="R1965" s="11"/>
      <c r="S1965" s="11">
        <v>47</v>
      </c>
      <c r="T1965" s="9"/>
      <c r="U1965" s="14" t="s">
        <v>77</v>
      </c>
      <c r="V1965" s="9"/>
      <c r="W1965" s="12">
        <v>30</v>
      </c>
      <c r="X1965" s="13"/>
      <c r="Y1965" s="13"/>
      <c r="Z1965" s="13"/>
      <c r="AA1965" s="13"/>
      <c r="AB1965" s="13"/>
      <c r="AC1965" s="13"/>
      <c r="AD1965" s="13"/>
      <c r="AE1965" s="13">
        <f t="shared" si="215"/>
        <v>0.14099999999999999</v>
      </c>
      <c r="AF1965" s="13"/>
      <c r="AG1965" s="13"/>
      <c r="AH1965" s="13"/>
      <c r="AI1965" s="13"/>
      <c r="AJ1965" s="13">
        <f t="shared" si="214"/>
        <v>0.14099999999999999</v>
      </c>
      <c r="AK1965" s="12"/>
      <c r="AL1965" s="13"/>
      <c r="AM1965" s="9"/>
      <c r="AN1965" s="9"/>
      <c r="AO1965" s="9"/>
      <c r="AP1965" s="14"/>
    </row>
    <row r="1966" spans="1:42" s="45" customFormat="1" ht="22" customHeight="1">
      <c r="A1966" s="14" t="s">
        <v>17</v>
      </c>
      <c r="B1966" s="8">
        <v>2024</v>
      </c>
      <c r="C1966" s="8" t="s">
        <v>24</v>
      </c>
      <c r="D1966" s="9" t="s">
        <v>185</v>
      </c>
      <c r="E1966" s="9" t="s">
        <v>115</v>
      </c>
      <c r="F1966" s="9" t="s">
        <v>434</v>
      </c>
      <c r="G1966" s="8"/>
      <c r="H1966" s="8"/>
      <c r="I1966" s="9" t="s">
        <v>11</v>
      </c>
      <c r="J1966" s="9" t="s">
        <v>11</v>
      </c>
      <c r="K1966" s="9" t="s">
        <v>82</v>
      </c>
      <c r="L1966" s="9" t="s">
        <v>171</v>
      </c>
      <c r="M1966" s="9" t="s">
        <v>860</v>
      </c>
      <c r="N1966" s="9" t="s">
        <v>861</v>
      </c>
      <c r="O1966" s="9" t="s">
        <v>919</v>
      </c>
      <c r="P1966" s="9" t="s">
        <v>927</v>
      </c>
      <c r="Q1966" s="11"/>
      <c r="R1966" s="11"/>
      <c r="S1966" s="11">
        <v>32</v>
      </c>
      <c r="T1966" s="9"/>
      <c r="U1966" s="14" t="s">
        <v>77</v>
      </c>
      <c r="V1966" s="9"/>
      <c r="W1966" s="12">
        <v>30</v>
      </c>
      <c r="X1966" s="13"/>
      <c r="Y1966" s="13"/>
      <c r="Z1966" s="13"/>
      <c r="AA1966" s="13"/>
      <c r="AB1966" s="13"/>
      <c r="AC1966" s="13"/>
      <c r="AD1966" s="13"/>
      <c r="AE1966" s="13">
        <f t="shared" si="215"/>
        <v>9.6000000000000002E-2</v>
      </c>
      <c r="AF1966" s="13"/>
      <c r="AG1966" s="13"/>
      <c r="AH1966" s="13"/>
      <c r="AI1966" s="13"/>
      <c r="AJ1966" s="13">
        <f t="shared" ref="AJ1966:AJ2029" si="216">SUBTOTAL(9,X1966:AI1966)</f>
        <v>9.6000000000000002E-2</v>
      </c>
      <c r="AK1966" s="12"/>
      <c r="AL1966" s="13"/>
      <c r="AM1966" s="9"/>
      <c r="AN1966" s="9"/>
      <c r="AO1966" s="9"/>
      <c r="AP1966" s="14"/>
    </row>
    <row r="1967" spans="1:42" s="45" customFormat="1" ht="22" customHeight="1">
      <c r="A1967" s="14" t="s">
        <v>17</v>
      </c>
      <c r="B1967" s="8">
        <v>2024</v>
      </c>
      <c r="C1967" s="8" t="s">
        <v>24</v>
      </c>
      <c r="D1967" s="9" t="s">
        <v>185</v>
      </c>
      <c r="E1967" s="9" t="s">
        <v>115</v>
      </c>
      <c r="F1967" s="9" t="s">
        <v>434</v>
      </c>
      <c r="G1967" s="8"/>
      <c r="H1967" s="8"/>
      <c r="I1967" s="9" t="s">
        <v>11</v>
      </c>
      <c r="J1967" s="9" t="s">
        <v>11</v>
      </c>
      <c r="K1967" s="9" t="s">
        <v>82</v>
      </c>
      <c r="L1967" s="9" t="s">
        <v>171</v>
      </c>
      <c r="M1967" s="9" t="s">
        <v>860</v>
      </c>
      <c r="N1967" s="9" t="s">
        <v>861</v>
      </c>
      <c r="O1967" s="9" t="s">
        <v>919</v>
      </c>
      <c r="P1967" s="9" t="s">
        <v>928</v>
      </c>
      <c r="Q1967" s="11"/>
      <c r="R1967" s="11"/>
      <c r="S1967" s="11">
        <v>33</v>
      </c>
      <c r="T1967" s="9"/>
      <c r="U1967" s="14" t="s">
        <v>77</v>
      </c>
      <c r="V1967" s="9"/>
      <c r="W1967" s="12">
        <v>30</v>
      </c>
      <c r="X1967" s="13"/>
      <c r="Y1967" s="13"/>
      <c r="Z1967" s="13"/>
      <c r="AA1967" s="13"/>
      <c r="AB1967" s="13"/>
      <c r="AC1967" s="13"/>
      <c r="AD1967" s="13"/>
      <c r="AE1967" s="13">
        <f t="shared" si="215"/>
        <v>9.9000000000000005E-2</v>
      </c>
      <c r="AF1967" s="13"/>
      <c r="AG1967" s="13"/>
      <c r="AH1967" s="13"/>
      <c r="AI1967" s="13"/>
      <c r="AJ1967" s="13">
        <f t="shared" si="216"/>
        <v>9.9000000000000005E-2</v>
      </c>
      <c r="AK1967" s="12"/>
      <c r="AL1967" s="13"/>
      <c r="AM1967" s="9"/>
      <c r="AN1967" s="9"/>
      <c r="AO1967" s="9"/>
      <c r="AP1967" s="14"/>
    </row>
    <row r="1968" spans="1:42" s="45" customFormat="1" ht="22" customHeight="1">
      <c r="A1968" s="14" t="s">
        <v>17</v>
      </c>
      <c r="B1968" s="8">
        <v>2024</v>
      </c>
      <c r="C1968" s="8" t="s">
        <v>24</v>
      </c>
      <c r="D1968" s="9" t="s">
        <v>185</v>
      </c>
      <c r="E1968" s="9" t="s">
        <v>115</v>
      </c>
      <c r="F1968" s="9" t="s">
        <v>434</v>
      </c>
      <c r="G1968" s="8"/>
      <c r="H1968" s="8"/>
      <c r="I1968" s="9" t="s">
        <v>11</v>
      </c>
      <c r="J1968" s="9" t="s">
        <v>11</v>
      </c>
      <c r="K1968" s="9" t="s">
        <v>82</v>
      </c>
      <c r="L1968" s="9" t="s">
        <v>171</v>
      </c>
      <c r="M1968" s="9" t="s">
        <v>860</v>
      </c>
      <c r="N1968" s="9" t="s">
        <v>861</v>
      </c>
      <c r="O1968" s="9" t="s">
        <v>929</v>
      </c>
      <c r="P1968" s="9" t="s">
        <v>930</v>
      </c>
      <c r="Q1968" s="11"/>
      <c r="R1968" s="11"/>
      <c r="S1968" s="11">
        <v>30</v>
      </c>
      <c r="T1968" s="9"/>
      <c r="U1968" s="14" t="s">
        <v>77</v>
      </c>
      <c r="V1968" s="9"/>
      <c r="W1968" s="12">
        <v>30</v>
      </c>
      <c r="X1968" s="13"/>
      <c r="Y1968" s="13"/>
      <c r="Z1968" s="13"/>
      <c r="AA1968" s="13"/>
      <c r="AB1968" s="13"/>
      <c r="AC1968" s="13"/>
      <c r="AD1968" s="13"/>
      <c r="AE1968" s="13">
        <f t="shared" ref="AE1968:AE2031" si="217">S1968*W1968*100/1000000</f>
        <v>0.09</v>
      </c>
      <c r="AF1968" s="13"/>
      <c r="AG1968" s="13"/>
      <c r="AH1968" s="13"/>
      <c r="AI1968" s="13"/>
      <c r="AJ1968" s="13">
        <f t="shared" si="216"/>
        <v>0.09</v>
      </c>
      <c r="AK1968" s="12"/>
      <c r="AL1968" s="13"/>
      <c r="AM1968" s="9"/>
      <c r="AN1968" s="9"/>
      <c r="AO1968" s="9"/>
      <c r="AP1968" s="14"/>
    </row>
    <row r="1969" spans="1:42" s="45" customFormat="1" ht="22" customHeight="1">
      <c r="A1969" s="14" t="s">
        <v>17</v>
      </c>
      <c r="B1969" s="8">
        <v>2024</v>
      </c>
      <c r="C1969" s="8" t="s">
        <v>24</v>
      </c>
      <c r="D1969" s="9" t="s">
        <v>185</v>
      </c>
      <c r="E1969" s="9" t="s">
        <v>115</v>
      </c>
      <c r="F1969" s="9" t="s">
        <v>434</v>
      </c>
      <c r="G1969" s="8"/>
      <c r="H1969" s="8"/>
      <c r="I1969" s="9" t="s">
        <v>11</v>
      </c>
      <c r="J1969" s="9" t="s">
        <v>11</v>
      </c>
      <c r="K1969" s="9" t="s">
        <v>82</v>
      </c>
      <c r="L1969" s="9" t="s">
        <v>171</v>
      </c>
      <c r="M1969" s="9" t="s">
        <v>860</v>
      </c>
      <c r="N1969" s="9" t="s">
        <v>861</v>
      </c>
      <c r="O1969" s="9" t="s">
        <v>929</v>
      </c>
      <c r="P1969" s="9" t="s">
        <v>931</v>
      </c>
      <c r="Q1969" s="11"/>
      <c r="R1969" s="11"/>
      <c r="S1969" s="11">
        <v>38</v>
      </c>
      <c r="T1969" s="9"/>
      <c r="U1969" s="14" t="s">
        <v>77</v>
      </c>
      <c r="V1969" s="9"/>
      <c r="W1969" s="12">
        <v>30</v>
      </c>
      <c r="X1969" s="13"/>
      <c r="Y1969" s="13"/>
      <c r="Z1969" s="13"/>
      <c r="AA1969" s="13"/>
      <c r="AB1969" s="13"/>
      <c r="AC1969" s="13"/>
      <c r="AD1969" s="13"/>
      <c r="AE1969" s="13">
        <f t="shared" si="217"/>
        <v>0.114</v>
      </c>
      <c r="AF1969" s="13"/>
      <c r="AG1969" s="13"/>
      <c r="AH1969" s="13"/>
      <c r="AI1969" s="13"/>
      <c r="AJ1969" s="13">
        <f t="shared" si="216"/>
        <v>0.114</v>
      </c>
      <c r="AK1969" s="12"/>
      <c r="AL1969" s="13"/>
      <c r="AM1969" s="9"/>
      <c r="AN1969" s="9"/>
      <c r="AO1969" s="9"/>
      <c r="AP1969" s="14"/>
    </row>
    <row r="1970" spans="1:42" s="45" customFormat="1" ht="22" customHeight="1">
      <c r="A1970" s="14" t="s">
        <v>17</v>
      </c>
      <c r="B1970" s="8">
        <v>2024</v>
      </c>
      <c r="C1970" s="8" t="s">
        <v>24</v>
      </c>
      <c r="D1970" s="9" t="s">
        <v>185</v>
      </c>
      <c r="E1970" s="9" t="s">
        <v>115</v>
      </c>
      <c r="F1970" s="9" t="s">
        <v>434</v>
      </c>
      <c r="G1970" s="8"/>
      <c r="H1970" s="8"/>
      <c r="I1970" s="9" t="s">
        <v>11</v>
      </c>
      <c r="J1970" s="9" t="s">
        <v>11</v>
      </c>
      <c r="K1970" s="9" t="s">
        <v>82</v>
      </c>
      <c r="L1970" s="9" t="s">
        <v>171</v>
      </c>
      <c r="M1970" s="9" t="s">
        <v>860</v>
      </c>
      <c r="N1970" s="9" t="s">
        <v>861</v>
      </c>
      <c r="O1970" s="9" t="s">
        <v>929</v>
      </c>
      <c r="P1970" s="9" t="s">
        <v>932</v>
      </c>
      <c r="Q1970" s="11"/>
      <c r="R1970" s="11"/>
      <c r="S1970" s="11">
        <v>37</v>
      </c>
      <c r="T1970" s="9"/>
      <c r="U1970" s="14" t="s">
        <v>77</v>
      </c>
      <c r="V1970" s="9"/>
      <c r="W1970" s="12">
        <v>30</v>
      </c>
      <c r="X1970" s="13"/>
      <c r="Y1970" s="13"/>
      <c r="Z1970" s="13"/>
      <c r="AA1970" s="13"/>
      <c r="AB1970" s="13"/>
      <c r="AC1970" s="13"/>
      <c r="AD1970" s="13"/>
      <c r="AE1970" s="13">
        <f t="shared" si="217"/>
        <v>0.111</v>
      </c>
      <c r="AF1970" s="13"/>
      <c r="AG1970" s="13"/>
      <c r="AH1970" s="13"/>
      <c r="AI1970" s="13"/>
      <c r="AJ1970" s="13">
        <f t="shared" si="216"/>
        <v>0.111</v>
      </c>
      <c r="AK1970" s="12"/>
      <c r="AL1970" s="13"/>
      <c r="AM1970" s="9"/>
      <c r="AN1970" s="9"/>
      <c r="AO1970" s="9"/>
      <c r="AP1970" s="14"/>
    </row>
    <row r="1971" spans="1:42" s="45" customFormat="1" ht="22" customHeight="1">
      <c r="A1971" s="14" t="s">
        <v>17</v>
      </c>
      <c r="B1971" s="8">
        <v>2024</v>
      </c>
      <c r="C1971" s="8" t="s">
        <v>24</v>
      </c>
      <c r="D1971" s="9" t="s">
        <v>185</v>
      </c>
      <c r="E1971" s="9" t="s">
        <v>115</v>
      </c>
      <c r="F1971" s="9" t="s">
        <v>434</v>
      </c>
      <c r="G1971" s="8"/>
      <c r="H1971" s="8"/>
      <c r="I1971" s="9" t="s">
        <v>11</v>
      </c>
      <c r="J1971" s="9" t="s">
        <v>11</v>
      </c>
      <c r="K1971" s="9" t="s">
        <v>82</v>
      </c>
      <c r="L1971" s="9" t="s">
        <v>171</v>
      </c>
      <c r="M1971" s="9" t="s">
        <v>860</v>
      </c>
      <c r="N1971" s="9" t="s">
        <v>861</v>
      </c>
      <c r="O1971" s="9" t="s">
        <v>929</v>
      </c>
      <c r="P1971" s="9" t="s">
        <v>933</v>
      </c>
      <c r="Q1971" s="11"/>
      <c r="R1971" s="11"/>
      <c r="S1971" s="11">
        <v>61</v>
      </c>
      <c r="T1971" s="9"/>
      <c r="U1971" s="14" t="s">
        <v>77</v>
      </c>
      <c r="V1971" s="9"/>
      <c r="W1971" s="12">
        <v>30</v>
      </c>
      <c r="X1971" s="13"/>
      <c r="Y1971" s="13"/>
      <c r="Z1971" s="13"/>
      <c r="AA1971" s="13"/>
      <c r="AB1971" s="13"/>
      <c r="AC1971" s="13"/>
      <c r="AD1971" s="13"/>
      <c r="AE1971" s="13">
        <f t="shared" si="217"/>
        <v>0.183</v>
      </c>
      <c r="AF1971" s="13"/>
      <c r="AG1971" s="13"/>
      <c r="AH1971" s="13"/>
      <c r="AI1971" s="13"/>
      <c r="AJ1971" s="13">
        <f t="shared" si="216"/>
        <v>0.183</v>
      </c>
      <c r="AK1971" s="12"/>
      <c r="AL1971" s="13"/>
      <c r="AM1971" s="9"/>
      <c r="AN1971" s="9"/>
      <c r="AO1971" s="9"/>
      <c r="AP1971" s="14"/>
    </row>
    <row r="1972" spans="1:42" s="45" customFormat="1" ht="22" customHeight="1">
      <c r="A1972" s="14" t="s">
        <v>17</v>
      </c>
      <c r="B1972" s="8">
        <v>2024</v>
      </c>
      <c r="C1972" s="8" t="s">
        <v>24</v>
      </c>
      <c r="D1972" s="9" t="s">
        <v>185</v>
      </c>
      <c r="E1972" s="9" t="s">
        <v>115</v>
      </c>
      <c r="F1972" s="9" t="s">
        <v>434</v>
      </c>
      <c r="G1972" s="8"/>
      <c r="H1972" s="8"/>
      <c r="I1972" s="9" t="s">
        <v>11</v>
      </c>
      <c r="J1972" s="9" t="s">
        <v>11</v>
      </c>
      <c r="K1972" s="9" t="s">
        <v>82</v>
      </c>
      <c r="L1972" s="9" t="s">
        <v>171</v>
      </c>
      <c r="M1972" s="9" t="s">
        <v>860</v>
      </c>
      <c r="N1972" s="9" t="s">
        <v>861</v>
      </c>
      <c r="O1972" s="9" t="s">
        <v>929</v>
      </c>
      <c r="P1972" s="9" t="s">
        <v>934</v>
      </c>
      <c r="Q1972" s="11"/>
      <c r="R1972" s="11"/>
      <c r="S1972" s="11">
        <v>28</v>
      </c>
      <c r="T1972" s="9"/>
      <c r="U1972" s="14" t="s">
        <v>77</v>
      </c>
      <c r="V1972" s="9"/>
      <c r="W1972" s="12">
        <v>30</v>
      </c>
      <c r="X1972" s="13"/>
      <c r="Y1972" s="13"/>
      <c r="Z1972" s="13"/>
      <c r="AA1972" s="13"/>
      <c r="AB1972" s="13"/>
      <c r="AC1972" s="13"/>
      <c r="AD1972" s="13"/>
      <c r="AE1972" s="13">
        <f t="shared" si="217"/>
        <v>8.4000000000000005E-2</v>
      </c>
      <c r="AF1972" s="13"/>
      <c r="AG1972" s="13"/>
      <c r="AH1972" s="13"/>
      <c r="AI1972" s="13"/>
      <c r="AJ1972" s="13">
        <f t="shared" si="216"/>
        <v>8.4000000000000005E-2</v>
      </c>
      <c r="AK1972" s="12"/>
      <c r="AL1972" s="13"/>
      <c r="AM1972" s="9"/>
      <c r="AN1972" s="9"/>
      <c r="AO1972" s="9"/>
      <c r="AP1972" s="14"/>
    </row>
    <row r="1973" spans="1:42" s="45" customFormat="1" ht="22" customHeight="1">
      <c r="A1973" s="14" t="s">
        <v>17</v>
      </c>
      <c r="B1973" s="8">
        <v>2024</v>
      </c>
      <c r="C1973" s="8" t="s">
        <v>24</v>
      </c>
      <c r="D1973" s="9" t="s">
        <v>185</v>
      </c>
      <c r="E1973" s="9" t="s">
        <v>115</v>
      </c>
      <c r="F1973" s="9" t="s">
        <v>434</v>
      </c>
      <c r="G1973" s="8"/>
      <c r="H1973" s="8"/>
      <c r="I1973" s="9" t="s">
        <v>11</v>
      </c>
      <c r="J1973" s="9" t="s">
        <v>11</v>
      </c>
      <c r="K1973" s="9" t="s">
        <v>82</v>
      </c>
      <c r="L1973" s="9" t="s">
        <v>171</v>
      </c>
      <c r="M1973" s="9" t="s">
        <v>860</v>
      </c>
      <c r="N1973" s="9" t="s">
        <v>861</v>
      </c>
      <c r="O1973" s="9" t="s">
        <v>929</v>
      </c>
      <c r="P1973" s="9" t="s">
        <v>935</v>
      </c>
      <c r="Q1973" s="11"/>
      <c r="R1973" s="11"/>
      <c r="S1973" s="11">
        <v>48</v>
      </c>
      <c r="T1973" s="9"/>
      <c r="U1973" s="14" t="s">
        <v>77</v>
      </c>
      <c r="V1973" s="9"/>
      <c r="W1973" s="12">
        <v>30</v>
      </c>
      <c r="X1973" s="13"/>
      <c r="Y1973" s="13"/>
      <c r="Z1973" s="13"/>
      <c r="AA1973" s="13"/>
      <c r="AB1973" s="13"/>
      <c r="AC1973" s="13"/>
      <c r="AD1973" s="13"/>
      <c r="AE1973" s="13">
        <f t="shared" si="217"/>
        <v>0.14399999999999999</v>
      </c>
      <c r="AF1973" s="13"/>
      <c r="AG1973" s="13"/>
      <c r="AH1973" s="13"/>
      <c r="AI1973" s="13"/>
      <c r="AJ1973" s="13">
        <f t="shared" si="216"/>
        <v>0.14399999999999999</v>
      </c>
      <c r="AK1973" s="12"/>
      <c r="AL1973" s="13"/>
      <c r="AM1973" s="9"/>
      <c r="AN1973" s="9"/>
      <c r="AO1973" s="9"/>
      <c r="AP1973" s="14"/>
    </row>
    <row r="1974" spans="1:42" s="45" customFormat="1" ht="22" customHeight="1">
      <c r="A1974" s="14" t="s">
        <v>17</v>
      </c>
      <c r="B1974" s="8">
        <v>2024</v>
      </c>
      <c r="C1974" s="8" t="s">
        <v>24</v>
      </c>
      <c r="D1974" s="9" t="s">
        <v>185</v>
      </c>
      <c r="E1974" s="9" t="s">
        <v>115</v>
      </c>
      <c r="F1974" s="9" t="s">
        <v>434</v>
      </c>
      <c r="G1974" s="8"/>
      <c r="H1974" s="8"/>
      <c r="I1974" s="9" t="s">
        <v>11</v>
      </c>
      <c r="J1974" s="9" t="s">
        <v>11</v>
      </c>
      <c r="K1974" s="9" t="s">
        <v>82</v>
      </c>
      <c r="L1974" s="9" t="s">
        <v>171</v>
      </c>
      <c r="M1974" s="9" t="s">
        <v>860</v>
      </c>
      <c r="N1974" s="9" t="s">
        <v>861</v>
      </c>
      <c r="O1974" s="9" t="s">
        <v>929</v>
      </c>
      <c r="P1974" s="9" t="s">
        <v>936</v>
      </c>
      <c r="Q1974" s="11"/>
      <c r="R1974" s="11"/>
      <c r="S1974" s="11">
        <v>20</v>
      </c>
      <c r="T1974" s="9"/>
      <c r="U1974" s="14" t="s">
        <v>77</v>
      </c>
      <c r="V1974" s="9"/>
      <c r="W1974" s="12">
        <v>30</v>
      </c>
      <c r="X1974" s="13"/>
      <c r="Y1974" s="13"/>
      <c r="Z1974" s="13"/>
      <c r="AA1974" s="13"/>
      <c r="AB1974" s="13"/>
      <c r="AC1974" s="13"/>
      <c r="AD1974" s="13"/>
      <c r="AE1974" s="13">
        <f t="shared" si="217"/>
        <v>0.06</v>
      </c>
      <c r="AF1974" s="13"/>
      <c r="AG1974" s="13"/>
      <c r="AH1974" s="13"/>
      <c r="AI1974" s="13"/>
      <c r="AJ1974" s="13">
        <f t="shared" si="216"/>
        <v>0.06</v>
      </c>
      <c r="AK1974" s="12"/>
      <c r="AL1974" s="13"/>
      <c r="AM1974" s="9"/>
      <c r="AN1974" s="9"/>
      <c r="AO1974" s="9"/>
      <c r="AP1974" s="14"/>
    </row>
    <row r="1975" spans="1:42" s="45" customFormat="1" ht="22" customHeight="1">
      <c r="A1975" s="14" t="s">
        <v>17</v>
      </c>
      <c r="B1975" s="8">
        <v>2024</v>
      </c>
      <c r="C1975" s="8" t="s">
        <v>24</v>
      </c>
      <c r="D1975" s="9" t="s">
        <v>185</v>
      </c>
      <c r="E1975" s="9" t="s">
        <v>115</v>
      </c>
      <c r="F1975" s="9" t="s">
        <v>434</v>
      </c>
      <c r="G1975" s="8"/>
      <c r="H1975" s="8"/>
      <c r="I1975" s="9" t="s">
        <v>11</v>
      </c>
      <c r="J1975" s="9" t="s">
        <v>11</v>
      </c>
      <c r="K1975" s="9" t="s">
        <v>82</v>
      </c>
      <c r="L1975" s="9" t="s">
        <v>171</v>
      </c>
      <c r="M1975" s="9" t="s">
        <v>860</v>
      </c>
      <c r="N1975" s="9" t="s">
        <v>861</v>
      </c>
      <c r="O1975" s="9" t="s">
        <v>929</v>
      </c>
      <c r="P1975" s="9" t="s">
        <v>937</v>
      </c>
      <c r="Q1975" s="11"/>
      <c r="R1975" s="11"/>
      <c r="S1975" s="11">
        <v>21</v>
      </c>
      <c r="T1975" s="9"/>
      <c r="U1975" s="14" t="s">
        <v>77</v>
      </c>
      <c r="V1975" s="9"/>
      <c r="W1975" s="12">
        <v>30</v>
      </c>
      <c r="X1975" s="13"/>
      <c r="Y1975" s="13"/>
      <c r="Z1975" s="13"/>
      <c r="AA1975" s="13"/>
      <c r="AB1975" s="13"/>
      <c r="AC1975" s="13"/>
      <c r="AD1975" s="13"/>
      <c r="AE1975" s="13">
        <f t="shared" si="217"/>
        <v>6.3E-2</v>
      </c>
      <c r="AF1975" s="13"/>
      <c r="AG1975" s="13"/>
      <c r="AH1975" s="13"/>
      <c r="AI1975" s="13"/>
      <c r="AJ1975" s="13">
        <f t="shared" si="216"/>
        <v>6.3E-2</v>
      </c>
      <c r="AK1975" s="12"/>
      <c r="AL1975" s="13"/>
      <c r="AM1975" s="9"/>
      <c r="AN1975" s="9"/>
      <c r="AO1975" s="9"/>
      <c r="AP1975" s="14"/>
    </row>
    <row r="1976" spans="1:42" s="45" customFormat="1" ht="22" customHeight="1">
      <c r="A1976" s="14" t="s">
        <v>17</v>
      </c>
      <c r="B1976" s="8">
        <v>2024</v>
      </c>
      <c r="C1976" s="8" t="s">
        <v>24</v>
      </c>
      <c r="D1976" s="9" t="s">
        <v>185</v>
      </c>
      <c r="E1976" s="9" t="s">
        <v>115</v>
      </c>
      <c r="F1976" s="9" t="s">
        <v>434</v>
      </c>
      <c r="G1976" s="8"/>
      <c r="H1976" s="8"/>
      <c r="I1976" s="9" t="s">
        <v>11</v>
      </c>
      <c r="J1976" s="9" t="s">
        <v>11</v>
      </c>
      <c r="K1976" s="9" t="s">
        <v>82</v>
      </c>
      <c r="L1976" s="9" t="s">
        <v>171</v>
      </c>
      <c r="M1976" s="9" t="s">
        <v>860</v>
      </c>
      <c r="N1976" s="9" t="s">
        <v>861</v>
      </c>
      <c r="O1976" s="9" t="s">
        <v>929</v>
      </c>
      <c r="P1976" s="9" t="s">
        <v>938</v>
      </c>
      <c r="Q1976" s="11"/>
      <c r="R1976" s="11"/>
      <c r="S1976" s="11">
        <v>38</v>
      </c>
      <c r="T1976" s="9"/>
      <c r="U1976" s="14" t="s">
        <v>77</v>
      </c>
      <c r="V1976" s="9"/>
      <c r="W1976" s="12">
        <v>30</v>
      </c>
      <c r="X1976" s="13"/>
      <c r="Y1976" s="13"/>
      <c r="Z1976" s="13"/>
      <c r="AA1976" s="13"/>
      <c r="AB1976" s="13"/>
      <c r="AC1976" s="13"/>
      <c r="AD1976" s="13"/>
      <c r="AE1976" s="13">
        <f t="shared" si="217"/>
        <v>0.114</v>
      </c>
      <c r="AF1976" s="13"/>
      <c r="AG1976" s="13"/>
      <c r="AH1976" s="13"/>
      <c r="AI1976" s="13"/>
      <c r="AJ1976" s="13">
        <f t="shared" si="216"/>
        <v>0.114</v>
      </c>
      <c r="AK1976" s="12"/>
      <c r="AL1976" s="13"/>
      <c r="AM1976" s="9"/>
      <c r="AN1976" s="9"/>
      <c r="AO1976" s="9"/>
      <c r="AP1976" s="14"/>
    </row>
    <row r="1977" spans="1:42" s="45" customFormat="1" ht="22" customHeight="1">
      <c r="A1977" s="14" t="s">
        <v>17</v>
      </c>
      <c r="B1977" s="8">
        <v>2024</v>
      </c>
      <c r="C1977" s="8" t="s">
        <v>24</v>
      </c>
      <c r="D1977" s="9" t="s">
        <v>185</v>
      </c>
      <c r="E1977" s="9" t="s">
        <v>115</v>
      </c>
      <c r="F1977" s="9" t="s">
        <v>434</v>
      </c>
      <c r="G1977" s="8"/>
      <c r="H1977" s="8"/>
      <c r="I1977" s="9" t="s">
        <v>11</v>
      </c>
      <c r="J1977" s="9" t="s">
        <v>11</v>
      </c>
      <c r="K1977" s="9" t="s">
        <v>82</v>
      </c>
      <c r="L1977" s="9" t="s">
        <v>171</v>
      </c>
      <c r="M1977" s="9" t="s">
        <v>860</v>
      </c>
      <c r="N1977" s="9" t="s">
        <v>861</v>
      </c>
      <c r="O1977" s="9" t="s">
        <v>929</v>
      </c>
      <c r="P1977" s="9" t="s">
        <v>939</v>
      </c>
      <c r="Q1977" s="11"/>
      <c r="R1977" s="11"/>
      <c r="S1977" s="11">
        <v>60</v>
      </c>
      <c r="T1977" s="9"/>
      <c r="U1977" s="14" t="s">
        <v>77</v>
      </c>
      <c r="V1977" s="9"/>
      <c r="W1977" s="12">
        <v>30</v>
      </c>
      <c r="X1977" s="13"/>
      <c r="Y1977" s="13"/>
      <c r="Z1977" s="13"/>
      <c r="AA1977" s="13"/>
      <c r="AB1977" s="13"/>
      <c r="AC1977" s="13"/>
      <c r="AD1977" s="13"/>
      <c r="AE1977" s="13">
        <f t="shared" si="217"/>
        <v>0.18</v>
      </c>
      <c r="AF1977" s="13"/>
      <c r="AG1977" s="13"/>
      <c r="AH1977" s="13"/>
      <c r="AI1977" s="13"/>
      <c r="AJ1977" s="13">
        <f t="shared" si="216"/>
        <v>0.18</v>
      </c>
      <c r="AK1977" s="12"/>
      <c r="AL1977" s="13"/>
      <c r="AM1977" s="9"/>
      <c r="AN1977" s="9"/>
      <c r="AO1977" s="9"/>
      <c r="AP1977" s="14"/>
    </row>
    <row r="1978" spans="1:42" s="45" customFormat="1" ht="22" customHeight="1">
      <c r="A1978" s="14" t="s">
        <v>17</v>
      </c>
      <c r="B1978" s="8">
        <v>2024</v>
      </c>
      <c r="C1978" s="8" t="s">
        <v>24</v>
      </c>
      <c r="D1978" s="9" t="s">
        <v>185</v>
      </c>
      <c r="E1978" s="9" t="s">
        <v>115</v>
      </c>
      <c r="F1978" s="9" t="s">
        <v>434</v>
      </c>
      <c r="G1978" s="8"/>
      <c r="H1978" s="8"/>
      <c r="I1978" s="9" t="s">
        <v>11</v>
      </c>
      <c r="J1978" s="9" t="s">
        <v>11</v>
      </c>
      <c r="K1978" s="9" t="s">
        <v>82</v>
      </c>
      <c r="L1978" s="9" t="s">
        <v>171</v>
      </c>
      <c r="M1978" s="9" t="s">
        <v>860</v>
      </c>
      <c r="N1978" s="9" t="s">
        <v>861</v>
      </c>
      <c r="O1978" s="9" t="s">
        <v>929</v>
      </c>
      <c r="P1978" s="9" t="s">
        <v>940</v>
      </c>
      <c r="Q1978" s="11"/>
      <c r="R1978" s="11"/>
      <c r="S1978" s="11">
        <v>39</v>
      </c>
      <c r="T1978" s="9"/>
      <c r="U1978" s="14" t="s">
        <v>77</v>
      </c>
      <c r="V1978" s="9"/>
      <c r="W1978" s="12">
        <v>30</v>
      </c>
      <c r="X1978" s="13"/>
      <c r="Y1978" s="13"/>
      <c r="Z1978" s="13"/>
      <c r="AA1978" s="13"/>
      <c r="AB1978" s="13"/>
      <c r="AC1978" s="13"/>
      <c r="AD1978" s="13"/>
      <c r="AE1978" s="13">
        <f t="shared" si="217"/>
        <v>0.11700000000000001</v>
      </c>
      <c r="AF1978" s="13"/>
      <c r="AG1978" s="13"/>
      <c r="AH1978" s="13"/>
      <c r="AI1978" s="13"/>
      <c r="AJ1978" s="13">
        <f t="shared" si="216"/>
        <v>0.11700000000000001</v>
      </c>
      <c r="AK1978" s="12"/>
      <c r="AL1978" s="13"/>
      <c r="AM1978" s="9"/>
      <c r="AN1978" s="9"/>
      <c r="AO1978" s="9"/>
      <c r="AP1978" s="14"/>
    </row>
    <row r="1979" spans="1:42" s="45" customFormat="1" ht="22" customHeight="1">
      <c r="A1979" s="14" t="s">
        <v>17</v>
      </c>
      <c r="B1979" s="8">
        <v>2024</v>
      </c>
      <c r="C1979" s="8" t="s">
        <v>24</v>
      </c>
      <c r="D1979" s="9" t="s">
        <v>185</v>
      </c>
      <c r="E1979" s="9" t="s">
        <v>115</v>
      </c>
      <c r="F1979" s="9" t="s">
        <v>434</v>
      </c>
      <c r="G1979" s="8"/>
      <c r="H1979" s="8"/>
      <c r="I1979" s="9" t="s">
        <v>11</v>
      </c>
      <c r="J1979" s="9" t="s">
        <v>11</v>
      </c>
      <c r="K1979" s="9" t="s">
        <v>82</v>
      </c>
      <c r="L1979" s="9" t="s">
        <v>171</v>
      </c>
      <c r="M1979" s="9" t="s">
        <v>860</v>
      </c>
      <c r="N1979" s="9" t="s">
        <v>861</v>
      </c>
      <c r="O1979" s="9" t="s">
        <v>929</v>
      </c>
      <c r="P1979" s="9" t="s">
        <v>941</v>
      </c>
      <c r="Q1979" s="11"/>
      <c r="R1979" s="11"/>
      <c r="S1979" s="11">
        <v>44</v>
      </c>
      <c r="T1979" s="9"/>
      <c r="U1979" s="14" t="s">
        <v>77</v>
      </c>
      <c r="V1979" s="9"/>
      <c r="W1979" s="12">
        <v>30</v>
      </c>
      <c r="X1979" s="13"/>
      <c r="Y1979" s="13"/>
      <c r="Z1979" s="13"/>
      <c r="AA1979" s="13"/>
      <c r="AB1979" s="13"/>
      <c r="AC1979" s="13"/>
      <c r="AD1979" s="13"/>
      <c r="AE1979" s="13">
        <f t="shared" si="217"/>
        <v>0.13200000000000001</v>
      </c>
      <c r="AF1979" s="13"/>
      <c r="AG1979" s="13"/>
      <c r="AH1979" s="13"/>
      <c r="AI1979" s="13"/>
      <c r="AJ1979" s="13">
        <f t="shared" si="216"/>
        <v>0.13200000000000001</v>
      </c>
      <c r="AK1979" s="12"/>
      <c r="AL1979" s="13"/>
      <c r="AM1979" s="9"/>
      <c r="AN1979" s="9"/>
      <c r="AO1979" s="9"/>
      <c r="AP1979" s="14"/>
    </row>
    <row r="1980" spans="1:42" s="45" customFormat="1" ht="22" customHeight="1">
      <c r="A1980" s="14" t="s">
        <v>17</v>
      </c>
      <c r="B1980" s="8">
        <v>2024</v>
      </c>
      <c r="C1980" s="8" t="s">
        <v>24</v>
      </c>
      <c r="D1980" s="9" t="s">
        <v>185</v>
      </c>
      <c r="E1980" s="9" t="s">
        <v>115</v>
      </c>
      <c r="F1980" s="9" t="s">
        <v>434</v>
      </c>
      <c r="G1980" s="8"/>
      <c r="H1980" s="8"/>
      <c r="I1980" s="9" t="s">
        <v>11</v>
      </c>
      <c r="J1980" s="9" t="s">
        <v>11</v>
      </c>
      <c r="K1980" s="9" t="s">
        <v>82</v>
      </c>
      <c r="L1980" s="9" t="s">
        <v>171</v>
      </c>
      <c r="M1980" s="9" t="s">
        <v>860</v>
      </c>
      <c r="N1980" s="9" t="s">
        <v>861</v>
      </c>
      <c r="O1980" s="9" t="s">
        <v>929</v>
      </c>
      <c r="P1980" s="9" t="s">
        <v>942</v>
      </c>
      <c r="Q1980" s="11"/>
      <c r="R1980" s="11"/>
      <c r="S1980" s="11">
        <v>28</v>
      </c>
      <c r="T1980" s="9"/>
      <c r="U1980" s="14" t="s">
        <v>77</v>
      </c>
      <c r="V1980" s="9"/>
      <c r="W1980" s="12">
        <v>30</v>
      </c>
      <c r="X1980" s="13"/>
      <c r="Y1980" s="13"/>
      <c r="Z1980" s="13"/>
      <c r="AA1980" s="13"/>
      <c r="AB1980" s="13"/>
      <c r="AC1980" s="13"/>
      <c r="AD1980" s="13"/>
      <c r="AE1980" s="13">
        <f t="shared" si="217"/>
        <v>8.4000000000000005E-2</v>
      </c>
      <c r="AF1980" s="13"/>
      <c r="AG1980" s="13"/>
      <c r="AH1980" s="13"/>
      <c r="AI1980" s="13"/>
      <c r="AJ1980" s="13">
        <f t="shared" si="216"/>
        <v>8.4000000000000005E-2</v>
      </c>
      <c r="AK1980" s="12"/>
      <c r="AL1980" s="13"/>
      <c r="AM1980" s="9"/>
      <c r="AN1980" s="9"/>
      <c r="AO1980" s="9"/>
      <c r="AP1980" s="14"/>
    </row>
    <row r="1981" spans="1:42" s="45" customFormat="1" ht="22" customHeight="1">
      <c r="A1981" s="14" t="s">
        <v>17</v>
      </c>
      <c r="B1981" s="8">
        <v>2024</v>
      </c>
      <c r="C1981" s="8" t="s">
        <v>24</v>
      </c>
      <c r="D1981" s="9" t="s">
        <v>185</v>
      </c>
      <c r="E1981" s="9" t="s">
        <v>115</v>
      </c>
      <c r="F1981" s="9" t="s">
        <v>434</v>
      </c>
      <c r="G1981" s="8"/>
      <c r="H1981" s="8"/>
      <c r="I1981" s="9" t="s">
        <v>11</v>
      </c>
      <c r="J1981" s="9" t="s">
        <v>11</v>
      </c>
      <c r="K1981" s="9" t="s">
        <v>82</v>
      </c>
      <c r="L1981" s="9" t="s">
        <v>171</v>
      </c>
      <c r="M1981" s="9" t="s">
        <v>860</v>
      </c>
      <c r="N1981" s="9" t="s">
        <v>861</v>
      </c>
      <c r="O1981" s="9" t="s">
        <v>929</v>
      </c>
      <c r="P1981" s="9" t="s">
        <v>943</v>
      </c>
      <c r="Q1981" s="11"/>
      <c r="R1981" s="11"/>
      <c r="S1981" s="11">
        <v>35</v>
      </c>
      <c r="T1981" s="9"/>
      <c r="U1981" s="14" t="s">
        <v>77</v>
      </c>
      <c r="V1981" s="9"/>
      <c r="W1981" s="12">
        <v>30</v>
      </c>
      <c r="X1981" s="13"/>
      <c r="Y1981" s="13"/>
      <c r="Z1981" s="13"/>
      <c r="AA1981" s="13"/>
      <c r="AB1981" s="13"/>
      <c r="AC1981" s="13"/>
      <c r="AD1981" s="13"/>
      <c r="AE1981" s="13">
        <f t="shared" si="217"/>
        <v>0.105</v>
      </c>
      <c r="AF1981" s="13"/>
      <c r="AG1981" s="13"/>
      <c r="AH1981" s="13"/>
      <c r="AI1981" s="13"/>
      <c r="AJ1981" s="13">
        <f t="shared" si="216"/>
        <v>0.105</v>
      </c>
      <c r="AK1981" s="12"/>
      <c r="AL1981" s="13"/>
      <c r="AM1981" s="9"/>
      <c r="AN1981" s="9"/>
      <c r="AO1981" s="9"/>
      <c r="AP1981" s="14"/>
    </row>
    <row r="1982" spans="1:42" s="45" customFormat="1" ht="22" customHeight="1">
      <c r="A1982" s="14" t="s">
        <v>17</v>
      </c>
      <c r="B1982" s="8">
        <v>2024</v>
      </c>
      <c r="C1982" s="8" t="s">
        <v>24</v>
      </c>
      <c r="D1982" s="9" t="s">
        <v>185</v>
      </c>
      <c r="E1982" s="9" t="s">
        <v>115</v>
      </c>
      <c r="F1982" s="9" t="s">
        <v>434</v>
      </c>
      <c r="G1982" s="8"/>
      <c r="H1982" s="8"/>
      <c r="I1982" s="9" t="s">
        <v>11</v>
      </c>
      <c r="J1982" s="9" t="s">
        <v>11</v>
      </c>
      <c r="K1982" s="9" t="s">
        <v>82</v>
      </c>
      <c r="L1982" s="9" t="s">
        <v>171</v>
      </c>
      <c r="M1982" s="9" t="s">
        <v>860</v>
      </c>
      <c r="N1982" s="9" t="s">
        <v>861</v>
      </c>
      <c r="O1982" s="9" t="s">
        <v>929</v>
      </c>
      <c r="P1982" s="9" t="s">
        <v>944</v>
      </c>
      <c r="Q1982" s="11"/>
      <c r="R1982" s="11"/>
      <c r="S1982" s="11">
        <v>20</v>
      </c>
      <c r="T1982" s="9"/>
      <c r="U1982" s="14" t="s">
        <v>77</v>
      </c>
      <c r="V1982" s="9"/>
      <c r="W1982" s="12">
        <v>30</v>
      </c>
      <c r="X1982" s="13"/>
      <c r="Y1982" s="13"/>
      <c r="Z1982" s="13"/>
      <c r="AA1982" s="13"/>
      <c r="AB1982" s="13"/>
      <c r="AC1982" s="13"/>
      <c r="AD1982" s="13"/>
      <c r="AE1982" s="13">
        <f t="shared" si="217"/>
        <v>0.06</v>
      </c>
      <c r="AF1982" s="13"/>
      <c r="AG1982" s="13"/>
      <c r="AH1982" s="13"/>
      <c r="AI1982" s="13"/>
      <c r="AJ1982" s="13">
        <f t="shared" si="216"/>
        <v>0.06</v>
      </c>
      <c r="AK1982" s="12"/>
      <c r="AL1982" s="13"/>
      <c r="AM1982" s="9"/>
      <c r="AN1982" s="9"/>
      <c r="AO1982" s="9"/>
      <c r="AP1982" s="14"/>
    </row>
    <row r="1983" spans="1:42" s="45" customFormat="1" ht="22" customHeight="1">
      <c r="A1983" s="14" t="s">
        <v>17</v>
      </c>
      <c r="B1983" s="8">
        <v>2024</v>
      </c>
      <c r="C1983" s="8" t="s">
        <v>24</v>
      </c>
      <c r="D1983" s="9" t="s">
        <v>185</v>
      </c>
      <c r="E1983" s="9" t="s">
        <v>115</v>
      </c>
      <c r="F1983" s="9" t="s">
        <v>434</v>
      </c>
      <c r="G1983" s="8"/>
      <c r="H1983" s="8"/>
      <c r="I1983" s="9" t="s">
        <v>11</v>
      </c>
      <c r="J1983" s="9" t="s">
        <v>11</v>
      </c>
      <c r="K1983" s="9" t="s">
        <v>82</v>
      </c>
      <c r="L1983" s="9" t="s">
        <v>171</v>
      </c>
      <c r="M1983" s="9" t="s">
        <v>860</v>
      </c>
      <c r="N1983" s="9" t="s">
        <v>861</v>
      </c>
      <c r="O1983" s="9" t="s">
        <v>929</v>
      </c>
      <c r="P1983" s="9" t="s">
        <v>945</v>
      </c>
      <c r="Q1983" s="11"/>
      <c r="R1983" s="11"/>
      <c r="S1983" s="11">
        <v>22</v>
      </c>
      <c r="T1983" s="9"/>
      <c r="U1983" s="14" t="s">
        <v>77</v>
      </c>
      <c r="V1983" s="9"/>
      <c r="W1983" s="12">
        <v>30</v>
      </c>
      <c r="X1983" s="13"/>
      <c r="Y1983" s="13"/>
      <c r="Z1983" s="13"/>
      <c r="AA1983" s="13"/>
      <c r="AB1983" s="13"/>
      <c r="AC1983" s="13"/>
      <c r="AD1983" s="13"/>
      <c r="AE1983" s="13">
        <f t="shared" si="217"/>
        <v>6.6000000000000003E-2</v>
      </c>
      <c r="AF1983" s="13"/>
      <c r="AG1983" s="13"/>
      <c r="AH1983" s="13"/>
      <c r="AI1983" s="13"/>
      <c r="AJ1983" s="13">
        <f t="shared" si="216"/>
        <v>6.6000000000000003E-2</v>
      </c>
      <c r="AK1983" s="12"/>
      <c r="AL1983" s="13"/>
      <c r="AM1983" s="9"/>
      <c r="AN1983" s="9"/>
      <c r="AO1983" s="9"/>
      <c r="AP1983" s="14"/>
    </row>
    <row r="1984" spans="1:42" s="45" customFormat="1" ht="22" customHeight="1">
      <c r="A1984" s="14" t="s">
        <v>17</v>
      </c>
      <c r="B1984" s="8">
        <v>2024</v>
      </c>
      <c r="C1984" s="8" t="s">
        <v>24</v>
      </c>
      <c r="D1984" s="9" t="s">
        <v>185</v>
      </c>
      <c r="E1984" s="9" t="s">
        <v>115</v>
      </c>
      <c r="F1984" s="9" t="s">
        <v>434</v>
      </c>
      <c r="G1984" s="8"/>
      <c r="H1984" s="8"/>
      <c r="I1984" s="9" t="s">
        <v>11</v>
      </c>
      <c r="J1984" s="9" t="s">
        <v>11</v>
      </c>
      <c r="K1984" s="9" t="s">
        <v>82</v>
      </c>
      <c r="L1984" s="9" t="s">
        <v>171</v>
      </c>
      <c r="M1984" s="9" t="s">
        <v>860</v>
      </c>
      <c r="N1984" s="9" t="s">
        <v>861</v>
      </c>
      <c r="O1984" s="9" t="s">
        <v>929</v>
      </c>
      <c r="P1984" s="9" t="s">
        <v>946</v>
      </c>
      <c r="Q1984" s="11"/>
      <c r="R1984" s="11"/>
      <c r="S1984" s="11">
        <v>41</v>
      </c>
      <c r="T1984" s="9"/>
      <c r="U1984" s="14" t="s">
        <v>77</v>
      </c>
      <c r="V1984" s="9"/>
      <c r="W1984" s="12">
        <v>30</v>
      </c>
      <c r="X1984" s="13"/>
      <c r="Y1984" s="13"/>
      <c r="Z1984" s="13"/>
      <c r="AA1984" s="13"/>
      <c r="AB1984" s="13"/>
      <c r="AC1984" s="13"/>
      <c r="AD1984" s="13"/>
      <c r="AE1984" s="13">
        <f t="shared" si="217"/>
        <v>0.123</v>
      </c>
      <c r="AF1984" s="13"/>
      <c r="AG1984" s="13"/>
      <c r="AH1984" s="13"/>
      <c r="AI1984" s="13"/>
      <c r="AJ1984" s="13">
        <f t="shared" si="216"/>
        <v>0.123</v>
      </c>
      <c r="AK1984" s="12"/>
      <c r="AL1984" s="13"/>
      <c r="AM1984" s="9"/>
      <c r="AN1984" s="9"/>
      <c r="AO1984" s="9"/>
      <c r="AP1984" s="14"/>
    </row>
    <row r="1985" spans="1:42" s="45" customFormat="1" ht="22" customHeight="1">
      <c r="A1985" s="14" t="s">
        <v>17</v>
      </c>
      <c r="B1985" s="8">
        <v>2024</v>
      </c>
      <c r="C1985" s="8" t="s">
        <v>24</v>
      </c>
      <c r="D1985" s="9" t="s">
        <v>185</v>
      </c>
      <c r="E1985" s="9" t="s">
        <v>115</v>
      </c>
      <c r="F1985" s="9" t="s">
        <v>434</v>
      </c>
      <c r="G1985" s="8"/>
      <c r="H1985" s="8"/>
      <c r="I1985" s="9" t="s">
        <v>11</v>
      </c>
      <c r="J1985" s="9" t="s">
        <v>11</v>
      </c>
      <c r="K1985" s="9" t="s">
        <v>82</v>
      </c>
      <c r="L1985" s="9" t="s">
        <v>171</v>
      </c>
      <c r="M1985" s="9" t="s">
        <v>860</v>
      </c>
      <c r="N1985" s="9" t="s">
        <v>861</v>
      </c>
      <c r="O1985" s="9" t="s">
        <v>929</v>
      </c>
      <c r="P1985" s="9" t="s">
        <v>947</v>
      </c>
      <c r="Q1985" s="11"/>
      <c r="R1985" s="11"/>
      <c r="S1985" s="11">
        <v>39</v>
      </c>
      <c r="T1985" s="9"/>
      <c r="U1985" s="14" t="s">
        <v>77</v>
      </c>
      <c r="V1985" s="9"/>
      <c r="W1985" s="12">
        <v>30</v>
      </c>
      <c r="X1985" s="13"/>
      <c r="Y1985" s="13"/>
      <c r="Z1985" s="13"/>
      <c r="AA1985" s="13"/>
      <c r="AB1985" s="13"/>
      <c r="AC1985" s="13"/>
      <c r="AD1985" s="13"/>
      <c r="AE1985" s="13">
        <f t="shared" si="217"/>
        <v>0.11700000000000001</v>
      </c>
      <c r="AF1985" s="13"/>
      <c r="AG1985" s="13"/>
      <c r="AH1985" s="13"/>
      <c r="AI1985" s="13"/>
      <c r="AJ1985" s="13">
        <f t="shared" si="216"/>
        <v>0.11700000000000001</v>
      </c>
      <c r="AK1985" s="12"/>
      <c r="AL1985" s="13"/>
      <c r="AM1985" s="9"/>
      <c r="AN1985" s="9"/>
      <c r="AO1985" s="9"/>
      <c r="AP1985" s="14"/>
    </row>
    <row r="1986" spans="1:42" s="45" customFormat="1" ht="22" customHeight="1">
      <c r="A1986" s="14" t="s">
        <v>17</v>
      </c>
      <c r="B1986" s="8">
        <v>2024</v>
      </c>
      <c r="C1986" s="8" t="s">
        <v>24</v>
      </c>
      <c r="D1986" s="9" t="s">
        <v>185</v>
      </c>
      <c r="E1986" s="9" t="s">
        <v>115</v>
      </c>
      <c r="F1986" s="9" t="s">
        <v>434</v>
      </c>
      <c r="G1986" s="8"/>
      <c r="H1986" s="8"/>
      <c r="I1986" s="9" t="s">
        <v>11</v>
      </c>
      <c r="J1986" s="9" t="s">
        <v>11</v>
      </c>
      <c r="K1986" s="9" t="s">
        <v>82</v>
      </c>
      <c r="L1986" s="9" t="s">
        <v>171</v>
      </c>
      <c r="M1986" s="9" t="s">
        <v>860</v>
      </c>
      <c r="N1986" s="9" t="s">
        <v>861</v>
      </c>
      <c r="O1986" s="9" t="s">
        <v>929</v>
      </c>
      <c r="P1986" s="9" t="s">
        <v>948</v>
      </c>
      <c r="Q1986" s="11"/>
      <c r="R1986" s="11"/>
      <c r="S1986" s="11">
        <v>38</v>
      </c>
      <c r="T1986" s="9"/>
      <c r="U1986" s="14" t="s">
        <v>77</v>
      </c>
      <c r="V1986" s="9"/>
      <c r="W1986" s="12">
        <v>30</v>
      </c>
      <c r="X1986" s="13"/>
      <c r="Y1986" s="13"/>
      <c r="Z1986" s="13"/>
      <c r="AA1986" s="13"/>
      <c r="AB1986" s="13"/>
      <c r="AC1986" s="13"/>
      <c r="AD1986" s="13"/>
      <c r="AE1986" s="13">
        <f t="shared" si="217"/>
        <v>0.114</v>
      </c>
      <c r="AF1986" s="13"/>
      <c r="AG1986" s="13"/>
      <c r="AH1986" s="13"/>
      <c r="AI1986" s="13"/>
      <c r="AJ1986" s="13">
        <f t="shared" si="216"/>
        <v>0.114</v>
      </c>
      <c r="AK1986" s="12"/>
      <c r="AL1986" s="13"/>
      <c r="AM1986" s="9"/>
      <c r="AN1986" s="9"/>
      <c r="AO1986" s="9"/>
      <c r="AP1986" s="14"/>
    </row>
    <row r="1987" spans="1:42" s="45" customFormat="1" ht="22" customHeight="1">
      <c r="A1987" s="14" t="s">
        <v>17</v>
      </c>
      <c r="B1987" s="8">
        <v>2024</v>
      </c>
      <c r="C1987" s="8" t="s">
        <v>24</v>
      </c>
      <c r="D1987" s="9" t="s">
        <v>185</v>
      </c>
      <c r="E1987" s="9" t="s">
        <v>115</v>
      </c>
      <c r="F1987" s="9" t="s">
        <v>434</v>
      </c>
      <c r="G1987" s="8"/>
      <c r="H1987" s="8"/>
      <c r="I1987" s="9" t="s">
        <v>11</v>
      </c>
      <c r="J1987" s="9" t="s">
        <v>11</v>
      </c>
      <c r="K1987" s="9" t="s">
        <v>82</v>
      </c>
      <c r="L1987" s="9" t="s">
        <v>171</v>
      </c>
      <c r="M1987" s="9" t="s">
        <v>860</v>
      </c>
      <c r="N1987" s="9" t="s">
        <v>861</v>
      </c>
      <c r="O1987" s="9" t="s">
        <v>929</v>
      </c>
      <c r="P1987" s="9" t="s">
        <v>949</v>
      </c>
      <c r="Q1987" s="11"/>
      <c r="R1987" s="11"/>
      <c r="S1987" s="11">
        <v>48</v>
      </c>
      <c r="T1987" s="9"/>
      <c r="U1987" s="14" t="s">
        <v>77</v>
      </c>
      <c r="V1987" s="9"/>
      <c r="W1987" s="12">
        <v>30</v>
      </c>
      <c r="X1987" s="13"/>
      <c r="Y1987" s="13"/>
      <c r="Z1987" s="13"/>
      <c r="AA1987" s="13"/>
      <c r="AB1987" s="13"/>
      <c r="AC1987" s="13"/>
      <c r="AD1987" s="13"/>
      <c r="AE1987" s="13">
        <f t="shared" si="217"/>
        <v>0.14399999999999999</v>
      </c>
      <c r="AF1987" s="13"/>
      <c r="AG1987" s="13"/>
      <c r="AH1987" s="13"/>
      <c r="AI1987" s="13"/>
      <c r="AJ1987" s="13">
        <f t="shared" si="216"/>
        <v>0.14399999999999999</v>
      </c>
      <c r="AK1987" s="12"/>
      <c r="AL1987" s="13"/>
      <c r="AM1987" s="9"/>
      <c r="AN1987" s="9"/>
      <c r="AO1987" s="9"/>
      <c r="AP1987" s="14"/>
    </row>
    <row r="1988" spans="1:42" s="45" customFormat="1" ht="22" customHeight="1">
      <c r="A1988" s="14" t="s">
        <v>17</v>
      </c>
      <c r="B1988" s="8">
        <v>2024</v>
      </c>
      <c r="C1988" s="8" t="s">
        <v>24</v>
      </c>
      <c r="D1988" s="9" t="s">
        <v>185</v>
      </c>
      <c r="E1988" s="9" t="s">
        <v>115</v>
      </c>
      <c r="F1988" s="9" t="s">
        <v>434</v>
      </c>
      <c r="G1988" s="8"/>
      <c r="H1988" s="8"/>
      <c r="I1988" s="9" t="s">
        <v>11</v>
      </c>
      <c r="J1988" s="9" t="s">
        <v>11</v>
      </c>
      <c r="K1988" s="9" t="s">
        <v>82</v>
      </c>
      <c r="L1988" s="9" t="s">
        <v>171</v>
      </c>
      <c r="M1988" s="9" t="s">
        <v>860</v>
      </c>
      <c r="N1988" s="9" t="s">
        <v>861</v>
      </c>
      <c r="O1988" s="9" t="s">
        <v>929</v>
      </c>
      <c r="P1988" s="9" t="s">
        <v>950</v>
      </c>
      <c r="Q1988" s="11"/>
      <c r="R1988" s="11"/>
      <c r="S1988" s="11">
        <v>54</v>
      </c>
      <c r="T1988" s="9"/>
      <c r="U1988" s="14" t="s">
        <v>77</v>
      </c>
      <c r="V1988" s="9"/>
      <c r="W1988" s="12">
        <v>30</v>
      </c>
      <c r="X1988" s="13"/>
      <c r="Y1988" s="13"/>
      <c r="Z1988" s="13"/>
      <c r="AA1988" s="13"/>
      <c r="AB1988" s="13"/>
      <c r="AC1988" s="13"/>
      <c r="AD1988" s="13"/>
      <c r="AE1988" s="13">
        <f t="shared" si="217"/>
        <v>0.16200000000000001</v>
      </c>
      <c r="AF1988" s="13"/>
      <c r="AG1988" s="13"/>
      <c r="AH1988" s="13"/>
      <c r="AI1988" s="13"/>
      <c r="AJ1988" s="13">
        <f t="shared" si="216"/>
        <v>0.16200000000000001</v>
      </c>
      <c r="AK1988" s="12"/>
      <c r="AL1988" s="13"/>
      <c r="AM1988" s="9"/>
      <c r="AN1988" s="9"/>
      <c r="AO1988" s="9"/>
      <c r="AP1988" s="14"/>
    </row>
    <row r="1989" spans="1:42" s="45" customFormat="1" ht="22" customHeight="1">
      <c r="A1989" s="14" t="s">
        <v>17</v>
      </c>
      <c r="B1989" s="8">
        <v>2024</v>
      </c>
      <c r="C1989" s="8" t="s">
        <v>24</v>
      </c>
      <c r="D1989" s="9" t="s">
        <v>185</v>
      </c>
      <c r="E1989" s="9" t="s">
        <v>115</v>
      </c>
      <c r="F1989" s="9" t="s">
        <v>434</v>
      </c>
      <c r="G1989" s="8"/>
      <c r="H1989" s="8"/>
      <c r="I1989" s="9" t="s">
        <v>11</v>
      </c>
      <c r="J1989" s="9" t="s">
        <v>11</v>
      </c>
      <c r="K1989" s="9" t="s">
        <v>82</v>
      </c>
      <c r="L1989" s="9" t="s">
        <v>171</v>
      </c>
      <c r="M1989" s="9" t="s">
        <v>860</v>
      </c>
      <c r="N1989" s="9" t="s">
        <v>861</v>
      </c>
      <c r="O1989" s="9" t="s">
        <v>929</v>
      </c>
      <c r="P1989" s="9" t="s">
        <v>951</v>
      </c>
      <c r="Q1989" s="11"/>
      <c r="R1989" s="11"/>
      <c r="S1989" s="11">
        <v>42</v>
      </c>
      <c r="T1989" s="9"/>
      <c r="U1989" s="14" t="s">
        <v>77</v>
      </c>
      <c r="V1989" s="9"/>
      <c r="W1989" s="12">
        <v>30</v>
      </c>
      <c r="X1989" s="13"/>
      <c r="Y1989" s="13"/>
      <c r="Z1989" s="13"/>
      <c r="AA1989" s="13"/>
      <c r="AB1989" s="13"/>
      <c r="AC1989" s="13"/>
      <c r="AD1989" s="13"/>
      <c r="AE1989" s="13">
        <f t="shared" si="217"/>
        <v>0.126</v>
      </c>
      <c r="AF1989" s="13"/>
      <c r="AG1989" s="13"/>
      <c r="AH1989" s="13"/>
      <c r="AI1989" s="13"/>
      <c r="AJ1989" s="13">
        <f t="shared" si="216"/>
        <v>0.126</v>
      </c>
      <c r="AK1989" s="12"/>
      <c r="AL1989" s="13"/>
      <c r="AM1989" s="9"/>
      <c r="AN1989" s="9"/>
      <c r="AO1989" s="9"/>
      <c r="AP1989" s="14"/>
    </row>
    <row r="1990" spans="1:42" s="45" customFormat="1" ht="22" customHeight="1">
      <c r="A1990" s="14" t="s">
        <v>17</v>
      </c>
      <c r="B1990" s="8">
        <v>2024</v>
      </c>
      <c r="C1990" s="8" t="s">
        <v>24</v>
      </c>
      <c r="D1990" s="9" t="s">
        <v>185</v>
      </c>
      <c r="E1990" s="9" t="s">
        <v>115</v>
      </c>
      <c r="F1990" s="9" t="s">
        <v>434</v>
      </c>
      <c r="G1990" s="8"/>
      <c r="H1990" s="8"/>
      <c r="I1990" s="9" t="s">
        <v>11</v>
      </c>
      <c r="J1990" s="9" t="s">
        <v>11</v>
      </c>
      <c r="K1990" s="9" t="s">
        <v>82</v>
      </c>
      <c r="L1990" s="9" t="s">
        <v>171</v>
      </c>
      <c r="M1990" s="9" t="s">
        <v>860</v>
      </c>
      <c r="N1990" s="9" t="s">
        <v>861</v>
      </c>
      <c r="O1990" s="9" t="s">
        <v>929</v>
      </c>
      <c r="P1990" s="9" t="s">
        <v>952</v>
      </c>
      <c r="Q1990" s="11"/>
      <c r="R1990" s="11"/>
      <c r="S1990" s="11">
        <v>30</v>
      </c>
      <c r="T1990" s="9"/>
      <c r="U1990" s="14" t="s">
        <v>77</v>
      </c>
      <c r="V1990" s="9"/>
      <c r="W1990" s="12">
        <v>30</v>
      </c>
      <c r="X1990" s="13"/>
      <c r="Y1990" s="13"/>
      <c r="Z1990" s="13"/>
      <c r="AA1990" s="13"/>
      <c r="AB1990" s="13"/>
      <c r="AC1990" s="13"/>
      <c r="AD1990" s="13"/>
      <c r="AE1990" s="13">
        <f t="shared" si="217"/>
        <v>0.09</v>
      </c>
      <c r="AF1990" s="13"/>
      <c r="AG1990" s="13"/>
      <c r="AH1990" s="13"/>
      <c r="AI1990" s="13"/>
      <c r="AJ1990" s="13">
        <f t="shared" si="216"/>
        <v>0.09</v>
      </c>
      <c r="AK1990" s="12"/>
      <c r="AL1990" s="13"/>
      <c r="AM1990" s="9"/>
      <c r="AN1990" s="9"/>
      <c r="AO1990" s="9"/>
      <c r="AP1990" s="14"/>
    </row>
    <row r="1991" spans="1:42" s="45" customFormat="1" ht="22" customHeight="1">
      <c r="A1991" s="14" t="s">
        <v>17</v>
      </c>
      <c r="B1991" s="8">
        <v>2024</v>
      </c>
      <c r="C1991" s="8" t="s">
        <v>24</v>
      </c>
      <c r="D1991" s="9" t="s">
        <v>185</v>
      </c>
      <c r="E1991" s="9" t="s">
        <v>115</v>
      </c>
      <c r="F1991" s="9" t="s">
        <v>434</v>
      </c>
      <c r="G1991" s="8"/>
      <c r="H1991" s="8"/>
      <c r="I1991" s="9" t="s">
        <v>11</v>
      </c>
      <c r="J1991" s="9" t="s">
        <v>11</v>
      </c>
      <c r="K1991" s="9" t="s">
        <v>82</v>
      </c>
      <c r="L1991" s="9" t="s">
        <v>171</v>
      </c>
      <c r="M1991" s="9" t="s">
        <v>860</v>
      </c>
      <c r="N1991" s="9" t="s">
        <v>861</v>
      </c>
      <c r="O1991" s="9" t="s">
        <v>929</v>
      </c>
      <c r="P1991" s="9" t="s">
        <v>953</v>
      </c>
      <c r="Q1991" s="11"/>
      <c r="R1991" s="11"/>
      <c r="S1991" s="11">
        <v>53</v>
      </c>
      <c r="T1991" s="9"/>
      <c r="U1991" s="14" t="s">
        <v>77</v>
      </c>
      <c r="V1991" s="9"/>
      <c r="W1991" s="12">
        <v>30</v>
      </c>
      <c r="X1991" s="13"/>
      <c r="Y1991" s="13"/>
      <c r="Z1991" s="13"/>
      <c r="AA1991" s="13"/>
      <c r="AB1991" s="13"/>
      <c r="AC1991" s="13"/>
      <c r="AD1991" s="13"/>
      <c r="AE1991" s="13">
        <f t="shared" si="217"/>
        <v>0.159</v>
      </c>
      <c r="AF1991" s="13"/>
      <c r="AG1991" s="13"/>
      <c r="AH1991" s="13"/>
      <c r="AI1991" s="13"/>
      <c r="AJ1991" s="13">
        <f t="shared" si="216"/>
        <v>0.159</v>
      </c>
      <c r="AK1991" s="12"/>
      <c r="AL1991" s="13"/>
      <c r="AM1991" s="9"/>
      <c r="AN1991" s="9"/>
      <c r="AO1991" s="9"/>
      <c r="AP1991" s="14"/>
    </row>
    <row r="1992" spans="1:42" s="45" customFormat="1" ht="22" customHeight="1">
      <c r="A1992" s="14" t="s">
        <v>17</v>
      </c>
      <c r="B1992" s="8">
        <v>2024</v>
      </c>
      <c r="C1992" s="8" t="s">
        <v>24</v>
      </c>
      <c r="D1992" s="9" t="s">
        <v>185</v>
      </c>
      <c r="E1992" s="9" t="s">
        <v>115</v>
      </c>
      <c r="F1992" s="9" t="s">
        <v>434</v>
      </c>
      <c r="G1992" s="8"/>
      <c r="H1992" s="8"/>
      <c r="I1992" s="9" t="s">
        <v>11</v>
      </c>
      <c r="J1992" s="9" t="s">
        <v>11</v>
      </c>
      <c r="K1992" s="9" t="s">
        <v>82</v>
      </c>
      <c r="L1992" s="9" t="s">
        <v>171</v>
      </c>
      <c r="M1992" s="9" t="s">
        <v>860</v>
      </c>
      <c r="N1992" s="9" t="s">
        <v>861</v>
      </c>
      <c r="O1992" s="9" t="s">
        <v>929</v>
      </c>
      <c r="P1992" s="9" t="s">
        <v>954</v>
      </c>
      <c r="Q1992" s="11"/>
      <c r="R1992" s="11"/>
      <c r="S1992" s="11">
        <v>38</v>
      </c>
      <c r="T1992" s="9"/>
      <c r="U1992" s="14" t="s">
        <v>77</v>
      </c>
      <c r="V1992" s="9"/>
      <c r="W1992" s="12">
        <v>30</v>
      </c>
      <c r="X1992" s="13"/>
      <c r="Y1992" s="13"/>
      <c r="Z1992" s="13"/>
      <c r="AA1992" s="13"/>
      <c r="AB1992" s="13"/>
      <c r="AC1992" s="13"/>
      <c r="AD1992" s="13"/>
      <c r="AE1992" s="13">
        <f t="shared" si="217"/>
        <v>0.114</v>
      </c>
      <c r="AF1992" s="13"/>
      <c r="AG1992" s="13"/>
      <c r="AH1992" s="13"/>
      <c r="AI1992" s="13"/>
      <c r="AJ1992" s="13">
        <f t="shared" si="216"/>
        <v>0.114</v>
      </c>
      <c r="AK1992" s="12"/>
      <c r="AL1992" s="13"/>
      <c r="AM1992" s="9"/>
      <c r="AN1992" s="9"/>
      <c r="AO1992" s="9"/>
      <c r="AP1992" s="14"/>
    </row>
    <row r="1993" spans="1:42" s="45" customFormat="1" ht="22" customHeight="1">
      <c r="A1993" s="14" t="s">
        <v>17</v>
      </c>
      <c r="B1993" s="8">
        <v>2024</v>
      </c>
      <c r="C1993" s="8" t="s">
        <v>24</v>
      </c>
      <c r="D1993" s="9" t="s">
        <v>185</v>
      </c>
      <c r="E1993" s="9" t="s">
        <v>115</v>
      </c>
      <c r="F1993" s="9" t="s">
        <v>434</v>
      </c>
      <c r="G1993" s="8"/>
      <c r="H1993" s="8"/>
      <c r="I1993" s="9" t="s">
        <v>11</v>
      </c>
      <c r="J1993" s="9" t="s">
        <v>11</v>
      </c>
      <c r="K1993" s="9" t="s">
        <v>82</v>
      </c>
      <c r="L1993" s="9" t="s">
        <v>171</v>
      </c>
      <c r="M1993" s="9" t="s">
        <v>860</v>
      </c>
      <c r="N1993" s="9" t="s">
        <v>861</v>
      </c>
      <c r="O1993" s="9" t="s">
        <v>929</v>
      </c>
      <c r="P1993" s="9" t="s">
        <v>955</v>
      </c>
      <c r="Q1993" s="11"/>
      <c r="R1993" s="11"/>
      <c r="S1993" s="11">
        <v>42</v>
      </c>
      <c r="T1993" s="9"/>
      <c r="U1993" s="14" t="s">
        <v>77</v>
      </c>
      <c r="V1993" s="9"/>
      <c r="W1993" s="12">
        <v>30</v>
      </c>
      <c r="X1993" s="13"/>
      <c r="Y1993" s="13"/>
      <c r="Z1993" s="13"/>
      <c r="AA1993" s="13"/>
      <c r="AB1993" s="13"/>
      <c r="AC1993" s="13"/>
      <c r="AD1993" s="13"/>
      <c r="AE1993" s="13">
        <f t="shared" si="217"/>
        <v>0.126</v>
      </c>
      <c r="AF1993" s="13"/>
      <c r="AG1993" s="13"/>
      <c r="AH1993" s="13"/>
      <c r="AI1993" s="13"/>
      <c r="AJ1993" s="13">
        <f t="shared" si="216"/>
        <v>0.126</v>
      </c>
      <c r="AK1993" s="12"/>
      <c r="AL1993" s="13"/>
      <c r="AM1993" s="9"/>
      <c r="AN1993" s="9"/>
      <c r="AO1993" s="9"/>
      <c r="AP1993" s="14"/>
    </row>
    <row r="1994" spans="1:42" s="45" customFormat="1" ht="22" customHeight="1">
      <c r="A1994" s="14" t="s">
        <v>17</v>
      </c>
      <c r="B1994" s="8">
        <v>2024</v>
      </c>
      <c r="C1994" s="8" t="s">
        <v>24</v>
      </c>
      <c r="D1994" s="9" t="s">
        <v>185</v>
      </c>
      <c r="E1994" s="9" t="s">
        <v>115</v>
      </c>
      <c r="F1994" s="9" t="s">
        <v>434</v>
      </c>
      <c r="G1994" s="8"/>
      <c r="H1994" s="8"/>
      <c r="I1994" s="9" t="s">
        <v>11</v>
      </c>
      <c r="J1994" s="9" t="s">
        <v>11</v>
      </c>
      <c r="K1994" s="9" t="s">
        <v>82</v>
      </c>
      <c r="L1994" s="9" t="s">
        <v>171</v>
      </c>
      <c r="M1994" s="9" t="s">
        <v>860</v>
      </c>
      <c r="N1994" s="9" t="s">
        <v>861</v>
      </c>
      <c r="O1994" s="9" t="s">
        <v>929</v>
      </c>
      <c r="P1994" s="9" t="s">
        <v>956</v>
      </c>
      <c r="Q1994" s="11"/>
      <c r="R1994" s="11"/>
      <c r="S1994" s="11">
        <v>29</v>
      </c>
      <c r="T1994" s="9"/>
      <c r="U1994" s="14" t="s">
        <v>77</v>
      </c>
      <c r="V1994" s="9"/>
      <c r="W1994" s="12">
        <v>30</v>
      </c>
      <c r="X1994" s="13"/>
      <c r="Y1994" s="13"/>
      <c r="Z1994" s="13"/>
      <c r="AA1994" s="13"/>
      <c r="AB1994" s="13"/>
      <c r="AC1994" s="13"/>
      <c r="AD1994" s="13"/>
      <c r="AE1994" s="13">
        <f t="shared" si="217"/>
        <v>8.6999999999999994E-2</v>
      </c>
      <c r="AF1994" s="13"/>
      <c r="AG1994" s="13"/>
      <c r="AH1994" s="13"/>
      <c r="AI1994" s="13"/>
      <c r="AJ1994" s="13">
        <f t="shared" si="216"/>
        <v>8.6999999999999994E-2</v>
      </c>
      <c r="AK1994" s="12"/>
      <c r="AL1994" s="13"/>
      <c r="AM1994" s="9"/>
      <c r="AN1994" s="9"/>
      <c r="AO1994" s="9"/>
      <c r="AP1994" s="14"/>
    </row>
    <row r="1995" spans="1:42" s="45" customFormat="1" ht="22" customHeight="1">
      <c r="A1995" s="14" t="s">
        <v>17</v>
      </c>
      <c r="B1995" s="8">
        <v>2024</v>
      </c>
      <c r="C1995" s="8" t="s">
        <v>24</v>
      </c>
      <c r="D1995" s="9" t="s">
        <v>185</v>
      </c>
      <c r="E1995" s="9" t="s">
        <v>115</v>
      </c>
      <c r="F1995" s="9" t="s">
        <v>434</v>
      </c>
      <c r="G1995" s="8"/>
      <c r="H1995" s="8"/>
      <c r="I1995" s="9" t="s">
        <v>11</v>
      </c>
      <c r="J1995" s="9" t="s">
        <v>11</v>
      </c>
      <c r="K1995" s="9" t="s">
        <v>82</v>
      </c>
      <c r="L1995" s="9" t="s">
        <v>171</v>
      </c>
      <c r="M1995" s="9" t="s">
        <v>860</v>
      </c>
      <c r="N1995" s="9" t="s">
        <v>861</v>
      </c>
      <c r="O1995" s="9" t="s">
        <v>336</v>
      </c>
      <c r="P1995" s="9" t="s">
        <v>957</v>
      </c>
      <c r="Q1995" s="11"/>
      <c r="R1995" s="11"/>
      <c r="S1995" s="11">
        <v>49</v>
      </c>
      <c r="T1995" s="9"/>
      <c r="U1995" s="14" t="s">
        <v>77</v>
      </c>
      <c r="V1995" s="9"/>
      <c r="W1995" s="12">
        <v>30</v>
      </c>
      <c r="X1995" s="13"/>
      <c r="Y1995" s="13"/>
      <c r="Z1995" s="13"/>
      <c r="AA1995" s="13"/>
      <c r="AB1995" s="13"/>
      <c r="AC1995" s="13"/>
      <c r="AD1995" s="13"/>
      <c r="AE1995" s="13">
        <f t="shared" si="217"/>
        <v>0.14699999999999999</v>
      </c>
      <c r="AF1995" s="13"/>
      <c r="AG1995" s="13"/>
      <c r="AH1995" s="13"/>
      <c r="AI1995" s="13"/>
      <c r="AJ1995" s="13">
        <f t="shared" si="216"/>
        <v>0.14699999999999999</v>
      </c>
      <c r="AK1995" s="12"/>
      <c r="AL1995" s="13"/>
      <c r="AM1995" s="9"/>
      <c r="AN1995" s="9"/>
      <c r="AO1995" s="9"/>
      <c r="AP1995" s="14"/>
    </row>
    <row r="1996" spans="1:42" s="45" customFormat="1" ht="22" customHeight="1">
      <c r="A1996" s="14" t="s">
        <v>17</v>
      </c>
      <c r="B1996" s="8">
        <v>2024</v>
      </c>
      <c r="C1996" s="8" t="s">
        <v>24</v>
      </c>
      <c r="D1996" s="9" t="s">
        <v>185</v>
      </c>
      <c r="E1996" s="9" t="s">
        <v>115</v>
      </c>
      <c r="F1996" s="9" t="s">
        <v>434</v>
      </c>
      <c r="G1996" s="8"/>
      <c r="H1996" s="8"/>
      <c r="I1996" s="9" t="s">
        <v>11</v>
      </c>
      <c r="J1996" s="9" t="s">
        <v>11</v>
      </c>
      <c r="K1996" s="9" t="s">
        <v>82</v>
      </c>
      <c r="L1996" s="9" t="s">
        <v>171</v>
      </c>
      <c r="M1996" s="9" t="s">
        <v>860</v>
      </c>
      <c r="N1996" s="9" t="s">
        <v>861</v>
      </c>
      <c r="O1996" s="9" t="s">
        <v>336</v>
      </c>
      <c r="P1996" s="9" t="s">
        <v>958</v>
      </c>
      <c r="Q1996" s="11"/>
      <c r="R1996" s="11"/>
      <c r="S1996" s="11">
        <v>32</v>
      </c>
      <c r="T1996" s="9"/>
      <c r="U1996" s="14" t="s">
        <v>77</v>
      </c>
      <c r="V1996" s="9"/>
      <c r="W1996" s="12">
        <v>30</v>
      </c>
      <c r="X1996" s="13"/>
      <c r="Y1996" s="13"/>
      <c r="Z1996" s="13"/>
      <c r="AA1996" s="13"/>
      <c r="AB1996" s="13"/>
      <c r="AC1996" s="13"/>
      <c r="AD1996" s="13"/>
      <c r="AE1996" s="13">
        <f t="shared" si="217"/>
        <v>9.6000000000000002E-2</v>
      </c>
      <c r="AF1996" s="13"/>
      <c r="AG1996" s="13"/>
      <c r="AH1996" s="13"/>
      <c r="AI1996" s="13"/>
      <c r="AJ1996" s="13">
        <f t="shared" si="216"/>
        <v>9.6000000000000002E-2</v>
      </c>
      <c r="AK1996" s="12"/>
      <c r="AL1996" s="13"/>
      <c r="AM1996" s="9"/>
      <c r="AN1996" s="9"/>
      <c r="AO1996" s="9"/>
      <c r="AP1996" s="14"/>
    </row>
    <row r="1997" spans="1:42" s="45" customFormat="1" ht="22" customHeight="1">
      <c r="A1997" s="14" t="s">
        <v>17</v>
      </c>
      <c r="B1997" s="8">
        <v>2024</v>
      </c>
      <c r="C1997" s="8" t="s">
        <v>24</v>
      </c>
      <c r="D1997" s="9" t="s">
        <v>185</v>
      </c>
      <c r="E1997" s="9" t="s">
        <v>115</v>
      </c>
      <c r="F1997" s="9" t="s">
        <v>434</v>
      </c>
      <c r="G1997" s="8"/>
      <c r="H1997" s="8"/>
      <c r="I1997" s="9" t="s">
        <v>11</v>
      </c>
      <c r="J1997" s="9" t="s">
        <v>11</v>
      </c>
      <c r="K1997" s="9" t="s">
        <v>82</v>
      </c>
      <c r="L1997" s="9" t="s">
        <v>171</v>
      </c>
      <c r="M1997" s="9" t="s">
        <v>860</v>
      </c>
      <c r="N1997" s="9" t="s">
        <v>861</v>
      </c>
      <c r="O1997" s="9" t="s">
        <v>336</v>
      </c>
      <c r="P1997" s="9" t="s">
        <v>959</v>
      </c>
      <c r="Q1997" s="11"/>
      <c r="R1997" s="11"/>
      <c r="S1997" s="11">
        <v>35</v>
      </c>
      <c r="T1997" s="9"/>
      <c r="U1997" s="14" t="s">
        <v>77</v>
      </c>
      <c r="V1997" s="9"/>
      <c r="W1997" s="12">
        <v>30</v>
      </c>
      <c r="X1997" s="13"/>
      <c r="Y1997" s="13"/>
      <c r="Z1997" s="13"/>
      <c r="AA1997" s="13"/>
      <c r="AB1997" s="13"/>
      <c r="AC1997" s="13"/>
      <c r="AD1997" s="13"/>
      <c r="AE1997" s="13">
        <f t="shared" si="217"/>
        <v>0.105</v>
      </c>
      <c r="AF1997" s="13"/>
      <c r="AG1997" s="13"/>
      <c r="AH1997" s="13"/>
      <c r="AI1997" s="13"/>
      <c r="AJ1997" s="13">
        <f t="shared" si="216"/>
        <v>0.105</v>
      </c>
      <c r="AK1997" s="12"/>
      <c r="AL1997" s="13"/>
      <c r="AM1997" s="9"/>
      <c r="AN1997" s="9"/>
      <c r="AO1997" s="9"/>
      <c r="AP1997" s="14"/>
    </row>
    <row r="1998" spans="1:42" s="45" customFormat="1" ht="22" customHeight="1">
      <c r="A1998" s="14" t="s">
        <v>17</v>
      </c>
      <c r="B1998" s="8">
        <v>2024</v>
      </c>
      <c r="C1998" s="8" t="s">
        <v>24</v>
      </c>
      <c r="D1998" s="9" t="s">
        <v>185</v>
      </c>
      <c r="E1998" s="9" t="s">
        <v>115</v>
      </c>
      <c r="F1998" s="9" t="s">
        <v>434</v>
      </c>
      <c r="G1998" s="8"/>
      <c r="H1998" s="8"/>
      <c r="I1998" s="9" t="s">
        <v>11</v>
      </c>
      <c r="J1998" s="9" t="s">
        <v>11</v>
      </c>
      <c r="K1998" s="9" t="s">
        <v>82</v>
      </c>
      <c r="L1998" s="9" t="s">
        <v>171</v>
      </c>
      <c r="M1998" s="9" t="s">
        <v>860</v>
      </c>
      <c r="N1998" s="9" t="s">
        <v>861</v>
      </c>
      <c r="O1998" s="9" t="s">
        <v>336</v>
      </c>
      <c r="P1998" s="9" t="s">
        <v>960</v>
      </c>
      <c r="Q1998" s="11"/>
      <c r="R1998" s="11"/>
      <c r="S1998" s="11">
        <v>12</v>
      </c>
      <c r="T1998" s="9"/>
      <c r="U1998" s="14" t="s">
        <v>77</v>
      </c>
      <c r="V1998" s="9"/>
      <c r="W1998" s="12">
        <v>30</v>
      </c>
      <c r="X1998" s="13"/>
      <c r="Y1998" s="13"/>
      <c r="Z1998" s="13"/>
      <c r="AA1998" s="13"/>
      <c r="AB1998" s="13"/>
      <c r="AC1998" s="13"/>
      <c r="AD1998" s="13"/>
      <c r="AE1998" s="13">
        <f t="shared" si="217"/>
        <v>3.5999999999999997E-2</v>
      </c>
      <c r="AF1998" s="13"/>
      <c r="AG1998" s="13"/>
      <c r="AH1998" s="13"/>
      <c r="AI1998" s="13"/>
      <c r="AJ1998" s="13">
        <f t="shared" si="216"/>
        <v>3.5999999999999997E-2</v>
      </c>
      <c r="AK1998" s="12"/>
      <c r="AL1998" s="13"/>
      <c r="AM1998" s="9"/>
      <c r="AN1998" s="9"/>
      <c r="AO1998" s="9"/>
      <c r="AP1998" s="14"/>
    </row>
    <row r="1999" spans="1:42" s="45" customFormat="1" ht="22" customHeight="1">
      <c r="A1999" s="14" t="s">
        <v>17</v>
      </c>
      <c r="B1999" s="8">
        <v>2024</v>
      </c>
      <c r="C1999" s="8" t="s">
        <v>24</v>
      </c>
      <c r="D1999" s="9" t="s">
        <v>185</v>
      </c>
      <c r="E1999" s="9" t="s">
        <v>115</v>
      </c>
      <c r="F1999" s="9" t="s">
        <v>434</v>
      </c>
      <c r="G1999" s="8"/>
      <c r="H1999" s="8"/>
      <c r="I1999" s="9" t="s">
        <v>11</v>
      </c>
      <c r="J1999" s="9" t="s">
        <v>11</v>
      </c>
      <c r="K1999" s="9" t="s">
        <v>82</v>
      </c>
      <c r="L1999" s="9" t="s">
        <v>171</v>
      </c>
      <c r="M1999" s="9" t="s">
        <v>860</v>
      </c>
      <c r="N1999" s="9" t="s">
        <v>861</v>
      </c>
      <c r="O1999" s="9" t="s">
        <v>336</v>
      </c>
      <c r="P1999" s="9" t="s">
        <v>961</v>
      </c>
      <c r="Q1999" s="11"/>
      <c r="R1999" s="11"/>
      <c r="S1999" s="11">
        <v>27</v>
      </c>
      <c r="T1999" s="9"/>
      <c r="U1999" s="14" t="s">
        <v>77</v>
      </c>
      <c r="V1999" s="9"/>
      <c r="W1999" s="12">
        <v>30</v>
      </c>
      <c r="X1999" s="13"/>
      <c r="Y1999" s="13"/>
      <c r="Z1999" s="13"/>
      <c r="AA1999" s="13"/>
      <c r="AB1999" s="13"/>
      <c r="AC1999" s="13"/>
      <c r="AD1999" s="13"/>
      <c r="AE1999" s="13">
        <f t="shared" si="217"/>
        <v>8.1000000000000003E-2</v>
      </c>
      <c r="AF1999" s="13"/>
      <c r="AG1999" s="13"/>
      <c r="AH1999" s="13"/>
      <c r="AI1999" s="13"/>
      <c r="AJ1999" s="13">
        <f t="shared" si="216"/>
        <v>8.1000000000000003E-2</v>
      </c>
      <c r="AK1999" s="12"/>
      <c r="AL1999" s="13"/>
      <c r="AM1999" s="9"/>
      <c r="AN1999" s="9"/>
      <c r="AO1999" s="9"/>
      <c r="AP1999" s="14"/>
    </row>
    <row r="2000" spans="1:42" s="45" customFormat="1" ht="22" customHeight="1">
      <c r="A2000" s="14" t="s">
        <v>17</v>
      </c>
      <c r="B2000" s="8">
        <v>2024</v>
      </c>
      <c r="C2000" s="8" t="s">
        <v>24</v>
      </c>
      <c r="D2000" s="9" t="s">
        <v>185</v>
      </c>
      <c r="E2000" s="9" t="s">
        <v>115</v>
      </c>
      <c r="F2000" s="9" t="s">
        <v>434</v>
      </c>
      <c r="G2000" s="8"/>
      <c r="H2000" s="8"/>
      <c r="I2000" s="9" t="s">
        <v>11</v>
      </c>
      <c r="J2000" s="9" t="s">
        <v>11</v>
      </c>
      <c r="K2000" s="9" t="s">
        <v>82</v>
      </c>
      <c r="L2000" s="9" t="s">
        <v>171</v>
      </c>
      <c r="M2000" s="9" t="s">
        <v>860</v>
      </c>
      <c r="N2000" s="9" t="s">
        <v>861</v>
      </c>
      <c r="O2000" s="9" t="s">
        <v>336</v>
      </c>
      <c r="P2000" s="9" t="s">
        <v>962</v>
      </c>
      <c r="Q2000" s="11"/>
      <c r="R2000" s="11"/>
      <c r="S2000" s="11">
        <v>19</v>
      </c>
      <c r="T2000" s="9"/>
      <c r="U2000" s="14" t="s">
        <v>77</v>
      </c>
      <c r="V2000" s="9"/>
      <c r="W2000" s="12">
        <v>30</v>
      </c>
      <c r="X2000" s="13"/>
      <c r="Y2000" s="13"/>
      <c r="Z2000" s="13"/>
      <c r="AA2000" s="13"/>
      <c r="AB2000" s="13"/>
      <c r="AC2000" s="13"/>
      <c r="AD2000" s="13"/>
      <c r="AE2000" s="13">
        <f t="shared" si="217"/>
        <v>5.7000000000000002E-2</v>
      </c>
      <c r="AF2000" s="13"/>
      <c r="AG2000" s="13"/>
      <c r="AH2000" s="13"/>
      <c r="AI2000" s="13"/>
      <c r="AJ2000" s="13">
        <f t="shared" si="216"/>
        <v>5.7000000000000002E-2</v>
      </c>
      <c r="AK2000" s="12"/>
      <c r="AL2000" s="13"/>
      <c r="AM2000" s="9"/>
      <c r="AN2000" s="9"/>
      <c r="AO2000" s="9"/>
      <c r="AP2000" s="14"/>
    </row>
    <row r="2001" spans="1:42" s="45" customFormat="1" ht="22" customHeight="1">
      <c r="A2001" s="14" t="s">
        <v>17</v>
      </c>
      <c r="B2001" s="8">
        <v>2024</v>
      </c>
      <c r="C2001" s="8" t="s">
        <v>24</v>
      </c>
      <c r="D2001" s="9" t="s">
        <v>185</v>
      </c>
      <c r="E2001" s="9" t="s">
        <v>115</v>
      </c>
      <c r="F2001" s="9" t="s">
        <v>434</v>
      </c>
      <c r="G2001" s="8"/>
      <c r="H2001" s="8"/>
      <c r="I2001" s="9" t="s">
        <v>11</v>
      </c>
      <c r="J2001" s="9" t="s">
        <v>11</v>
      </c>
      <c r="K2001" s="9" t="s">
        <v>82</v>
      </c>
      <c r="L2001" s="9" t="s">
        <v>171</v>
      </c>
      <c r="M2001" s="9" t="s">
        <v>860</v>
      </c>
      <c r="N2001" s="9" t="s">
        <v>861</v>
      </c>
      <c r="O2001" s="9" t="s">
        <v>336</v>
      </c>
      <c r="P2001" s="9" t="s">
        <v>492</v>
      </c>
      <c r="Q2001" s="11"/>
      <c r="R2001" s="11"/>
      <c r="S2001" s="11">
        <v>28</v>
      </c>
      <c r="T2001" s="9"/>
      <c r="U2001" s="14" t="s">
        <v>77</v>
      </c>
      <c r="V2001" s="9"/>
      <c r="W2001" s="12">
        <v>30</v>
      </c>
      <c r="X2001" s="13"/>
      <c r="Y2001" s="13"/>
      <c r="Z2001" s="13"/>
      <c r="AA2001" s="13"/>
      <c r="AB2001" s="13"/>
      <c r="AC2001" s="13"/>
      <c r="AD2001" s="13"/>
      <c r="AE2001" s="13">
        <f t="shared" si="217"/>
        <v>8.4000000000000005E-2</v>
      </c>
      <c r="AF2001" s="13"/>
      <c r="AG2001" s="13"/>
      <c r="AH2001" s="13"/>
      <c r="AI2001" s="13"/>
      <c r="AJ2001" s="13">
        <f t="shared" si="216"/>
        <v>8.4000000000000005E-2</v>
      </c>
      <c r="AK2001" s="12"/>
      <c r="AL2001" s="13"/>
      <c r="AM2001" s="9"/>
      <c r="AN2001" s="9"/>
      <c r="AO2001" s="9"/>
      <c r="AP2001" s="14"/>
    </row>
    <row r="2002" spans="1:42" s="45" customFormat="1" ht="22" customHeight="1">
      <c r="A2002" s="14" t="s">
        <v>17</v>
      </c>
      <c r="B2002" s="8">
        <v>2024</v>
      </c>
      <c r="C2002" s="8" t="s">
        <v>24</v>
      </c>
      <c r="D2002" s="9" t="s">
        <v>185</v>
      </c>
      <c r="E2002" s="9" t="s">
        <v>115</v>
      </c>
      <c r="F2002" s="9" t="s">
        <v>434</v>
      </c>
      <c r="G2002" s="8"/>
      <c r="H2002" s="8"/>
      <c r="I2002" s="9" t="s">
        <v>11</v>
      </c>
      <c r="J2002" s="9" t="s">
        <v>11</v>
      </c>
      <c r="K2002" s="9" t="s">
        <v>82</v>
      </c>
      <c r="L2002" s="9" t="s">
        <v>171</v>
      </c>
      <c r="M2002" s="9" t="s">
        <v>860</v>
      </c>
      <c r="N2002" s="9" t="s">
        <v>861</v>
      </c>
      <c r="O2002" s="9" t="s">
        <v>336</v>
      </c>
      <c r="P2002" s="9" t="s">
        <v>963</v>
      </c>
      <c r="Q2002" s="11"/>
      <c r="R2002" s="11"/>
      <c r="S2002" s="11">
        <v>27</v>
      </c>
      <c r="T2002" s="9"/>
      <c r="U2002" s="14" t="s">
        <v>77</v>
      </c>
      <c r="V2002" s="9"/>
      <c r="W2002" s="12">
        <v>30</v>
      </c>
      <c r="X2002" s="13"/>
      <c r="Y2002" s="13"/>
      <c r="Z2002" s="13"/>
      <c r="AA2002" s="13"/>
      <c r="AB2002" s="13"/>
      <c r="AC2002" s="13"/>
      <c r="AD2002" s="13"/>
      <c r="AE2002" s="13">
        <f t="shared" si="217"/>
        <v>8.1000000000000003E-2</v>
      </c>
      <c r="AF2002" s="13"/>
      <c r="AG2002" s="13"/>
      <c r="AH2002" s="13"/>
      <c r="AI2002" s="13"/>
      <c r="AJ2002" s="13">
        <f t="shared" si="216"/>
        <v>8.1000000000000003E-2</v>
      </c>
      <c r="AK2002" s="12"/>
      <c r="AL2002" s="13"/>
      <c r="AM2002" s="9"/>
      <c r="AN2002" s="9"/>
      <c r="AO2002" s="9"/>
      <c r="AP2002" s="14"/>
    </row>
    <row r="2003" spans="1:42" s="45" customFormat="1" ht="22" customHeight="1">
      <c r="A2003" s="14" t="s">
        <v>17</v>
      </c>
      <c r="B2003" s="8">
        <v>2024</v>
      </c>
      <c r="C2003" s="8" t="s">
        <v>24</v>
      </c>
      <c r="D2003" s="9" t="s">
        <v>185</v>
      </c>
      <c r="E2003" s="9" t="s">
        <v>115</v>
      </c>
      <c r="F2003" s="9" t="s">
        <v>434</v>
      </c>
      <c r="G2003" s="8"/>
      <c r="H2003" s="8"/>
      <c r="I2003" s="9" t="s">
        <v>11</v>
      </c>
      <c r="J2003" s="9" t="s">
        <v>11</v>
      </c>
      <c r="K2003" s="9" t="s">
        <v>82</v>
      </c>
      <c r="L2003" s="9" t="s">
        <v>171</v>
      </c>
      <c r="M2003" s="9" t="s">
        <v>860</v>
      </c>
      <c r="N2003" s="9" t="s">
        <v>861</v>
      </c>
      <c r="O2003" s="9" t="s">
        <v>336</v>
      </c>
      <c r="P2003" s="9" t="s">
        <v>964</v>
      </c>
      <c r="Q2003" s="11"/>
      <c r="R2003" s="11"/>
      <c r="S2003" s="11">
        <v>28</v>
      </c>
      <c r="T2003" s="9"/>
      <c r="U2003" s="14" t="s">
        <v>77</v>
      </c>
      <c r="V2003" s="9"/>
      <c r="W2003" s="12">
        <v>30</v>
      </c>
      <c r="X2003" s="13"/>
      <c r="Y2003" s="13"/>
      <c r="Z2003" s="13"/>
      <c r="AA2003" s="13"/>
      <c r="AB2003" s="13"/>
      <c r="AC2003" s="13"/>
      <c r="AD2003" s="13"/>
      <c r="AE2003" s="13">
        <f t="shared" si="217"/>
        <v>8.4000000000000005E-2</v>
      </c>
      <c r="AF2003" s="13"/>
      <c r="AG2003" s="13"/>
      <c r="AH2003" s="13"/>
      <c r="AI2003" s="13"/>
      <c r="AJ2003" s="13">
        <f t="shared" si="216"/>
        <v>8.4000000000000005E-2</v>
      </c>
      <c r="AK2003" s="12"/>
      <c r="AL2003" s="13"/>
      <c r="AM2003" s="9"/>
      <c r="AN2003" s="9"/>
      <c r="AO2003" s="9"/>
      <c r="AP2003" s="14"/>
    </row>
    <row r="2004" spans="1:42" s="45" customFormat="1" ht="22" customHeight="1">
      <c r="A2004" s="14" t="s">
        <v>17</v>
      </c>
      <c r="B2004" s="8">
        <v>2024</v>
      </c>
      <c r="C2004" s="8" t="s">
        <v>24</v>
      </c>
      <c r="D2004" s="9" t="s">
        <v>185</v>
      </c>
      <c r="E2004" s="9" t="s">
        <v>115</v>
      </c>
      <c r="F2004" s="9" t="s">
        <v>434</v>
      </c>
      <c r="G2004" s="8"/>
      <c r="H2004" s="8"/>
      <c r="I2004" s="9" t="s">
        <v>11</v>
      </c>
      <c r="J2004" s="9" t="s">
        <v>11</v>
      </c>
      <c r="K2004" s="9" t="s">
        <v>82</v>
      </c>
      <c r="L2004" s="9" t="s">
        <v>171</v>
      </c>
      <c r="M2004" s="9" t="s">
        <v>860</v>
      </c>
      <c r="N2004" s="9" t="s">
        <v>861</v>
      </c>
      <c r="O2004" s="9" t="s">
        <v>336</v>
      </c>
      <c r="P2004" s="9" t="s">
        <v>965</v>
      </c>
      <c r="Q2004" s="11"/>
      <c r="R2004" s="11"/>
      <c r="S2004" s="11">
        <v>14</v>
      </c>
      <c r="T2004" s="9"/>
      <c r="U2004" s="14" t="s">
        <v>77</v>
      </c>
      <c r="V2004" s="9"/>
      <c r="W2004" s="12">
        <v>30</v>
      </c>
      <c r="X2004" s="13"/>
      <c r="Y2004" s="13"/>
      <c r="Z2004" s="13"/>
      <c r="AA2004" s="13"/>
      <c r="AB2004" s="13"/>
      <c r="AC2004" s="13"/>
      <c r="AD2004" s="13"/>
      <c r="AE2004" s="13">
        <f t="shared" si="217"/>
        <v>4.2000000000000003E-2</v>
      </c>
      <c r="AF2004" s="13"/>
      <c r="AG2004" s="13"/>
      <c r="AH2004" s="13"/>
      <c r="AI2004" s="13"/>
      <c r="AJ2004" s="13">
        <f t="shared" si="216"/>
        <v>4.2000000000000003E-2</v>
      </c>
      <c r="AK2004" s="12"/>
      <c r="AL2004" s="13"/>
      <c r="AM2004" s="9"/>
      <c r="AN2004" s="9"/>
      <c r="AO2004" s="9"/>
      <c r="AP2004" s="14"/>
    </row>
    <row r="2005" spans="1:42" s="45" customFormat="1" ht="22" customHeight="1">
      <c r="A2005" s="14" t="s">
        <v>17</v>
      </c>
      <c r="B2005" s="8">
        <v>2024</v>
      </c>
      <c r="C2005" s="8" t="s">
        <v>24</v>
      </c>
      <c r="D2005" s="9" t="s">
        <v>185</v>
      </c>
      <c r="E2005" s="9" t="s">
        <v>115</v>
      </c>
      <c r="F2005" s="9" t="s">
        <v>434</v>
      </c>
      <c r="G2005" s="8"/>
      <c r="H2005" s="8"/>
      <c r="I2005" s="9" t="s">
        <v>11</v>
      </c>
      <c r="J2005" s="9" t="s">
        <v>11</v>
      </c>
      <c r="K2005" s="9" t="s">
        <v>82</v>
      </c>
      <c r="L2005" s="9" t="s">
        <v>171</v>
      </c>
      <c r="M2005" s="9" t="s">
        <v>860</v>
      </c>
      <c r="N2005" s="9" t="s">
        <v>861</v>
      </c>
      <c r="O2005" s="9" t="s">
        <v>336</v>
      </c>
      <c r="P2005" s="9" t="s">
        <v>966</v>
      </c>
      <c r="Q2005" s="11"/>
      <c r="R2005" s="11"/>
      <c r="S2005" s="11">
        <v>28</v>
      </c>
      <c r="T2005" s="9"/>
      <c r="U2005" s="14" t="s">
        <v>77</v>
      </c>
      <c r="V2005" s="9"/>
      <c r="W2005" s="12">
        <v>30</v>
      </c>
      <c r="X2005" s="13"/>
      <c r="Y2005" s="13"/>
      <c r="Z2005" s="13"/>
      <c r="AA2005" s="13"/>
      <c r="AB2005" s="13"/>
      <c r="AC2005" s="13"/>
      <c r="AD2005" s="13"/>
      <c r="AE2005" s="13">
        <f t="shared" si="217"/>
        <v>8.4000000000000005E-2</v>
      </c>
      <c r="AF2005" s="13"/>
      <c r="AG2005" s="13"/>
      <c r="AH2005" s="13"/>
      <c r="AI2005" s="13"/>
      <c r="AJ2005" s="13">
        <f t="shared" si="216"/>
        <v>8.4000000000000005E-2</v>
      </c>
      <c r="AK2005" s="12"/>
      <c r="AL2005" s="13"/>
      <c r="AM2005" s="9"/>
      <c r="AN2005" s="9"/>
      <c r="AO2005" s="9"/>
      <c r="AP2005" s="14"/>
    </row>
    <row r="2006" spans="1:42" s="45" customFormat="1" ht="22" customHeight="1">
      <c r="A2006" s="14" t="s">
        <v>17</v>
      </c>
      <c r="B2006" s="8">
        <v>2024</v>
      </c>
      <c r="C2006" s="8" t="s">
        <v>24</v>
      </c>
      <c r="D2006" s="9" t="s">
        <v>185</v>
      </c>
      <c r="E2006" s="9" t="s">
        <v>115</v>
      </c>
      <c r="F2006" s="9" t="s">
        <v>434</v>
      </c>
      <c r="G2006" s="8"/>
      <c r="H2006" s="8"/>
      <c r="I2006" s="9" t="s">
        <v>11</v>
      </c>
      <c r="J2006" s="9" t="s">
        <v>11</v>
      </c>
      <c r="K2006" s="9" t="s">
        <v>82</v>
      </c>
      <c r="L2006" s="9" t="s">
        <v>171</v>
      </c>
      <c r="M2006" s="9" t="s">
        <v>860</v>
      </c>
      <c r="N2006" s="9" t="s">
        <v>861</v>
      </c>
      <c r="O2006" s="9" t="s">
        <v>336</v>
      </c>
      <c r="P2006" s="9" t="s">
        <v>967</v>
      </c>
      <c r="Q2006" s="11"/>
      <c r="R2006" s="11"/>
      <c r="S2006" s="11">
        <v>35</v>
      </c>
      <c r="T2006" s="9"/>
      <c r="U2006" s="14" t="s">
        <v>77</v>
      </c>
      <c r="V2006" s="9"/>
      <c r="W2006" s="12">
        <v>30</v>
      </c>
      <c r="X2006" s="13"/>
      <c r="Y2006" s="13"/>
      <c r="Z2006" s="13"/>
      <c r="AA2006" s="13"/>
      <c r="AB2006" s="13"/>
      <c r="AC2006" s="13"/>
      <c r="AD2006" s="13"/>
      <c r="AE2006" s="13">
        <f t="shared" si="217"/>
        <v>0.105</v>
      </c>
      <c r="AF2006" s="13"/>
      <c r="AG2006" s="13"/>
      <c r="AH2006" s="13"/>
      <c r="AI2006" s="13"/>
      <c r="AJ2006" s="13">
        <f t="shared" si="216"/>
        <v>0.105</v>
      </c>
      <c r="AK2006" s="12"/>
      <c r="AL2006" s="13"/>
      <c r="AM2006" s="9"/>
      <c r="AN2006" s="9"/>
      <c r="AO2006" s="9"/>
      <c r="AP2006" s="14"/>
    </row>
    <row r="2007" spans="1:42" s="45" customFormat="1" ht="22" customHeight="1">
      <c r="A2007" s="14" t="s">
        <v>17</v>
      </c>
      <c r="B2007" s="8">
        <v>2024</v>
      </c>
      <c r="C2007" s="8" t="s">
        <v>24</v>
      </c>
      <c r="D2007" s="9" t="s">
        <v>185</v>
      </c>
      <c r="E2007" s="9" t="s">
        <v>115</v>
      </c>
      <c r="F2007" s="9" t="s">
        <v>434</v>
      </c>
      <c r="G2007" s="8"/>
      <c r="H2007" s="8"/>
      <c r="I2007" s="9" t="s">
        <v>11</v>
      </c>
      <c r="J2007" s="9" t="s">
        <v>11</v>
      </c>
      <c r="K2007" s="9" t="s">
        <v>82</v>
      </c>
      <c r="L2007" s="9" t="s">
        <v>171</v>
      </c>
      <c r="M2007" s="9" t="s">
        <v>860</v>
      </c>
      <c r="N2007" s="9" t="s">
        <v>861</v>
      </c>
      <c r="O2007" s="9" t="s">
        <v>336</v>
      </c>
      <c r="P2007" s="9" t="s">
        <v>968</v>
      </c>
      <c r="Q2007" s="11"/>
      <c r="R2007" s="11"/>
      <c r="S2007" s="11">
        <v>32</v>
      </c>
      <c r="T2007" s="9"/>
      <c r="U2007" s="14" t="s">
        <v>77</v>
      </c>
      <c r="V2007" s="9"/>
      <c r="W2007" s="12">
        <v>30</v>
      </c>
      <c r="X2007" s="13"/>
      <c r="Y2007" s="13"/>
      <c r="Z2007" s="13"/>
      <c r="AA2007" s="13"/>
      <c r="AB2007" s="13"/>
      <c r="AC2007" s="13"/>
      <c r="AD2007" s="13"/>
      <c r="AE2007" s="13">
        <f t="shared" si="217"/>
        <v>9.6000000000000002E-2</v>
      </c>
      <c r="AF2007" s="13"/>
      <c r="AG2007" s="13"/>
      <c r="AH2007" s="13"/>
      <c r="AI2007" s="13"/>
      <c r="AJ2007" s="13">
        <f t="shared" si="216"/>
        <v>9.6000000000000002E-2</v>
      </c>
      <c r="AK2007" s="12"/>
      <c r="AL2007" s="13"/>
      <c r="AM2007" s="9"/>
      <c r="AN2007" s="9"/>
      <c r="AO2007" s="9"/>
      <c r="AP2007" s="14"/>
    </row>
    <row r="2008" spans="1:42" s="45" customFormat="1" ht="22" customHeight="1">
      <c r="A2008" s="14" t="s">
        <v>17</v>
      </c>
      <c r="B2008" s="8">
        <v>2024</v>
      </c>
      <c r="C2008" s="8" t="s">
        <v>24</v>
      </c>
      <c r="D2008" s="9" t="s">
        <v>185</v>
      </c>
      <c r="E2008" s="9" t="s">
        <v>115</v>
      </c>
      <c r="F2008" s="9" t="s">
        <v>434</v>
      </c>
      <c r="G2008" s="8"/>
      <c r="H2008" s="8"/>
      <c r="I2008" s="9" t="s">
        <v>11</v>
      </c>
      <c r="J2008" s="9" t="s">
        <v>11</v>
      </c>
      <c r="K2008" s="9" t="s">
        <v>82</v>
      </c>
      <c r="L2008" s="9" t="s">
        <v>171</v>
      </c>
      <c r="M2008" s="9" t="s">
        <v>860</v>
      </c>
      <c r="N2008" s="9" t="s">
        <v>861</v>
      </c>
      <c r="O2008" s="9" t="s">
        <v>336</v>
      </c>
      <c r="P2008" s="9" t="s">
        <v>969</v>
      </c>
      <c r="Q2008" s="11"/>
      <c r="R2008" s="11"/>
      <c r="S2008" s="11">
        <v>31</v>
      </c>
      <c r="T2008" s="9"/>
      <c r="U2008" s="14" t="s">
        <v>77</v>
      </c>
      <c r="V2008" s="9"/>
      <c r="W2008" s="12">
        <v>30</v>
      </c>
      <c r="X2008" s="13"/>
      <c r="Y2008" s="13"/>
      <c r="Z2008" s="13"/>
      <c r="AA2008" s="13"/>
      <c r="AB2008" s="13"/>
      <c r="AC2008" s="13"/>
      <c r="AD2008" s="13"/>
      <c r="AE2008" s="13">
        <f t="shared" si="217"/>
        <v>9.2999999999999999E-2</v>
      </c>
      <c r="AF2008" s="13"/>
      <c r="AG2008" s="13"/>
      <c r="AH2008" s="13"/>
      <c r="AI2008" s="13"/>
      <c r="AJ2008" s="13">
        <f t="shared" si="216"/>
        <v>9.2999999999999999E-2</v>
      </c>
      <c r="AK2008" s="12"/>
      <c r="AL2008" s="13"/>
      <c r="AM2008" s="9"/>
      <c r="AN2008" s="9"/>
      <c r="AO2008" s="9"/>
      <c r="AP2008" s="14"/>
    </row>
    <row r="2009" spans="1:42" s="45" customFormat="1" ht="22" customHeight="1">
      <c r="A2009" s="14" t="s">
        <v>17</v>
      </c>
      <c r="B2009" s="8">
        <v>2024</v>
      </c>
      <c r="C2009" s="8" t="s">
        <v>24</v>
      </c>
      <c r="D2009" s="9" t="s">
        <v>185</v>
      </c>
      <c r="E2009" s="9" t="s">
        <v>115</v>
      </c>
      <c r="F2009" s="9" t="s">
        <v>434</v>
      </c>
      <c r="G2009" s="8"/>
      <c r="H2009" s="8"/>
      <c r="I2009" s="9" t="s">
        <v>11</v>
      </c>
      <c r="J2009" s="9" t="s">
        <v>11</v>
      </c>
      <c r="K2009" s="9" t="s">
        <v>82</v>
      </c>
      <c r="L2009" s="9" t="s">
        <v>171</v>
      </c>
      <c r="M2009" s="9" t="s">
        <v>860</v>
      </c>
      <c r="N2009" s="9" t="s">
        <v>861</v>
      </c>
      <c r="O2009" s="9" t="s">
        <v>336</v>
      </c>
      <c r="P2009" s="9" t="s">
        <v>970</v>
      </c>
      <c r="Q2009" s="11"/>
      <c r="R2009" s="11"/>
      <c r="S2009" s="11">
        <v>21</v>
      </c>
      <c r="T2009" s="9"/>
      <c r="U2009" s="14" t="s">
        <v>77</v>
      </c>
      <c r="V2009" s="9"/>
      <c r="W2009" s="12">
        <v>30</v>
      </c>
      <c r="X2009" s="13"/>
      <c r="Y2009" s="13"/>
      <c r="Z2009" s="13"/>
      <c r="AA2009" s="13"/>
      <c r="AB2009" s="13"/>
      <c r="AC2009" s="13"/>
      <c r="AD2009" s="13"/>
      <c r="AE2009" s="13">
        <f t="shared" si="217"/>
        <v>6.3E-2</v>
      </c>
      <c r="AF2009" s="13"/>
      <c r="AG2009" s="13"/>
      <c r="AH2009" s="13"/>
      <c r="AI2009" s="13"/>
      <c r="AJ2009" s="13">
        <f t="shared" si="216"/>
        <v>6.3E-2</v>
      </c>
      <c r="AK2009" s="12"/>
      <c r="AL2009" s="13"/>
      <c r="AM2009" s="9"/>
      <c r="AN2009" s="9"/>
      <c r="AO2009" s="9"/>
      <c r="AP2009" s="14"/>
    </row>
    <row r="2010" spans="1:42" s="45" customFormat="1" ht="22" customHeight="1">
      <c r="A2010" s="14" t="s">
        <v>17</v>
      </c>
      <c r="B2010" s="8">
        <v>2024</v>
      </c>
      <c r="C2010" s="8" t="s">
        <v>24</v>
      </c>
      <c r="D2010" s="9" t="s">
        <v>185</v>
      </c>
      <c r="E2010" s="9" t="s">
        <v>115</v>
      </c>
      <c r="F2010" s="9" t="s">
        <v>434</v>
      </c>
      <c r="G2010" s="8"/>
      <c r="H2010" s="8"/>
      <c r="I2010" s="9" t="s">
        <v>11</v>
      </c>
      <c r="J2010" s="9" t="s">
        <v>11</v>
      </c>
      <c r="K2010" s="9" t="s">
        <v>82</v>
      </c>
      <c r="L2010" s="9" t="s">
        <v>171</v>
      </c>
      <c r="M2010" s="9" t="s">
        <v>860</v>
      </c>
      <c r="N2010" s="9" t="s">
        <v>861</v>
      </c>
      <c r="O2010" s="9" t="s">
        <v>336</v>
      </c>
      <c r="P2010" s="9" t="s">
        <v>971</v>
      </c>
      <c r="Q2010" s="11"/>
      <c r="R2010" s="11"/>
      <c r="S2010" s="11">
        <v>14</v>
      </c>
      <c r="T2010" s="9"/>
      <c r="U2010" s="14" t="s">
        <v>77</v>
      </c>
      <c r="V2010" s="9"/>
      <c r="W2010" s="12">
        <v>30</v>
      </c>
      <c r="X2010" s="13"/>
      <c r="Y2010" s="13"/>
      <c r="Z2010" s="13"/>
      <c r="AA2010" s="13"/>
      <c r="AB2010" s="13"/>
      <c r="AC2010" s="13"/>
      <c r="AD2010" s="13"/>
      <c r="AE2010" s="13">
        <f t="shared" si="217"/>
        <v>4.2000000000000003E-2</v>
      </c>
      <c r="AF2010" s="13"/>
      <c r="AG2010" s="13"/>
      <c r="AH2010" s="13"/>
      <c r="AI2010" s="13"/>
      <c r="AJ2010" s="13">
        <f t="shared" si="216"/>
        <v>4.2000000000000003E-2</v>
      </c>
      <c r="AK2010" s="12"/>
      <c r="AL2010" s="13"/>
      <c r="AM2010" s="9"/>
      <c r="AN2010" s="9"/>
      <c r="AO2010" s="9"/>
      <c r="AP2010" s="14"/>
    </row>
    <row r="2011" spans="1:42" s="45" customFormat="1" ht="22" customHeight="1">
      <c r="A2011" s="14" t="s">
        <v>17</v>
      </c>
      <c r="B2011" s="8">
        <v>2024</v>
      </c>
      <c r="C2011" s="8" t="s">
        <v>24</v>
      </c>
      <c r="D2011" s="9" t="s">
        <v>185</v>
      </c>
      <c r="E2011" s="9" t="s">
        <v>115</v>
      </c>
      <c r="F2011" s="9" t="s">
        <v>434</v>
      </c>
      <c r="G2011" s="8"/>
      <c r="H2011" s="8"/>
      <c r="I2011" s="9" t="s">
        <v>11</v>
      </c>
      <c r="J2011" s="9" t="s">
        <v>11</v>
      </c>
      <c r="K2011" s="9" t="s">
        <v>82</v>
      </c>
      <c r="L2011" s="9" t="s">
        <v>171</v>
      </c>
      <c r="M2011" s="9" t="s">
        <v>860</v>
      </c>
      <c r="N2011" s="9" t="s">
        <v>861</v>
      </c>
      <c r="O2011" s="9" t="s">
        <v>336</v>
      </c>
      <c r="P2011" s="9" t="s">
        <v>972</v>
      </c>
      <c r="Q2011" s="11"/>
      <c r="R2011" s="11"/>
      <c r="S2011" s="11">
        <v>22</v>
      </c>
      <c r="T2011" s="9"/>
      <c r="U2011" s="14" t="s">
        <v>77</v>
      </c>
      <c r="V2011" s="9"/>
      <c r="W2011" s="12">
        <v>30</v>
      </c>
      <c r="X2011" s="13"/>
      <c r="Y2011" s="13"/>
      <c r="Z2011" s="13"/>
      <c r="AA2011" s="13"/>
      <c r="AB2011" s="13"/>
      <c r="AC2011" s="13"/>
      <c r="AD2011" s="13"/>
      <c r="AE2011" s="13">
        <f t="shared" si="217"/>
        <v>6.6000000000000003E-2</v>
      </c>
      <c r="AF2011" s="13"/>
      <c r="AG2011" s="13"/>
      <c r="AH2011" s="13"/>
      <c r="AI2011" s="13"/>
      <c r="AJ2011" s="13">
        <f t="shared" si="216"/>
        <v>6.6000000000000003E-2</v>
      </c>
      <c r="AK2011" s="12"/>
      <c r="AL2011" s="13"/>
      <c r="AM2011" s="9"/>
      <c r="AN2011" s="9"/>
      <c r="AO2011" s="9"/>
      <c r="AP2011" s="14"/>
    </row>
    <row r="2012" spans="1:42" s="45" customFormat="1" ht="22" customHeight="1">
      <c r="A2012" s="14" t="s">
        <v>17</v>
      </c>
      <c r="B2012" s="8">
        <v>2024</v>
      </c>
      <c r="C2012" s="8" t="s">
        <v>24</v>
      </c>
      <c r="D2012" s="9" t="s">
        <v>185</v>
      </c>
      <c r="E2012" s="9" t="s">
        <v>115</v>
      </c>
      <c r="F2012" s="9" t="s">
        <v>434</v>
      </c>
      <c r="G2012" s="8"/>
      <c r="H2012" s="8"/>
      <c r="I2012" s="9" t="s">
        <v>11</v>
      </c>
      <c r="J2012" s="9" t="s">
        <v>11</v>
      </c>
      <c r="K2012" s="9" t="s">
        <v>82</v>
      </c>
      <c r="L2012" s="9" t="s">
        <v>171</v>
      </c>
      <c r="M2012" s="9" t="s">
        <v>860</v>
      </c>
      <c r="N2012" s="9" t="s">
        <v>861</v>
      </c>
      <c r="O2012" s="9" t="s">
        <v>336</v>
      </c>
      <c r="P2012" s="9" t="s">
        <v>973</v>
      </c>
      <c r="Q2012" s="11"/>
      <c r="R2012" s="11"/>
      <c r="S2012" s="11">
        <v>21</v>
      </c>
      <c r="T2012" s="9"/>
      <c r="U2012" s="14" t="s">
        <v>77</v>
      </c>
      <c r="V2012" s="9"/>
      <c r="W2012" s="12">
        <v>30</v>
      </c>
      <c r="X2012" s="13"/>
      <c r="Y2012" s="13"/>
      <c r="Z2012" s="13"/>
      <c r="AA2012" s="13"/>
      <c r="AB2012" s="13"/>
      <c r="AC2012" s="13"/>
      <c r="AD2012" s="13"/>
      <c r="AE2012" s="13">
        <f t="shared" si="217"/>
        <v>6.3E-2</v>
      </c>
      <c r="AF2012" s="13"/>
      <c r="AG2012" s="13"/>
      <c r="AH2012" s="13"/>
      <c r="AI2012" s="13"/>
      <c r="AJ2012" s="13">
        <f t="shared" si="216"/>
        <v>6.3E-2</v>
      </c>
      <c r="AK2012" s="12"/>
      <c r="AL2012" s="13"/>
      <c r="AM2012" s="9"/>
      <c r="AN2012" s="9"/>
      <c r="AO2012" s="9"/>
      <c r="AP2012" s="14"/>
    </row>
    <row r="2013" spans="1:42" s="45" customFormat="1" ht="22" customHeight="1">
      <c r="A2013" s="14" t="s">
        <v>17</v>
      </c>
      <c r="B2013" s="8">
        <v>2024</v>
      </c>
      <c r="C2013" s="8" t="s">
        <v>24</v>
      </c>
      <c r="D2013" s="9" t="s">
        <v>185</v>
      </c>
      <c r="E2013" s="9" t="s">
        <v>115</v>
      </c>
      <c r="F2013" s="9" t="s">
        <v>434</v>
      </c>
      <c r="G2013" s="8"/>
      <c r="H2013" s="8"/>
      <c r="I2013" s="9" t="s">
        <v>11</v>
      </c>
      <c r="J2013" s="9" t="s">
        <v>11</v>
      </c>
      <c r="K2013" s="9" t="s">
        <v>82</v>
      </c>
      <c r="L2013" s="9" t="s">
        <v>171</v>
      </c>
      <c r="M2013" s="9" t="s">
        <v>860</v>
      </c>
      <c r="N2013" s="9" t="s">
        <v>861</v>
      </c>
      <c r="O2013" s="9" t="s">
        <v>336</v>
      </c>
      <c r="P2013" s="9" t="s">
        <v>974</v>
      </c>
      <c r="Q2013" s="11"/>
      <c r="R2013" s="11"/>
      <c r="S2013" s="11">
        <v>32</v>
      </c>
      <c r="T2013" s="9"/>
      <c r="U2013" s="14" t="s">
        <v>77</v>
      </c>
      <c r="V2013" s="9"/>
      <c r="W2013" s="12">
        <v>30</v>
      </c>
      <c r="X2013" s="13"/>
      <c r="Y2013" s="13"/>
      <c r="Z2013" s="13"/>
      <c r="AA2013" s="13"/>
      <c r="AB2013" s="13"/>
      <c r="AC2013" s="13"/>
      <c r="AD2013" s="13"/>
      <c r="AE2013" s="13">
        <f t="shared" si="217"/>
        <v>9.6000000000000002E-2</v>
      </c>
      <c r="AF2013" s="13"/>
      <c r="AG2013" s="13"/>
      <c r="AH2013" s="13"/>
      <c r="AI2013" s="13"/>
      <c r="AJ2013" s="13">
        <f t="shared" si="216"/>
        <v>9.6000000000000002E-2</v>
      </c>
      <c r="AK2013" s="12"/>
      <c r="AL2013" s="13"/>
      <c r="AM2013" s="9"/>
      <c r="AN2013" s="9"/>
      <c r="AO2013" s="9"/>
      <c r="AP2013" s="14"/>
    </row>
    <row r="2014" spans="1:42" s="45" customFormat="1" ht="22" customHeight="1">
      <c r="A2014" s="14" t="s">
        <v>17</v>
      </c>
      <c r="B2014" s="8">
        <v>2024</v>
      </c>
      <c r="C2014" s="8" t="s">
        <v>24</v>
      </c>
      <c r="D2014" s="9" t="s">
        <v>185</v>
      </c>
      <c r="E2014" s="9" t="s">
        <v>115</v>
      </c>
      <c r="F2014" s="9" t="s">
        <v>434</v>
      </c>
      <c r="G2014" s="8"/>
      <c r="H2014" s="8"/>
      <c r="I2014" s="9" t="s">
        <v>11</v>
      </c>
      <c r="J2014" s="9" t="s">
        <v>11</v>
      </c>
      <c r="K2014" s="9" t="s">
        <v>82</v>
      </c>
      <c r="L2014" s="9" t="s">
        <v>171</v>
      </c>
      <c r="M2014" s="9" t="s">
        <v>860</v>
      </c>
      <c r="N2014" s="9" t="s">
        <v>861</v>
      </c>
      <c r="O2014" s="9" t="s">
        <v>336</v>
      </c>
      <c r="P2014" s="9" t="s">
        <v>975</v>
      </c>
      <c r="Q2014" s="11"/>
      <c r="R2014" s="11"/>
      <c r="S2014" s="11">
        <v>28</v>
      </c>
      <c r="T2014" s="9"/>
      <c r="U2014" s="14" t="s">
        <v>77</v>
      </c>
      <c r="V2014" s="9"/>
      <c r="W2014" s="12">
        <v>30</v>
      </c>
      <c r="X2014" s="13"/>
      <c r="Y2014" s="13"/>
      <c r="Z2014" s="13"/>
      <c r="AA2014" s="13"/>
      <c r="AB2014" s="13"/>
      <c r="AC2014" s="13"/>
      <c r="AD2014" s="13"/>
      <c r="AE2014" s="13">
        <f t="shared" si="217"/>
        <v>8.4000000000000005E-2</v>
      </c>
      <c r="AF2014" s="13"/>
      <c r="AG2014" s="13"/>
      <c r="AH2014" s="13"/>
      <c r="AI2014" s="13"/>
      <c r="AJ2014" s="13">
        <f t="shared" si="216"/>
        <v>8.4000000000000005E-2</v>
      </c>
      <c r="AK2014" s="12"/>
      <c r="AL2014" s="13"/>
      <c r="AM2014" s="9"/>
      <c r="AN2014" s="9"/>
      <c r="AO2014" s="9"/>
      <c r="AP2014" s="14"/>
    </row>
    <row r="2015" spans="1:42" s="45" customFormat="1" ht="22" customHeight="1">
      <c r="A2015" s="14" t="s">
        <v>17</v>
      </c>
      <c r="B2015" s="8">
        <v>2024</v>
      </c>
      <c r="C2015" s="8" t="s">
        <v>24</v>
      </c>
      <c r="D2015" s="9" t="s">
        <v>185</v>
      </c>
      <c r="E2015" s="9" t="s">
        <v>115</v>
      </c>
      <c r="F2015" s="9" t="s">
        <v>434</v>
      </c>
      <c r="G2015" s="8"/>
      <c r="H2015" s="8"/>
      <c r="I2015" s="9" t="s">
        <v>11</v>
      </c>
      <c r="J2015" s="9" t="s">
        <v>11</v>
      </c>
      <c r="K2015" s="9" t="s">
        <v>82</v>
      </c>
      <c r="L2015" s="9" t="s">
        <v>171</v>
      </c>
      <c r="M2015" s="9" t="s">
        <v>860</v>
      </c>
      <c r="N2015" s="9" t="s">
        <v>861</v>
      </c>
      <c r="O2015" s="9" t="s">
        <v>336</v>
      </c>
      <c r="P2015" s="9" t="s">
        <v>976</v>
      </c>
      <c r="Q2015" s="11"/>
      <c r="R2015" s="11"/>
      <c r="S2015" s="11">
        <v>35</v>
      </c>
      <c r="T2015" s="9"/>
      <c r="U2015" s="14" t="s">
        <v>77</v>
      </c>
      <c r="V2015" s="9"/>
      <c r="W2015" s="12">
        <v>30</v>
      </c>
      <c r="X2015" s="13"/>
      <c r="Y2015" s="13"/>
      <c r="Z2015" s="13"/>
      <c r="AA2015" s="13"/>
      <c r="AB2015" s="13"/>
      <c r="AC2015" s="13"/>
      <c r="AD2015" s="13"/>
      <c r="AE2015" s="13">
        <f t="shared" si="217"/>
        <v>0.105</v>
      </c>
      <c r="AF2015" s="13"/>
      <c r="AG2015" s="13"/>
      <c r="AH2015" s="13"/>
      <c r="AI2015" s="13"/>
      <c r="AJ2015" s="13">
        <f t="shared" si="216"/>
        <v>0.105</v>
      </c>
      <c r="AK2015" s="12"/>
      <c r="AL2015" s="13"/>
      <c r="AM2015" s="9"/>
      <c r="AN2015" s="9"/>
      <c r="AO2015" s="9"/>
      <c r="AP2015" s="14"/>
    </row>
    <row r="2016" spans="1:42" s="45" customFormat="1" ht="22" customHeight="1">
      <c r="A2016" s="14" t="s">
        <v>17</v>
      </c>
      <c r="B2016" s="8">
        <v>2024</v>
      </c>
      <c r="C2016" s="8" t="s">
        <v>24</v>
      </c>
      <c r="D2016" s="9" t="s">
        <v>185</v>
      </c>
      <c r="E2016" s="9" t="s">
        <v>115</v>
      </c>
      <c r="F2016" s="9" t="s">
        <v>434</v>
      </c>
      <c r="G2016" s="8"/>
      <c r="H2016" s="8"/>
      <c r="I2016" s="9" t="s">
        <v>11</v>
      </c>
      <c r="J2016" s="9" t="s">
        <v>11</v>
      </c>
      <c r="K2016" s="9" t="s">
        <v>82</v>
      </c>
      <c r="L2016" s="9" t="s">
        <v>171</v>
      </c>
      <c r="M2016" s="9" t="s">
        <v>860</v>
      </c>
      <c r="N2016" s="9" t="s">
        <v>861</v>
      </c>
      <c r="O2016" s="9" t="s">
        <v>336</v>
      </c>
      <c r="P2016" s="9" t="s">
        <v>977</v>
      </c>
      <c r="Q2016" s="11"/>
      <c r="R2016" s="11"/>
      <c r="S2016" s="11">
        <v>34</v>
      </c>
      <c r="T2016" s="9"/>
      <c r="U2016" s="14" t="s">
        <v>77</v>
      </c>
      <c r="V2016" s="9"/>
      <c r="W2016" s="12">
        <v>30</v>
      </c>
      <c r="X2016" s="13"/>
      <c r="Y2016" s="13"/>
      <c r="Z2016" s="13"/>
      <c r="AA2016" s="13"/>
      <c r="AB2016" s="13"/>
      <c r="AC2016" s="13"/>
      <c r="AD2016" s="13"/>
      <c r="AE2016" s="13">
        <f t="shared" si="217"/>
        <v>0.10199999999999999</v>
      </c>
      <c r="AF2016" s="13"/>
      <c r="AG2016" s="13"/>
      <c r="AH2016" s="13"/>
      <c r="AI2016" s="13"/>
      <c r="AJ2016" s="13">
        <f t="shared" si="216"/>
        <v>0.10199999999999999</v>
      </c>
      <c r="AK2016" s="12"/>
      <c r="AL2016" s="13"/>
      <c r="AM2016" s="9"/>
      <c r="AN2016" s="9"/>
      <c r="AO2016" s="9"/>
      <c r="AP2016" s="14"/>
    </row>
    <row r="2017" spans="1:42" s="45" customFormat="1" ht="22" customHeight="1">
      <c r="A2017" s="14" t="s">
        <v>17</v>
      </c>
      <c r="B2017" s="8">
        <v>2024</v>
      </c>
      <c r="C2017" s="8" t="s">
        <v>24</v>
      </c>
      <c r="D2017" s="9" t="s">
        <v>185</v>
      </c>
      <c r="E2017" s="9" t="s">
        <v>115</v>
      </c>
      <c r="F2017" s="9" t="s">
        <v>434</v>
      </c>
      <c r="G2017" s="8"/>
      <c r="H2017" s="8"/>
      <c r="I2017" s="9" t="s">
        <v>11</v>
      </c>
      <c r="J2017" s="9" t="s">
        <v>11</v>
      </c>
      <c r="K2017" s="9" t="s">
        <v>82</v>
      </c>
      <c r="L2017" s="9" t="s">
        <v>171</v>
      </c>
      <c r="M2017" s="9" t="s">
        <v>860</v>
      </c>
      <c r="N2017" s="9" t="s">
        <v>861</v>
      </c>
      <c r="O2017" s="9" t="s">
        <v>336</v>
      </c>
      <c r="P2017" s="9" t="s">
        <v>978</v>
      </c>
      <c r="Q2017" s="11"/>
      <c r="R2017" s="11"/>
      <c r="S2017" s="11">
        <v>35</v>
      </c>
      <c r="T2017" s="9"/>
      <c r="U2017" s="14" t="s">
        <v>77</v>
      </c>
      <c r="V2017" s="9"/>
      <c r="W2017" s="12">
        <v>30</v>
      </c>
      <c r="X2017" s="13"/>
      <c r="Y2017" s="13"/>
      <c r="Z2017" s="13"/>
      <c r="AA2017" s="13"/>
      <c r="AB2017" s="13"/>
      <c r="AC2017" s="13"/>
      <c r="AD2017" s="13"/>
      <c r="AE2017" s="13">
        <f t="shared" si="217"/>
        <v>0.105</v>
      </c>
      <c r="AF2017" s="13"/>
      <c r="AG2017" s="13"/>
      <c r="AH2017" s="13"/>
      <c r="AI2017" s="13"/>
      <c r="AJ2017" s="13">
        <f t="shared" si="216"/>
        <v>0.105</v>
      </c>
      <c r="AK2017" s="12"/>
      <c r="AL2017" s="13"/>
      <c r="AM2017" s="9"/>
      <c r="AN2017" s="9"/>
      <c r="AO2017" s="9"/>
      <c r="AP2017" s="14"/>
    </row>
    <row r="2018" spans="1:42" s="45" customFormat="1" ht="22" customHeight="1">
      <c r="A2018" s="14" t="s">
        <v>17</v>
      </c>
      <c r="B2018" s="8">
        <v>2024</v>
      </c>
      <c r="C2018" s="8" t="s">
        <v>24</v>
      </c>
      <c r="D2018" s="9" t="s">
        <v>185</v>
      </c>
      <c r="E2018" s="9" t="s">
        <v>115</v>
      </c>
      <c r="F2018" s="9" t="s">
        <v>434</v>
      </c>
      <c r="G2018" s="8"/>
      <c r="H2018" s="8"/>
      <c r="I2018" s="9" t="s">
        <v>11</v>
      </c>
      <c r="J2018" s="9" t="s">
        <v>11</v>
      </c>
      <c r="K2018" s="9" t="s">
        <v>82</v>
      </c>
      <c r="L2018" s="9" t="s">
        <v>171</v>
      </c>
      <c r="M2018" s="9" t="s">
        <v>860</v>
      </c>
      <c r="N2018" s="9" t="s">
        <v>861</v>
      </c>
      <c r="O2018" s="9" t="s">
        <v>336</v>
      </c>
      <c r="P2018" s="9" t="s">
        <v>979</v>
      </c>
      <c r="Q2018" s="11"/>
      <c r="R2018" s="11"/>
      <c r="S2018" s="11">
        <v>24</v>
      </c>
      <c r="T2018" s="9"/>
      <c r="U2018" s="14" t="s">
        <v>77</v>
      </c>
      <c r="V2018" s="9"/>
      <c r="W2018" s="12">
        <v>30</v>
      </c>
      <c r="X2018" s="13"/>
      <c r="Y2018" s="13"/>
      <c r="Z2018" s="13"/>
      <c r="AA2018" s="13"/>
      <c r="AB2018" s="13"/>
      <c r="AC2018" s="13"/>
      <c r="AD2018" s="13"/>
      <c r="AE2018" s="13">
        <f t="shared" si="217"/>
        <v>7.1999999999999995E-2</v>
      </c>
      <c r="AF2018" s="13"/>
      <c r="AG2018" s="13"/>
      <c r="AH2018" s="13"/>
      <c r="AI2018" s="13"/>
      <c r="AJ2018" s="13">
        <f t="shared" si="216"/>
        <v>7.1999999999999995E-2</v>
      </c>
      <c r="AK2018" s="12"/>
      <c r="AL2018" s="13"/>
      <c r="AM2018" s="9"/>
      <c r="AN2018" s="9"/>
      <c r="AO2018" s="9"/>
      <c r="AP2018" s="14"/>
    </row>
    <row r="2019" spans="1:42" s="45" customFormat="1" ht="22" customHeight="1">
      <c r="A2019" s="14" t="s">
        <v>17</v>
      </c>
      <c r="B2019" s="8">
        <v>2024</v>
      </c>
      <c r="C2019" s="8" t="s">
        <v>24</v>
      </c>
      <c r="D2019" s="9" t="s">
        <v>185</v>
      </c>
      <c r="E2019" s="9" t="s">
        <v>115</v>
      </c>
      <c r="F2019" s="9" t="s">
        <v>434</v>
      </c>
      <c r="G2019" s="8"/>
      <c r="H2019" s="8"/>
      <c r="I2019" s="9" t="s">
        <v>11</v>
      </c>
      <c r="J2019" s="9" t="s">
        <v>11</v>
      </c>
      <c r="K2019" s="9" t="s">
        <v>82</v>
      </c>
      <c r="L2019" s="9" t="s">
        <v>171</v>
      </c>
      <c r="M2019" s="9" t="s">
        <v>860</v>
      </c>
      <c r="N2019" s="9" t="s">
        <v>861</v>
      </c>
      <c r="O2019" s="9" t="s">
        <v>336</v>
      </c>
      <c r="P2019" s="9" t="s">
        <v>980</v>
      </c>
      <c r="Q2019" s="11"/>
      <c r="R2019" s="11"/>
      <c r="S2019" s="11">
        <v>28</v>
      </c>
      <c r="T2019" s="9"/>
      <c r="U2019" s="14" t="s">
        <v>77</v>
      </c>
      <c r="V2019" s="9"/>
      <c r="W2019" s="12">
        <v>30</v>
      </c>
      <c r="X2019" s="13"/>
      <c r="Y2019" s="13"/>
      <c r="Z2019" s="13"/>
      <c r="AA2019" s="13"/>
      <c r="AB2019" s="13"/>
      <c r="AC2019" s="13"/>
      <c r="AD2019" s="13"/>
      <c r="AE2019" s="13">
        <f t="shared" si="217"/>
        <v>8.4000000000000005E-2</v>
      </c>
      <c r="AF2019" s="13"/>
      <c r="AG2019" s="13"/>
      <c r="AH2019" s="13"/>
      <c r="AI2019" s="13"/>
      <c r="AJ2019" s="13">
        <f t="shared" si="216"/>
        <v>8.4000000000000005E-2</v>
      </c>
      <c r="AK2019" s="12"/>
      <c r="AL2019" s="13"/>
      <c r="AM2019" s="9"/>
      <c r="AN2019" s="9"/>
      <c r="AO2019" s="9"/>
      <c r="AP2019" s="14"/>
    </row>
    <row r="2020" spans="1:42" s="45" customFormat="1" ht="22" customHeight="1">
      <c r="A2020" s="14" t="s">
        <v>17</v>
      </c>
      <c r="B2020" s="8">
        <v>2024</v>
      </c>
      <c r="C2020" s="8" t="s">
        <v>24</v>
      </c>
      <c r="D2020" s="9" t="s">
        <v>185</v>
      </c>
      <c r="E2020" s="9" t="s">
        <v>115</v>
      </c>
      <c r="F2020" s="9" t="s">
        <v>434</v>
      </c>
      <c r="G2020" s="8"/>
      <c r="H2020" s="8"/>
      <c r="I2020" s="9" t="s">
        <v>11</v>
      </c>
      <c r="J2020" s="9" t="s">
        <v>11</v>
      </c>
      <c r="K2020" s="9" t="s">
        <v>82</v>
      </c>
      <c r="L2020" s="9" t="s">
        <v>171</v>
      </c>
      <c r="M2020" s="9" t="s">
        <v>860</v>
      </c>
      <c r="N2020" s="9" t="s">
        <v>861</v>
      </c>
      <c r="O2020" s="9" t="s">
        <v>336</v>
      </c>
      <c r="P2020" s="9" t="s">
        <v>981</v>
      </c>
      <c r="Q2020" s="11"/>
      <c r="R2020" s="11"/>
      <c r="S2020" s="11">
        <v>29</v>
      </c>
      <c r="T2020" s="9"/>
      <c r="U2020" s="14" t="s">
        <v>77</v>
      </c>
      <c r="V2020" s="9"/>
      <c r="W2020" s="12">
        <v>30</v>
      </c>
      <c r="X2020" s="13"/>
      <c r="Y2020" s="13"/>
      <c r="Z2020" s="13"/>
      <c r="AA2020" s="13"/>
      <c r="AB2020" s="13"/>
      <c r="AC2020" s="13"/>
      <c r="AD2020" s="13"/>
      <c r="AE2020" s="13">
        <f t="shared" si="217"/>
        <v>8.6999999999999994E-2</v>
      </c>
      <c r="AF2020" s="13"/>
      <c r="AG2020" s="13"/>
      <c r="AH2020" s="13"/>
      <c r="AI2020" s="13"/>
      <c r="AJ2020" s="13">
        <f t="shared" si="216"/>
        <v>8.6999999999999994E-2</v>
      </c>
      <c r="AK2020" s="12"/>
      <c r="AL2020" s="13"/>
      <c r="AM2020" s="9"/>
      <c r="AN2020" s="9"/>
      <c r="AO2020" s="9"/>
      <c r="AP2020" s="14"/>
    </row>
    <row r="2021" spans="1:42" s="45" customFormat="1" ht="22" customHeight="1">
      <c r="A2021" s="14" t="s">
        <v>17</v>
      </c>
      <c r="B2021" s="8">
        <v>2024</v>
      </c>
      <c r="C2021" s="8" t="s">
        <v>24</v>
      </c>
      <c r="D2021" s="9" t="s">
        <v>185</v>
      </c>
      <c r="E2021" s="9" t="s">
        <v>115</v>
      </c>
      <c r="F2021" s="9" t="s">
        <v>434</v>
      </c>
      <c r="G2021" s="8"/>
      <c r="H2021" s="8"/>
      <c r="I2021" s="9" t="s">
        <v>11</v>
      </c>
      <c r="J2021" s="9" t="s">
        <v>11</v>
      </c>
      <c r="K2021" s="9" t="s">
        <v>82</v>
      </c>
      <c r="L2021" s="9" t="s">
        <v>171</v>
      </c>
      <c r="M2021" s="9" t="s">
        <v>860</v>
      </c>
      <c r="N2021" s="9" t="s">
        <v>861</v>
      </c>
      <c r="O2021" s="9" t="s">
        <v>982</v>
      </c>
      <c r="P2021" s="9" t="s">
        <v>983</v>
      </c>
      <c r="Q2021" s="11"/>
      <c r="R2021" s="11"/>
      <c r="S2021" s="11">
        <v>40</v>
      </c>
      <c r="T2021" s="9"/>
      <c r="U2021" s="14" t="s">
        <v>77</v>
      </c>
      <c r="V2021" s="9"/>
      <c r="W2021" s="12">
        <v>30</v>
      </c>
      <c r="X2021" s="13"/>
      <c r="Y2021" s="13"/>
      <c r="Z2021" s="13"/>
      <c r="AA2021" s="13"/>
      <c r="AB2021" s="13"/>
      <c r="AC2021" s="13"/>
      <c r="AD2021" s="13"/>
      <c r="AE2021" s="13">
        <f t="shared" si="217"/>
        <v>0.12</v>
      </c>
      <c r="AF2021" s="13"/>
      <c r="AG2021" s="13"/>
      <c r="AH2021" s="13"/>
      <c r="AI2021" s="13"/>
      <c r="AJ2021" s="13">
        <f t="shared" si="216"/>
        <v>0.12</v>
      </c>
      <c r="AK2021" s="12"/>
      <c r="AL2021" s="13"/>
      <c r="AM2021" s="9"/>
      <c r="AN2021" s="9"/>
      <c r="AO2021" s="9"/>
      <c r="AP2021" s="14"/>
    </row>
    <row r="2022" spans="1:42" s="45" customFormat="1" ht="22" customHeight="1">
      <c r="A2022" s="14" t="s">
        <v>17</v>
      </c>
      <c r="B2022" s="8">
        <v>2024</v>
      </c>
      <c r="C2022" s="8" t="s">
        <v>24</v>
      </c>
      <c r="D2022" s="9" t="s">
        <v>185</v>
      </c>
      <c r="E2022" s="9" t="s">
        <v>115</v>
      </c>
      <c r="F2022" s="9" t="s">
        <v>434</v>
      </c>
      <c r="G2022" s="8"/>
      <c r="H2022" s="8"/>
      <c r="I2022" s="9" t="s">
        <v>11</v>
      </c>
      <c r="J2022" s="9" t="s">
        <v>11</v>
      </c>
      <c r="K2022" s="9" t="s">
        <v>82</v>
      </c>
      <c r="L2022" s="9" t="s">
        <v>171</v>
      </c>
      <c r="M2022" s="9" t="s">
        <v>860</v>
      </c>
      <c r="N2022" s="9" t="s">
        <v>861</v>
      </c>
      <c r="O2022" s="9" t="s">
        <v>982</v>
      </c>
      <c r="P2022" s="9" t="s">
        <v>177</v>
      </c>
      <c r="Q2022" s="11"/>
      <c r="R2022" s="11"/>
      <c r="S2022" s="11">
        <v>37</v>
      </c>
      <c r="T2022" s="9"/>
      <c r="U2022" s="14" t="s">
        <v>77</v>
      </c>
      <c r="V2022" s="9"/>
      <c r="W2022" s="12">
        <v>30</v>
      </c>
      <c r="X2022" s="13"/>
      <c r="Y2022" s="13"/>
      <c r="Z2022" s="13"/>
      <c r="AA2022" s="13"/>
      <c r="AB2022" s="13"/>
      <c r="AC2022" s="13"/>
      <c r="AD2022" s="13"/>
      <c r="AE2022" s="13">
        <f t="shared" si="217"/>
        <v>0.111</v>
      </c>
      <c r="AF2022" s="13"/>
      <c r="AG2022" s="13"/>
      <c r="AH2022" s="13"/>
      <c r="AI2022" s="13"/>
      <c r="AJ2022" s="13">
        <f t="shared" si="216"/>
        <v>0.111</v>
      </c>
      <c r="AK2022" s="12"/>
      <c r="AL2022" s="13"/>
      <c r="AM2022" s="9"/>
      <c r="AN2022" s="9"/>
      <c r="AO2022" s="9"/>
      <c r="AP2022" s="14"/>
    </row>
    <row r="2023" spans="1:42" s="45" customFormat="1" ht="22" customHeight="1">
      <c r="A2023" s="14" t="s">
        <v>17</v>
      </c>
      <c r="B2023" s="8">
        <v>2024</v>
      </c>
      <c r="C2023" s="8" t="s">
        <v>24</v>
      </c>
      <c r="D2023" s="9" t="s">
        <v>185</v>
      </c>
      <c r="E2023" s="9" t="s">
        <v>115</v>
      </c>
      <c r="F2023" s="9" t="s">
        <v>434</v>
      </c>
      <c r="G2023" s="8"/>
      <c r="H2023" s="8"/>
      <c r="I2023" s="9" t="s">
        <v>11</v>
      </c>
      <c r="J2023" s="9" t="s">
        <v>11</v>
      </c>
      <c r="K2023" s="9" t="s">
        <v>82</v>
      </c>
      <c r="L2023" s="9" t="s">
        <v>171</v>
      </c>
      <c r="M2023" s="9" t="s">
        <v>860</v>
      </c>
      <c r="N2023" s="9" t="s">
        <v>861</v>
      </c>
      <c r="O2023" s="9" t="s">
        <v>982</v>
      </c>
      <c r="P2023" s="9" t="s">
        <v>984</v>
      </c>
      <c r="Q2023" s="11"/>
      <c r="R2023" s="11"/>
      <c r="S2023" s="11">
        <v>30</v>
      </c>
      <c r="T2023" s="9"/>
      <c r="U2023" s="14" t="s">
        <v>77</v>
      </c>
      <c r="V2023" s="9"/>
      <c r="W2023" s="12">
        <v>30</v>
      </c>
      <c r="X2023" s="13"/>
      <c r="Y2023" s="13"/>
      <c r="Z2023" s="13"/>
      <c r="AA2023" s="13"/>
      <c r="AB2023" s="13"/>
      <c r="AC2023" s="13"/>
      <c r="AD2023" s="13"/>
      <c r="AE2023" s="13">
        <f t="shared" si="217"/>
        <v>0.09</v>
      </c>
      <c r="AF2023" s="13"/>
      <c r="AG2023" s="13"/>
      <c r="AH2023" s="13"/>
      <c r="AI2023" s="13"/>
      <c r="AJ2023" s="13">
        <f t="shared" si="216"/>
        <v>0.09</v>
      </c>
      <c r="AK2023" s="12"/>
      <c r="AL2023" s="13"/>
      <c r="AM2023" s="9"/>
      <c r="AN2023" s="9"/>
      <c r="AO2023" s="9"/>
      <c r="AP2023" s="14"/>
    </row>
    <row r="2024" spans="1:42" s="45" customFormat="1" ht="22" customHeight="1">
      <c r="A2024" s="14" t="s">
        <v>17</v>
      </c>
      <c r="B2024" s="8">
        <v>2024</v>
      </c>
      <c r="C2024" s="8" t="s">
        <v>24</v>
      </c>
      <c r="D2024" s="9" t="s">
        <v>185</v>
      </c>
      <c r="E2024" s="9" t="s">
        <v>115</v>
      </c>
      <c r="F2024" s="9" t="s">
        <v>434</v>
      </c>
      <c r="G2024" s="8"/>
      <c r="H2024" s="8"/>
      <c r="I2024" s="9" t="s">
        <v>11</v>
      </c>
      <c r="J2024" s="9" t="s">
        <v>11</v>
      </c>
      <c r="K2024" s="9" t="s">
        <v>82</v>
      </c>
      <c r="L2024" s="9" t="s">
        <v>171</v>
      </c>
      <c r="M2024" s="9" t="s">
        <v>860</v>
      </c>
      <c r="N2024" s="9" t="s">
        <v>861</v>
      </c>
      <c r="O2024" s="9" t="s">
        <v>982</v>
      </c>
      <c r="P2024" s="9" t="s">
        <v>985</v>
      </c>
      <c r="Q2024" s="11"/>
      <c r="R2024" s="11"/>
      <c r="S2024" s="11">
        <v>36</v>
      </c>
      <c r="T2024" s="9"/>
      <c r="U2024" s="14" t="s">
        <v>77</v>
      </c>
      <c r="V2024" s="9"/>
      <c r="W2024" s="12">
        <v>30</v>
      </c>
      <c r="X2024" s="13"/>
      <c r="Y2024" s="13"/>
      <c r="Z2024" s="13"/>
      <c r="AA2024" s="13"/>
      <c r="AB2024" s="13"/>
      <c r="AC2024" s="13"/>
      <c r="AD2024" s="13"/>
      <c r="AE2024" s="13">
        <f t="shared" si="217"/>
        <v>0.108</v>
      </c>
      <c r="AF2024" s="13"/>
      <c r="AG2024" s="13"/>
      <c r="AH2024" s="13"/>
      <c r="AI2024" s="13"/>
      <c r="AJ2024" s="13">
        <f t="shared" si="216"/>
        <v>0.108</v>
      </c>
      <c r="AK2024" s="12"/>
      <c r="AL2024" s="13"/>
      <c r="AM2024" s="9"/>
      <c r="AN2024" s="9"/>
      <c r="AO2024" s="9"/>
      <c r="AP2024" s="14"/>
    </row>
    <row r="2025" spans="1:42" s="45" customFormat="1" ht="22" customHeight="1">
      <c r="A2025" s="14" t="s">
        <v>17</v>
      </c>
      <c r="B2025" s="8">
        <v>2024</v>
      </c>
      <c r="C2025" s="8" t="s">
        <v>24</v>
      </c>
      <c r="D2025" s="9" t="s">
        <v>185</v>
      </c>
      <c r="E2025" s="9" t="s">
        <v>115</v>
      </c>
      <c r="F2025" s="9" t="s">
        <v>434</v>
      </c>
      <c r="G2025" s="8"/>
      <c r="H2025" s="8"/>
      <c r="I2025" s="9" t="s">
        <v>11</v>
      </c>
      <c r="J2025" s="9" t="s">
        <v>11</v>
      </c>
      <c r="K2025" s="9" t="s">
        <v>82</v>
      </c>
      <c r="L2025" s="9" t="s">
        <v>171</v>
      </c>
      <c r="M2025" s="9" t="s">
        <v>860</v>
      </c>
      <c r="N2025" s="9" t="s">
        <v>861</v>
      </c>
      <c r="O2025" s="9" t="s">
        <v>982</v>
      </c>
      <c r="P2025" s="9" t="s">
        <v>986</v>
      </c>
      <c r="Q2025" s="11"/>
      <c r="R2025" s="11"/>
      <c r="S2025" s="11">
        <v>34</v>
      </c>
      <c r="T2025" s="9"/>
      <c r="U2025" s="14" t="s">
        <v>77</v>
      </c>
      <c r="V2025" s="9"/>
      <c r="W2025" s="12">
        <v>30</v>
      </c>
      <c r="X2025" s="13"/>
      <c r="Y2025" s="13"/>
      <c r="Z2025" s="13"/>
      <c r="AA2025" s="13"/>
      <c r="AB2025" s="13"/>
      <c r="AC2025" s="13"/>
      <c r="AD2025" s="13"/>
      <c r="AE2025" s="13">
        <f t="shared" si="217"/>
        <v>0.10199999999999999</v>
      </c>
      <c r="AF2025" s="13"/>
      <c r="AG2025" s="13"/>
      <c r="AH2025" s="13"/>
      <c r="AI2025" s="13"/>
      <c r="AJ2025" s="13">
        <f t="shared" si="216"/>
        <v>0.10199999999999999</v>
      </c>
      <c r="AK2025" s="12"/>
      <c r="AL2025" s="13"/>
      <c r="AM2025" s="9"/>
      <c r="AN2025" s="9"/>
      <c r="AO2025" s="9"/>
      <c r="AP2025" s="14"/>
    </row>
    <row r="2026" spans="1:42" s="45" customFormat="1" ht="22" customHeight="1">
      <c r="A2026" s="14" t="s">
        <v>17</v>
      </c>
      <c r="B2026" s="8">
        <v>2024</v>
      </c>
      <c r="C2026" s="8" t="s">
        <v>24</v>
      </c>
      <c r="D2026" s="9" t="s">
        <v>185</v>
      </c>
      <c r="E2026" s="9" t="s">
        <v>115</v>
      </c>
      <c r="F2026" s="9" t="s">
        <v>434</v>
      </c>
      <c r="G2026" s="8"/>
      <c r="H2026" s="8"/>
      <c r="I2026" s="9" t="s">
        <v>11</v>
      </c>
      <c r="J2026" s="9" t="s">
        <v>11</v>
      </c>
      <c r="K2026" s="9" t="s">
        <v>82</v>
      </c>
      <c r="L2026" s="9" t="s">
        <v>171</v>
      </c>
      <c r="M2026" s="9" t="s">
        <v>860</v>
      </c>
      <c r="N2026" s="9" t="s">
        <v>861</v>
      </c>
      <c r="O2026" s="9" t="s">
        <v>982</v>
      </c>
      <c r="P2026" s="9" t="s">
        <v>987</v>
      </c>
      <c r="Q2026" s="11"/>
      <c r="R2026" s="11"/>
      <c r="S2026" s="11">
        <v>35</v>
      </c>
      <c r="T2026" s="9"/>
      <c r="U2026" s="14" t="s">
        <v>77</v>
      </c>
      <c r="V2026" s="9"/>
      <c r="W2026" s="12">
        <v>30</v>
      </c>
      <c r="X2026" s="13"/>
      <c r="Y2026" s="13"/>
      <c r="Z2026" s="13"/>
      <c r="AA2026" s="13"/>
      <c r="AB2026" s="13"/>
      <c r="AC2026" s="13"/>
      <c r="AD2026" s="13"/>
      <c r="AE2026" s="13">
        <f t="shared" si="217"/>
        <v>0.105</v>
      </c>
      <c r="AF2026" s="13"/>
      <c r="AG2026" s="13"/>
      <c r="AH2026" s="13"/>
      <c r="AI2026" s="13"/>
      <c r="AJ2026" s="13">
        <f t="shared" si="216"/>
        <v>0.105</v>
      </c>
      <c r="AK2026" s="12"/>
      <c r="AL2026" s="13"/>
      <c r="AM2026" s="9"/>
      <c r="AN2026" s="9"/>
      <c r="AO2026" s="9"/>
      <c r="AP2026" s="14"/>
    </row>
    <row r="2027" spans="1:42" s="45" customFormat="1" ht="22" customHeight="1">
      <c r="A2027" s="14" t="s">
        <v>17</v>
      </c>
      <c r="B2027" s="8">
        <v>2024</v>
      </c>
      <c r="C2027" s="8" t="s">
        <v>24</v>
      </c>
      <c r="D2027" s="9" t="s">
        <v>185</v>
      </c>
      <c r="E2027" s="9" t="s">
        <v>115</v>
      </c>
      <c r="F2027" s="9" t="s">
        <v>434</v>
      </c>
      <c r="G2027" s="8"/>
      <c r="H2027" s="8"/>
      <c r="I2027" s="9" t="s">
        <v>11</v>
      </c>
      <c r="J2027" s="9" t="s">
        <v>11</v>
      </c>
      <c r="K2027" s="9" t="s">
        <v>82</v>
      </c>
      <c r="L2027" s="9" t="s">
        <v>171</v>
      </c>
      <c r="M2027" s="9" t="s">
        <v>860</v>
      </c>
      <c r="N2027" s="9" t="s">
        <v>861</v>
      </c>
      <c r="O2027" s="9" t="s">
        <v>982</v>
      </c>
      <c r="P2027" s="9" t="s">
        <v>988</v>
      </c>
      <c r="Q2027" s="11"/>
      <c r="R2027" s="11"/>
      <c r="S2027" s="11">
        <v>31</v>
      </c>
      <c r="T2027" s="9"/>
      <c r="U2027" s="14" t="s">
        <v>77</v>
      </c>
      <c r="V2027" s="9"/>
      <c r="W2027" s="12">
        <v>30</v>
      </c>
      <c r="X2027" s="13"/>
      <c r="Y2027" s="13"/>
      <c r="Z2027" s="13"/>
      <c r="AA2027" s="13"/>
      <c r="AB2027" s="13"/>
      <c r="AC2027" s="13"/>
      <c r="AD2027" s="13"/>
      <c r="AE2027" s="13">
        <f t="shared" si="217"/>
        <v>9.2999999999999999E-2</v>
      </c>
      <c r="AF2027" s="13"/>
      <c r="AG2027" s="13"/>
      <c r="AH2027" s="13"/>
      <c r="AI2027" s="13"/>
      <c r="AJ2027" s="13">
        <f t="shared" si="216"/>
        <v>9.2999999999999999E-2</v>
      </c>
      <c r="AK2027" s="12"/>
      <c r="AL2027" s="13"/>
      <c r="AM2027" s="9"/>
      <c r="AN2027" s="9"/>
      <c r="AO2027" s="9"/>
      <c r="AP2027" s="14"/>
    </row>
    <row r="2028" spans="1:42" s="45" customFormat="1" ht="22" customHeight="1">
      <c r="A2028" s="14" t="s">
        <v>17</v>
      </c>
      <c r="B2028" s="8">
        <v>2024</v>
      </c>
      <c r="C2028" s="8" t="s">
        <v>24</v>
      </c>
      <c r="D2028" s="9" t="s">
        <v>185</v>
      </c>
      <c r="E2028" s="9" t="s">
        <v>115</v>
      </c>
      <c r="F2028" s="9" t="s">
        <v>434</v>
      </c>
      <c r="G2028" s="8"/>
      <c r="H2028" s="8"/>
      <c r="I2028" s="9" t="s">
        <v>11</v>
      </c>
      <c r="J2028" s="9" t="s">
        <v>11</v>
      </c>
      <c r="K2028" s="9" t="s">
        <v>82</v>
      </c>
      <c r="L2028" s="9" t="s">
        <v>171</v>
      </c>
      <c r="M2028" s="9" t="s">
        <v>860</v>
      </c>
      <c r="N2028" s="9" t="s">
        <v>861</v>
      </c>
      <c r="O2028" s="9" t="s">
        <v>982</v>
      </c>
      <c r="P2028" s="9" t="s">
        <v>989</v>
      </c>
      <c r="Q2028" s="11"/>
      <c r="R2028" s="11"/>
      <c r="S2028" s="11">
        <v>0</v>
      </c>
      <c r="T2028" s="9"/>
      <c r="U2028" s="14" t="s">
        <v>77</v>
      </c>
      <c r="V2028" s="9"/>
      <c r="W2028" s="12">
        <v>30</v>
      </c>
      <c r="X2028" s="13"/>
      <c r="Y2028" s="13"/>
      <c r="Z2028" s="13"/>
      <c r="AA2028" s="13"/>
      <c r="AB2028" s="13"/>
      <c r="AC2028" s="13"/>
      <c r="AD2028" s="13"/>
      <c r="AE2028" s="13">
        <f t="shared" si="217"/>
        <v>0</v>
      </c>
      <c r="AF2028" s="13"/>
      <c r="AG2028" s="13"/>
      <c r="AH2028" s="13"/>
      <c r="AI2028" s="13"/>
      <c r="AJ2028" s="13">
        <f t="shared" si="216"/>
        <v>0</v>
      </c>
      <c r="AK2028" s="12"/>
      <c r="AL2028" s="13"/>
      <c r="AM2028" s="9"/>
      <c r="AN2028" s="9"/>
      <c r="AO2028" s="9"/>
      <c r="AP2028" s="14"/>
    </row>
    <row r="2029" spans="1:42" s="45" customFormat="1" ht="22" customHeight="1">
      <c r="A2029" s="14" t="s">
        <v>17</v>
      </c>
      <c r="B2029" s="8">
        <v>2024</v>
      </c>
      <c r="C2029" s="8" t="s">
        <v>24</v>
      </c>
      <c r="D2029" s="9" t="s">
        <v>185</v>
      </c>
      <c r="E2029" s="9" t="s">
        <v>115</v>
      </c>
      <c r="F2029" s="9" t="s">
        <v>434</v>
      </c>
      <c r="G2029" s="8"/>
      <c r="H2029" s="8"/>
      <c r="I2029" s="9" t="s">
        <v>11</v>
      </c>
      <c r="J2029" s="9" t="s">
        <v>11</v>
      </c>
      <c r="K2029" s="9" t="s">
        <v>82</v>
      </c>
      <c r="L2029" s="9" t="s">
        <v>171</v>
      </c>
      <c r="M2029" s="9" t="s">
        <v>860</v>
      </c>
      <c r="N2029" s="9" t="s">
        <v>861</v>
      </c>
      <c r="O2029" s="9" t="s">
        <v>990</v>
      </c>
      <c r="P2029" s="9" t="s">
        <v>991</v>
      </c>
      <c r="Q2029" s="11"/>
      <c r="R2029" s="11"/>
      <c r="S2029" s="11">
        <v>77</v>
      </c>
      <c r="T2029" s="9"/>
      <c r="U2029" s="14" t="s">
        <v>77</v>
      </c>
      <c r="V2029" s="9"/>
      <c r="W2029" s="12">
        <v>30</v>
      </c>
      <c r="X2029" s="13"/>
      <c r="Y2029" s="13"/>
      <c r="Z2029" s="13"/>
      <c r="AA2029" s="13"/>
      <c r="AB2029" s="13"/>
      <c r="AC2029" s="13"/>
      <c r="AD2029" s="13"/>
      <c r="AE2029" s="13">
        <f t="shared" si="217"/>
        <v>0.23100000000000001</v>
      </c>
      <c r="AF2029" s="13"/>
      <c r="AG2029" s="13"/>
      <c r="AH2029" s="13"/>
      <c r="AI2029" s="13"/>
      <c r="AJ2029" s="13">
        <f t="shared" si="216"/>
        <v>0.23100000000000001</v>
      </c>
      <c r="AK2029" s="12"/>
      <c r="AL2029" s="13"/>
      <c r="AM2029" s="9"/>
      <c r="AN2029" s="9"/>
      <c r="AO2029" s="9"/>
      <c r="AP2029" s="14"/>
    </row>
    <row r="2030" spans="1:42" s="45" customFormat="1" ht="22" customHeight="1">
      <c r="A2030" s="14" t="s">
        <v>17</v>
      </c>
      <c r="B2030" s="8">
        <v>2024</v>
      </c>
      <c r="C2030" s="8" t="s">
        <v>24</v>
      </c>
      <c r="D2030" s="9" t="s">
        <v>185</v>
      </c>
      <c r="E2030" s="9" t="s">
        <v>115</v>
      </c>
      <c r="F2030" s="9" t="s">
        <v>434</v>
      </c>
      <c r="G2030" s="8"/>
      <c r="H2030" s="8"/>
      <c r="I2030" s="9" t="s">
        <v>11</v>
      </c>
      <c r="J2030" s="9" t="s">
        <v>11</v>
      </c>
      <c r="K2030" s="9" t="s">
        <v>82</v>
      </c>
      <c r="L2030" s="9" t="s">
        <v>171</v>
      </c>
      <c r="M2030" s="9" t="s">
        <v>860</v>
      </c>
      <c r="N2030" s="9" t="s">
        <v>861</v>
      </c>
      <c r="O2030" s="9" t="s">
        <v>990</v>
      </c>
      <c r="P2030" s="9" t="s">
        <v>992</v>
      </c>
      <c r="Q2030" s="11"/>
      <c r="R2030" s="11"/>
      <c r="S2030" s="11">
        <v>81</v>
      </c>
      <c r="T2030" s="9"/>
      <c r="U2030" s="14" t="s">
        <v>77</v>
      </c>
      <c r="V2030" s="9"/>
      <c r="W2030" s="12">
        <v>30</v>
      </c>
      <c r="X2030" s="13"/>
      <c r="Y2030" s="13"/>
      <c r="Z2030" s="13"/>
      <c r="AA2030" s="13"/>
      <c r="AB2030" s="13"/>
      <c r="AC2030" s="13"/>
      <c r="AD2030" s="13"/>
      <c r="AE2030" s="13">
        <f t="shared" si="217"/>
        <v>0.24299999999999999</v>
      </c>
      <c r="AF2030" s="13"/>
      <c r="AG2030" s="13"/>
      <c r="AH2030" s="13"/>
      <c r="AI2030" s="13"/>
      <c r="AJ2030" s="13">
        <f t="shared" ref="AJ2030:AJ2093" si="218">SUBTOTAL(9,X2030:AI2030)</f>
        <v>0.24299999999999999</v>
      </c>
      <c r="AK2030" s="12"/>
      <c r="AL2030" s="13"/>
      <c r="AM2030" s="9"/>
      <c r="AN2030" s="9"/>
      <c r="AO2030" s="9"/>
      <c r="AP2030" s="14"/>
    </row>
    <row r="2031" spans="1:42" s="45" customFormat="1" ht="22" customHeight="1">
      <c r="A2031" s="14" t="s">
        <v>17</v>
      </c>
      <c r="B2031" s="8">
        <v>2024</v>
      </c>
      <c r="C2031" s="8" t="s">
        <v>24</v>
      </c>
      <c r="D2031" s="9" t="s">
        <v>185</v>
      </c>
      <c r="E2031" s="9" t="s">
        <v>115</v>
      </c>
      <c r="F2031" s="9" t="s">
        <v>434</v>
      </c>
      <c r="G2031" s="8"/>
      <c r="H2031" s="8"/>
      <c r="I2031" s="9" t="s">
        <v>11</v>
      </c>
      <c r="J2031" s="9" t="s">
        <v>11</v>
      </c>
      <c r="K2031" s="9" t="s">
        <v>82</v>
      </c>
      <c r="L2031" s="9" t="s">
        <v>171</v>
      </c>
      <c r="M2031" s="9" t="s">
        <v>860</v>
      </c>
      <c r="N2031" s="9" t="s">
        <v>861</v>
      </c>
      <c r="O2031" s="9" t="s">
        <v>990</v>
      </c>
      <c r="P2031" s="9" t="s">
        <v>993</v>
      </c>
      <c r="Q2031" s="11"/>
      <c r="R2031" s="11"/>
      <c r="S2031" s="11">
        <v>89</v>
      </c>
      <c r="T2031" s="9"/>
      <c r="U2031" s="14" t="s">
        <v>77</v>
      </c>
      <c r="V2031" s="9"/>
      <c r="W2031" s="12">
        <v>30</v>
      </c>
      <c r="X2031" s="13"/>
      <c r="Y2031" s="13"/>
      <c r="Z2031" s="13"/>
      <c r="AA2031" s="13"/>
      <c r="AB2031" s="13"/>
      <c r="AC2031" s="13"/>
      <c r="AD2031" s="13"/>
      <c r="AE2031" s="13">
        <f t="shared" si="217"/>
        <v>0.26700000000000002</v>
      </c>
      <c r="AF2031" s="13"/>
      <c r="AG2031" s="13"/>
      <c r="AH2031" s="13"/>
      <c r="AI2031" s="13"/>
      <c r="AJ2031" s="13">
        <f t="shared" si="218"/>
        <v>0.26700000000000002</v>
      </c>
      <c r="AK2031" s="12"/>
      <c r="AL2031" s="13"/>
      <c r="AM2031" s="9"/>
      <c r="AN2031" s="9"/>
      <c r="AO2031" s="9"/>
      <c r="AP2031" s="14"/>
    </row>
    <row r="2032" spans="1:42" s="45" customFormat="1" ht="22" customHeight="1">
      <c r="A2032" s="14" t="s">
        <v>17</v>
      </c>
      <c r="B2032" s="8">
        <v>2024</v>
      </c>
      <c r="C2032" s="8" t="s">
        <v>24</v>
      </c>
      <c r="D2032" s="9" t="s">
        <v>185</v>
      </c>
      <c r="E2032" s="9" t="s">
        <v>115</v>
      </c>
      <c r="F2032" s="9" t="s">
        <v>434</v>
      </c>
      <c r="G2032" s="8"/>
      <c r="H2032" s="8"/>
      <c r="I2032" s="9" t="s">
        <v>11</v>
      </c>
      <c r="J2032" s="9" t="s">
        <v>11</v>
      </c>
      <c r="K2032" s="9" t="s">
        <v>82</v>
      </c>
      <c r="L2032" s="9" t="s">
        <v>171</v>
      </c>
      <c r="M2032" s="9" t="s">
        <v>860</v>
      </c>
      <c r="N2032" s="9" t="s">
        <v>861</v>
      </c>
      <c r="O2032" s="9" t="s">
        <v>990</v>
      </c>
      <c r="P2032" s="9" t="s">
        <v>994</v>
      </c>
      <c r="Q2032" s="11"/>
      <c r="R2032" s="11"/>
      <c r="S2032" s="11">
        <v>53</v>
      </c>
      <c r="T2032" s="9"/>
      <c r="U2032" s="14" t="s">
        <v>77</v>
      </c>
      <c r="V2032" s="9"/>
      <c r="W2032" s="12">
        <v>30</v>
      </c>
      <c r="X2032" s="13"/>
      <c r="Y2032" s="13"/>
      <c r="Z2032" s="13"/>
      <c r="AA2032" s="13"/>
      <c r="AB2032" s="13"/>
      <c r="AC2032" s="13"/>
      <c r="AD2032" s="13"/>
      <c r="AE2032" s="13">
        <f t="shared" ref="AE2032:AE2095" si="219">S2032*W2032*100/1000000</f>
        <v>0.159</v>
      </c>
      <c r="AF2032" s="13"/>
      <c r="AG2032" s="13"/>
      <c r="AH2032" s="13"/>
      <c r="AI2032" s="13"/>
      <c r="AJ2032" s="13">
        <f t="shared" si="218"/>
        <v>0.159</v>
      </c>
      <c r="AK2032" s="12"/>
      <c r="AL2032" s="13"/>
      <c r="AM2032" s="9"/>
      <c r="AN2032" s="9"/>
      <c r="AO2032" s="9"/>
      <c r="AP2032" s="14"/>
    </row>
    <row r="2033" spans="1:42" s="45" customFormat="1" ht="22" customHeight="1">
      <c r="A2033" s="14" t="s">
        <v>17</v>
      </c>
      <c r="B2033" s="8">
        <v>2024</v>
      </c>
      <c r="C2033" s="8" t="s">
        <v>24</v>
      </c>
      <c r="D2033" s="9" t="s">
        <v>185</v>
      </c>
      <c r="E2033" s="9" t="s">
        <v>115</v>
      </c>
      <c r="F2033" s="9" t="s">
        <v>434</v>
      </c>
      <c r="G2033" s="8"/>
      <c r="H2033" s="8"/>
      <c r="I2033" s="9" t="s">
        <v>11</v>
      </c>
      <c r="J2033" s="9" t="s">
        <v>11</v>
      </c>
      <c r="K2033" s="9" t="s">
        <v>82</v>
      </c>
      <c r="L2033" s="9" t="s">
        <v>171</v>
      </c>
      <c r="M2033" s="9" t="s">
        <v>860</v>
      </c>
      <c r="N2033" s="9" t="s">
        <v>861</v>
      </c>
      <c r="O2033" s="9" t="s">
        <v>990</v>
      </c>
      <c r="P2033" s="9" t="s">
        <v>395</v>
      </c>
      <c r="Q2033" s="11"/>
      <c r="R2033" s="11"/>
      <c r="S2033" s="11">
        <v>77</v>
      </c>
      <c r="T2033" s="9"/>
      <c r="U2033" s="14" t="s">
        <v>77</v>
      </c>
      <c r="V2033" s="9"/>
      <c r="W2033" s="12">
        <v>30</v>
      </c>
      <c r="X2033" s="13"/>
      <c r="Y2033" s="13"/>
      <c r="Z2033" s="13"/>
      <c r="AA2033" s="13"/>
      <c r="AB2033" s="13"/>
      <c r="AC2033" s="13"/>
      <c r="AD2033" s="13"/>
      <c r="AE2033" s="13">
        <f t="shared" si="219"/>
        <v>0.23100000000000001</v>
      </c>
      <c r="AF2033" s="13"/>
      <c r="AG2033" s="13"/>
      <c r="AH2033" s="13"/>
      <c r="AI2033" s="13"/>
      <c r="AJ2033" s="13">
        <f t="shared" si="218"/>
        <v>0.23100000000000001</v>
      </c>
      <c r="AK2033" s="12"/>
      <c r="AL2033" s="13"/>
      <c r="AM2033" s="9"/>
      <c r="AN2033" s="9"/>
      <c r="AO2033" s="9"/>
      <c r="AP2033" s="14"/>
    </row>
    <row r="2034" spans="1:42" s="45" customFormat="1" ht="22" customHeight="1">
      <c r="A2034" s="14" t="s">
        <v>17</v>
      </c>
      <c r="B2034" s="8">
        <v>2024</v>
      </c>
      <c r="C2034" s="8" t="s">
        <v>24</v>
      </c>
      <c r="D2034" s="9" t="s">
        <v>185</v>
      </c>
      <c r="E2034" s="9" t="s">
        <v>115</v>
      </c>
      <c r="F2034" s="9" t="s">
        <v>434</v>
      </c>
      <c r="G2034" s="8"/>
      <c r="H2034" s="8"/>
      <c r="I2034" s="9" t="s">
        <v>11</v>
      </c>
      <c r="J2034" s="9" t="s">
        <v>11</v>
      </c>
      <c r="K2034" s="9" t="s">
        <v>82</v>
      </c>
      <c r="L2034" s="9" t="s">
        <v>171</v>
      </c>
      <c r="M2034" s="9" t="s">
        <v>860</v>
      </c>
      <c r="N2034" s="9" t="s">
        <v>861</v>
      </c>
      <c r="O2034" s="9" t="s">
        <v>990</v>
      </c>
      <c r="P2034" s="9" t="s">
        <v>995</v>
      </c>
      <c r="Q2034" s="11"/>
      <c r="R2034" s="11"/>
      <c r="S2034" s="11">
        <v>94</v>
      </c>
      <c r="T2034" s="9"/>
      <c r="U2034" s="14" t="s">
        <v>77</v>
      </c>
      <c r="V2034" s="9"/>
      <c r="W2034" s="12">
        <v>30</v>
      </c>
      <c r="X2034" s="13"/>
      <c r="Y2034" s="13"/>
      <c r="Z2034" s="13"/>
      <c r="AA2034" s="13"/>
      <c r="AB2034" s="13"/>
      <c r="AC2034" s="13"/>
      <c r="AD2034" s="13"/>
      <c r="AE2034" s="13">
        <f t="shared" si="219"/>
        <v>0.28199999999999997</v>
      </c>
      <c r="AF2034" s="13"/>
      <c r="AG2034" s="13"/>
      <c r="AH2034" s="13"/>
      <c r="AI2034" s="13"/>
      <c r="AJ2034" s="13">
        <f t="shared" si="218"/>
        <v>0.28199999999999997</v>
      </c>
      <c r="AK2034" s="12"/>
      <c r="AL2034" s="13"/>
      <c r="AM2034" s="9"/>
      <c r="AN2034" s="9"/>
      <c r="AO2034" s="9"/>
      <c r="AP2034" s="14"/>
    </row>
    <row r="2035" spans="1:42" s="45" customFormat="1" ht="22" customHeight="1">
      <c r="A2035" s="14" t="s">
        <v>17</v>
      </c>
      <c r="B2035" s="8">
        <v>2024</v>
      </c>
      <c r="C2035" s="8" t="s">
        <v>24</v>
      </c>
      <c r="D2035" s="9" t="s">
        <v>185</v>
      </c>
      <c r="E2035" s="9" t="s">
        <v>115</v>
      </c>
      <c r="F2035" s="9" t="s">
        <v>434</v>
      </c>
      <c r="G2035" s="8"/>
      <c r="H2035" s="8"/>
      <c r="I2035" s="9" t="s">
        <v>11</v>
      </c>
      <c r="J2035" s="9" t="s">
        <v>11</v>
      </c>
      <c r="K2035" s="9" t="s">
        <v>82</v>
      </c>
      <c r="L2035" s="9" t="s">
        <v>171</v>
      </c>
      <c r="M2035" s="9" t="s">
        <v>860</v>
      </c>
      <c r="N2035" s="9" t="s">
        <v>861</v>
      </c>
      <c r="O2035" s="9" t="s">
        <v>996</v>
      </c>
      <c r="P2035" s="9" t="s">
        <v>997</v>
      </c>
      <c r="Q2035" s="11"/>
      <c r="R2035" s="11"/>
      <c r="S2035" s="11">
        <v>54</v>
      </c>
      <c r="T2035" s="9"/>
      <c r="U2035" s="14" t="s">
        <v>77</v>
      </c>
      <c r="V2035" s="9"/>
      <c r="W2035" s="12">
        <v>30</v>
      </c>
      <c r="X2035" s="13"/>
      <c r="Y2035" s="13"/>
      <c r="Z2035" s="13"/>
      <c r="AA2035" s="13"/>
      <c r="AB2035" s="13"/>
      <c r="AC2035" s="13"/>
      <c r="AD2035" s="13"/>
      <c r="AE2035" s="13">
        <f t="shared" si="219"/>
        <v>0.16200000000000001</v>
      </c>
      <c r="AF2035" s="13"/>
      <c r="AG2035" s="13"/>
      <c r="AH2035" s="13"/>
      <c r="AI2035" s="13"/>
      <c r="AJ2035" s="13">
        <f t="shared" si="218"/>
        <v>0.16200000000000001</v>
      </c>
      <c r="AK2035" s="12"/>
      <c r="AL2035" s="13"/>
      <c r="AM2035" s="9"/>
      <c r="AN2035" s="9"/>
      <c r="AO2035" s="9"/>
      <c r="AP2035" s="14"/>
    </row>
    <row r="2036" spans="1:42" s="45" customFormat="1" ht="22" customHeight="1">
      <c r="A2036" s="14" t="s">
        <v>17</v>
      </c>
      <c r="B2036" s="8">
        <v>2024</v>
      </c>
      <c r="C2036" s="8" t="s">
        <v>24</v>
      </c>
      <c r="D2036" s="9" t="s">
        <v>185</v>
      </c>
      <c r="E2036" s="9" t="s">
        <v>115</v>
      </c>
      <c r="F2036" s="9" t="s">
        <v>434</v>
      </c>
      <c r="G2036" s="8"/>
      <c r="H2036" s="8"/>
      <c r="I2036" s="9" t="s">
        <v>11</v>
      </c>
      <c r="J2036" s="9" t="s">
        <v>11</v>
      </c>
      <c r="K2036" s="9" t="s">
        <v>82</v>
      </c>
      <c r="L2036" s="9" t="s">
        <v>171</v>
      </c>
      <c r="M2036" s="9" t="s">
        <v>860</v>
      </c>
      <c r="N2036" s="9" t="s">
        <v>861</v>
      </c>
      <c r="O2036" s="9" t="s">
        <v>996</v>
      </c>
      <c r="P2036" s="9" t="s">
        <v>998</v>
      </c>
      <c r="Q2036" s="11"/>
      <c r="R2036" s="11"/>
      <c r="S2036" s="11">
        <v>55</v>
      </c>
      <c r="T2036" s="9"/>
      <c r="U2036" s="14" t="s">
        <v>77</v>
      </c>
      <c r="V2036" s="9"/>
      <c r="W2036" s="12">
        <v>30</v>
      </c>
      <c r="X2036" s="13"/>
      <c r="Y2036" s="13"/>
      <c r="Z2036" s="13"/>
      <c r="AA2036" s="13"/>
      <c r="AB2036" s="13"/>
      <c r="AC2036" s="13"/>
      <c r="AD2036" s="13"/>
      <c r="AE2036" s="13">
        <f t="shared" si="219"/>
        <v>0.16500000000000001</v>
      </c>
      <c r="AF2036" s="13"/>
      <c r="AG2036" s="13"/>
      <c r="AH2036" s="13"/>
      <c r="AI2036" s="13"/>
      <c r="AJ2036" s="13">
        <f t="shared" si="218"/>
        <v>0.16500000000000001</v>
      </c>
      <c r="AK2036" s="12"/>
      <c r="AL2036" s="13"/>
      <c r="AM2036" s="9"/>
      <c r="AN2036" s="9"/>
      <c r="AO2036" s="9"/>
      <c r="AP2036" s="14"/>
    </row>
    <row r="2037" spans="1:42" s="45" customFormat="1" ht="22" customHeight="1">
      <c r="A2037" s="14" t="s">
        <v>17</v>
      </c>
      <c r="B2037" s="8">
        <v>2024</v>
      </c>
      <c r="C2037" s="8" t="s">
        <v>24</v>
      </c>
      <c r="D2037" s="9" t="s">
        <v>185</v>
      </c>
      <c r="E2037" s="9" t="s">
        <v>115</v>
      </c>
      <c r="F2037" s="9" t="s">
        <v>434</v>
      </c>
      <c r="G2037" s="8"/>
      <c r="H2037" s="8"/>
      <c r="I2037" s="9" t="s">
        <v>11</v>
      </c>
      <c r="J2037" s="9" t="s">
        <v>11</v>
      </c>
      <c r="K2037" s="9" t="s">
        <v>82</v>
      </c>
      <c r="L2037" s="9" t="s">
        <v>171</v>
      </c>
      <c r="M2037" s="9" t="s">
        <v>860</v>
      </c>
      <c r="N2037" s="9" t="s">
        <v>861</v>
      </c>
      <c r="O2037" s="9" t="s">
        <v>996</v>
      </c>
      <c r="P2037" s="9" t="s">
        <v>999</v>
      </c>
      <c r="Q2037" s="11"/>
      <c r="R2037" s="11"/>
      <c r="S2037" s="11">
        <v>64</v>
      </c>
      <c r="T2037" s="9"/>
      <c r="U2037" s="14" t="s">
        <v>77</v>
      </c>
      <c r="V2037" s="9"/>
      <c r="W2037" s="12">
        <v>30</v>
      </c>
      <c r="X2037" s="13"/>
      <c r="Y2037" s="13"/>
      <c r="Z2037" s="13"/>
      <c r="AA2037" s="13"/>
      <c r="AB2037" s="13"/>
      <c r="AC2037" s="13"/>
      <c r="AD2037" s="13"/>
      <c r="AE2037" s="13">
        <f t="shared" si="219"/>
        <v>0.192</v>
      </c>
      <c r="AF2037" s="13"/>
      <c r="AG2037" s="13"/>
      <c r="AH2037" s="13"/>
      <c r="AI2037" s="13"/>
      <c r="AJ2037" s="13">
        <f t="shared" si="218"/>
        <v>0.192</v>
      </c>
      <c r="AK2037" s="12"/>
      <c r="AL2037" s="13"/>
      <c r="AM2037" s="9"/>
      <c r="AN2037" s="9"/>
      <c r="AO2037" s="9"/>
      <c r="AP2037" s="14"/>
    </row>
    <row r="2038" spans="1:42" s="45" customFormat="1" ht="22" customHeight="1">
      <c r="A2038" s="14" t="s">
        <v>17</v>
      </c>
      <c r="B2038" s="8">
        <v>2024</v>
      </c>
      <c r="C2038" s="8" t="s">
        <v>24</v>
      </c>
      <c r="D2038" s="9" t="s">
        <v>185</v>
      </c>
      <c r="E2038" s="9" t="s">
        <v>115</v>
      </c>
      <c r="F2038" s="9" t="s">
        <v>434</v>
      </c>
      <c r="G2038" s="8"/>
      <c r="H2038" s="8"/>
      <c r="I2038" s="9" t="s">
        <v>11</v>
      </c>
      <c r="J2038" s="9" t="s">
        <v>11</v>
      </c>
      <c r="K2038" s="9" t="s">
        <v>82</v>
      </c>
      <c r="L2038" s="9" t="s">
        <v>171</v>
      </c>
      <c r="M2038" s="9" t="s">
        <v>860</v>
      </c>
      <c r="N2038" s="9" t="s">
        <v>861</v>
      </c>
      <c r="O2038" s="9" t="s">
        <v>996</v>
      </c>
      <c r="P2038" s="9" t="s">
        <v>1000</v>
      </c>
      <c r="Q2038" s="11"/>
      <c r="R2038" s="11"/>
      <c r="S2038" s="11">
        <v>60</v>
      </c>
      <c r="T2038" s="9"/>
      <c r="U2038" s="14" t="s">
        <v>77</v>
      </c>
      <c r="V2038" s="9"/>
      <c r="W2038" s="12">
        <v>30</v>
      </c>
      <c r="X2038" s="13"/>
      <c r="Y2038" s="13"/>
      <c r="Z2038" s="13"/>
      <c r="AA2038" s="13"/>
      <c r="AB2038" s="13"/>
      <c r="AC2038" s="13"/>
      <c r="AD2038" s="13"/>
      <c r="AE2038" s="13">
        <f t="shared" si="219"/>
        <v>0.18</v>
      </c>
      <c r="AF2038" s="13"/>
      <c r="AG2038" s="13"/>
      <c r="AH2038" s="13"/>
      <c r="AI2038" s="13"/>
      <c r="AJ2038" s="13">
        <f t="shared" si="218"/>
        <v>0.18</v>
      </c>
      <c r="AK2038" s="12"/>
      <c r="AL2038" s="13"/>
      <c r="AM2038" s="9"/>
      <c r="AN2038" s="9"/>
      <c r="AO2038" s="9"/>
      <c r="AP2038" s="14"/>
    </row>
    <row r="2039" spans="1:42" s="45" customFormat="1" ht="22" customHeight="1">
      <c r="A2039" s="14" t="s">
        <v>17</v>
      </c>
      <c r="B2039" s="8">
        <v>2024</v>
      </c>
      <c r="C2039" s="8" t="s">
        <v>24</v>
      </c>
      <c r="D2039" s="9" t="s">
        <v>185</v>
      </c>
      <c r="E2039" s="9" t="s">
        <v>115</v>
      </c>
      <c r="F2039" s="9" t="s">
        <v>434</v>
      </c>
      <c r="G2039" s="8"/>
      <c r="H2039" s="8"/>
      <c r="I2039" s="9" t="s">
        <v>11</v>
      </c>
      <c r="J2039" s="9" t="s">
        <v>11</v>
      </c>
      <c r="K2039" s="9" t="s">
        <v>82</v>
      </c>
      <c r="L2039" s="9" t="s">
        <v>171</v>
      </c>
      <c r="M2039" s="9" t="s">
        <v>860</v>
      </c>
      <c r="N2039" s="9" t="s">
        <v>861</v>
      </c>
      <c r="O2039" s="9" t="s">
        <v>996</v>
      </c>
      <c r="P2039" s="9" t="s">
        <v>1001</v>
      </c>
      <c r="Q2039" s="11"/>
      <c r="R2039" s="11"/>
      <c r="S2039" s="11">
        <v>69</v>
      </c>
      <c r="T2039" s="9"/>
      <c r="U2039" s="14" t="s">
        <v>77</v>
      </c>
      <c r="V2039" s="9"/>
      <c r="W2039" s="12">
        <v>30</v>
      </c>
      <c r="X2039" s="13"/>
      <c r="Y2039" s="13"/>
      <c r="Z2039" s="13"/>
      <c r="AA2039" s="13"/>
      <c r="AB2039" s="13"/>
      <c r="AC2039" s="13"/>
      <c r="AD2039" s="13"/>
      <c r="AE2039" s="13">
        <f t="shared" si="219"/>
        <v>0.20699999999999999</v>
      </c>
      <c r="AF2039" s="13"/>
      <c r="AG2039" s="13"/>
      <c r="AH2039" s="13"/>
      <c r="AI2039" s="13"/>
      <c r="AJ2039" s="13">
        <f t="shared" si="218"/>
        <v>0.20699999999999999</v>
      </c>
      <c r="AK2039" s="12"/>
      <c r="AL2039" s="13"/>
      <c r="AM2039" s="9"/>
      <c r="AN2039" s="9"/>
      <c r="AO2039" s="9"/>
      <c r="AP2039" s="14"/>
    </row>
    <row r="2040" spans="1:42" s="45" customFormat="1" ht="22" customHeight="1">
      <c r="A2040" s="14" t="s">
        <v>17</v>
      </c>
      <c r="B2040" s="8">
        <v>2024</v>
      </c>
      <c r="C2040" s="8" t="s">
        <v>24</v>
      </c>
      <c r="D2040" s="9" t="s">
        <v>185</v>
      </c>
      <c r="E2040" s="9" t="s">
        <v>115</v>
      </c>
      <c r="F2040" s="9" t="s">
        <v>434</v>
      </c>
      <c r="G2040" s="8"/>
      <c r="H2040" s="8"/>
      <c r="I2040" s="9" t="s">
        <v>11</v>
      </c>
      <c r="J2040" s="9" t="s">
        <v>11</v>
      </c>
      <c r="K2040" s="9" t="s">
        <v>82</v>
      </c>
      <c r="L2040" s="9" t="s">
        <v>171</v>
      </c>
      <c r="M2040" s="9" t="s">
        <v>860</v>
      </c>
      <c r="N2040" s="9" t="s">
        <v>861</v>
      </c>
      <c r="O2040" s="9" t="s">
        <v>996</v>
      </c>
      <c r="P2040" s="9" t="s">
        <v>1002</v>
      </c>
      <c r="Q2040" s="11"/>
      <c r="R2040" s="11"/>
      <c r="S2040" s="11">
        <v>40</v>
      </c>
      <c r="T2040" s="9"/>
      <c r="U2040" s="14" t="s">
        <v>77</v>
      </c>
      <c r="V2040" s="9"/>
      <c r="W2040" s="12">
        <v>30</v>
      </c>
      <c r="X2040" s="13"/>
      <c r="Y2040" s="13"/>
      <c r="Z2040" s="13"/>
      <c r="AA2040" s="13"/>
      <c r="AB2040" s="13"/>
      <c r="AC2040" s="13"/>
      <c r="AD2040" s="13"/>
      <c r="AE2040" s="13">
        <f t="shared" si="219"/>
        <v>0.12</v>
      </c>
      <c r="AF2040" s="13"/>
      <c r="AG2040" s="13"/>
      <c r="AH2040" s="13"/>
      <c r="AI2040" s="13"/>
      <c r="AJ2040" s="13">
        <f t="shared" si="218"/>
        <v>0.12</v>
      </c>
      <c r="AK2040" s="12"/>
      <c r="AL2040" s="13"/>
      <c r="AM2040" s="9"/>
      <c r="AN2040" s="9"/>
      <c r="AO2040" s="9"/>
      <c r="AP2040" s="14"/>
    </row>
    <row r="2041" spans="1:42" s="45" customFormat="1" ht="22" customHeight="1">
      <c r="A2041" s="14" t="s">
        <v>17</v>
      </c>
      <c r="B2041" s="8">
        <v>2024</v>
      </c>
      <c r="C2041" s="8" t="s">
        <v>24</v>
      </c>
      <c r="D2041" s="9" t="s">
        <v>185</v>
      </c>
      <c r="E2041" s="9" t="s">
        <v>115</v>
      </c>
      <c r="F2041" s="9" t="s">
        <v>434</v>
      </c>
      <c r="G2041" s="8"/>
      <c r="H2041" s="8"/>
      <c r="I2041" s="9" t="s">
        <v>11</v>
      </c>
      <c r="J2041" s="9" t="s">
        <v>11</v>
      </c>
      <c r="K2041" s="9" t="s">
        <v>82</v>
      </c>
      <c r="L2041" s="9" t="s">
        <v>171</v>
      </c>
      <c r="M2041" s="9" t="s">
        <v>860</v>
      </c>
      <c r="N2041" s="9" t="s">
        <v>861</v>
      </c>
      <c r="O2041" s="9" t="s">
        <v>996</v>
      </c>
      <c r="P2041" s="9" t="s">
        <v>1003</v>
      </c>
      <c r="Q2041" s="11"/>
      <c r="R2041" s="11"/>
      <c r="S2041" s="11">
        <v>63</v>
      </c>
      <c r="T2041" s="9"/>
      <c r="U2041" s="14" t="s">
        <v>77</v>
      </c>
      <c r="V2041" s="9"/>
      <c r="W2041" s="12">
        <v>30</v>
      </c>
      <c r="X2041" s="13"/>
      <c r="Y2041" s="13"/>
      <c r="Z2041" s="13"/>
      <c r="AA2041" s="13"/>
      <c r="AB2041" s="13"/>
      <c r="AC2041" s="13"/>
      <c r="AD2041" s="13"/>
      <c r="AE2041" s="13">
        <f t="shared" si="219"/>
        <v>0.189</v>
      </c>
      <c r="AF2041" s="13"/>
      <c r="AG2041" s="13"/>
      <c r="AH2041" s="13"/>
      <c r="AI2041" s="13"/>
      <c r="AJ2041" s="13">
        <f t="shared" si="218"/>
        <v>0.189</v>
      </c>
      <c r="AK2041" s="12"/>
      <c r="AL2041" s="13"/>
      <c r="AM2041" s="9"/>
      <c r="AN2041" s="9"/>
      <c r="AO2041" s="9"/>
      <c r="AP2041" s="14"/>
    </row>
    <row r="2042" spans="1:42" s="45" customFormat="1" ht="22" customHeight="1">
      <c r="A2042" s="14" t="s">
        <v>17</v>
      </c>
      <c r="B2042" s="8">
        <v>2024</v>
      </c>
      <c r="C2042" s="8" t="s">
        <v>24</v>
      </c>
      <c r="D2042" s="9" t="s">
        <v>185</v>
      </c>
      <c r="E2042" s="9" t="s">
        <v>115</v>
      </c>
      <c r="F2042" s="9" t="s">
        <v>434</v>
      </c>
      <c r="G2042" s="8"/>
      <c r="H2042" s="8"/>
      <c r="I2042" s="9" t="s">
        <v>11</v>
      </c>
      <c r="J2042" s="9" t="s">
        <v>11</v>
      </c>
      <c r="K2042" s="9" t="s">
        <v>82</v>
      </c>
      <c r="L2042" s="9" t="s">
        <v>171</v>
      </c>
      <c r="M2042" s="9" t="s">
        <v>860</v>
      </c>
      <c r="N2042" s="9" t="s">
        <v>861</v>
      </c>
      <c r="O2042" s="9" t="s">
        <v>996</v>
      </c>
      <c r="P2042" s="9" t="s">
        <v>1004</v>
      </c>
      <c r="Q2042" s="11"/>
      <c r="R2042" s="11"/>
      <c r="S2042" s="11">
        <v>51</v>
      </c>
      <c r="T2042" s="9"/>
      <c r="U2042" s="14" t="s">
        <v>77</v>
      </c>
      <c r="V2042" s="9"/>
      <c r="W2042" s="12">
        <v>30</v>
      </c>
      <c r="X2042" s="13"/>
      <c r="Y2042" s="13"/>
      <c r="Z2042" s="13"/>
      <c r="AA2042" s="13"/>
      <c r="AB2042" s="13"/>
      <c r="AC2042" s="13"/>
      <c r="AD2042" s="13"/>
      <c r="AE2042" s="13">
        <f t="shared" si="219"/>
        <v>0.153</v>
      </c>
      <c r="AF2042" s="13"/>
      <c r="AG2042" s="13"/>
      <c r="AH2042" s="13"/>
      <c r="AI2042" s="13"/>
      <c r="AJ2042" s="13">
        <f t="shared" si="218"/>
        <v>0.153</v>
      </c>
      <c r="AK2042" s="12"/>
      <c r="AL2042" s="13"/>
      <c r="AM2042" s="9"/>
      <c r="AN2042" s="9"/>
      <c r="AO2042" s="9"/>
      <c r="AP2042" s="14"/>
    </row>
    <row r="2043" spans="1:42" s="45" customFormat="1" ht="22" customHeight="1">
      <c r="A2043" s="14" t="s">
        <v>17</v>
      </c>
      <c r="B2043" s="8">
        <v>2024</v>
      </c>
      <c r="C2043" s="8" t="s">
        <v>24</v>
      </c>
      <c r="D2043" s="9" t="s">
        <v>185</v>
      </c>
      <c r="E2043" s="9" t="s">
        <v>115</v>
      </c>
      <c r="F2043" s="9" t="s">
        <v>434</v>
      </c>
      <c r="G2043" s="8"/>
      <c r="H2043" s="8"/>
      <c r="I2043" s="9" t="s">
        <v>11</v>
      </c>
      <c r="J2043" s="9" t="s">
        <v>11</v>
      </c>
      <c r="K2043" s="9" t="s">
        <v>82</v>
      </c>
      <c r="L2043" s="9" t="s">
        <v>171</v>
      </c>
      <c r="M2043" s="9" t="s">
        <v>860</v>
      </c>
      <c r="N2043" s="9" t="s">
        <v>861</v>
      </c>
      <c r="O2043" s="9" t="s">
        <v>996</v>
      </c>
      <c r="P2043" s="9" t="s">
        <v>1005</v>
      </c>
      <c r="Q2043" s="11"/>
      <c r="R2043" s="11"/>
      <c r="S2043" s="11">
        <v>56</v>
      </c>
      <c r="T2043" s="9"/>
      <c r="U2043" s="14" t="s">
        <v>77</v>
      </c>
      <c r="V2043" s="9"/>
      <c r="W2043" s="12">
        <v>30</v>
      </c>
      <c r="X2043" s="13"/>
      <c r="Y2043" s="13"/>
      <c r="Z2043" s="13"/>
      <c r="AA2043" s="13"/>
      <c r="AB2043" s="13"/>
      <c r="AC2043" s="13"/>
      <c r="AD2043" s="13"/>
      <c r="AE2043" s="13">
        <f t="shared" si="219"/>
        <v>0.16800000000000001</v>
      </c>
      <c r="AF2043" s="13"/>
      <c r="AG2043" s="13"/>
      <c r="AH2043" s="13"/>
      <c r="AI2043" s="13"/>
      <c r="AJ2043" s="13">
        <f t="shared" si="218"/>
        <v>0.16800000000000001</v>
      </c>
      <c r="AK2043" s="12"/>
      <c r="AL2043" s="13"/>
      <c r="AM2043" s="9"/>
      <c r="AN2043" s="9"/>
      <c r="AO2043" s="9"/>
      <c r="AP2043" s="14"/>
    </row>
    <row r="2044" spans="1:42" s="45" customFormat="1" ht="22" customHeight="1">
      <c r="A2044" s="14" t="s">
        <v>17</v>
      </c>
      <c r="B2044" s="8">
        <v>2024</v>
      </c>
      <c r="C2044" s="8" t="s">
        <v>24</v>
      </c>
      <c r="D2044" s="9" t="s">
        <v>185</v>
      </c>
      <c r="E2044" s="9" t="s">
        <v>115</v>
      </c>
      <c r="F2044" s="9" t="s">
        <v>434</v>
      </c>
      <c r="G2044" s="8"/>
      <c r="H2044" s="8"/>
      <c r="I2044" s="9" t="s">
        <v>11</v>
      </c>
      <c r="J2044" s="9" t="s">
        <v>11</v>
      </c>
      <c r="K2044" s="9" t="s">
        <v>82</v>
      </c>
      <c r="L2044" s="9" t="s">
        <v>171</v>
      </c>
      <c r="M2044" s="9" t="s">
        <v>860</v>
      </c>
      <c r="N2044" s="9" t="s">
        <v>861</v>
      </c>
      <c r="O2044" s="9" t="s">
        <v>1006</v>
      </c>
      <c r="P2044" s="9" t="s">
        <v>1007</v>
      </c>
      <c r="Q2044" s="11"/>
      <c r="R2044" s="11"/>
      <c r="S2044" s="11">
        <v>21</v>
      </c>
      <c r="T2044" s="9"/>
      <c r="U2044" s="14" t="s">
        <v>77</v>
      </c>
      <c r="V2044" s="9"/>
      <c r="W2044" s="12">
        <v>30</v>
      </c>
      <c r="X2044" s="13"/>
      <c r="Y2044" s="13"/>
      <c r="Z2044" s="13"/>
      <c r="AA2044" s="13"/>
      <c r="AB2044" s="13"/>
      <c r="AC2044" s="13"/>
      <c r="AD2044" s="13"/>
      <c r="AE2044" s="13">
        <f t="shared" si="219"/>
        <v>6.3E-2</v>
      </c>
      <c r="AF2044" s="13"/>
      <c r="AG2044" s="13"/>
      <c r="AH2044" s="13"/>
      <c r="AI2044" s="13"/>
      <c r="AJ2044" s="13">
        <f t="shared" si="218"/>
        <v>6.3E-2</v>
      </c>
      <c r="AK2044" s="12"/>
      <c r="AL2044" s="13"/>
      <c r="AM2044" s="9"/>
      <c r="AN2044" s="9"/>
      <c r="AO2044" s="9"/>
      <c r="AP2044" s="14"/>
    </row>
    <row r="2045" spans="1:42" s="45" customFormat="1" ht="22" customHeight="1">
      <c r="A2045" s="14" t="s">
        <v>17</v>
      </c>
      <c r="B2045" s="8">
        <v>2024</v>
      </c>
      <c r="C2045" s="8" t="s">
        <v>24</v>
      </c>
      <c r="D2045" s="9" t="s">
        <v>185</v>
      </c>
      <c r="E2045" s="9" t="s">
        <v>115</v>
      </c>
      <c r="F2045" s="9" t="s">
        <v>434</v>
      </c>
      <c r="G2045" s="8"/>
      <c r="H2045" s="8"/>
      <c r="I2045" s="9" t="s">
        <v>11</v>
      </c>
      <c r="J2045" s="9" t="s">
        <v>11</v>
      </c>
      <c r="K2045" s="9" t="s">
        <v>82</v>
      </c>
      <c r="L2045" s="9" t="s">
        <v>171</v>
      </c>
      <c r="M2045" s="9" t="s">
        <v>860</v>
      </c>
      <c r="N2045" s="9" t="s">
        <v>861</v>
      </c>
      <c r="O2045" s="9" t="s">
        <v>1006</v>
      </c>
      <c r="P2045" s="9" t="s">
        <v>1008</v>
      </c>
      <c r="Q2045" s="11"/>
      <c r="R2045" s="11"/>
      <c r="S2045" s="11">
        <v>51</v>
      </c>
      <c r="T2045" s="9"/>
      <c r="U2045" s="14" t="s">
        <v>77</v>
      </c>
      <c r="V2045" s="9"/>
      <c r="W2045" s="12">
        <v>30</v>
      </c>
      <c r="X2045" s="13"/>
      <c r="Y2045" s="13"/>
      <c r="Z2045" s="13"/>
      <c r="AA2045" s="13"/>
      <c r="AB2045" s="13"/>
      <c r="AC2045" s="13"/>
      <c r="AD2045" s="13"/>
      <c r="AE2045" s="13">
        <f t="shared" si="219"/>
        <v>0.153</v>
      </c>
      <c r="AF2045" s="13"/>
      <c r="AG2045" s="13"/>
      <c r="AH2045" s="13"/>
      <c r="AI2045" s="13"/>
      <c r="AJ2045" s="13">
        <f t="shared" si="218"/>
        <v>0.153</v>
      </c>
      <c r="AK2045" s="12"/>
      <c r="AL2045" s="13"/>
      <c r="AM2045" s="9"/>
      <c r="AN2045" s="9"/>
      <c r="AO2045" s="9"/>
      <c r="AP2045" s="14"/>
    </row>
    <row r="2046" spans="1:42" s="45" customFormat="1" ht="22" customHeight="1">
      <c r="A2046" s="14" t="s">
        <v>17</v>
      </c>
      <c r="B2046" s="8">
        <v>2024</v>
      </c>
      <c r="C2046" s="8" t="s">
        <v>24</v>
      </c>
      <c r="D2046" s="9" t="s">
        <v>185</v>
      </c>
      <c r="E2046" s="9" t="s">
        <v>115</v>
      </c>
      <c r="F2046" s="9" t="s">
        <v>434</v>
      </c>
      <c r="G2046" s="8"/>
      <c r="H2046" s="8"/>
      <c r="I2046" s="9" t="s">
        <v>11</v>
      </c>
      <c r="J2046" s="9" t="s">
        <v>11</v>
      </c>
      <c r="K2046" s="9" t="s">
        <v>82</v>
      </c>
      <c r="L2046" s="9" t="s">
        <v>171</v>
      </c>
      <c r="M2046" s="9" t="s">
        <v>860</v>
      </c>
      <c r="N2046" s="9" t="s">
        <v>861</v>
      </c>
      <c r="O2046" s="9" t="s">
        <v>1006</v>
      </c>
      <c r="P2046" s="9" t="s">
        <v>1009</v>
      </c>
      <c r="Q2046" s="11"/>
      <c r="R2046" s="11"/>
      <c r="S2046" s="11">
        <v>59</v>
      </c>
      <c r="T2046" s="9"/>
      <c r="U2046" s="14" t="s">
        <v>77</v>
      </c>
      <c r="V2046" s="9"/>
      <c r="W2046" s="12">
        <v>30</v>
      </c>
      <c r="X2046" s="13"/>
      <c r="Y2046" s="13"/>
      <c r="Z2046" s="13"/>
      <c r="AA2046" s="13"/>
      <c r="AB2046" s="13"/>
      <c r="AC2046" s="13"/>
      <c r="AD2046" s="13"/>
      <c r="AE2046" s="13">
        <f t="shared" si="219"/>
        <v>0.17699999999999999</v>
      </c>
      <c r="AF2046" s="13"/>
      <c r="AG2046" s="13"/>
      <c r="AH2046" s="13"/>
      <c r="AI2046" s="13"/>
      <c r="AJ2046" s="13">
        <f t="shared" si="218"/>
        <v>0.17699999999999999</v>
      </c>
      <c r="AK2046" s="12"/>
      <c r="AL2046" s="13"/>
      <c r="AM2046" s="9"/>
      <c r="AN2046" s="9"/>
      <c r="AO2046" s="9"/>
      <c r="AP2046" s="14"/>
    </row>
    <row r="2047" spans="1:42" s="45" customFormat="1" ht="22" customHeight="1">
      <c r="A2047" s="14" t="s">
        <v>17</v>
      </c>
      <c r="B2047" s="8">
        <v>2024</v>
      </c>
      <c r="C2047" s="8" t="s">
        <v>24</v>
      </c>
      <c r="D2047" s="9" t="s">
        <v>185</v>
      </c>
      <c r="E2047" s="9" t="s">
        <v>115</v>
      </c>
      <c r="F2047" s="9" t="s">
        <v>434</v>
      </c>
      <c r="G2047" s="8"/>
      <c r="H2047" s="8"/>
      <c r="I2047" s="9" t="s">
        <v>11</v>
      </c>
      <c r="J2047" s="9" t="s">
        <v>11</v>
      </c>
      <c r="K2047" s="9" t="s">
        <v>82</v>
      </c>
      <c r="L2047" s="9" t="s">
        <v>171</v>
      </c>
      <c r="M2047" s="9" t="s">
        <v>860</v>
      </c>
      <c r="N2047" s="9" t="s">
        <v>861</v>
      </c>
      <c r="O2047" s="9" t="s">
        <v>1006</v>
      </c>
      <c r="P2047" s="9" t="s">
        <v>1010</v>
      </c>
      <c r="Q2047" s="11"/>
      <c r="R2047" s="11"/>
      <c r="S2047" s="11">
        <v>53</v>
      </c>
      <c r="T2047" s="9"/>
      <c r="U2047" s="14" t="s">
        <v>77</v>
      </c>
      <c r="V2047" s="9"/>
      <c r="W2047" s="12">
        <v>30</v>
      </c>
      <c r="X2047" s="13"/>
      <c r="Y2047" s="13"/>
      <c r="Z2047" s="13"/>
      <c r="AA2047" s="13"/>
      <c r="AB2047" s="13"/>
      <c r="AC2047" s="13"/>
      <c r="AD2047" s="13"/>
      <c r="AE2047" s="13">
        <f t="shared" si="219"/>
        <v>0.159</v>
      </c>
      <c r="AF2047" s="13"/>
      <c r="AG2047" s="13"/>
      <c r="AH2047" s="13"/>
      <c r="AI2047" s="13"/>
      <c r="AJ2047" s="13">
        <f t="shared" si="218"/>
        <v>0.159</v>
      </c>
      <c r="AK2047" s="12"/>
      <c r="AL2047" s="13"/>
      <c r="AM2047" s="9"/>
      <c r="AN2047" s="9"/>
      <c r="AO2047" s="9"/>
      <c r="AP2047" s="14"/>
    </row>
    <row r="2048" spans="1:42" s="45" customFormat="1" ht="22" customHeight="1">
      <c r="A2048" s="14" t="s">
        <v>17</v>
      </c>
      <c r="B2048" s="8">
        <v>2024</v>
      </c>
      <c r="C2048" s="8" t="s">
        <v>24</v>
      </c>
      <c r="D2048" s="9" t="s">
        <v>185</v>
      </c>
      <c r="E2048" s="9" t="s">
        <v>115</v>
      </c>
      <c r="F2048" s="9" t="s">
        <v>434</v>
      </c>
      <c r="G2048" s="8"/>
      <c r="H2048" s="8"/>
      <c r="I2048" s="9" t="s">
        <v>11</v>
      </c>
      <c r="J2048" s="9" t="s">
        <v>11</v>
      </c>
      <c r="K2048" s="9" t="s">
        <v>82</v>
      </c>
      <c r="L2048" s="9" t="s">
        <v>171</v>
      </c>
      <c r="M2048" s="9" t="s">
        <v>860</v>
      </c>
      <c r="N2048" s="9" t="s">
        <v>861</v>
      </c>
      <c r="O2048" s="9" t="s">
        <v>1006</v>
      </c>
      <c r="P2048" s="9" t="s">
        <v>1011</v>
      </c>
      <c r="Q2048" s="11"/>
      <c r="R2048" s="11"/>
      <c r="S2048" s="11">
        <v>49</v>
      </c>
      <c r="T2048" s="9"/>
      <c r="U2048" s="14" t="s">
        <v>77</v>
      </c>
      <c r="V2048" s="9"/>
      <c r="W2048" s="12">
        <v>30</v>
      </c>
      <c r="X2048" s="13"/>
      <c r="Y2048" s="13"/>
      <c r="Z2048" s="13"/>
      <c r="AA2048" s="13"/>
      <c r="AB2048" s="13"/>
      <c r="AC2048" s="13"/>
      <c r="AD2048" s="13"/>
      <c r="AE2048" s="13">
        <f t="shared" si="219"/>
        <v>0.14699999999999999</v>
      </c>
      <c r="AF2048" s="13"/>
      <c r="AG2048" s="13"/>
      <c r="AH2048" s="13"/>
      <c r="AI2048" s="13"/>
      <c r="AJ2048" s="13">
        <f t="shared" si="218"/>
        <v>0.14699999999999999</v>
      </c>
      <c r="AK2048" s="12"/>
      <c r="AL2048" s="13"/>
      <c r="AM2048" s="9"/>
      <c r="AN2048" s="9"/>
      <c r="AO2048" s="9"/>
      <c r="AP2048" s="14"/>
    </row>
    <row r="2049" spans="1:42" s="45" customFormat="1" ht="22" customHeight="1">
      <c r="A2049" s="14" t="s">
        <v>17</v>
      </c>
      <c r="B2049" s="8">
        <v>2024</v>
      </c>
      <c r="C2049" s="8" t="s">
        <v>24</v>
      </c>
      <c r="D2049" s="9" t="s">
        <v>185</v>
      </c>
      <c r="E2049" s="9" t="s">
        <v>115</v>
      </c>
      <c r="F2049" s="9" t="s">
        <v>434</v>
      </c>
      <c r="G2049" s="8"/>
      <c r="H2049" s="8"/>
      <c r="I2049" s="9" t="s">
        <v>11</v>
      </c>
      <c r="J2049" s="9" t="s">
        <v>11</v>
      </c>
      <c r="K2049" s="9" t="s">
        <v>82</v>
      </c>
      <c r="L2049" s="9" t="s">
        <v>171</v>
      </c>
      <c r="M2049" s="9" t="s">
        <v>860</v>
      </c>
      <c r="N2049" s="9" t="s">
        <v>861</v>
      </c>
      <c r="O2049" s="9" t="s">
        <v>1006</v>
      </c>
      <c r="P2049" s="9" t="s">
        <v>1012</v>
      </c>
      <c r="Q2049" s="11"/>
      <c r="R2049" s="11"/>
      <c r="S2049" s="11">
        <v>43</v>
      </c>
      <c r="T2049" s="9"/>
      <c r="U2049" s="14" t="s">
        <v>77</v>
      </c>
      <c r="V2049" s="9"/>
      <c r="W2049" s="12">
        <v>30</v>
      </c>
      <c r="X2049" s="13"/>
      <c r="Y2049" s="13"/>
      <c r="Z2049" s="13"/>
      <c r="AA2049" s="13"/>
      <c r="AB2049" s="13"/>
      <c r="AC2049" s="13"/>
      <c r="AD2049" s="13"/>
      <c r="AE2049" s="13">
        <f t="shared" si="219"/>
        <v>0.129</v>
      </c>
      <c r="AF2049" s="13"/>
      <c r="AG2049" s="13"/>
      <c r="AH2049" s="13"/>
      <c r="AI2049" s="13"/>
      <c r="AJ2049" s="13">
        <f t="shared" si="218"/>
        <v>0.129</v>
      </c>
      <c r="AK2049" s="12"/>
      <c r="AL2049" s="13"/>
      <c r="AM2049" s="9"/>
      <c r="AN2049" s="9"/>
      <c r="AO2049" s="9"/>
      <c r="AP2049" s="14"/>
    </row>
    <row r="2050" spans="1:42" s="45" customFormat="1" ht="22" customHeight="1">
      <c r="A2050" s="14" t="s">
        <v>17</v>
      </c>
      <c r="B2050" s="8">
        <v>2024</v>
      </c>
      <c r="C2050" s="8" t="s">
        <v>24</v>
      </c>
      <c r="D2050" s="9" t="s">
        <v>185</v>
      </c>
      <c r="E2050" s="9" t="s">
        <v>115</v>
      </c>
      <c r="F2050" s="9" t="s">
        <v>434</v>
      </c>
      <c r="G2050" s="8"/>
      <c r="H2050" s="8"/>
      <c r="I2050" s="9" t="s">
        <v>11</v>
      </c>
      <c r="J2050" s="9" t="s">
        <v>11</v>
      </c>
      <c r="K2050" s="9" t="s">
        <v>82</v>
      </c>
      <c r="L2050" s="9" t="s">
        <v>171</v>
      </c>
      <c r="M2050" s="9" t="s">
        <v>860</v>
      </c>
      <c r="N2050" s="9" t="s">
        <v>861</v>
      </c>
      <c r="O2050" s="9" t="s">
        <v>1006</v>
      </c>
      <c r="P2050" s="9" t="s">
        <v>1013</v>
      </c>
      <c r="Q2050" s="11"/>
      <c r="R2050" s="11"/>
      <c r="S2050" s="11">
        <v>33</v>
      </c>
      <c r="T2050" s="9"/>
      <c r="U2050" s="14" t="s">
        <v>77</v>
      </c>
      <c r="V2050" s="9"/>
      <c r="W2050" s="12">
        <v>30</v>
      </c>
      <c r="X2050" s="13"/>
      <c r="Y2050" s="13"/>
      <c r="Z2050" s="13"/>
      <c r="AA2050" s="13"/>
      <c r="AB2050" s="13"/>
      <c r="AC2050" s="13"/>
      <c r="AD2050" s="13"/>
      <c r="AE2050" s="13">
        <f t="shared" si="219"/>
        <v>9.9000000000000005E-2</v>
      </c>
      <c r="AF2050" s="13"/>
      <c r="AG2050" s="13"/>
      <c r="AH2050" s="13"/>
      <c r="AI2050" s="13"/>
      <c r="AJ2050" s="13">
        <f t="shared" si="218"/>
        <v>9.9000000000000005E-2</v>
      </c>
      <c r="AK2050" s="12"/>
      <c r="AL2050" s="13"/>
      <c r="AM2050" s="9"/>
      <c r="AN2050" s="9"/>
      <c r="AO2050" s="9"/>
      <c r="AP2050" s="14"/>
    </row>
    <row r="2051" spans="1:42" s="45" customFormat="1" ht="22" customHeight="1">
      <c r="A2051" s="14" t="s">
        <v>17</v>
      </c>
      <c r="B2051" s="8">
        <v>2024</v>
      </c>
      <c r="C2051" s="8" t="s">
        <v>24</v>
      </c>
      <c r="D2051" s="9" t="s">
        <v>185</v>
      </c>
      <c r="E2051" s="9" t="s">
        <v>115</v>
      </c>
      <c r="F2051" s="9" t="s">
        <v>434</v>
      </c>
      <c r="G2051" s="8"/>
      <c r="H2051" s="8"/>
      <c r="I2051" s="9" t="s">
        <v>11</v>
      </c>
      <c r="J2051" s="9" t="s">
        <v>11</v>
      </c>
      <c r="K2051" s="9" t="s">
        <v>82</v>
      </c>
      <c r="L2051" s="9" t="s">
        <v>171</v>
      </c>
      <c r="M2051" s="9" t="s">
        <v>860</v>
      </c>
      <c r="N2051" s="9" t="s">
        <v>861</v>
      </c>
      <c r="O2051" s="9" t="s">
        <v>1006</v>
      </c>
      <c r="P2051" s="9" t="s">
        <v>1006</v>
      </c>
      <c r="Q2051" s="11"/>
      <c r="R2051" s="11"/>
      <c r="S2051" s="11">
        <v>46</v>
      </c>
      <c r="T2051" s="9"/>
      <c r="U2051" s="14" t="s">
        <v>77</v>
      </c>
      <c r="V2051" s="9"/>
      <c r="W2051" s="12">
        <v>30</v>
      </c>
      <c r="X2051" s="13"/>
      <c r="Y2051" s="13"/>
      <c r="Z2051" s="13"/>
      <c r="AA2051" s="13"/>
      <c r="AB2051" s="13"/>
      <c r="AC2051" s="13"/>
      <c r="AD2051" s="13"/>
      <c r="AE2051" s="13">
        <f t="shared" si="219"/>
        <v>0.13800000000000001</v>
      </c>
      <c r="AF2051" s="13"/>
      <c r="AG2051" s="13"/>
      <c r="AH2051" s="13"/>
      <c r="AI2051" s="13"/>
      <c r="AJ2051" s="13">
        <f t="shared" si="218"/>
        <v>0.13800000000000001</v>
      </c>
      <c r="AK2051" s="12"/>
      <c r="AL2051" s="13"/>
      <c r="AM2051" s="9"/>
      <c r="AN2051" s="9"/>
      <c r="AO2051" s="9"/>
      <c r="AP2051" s="14"/>
    </row>
    <row r="2052" spans="1:42" s="45" customFormat="1" ht="22" customHeight="1">
      <c r="A2052" s="14" t="s">
        <v>17</v>
      </c>
      <c r="B2052" s="8">
        <v>2024</v>
      </c>
      <c r="C2052" s="8" t="s">
        <v>24</v>
      </c>
      <c r="D2052" s="9" t="s">
        <v>185</v>
      </c>
      <c r="E2052" s="9" t="s">
        <v>115</v>
      </c>
      <c r="F2052" s="9" t="s">
        <v>434</v>
      </c>
      <c r="G2052" s="8"/>
      <c r="H2052" s="8"/>
      <c r="I2052" s="9" t="s">
        <v>11</v>
      </c>
      <c r="J2052" s="9" t="s">
        <v>11</v>
      </c>
      <c r="K2052" s="9" t="s">
        <v>82</v>
      </c>
      <c r="L2052" s="9" t="s">
        <v>171</v>
      </c>
      <c r="M2052" s="9" t="s">
        <v>860</v>
      </c>
      <c r="N2052" s="9" t="s">
        <v>861</v>
      </c>
      <c r="O2052" s="9" t="s">
        <v>1006</v>
      </c>
      <c r="P2052" s="9" t="s">
        <v>1014</v>
      </c>
      <c r="Q2052" s="11"/>
      <c r="R2052" s="11"/>
      <c r="S2052" s="11">
        <v>43</v>
      </c>
      <c r="T2052" s="9"/>
      <c r="U2052" s="14" t="s">
        <v>77</v>
      </c>
      <c r="V2052" s="9"/>
      <c r="W2052" s="12">
        <v>30</v>
      </c>
      <c r="X2052" s="13"/>
      <c r="Y2052" s="13"/>
      <c r="Z2052" s="13"/>
      <c r="AA2052" s="13"/>
      <c r="AB2052" s="13"/>
      <c r="AC2052" s="13"/>
      <c r="AD2052" s="13"/>
      <c r="AE2052" s="13">
        <f t="shared" si="219"/>
        <v>0.129</v>
      </c>
      <c r="AF2052" s="13"/>
      <c r="AG2052" s="13"/>
      <c r="AH2052" s="13"/>
      <c r="AI2052" s="13"/>
      <c r="AJ2052" s="13">
        <f t="shared" si="218"/>
        <v>0.129</v>
      </c>
      <c r="AK2052" s="12"/>
      <c r="AL2052" s="13"/>
      <c r="AM2052" s="9"/>
      <c r="AN2052" s="9"/>
      <c r="AO2052" s="9"/>
      <c r="AP2052" s="14"/>
    </row>
    <row r="2053" spans="1:42" s="45" customFormat="1" ht="22" customHeight="1">
      <c r="A2053" s="14" t="s">
        <v>17</v>
      </c>
      <c r="B2053" s="8">
        <v>2024</v>
      </c>
      <c r="C2053" s="8" t="s">
        <v>24</v>
      </c>
      <c r="D2053" s="9" t="s">
        <v>185</v>
      </c>
      <c r="E2053" s="9" t="s">
        <v>115</v>
      </c>
      <c r="F2053" s="9" t="s">
        <v>434</v>
      </c>
      <c r="G2053" s="8"/>
      <c r="H2053" s="8"/>
      <c r="I2053" s="9" t="s">
        <v>11</v>
      </c>
      <c r="J2053" s="9" t="s">
        <v>11</v>
      </c>
      <c r="K2053" s="9" t="s">
        <v>82</v>
      </c>
      <c r="L2053" s="9" t="s">
        <v>171</v>
      </c>
      <c r="M2053" s="9" t="s">
        <v>860</v>
      </c>
      <c r="N2053" s="9" t="s">
        <v>861</v>
      </c>
      <c r="O2053" s="9" t="s">
        <v>1015</v>
      </c>
      <c r="P2053" s="9" t="s">
        <v>1016</v>
      </c>
      <c r="Q2053" s="11"/>
      <c r="R2053" s="11"/>
      <c r="S2053" s="11">
        <v>81</v>
      </c>
      <c r="T2053" s="9"/>
      <c r="U2053" s="14" t="s">
        <v>77</v>
      </c>
      <c r="V2053" s="9"/>
      <c r="W2053" s="12">
        <v>30</v>
      </c>
      <c r="X2053" s="13"/>
      <c r="Y2053" s="13"/>
      <c r="Z2053" s="13"/>
      <c r="AA2053" s="13"/>
      <c r="AB2053" s="13"/>
      <c r="AC2053" s="13"/>
      <c r="AD2053" s="13"/>
      <c r="AE2053" s="13">
        <f t="shared" si="219"/>
        <v>0.24299999999999999</v>
      </c>
      <c r="AF2053" s="13"/>
      <c r="AG2053" s="13"/>
      <c r="AH2053" s="13"/>
      <c r="AI2053" s="13"/>
      <c r="AJ2053" s="13">
        <f t="shared" si="218"/>
        <v>0.24299999999999999</v>
      </c>
      <c r="AK2053" s="12"/>
      <c r="AL2053" s="13"/>
      <c r="AM2053" s="9"/>
      <c r="AN2053" s="9"/>
      <c r="AO2053" s="9"/>
      <c r="AP2053" s="14"/>
    </row>
    <row r="2054" spans="1:42" s="45" customFormat="1" ht="22" customHeight="1">
      <c r="A2054" s="14" t="s">
        <v>17</v>
      </c>
      <c r="B2054" s="8">
        <v>2024</v>
      </c>
      <c r="C2054" s="8" t="s">
        <v>24</v>
      </c>
      <c r="D2054" s="9" t="s">
        <v>185</v>
      </c>
      <c r="E2054" s="9" t="s">
        <v>115</v>
      </c>
      <c r="F2054" s="9" t="s">
        <v>434</v>
      </c>
      <c r="G2054" s="8"/>
      <c r="H2054" s="8"/>
      <c r="I2054" s="9" t="s">
        <v>11</v>
      </c>
      <c r="J2054" s="9" t="s">
        <v>11</v>
      </c>
      <c r="K2054" s="9" t="s">
        <v>82</v>
      </c>
      <c r="L2054" s="9" t="s">
        <v>171</v>
      </c>
      <c r="M2054" s="9" t="s">
        <v>860</v>
      </c>
      <c r="N2054" s="9" t="s">
        <v>861</v>
      </c>
      <c r="O2054" s="9" t="s">
        <v>1015</v>
      </c>
      <c r="P2054" s="9" t="s">
        <v>1017</v>
      </c>
      <c r="Q2054" s="11"/>
      <c r="R2054" s="11"/>
      <c r="S2054" s="11">
        <v>60</v>
      </c>
      <c r="T2054" s="9"/>
      <c r="U2054" s="14" t="s">
        <v>77</v>
      </c>
      <c r="V2054" s="9"/>
      <c r="W2054" s="12">
        <v>30</v>
      </c>
      <c r="X2054" s="13"/>
      <c r="Y2054" s="13"/>
      <c r="Z2054" s="13"/>
      <c r="AA2054" s="13"/>
      <c r="AB2054" s="13"/>
      <c r="AC2054" s="13"/>
      <c r="AD2054" s="13"/>
      <c r="AE2054" s="13">
        <f t="shared" si="219"/>
        <v>0.18</v>
      </c>
      <c r="AF2054" s="13"/>
      <c r="AG2054" s="13"/>
      <c r="AH2054" s="13"/>
      <c r="AI2054" s="13"/>
      <c r="AJ2054" s="13">
        <f t="shared" si="218"/>
        <v>0.18</v>
      </c>
      <c r="AK2054" s="12"/>
      <c r="AL2054" s="13"/>
      <c r="AM2054" s="9"/>
      <c r="AN2054" s="9"/>
      <c r="AO2054" s="9"/>
      <c r="AP2054" s="14"/>
    </row>
    <row r="2055" spans="1:42" s="45" customFormat="1" ht="22" customHeight="1">
      <c r="A2055" s="14" t="s">
        <v>17</v>
      </c>
      <c r="B2055" s="8">
        <v>2024</v>
      </c>
      <c r="C2055" s="8" t="s">
        <v>24</v>
      </c>
      <c r="D2055" s="9" t="s">
        <v>185</v>
      </c>
      <c r="E2055" s="9" t="s">
        <v>115</v>
      </c>
      <c r="F2055" s="9" t="s">
        <v>434</v>
      </c>
      <c r="G2055" s="8"/>
      <c r="H2055" s="8"/>
      <c r="I2055" s="9" t="s">
        <v>11</v>
      </c>
      <c r="J2055" s="9" t="s">
        <v>11</v>
      </c>
      <c r="K2055" s="9" t="s">
        <v>82</v>
      </c>
      <c r="L2055" s="9" t="s">
        <v>171</v>
      </c>
      <c r="M2055" s="9" t="s">
        <v>860</v>
      </c>
      <c r="N2055" s="9" t="s">
        <v>861</v>
      </c>
      <c r="O2055" s="9" t="s">
        <v>1015</v>
      </c>
      <c r="P2055" s="9" t="s">
        <v>1018</v>
      </c>
      <c r="Q2055" s="11"/>
      <c r="R2055" s="11"/>
      <c r="S2055" s="11">
        <v>71</v>
      </c>
      <c r="T2055" s="9"/>
      <c r="U2055" s="14" t="s">
        <v>77</v>
      </c>
      <c r="V2055" s="9"/>
      <c r="W2055" s="12">
        <v>30</v>
      </c>
      <c r="X2055" s="13"/>
      <c r="Y2055" s="13"/>
      <c r="Z2055" s="13"/>
      <c r="AA2055" s="13"/>
      <c r="AB2055" s="13"/>
      <c r="AC2055" s="13"/>
      <c r="AD2055" s="13"/>
      <c r="AE2055" s="13">
        <f t="shared" si="219"/>
        <v>0.21299999999999999</v>
      </c>
      <c r="AF2055" s="13"/>
      <c r="AG2055" s="13"/>
      <c r="AH2055" s="13"/>
      <c r="AI2055" s="13"/>
      <c r="AJ2055" s="13">
        <f t="shared" si="218"/>
        <v>0.21299999999999999</v>
      </c>
      <c r="AK2055" s="12"/>
      <c r="AL2055" s="13"/>
      <c r="AM2055" s="9"/>
      <c r="AN2055" s="9"/>
      <c r="AO2055" s="9"/>
      <c r="AP2055" s="14"/>
    </row>
    <row r="2056" spans="1:42" s="45" customFormat="1" ht="22" customHeight="1">
      <c r="A2056" s="14" t="s">
        <v>17</v>
      </c>
      <c r="B2056" s="8">
        <v>2024</v>
      </c>
      <c r="C2056" s="8" t="s">
        <v>24</v>
      </c>
      <c r="D2056" s="9" t="s">
        <v>185</v>
      </c>
      <c r="E2056" s="9" t="s">
        <v>115</v>
      </c>
      <c r="F2056" s="9" t="s">
        <v>434</v>
      </c>
      <c r="G2056" s="8"/>
      <c r="H2056" s="8"/>
      <c r="I2056" s="9" t="s">
        <v>11</v>
      </c>
      <c r="J2056" s="9" t="s">
        <v>11</v>
      </c>
      <c r="K2056" s="9" t="s">
        <v>82</v>
      </c>
      <c r="L2056" s="9" t="s">
        <v>171</v>
      </c>
      <c r="M2056" s="9" t="s">
        <v>860</v>
      </c>
      <c r="N2056" s="9" t="s">
        <v>861</v>
      </c>
      <c r="O2056" s="9" t="s">
        <v>1015</v>
      </c>
      <c r="P2056" s="9" t="s">
        <v>1019</v>
      </c>
      <c r="Q2056" s="11"/>
      <c r="R2056" s="11"/>
      <c r="S2056" s="11">
        <v>65</v>
      </c>
      <c r="T2056" s="9"/>
      <c r="U2056" s="14" t="s">
        <v>77</v>
      </c>
      <c r="V2056" s="9"/>
      <c r="W2056" s="12">
        <v>30</v>
      </c>
      <c r="X2056" s="13"/>
      <c r="Y2056" s="13"/>
      <c r="Z2056" s="13"/>
      <c r="AA2056" s="13"/>
      <c r="AB2056" s="13"/>
      <c r="AC2056" s="13"/>
      <c r="AD2056" s="13"/>
      <c r="AE2056" s="13">
        <f t="shared" si="219"/>
        <v>0.19500000000000001</v>
      </c>
      <c r="AF2056" s="13"/>
      <c r="AG2056" s="13"/>
      <c r="AH2056" s="13"/>
      <c r="AI2056" s="13"/>
      <c r="AJ2056" s="13">
        <f t="shared" si="218"/>
        <v>0.19500000000000001</v>
      </c>
      <c r="AK2056" s="12"/>
      <c r="AL2056" s="13"/>
      <c r="AM2056" s="9"/>
      <c r="AN2056" s="9"/>
      <c r="AO2056" s="9"/>
      <c r="AP2056" s="14"/>
    </row>
    <row r="2057" spans="1:42" s="45" customFormat="1" ht="22" customHeight="1">
      <c r="A2057" s="14" t="s">
        <v>17</v>
      </c>
      <c r="B2057" s="8">
        <v>2024</v>
      </c>
      <c r="C2057" s="8" t="s">
        <v>24</v>
      </c>
      <c r="D2057" s="9" t="s">
        <v>185</v>
      </c>
      <c r="E2057" s="9" t="s">
        <v>115</v>
      </c>
      <c r="F2057" s="9" t="s">
        <v>434</v>
      </c>
      <c r="G2057" s="8"/>
      <c r="H2057" s="8"/>
      <c r="I2057" s="9" t="s">
        <v>11</v>
      </c>
      <c r="J2057" s="9" t="s">
        <v>11</v>
      </c>
      <c r="K2057" s="9" t="s">
        <v>82</v>
      </c>
      <c r="L2057" s="9" t="s">
        <v>171</v>
      </c>
      <c r="M2057" s="9" t="s">
        <v>860</v>
      </c>
      <c r="N2057" s="9" t="s">
        <v>861</v>
      </c>
      <c r="O2057" s="9" t="s">
        <v>1015</v>
      </c>
      <c r="P2057" s="9" t="s">
        <v>1020</v>
      </c>
      <c r="Q2057" s="11"/>
      <c r="R2057" s="11"/>
      <c r="S2057" s="11">
        <v>57</v>
      </c>
      <c r="T2057" s="9"/>
      <c r="U2057" s="14" t="s">
        <v>77</v>
      </c>
      <c r="V2057" s="9"/>
      <c r="W2057" s="12">
        <v>30</v>
      </c>
      <c r="X2057" s="13"/>
      <c r="Y2057" s="13"/>
      <c r="Z2057" s="13"/>
      <c r="AA2057" s="13"/>
      <c r="AB2057" s="13"/>
      <c r="AC2057" s="13"/>
      <c r="AD2057" s="13"/>
      <c r="AE2057" s="13">
        <f t="shared" si="219"/>
        <v>0.17100000000000001</v>
      </c>
      <c r="AF2057" s="13"/>
      <c r="AG2057" s="13"/>
      <c r="AH2057" s="13"/>
      <c r="AI2057" s="13"/>
      <c r="AJ2057" s="13">
        <f t="shared" si="218"/>
        <v>0.17100000000000001</v>
      </c>
      <c r="AK2057" s="12"/>
      <c r="AL2057" s="13"/>
      <c r="AM2057" s="9"/>
      <c r="AN2057" s="9"/>
      <c r="AO2057" s="9"/>
      <c r="AP2057" s="14"/>
    </row>
    <row r="2058" spans="1:42" s="45" customFormat="1" ht="22" customHeight="1">
      <c r="A2058" s="14" t="s">
        <v>17</v>
      </c>
      <c r="B2058" s="8">
        <v>2024</v>
      </c>
      <c r="C2058" s="8" t="s">
        <v>24</v>
      </c>
      <c r="D2058" s="9" t="s">
        <v>185</v>
      </c>
      <c r="E2058" s="9" t="s">
        <v>115</v>
      </c>
      <c r="F2058" s="9" t="s">
        <v>434</v>
      </c>
      <c r="G2058" s="8"/>
      <c r="H2058" s="8"/>
      <c r="I2058" s="9" t="s">
        <v>11</v>
      </c>
      <c r="J2058" s="9" t="s">
        <v>11</v>
      </c>
      <c r="K2058" s="9" t="s">
        <v>82</v>
      </c>
      <c r="L2058" s="9" t="s">
        <v>171</v>
      </c>
      <c r="M2058" s="9" t="s">
        <v>860</v>
      </c>
      <c r="N2058" s="9" t="s">
        <v>861</v>
      </c>
      <c r="O2058" s="9" t="s">
        <v>1015</v>
      </c>
      <c r="P2058" s="9" t="s">
        <v>1021</v>
      </c>
      <c r="Q2058" s="11"/>
      <c r="R2058" s="11"/>
      <c r="S2058" s="11">
        <v>83</v>
      </c>
      <c r="T2058" s="9"/>
      <c r="U2058" s="14" t="s">
        <v>77</v>
      </c>
      <c r="V2058" s="9"/>
      <c r="W2058" s="12">
        <v>30</v>
      </c>
      <c r="X2058" s="13"/>
      <c r="Y2058" s="13"/>
      <c r="Z2058" s="13"/>
      <c r="AA2058" s="13"/>
      <c r="AB2058" s="13"/>
      <c r="AC2058" s="13"/>
      <c r="AD2058" s="13"/>
      <c r="AE2058" s="13">
        <f t="shared" si="219"/>
        <v>0.249</v>
      </c>
      <c r="AF2058" s="13"/>
      <c r="AG2058" s="13"/>
      <c r="AH2058" s="13"/>
      <c r="AI2058" s="13"/>
      <c r="AJ2058" s="13">
        <f t="shared" si="218"/>
        <v>0.249</v>
      </c>
      <c r="AK2058" s="12"/>
      <c r="AL2058" s="13"/>
      <c r="AM2058" s="9"/>
      <c r="AN2058" s="9"/>
      <c r="AO2058" s="9"/>
      <c r="AP2058" s="14"/>
    </row>
    <row r="2059" spans="1:42" s="45" customFormat="1" ht="22" customHeight="1">
      <c r="A2059" s="14" t="s">
        <v>17</v>
      </c>
      <c r="B2059" s="8">
        <v>2024</v>
      </c>
      <c r="C2059" s="8" t="s">
        <v>24</v>
      </c>
      <c r="D2059" s="9" t="s">
        <v>185</v>
      </c>
      <c r="E2059" s="9" t="s">
        <v>115</v>
      </c>
      <c r="F2059" s="9" t="s">
        <v>434</v>
      </c>
      <c r="G2059" s="8"/>
      <c r="H2059" s="8"/>
      <c r="I2059" s="9" t="s">
        <v>11</v>
      </c>
      <c r="J2059" s="9" t="s">
        <v>11</v>
      </c>
      <c r="K2059" s="9" t="s">
        <v>82</v>
      </c>
      <c r="L2059" s="9" t="s">
        <v>171</v>
      </c>
      <c r="M2059" s="9" t="s">
        <v>860</v>
      </c>
      <c r="N2059" s="9" t="s">
        <v>861</v>
      </c>
      <c r="O2059" s="9" t="s">
        <v>1022</v>
      </c>
      <c r="P2059" s="9" t="s">
        <v>1023</v>
      </c>
      <c r="Q2059" s="11"/>
      <c r="R2059" s="11"/>
      <c r="S2059" s="11">
        <v>42</v>
      </c>
      <c r="T2059" s="9"/>
      <c r="U2059" s="14" t="s">
        <v>77</v>
      </c>
      <c r="V2059" s="9"/>
      <c r="W2059" s="12">
        <v>30</v>
      </c>
      <c r="X2059" s="13"/>
      <c r="Y2059" s="13"/>
      <c r="Z2059" s="13"/>
      <c r="AA2059" s="13"/>
      <c r="AB2059" s="13"/>
      <c r="AC2059" s="13"/>
      <c r="AD2059" s="13"/>
      <c r="AE2059" s="13">
        <f t="shared" si="219"/>
        <v>0.126</v>
      </c>
      <c r="AF2059" s="13"/>
      <c r="AG2059" s="13"/>
      <c r="AH2059" s="13"/>
      <c r="AI2059" s="13"/>
      <c r="AJ2059" s="13">
        <f t="shared" si="218"/>
        <v>0.126</v>
      </c>
      <c r="AK2059" s="12"/>
      <c r="AL2059" s="13"/>
      <c r="AM2059" s="9"/>
      <c r="AN2059" s="9"/>
      <c r="AO2059" s="9"/>
      <c r="AP2059" s="14"/>
    </row>
    <row r="2060" spans="1:42" s="45" customFormat="1" ht="22" customHeight="1">
      <c r="A2060" s="14" t="s">
        <v>17</v>
      </c>
      <c r="B2060" s="8">
        <v>2024</v>
      </c>
      <c r="C2060" s="8" t="s">
        <v>24</v>
      </c>
      <c r="D2060" s="9" t="s">
        <v>185</v>
      </c>
      <c r="E2060" s="9" t="s">
        <v>115</v>
      </c>
      <c r="F2060" s="9" t="s">
        <v>434</v>
      </c>
      <c r="G2060" s="8"/>
      <c r="H2060" s="8"/>
      <c r="I2060" s="9" t="s">
        <v>11</v>
      </c>
      <c r="J2060" s="9" t="s">
        <v>11</v>
      </c>
      <c r="K2060" s="9" t="s">
        <v>82</v>
      </c>
      <c r="L2060" s="9" t="s">
        <v>171</v>
      </c>
      <c r="M2060" s="9" t="s">
        <v>860</v>
      </c>
      <c r="N2060" s="9" t="s">
        <v>861</v>
      </c>
      <c r="O2060" s="9" t="s">
        <v>1022</v>
      </c>
      <c r="P2060" s="9" t="s">
        <v>1024</v>
      </c>
      <c r="Q2060" s="11"/>
      <c r="R2060" s="11"/>
      <c r="S2060" s="11">
        <v>78</v>
      </c>
      <c r="T2060" s="9"/>
      <c r="U2060" s="14" t="s">
        <v>77</v>
      </c>
      <c r="V2060" s="9"/>
      <c r="W2060" s="12">
        <v>30</v>
      </c>
      <c r="X2060" s="13"/>
      <c r="Y2060" s="13"/>
      <c r="Z2060" s="13"/>
      <c r="AA2060" s="13"/>
      <c r="AB2060" s="13"/>
      <c r="AC2060" s="13"/>
      <c r="AD2060" s="13"/>
      <c r="AE2060" s="13">
        <f t="shared" si="219"/>
        <v>0.23400000000000001</v>
      </c>
      <c r="AF2060" s="13"/>
      <c r="AG2060" s="13"/>
      <c r="AH2060" s="13"/>
      <c r="AI2060" s="13"/>
      <c r="AJ2060" s="13">
        <f t="shared" si="218"/>
        <v>0.23400000000000001</v>
      </c>
      <c r="AK2060" s="12"/>
      <c r="AL2060" s="13"/>
      <c r="AM2060" s="9"/>
      <c r="AN2060" s="9"/>
      <c r="AO2060" s="9"/>
      <c r="AP2060" s="14"/>
    </row>
    <row r="2061" spans="1:42" s="45" customFormat="1" ht="22" customHeight="1">
      <c r="A2061" s="14" t="s">
        <v>17</v>
      </c>
      <c r="B2061" s="8">
        <v>2024</v>
      </c>
      <c r="C2061" s="8" t="s">
        <v>24</v>
      </c>
      <c r="D2061" s="9" t="s">
        <v>185</v>
      </c>
      <c r="E2061" s="9" t="s">
        <v>115</v>
      </c>
      <c r="F2061" s="9" t="s">
        <v>434</v>
      </c>
      <c r="G2061" s="8"/>
      <c r="H2061" s="8"/>
      <c r="I2061" s="9" t="s">
        <v>11</v>
      </c>
      <c r="J2061" s="9" t="s">
        <v>11</v>
      </c>
      <c r="K2061" s="9" t="s">
        <v>82</v>
      </c>
      <c r="L2061" s="9" t="s">
        <v>171</v>
      </c>
      <c r="M2061" s="9" t="s">
        <v>860</v>
      </c>
      <c r="N2061" s="9" t="s">
        <v>861</v>
      </c>
      <c r="O2061" s="9" t="s">
        <v>1022</v>
      </c>
      <c r="P2061" s="9" t="s">
        <v>1025</v>
      </c>
      <c r="Q2061" s="11"/>
      <c r="R2061" s="11"/>
      <c r="S2061" s="11">
        <v>68</v>
      </c>
      <c r="T2061" s="9"/>
      <c r="U2061" s="14" t="s">
        <v>77</v>
      </c>
      <c r="V2061" s="9"/>
      <c r="W2061" s="12">
        <v>30</v>
      </c>
      <c r="X2061" s="13"/>
      <c r="Y2061" s="13"/>
      <c r="Z2061" s="13"/>
      <c r="AA2061" s="13"/>
      <c r="AB2061" s="13"/>
      <c r="AC2061" s="13"/>
      <c r="AD2061" s="13"/>
      <c r="AE2061" s="13">
        <f t="shared" si="219"/>
        <v>0.20399999999999999</v>
      </c>
      <c r="AF2061" s="13"/>
      <c r="AG2061" s="13"/>
      <c r="AH2061" s="13"/>
      <c r="AI2061" s="13"/>
      <c r="AJ2061" s="13">
        <f t="shared" si="218"/>
        <v>0.20399999999999999</v>
      </c>
      <c r="AK2061" s="12"/>
      <c r="AL2061" s="13"/>
      <c r="AM2061" s="9"/>
      <c r="AN2061" s="9"/>
      <c r="AO2061" s="9"/>
      <c r="AP2061" s="14"/>
    </row>
    <row r="2062" spans="1:42" s="45" customFormat="1" ht="22" customHeight="1">
      <c r="A2062" s="14" t="s">
        <v>17</v>
      </c>
      <c r="B2062" s="8">
        <v>2024</v>
      </c>
      <c r="C2062" s="8" t="s">
        <v>24</v>
      </c>
      <c r="D2062" s="9" t="s">
        <v>185</v>
      </c>
      <c r="E2062" s="9" t="s">
        <v>115</v>
      </c>
      <c r="F2062" s="9" t="s">
        <v>434</v>
      </c>
      <c r="G2062" s="8"/>
      <c r="H2062" s="8"/>
      <c r="I2062" s="9" t="s">
        <v>11</v>
      </c>
      <c r="J2062" s="9" t="s">
        <v>11</v>
      </c>
      <c r="K2062" s="9" t="s">
        <v>82</v>
      </c>
      <c r="L2062" s="9" t="s">
        <v>171</v>
      </c>
      <c r="M2062" s="9" t="s">
        <v>860</v>
      </c>
      <c r="N2062" s="9" t="s">
        <v>861</v>
      </c>
      <c r="O2062" s="9" t="s">
        <v>1022</v>
      </c>
      <c r="P2062" s="9" t="s">
        <v>1026</v>
      </c>
      <c r="Q2062" s="11"/>
      <c r="R2062" s="11"/>
      <c r="S2062" s="11">
        <v>58</v>
      </c>
      <c r="T2062" s="9"/>
      <c r="U2062" s="14" t="s">
        <v>77</v>
      </c>
      <c r="V2062" s="9"/>
      <c r="W2062" s="12">
        <v>30</v>
      </c>
      <c r="X2062" s="13"/>
      <c r="Y2062" s="13"/>
      <c r="Z2062" s="13"/>
      <c r="AA2062" s="13"/>
      <c r="AB2062" s="13"/>
      <c r="AC2062" s="13"/>
      <c r="AD2062" s="13"/>
      <c r="AE2062" s="13">
        <f t="shared" si="219"/>
        <v>0.17399999999999999</v>
      </c>
      <c r="AF2062" s="13"/>
      <c r="AG2062" s="13"/>
      <c r="AH2062" s="13"/>
      <c r="AI2062" s="13"/>
      <c r="AJ2062" s="13">
        <f t="shared" si="218"/>
        <v>0.17399999999999999</v>
      </c>
      <c r="AK2062" s="12"/>
      <c r="AL2062" s="13"/>
      <c r="AM2062" s="9"/>
      <c r="AN2062" s="9"/>
      <c r="AO2062" s="9"/>
      <c r="AP2062" s="14"/>
    </row>
    <row r="2063" spans="1:42" s="45" customFormat="1" ht="22" customHeight="1">
      <c r="A2063" s="14" t="s">
        <v>17</v>
      </c>
      <c r="B2063" s="8">
        <v>2024</v>
      </c>
      <c r="C2063" s="8" t="s">
        <v>24</v>
      </c>
      <c r="D2063" s="9" t="s">
        <v>185</v>
      </c>
      <c r="E2063" s="9" t="s">
        <v>115</v>
      </c>
      <c r="F2063" s="9" t="s">
        <v>434</v>
      </c>
      <c r="G2063" s="8"/>
      <c r="H2063" s="8"/>
      <c r="I2063" s="9" t="s">
        <v>11</v>
      </c>
      <c r="J2063" s="9" t="s">
        <v>11</v>
      </c>
      <c r="K2063" s="9" t="s">
        <v>82</v>
      </c>
      <c r="L2063" s="9" t="s">
        <v>171</v>
      </c>
      <c r="M2063" s="9" t="s">
        <v>860</v>
      </c>
      <c r="N2063" s="9" t="s">
        <v>861</v>
      </c>
      <c r="O2063" s="9" t="s">
        <v>1022</v>
      </c>
      <c r="P2063" s="9" t="s">
        <v>1027</v>
      </c>
      <c r="Q2063" s="11"/>
      <c r="R2063" s="11"/>
      <c r="S2063" s="11">
        <v>64</v>
      </c>
      <c r="T2063" s="9"/>
      <c r="U2063" s="14" t="s">
        <v>77</v>
      </c>
      <c r="V2063" s="9"/>
      <c r="W2063" s="12">
        <v>30</v>
      </c>
      <c r="X2063" s="13"/>
      <c r="Y2063" s="13"/>
      <c r="Z2063" s="13"/>
      <c r="AA2063" s="13"/>
      <c r="AB2063" s="13"/>
      <c r="AC2063" s="13"/>
      <c r="AD2063" s="13"/>
      <c r="AE2063" s="13">
        <f t="shared" si="219"/>
        <v>0.192</v>
      </c>
      <c r="AF2063" s="13"/>
      <c r="AG2063" s="13"/>
      <c r="AH2063" s="13"/>
      <c r="AI2063" s="13"/>
      <c r="AJ2063" s="13">
        <f t="shared" si="218"/>
        <v>0.192</v>
      </c>
      <c r="AK2063" s="12"/>
      <c r="AL2063" s="13"/>
      <c r="AM2063" s="9"/>
      <c r="AN2063" s="9"/>
      <c r="AO2063" s="9"/>
      <c r="AP2063" s="14"/>
    </row>
    <row r="2064" spans="1:42" s="45" customFormat="1" ht="22" customHeight="1">
      <c r="A2064" s="14" t="s">
        <v>17</v>
      </c>
      <c r="B2064" s="8">
        <v>2024</v>
      </c>
      <c r="C2064" s="8" t="s">
        <v>24</v>
      </c>
      <c r="D2064" s="9" t="s">
        <v>185</v>
      </c>
      <c r="E2064" s="9" t="s">
        <v>115</v>
      </c>
      <c r="F2064" s="9" t="s">
        <v>434</v>
      </c>
      <c r="G2064" s="8"/>
      <c r="H2064" s="8"/>
      <c r="I2064" s="9" t="s">
        <v>11</v>
      </c>
      <c r="J2064" s="9" t="s">
        <v>11</v>
      </c>
      <c r="K2064" s="9" t="s">
        <v>82</v>
      </c>
      <c r="L2064" s="9" t="s">
        <v>171</v>
      </c>
      <c r="M2064" s="9" t="s">
        <v>860</v>
      </c>
      <c r="N2064" s="9" t="s">
        <v>861</v>
      </c>
      <c r="O2064" s="9" t="s">
        <v>1028</v>
      </c>
      <c r="P2064" s="9" t="s">
        <v>1029</v>
      </c>
      <c r="Q2064" s="11"/>
      <c r="R2064" s="11"/>
      <c r="S2064" s="11">
        <v>50</v>
      </c>
      <c r="T2064" s="9"/>
      <c r="U2064" s="14" t="s">
        <v>77</v>
      </c>
      <c r="V2064" s="9"/>
      <c r="W2064" s="12">
        <v>30</v>
      </c>
      <c r="X2064" s="13"/>
      <c r="Y2064" s="13"/>
      <c r="Z2064" s="13"/>
      <c r="AA2064" s="13"/>
      <c r="AB2064" s="13"/>
      <c r="AC2064" s="13"/>
      <c r="AD2064" s="13"/>
      <c r="AE2064" s="13">
        <f t="shared" si="219"/>
        <v>0.15</v>
      </c>
      <c r="AF2064" s="13"/>
      <c r="AG2064" s="13"/>
      <c r="AH2064" s="13"/>
      <c r="AI2064" s="13"/>
      <c r="AJ2064" s="13">
        <f t="shared" si="218"/>
        <v>0.15</v>
      </c>
      <c r="AK2064" s="12"/>
      <c r="AL2064" s="13"/>
      <c r="AM2064" s="9"/>
      <c r="AN2064" s="9"/>
      <c r="AO2064" s="9"/>
      <c r="AP2064" s="14"/>
    </row>
    <row r="2065" spans="1:42" s="45" customFormat="1" ht="22" customHeight="1">
      <c r="A2065" s="14" t="s">
        <v>17</v>
      </c>
      <c r="B2065" s="8">
        <v>2024</v>
      </c>
      <c r="C2065" s="8" t="s">
        <v>24</v>
      </c>
      <c r="D2065" s="9" t="s">
        <v>185</v>
      </c>
      <c r="E2065" s="9" t="s">
        <v>115</v>
      </c>
      <c r="F2065" s="9" t="s">
        <v>434</v>
      </c>
      <c r="G2065" s="8"/>
      <c r="H2065" s="8"/>
      <c r="I2065" s="9" t="s">
        <v>11</v>
      </c>
      <c r="J2065" s="9" t="s">
        <v>11</v>
      </c>
      <c r="K2065" s="9" t="s">
        <v>82</v>
      </c>
      <c r="L2065" s="9" t="s">
        <v>171</v>
      </c>
      <c r="M2065" s="9" t="s">
        <v>860</v>
      </c>
      <c r="N2065" s="9" t="s">
        <v>861</v>
      </c>
      <c r="O2065" s="9" t="s">
        <v>1028</v>
      </c>
      <c r="P2065" s="9" t="s">
        <v>1030</v>
      </c>
      <c r="Q2065" s="11"/>
      <c r="R2065" s="11"/>
      <c r="S2065" s="11">
        <v>47</v>
      </c>
      <c r="T2065" s="9"/>
      <c r="U2065" s="14" t="s">
        <v>77</v>
      </c>
      <c r="V2065" s="9"/>
      <c r="W2065" s="12">
        <v>30</v>
      </c>
      <c r="X2065" s="13"/>
      <c r="Y2065" s="13"/>
      <c r="Z2065" s="13"/>
      <c r="AA2065" s="13"/>
      <c r="AB2065" s="13"/>
      <c r="AC2065" s="13"/>
      <c r="AD2065" s="13"/>
      <c r="AE2065" s="13">
        <f t="shared" si="219"/>
        <v>0.14099999999999999</v>
      </c>
      <c r="AF2065" s="13"/>
      <c r="AG2065" s="13"/>
      <c r="AH2065" s="13"/>
      <c r="AI2065" s="13"/>
      <c r="AJ2065" s="13">
        <f t="shared" si="218"/>
        <v>0.14099999999999999</v>
      </c>
      <c r="AK2065" s="12"/>
      <c r="AL2065" s="13"/>
      <c r="AM2065" s="9"/>
      <c r="AN2065" s="9"/>
      <c r="AO2065" s="9"/>
      <c r="AP2065" s="14"/>
    </row>
    <row r="2066" spans="1:42" s="45" customFormat="1" ht="22" customHeight="1">
      <c r="A2066" s="14" t="s">
        <v>17</v>
      </c>
      <c r="B2066" s="8">
        <v>2024</v>
      </c>
      <c r="C2066" s="8" t="s">
        <v>24</v>
      </c>
      <c r="D2066" s="9" t="s">
        <v>185</v>
      </c>
      <c r="E2066" s="9" t="s">
        <v>115</v>
      </c>
      <c r="F2066" s="9" t="s">
        <v>434</v>
      </c>
      <c r="G2066" s="8"/>
      <c r="H2066" s="8"/>
      <c r="I2066" s="9" t="s">
        <v>11</v>
      </c>
      <c r="J2066" s="9" t="s">
        <v>11</v>
      </c>
      <c r="K2066" s="9" t="s">
        <v>82</v>
      </c>
      <c r="L2066" s="9" t="s">
        <v>171</v>
      </c>
      <c r="M2066" s="9" t="s">
        <v>860</v>
      </c>
      <c r="N2066" s="9" t="s">
        <v>861</v>
      </c>
      <c r="O2066" s="9" t="s">
        <v>1028</v>
      </c>
      <c r="P2066" s="9" t="s">
        <v>1031</v>
      </c>
      <c r="Q2066" s="11"/>
      <c r="R2066" s="11"/>
      <c r="S2066" s="11">
        <v>50</v>
      </c>
      <c r="T2066" s="9"/>
      <c r="U2066" s="14" t="s">
        <v>77</v>
      </c>
      <c r="V2066" s="9"/>
      <c r="W2066" s="12">
        <v>30</v>
      </c>
      <c r="X2066" s="13"/>
      <c r="Y2066" s="13"/>
      <c r="Z2066" s="13"/>
      <c r="AA2066" s="13"/>
      <c r="AB2066" s="13"/>
      <c r="AC2066" s="13"/>
      <c r="AD2066" s="13"/>
      <c r="AE2066" s="13">
        <f t="shared" si="219"/>
        <v>0.15</v>
      </c>
      <c r="AF2066" s="13"/>
      <c r="AG2066" s="13"/>
      <c r="AH2066" s="13"/>
      <c r="AI2066" s="13"/>
      <c r="AJ2066" s="13">
        <f t="shared" si="218"/>
        <v>0.15</v>
      </c>
      <c r="AK2066" s="12"/>
      <c r="AL2066" s="13"/>
      <c r="AM2066" s="9"/>
      <c r="AN2066" s="9"/>
      <c r="AO2066" s="9"/>
      <c r="AP2066" s="14"/>
    </row>
    <row r="2067" spans="1:42" s="45" customFormat="1" ht="22" customHeight="1">
      <c r="A2067" s="14" t="s">
        <v>17</v>
      </c>
      <c r="B2067" s="8">
        <v>2024</v>
      </c>
      <c r="C2067" s="8" t="s">
        <v>24</v>
      </c>
      <c r="D2067" s="9" t="s">
        <v>185</v>
      </c>
      <c r="E2067" s="9" t="s">
        <v>115</v>
      </c>
      <c r="F2067" s="9" t="s">
        <v>434</v>
      </c>
      <c r="G2067" s="8"/>
      <c r="H2067" s="8"/>
      <c r="I2067" s="9" t="s">
        <v>11</v>
      </c>
      <c r="J2067" s="9" t="s">
        <v>11</v>
      </c>
      <c r="K2067" s="9" t="s">
        <v>82</v>
      </c>
      <c r="L2067" s="9" t="s">
        <v>171</v>
      </c>
      <c r="M2067" s="9" t="s">
        <v>860</v>
      </c>
      <c r="N2067" s="9" t="s">
        <v>861</v>
      </c>
      <c r="O2067" s="9" t="s">
        <v>1028</v>
      </c>
      <c r="P2067" s="9" t="s">
        <v>1032</v>
      </c>
      <c r="Q2067" s="11"/>
      <c r="R2067" s="11"/>
      <c r="S2067" s="11">
        <v>51</v>
      </c>
      <c r="T2067" s="9"/>
      <c r="U2067" s="14" t="s">
        <v>77</v>
      </c>
      <c r="V2067" s="9"/>
      <c r="W2067" s="12">
        <v>30</v>
      </c>
      <c r="X2067" s="13"/>
      <c r="Y2067" s="13"/>
      <c r="Z2067" s="13"/>
      <c r="AA2067" s="13"/>
      <c r="AB2067" s="13"/>
      <c r="AC2067" s="13"/>
      <c r="AD2067" s="13"/>
      <c r="AE2067" s="13">
        <f t="shared" si="219"/>
        <v>0.153</v>
      </c>
      <c r="AF2067" s="13"/>
      <c r="AG2067" s="13"/>
      <c r="AH2067" s="13"/>
      <c r="AI2067" s="13"/>
      <c r="AJ2067" s="13">
        <f t="shared" si="218"/>
        <v>0.153</v>
      </c>
      <c r="AK2067" s="12"/>
      <c r="AL2067" s="13"/>
      <c r="AM2067" s="9"/>
      <c r="AN2067" s="9"/>
      <c r="AO2067" s="9"/>
      <c r="AP2067" s="14"/>
    </row>
    <row r="2068" spans="1:42" s="45" customFormat="1" ht="22" customHeight="1">
      <c r="A2068" s="14" t="s">
        <v>17</v>
      </c>
      <c r="B2068" s="8">
        <v>2024</v>
      </c>
      <c r="C2068" s="8" t="s">
        <v>24</v>
      </c>
      <c r="D2068" s="9" t="s">
        <v>185</v>
      </c>
      <c r="E2068" s="9" t="s">
        <v>115</v>
      </c>
      <c r="F2068" s="9" t="s">
        <v>434</v>
      </c>
      <c r="G2068" s="8"/>
      <c r="H2068" s="8"/>
      <c r="I2068" s="9" t="s">
        <v>11</v>
      </c>
      <c r="J2068" s="9" t="s">
        <v>11</v>
      </c>
      <c r="K2068" s="9" t="s">
        <v>82</v>
      </c>
      <c r="L2068" s="9" t="s">
        <v>171</v>
      </c>
      <c r="M2068" s="9" t="s">
        <v>860</v>
      </c>
      <c r="N2068" s="9" t="s">
        <v>861</v>
      </c>
      <c r="O2068" s="9" t="s">
        <v>1028</v>
      </c>
      <c r="P2068" s="9" t="s">
        <v>1033</v>
      </c>
      <c r="Q2068" s="11"/>
      <c r="R2068" s="11"/>
      <c r="S2068" s="11">
        <v>47</v>
      </c>
      <c r="T2068" s="9"/>
      <c r="U2068" s="14" t="s">
        <v>77</v>
      </c>
      <c r="V2068" s="9"/>
      <c r="W2068" s="12">
        <v>30</v>
      </c>
      <c r="X2068" s="13"/>
      <c r="Y2068" s="13"/>
      <c r="Z2068" s="13"/>
      <c r="AA2068" s="13"/>
      <c r="AB2068" s="13"/>
      <c r="AC2068" s="13"/>
      <c r="AD2068" s="13"/>
      <c r="AE2068" s="13">
        <f t="shared" si="219"/>
        <v>0.14099999999999999</v>
      </c>
      <c r="AF2068" s="13"/>
      <c r="AG2068" s="13"/>
      <c r="AH2068" s="13"/>
      <c r="AI2068" s="13"/>
      <c r="AJ2068" s="13">
        <f t="shared" si="218"/>
        <v>0.14099999999999999</v>
      </c>
      <c r="AK2068" s="12"/>
      <c r="AL2068" s="13"/>
      <c r="AM2068" s="9"/>
      <c r="AN2068" s="9"/>
      <c r="AO2068" s="9"/>
      <c r="AP2068" s="14"/>
    </row>
    <row r="2069" spans="1:42" s="45" customFormat="1" ht="22" customHeight="1">
      <c r="A2069" s="14" t="s">
        <v>17</v>
      </c>
      <c r="B2069" s="8">
        <v>2024</v>
      </c>
      <c r="C2069" s="8" t="s">
        <v>24</v>
      </c>
      <c r="D2069" s="9" t="s">
        <v>185</v>
      </c>
      <c r="E2069" s="9" t="s">
        <v>115</v>
      </c>
      <c r="F2069" s="9" t="s">
        <v>434</v>
      </c>
      <c r="G2069" s="8"/>
      <c r="H2069" s="8"/>
      <c r="I2069" s="9" t="s">
        <v>11</v>
      </c>
      <c r="J2069" s="9" t="s">
        <v>11</v>
      </c>
      <c r="K2069" s="9" t="s">
        <v>82</v>
      </c>
      <c r="L2069" s="9" t="s">
        <v>171</v>
      </c>
      <c r="M2069" s="9" t="s">
        <v>860</v>
      </c>
      <c r="N2069" s="9" t="s">
        <v>861</v>
      </c>
      <c r="O2069" s="9" t="s">
        <v>1028</v>
      </c>
      <c r="P2069" s="9" t="s">
        <v>1034</v>
      </c>
      <c r="Q2069" s="11"/>
      <c r="R2069" s="11"/>
      <c r="S2069" s="11">
        <v>35</v>
      </c>
      <c r="T2069" s="9"/>
      <c r="U2069" s="14" t="s">
        <v>77</v>
      </c>
      <c r="V2069" s="9"/>
      <c r="W2069" s="12">
        <v>30</v>
      </c>
      <c r="X2069" s="13"/>
      <c r="Y2069" s="13"/>
      <c r="Z2069" s="13"/>
      <c r="AA2069" s="13"/>
      <c r="AB2069" s="13"/>
      <c r="AC2069" s="13"/>
      <c r="AD2069" s="13"/>
      <c r="AE2069" s="13">
        <f t="shared" si="219"/>
        <v>0.105</v>
      </c>
      <c r="AF2069" s="13"/>
      <c r="AG2069" s="13"/>
      <c r="AH2069" s="13"/>
      <c r="AI2069" s="13"/>
      <c r="AJ2069" s="13">
        <f t="shared" si="218"/>
        <v>0.105</v>
      </c>
      <c r="AK2069" s="12"/>
      <c r="AL2069" s="13"/>
      <c r="AM2069" s="9"/>
      <c r="AN2069" s="9"/>
      <c r="AO2069" s="9"/>
      <c r="AP2069" s="14"/>
    </row>
    <row r="2070" spans="1:42" s="45" customFormat="1" ht="22" customHeight="1">
      <c r="A2070" s="14" t="s">
        <v>17</v>
      </c>
      <c r="B2070" s="8">
        <v>2024</v>
      </c>
      <c r="C2070" s="8" t="s">
        <v>24</v>
      </c>
      <c r="D2070" s="9" t="s">
        <v>185</v>
      </c>
      <c r="E2070" s="9" t="s">
        <v>115</v>
      </c>
      <c r="F2070" s="9" t="s">
        <v>434</v>
      </c>
      <c r="G2070" s="8"/>
      <c r="H2070" s="8"/>
      <c r="I2070" s="9" t="s">
        <v>11</v>
      </c>
      <c r="J2070" s="9" t="s">
        <v>11</v>
      </c>
      <c r="K2070" s="9" t="s">
        <v>82</v>
      </c>
      <c r="L2070" s="9" t="s">
        <v>171</v>
      </c>
      <c r="M2070" s="9" t="s">
        <v>860</v>
      </c>
      <c r="N2070" s="9" t="s">
        <v>861</v>
      </c>
      <c r="O2070" s="9" t="s">
        <v>1028</v>
      </c>
      <c r="P2070" s="9" t="s">
        <v>1035</v>
      </c>
      <c r="Q2070" s="11"/>
      <c r="R2070" s="11"/>
      <c r="S2070" s="11">
        <v>41</v>
      </c>
      <c r="T2070" s="9"/>
      <c r="U2070" s="14" t="s">
        <v>77</v>
      </c>
      <c r="V2070" s="9"/>
      <c r="W2070" s="12">
        <v>30</v>
      </c>
      <c r="X2070" s="13"/>
      <c r="Y2070" s="13"/>
      <c r="Z2070" s="13"/>
      <c r="AA2070" s="13"/>
      <c r="AB2070" s="13"/>
      <c r="AC2070" s="13"/>
      <c r="AD2070" s="13"/>
      <c r="AE2070" s="13">
        <f t="shared" si="219"/>
        <v>0.123</v>
      </c>
      <c r="AF2070" s="13"/>
      <c r="AG2070" s="13"/>
      <c r="AH2070" s="13"/>
      <c r="AI2070" s="13"/>
      <c r="AJ2070" s="13">
        <f t="shared" si="218"/>
        <v>0.123</v>
      </c>
      <c r="AK2070" s="12"/>
      <c r="AL2070" s="13"/>
      <c r="AM2070" s="9"/>
      <c r="AN2070" s="9"/>
      <c r="AO2070" s="9"/>
      <c r="AP2070" s="14"/>
    </row>
    <row r="2071" spans="1:42" s="45" customFormat="1" ht="22" customHeight="1">
      <c r="A2071" s="14" t="s">
        <v>17</v>
      </c>
      <c r="B2071" s="8">
        <v>2024</v>
      </c>
      <c r="C2071" s="8" t="s">
        <v>24</v>
      </c>
      <c r="D2071" s="9" t="s">
        <v>185</v>
      </c>
      <c r="E2071" s="9" t="s">
        <v>115</v>
      </c>
      <c r="F2071" s="9" t="s">
        <v>434</v>
      </c>
      <c r="G2071" s="8"/>
      <c r="H2071" s="8"/>
      <c r="I2071" s="9" t="s">
        <v>11</v>
      </c>
      <c r="J2071" s="9" t="s">
        <v>11</v>
      </c>
      <c r="K2071" s="9" t="s">
        <v>82</v>
      </c>
      <c r="L2071" s="9" t="s">
        <v>171</v>
      </c>
      <c r="M2071" s="9" t="s">
        <v>860</v>
      </c>
      <c r="N2071" s="9" t="s">
        <v>861</v>
      </c>
      <c r="O2071" s="9" t="s">
        <v>1028</v>
      </c>
      <c r="P2071" s="9" t="s">
        <v>1036</v>
      </c>
      <c r="Q2071" s="11"/>
      <c r="R2071" s="11"/>
      <c r="S2071" s="11">
        <v>18</v>
      </c>
      <c r="T2071" s="9"/>
      <c r="U2071" s="14" t="s">
        <v>77</v>
      </c>
      <c r="V2071" s="9"/>
      <c r="W2071" s="12">
        <v>30</v>
      </c>
      <c r="X2071" s="13"/>
      <c r="Y2071" s="13"/>
      <c r="Z2071" s="13"/>
      <c r="AA2071" s="13"/>
      <c r="AB2071" s="13"/>
      <c r="AC2071" s="13"/>
      <c r="AD2071" s="13"/>
      <c r="AE2071" s="13">
        <f t="shared" si="219"/>
        <v>5.3999999999999999E-2</v>
      </c>
      <c r="AF2071" s="13"/>
      <c r="AG2071" s="13"/>
      <c r="AH2071" s="13"/>
      <c r="AI2071" s="13"/>
      <c r="AJ2071" s="13">
        <f t="shared" si="218"/>
        <v>5.3999999999999999E-2</v>
      </c>
      <c r="AK2071" s="12"/>
      <c r="AL2071" s="13"/>
      <c r="AM2071" s="9"/>
      <c r="AN2071" s="9"/>
      <c r="AO2071" s="9"/>
      <c r="AP2071" s="14"/>
    </row>
    <row r="2072" spans="1:42" s="45" customFormat="1" ht="22" customHeight="1">
      <c r="A2072" s="14" t="s">
        <v>17</v>
      </c>
      <c r="B2072" s="8">
        <v>2024</v>
      </c>
      <c r="C2072" s="8" t="s">
        <v>24</v>
      </c>
      <c r="D2072" s="9" t="s">
        <v>185</v>
      </c>
      <c r="E2072" s="9" t="s">
        <v>115</v>
      </c>
      <c r="F2072" s="9" t="s">
        <v>434</v>
      </c>
      <c r="G2072" s="8"/>
      <c r="H2072" s="8"/>
      <c r="I2072" s="9" t="s">
        <v>11</v>
      </c>
      <c r="J2072" s="9" t="s">
        <v>11</v>
      </c>
      <c r="K2072" s="9" t="s">
        <v>82</v>
      </c>
      <c r="L2072" s="9" t="s">
        <v>171</v>
      </c>
      <c r="M2072" s="9" t="s">
        <v>860</v>
      </c>
      <c r="N2072" s="9" t="s">
        <v>861</v>
      </c>
      <c r="O2072" s="9" t="s">
        <v>1028</v>
      </c>
      <c r="P2072" s="9" t="s">
        <v>366</v>
      </c>
      <c r="Q2072" s="11"/>
      <c r="R2072" s="11"/>
      <c r="S2072" s="11">
        <v>50</v>
      </c>
      <c r="T2072" s="9"/>
      <c r="U2072" s="14" t="s">
        <v>77</v>
      </c>
      <c r="V2072" s="9"/>
      <c r="W2072" s="12">
        <v>30</v>
      </c>
      <c r="X2072" s="13"/>
      <c r="Y2072" s="13"/>
      <c r="Z2072" s="13"/>
      <c r="AA2072" s="13"/>
      <c r="AB2072" s="13"/>
      <c r="AC2072" s="13"/>
      <c r="AD2072" s="13"/>
      <c r="AE2072" s="13">
        <f t="shared" si="219"/>
        <v>0.15</v>
      </c>
      <c r="AF2072" s="13"/>
      <c r="AG2072" s="13"/>
      <c r="AH2072" s="13"/>
      <c r="AI2072" s="13"/>
      <c r="AJ2072" s="13">
        <f t="shared" si="218"/>
        <v>0.15</v>
      </c>
      <c r="AK2072" s="12"/>
      <c r="AL2072" s="13"/>
      <c r="AM2072" s="9"/>
      <c r="AN2072" s="9"/>
      <c r="AO2072" s="9"/>
      <c r="AP2072" s="14"/>
    </row>
    <row r="2073" spans="1:42" s="45" customFormat="1" ht="22" customHeight="1">
      <c r="A2073" s="14" t="s">
        <v>17</v>
      </c>
      <c r="B2073" s="8">
        <v>2024</v>
      </c>
      <c r="C2073" s="8" t="s">
        <v>24</v>
      </c>
      <c r="D2073" s="9" t="s">
        <v>185</v>
      </c>
      <c r="E2073" s="9" t="s">
        <v>115</v>
      </c>
      <c r="F2073" s="9" t="s">
        <v>434</v>
      </c>
      <c r="G2073" s="8"/>
      <c r="H2073" s="8"/>
      <c r="I2073" s="9" t="s">
        <v>11</v>
      </c>
      <c r="J2073" s="9" t="s">
        <v>11</v>
      </c>
      <c r="K2073" s="9" t="s">
        <v>82</v>
      </c>
      <c r="L2073" s="9" t="s">
        <v>171</v>
      </c>
      <c r="M2073" s="9" t="s">
        <v>860</v>
      </c>
      <c r="N2073" s="9" t="s">
        <v>861</v>
      </c>
      <c r="O2073" s="9" t="s">
        <v>1028</v>
      </c>
      <c r="P2073" s="9" t="s">
        <v>1037</v>
      </c>
      <c r="Q2073" s="11"/>
      <c r="R2073" s="11"/>
      <c r="S2073" s="11">
        <v>50</v>
      </c>
      <c r="T2073" s="9"/>
      <c r="U2073" s="14" t="s">
        <v>77</v>
      </c>
      <c r="V2073" s="9"/>
      <c r="W2073" s="12">
        <v>30</v>
      </c>
      <c r="X2073" s="13"/>
      <c r="Y2073" s="13"/>
      <c r="Z2073" s="13"/>
      <c r="AA2073" s="13"/>
      <c r="AB2073" s="13"/>
      <c r="AC2073" s="13"/>
      <c r="AD2073" s="13"/>
      <c r="AE2073" s="13">
        <f t="shared" si="219"/>
        <v>0.15</v>
      </c>
      <c r="AF2073" s="13"/>
      <c r="AG2073" s="13"/>
      <c r="AH2073" s="13"/>
      <c r="AI2073" s="13"/>
      <c r="AJ2073" s="13">
        <f t="shared" si="218"/>
        <v>0.15</v>
      </c>
      <c r="AK2073" s="12"/>
      <c r="AL2073" s="13"/>
      <c r="AM2073" s="9"/>
      <c r="AN2073" s="9"/>
      <c r="AO2073" s="9"/>
      <c r="AP2073" s="14"/>
    </row>
    <row r="2074" spans="1:42" s="45" customFormat="1" ht="22" customHeight="1">
      <c r="A2074" s="14" t="s">
        <v>17</v>
      </c>
      <c r="B2074" s="8">
        <v>2024</v>
      </c>
      <c r="C2074" s="8" t="s">
        <v>24</v>
      </c>
      <c r="D2074" s="9" t="s">
        <v>185</v>
      </c>
      <c r="E2074" s="9" t="s">
        <v>115</v>
      </c>
      <c r="F2074" s="9" t="s">
        <v>434</v>
      </c>
      <c r="G2074" s="8"/>
      <c r="H2074" s="8"/>
      <c r="I2074" s="9" t="s">
        <v>11</v>
      </c>
      <c r="J2074" s="9" t="s">
        <v>11</v>
      </c>
      <c r="K2074" s="9" t="s">
        <v>82</v>
      </c>
      <c r="L2074" s="9" t="s">
        <v>171</v>
      </c>
      <c r="M2074" s="9" t="s">
        <v>860</v>
      </c>
      <c r="N2074" s="9" t="s">
        <v>861</v>
      </c>
      <c r="O2074" s="9" t="s">
        <v>1028</v>
      </c>
      <c r="P2074" s="9" t="s">
        <v>1038</v>
      </c>
      <c r="Q2074" s="11"/>
      <c r="R2074" s="11"/>
      <c r="S2074" s="11">
        <v>56</v>
      </c>
      <c r="T2074" s="9"/>
      <c r="U2074" s="14" t="s">
        <v>77</v>
      </c>
      <c r="V2074" s="9"/>
      <c r="W2074" s="12">
        <v>30</v>
      </c>
      <c r="X2074" s="13"/>
      <c r="Y2074" s="13"/>
      <c r="Z2074" s="13"/>
      <c r="AA2074" s="13"/>
      <c r="AB2074" s="13"/>
      <c r="AC2074" s="13"/>
      <c r="AD2074" s="13"/>
      <c r="AE2074" s="13">
        <f t="shared" si="219"/>
        <v>0.16800000000000001</v>
      </c>
      <c r="AF2074" s="13"/>
      <c r="AG2074" s="13"/>
      <c r="AH2074" s="13"/>
      <c r="AI2074" s="13"/>
      <c r="AJ2074" s="13">
        <f t="shared" si="218"/>
        <v>0.16800000000000001</v>
      </c>
      <c r="AK2074" s="12"/>
      <c r="AL2074" s="13"/>
      <c r="AM2074" s="9"/>
      <c r="AN2074" s="9"/>
      <c r="AO2074" s="9"/>
      <c r="AP2074" s="14"/>
    </row>
    <row r="2075" spans="1:42" s="45" customFormat="1" ht="22" customHeight="1">
      <c r="A2075" s="14" t="s">
        <v>17</v>
      </c>
      <c r="B2075" s="8">
        <v>2024</v>
      </c>
      <c r="C2075" s="8" t="s">
        <v>24</v>
      </c>
      <c r="D2075" s="9" t="s">
        <v>185</v>
      </c>
      <c r="E2075" s="9" t="s">
        <v>115</v>
      </c>
      <c r="F2075" s="9" t="s">
        <v>434</v>
      </c>
      <c r="G2075" s="8"/>
      <c r="H2075" s="8"/>
      <c r="I2075" s="9" t="s">
        <v>11</v>
      </c>
      <c r="J2075" s="9" t="s">
        <v>11</v>
      </c>
      <c r="K2075" s="9" t="s">
        <v>82</v>
      </c>
      <c r="L2075" s="9" t="s">
        <v>171</v>
      </c>
      <c r="M2075" s="9" t="s">
        <v>860</v>
      </c>
      <c r="N2075" s="9" t="s">
        <v>861</v>
      </c>
      <c r="O2075" s="9" t="s">
        <v>1039</v>
      </c>
      <c r="P2075" s="9" t="s">
        <v>1040</v>
      </c>
      <c r="Q2075" s="11"/>
      <c r="R2075" s="11"/>
      <c r="S2075" s="11">
        <v>39</v>
      </c>
      <c r="T2075" s="9"/>
      <c r="U2075" s="14" t="s">
        <v>77</v>
      </c>
      <c r="V2075" s="9"/>
      <c r="W2075" s="12">
        <v>30</v>
      </c>
      <c r="X2075" s="13"/>
      <c r="Y2075" s="13"/>
      <c r="Z2075" s="13"/>
      <c r="AA2075" s="13"/>
      <c r="AB2075" s="13"/>
      <c r="AC2075" s="13"/>
      <c r="AD2075" s="13"/>
      <c r="AE2075" s="13">
        <f t="shared" si="219"/>
        <v>0.11700000000000001</v>
      </c>
      <c r="AF2075" s="13"/>
      <c r="AG2075" s="13"/>
      <c r="AH2075" s="13"/>
      <c r="AI2075" s="13"/>
      <c r="AJ2075" s="13">
        <f t="shared" si="218"/>
        <v>0.11700000000000001</v>
      </c>
      <c r="AK2075" s="12"/>
      <c r="AL2075" s="13"/>
      <c r="AM2075" s="9"/>
      <c r="AN2075" s="9"/>
      <c r="AO2075" s="9"/>
      <c r="AP2075" s="14"/>
    </row>
    <row r="2076" spans="1:42" s="45" customFormat="1" ht="22" customHeight="1">
      <c r="A2076" s="14" t="s">
        <v>17</v>
      </c>
      <c r="B2076" s="8">
        <v>2024</v>
      </c>
      <c r="C2076" s="8" t="s">
        <v>24</v>
      </c>
      <c r="D2076" s="9" t="s">
        <v>185</v>
      </c>
      <c r="E2076" s="9" t="s">
        <v>115</v>
      </c>
      <c r="F2076" s="9" t="s">
        <v>434</v>
      </c>
      <c r="G2076" s="8"/>
      <c r="H2076" s="8"/>
      <c r="I2076" s="9" t="s">
        <v>11</v>
      </c>
      <c r="J2076" s="9" t="s">
        <v>11</v>
      </c>
      <c r="K2076" s="9" t="s">
        <v>82</v>
      </c>
      <c r="L2076" s="9" t="s">
        <v>171</v>
      </c>
      <c r="M2076" s="9" t="s">
        <v>860</v>
      </c>
      <c r="N2076" s="9" t="s">
        <v>861</v>
      </c>
      <c r="O2076" s="9" t="s">
        <v>1039</v>
      </c>
      <c r="P2076" s="9" t="s">
        <v>1041</v>
      </c>
      <c r="Q2076" s="11"/>
      <c r="R2076" s="11"/>
      <c r="S2076" s="11">
        <v>60</v>
      </c>
      <c r="T2076" s="9"/>
      <c r="U2076" s="14" t="s">
        <v>77</v>
      </c>
      <c r="V2076" s="9"/>
      <c r="W2076" s="12">
        <v>30</v>
      </c>
      <c r="X2076" s="13"/>
      <c r="Y2076" s="13"/>
      <c r="Z2076" s="13"/>
      <c r="AA2076" s="13"/>
      <c r="AB2076" s="13"/>
      <c r="AC2076" s="13"/>
      <c r="AD2076" s="13"/>
      <c r="AE2076" s="13">
        <f t="shared" si="219"/>
        <v>0.18</v>
      </c>
      <c r="AF2076" s="13"/>
      <c r="AG2076" s="13"/>
      <c r="AH2076" s="13"/>
      <c r="AI2076" s="13"/>
      <c r="AJ2076" s="13">
        <f t="shared" si="218"/>
        <v>0.18</v>
      </c>
      <c r="AK2076" s="12"/>
      <c r="AL2076" s="13"/>
      <c r="AM2076" s="9"/>
      <c r="AN2076" s="9"/>
      <c r="AO2076" s="9"/>
      <c r="AP2076" s="14"/>
    </row>
    <row r="2077" spans="1:42" s="45" customFormat="1" ht="22" customHeight="1">
      <c r="A2077" s="14" t="s">
        <v>17</v>
      </c>
      <c r="B2077" s="8">
        <v>2024</v>
      </c>
      <c r="C2077" s="8" t="s">
        <v>24</v>
      </c>
      <c r="D2077" s="9" t="s">
        <v>185</v>
      </c>
      <c r="E2077" s="9" t="s">
        <v>115</v>
      </c>
      <c r="F2077" s="9" t="s">
        <v>434</v>
      </c>
      <c r="G2077" s="8"/>
      <c r="H2077" s="8"/>
      <c r="I2077" s="9" t="s">
        <v>11</v>
      </c>
      <c r="J2077" s="9" t="s">
        <v>11</v>
      </c>
      <c r="K2077" s="9" t="s">
        <v>82</v>
      </c>
      <c r="L2077" s="9" t="s">
        <v>171</v>
      </c>
      <c r="M2077" s="9" t="s">
        <v>860</v>
      </c>
      <c r="N2077" s="9" t="s">
        <v>861</v>
      </c>
      <c r="O2077" s="9" t="s">
        <v>1039</v>
      </c>
      <c r="P2077" s="9" t="s">
        <v>1042</v>
      </c>
      <c r="Q2077" s="11"/>
      <c r="R2077" s="11"/>
      <c r="S2077" s="11">
        <v>35</v>
      </c>
      <c r="T2077" s="9"/>
      <c r="U2077" s="14" t="s">
        <v>77</v>
      </c>
      <c r="V2077" s="9"/>
      <c r="W2077" s="12">
        <v>30</v>
      </c>
      <c r="X2077" s="13"/>
      <c r="Y2077" s="13"/>
      <c r="Z2077" s="13"/>
      <c r="AA2077" s="13"/>
      <c r="AB2077" s="13"/>
      <c r="AC2077" s="13"/>
      <c r="AD2077" s="13"/>
      <c r="AE2077" s="13">
        <f t="shared" si="219"/>
        <v>0.105</v>
      </c>
      <c r="AF2077" s="13"/>
      <c r="AG2077" s="13"/>
      <c r="AH2077" s="13"/>
      <c r="AI2077" s="13"/>
      <c r="AJ2077" s="13">
        <f t="shared" si="218"/>
        <v>0.105</v>
      </c>
      <c r="AK2077" s="12"/>
      <c r="AL2077" s="13"/>
      <c r="AM2077" s="9"/>
      <c r="AN2077" s="9"/>
      <c r="AO2077" s="9"/>
      <c r="AP2077" s="14"/>
    </row>
    <row r="2078" spans="1:42" s="45" customFormat="1" ht="22" customHeight="1">
      <c r="A2078" s="14" t="s">
        <v>17</v>
      </c>
      <c r="B2078" s="8">
        <v>2024</v>
      </c>
      <c r="C2078" s="8" t="s">
        <v>24</v>
      </c>
      <c r="D2078" s="9" t="s">
        <v>185</v>
      </c>
      <c r="E2078" s="9" t="s">
        <v>115</v>
      </c>
      <c r="F2078" s="9" t="s">
        <v>434</v>
      </c>
      <c r="G2078" s="8"/>
      <c r="H2078" s="8"/>
      <c r="I2078" s="9" t="s">
        <v>11</v>
      </c>
      <c r="J2078" s="9" t="s">
        <v>11</v>
      </c>
      <c r="K2078" s="9" t="s">
        <v>82</v>
      </c>
      <c r="L2078" s="9" t="s">
        <v>171</v>
      </c>
      <c r="M2078" s="9" t="s">
        <v>860</v>
      </c>
      <c r="N2078" s="9" t="s">
        <v>861</v>
      </c>
      <c r="O2078" s="9" t="s">
        <v>1039</v>
      </c>
      <c r="P2078" s="9" t="s">
        <v>1043</v>
      </c>
      <c r="Q2078" s="11"/>
      <c r="R2078" s="11"/>
      <c r="S2078" s="11">
        <v>60</v>
      </c>
      <c r="T2078" s="9"/>
      <c r="U2078" s="14" t="s">
        <v>77</v>
      </c>
      <c r="V2078" s="9"/>
      <c r="W2078" s="12">
        <v>30</v>
      </c>
      <c r="X2078" s="13"/>
      <c r="Y2078" s="13"/>
      <c r="Z2078" s="13"/>
      <c r="AA2078" s="13"/>
      <c r="AB2078" s="13"/>
      <c r="AC2078" s="13"/>
      <c r="AD2078" s="13"/>
      <c r="AE2078" s="13">
        <f t="shared" si="219"/>
        <v>0.18</v>
      </c>
      <c r="AF2078" s="13"/>
      <c r="AG2078" s="13"/>
      <c r="AH2078" s="13"/>
      <c r="AI2078" s="13"/>
      <c r="AJ2078" s="13">
        <f t="shared" si="218"/>
        <v>0.18</v>
      </c>
      <c r="AK2078" s="12"/>
      <c r="AL2078" s="13"/>
      <c r="AM2078" s="9"/>
      <c r="AN2078" s="9"/>
      <c r="AO2078" s="9"/>
      <c r="AP2078" s="14"/>
    </row>
    <row r="2079" spans="1:42" s="45" customFormat="1" ht="22" customHeight="1">
      <c r="A2079" s="14" t="s">
        <v>17</v>
      </c>
      <c r="B2079" s="8">
        <v>2024</v>
      </c>
      <c r="C2079" s="8" t="s">
        <v>24</v>
      </c>
      <c r="D2079" s="9" t="s">
        <v>185</v>
      </c>
      <c r="E2079" s="9" t="s">
        <v>115</v>
      </c>
      <c r="F2079" s="9" t="s">
        <v>434</v>
      </c>
      <c r="G2079" s="8"/>
      <c r="H2079" s="8"/>
      <c r="I2079" s="9" t="s">
        <v>11</v>
      </c>
      <c r="J2079" s="9" t="s">
        <v>11</v>
      </c>
      <c r="K2079" s="9" t="s">
        <v>82</v>
      </c>
      <c r="L2079" s="9" t="s">
        <v>171</v>
      </c>
      <c r="M2079" s="9" t="s">
        <v>860</v>
      </c>
      <c r="N2079" s="9" t="s">
        <v>861</v>
      </c>
      <c r="O2079" s="9" t="s">
        <v>1039</v>
      </c>
      <c r="P2079" s="9" t="s">
        <v>1044</v>
      </c>
      <c r="Q2079" s="11"/>
      <c r="R2079" s="11"/>
      <c r="S2079" s="11">
        <v>34</v>
      </c>
      <c r="T2079" s="9"/>
      <c r="U2079" s="14" t="s">
        <v>77</v>
      </c>
      <c r="V2079" s="9"/>
      <c r="W2079" s="12">
        <v>30</v>
      </c>
      <c r="X2079" s="13"/>
      <c r="Y2079" s="13"/>
      <c r="Z2079" s="13"/>
      <c r="AA2079" s="13"/>
      <c r="AB2079" s="13"/>
      <c r="AC2079" s="13"/>
      <c r="AD2079" s="13"/>
      <c r="AE2079" s="13">
        <f t="shared" si="219"/>
        <v>0.10199999999999999</v>
      </c>
      <c r="AF2079" s="13"/>
      <c r="AG2079" s="13"/>
      <c r="AH2079" s="13"/>
      <c r="AI2079" s="13"/>
      <c r="AJ2079" s="13">
        <f t="shared" si="218"/>
        <v>0.10199999999999999</v>
      </c>
      <c r="AK2079" s="12"/>
      <c r="AL2079" s="13"/>
      <c r="AM2079" s="9"/>
      <c r="AN2079" s="9"/>
      <c r="AO2079" s="9"/>
      <c r="AP2079" s="14"/>
    </row>
    <row r="2080" spans="1:42" s="45" customFormat="1" ht="22" customHeight="1">
      <c r="A2080" s="14" t="s">
        <v>17</v>
      </c>
      <c r="B2080" s="8">
        <v>2024</v>
      </c>
      <c r="C2080" s="8" t="s">
        <v>24</v>
      </c>
      <c r="D2080" s="9" t="s">
        <v>185</v>
      </c>
      <c r="E2080" s="9" t="s">
        <v>115</v>
      </c>
      <c r="F2080" s="9" t="s">
        <v>434</v>
      </c>
      <c r="G2080" s="8"/>
      <c r="H2080" s="8"/>
      <c r="I2080" s="9" t="s">
        <v>11</v>
      </c>
      <c r="J2080" s="9" t="s">
        <v>11</v>
      </c>
      <c r="K2080" s="9" t="s">
        <v>82</v>
      </c>
      <c r="L2080" s="9" t="s">
        <v>171</v>
      </c>
      <c r="M2080" s="9" t="s">
        <v>860</v>
      </c>
      <c r="N2080" s="9" t="s">
        <v>861</v>
      </c>
      <c r="O2080" s="9" t="s">
        <v>1039</v>
      </c>
      <c r="P2080" s="9" t="s">
        <v>1045</v>
      </c>
      <c r="Q2080" s="11"/>
      <c r="R2080" s="11"/>
      <c r="S2080" s="11">
        <v>48</v>
      </c>
      <c r="T2080" s="9"/>
      <c r="U2080" s="14" t="s">
        <v>77</v>
      </c>
      <c r="V2080" s="9"/>
      <c r="W2080" s="12">
        <v>30</v>
      </c>
      <c r="X2080" s="13"/>
      <c r="Y2080" s="13"/>
      <c r="Z2080" s="13"/>
      <c r="AA2080" s="13"/>
      <c r="AB2080" s="13"/>
      <c r="AC2080" s="13"/>
      <c r="AD2080" s="13"/>
      <c r="AE2080" s="13">
        <f t="shared" si="219"/>
        <v>0.14399999999999999</v>
      </c>
      <c r="AF2080" s="13"/>
      <c r="AG2080" s="13"/>
      <c r="AH2080" s="13"/>
      <c r="AI2080" s="13"/>
      <c r="AJ2080" s="13">
        <f t="shared" si="218"/>
        <v>0.14399999999999999</v>
      </c>
      <c r="AK2080" s="12"/>
      <c r="AL2080" s="13"/>
      <c r="AM2080" s="9"/>
      <c r="AN2080" s="9"/>
      <c r="AO2080" s="9"/>
      <c r="AP2080" s="14"/>
    </row>
    <row r="2081" spans="1:42" s="45" customFormat="1" ht="22" customHeight="1">
      <c r="A2081" s="14" t="s">
        <v>17</v>
      </c>
      <c r="B2081" s="8">
        <v>2024</v>
      </c>
      <c r="C2081" s="8" t="s">
        <v>24</v>
      </c>
      <c r="D2081" s="9" t="s">
        <v>185</v>
      </c>
      <c r="E2081" s="9" t="s">
        <v>115</v>
      </c>
      <c r="F2081" s="9" t="s">
        <v>434</v>
      </c>
      <c r="G2081" s="8"/>
      <c r="H2081" s="8"/>
      <c r="I2081" s="9" t="s">
        <v>11</v>
      </c>
      <c r="J2081" s="9" t="s">
        <v>11</v>
      </c>
      <c r="K2081" s="9" t="s">
        <v>82</v>
      </c>
      <c r="L2081" s="9" t="s">
        <v>171</v>
      </c>
      <c r="M2081" s="9" t="s">
        <v>860</v>
      </c>
      <c r="N2081" s="9" t="s">
        <v>861</v>
      </c>
      <c r="O2081" s="9" t="s">
        <v>1046</v>
      </c>
      <c r="P2081" s="9" t="s">
        <v>1047</v>
      </c>
      <c r="Q2081" s="11"/>
      <c r="R2081" s="11"/>
      <c r="S2081" s="11">
        <v>25</v>
      </c>
      <c r="T2081" s="9"/>
      <c r="U2081" s="14" t="s">
        <v>77</v>
      </c>
      <c r="V2081" s="9"/>
      <c r="W2081" s="12">
        <v>30</v>
      </c>
      <c r="X2081" s="13"/>
      <c r="Y2081" s="13"/>
      <c r="Z2081" s="13"/>
      <c r="AA2081" s="13"/>
      <c r="AB2081" s="13"/>
      <c r="AC2081" s="13"/>
      <c r="AD2081" s="13"/>
      <c r="AE2081" s="13">
        <f t="shared" si="219"/>
        <v>7.4999999999999997E-2</v>
      </c>
      <c r="AF2081" s="13"/>
      <c r="AG2081" s="13"/>
      <c r="AH2081" s="13"/>
      <c r="AI2081" s="13"/>
      <c r="AJ2081" s="13">
        <f t="shared" si="218"/>
        <v>7.4999999999999997E-2</v>
      </c>
      <c r="AK2081" s="12"/>
      <c r="AL2081" s="13"/>
      <c r="AM2081" s="9"/>
      <c r="AN2081" s="9"/>
      <c r="AO2081" s="9"/>
      <c r="AP2081" s="14"/>
    </row>
    <row r="2082" spans="1:42" s="45" customFormat="1" ht="22" customHeight="1">
      <c r="A2082" s="14" t="s">
        <v>17</v>
      </c>
      <c r="B2082" s="8">
        <v>2024</v>
      </c>
      <c r="C2082" s="8" t="s">
        <v>24</v>
      </c>
      <c r="D2082" s="9" t="s">
        <v>185</v>
      </c>
      <c r="E2082" s="9" t="s">
        <v>115</v>
      </c>
      <c r="F2082" s="9" t="s">
        <v>434</v>
      </c>
      <c r="G2082" s="8"/>
      <c r="H2082" s="8"/>
      <c r="I2082" s="9" t="s">
        <v>11</v>
      </c>
      <c r="J2082" s="9" t="s">
        <v>11</v>
      </c>
      <c r="K2082" s="9" t="s">
        <v>82</v>
      </c>
      <c r="L2082" s="9" t="s">
        <v>171</v>
      </c>
      <c r="M2082" s="9" t="s">
        <v>860</v>
      </c>
      <c r="N2082" s="9" t="s">
        <v>861</v>
      </c>
      <c r="O2082" s="9" t="s">
        <v>1046</v>
      </c>
      <c r="P2082" s="9" t="s">
        <v>891</v>
      </c>
      <c r="Q2082" s="11"/>
      <c r="R2082" s="11"/>
      <c r="S2082" s="11">
        <v>61</v>
      </c>
      <c r="T2082" s="9"/>
      <c r="U2082" s="14" t="s">
        <v>77</v>
      </c>
      <c r="V2082" s="9"/>
      <c r="W2082" s="12">
        <v>30</v>
      </c>
      <c r="X2082" s="13"/>
      <c r="Y2082" s="13"/>
      <c r="Z2082" s="13"/>
      <c r="AA2082" s="13"/>
      <c r="AB2082" s="13"/>
      <c r="AC2082" s="13"/>
      <c r="AD2082" s="13"/>
      <c r="AE2082" s="13">
        <f t="shared" si="219"/>
        <v>0.183</v>
      </c>
      <c r="AF2082" s="13"/>
      <c r="AG2082" s="13"/>
      <c r="AH2082" s="13"/>
      <c r="AI2082" s="13"/>
      <c r="AJ2082" s="13">
        <f t="shared" si="218"/>
        <v>0.183</v>
      </c>
      <c r="AK2082" s="12"/>
      <c r="AL2082" s="13"/>
      <c r="AM2082" s="9"/>
      <c r="AN2082" s="9"/>
      <c r="AO2082" s="9"/>
      <c r="AP2082" s="14"/>
    </row>
    <row r="2083" spans="1:42" s="45" customFormat="1" ht="22" customHeight="1">
      <c r="A2083" s="14" t="s">
        <v>17</v>
      </c>
      <c r="B2083" s="8">
        <v>2024</v>
      </c>
      <c r="C2083" s="8" t="s">
        <v>24</v>
      </c>
      <c r="D2083" s="9" t="s">
        <v>185</v>
      </c>
      <c r="E2083" s="9" t="s">
        <v>115</v>
      </c>
      <c r="F2083" s="9" t="s">
        <v>434</v>
      </c>
      <c r="G2083" s="8"/>
      <c r="H2083" s="8"/>
      <c r="I2083" s="9" t="s">
        <v>11</v>
      </c>
      <c r="J2083" s="9" t="s">
        <v>11</v>
      </c>
      <c r="K2083" s="9" t="s">
        <v>82</v>
      </c>
      <c r="L2083" s="9" t="s">
        <v>171</v>
      </c>
      <c r="M2083" s="9" t="s">
        <v>860</v>
      </c>
      <c r="N2083" s="9" t="s">
        <v>861</v>
      </c>
      <c r="O2083" s="9" t="s">
        <v>1046</v>
      </c>
      <c r="P2083" s="9" t="s">
        <v>867</v>
      </c>
      <c r="Q2083" s="11"/>
      <c r="R2083" s="11"/>
      <c r="S2083" s="11">
        <v>47</v>
      </c>
      <c r="T2083" s="9"/>
      <c r="U2083" s="14" t="s">
        <v>77</v>
      </c>
      <c r="V2083" s="9"/>
      <c r="W2083" s="12">
        <v>30</v>
      </c>
      <c r="X2083" s="13"/>
      <c r="Y2083" s="13"/>
      <c r="Z2083" s="13"/>
      <c r="AA2083" s="13"/>
      <c r="AB2083" s="13"/>
      <c r="AC2083" s="13"/>
      <c r="AD2083" s="13"/>
      <c r="AE2083" s="13">
        <f t="shared" si="219"/>
        <v>0.14099999999999999</v>
      </c>
      <c r="AF2083" s="13"/>
      <c r="AG2083" s="13"/>
      <c r="AH2083" s="13"/>
      <c r="AI2083" s="13"/>
      <c r="AJ2083" s="13">
        <f t="shared" si="218"/>
        <v>0.14099999999999999</v>
      </c>
      <c r="AK2083" s="12"/>
      <c r="AL2083" s="13"/>
      <c r="AM2083" s="9"/>
      <c r="AN2083" s="9"/>
      <c r="AO2083" s="9"/>
      <c r="AP2083" s="14"/>
    </row>
    <row r="2084" spans="1:42" s="45" customFormat="1" ht="22" customHeight="1">
      <c r="A2084" s="14" t="s">
        <v>17</v>
      </c>
      <c r="B2084" s="8">
        <v>2024</v>
      </c>
      <c r="C2084" s="8" t="s">
        <v>24</v>
      </c>
      <c r="D2084" s="9" t="s">
        <v>185</v>
      </c>
      <c r="E2084" s="9" t="s">
        <v>115</v>
      </c>
      <c r="F2084" s="9" t="s">
        <v>434</v>
      </c>
      <c r="G2084" s="8"/>
      <c r="H2084" s="8"/>
      <c r="I2084" s="9" t="s">
        <v>11</v>
      </c>
      <c r="J2084" s="9" t="s">
        <v>11</v>
      </c>
      <c r="K2084" s="9" t="s">
        <v>82</v>
      </c>
      <c r="L2084" s="9" t="s">
        <v>171</v>
      </c>
      <c r="M2084" s="9" t="s">
        <v>860</v>
      </c>
      <c r="N2084" s="9" t="s">
        <v>861</v>
      </c>
      <c r="O2084" s="9" t="s">
        <v>1046</v>
      </c>
      <c r="P2084" s="9" t="s">
        <v>1048</v>
      </c>
      <c r="Q2084" s="11"/>
      <c r="R2084" s="11"/>
      <c r="S2084" s="11">
        <v>53</v>
      </c>
      <c r="T2084" s="9"/>
      <c r="U2084" s="14" t="s">
        <v>77</v>
      </c>
      <c r="V2084" s="9"/>
      <c r="W2084" s="12">
        <v>30</v>
      </c>
      <c r="X2084" s="13"/>
      <c r="Y2084" s="13"/>
      <c r="Z2084" s="13"/>
      <c r="AA2084" s="13"/>
      <c r="AB2084" s="13"/>
      <c r="AC2084" s="13"/>
      <c r="AD2084" s="13"/>
      <c r="AE2084" s="13">
        <f t="shared" si="219"/>
        <v>0.159</v>
      </c>
      <c r="AF2084" s="13"/>
      <c r="AG2084" s="13"/>
      <c r="AH2084" s="13"/>
      <c r="AI2084" s="13"/>
      <c r="AJ2084" s="13">
        <f t="shared" si="218"/>
        <v>0.159</v>
      </c>
      <c r="AK2084" s="12"/>
      <c r="AL2084" s="13"/>
      <c r="AM2084" s="9"/>
      <c r="AN2084" s="9"/>
      <c r="AO2084" s="9"/>
      <c r="AP2084" s="14"/>
    </row>
    <row r="2085" spans="1:42" s="45" customFormat="1" ht="22" customHeight="1">
      <c r="A2085" s="14" t="s">
        <v>17</v>
      </c>
      <c r="B2085" s="8">
        <v>2024</v>
      </c>
      <c r="C2085" s="8" t="s">
        <v>24</v>
      </c>
      <c r="D2085" s="9" t="s">
        <v>185</v>
      </c>
      <c r="E2085" s="9" t="s">
        <v>115</v>
      </c>
      <c r="F2085" s="9" t="s">
        <v>434</v>
      </c>
      <c r="G2085" s="8"/>
      <c r="H2085" s="8"/>
      <c r="I2085" s="9" t="s">
        <v>11</v>
      </c>
      <c r="J2085" s="9" t="s">
        <v>11</v>
      </c>
      <c r="K2085" s="9" t="s">
        <v>82</v>
      </c>
      <c r="L2085" s="9" t="s">
        <v>171</v>
      </c>
      <c r="M2085" s="9" t="s">
        <v>860</v>
      </c>
      <c r="N2085" s="9" t="s">
        <v>861</v>
      </c>
      <c r="O2085" s="9" t="s">
        <v>1046</v>
      </c>
      <c r="P2085" s="9" t="s">
        <v>1049</v>
      </c>
      <c r="Q2085" s="11"/>
      <c r="R2085" s="11"/>
      <c r="S2085" s="11">
        <v>0</v>
      </c>
      <c r="T2085" s="9"/>
      <c r="U2085" s="14" t="s">
        <v>77</v>
      </c>
      <c r="V2085" s="9"/>
      <c r="W2085" s="12">
        <v>30</v>
      </c>
      <c r="X2085" s="13"/>
      <c r="Y2085" s="13"/>
      <c r="Z2085" s="13"/>
      <c r="AA2085" s="13"/>
      <c r="AB2085" s="13"/>
      <c r="AC2085" s="13"/>
      <c r="AD2085" s="13"/>
      <c r="AE2085" s="13">
        <f t="shared" si="219"/>
        <v>0</v>
      </c>
      <c r="AF2085" s="13"/>
      <c r="AG2085" s="13"/>
      <c r="AH2085" s="13"/>
      <c r="AI2085" s="13"/>
      <c r="AJ2085" s="13">
        <f t="shared" si="218"/>
        <v>0</v>
      </c>
      <c r="AK2085" s="12"/>
      <c r="AL2085" s="13"/>
      <c r="AM2085" s="9"/>
      <c r="AN2085" s="9"/>
      <c r="AO2085" s="9"/>
      <c r="AP2085" s="14"/>
    </row>
    <row r="2086" spans="1:42" s="45" customFormat="1" ht="22" customHeight="1">
      <c r="A2086" s="14" t="s">
        <v>17</v>
      </c>
      <c r="B2086" s="8">
        <v>2024</v>
      </c>
      <c r="C2086" s="8" t="s">
        <v>24</v>
      </c>
      <c r="D2086" s="9" t="s">
        <v>185</v>
      </c>
      <c r="E2086" s="9" t="s">
        <v>115</v>
      </c>
      <c r="F2086" s="9" t="s">
        <v>434</v>
      </c>
      <c r="G2086" s="8"/>
      <c r="H2086" s="8"/>
      <c r="I2086" s="9" t="s">
        <v>11</v>
      </c>
      <c r="J2086" s="9" t="s">
        <v>11</v>
      </c>
      <c r="K2086" s="9" t="s">
        <v>82</v>
      </c>
      <c r="L2086" s="9" t="s">
        <v>171</v>
      </c>
      <c r="M2086" s="9" t="s">
        <v>860</v>
      </c>
      <c r="N2086" s="9" t="s">
        <v>861</v>
      </c>
      <c r="O2086" s="9" t="s">
        <v>1050</v>
      </c>
      <c r="P2086" s="9" t="s">
        <v>1051</v>
      </c>
      <c r="Q2086" s="11"/>
      <c r="R2086" s="11"/>
      <c r="S2086" s="11">
        <v>29</v>
      </c>
      <c r="T2086" s="9"/>
      <c r="U2086" s="14" t="s">
        <v>77</v>
      </c>
      <c r="V2086" s="9"/>
      <c r="W2086" s="12">
        <v>30</v>
      </c>
      <c r="X2086" s="13"/>
      <c r="Y2086" s="13"/>
      <c r="Z2086" s="13"/>
      <c r="AA2086" s="13"/>
      <c r="AB2086" s="13"/>
      <c r="AC2086" s="13"/>
      <c r="AD2086" s="13"/>
      <c r="AE2086" s="13">
        <f t="shared" si="219"/>
        <v>8.6999999999999994E-2</v>
      </c>
      <c r="AF2086" s="13"/>
      <c r="AG2086" s="13"/>
      <c r="AH2086" s="13"/>
      <c r="AI2086" s="13"/>
      <c r="AJ2086" s="13">
        <f t="shared" si="218"/>
        <v>8.6999999999999994E-2</v>
      </c>
      <c r="AK2086" s="12"/>
      <c r="AL2086" s="13"/>
      <c r="AM2086" s="9"/>
      <c r="AN2086" s="9"/>
      <c r="AO2086" s="9"/>
      <c r="AP2086" s="14"/>
    </row>
    <row r="2087" spans="1:42" s="45" customFormat="1" ht="22" customHeight="1">
      <c r="A2087" s="14" t="s">
        <v>17</v>
      </c>
      <c r="B2087" s="8">
        <v>2024</v>
      </c>
      <c r="C2087" s="8" t="s">
        <v>24</v>
      </c>
      <c r="D2087" s="9" t="s">
        <v>185</v>
      </c>
      <c r="E2087" s="9" t="s">
        <v>115</v>
      </c>
      <c r="F2087" s="9" t="s">
        <v>434</v>
      </c>
      <c r="G2087" s="8"/>
      <c r="H2087" s="8"/>
      <c r="I2087" s="9" t="s">
        <v>11</v>
      </c>
      <c r="J2087" s="9" t="s">
        <v>11</v>
      </c>
      <c r="K2087" s="9" t="s">
        <v>82</v>
      </c>
      <c r="L2087" s="9" t="s">
        <v>171</v>
      </c>
      <c r="M2087" s="9" t="s">
        <v>860</v>
      </c>
      <c r="N2087" s="9" t="s">
        <v>861</v>
      </c>
      <c r="O2087" s="9" t="s">
        <v>1050</v>
      </c>
      <c r="P2087" s="9" t="s">
        <v>1052</v>
      </c>
      <c r="Q2087" s="11"/>
      <c r="R2087" s="11"/>
      <c r="S2087" s="11">
        <v>52</v>
      </c>
      <c r="T2087" s="9"/>
      <c r="U2087" s="14" t="s">
        <v>77</v>
      </c>
      <c r="V2087" s="9"/>
      <c r="W2087" s="12">
        <v>30</v>
      </c>
      <c r="X2087" s="13"/>
      <c r="Y2087" s="13"/>
      <c r="Z2087" s="13"/>
      <c r="AA2087" s="13"/>
      <c r="AB2087" s="13"/>
      <c r="AC2087" s="13"/>
      <c r="AD2087" s="13"/>
      <c r="AE2087" s="13">
        <f t="shared" si="219"/>
        <v>0.156</v>
      </c>
      <c r="AF2087" s="13"/>
      <c r="AG2087" s="13"/>
      <c r="AH2087" s="13"/>
      <c r="AI2087" s="13"/>
      <c r="AJ2087" s="13">
        <f t="shared" si="218"/>
        <v>0.156</v>
      </c>
      <c r="AK2087" s="12"/>
      <c r="AL2087" s="13"/>
      <c r="AM2087" s="9"/>
      <c r="AN2087" s="9"/>
      <c r="AO2087" s="9"/>
      <c r="AP2087" s="14"/>
    </row>
    <row r="2088" spans="1:42" s="45" customFormat="1" ht="22" customHeight="1">
      <c r="A2088" s="14" t="s">
        <v>17</v>
      </c>
      <c r="B2088" s="8">
        <v>2024</v>
      </c>
      <c r="C2088" s="8" t="s">
        <v>24</v>
      </c>
      <c r="D2088" s="9" t="s">
        <v>185</v>
      </c>
      <c r="E2088" s="9" t="s">
        <v>115</v>
      </c>
      <c r="F2088" s="9" t="s">
        <v>434</v>
      </c>
      <c r="G2088" s="8"/>
      <c r="H2088" s="8"/>
      <c r="I2088" s="9" t="s">
        <v>11</v>
      </c>
      <c r="J2088" s="9" t="s">
        <v>11</v>
      </c>
      <c r="K2088" s="9" t="s">
        <v>82</v>
      </c>
      <c r="L2088" s="9" t="s">
        <v>171</v>
      </c>
      <c r="M2088" s="9" t="s">
        <v>860</v>
      </c>
      <c r="N2088" s="9" t="s">
        <v>861</v>
      </c>
      <c r="O2088" s="9" t="s">
        <v>1050</v>
      </c>
      <c r="P2088" s="9" t="s">
        <v>1053</v>
      </c>
      <c r="Q2088" s="11"/>
      <c r="R2088" s="11"/>
      <c r="S2088" s="11">
        <v>34</v>
      </c>
      <c r="T2088" s="9"/>
      <c r="U2088" s="14" t="s">
        <v>77</v>
      </c>
      <c r="V2088" s="9"/>
      <c r="W2088" s="12">
        <v>30</v>
      </c>
      <c r="X2088" s="13"/>
      <c r="Y2088" s="13"/>
      <c r="Z2088" s="13"/>
      <c r="AA2088" s="13"/>
      <c r="AB2088" s="13"/>
      <c r="AC2088" s="13"/>
      <c r="AD2088" s="13"/>
      <c r="AE2088" s="13">
        <f t="shared" si="219"/>
        <v>0.10199999999999999</v>
      </c>
      <c r="AF2088" s="13"/>
      <c r="AG2088" s="13"/>
      <c r="AH2088" s="13"/>
      <c r="AI2088" s="13"/>
      <c r="AJ2088" s="13">
        <f t="shared" si="218"/>
        <v>0.10199999999999999</v>
      </c>
      <c r="AK2088" s="12"/>
      <c r="AL2088" s="13"/>
      <c r="AM2088" s="9"/>
      <c r="AN2088" s="9"/>
      <c r="AO2088" s="9"/>
      <c r="AP2088" s="14"/>
    </row>
    <row r="2089" spans="1:42" s="45" customFormat="1" ht="22" customHeight="1">
      <c r="A2089" s="14" t="s">
        <v>17</v>
      </c>
      <c r="B2089" s="8">
        <v>2024</v>
      </c>
      <c r="C2089" s="8" t="s">
        <v>24</v>
      </c>
      <c r="D2089" s="9" t="s">
        <v>185</v>
      </c>
      <c r="E2089" s="9" t="s">
        <v>115</v>
      </c>
      <c r="F2089" s="9" t="s">
        <v>434</v>
      </c>
      <c r="G2089" s="8"/>
      <c r="H2089" s="8"/>
      <c r="I2089" s="9" t="s">
        <v>11</v>
      </c>
      <c r="J2089" s="9" t="s">
        <v>11</v>
      </c>
      <c r="K2089" s="9" t="s">
        <v>82</v>
      </c>
      <c r="L2089" s="9" t="s">
        <v>171</v>
      </c>
      <c r="M2089" s="9" t="s">
        <v>860</v>
      </c>
      <c r="N2089" s="9" t="s">
        <v>861</v>
      </c>
      <c r="O2089" s="9" t="s">
        <v>1054</v>
      </c>
      <c r="P2089" s="9" t="s">
        <v>1055</v>
      </c>
      <c r="Q2089" s="11"/>
      <c r="R2089" s="11"/>
      <c r="S2089" s="11">
        <v>31</v>
      </c>
      <c r="T2089" s="9"/>
      <c r="U2089" s="14" t="s">
        <v>77</v>
      </c>
      <c r="V2089" s="9"/>
      <c r="W2089" s="12">
        <v>30</v>
      </c>
      <c r="X2089" s="13"/>
      <c r="Y2089" s="13"/>
      <c r="Z2089" s="13"/>
      <c r="AA2089" s="13"/>
      <c r="AB2089" s="13"/>
      <c r="AC2089" s="13"/>
      <c r="AD2089" s="13"/>
      <c r="AE2089" s="13">
        <f t="shared" si="219"/>
        <v>9.2999999999999999E-2</v>
      </c>
      <c r="AF2089" s="13"/>
      <c r="AG2089" s="13"/>
      <c r="AH2089" s="13"/>
      <c r="AI2089" s="13"/>
      <c r="AJ2089" s="13">
        <f t="shared" si="218"/>
        <v>9.2999999999999999E-2</v>
      </c>
      <c r="AK2089" s="12"/>
      <c r="AL2089" s="13"/>
      <c r="AM2089" s="9"/>
      <c r="AN2089" s="9"/>
      <c r="AO2089" s="9"/>
      <c r="AP2089" s="14"/>
    </row>
    <row r="2090" spans="1:42" s="45" customFormat="1" ht="22" customHeight="1">
      <c r="A2090" s="14" t="s">
        <v>17</v>
      </c>
      <c r="B2090" s="8">
        <v>2024</v>
      </c>
      <c r="C2090" s="8" t="s">
        <v>24</v>
      </c>
      <c r="D2090" s="9" t="s">
        <v>185</v>
      </c>
      <c r="E2090" s="9" t="s">
        <v>115</v>
      </c>
      <c r="F2090" s="9" t="s">
        <v>434</v>
      </c>
      <c r="G2090" s="8"/>
      <c r="H2090" s="8"/>
      <c r="I2090" s="9" t="s">
        <v>11</v>
      </c>
      <c r="J2090" s="9" t="s">
        <v>11</v>
      </c>
      <c r="K2090" s="9" t="s">
        <v>82</v>
      </c>
      <c r="L2090" s="9" t="s">
        <v>171</v>
      </c>
      <c r="M2090" s="9" t="s">
        <v>860</v>
      </c>
      <c r="N2090" s="9" t="s">
        <v>861</v>
      </c>
      <c r="O2090" s="9" t="s">
        <v>1054</v>
      </c>
      <c r="P2090" s="9" t="s">
        <v>1056</v>
      </c>
      <c r="Q2090" s="11"/>
      <c r="R2090" s="11"/>
      <c r="S2090" s="11">
        <v>33</v>
      </c>
      <c r="T2090" s="9"/>
      <c r="U2090" s="14" t="s">
        <v>77</v>
      </c>
      <c r="V2090" s="9"/>
      <c r="W2090" s="12">
        <v>30</v>
      </c>
      <c r="X2090" s="13"/>
      <c r="Y2090" s="13"/>
      <c r="Z2090" s="13"/>
      <c r="AA2090" s="13"/>
      <c r="AB2090" s="13"/>
      <c r="AC2090" s="13"/>
      <c r="AD2090" s="13"/>
      <c r="AE2090" s="13">
        <f t="shared" si="219"/>
        <v>9.9000000000000005E-2</v>
      </c>
      <c r="AF2090" s="13"/>
      <c r="AG2090" s="13"/>
      <c r="AH2090" s="13"/>
      <c r="AI2090" s="13"/>
      <c r="AJ2090" s="13">
        <f t="shared" si="218"/>
        <v>9.9000000000000005E-2</v>
      </c>
      <c r="AK2090" s="12"/>
      <c r="AL2090" s="13"/>
      <c r="AM2090" s="9"/>
      <c r="AN2090" s="9"/>
      <c r="AO2090" s="9"/>
      <c r="AP2090" s="14"/>
    </row>
    <row r="2091" spans="1:42" s="45" customFormat="1" ht="22" customHeight="1">
      <c r="A2091" s="14" t="s">
        <v>17</v>
      </c>
      <c r="B2091" s="8">
        <v>2024</v>
      </c>
      <c r="C2091" s="8" t="s">
        <v>24</v>
      </c>
      <c r="D2091" s="9" t="s">
        <v>185</v>
      </c>
      <c r="E2091" s="9" t="s">
        <v>115</v>
      </c>
      <c r="F2091" s="9" t="s">
        <v>434</v>
      </c>
      <c r="G2091" s="8"/>
      <c r="H2091" s="8"/>
      <c r="I2091" s="9" t="s">
        <v>11</v>
      </c>
      <c r="J2091" s="9" t="s">
        <v>11</v>
      </c>
      <c r="K2091" s="9" t="s">
        <v>82</v>
      </c>
      <c r="L2091" s="9" t="s">
        <v>171</v>
      </c>
      <c r="M2091" s="9" t="s">
        <v>860</v>
      </c>
      <c r="N2091" s="9" t="s">
        <v>861</v>
      </c>
      <c r="O2091" s="9" t="s">
        <v>1054</v>
      </c>
      <c r="P2091" s="9" t="s">
        <v>1057</v>
      </c>
      <c r="Q2091" s="11"/>
      <c r="R2091" s="11"/>
      <c r="S2091" s="11">
        <v>37</v>
      </c>
      <c r="T2091" s="9"/>
      <c r="U2091" s="14" t="s">
        <v>77</v>
      </c>
      <c r="V2091" s="9"/>
      <c r="W2091" s="12">
        <v>30</v>
      </c>
      <c r="X2091" s="13"/>
      <c r="Y2091" s="13"/>
      <c r="Z2091" s="13"/>
      <c r="AA2091" s="13"/>
      <c r="AB2091" s="13"/>
      <c r="AC2091" s="13"/>
      <c r="AD2091" s="13"/>
      <c r="AE2091" s="13">
        <f t="shared" si="219"/>
        <v>0.111</v>
      </c>
      <c r="AF2091" s="13"/>
      <c r="AG2091" s="13"/>
      <c r="AH2091" s="13"/>
      <c r="AI2091" s="13"/>
      <c r="AJ2091" s="13">
        <f t="shared" si="218"/>
        <v>0.111</v>
      </c>
      <c r="AK2091" s="12"/>
      <c r="AL2091" s="13"/>
      <c r="AM2091" s="9"/>
      <c r="AN2091" s="9"/>
      <c r="AO2091" s="9"/>
      <c r="AP2091" s="14"/>
    </row>
    <row r="2092" spans="1:42" s="45" customFormat="1" ht="22" customHeight="1">
      <c r="A2092" s="14" t="s">
        <v>17</v>
      </c>
      <c r="B2092" s="8">
        <v>2024</v>
      </c>
      <c r="C2092" s="8" t="s">
        <v>24</v>
      </c>
      <c r="D2092" s="9" t="s">
        <v>185</v>
      </c>
      <c r="E2092" s="9" t="s">
        <v>115</v>
      </c>
      <c r="F2092" s="9" t="s">
        <v>434</v>
      </c>
      <c r="G2092" s="8"/>
      <c r="H2092" s="8"/>
      <c r="I2092" s="9" t="s">
        <v>11</v>
      </c>
      <c r="J2092" s="9" t="s">
        <v>11</v>
      </c>
      <c r="K2092" s="9" t="s">
        <v>82</v>
      </c>
      <c r="L2092" s="9" t="s">
        <v>171</v>
      </c>
      <c r="M2092" s="9" t="s">
        <v>860</v>
      </c>
      <c r="N2092" s="9" t="s">
        <v>861</v>
      </c>
      <c r="O2092" s="9" t="s">
        <v>1054</v>
      </c>
      <c r="P2092" s="9" t="s">
        <v>1058</v>
      </c>
      <c r="Q2092" s="11"/>
      <c r="R2092" s="11"/>
      <c r="S2092" s="11">
        <v>30</v>
      </c>
      <c r="T2092" s="9"/>
      <c r="U2092" s="14" t="s">
        <v>77</v>
      </c>
      <c r="V2092" s="9"/>
      <c r="W2092" s="12">
        <v>30</v>
      </c>
      <c r="X2092" s="13"/>
      <c r="Y2092" s="13"/>
      <c r="Z2092" s="13"/>
      <c r="AA2092" s="13"/>
      <c r="AB2092" s="13"/>
      <c r="AC2092" s="13"/>
      <c r="AD2092" s="13"/>
      <c r="AE2092" s="13">
        <f t="shared" si="219"/>
        <v>0.09</v>
      </c>
      <c r="AF2092" s="13"/>
      <c r="AG2092" s="13"/>
      <c r="AH2092" s="13"/>
      <c r="AI2092" s="13"/>
      <c r="AJ2092" s="13">
        <f t="shared" si="218"/>
        <v>0.09</v>
      </c>
      <c r="AK2092" s="12"/>
      <c r="AL2092" s="13"/>
      <c r="AM2092" s="9"/>
      <c r="AN2092" s="9"/>
      <c r="AO2092" s="9"/>
      <c r="AP2092" s="14"/>
    </row>
    <row r="2093" spans="1:42" s="45" customFormat="1" ht="22" customHeight="1">
      <c r="A2093" s="14" t="s">
        <v>17</v>
      </c>
      <c r="B2093" s="8">
        <v>2024</v>
      </c>
      <c r="C2093" s="8" t="s">
        <v>24</v>
      </c>
      <c r="D2093" s="9" t="s">
        <v>185</v>
      </c>
      <c r="E2093" s="9" t="s">
        <v>115</v>
      </c>
      <c r="F2093" s="9" t="s">
        <v>434</v>
      </c>
      <c r="G2093" s="8"/>
      <c r="H2093" s="8"/>
      <c r="I2093" s="9" t="s">
        <v>11</v>
      </c>
      <c r="J2093" s="9" t="s">
        <v>11</v>
      </c>
      <c r="K2093" s="9" t="s">
        <v>82</v>
      </c>
      <c r="L2093" s="9" t="s">
        <v>171</v>
      </c>
      <c r="M2093" s="9" t="s">
        <v>860</v>
      </c>
      <c r="N2093" s="9" t="s">
        <v>861</v>
      </c>
      <c r="O2093" s="9" t="s">
        <v>1054</v>
      </c>
      <c r="P2093" s="9" t="s">
        <v>1059</v>
      </c>
      <c r="Q2093" s="11"/>
      <c r="R2093" s="11"/>
      <c r="S2093" s="11">
        <v>38</v>
      </c>
      <c r="T2093" s="9"/>
      <c r="U2093" s="14" t="s">
        <v>77</v>
      </c>
      <c r="V2093" s="9"/>
      <c r="W2093" s="12">
        <v>30</v>
      </c>
      <c r="X2093" s="13"/>
      <c r="Y2093" s="13"/>
      <c r="Z2093" s="13"/>
      <c r="AA2093" s="13"/>
      <c r="AB2093" s="13"/>
      <c r="AC2093" s="13"/>
      <c r="AD2093" s="13"/>
      <c r="AE2093" s="13">
        <f t="shared" si="219"/>
        <v>0.114</v>
      </c>
      <c r="AF2093" s="13"/>
      <c r="AG2093" s="13"/>
      <c r="AH2093" s="13"/>
      <c r="AI2093" s="13"/>
      <c r="AJ2093" s="13">
        <f t="shared" si="218"/>
        <v>0.114</v>
      </c>
      <c r="AK2093" s="12"/>
      <c r="AL2093" s="13"/>
      <c r="AM2093" s="9"/>
      <c r="AN2093" s="9"/>
      <c r="AO2093" s="9"/>
      <c r="AP2093" s="14"/>
    </row>
    <row r="2094" spans="1:42" s="45" customFormat="1" ht="22" customHeight="1">
      <c r="A2094" s="14" t="s">
        <v>17</v>
      </c>
      <c r="B2094" s="8">
        <v>2024</v>
      </c>
      <c r="C2094" s="8" t="s">
        <v>24</v>
      </c>
      <c r="D2094" s="9" t="s">
        <v>185</v>
      </c>
      <c r="E2094" s="9" t="s">
        <v>115</v>
      </c>
      <c r="F2094" s="9" t="s">
        <v>434</v>
      </c>
      <c r="G2094" s="8"/>
      <c r="H2094" s="8"/>
      <c r="I2094" s="9" t="s">
        <v>11</v>
      </c>
      <c r="J2094" s="9" t="s">
        <v>11</v>
      </c>
      <c r="K2094" s="9" t="s">
        <v>82</v>
      </c>
      <c r="L2094" s="9" t="s">
        <v>171</v>
      </c>
      <c r="M2094" s="9" t="s">
        <v>860</v>
      </c>
      <c r="N2094" s="9" t="s">
        <v>861</v>
      </c>
      <c r="O2094" s="9" t="s">
        <v>1054</v>
      </c>
      <c r="P2094" s="9" t="s">
        <v>1060</v>
      </c>
      <c r="Q2094" s="11"/>
      <c r="R2094" s="11"/>
      <c r="S2094" s="11">
        <v>48</v>
      </c>
      <c r="T2094" s="9"/>
      <c r="U2094" s="14" t="s">
        <v>77</v>
      </c>
      <c r="V2094" s="9"/>
      <c r="W2094" s="12">
        <v>30</v>
      </c>
      <c r="X2094" s="13"/>
      <c r="Y2094" s="13"/>
      <c r="Z2094" s="13"/>
      <c r="AA2094" s="13"/>
      <c r="AB2094" s="13"/>
      <c r="AC2094" s="13"/>
      <c r="AD2094" s="13"/>
      <c r="AE2094" s="13">
        <f t="shared" si="219"/>
        <v>0.14399999999999999</v>
      </c>
      <c r="AF2094" s="13"/>
      <c r="AG2094" s="13"/>
      <c r="AH2094" s="13"/>
      <c r="AI2094" s="13"/>
      <c r="AJ2094" s="13">
        <f t="shared" ref="AJ2094:AJ2157" si="220">SUBTOTAL(9,X2094:AI2094)</f>
        <v>0.14399999999999999</v>
      </c>
      <c r="AK2094" s="12"/>
      <c r="AL2094" s="13"/>
      <c r="AM2094" s="9"/>
      <c r="AN2094" s="9"/>
      <c r="AO2094" s="9"/>
      <c r="AP2094" s="14"/>
    </row>
    <row r="2095" spans="1:42" s="45" customFormat="1" ht="22" customHeight="1">
      <c r="A2095" s="14" t="s">
        <v>17</v>
      </c>
      <c r="B2095" s="8">
        <v>2024</v>
      </c>
      <c r="C2095" s="8" t="s">
        <v>24</v>
      </c>
      <c r="D2095" s="9" t="s">
        <v>185</v>
      </c>
      <c r="E2095" s="9" t="s">
        <v>115</v>
      </c>
      <c r="F2095" s="9" t="s">
        <v>434</v>
      </c>
      <c r="G2095" s="8"/>
      <c r="H2095" s="8"/>
      <c r="I2095" s="9" t="s">
        <v>11</v>
      </c>
      <c r="J2095" s="9" t="s">
        <v>11</v>
      </c>
      <c r="K2095" s="9" t="s">
        <v>82</v>
      </c>
      <c r="L2095" s="9" t="s">
        <v>171</v>
      </c>
      <c r="M2095" s="9" t="s">
        <v>860</v>
      </c>
      <c r="N2095" s="9" t="s">
        <v>861</v>
      </c>
      <c r="O2095" s="9" t="s">
        <v>1054</v>
      </c>
      <c r="P2095" s="9" t="s">
        <v>366</v>
      </c>
      <c r="Q2095" s="11"/>
      <c r="R2095" s="11"/>
      <c r="S2095" s="11">
        <v>30</v>
      </c>
      <c r="T2095" s="9"/>
      <c r="U2095" s="14" t="s">
        <v>77</v>
      </c>
      <c r="V2095" s="9"/>
      <c r="W2095" s="12">
        <v>30</v>
      </c>
      <c r="X2095" s="13"/>
      <c r="Y2095" s="13"/>
      <c r="Z2095" s="13"/>
      <c r="AA2095" s="13"/>
      <c r="AB2095" s="13"/>
      <c r="AC2095" s="13"/>
      <c r="AD2095" s="13"/>
      <c r="AE2095" s="13">
        <f t="shared" si="219"/>
        <v>0.09</v>
      </c>
      <c r="AF2095" s="13"/>
      <c r="AG2095" s="13"/>
      <c r="AH2095" s="13"/>
      <c r="AI2095" s="13"/>
      <c r="AJ2095" s="13">
        <f t="shared" si="220"/>
        <v>0.09</v>
      </c>
      <c r="AK2095" s="12"/>
      <c r="AL2095" s="13"/>
      <c r="AM2095" s="9"/>
      <c r="AN2095" s="9"/>
      <c r="AO2095" s="9"/>
      <c r="AP2095" s="14"/>
    </row>
    <row r="2096" spans="1:42" s="45" customFormat="1" ht="22" customHeight="1">
      <c r="A2096" s="14" t="s">
        <v>17</v>
      </c>
      <c r="B2096" s="8">
        <v>2024</v>
      </c>
      <c r="C2096" s="8" t="s">
        <v>24</v>
      </c>
      <c r="D2096" s="9" t="s">
        <v>185</v>
      </c>
      <c r="E2096" s="9" t="s">
        <v>115</v>
      </c>
      <c r="F2096" s="9" t="s">
        <v>434</v>
      </c>
      <c r="G2096" s="8"/>
      <c r="H2096" s="8"/>
      <c r="I2096" s="9" t="s">
        <v>11</v>
      </c>
      <c r="J2096" s="9" t="s">
        <v>11</v>
      </c>
      <c r="K2096" s="9" t="s">
        <v>82</v>
      </c>
      <c r="L2096" s="9" t="s">
        <v>171</v>
      </c>
      <c r="M2096" s="9" t="s">
        <v>860</v>
      </c>
      <c r="N2096" s="9" t="s">
        <v>861</v>
      </c>
      <c r="O2096" s="9" t="s">
        <v>1061</v>
      </c>
      <c r="P2096" s="9" t="s">
        <v>1062</v>
      </c>
      <c r="Q2096" s="11"/>
      <c r="R2096" s="11"/>
      <c r="S2096" s="11">
        <v>64</v>
      </c>
      <c r="T2096" s="9"/>
      <c r="U2096" s="14" t="s">
        <v>77</v>
      </c>
      <c r="V2096" s="9"/>
      <c r="W2096" s="12">
        <v>30</v>
      </c>
      <c r="X2096" s="13"/>
      <c r="Y2096" s="13"/>
      <c r="Z2096" s="13"/>
      <c r="AA2096" s="13"/>
      <c r="AB2096" s="13"/>
      <c r="AC2096" s="13"/>
      <c r="AD2096" s="13"/>
      <c r="AE2096" s="13">
        <f t="shared" ref="AE2096:AE2104" si="221">S2096*W2096*100/1000000</f>
        <v>0.192</v>
      </c>
      <c r="AF2096" s="13"/>
      <c r="AG2096" s="13"/>
      <c r="AH2096" s="13"/>
      <c r="AI2096" s="13"/>
      <c r="AJ2096" s="13">
        <f t="shared" si="220"/>
        <v>0.192</v>
      </c>
      <c r="AK2096" s="12"/>
      <c r="AL2096" s="13"/>
      <c r="AM2096" s="9"/>
      <c r="AN2096" s="9"/>
      <c r="AO2096" s="9"/>
      <c r="AP2096" s="14"/>
    </row>
    <row r="2097" spans="1:42" s="45" customFormat="1" ht="22" customHeight="1">
      <c r="A2097" s="14" t="s">
        <v>17</v>
      </c>
      <c r="B2097" s="8">
        <v>2024</v>
      </c>
      <c r="C2097" s="8" t="s">
        <v>24</v>
      </c>
      <c r="D2097" s="9" t="s">
        <v>185</v>
      </c>
      <c r="E2097" s="9" t="s">
        <v>115</v>
      </c>
      <c r="F2097" s="9" t="s">
        <v>434</v>
      </c>
      <c r="G2097" s="8"/>
      <c r="H2097" s="8"/>
      <c r="I2097" s="9" t="s">
        <v>11</v>
      </c>
      <c r="J2097" s="9" t="s">
        <v>11</v>
      </c>
      <c r="K2097" s="9" t="s">
        <v>82</v>
      </c>
      <c r="L2097" s="9" t="s">
        <v>171</v>
      </c>
      <c r="M2097" s="9" t="s">
        <v>860</v>
      </c>
      <c r="N2097" s="9" t="s">
        <v>861</v>
      </c>
      <c r="O2097" s="9" t="s">
        <v>1061</v>
      </c>
      <c r="P2097" s="9" t="s">
        <v>1063</v>
      </c>
      <c r="Q2097" s="11"/>
      <c r="R2097" s="11"/>
      <c r="S2097" s="11">
        <v>39</v>
      </c>
      <c r="T2097" s="9"/>
      <c r="U2097" s="14" t="s">
        <v>77</v>
      </c>
      <c r="V2097" s="9"/>
      <c r="W2097" s="12">
        <v>30</v>
      </c>
      <c r="X2097" s="13"/>
      <c r="Y2097" s="13"/>
      <c r="Z2097" s="13"/>
      <c r="AA2097" s="13"/>
      <c r="AB2097" s="13"/>
      <c r="AC2097" s="13"/>
      <c r="AD2097" s="13"/>
      <c r="AE2097" s="13">
        <f t="shared" si="221"/>
        <v>0.11700000000000001</v>
      </c>
      <c r="AF2097" s="13"/>
      <c r="AG2097" s="13"/>
      <c r="AH2097" s="13"/>
      <c r="AI2097" s="13"/>
      <c r="AJ2097" s="13">
        <f t="shared" si="220"/>
        <v>0.11700000000000001</v>
      </c>
      <c r="AK2097" s="12"/>
      <c r="AL2097" s="13"/>
      <c r="AM2097" s="9"/>
      <c r="AN2097" s="9"/>
      <c r="AO2097" s="9"/>
      <c r="AP2097" s="14"/>
    </row>
    <row r="2098" spans="1:42" s="45" customFormat="1" ht="22" customHeight="1">
      <c r="A2098" s="14" t="s">
        <v>17</v>
      </c>
      <c r="B2098" s="8">
        <v>2024</v>
      </c>
      <c r="C2098" s="8" t="s">
        <v>24</v>
      </c>
      <c r="D2098" s="9" t="s">
        <v>185</v>
      </c>
      <c r="E2098" s="9" t="s">
        <v>115</v>
      </c>
      <c r="F2098" s="9" t="s">
        <v>434</v>
      </c>
      <c r="G2098" s="8"/>
      <c r="H2098" s="8"/>
      <c r="I2098" s="9" t="s">
        <v>11</v>
      </c>
      <c r="J2098" s="9" t="s">
        <v>11</v>
      </c>
      <c r="K2098" s="9" t="s">
        <v>82</v>
      </c>
      <c r="L2098" s="9" t="s">
        <v>171</v>
      </c>
      <c r="M2098" s="9" t="s">
        <v>860</v>
      </c>
      <c r="N2098" s="9" t="s">
        <v>861</v>
      </c>
      <c r="O2098" s="9" t="s">
        <v>1061</v>
      </c>
      <c r="P2098" s="9" t="s">
        <v>1064</v>
      </c>
      <c r="Q2098" s="11"/>
      <c r="R2098" s="11"/>
      <c r="S2098" s="11">
        <v>55</v>
      </c>
      <c r="T2098" s="9"/>
      <c r="U2098" s="14" t="s">
        <v>77</v>
      </c>
      <c r="V2098" s="9"/>
      <c r="W2098" s="12">
        <v>30</v>
      </c>
      <c r="X2098" s="13"/>
      <c r="Y2098" s="13"/>
      <c r="Z2098" s="13"/>
      <c r="AA2098" s="13"/>
      <c r="AB2098" s="13"/>
      <c r="AC2098" s="13"/>
      <c r="AD2098" s="13"/>
      <c r="AE2098" s="13">
        <f t="shared" si="221"/>
        <v>0.16500000000000001</v>
      </c>
      <c r="AF2098" s="13"/>
      <c r="AG2098" s="13"/>
      <c r="AH2098" s="13"/>
      <c r="AI2098" s="13"/>
      <c r="AJ2098" s="13">
        <f t="shared" si="220"/>
        <v>0.16500000000000001</v>
      </c>
      <c r="AK2098" s="12"/>
      <c r="AL2098" s="13"/>
      <c r="AM2098" s="9"/>
      <c r="AN2098" s="9"/>
      <c r="AO2098" s="9"/>
      <c r="AP2098" s="14"/>
    </row>
    <row r="2099" spans="1:42" s="45" customFormat="1" ht="22" customHeight="1">
      <c r="A2099" s="14" t="s">
        <v>17</v>
      </c>
      <c r="B2099" s="8">
        <v>2024</v>
      </c>
      <c r="C2099" s="8" t="s">
        <v>24</v>
      </c>
      <c r="D2099" s="9" t="s">
        <v>185</v>
      </c>
      <c r="E2099" s="9" t="s">
        <v>115</v>
      </c>
      <c r="F2099" s="9" t="s">
        <v>434</v>
      </c>
      <c r="G2099" s="8"/>
      <c r="H2099" s="8"/>
      <c r="I2099" s="9" t="s">
        <v>11</v>
      </c>
      <c r="J2099" s="9" t="s">
        <v>11</v>
      </c>
      <c r="K2099" s="9" t="s">
        <v>82</v>
      </c>
      <c r="L2099" s="9" t="s">
        <v>171</v>
      </c>
      <c r="M2099" s="9" t="s">
        <v>860</v>
      </c>
      <c r="N2099" s="9" t="s">
        <v>861</v>
      </c>
      <c r="O2099" s="9" t="s">
        <v>1061</v>
      </c>
      <c r="P2099" s="9" t="s">
        <v>1065</v>
      </c>
      <c r="Q2099" s="11"/>
      <c r="R2099" s="11"/>
      <c r="S2099" s="11">
        <v>81</v>
      </c>
      <c r="T2099" s="9"/>
      <c r="U2099" s="14" t="s">
        <v>77</v>
      </c>
      <c r="V2099" s="9"/>
      <c r="W2099" s="12">
        <v>30</v>
      </c>
      <c r="X2099" s="13"/>
      <c r="Y2099" s="13"/>
      <c r="Z2099" s="13"/>
      <c r="AA2099" s="13"/>
      <c r="AB2099" s="13"/>
      <c r="AC2099" s="13"/>
      <c r="AD2099" s="13"/>
      <c r="AE2099" s="13">
        <f t="shared" si="221"/>
        <v>0.24299999999999999</v>
      </c>
      <c r="AF2099" s="13"/>
      <c r="AG2099" s="13"/>
      <c r="AH2099" s="13"/>
      <c r="AI2099" s="13"/>
      <c r="AJ2099" s="13">
        <f t="shared" si="220"/>
        <v>0.24299999999999999</v>
      </c>
      <c r="AK2099" s="12"/>
      <c r="AL2099" s="13"/>
      <c r="AM2099" s="9"/>
      <c r="AN2099" s="9"/>
      <c r="AO2099" s="9"/>
      <c r="AP2099" s="14"/>
    </row>
    <row r="2100" spans="1:42" s="45" customFormat="1" ht="22" customHeight="1">
      <c r="A2100" s="14" t="s">
        <v>17</v>
      </c>
      <c r="B2100" s="8">
        <v>2024</v>
      </c>
      <c r="C2100" s="8" t="s">
        <v>24</v>
      </c>
      <c r="D2100" s="9" t="s">
        <v>185</v>
      </c>
      <c r="E2100" s="9" t="s">
        <v>115</v>
      </c>
      <c r="F2100" s="9" t="s">
        <v>434</v>
      </c>
      <c r="G2100" s="8"/>
      <c r="H2100" s="8"/>
      <c r="I2100" s="9" t="s">
        <v>11</v>
      </c>
      <c r="J2100" s="9" t="s">
        <v>11</v>
      </c>
      <c r="K2100" s="9" t="s">
        <v>82</v>
      </c>
      <c r="L2100" s="9" t="s">
        <v>171</v>
      </c>
      <c r="M2100" s="9" t="s">
        <v>860</v>
      </c>
      <c r="N2100" s="9" t="s">
        <v>861</v>
      </c>
      <c r="O2100" s="9" t="s">
        <v>1061</v>
      </c>
      <c r="P2100" s="9" t="s">
        <v>1066</v>
      </c>
      <c r="Q2100" s="11"/>
      <c r="R2100" s="11"/>
      <c r="S2100" s="11">
        <v>68</v>
      </c>
      <c r="T2100" s="9"/>
      <c r="U2100" s="14" t="s">
        <v>77</v>
      </c>
      <c r="V2100" s="9"/>
      <c r="W2100" s="12">
        <v>30</v>
      </c>
      <c r="X2100" s="13"/>
      <c r="Y2100" s="13"/>
      <c r="Z2100" s="13"/>
      <c r="AA2100" s="13"/>
      <c r="AB2100" s="13"/>
      <c r="AC2100" s="13"/>
      <c r="AD2100" s="13"/>
      <c r="AE2100" s="13">
        <f t="shared" si="221"/>
        <v>0.20399999999999999</v>
      </c>
      <c r="AF2100" s="13"/>
      <c r="AG2100" s="13"/>
      <c r="AH2100" s="13"/>
      <c r="AI2100" s="13"/>
      <c r="AJ2100" s="13">
        <f t="shared" si="220"/>
        <v>0.20399999999999999</v>
      </c>
      <c r="AK2100" s="12"/>
      <c r="AL2100" s="13"/>
      <c r="AM2100" s="9"/>
      <c r="AN2100" s="9"/>
      <c r="AO2100" s="9"/>
      <c r="AP2100" s="14"/>
    </row>
    <row r="2101" spans="1:42" s="45" customFormat="1" ht="22" customHeight="1">
      <c r="A2101" s="14" t="s">
        <v>17</v>
      </c>
      <c r="B2101" s="8">
        <v>2024</v>
      </c>
      <c r="C2101" s="8" t="s">
        <v>24</v>
      </c>
      <c r="D2101" s="9" t="s">
        <v>185</v>
      </c>
      <c r="E2101" s="9" t="s">
        <v>115</v>
      </c>
      <c r="F2101" s="9" t="s">
        <v>434</v>
      </c>
      <c r="G2101" s="8"/>
      <c r="H2101" s="8"/>
      <c r="I2101" s="9" t="s">
        <v>11</v>
      </c>
      <c r="J2101" s="9" t="s">
        <v>11</v>
      </c>
      <c r="K2101" s="9" t="s">
        <v>82</v>
      </c>
      <c r="L2101" s="9" t="s">
        <v>171</v>
      </c>
      <c r="M2101" s="9" t="s">
        <v>860</v>
      </c>
      <c r="N2101" s="9" t="s">
        <v>861</v>
      </c>
      <c r="O2101" s="9" t="s">
        <v>1067</v>
      </c>
      <c r="P2101" s="9" t="s">
        <v>1068</v>
      </c>
      <c r="Q2101" s="11"/>
      <c r="R2101" s="11"/>
      <c r="S2101" s="11">
        <v>36</v>
      </c>
      <c r="T2101" s="9"/>
      <c r="U2101" s="14" t="s">
        <v>77</v>
      </c>
      <c r="V2101" s="9"/>
      <c r="W2101" s="12">
        <v>30</v>
      </c>
      <c r="X2101" s="13"/>
      <c r="Y2101" s="13"/>
      <c r="Z2101" s="13"/>
      <c r="AA2101" s="13"/>
      <c r="AB2101" s="13"/>
      <c r="AC2101" s="13"/>
      <c r="AD2101" s="13"/>
      <c r="AE2101" s="13">
        <f t="shared" si="221"/>
        <v>0.108</v>
      </c>
      <c r="AF2101" s="13"/>
      <c r="AG2101" s="13"/>
      <c r="AH2101" s="13"/>
      <c r="AI2101" s="13"/>
      <c r="AJ2101" s="13">
        <f t="shared" si="220"/>
        <v>0.108</v>
      </c>
      <c r="AK2101" s="12"/>
      <c r="AL2101" s="13"/>
      <c r="AM2101" s="9"/>
      <c r="AN2101" s="9"/>
      <c r="AO2101" s="9"/>
      <c r="AP2101" s="14"/>
    </row>
    <row r="2102" spans="1:42" s="45" customFormat="1" ht="22" customHeight="1">
      <c r="A2102" s="14" t="s">
        <v>17</v>
      </c>
      <c r="B2102" s="8">
        <v>2024</v>
      </c>
      <c r="C2102" s="8" t="s">
        <v>24</v>
      </c>
      <c r="D2102" s="9" t="s">
        <v>185</v>
      </c>
      <c r="E2102" s="9" t="s">
        <v>115</v>
      </c>
      <c r="F2102" s="9" t="s">
        <v>434</v>
      </c>
      <c r="G2102" s="8"/>
      <c r="H2102" s="8"/>
      <c r="I2102" s="9" t="s">
        <v>11</v>
      </c>
      <c r="J2102" s="9" t="s">
        <v>11</v>
      </c>
      <c r="K2102" s="9" t="s">
        <v>82</v>
      </c>
      <c r="L2102" s="9" t="s">
        <v>171</v>
      </c>
      <c r="M2102" s="9" t="s">
        <v>860</v>
      </c>
      <c r="N2102" s="9" t="s">
        <v>861</v>
      </c>
      <c r="O2102" s="9" t="s">
        <v>1067</v>
      </c>
      <c r="P2102" s="9" t="s">
        <v>1069</v>
      </c>
      <c r="Q2102" s="11"/>
      <c r="R2102" s="11"/>
      <c r="S2102" s="11">
        <v>34</v>
      </c>
      <c r="T2102" s="9"/>
      <c r="U2102" s="14" t="s">
        <v>77</v>
      </c>
      <c r="V2102" s="9"/>
      <c r="W2102" s="12">
        <v>30</v>
      </c>
      <c r="X2102" s="13"/>
      <c r="Y2102" s="13"/>
      <c r="Z2102" s="13"/>
      <c r="AA2102" s="13"/>
      <c r="AB2102" s="13"/>
      <c r="AC2102" s="13"/>
      <c r="AD2102" s="13"/>
      <c r="AE2102" s="13">
        <f t="shared" si="221"/>
        <v>0.10199999999999999</v>
      </c>
      <c r="AF2102" s="13"/>
      <c r="AG2102" s="13"/>
      <c r="AH2102" s="13"/>
      <c r="AI2102" s="13"/>
      <c r="AJ2102" s="13">
        <f t="shared" si="220"/>
        <v>0.10199999999999999</v>
      </c>
      <c r="AK2102" s="12"/>
      <c r="AL2102" s="13"/>
      <c r="AM2102" s="9"/>
      <c r="AN2102" s="9"/>
      <c r="AO2102" s="9"/>
      <c r="AP2102" s="14"/>
    </row>
    <row r="2103" spans="1:42" s="45" customFormat="1" ht="22" customHeight="1">
      <c r="A2103" s="14" t="s">
        <v>17</v>
      </c>
      <c r="B2103" s="8">
        <v>2024</v>
      </c>
      <c r="C2103" s="8" t="s">
        <v>24</v>
      </c>
      <c r="D2103" s="9" t="s">
        <v>185</v>
      </c>
      <c r="E2103" s="9" t="s">
        <v>115</v>
      </c>
      <c r="F2103" s="9" t="s">
        <v>434</v>
      </c>
      <c r="G2103" s="8"/>
      <c r="H2103" s="8"/>
      <c r="I2103" s="9" t="s">
        <v>11</v>
      </c>
      <c r="J2103" s="9" t="s">
        <v>11</v>
      </c>
      <c r="K2103" s="9" t="s">
        <v>82</v>
      </c>
      <c r="L2103" s="9" t="s">
        <v>171</v>
      </c>
      <c r="M2103" s="9" t="s">
        <v>860</v>
      </c>
      <c r="N2103" s="9" t="s">
        <v>861</v>
      </c>
      <c r="O2103" s="9" t="s">
        <v>1067</v>
      </c>
      <c r="P2103" s="9" t="s">
        <v>1070</v>
      </c>
      <c r="Q2103" s="11"/>
      <c r="R2103" s="11"/>
      <c r="S2103" s="11">
        <v>22</v>
      </c>
      <c r="T2103" s="9"/>
      <c r="U2103" s="14" t="s">
        <v>77</v>
      </c>
      <c r="V2103" s="9"/>
      <c r="W2103" s="12">
        <v>30</v>
      </c>
      <c r="X2103" s="13"/>
      <c r="Y2103" s="13"/>
      <c r="Z2103" s="13"/>
      <c r="AA2103" s="13"/>
      <c r="AB2103" s="13"/>
      <c r="AC2103" s="13"/>
      <c r="AD2103" s="13"/>
      <c r="AE2103" s="13">
        <f t="shared" si="221"/>
        <v>6.6000000000000003E-2</v>
      </c>
      <c r="AF2103" s="13"/>
      <c r="AG2103" s="13"/>
      <c r="AH2103" s="13"/>
      <c r="AI2103" s="13"/>
      <c r="AJ2103" s="13">
        <f t="shared" si="220"/>
        <v>6.6000000000000003E-2</v>
      </c>
      <c r="AK2103" s="12"/>
      <c r="AL2103" s="13"/>
      <c r="AM2103" s="9"/>
      <c r="AN2103" s="9"/>
      <c r="AO2103" s="9"/>
      <c r="AP2103" s="14"/>
    </row>
    <row r="2104" spans="1:42" s="45" customFormat="1" ht="22" customHeight="1">
      <c r="A2104" s="14" t="s">
        <v>17</v>
      </c>
      <c r="B2104" s="8">
        <v>2024</v>
      </c>
      <c r="C2104" s="8" t="s">
        <v>24</v>
      </c>
      <c r="D2104" s="9" t="s">
        <v>185</v>
      </c>
      <c r="E2104" s="9" t="s">
        <v>115</v>
      </c>
      <c r="F2104" s="9" t="s">
        <v>434</v>
      </c>
      <c r="G2104" s="8"/>
      <c r="H2104" s="8"/>
      <c r="I2104" s="9" t="s">
        <v>11</v>
      </c>
      <c r="J2104" s="9" t="s">
        <v>11</v>
      </c>
      <c r="K2104" s="9" t="s">
        <v>82</v>
      </c>
      <c r="L2104" s="9" t="s">
        <v>171</v>
      </c>
      <c r="M2104" s="9" t="s">
        <v>860</v>
      </c>
      <c r="N2104" s="9" t="s">
        <v>861</v>
      </c>
      <c r="O2104" s="9" t="s">
        <v>1067</v>
      </c>
      <c r="P2104" s="9" t="s">
        <v>1071</v>
      </c>
      <c r="Q2104" s="11"/>
      <c r="R2104" s="11"/>
      <c r="S2104" s="11">
        <v>29</v>
      </c>
      <c r="T2104" s="9"/>
      <c r="U2104" s="14" t="s">
        <v>77</v>
      </c>
      <c r="V2104" s="9"/>
      <c r="W2104" s="12">
        <v>30</v>
      </c>
      <c r="X2104" s="13"/>
      <c r="Y2104" s="13"/>
      <c r="Z2104" s="13"/>
      <c r="AA2104" s="13"/>
      <c r="AB2104" s="13"/>
      <c r="AC2104" s="13"/>
      <c r="AD2104" s="13"/>
      <c r="AE2104" s="13">
        <f t="shared" si="221"/>
        <v>8.6999999999999994E-2</v>
      </c>
      <c r="AF2104" s="13"/>
      <c r="AG2104" s="13"/>
      <c r="AH2104" s="13"/>
      <c r="AI2104" s="13"/>
      <c r="AJ2104" s="13">
        <f t="shared" si="220"/>
        <v>8.6999999999999994E-2</v>
      </c>
      <c r="AK2104" s="12"/>
      <c r="AL2104" s="13"/>
      <c r="AM2104" s="9"/>
      <c r="AN2104" s="9"/>
      <c r="AO2104" s="9"/>
      <c r="AP2104" s="14"/>
    </row>
    <row r="2105" spans="1:42" s="45" customFormat="1" ht="22" customHeight="1">
      <c r="A2105" s="14" t="s">
        <v>17</v>
      </c>
      <c r="B2105" s="8">
        <v>2024</v>
      </c>
      <c r="C2105" s="8" t="s">
        <v>24</v>
      </c>
      <c r="D2105" s="9" t="s">
        <v>185</v>
      </c>
      <c r="E2105" s="9" t="s">
        <v>115</v>
      </c>
      <c r="F2105" s="9" t="s">
        <v>434</v>
      </c>
      <c r="G2105" s="8"/>
      <c r="H2105" s="8"/>
      <c r="I2105" s="9" t="s">
        <v>11</v>
      </c>
      <c r="J2105" s="9" t="s">
        <v>11</v>
      </c>
      <c r="K2105" s="9" t="s">
        <v>82</v>
      </c>
      <c r="L2105" s="9" t="s">
        <v>166</v>
      </c>
      <c r="M2105" s="9" t="s">
        <v>1072</v>
      </c>
      <c r="N2105" s="9" t="s">
        <v>1073</v>
      </c>
      <c r="O2105" s="9" t="s">
        <v>324</v>
      </c>
      <c r="P2105" s="9" t="s">
        <v>1074</v>
      </c>
      <c r="Q2105" s="11"/>
      <c r="R2105" s="11"/>
      <c r="S2105" s="11">
        <v>31</v>
      </c>
      <c r="T2105" s="9"/>
      <c r="U2105" s="14" t="s">
        <v>77</v>
      </c>
      <c r="V2105" s="9"/>
      <c r="W2105" s="12">
        <v>60</v>
      </c>
      <c r="X2105" s="13"/>
      <c r="Y2105" s="13"/>
      <c r="Z2105" s="13"/>
      <c r="AA2105" s="13"/>
      <c r="AB2105" s="13"/>
      <c r="AC2105" s="13"/>
      <c r="AD2105" s="13"/>
      <c r="AE2105" s="13">
        <f>+S2105*W2105*100/1000000</f>
        <v>0.186</v>
      </c>
      <c r="AF2105" s="13"/>
      <c r="AG2105" s="13"/>
      <c r="AH2105" s="13"/>
      <c r="AI2105" s="13"/>
      <c r="AJ2105" s="13">
        <f t="shared" si="220"/>
        <v>0.186</v>
      </c>
      <c r="AK2105" s="12"/>
      <c r="AL2105" s="13"/>
      <c r="AM2105" s="9"/>
      <c r="AN2105" s="9"/>
      <c r="AO2105" s="9"/>
      <c r="AP2105" s="14"/>
    </row>
    <row r="2106" spans="1:42" s="45" customFormat="1" ht="22" customHeight="1">
      <c r="A2106" s="14" t="s">
        <v>17</v>
      </c>
      <c r="B2106" s="8">
        <v>2024</v>
      </c>
      <c r="C2106" s="8" t="s">
        <v>24</v>
      </c>
      <c r="D2106" s="9" t="s">
        <v>185</v>
      </c>
      <c r="E2106" s="9" t="s">
        <v>115</v>
      </c>
      <c r="F2106" s="9" t="s">
        <v>434</v>
      </c>
      <c r="G2106" s="8"/>
      <c r="H2106" s="8"/>
      <c r="I2106" s="9" t="s">
        <v>11</v>
      </c>
      <c r="J2106" s="9" t="s">
        <v>11</v>
      </c>
      <c r="K2106" s="9" t="s">
        <v>82</v>
      </c>
      <c r="L2106" s="9" t="s">
        <v>166</v>
      </c>
      <c r="M2106" s="9" t="s">
        <v>1072</v>
      </c>
      <c r="N2106" s="9" t="s">
        <v>1073</v>
      </c>
      <c r="O2106" s="9"/>
      <c r="P2106" s="9" t="s">
        <v>1075</v>
      </c>
      <c r="Q2106" s="11"/>
      <c r="R2106" s="11"/>
      <c r="S2106" s="11">
        <v>22</v>
      </c>
      <c r="T2106" s="9"/>
      <c r="U2106" s="14" t="s">
        <v>77</v>
      </c>
      <c r="V2106" s="9"/>
      <c r="W2106" s="12">
        <v>60</v>
      </c>
      <c r="X2106" s="13"/>
      <c r="Y2106" s="13"/>
      <c r="Z2106" s="13"/>
      <c r="AA2106" s="13"/>
      <c r="AB2106" s="13"/>
      <c r="AC2106" s="13"/>
      <c r="AD2106" s="13"/>
      <c r="AE2106" s="13">
        <f t="shared" ref="AE2106:AE2169" si="222">+S2106*W2106*100/1000000</f>
        <v>0.13200000000000001</v>
      </c>
      <c r="AF2106" s="13"/>
      <c r="AG2106" s="13"/>
      <c r="AH2106" s="13"/>
      <c r="AI2106" s="13"/>
      <c r="AJ2106" s="13">
        <f t="shared" si="220"/>
        <v>0.13200000000000001</v>
      </c>
      <c r="AK2106" s="12"/>
      <c r="AL2106" s="13"/>
      <c r="AM2106" s="9"/>
      <c r="AN2106" s="9"/>
      <c r="AO2106" s="9"/>
      <c r="AP2106" s="14"/>
    </row>
    <row r="2107" spans="1:42" s="45" customFormat="1" ht="22" customHeight="1">
      <c r="A2107" s="14" t="s">
        <v>17</v>
      </c>
      <c r="B2107" s="8">
        <v>2024</v>
      </c>
      <c r="C2107" s="8" t="s">
        <v>24</v>
      </c>
      <c r="D2107" s="9" t="s">
        <v>185</v>
      </c>
      <c r="E2107" s="9" t="s">
        <v>115</v>
      </c>
      <c r="F2107" s="9" t="s">
        <v>434</v>
      </c>
      <c r="G2107" s="8"/>
      <c r="H2107" s="8"/>
      <c r="I2107" s="9" t="s">
        <v>11</v>
      </c>
      <c r="J2107" s="9" t="s">
        <v>11</v>
      </c>
      <c r="K2107" s="9" t="s">
        <v>82</v>
      </c>
      <c r="L2107" s="9" t="s">
        <v>166</v>
      </c>
      <c r="M2107" s="9" t="s">
        <v>1072</v>
      </c>
      <c r="N2107" s="9" t="s">
        <v>1073</v>
      </c>
      <c r="O2107" s="9" t="s">
        <v>1076</v>
      </c>
      <c r="P2107" s="9" t="s">
        <v>1077</v>
      </c>
      <c r="Q2107" s="11"/>
      <c r="R2107" s="11"/>
      <c r="S2107" s="11">
        <v>45</v>
      </c>
      <c r="T2107" s="9"/>
      <c r="U2107" s="14" t="s">
        <v>77</v>
      </c>
      <c r="V2107" s="9"/>
      <c r="W2107" s="12">
        <v>60</v>
      </c>
      <c r="X2107" s="13"/>
      <c r="Y2107" s="13"/>
      <c r="Z2107" s="13"/>
      <c r="AA2107" s="13"/>
      <c r="AB2107" s="13"/>
      <c r="AC2107" s="13"/>
      <c r="AD2107" s="13"/>
      <c r="AE2107" s="13">
        <f t="shared" si="222"/>
        <v>0.27</v>
      </c>
      <c r="AF2107" s="13"/>
      <c r="AG2107" s="13"/>
      <c r="AH2107" s="13"/>
      <c r="AI2107" s="13"/>
      <c r="AJ2107" s="13">
        <f t="shared" si="220"/>
        <v>0.27</v>
      </c>
      <c r="AK2107" s="12"/>
      <c r="AL2107" s="13"/>
      <c r="AM2107" s="9"/>
      <c r="AN2107" s="9"/>
      <c r="AO2107" s="9"/>
      <c r="AP2107" s="14"/>
    </row>
    <row r="2108" spans="1:42" s="45" customFormat="1" ht="22" customHeight="1">
      <c r="A2108" s="14" t="s">
        <v>17</v>
      </c>
      <c r="B2108" s="8">
        <v>2024</v>
      </c>
      <c r="C2108" s="8" t="s">
        <v>24</v>
      </c>
      <c r="D2108" s="9" t="s">
        <v>185</v>
      </c>
      <c r="E2108" s="9" t="s">
        <v>115</v>
      </c>
      <c r="F2108" s="9" t="s">
        <v>434</v>
      </c>
      <c r="G2108" s="8"/>
      <c r="H2108" s="8"/>
      <c r="I2108" s="9" t="s">
        <v>11</v>
      </c>
      <c r="J2108" s="9" t="s">
        <v>11</v>
      </c>
      <c r="K2108" s="9" t="s">
        <v>82</v>
      </c>
      <c r="L2108" s="9" t="s">
        <v>166</v>
      </c>
      <c r="M2108" s="9" t="s">
        <v>1072</v>
      </c>
      <c r="N2108" s="9" t="s">
        <v>1073</v>
      </c>
      <c r="O2108" s="9"/>
      <c r="P2108" s="9" t="s">
        <v>1078</v>
      </c>
      <c r="Q2108" s="11"/>
      <c r="R2108" s="11"/>
      <c r="S2108" s="11">
        <v>7</v>
      </c>
      <c r="T2108" s="9"/>
      <c r="U2108" s="14" t="s">
        <v>77</v>
      </c>
      <c r="V2108" s="9"/>
      <c r="W2108" s="12">
        <v>60</v>
      </c>
      <c r="X2108" s="13"/>
      <c r="Y2108" s="13"/>
      <c r="Z2108" s="13"/>
      <c r="AA2108" s="13"/>
      <c r="AB2108" s="13"/>
      <c r="AC2108" s="13"/>
      <c r="AD2108" s="13"/>
      <c r="AE2108" s="13">
        <f t="shared" si="222"/>
        <v>4.2000000000000003E-2</v>
      </c>
      <c r="AF2108" s="13"/>
      <c r="AG2108" s="13"/>
      <c r="AH2108" s="13"/>
      <c r="AI2108" s="13"/>
      <c r="AJ2108" s="13">
        <f t="shared" si="220"/>
        <v>4.2000000000000003E-2</v>
      </c>
      <c r="AK2108" s="12"/>
      <c r="AL2108" s="13"/>
      <c r="AM2108" s="9"/>
      <c r="AN2108" s="9"/>
      <c r="AO2108" s="9"/>
      <c r="AP2108" s="14"/>
    </row>
    <row r="2109" spans="1:42" s="45" customFormat="1" ht="22" customHeight="1">
      <c r="A2109" s="14" t="s">
        <v>17</v>
      </c>
      <c r="B2109" s="8">
        <v>2024</v>
      </c>
      <c r="C2109" s="8" t="s">
        <v>24</v>
      </c>
      <c r="D2109" s="9" t="s">
        <v>185</v>
      </c>
      <c r="E2109" s="9" t="s">
        <v>115</v>
      </c>
      <c r="F2109" s="9" t="s">
        <v>434</v>
      </c>
      <c r="G2109" s="8"/>
      <c r="H2109" s="8"/>
      <c r="I2109" s="9" t="s">
        <v>11</v>
      </c>
      <c r="J2109" s="9" t="s">
        <v>11</v>
      </c>
      <c r="K2109" s="9" t="s">
        <v>82</v>
      </c>
      <c r="L2109" s="9" t="s">
        <v>166</v>
      </c>
      <c r="M2109" s="9" t="s">
        <v>1072</v>
      </c>
      <c r="N2109" s="9" t="s">
        <v>1073</v>
      </c>
      <c r="O2109" s="9"/>
      <c r="P2109" s="9" t="s">
        <v>1079</v>
      </c>
      <c r="Q2109" s="11"/>
      <c r="R2109" s="11"/>
      <c r="S2109" s="11">
        <v>3</v>
      </c>
      <c r="T2109" s="9"/>
      <c r="U2109" s="14" t="s">
        <v>77</v>
      </c>
      <c r="V2109" s="9"/>
      <c r="W2109" s="12">
        <v>60</v>
      </c>
      <c r="X2109" s="13"/>
      <c r="Y2109" s="13"/>
      <c r="Z2109" s="13"/>
      <c r="AA2109" s="13"/>
      <c r="AB2109" s="13"/>
      <c r="AC2109" s="13"/>
      <c r="AD2109" s="13"/>
      <c r="AE2109" s="13">
        <f t="shared" si="222"/>
        <v>1.7999999999999999E-2</v>
      </c>
      <c r="AF2109" s="13"/>
      <c r="AG2109" s="13"/>
      <c r="AH2109" s="13"/>
      <c r="AI2109" s="13"/>
      <c r="AJ2109" s="13">
        <f t="shared" si="220"/>
        <v>1.7999999999999999E-2</v>
      </c>
      <c r="AK2109" s="12"/>
      <c r="AL2109" s="13"/>
      <c r="AM2109" s="9"/>
      <c r="AN2109" s="9"/>
      <c r="AO2109" s="9"/>
      <c r="AP2109" s="14"/>
    </row>
    <row r="2110" spans="1:42" s="45" customFormat="1" ht="22" customHeight="1">
      <c r="A2110" s="14" t="s">
        <v>17</v>
      </c>
      <c r="B2110" s="8">
        <v>2024</v>
      </c>
      <c r="C2110" s="8" t="s">
        <v>24</v>
      </c>
      <c r="D2110" s="9" t="s">
        <v>185</v>
      </c>
      <c r="E2110" s="9" t="s">
        <v>115</v>
      </c>
      <c r="F2110" s="9" t="s">
        <v>434</v>
      </c>
      <c r="G2110" s="8"/>
      <c r="H2110" s="8"/>
      <c r="I2110" s="9" t="s">
        <v>11</v>
      </c>
      <c r="J2110" s="9" t="s">
        <v>11</v>
      </c>
      <c r="K2110" s="9" t="s">
        <v>82</v>
      </c>
      <c r="L2110" s="9" t="s">
        <v>166</v>
      </c>
      <c r="M2110" s="9" t="s">
        <v>1072</v>
      </c>
      <c r="N2110" s="9" t="s">
        <v>1073</v>
      </c>
      <c r="O2110" s="9" t="s">
        <v>1080</v>
      </c>
      <c r="P2110" s="9" t="s">
        <v>237</v>
      </c>
      <c r="Q2110" s="11"/>
      <c r="R2110" s="11"/>
      <c r="S2110" s="11">
        <v>13</v>
      </c>
      <c r="T2110" s="9"/>
      <c r="U2110" s="14" t="s">
        <v>77</v>
      </c>
      <c r="V2110" s="9"/>
      <c r="W2110" s="12">
        <v>60</v>
      </c>
      <c r="X2110" s="13"/>
      <c r="Y2110" s="13"/>
      <c r="Z2110" s="13"/>
      <c r="AA2110" s="13"/>
      <c r="AB2110" s="13"/>
      <c r="AC2110" s="13"/>
      <c r="AD2110" s="13"/>
      <c r="AE2110" s="13">
        <f t="shared" si="222"/>
        <v>7.8E-2</v>
      </c>
      <c r="AF2110" s="13"/>
      <c r="AG2110" s="13"/>
      <c r="AH2110" s="13"/>
      <c r="AI2110" s="13"/>
      <c r="AJ2110" s="13">
        <f t="shared" si="220"/>
        <v>7.8E-2</v>
      </c>
      <c r="AK2110" s="12"/>
      <c r="AL2110" s="13"/>
      <c r="AM2110" s="9"/>
      <c r="AN2110" s="9"/>
      <c r="AO2110" s="9"/>
      <c r="AP2110" s="14"/>
    </row>
    <row r="2111" spans="1:42" s="45" customFormat="1" ht="22" customHeight="1">
      <c r="A2111" s="14" t="s">
        <v>17</v>
      </c>
      <c r="B2111" s="8">
        <v>2024</v>
      </c>
      <c r="C2111" s="8" t="s">
        <v>24</v>
      </c>
      <c r="D2111" s="9" t="s">
        <v>185</v>
      </c>
      <c r="E2111" s="9" t="s">
        <v>115</v>
      </c>
      <c r="F2111" s="9" t="s">
        <v>434</v>
      </c>
      <c r="G2111" s="8"/>
      <c r="H2111" s="8"/>
      <c r="I2111" s="9" t="s">
        <v>11</v>
      </c>
      <c r="J2111" s="9" t="s">
        <v>11</v>
      </c>
      <c r="K2111" s="9" t="s">
        <v>82</v>
      </c>
      <c r="L2111" s="9" t="s">
        <v>166</v>
      </c>
      <c r="M2111" s="9" t="s">
        <v>1072</v>
      </c>
      <c r="N2111" s="9" t="s">
        <v>1073</v>
      </c>
      <c r="O2111" s="9"/>
      <c r="P2111" s="9" t="s">
        <v>1081</v>
      </c>
      <c r="Q2111" s="11"/>
      <c r="R2111" s="11"/>
      <c r="S2111" s="11">
        <v>16</v>
      </c>
      <c r="T2111" s="9"/>
      <c r="U2111" s="14" t="s">
        <v>77</v>
      </c>
      <c r="V2111" s="9"/>
      <c r="W2111" s="12">
        <v>60</v>
      </c>
      <c r="X2111" s="13"/>
      <c r="Y2111" s="13"/>
      <c r="Z2111" s="13"/>
      <c r="AA2111" s="13"/>
      <c r="AB2111" s="13"/>
      <c r="AC2111" s="13"/>
      <c r="AD2111" s="13"/>
      <c r="AE2111" s="13">
        <f t="shared" si="222"/>
        <v>9.6000000000000002E-2</v>
      </c>
      <c r="AF2111" s="13"/>
      <c r="AG2111" s="13"/>
      <c r="AH2111" s="13"/>
      <c r="AI2111" s="13"/>
      <c r="AJ2111" s="13">
        <f t="shared" si="220"/>
        <v>9.6000000000000002E-2</v>
      </c>
      <c r="AK2111" s="12"/>
      <c r="AL2111" s="13"/>
      <c r="AM2111" s="9"/>
      <c r="AN2111" s="9"/>
      <c r="AO2111" s="9"/>
      <c r="AP2111" s="14"/>
    </row>
    <row r="2112" spans="1:42" s="45" customFormat="1" ht="22" customHeight="1">
      <c r="A2112" s="14" t="s">
        <v>17</v>
      </c>
      <c r="B2112" s="8">
        <v>2024</v>
      </c>
      <c r="C2112" s="8" t="s">
        <v>24</v>
      </c>
      <c r="D2112" s="9" t="s">
        <v>185</v>
      </c>
      <c r="E2112" s="9" t="s">
        <v>115</v>
      </c>
      <c r="F2112" s="9" t="s">
        <v>434</v>
      </c>
      <c r="G2112" s="8"/>
      <c r="H2112" s="8"/>
      <c r="I2112" s="9" t="s">
        <v>11</v>
      </c>
      <c r="J2112" s="9" t="s">
        <v>11</v>
      </c>
      <c r="K2112" s="9" t="s">
        <v>82</v>
      </c>
      <c r="L2112" s="9" t="s">
        <v>166</v>
      </c>
      <c r="M2112" s="9" t="s">
        <v>1072</v>
      </c>
      <c r="N2112" s="9" t="s">
        <v>1073</v>
      </c>
      <c r="O2112" s="9"/>
      <c r="P2112" s="9" t="s">
        <v>1082</v>
      </c>
      <c r="Q2112" s="11"/>
      <c r="R2112" s="11"/>
      <c r="S2112" s="11">
        <v>20</v>
      </c>
      <c r="T2112" s="9"/>
      <c r="U2112" s="14" t="s">
        <v>77</v>
      </c>
      <c r="V2112" s="9"/>
      <c r="W2112" s="12">
        <v>60</v>
      </c>
      <c r="X2112" s="13"/>
      <c r="Y2112" s="13"/>
      <c r="Z2112" s="13"/>
      <c r="AA2112" s="13"/>
      <c r="AB2112" s="13"/>
      <c r="AC2112" s="13"/>
      <c r="AD2112" s="13"/>
      <c r="AE2112" s="13">
        <f t="shared" si="222"/>
        <v>0.12</v>
      </c>
      <c r="AF2112" s="13"/>
      <c r="AG2112" s="13"/>
      <c r="AH2112" s="13"/>
      <c r="AI2112" s="13"/>
      <c r="AJ2112" s="13">
        <f t="shared" si="220"/>
        <v>0.12</v>
      </c>
      <c r="AK2112" s="12"/>
      <c r="AL2112" s="13"/>
      <c r="AM2112" s="9"/>
      <c r="AN2112" s="9"/>
      <c r="AO2112" s="9"/>
      <c r="AP2112" s="14"/>
    </row>
    <row r="2113" spans="1:42" s="45" customFormat="1" ht="22" customHeight="1">
      <c r="A2113" s="14" t="s">
        <v>17</v>
      </c>
      <c r="B2113" s="8">
        <v>2024</v>
      </c>
      <c r="C2113" s="8" t="s">
        <v>24</v>
      </c>
      <c r="D2113" s="9" t="s">
        <v>185</v>
      </c>
      <c r="E2113" s="9" t="s">
        <v>115</v>
      </c>
      <c r="F2113" s="9" t="s">
        <v>434</v>
      </c>
      <c r="G2113" s="8"/>
      <c r="H2113" s="8"/>
      <c r="I2113" s="9" t="s">
        <v>11</v>
      </c>
      <c r="J2113" s="9" t="s">
        <v>11</v>
      </c>
      <c r="K2113" s="9" t="s">
        <v>82</v>
      </c>
      <c r="L2113" s="9" t="s">
        <v>166</v>
      </c>
      <c r="M2113" s="9" t="s">
        <v>1072</v>
      </c>
      <c r="N2113" s="9" t="s">
        <v>1073</v>
      </c>
      <c r="O2113" s="9"/>
      <c r="P2113" s="9" t="s">
        <v>1083</v>
      </c>
      <c r="Q2113" s="11"/>
      <c r="R2113" s="11"/>
      <c r="S2113" s="11">
        <v>9</v>
      </c>
      <c r="T2113" s="9"/>
      <c r="U2113" s="14" t="s">
        <v>77</v>
      </c>
      <c r="V2113" s="9"/>
      <c r="W2113" s="12">
        <v>60</v>
      </c>
      <c r="X2113" s="13"/>
      <c r="Y2113" s="13"/>
      <c r="Z2113" s="13"/>
      <c r="AA2113" s="13"/>
      <c r="AB2113" s="13"/>
      <c r="AC2113" s="13"/>
      <c r="AD2113" s="13"/>
      <c r="AE2113" s="13">
        <f t="shared" si="222"/>
        <v>5.3999999999999999E-2</v>
      </c>
      <c r="AF2113" s="13"/>
      <c r="AG2113" s="13"/>
      <c r="AH2113" s="13"/>
      <c r="AI2113" s="13"/>
      <c r="AJ2113" s="13">
        <f t="shared" si="220"/>
        <v>5.3999999999999999E-2</v>
      </c>
      <c r="AK2113" s="12"/>
      <c r="AL2113" s="13"/>
      <c r="AM2113" s="9"/>
      <c r="AN2113" s="9"/>
      <c r="AO2113" s="9"/>
      <c r="AP2113" s="14"/>
    </row>
    <row r="2114" spans="1:42" s="45" customFormat="1" ht="22" customHeight="1">
      <c r="A2114" s="14" t="s">
        <v>17</v>
      </c>
      <c r="B2114" s="8">
        <v>2024</v>
      </c>
      <c r="C2114" s="8" t="s">
        <v>24</v>
      </c>
      <c r="D2114" s="9" t="s">
        <v>185</v>
      </c>
      <c r="E2114" s="9" t="s">
        <v>115</v>
      </c>
      <c r="F2114" s="9" t="s">
        <v>434</v>
      </c>
      <c r="G2114" s="8"/>
      <c r="H2114" s="8"/>
      <c r="I2114" s="9" t="s">
        <v>11</v>
      </c>
      <c r="J2114" s="9" t="s">
        <v>11</v>
      </c>
      <c r="K2114" s="9" t="s">
        <v>82</v>
      </c>
      <c r="L2114" s="9" t="s">
        <v>166</v>
      </c>
      <c r="M2114" s="9" t="s">
        <v>1072</v>
      </c>
      <c r="N2114" s="9" t="s">
        <v>1073</v>
      </c>
      <c r="O2114" s="9"/>
      <c r="P2114" s="9" t="s">
        <v>395</v>
      </c>
      <c r="Q2114" s="11"/>
      <c r="R2114" s="11"/>
      <c r="S2114" s="11">
        <v>5</v>
      </c>
      <c r="T2114" s="9"/>
      <c r="U2114" s="14" t="s">
        <v>77</v>
      </c>
      <c r="V2114" s="9"/>
      <c r="W2114" s="12">
        <v>60</v>
      </c>
      <c r="X2114" s="13"/>
      <c r="Y2114" s="13"/>
      <c r="Z2114" s="13"/>
      <c r="AA2114" s="13"/>
      <c r="AB2114" s="13"/>
      <c r="AC2114" s="13"/>
      <c r="AD2114" s="13"/>
      <c r="AE2114" s="13">
        <f t="shared" si="222"/>
        <v>0.03</v>
      </c>
      <c r="AF2114" s="13"/>
      <c r="AG2114" s="13"/>
      <c r="AH2114" s="13"/>
      <c r="AI2114" s="13"/>
      <c r="AJ2114" s="13">
        <f t="shared" si="220"/>
        <v>0.03</v>
      </c>
      <c r="AK2114" s="12"/>
      <c r="AL2114" s="13"/>
      <c r="AM2114" s="9"/>
      <c r="AN2114" s="9"/>
      <c r="AO2114" s="9"/>
      <c r="AP2114" s="14"/>
    </row>
    <row r="2115" spans="1:42" s="45" customFormat="1" ht="22" customHeight="1">
      <c r="A2115" s="14" t="s">
        <v>17</v>
      </c>
      <c r="B2115" s="8">
        <v>2024</v>
      </c>
      <c r="C2115" s="8" t="s">
        <v>24</v>
      </c>
      <c r="D2115" s="9" t="s">
        <v>185</v>
      </c>
      <c r="E2115" s="9" t="s">
        <v>115</v>
      </c>
      <c r="F2115" s="9" t="s">
        <v>434</v>
      </c>
      <c r="G2115" s="8"/>
      <c r="H2115" s="8"/>
      <c r="I2115" s="9" t="s">
        <v>11</v>
      </c>
      <c r="J2115" s="9" t="s">
        <v>11</v>
      </c>
      <c r="K2115" s="9" t="s">
        <v>82</v>
      </c>
      <c r="L2115" s="9" t="s">
        <v>166</v>
      </c>
      <c r="M2115" s="9" t="s">
        <v>1072</v>
      </c>
      <c r="N2115" s="9" t="s">
        <v>1073</v>
      </c>
      <c r="O2115" s="9" t="s">
        <v>1084</v>
      </c>
      <c r="P2115" s="9" t="s">
        <v>233</v>
      </c>
      <c r="Q2115" s="11"/>
      <c r="R2115" s="11"/>
      <c r="S2115" s="11">
        <v>35</v>
      </c>
      <c r="T2115" s="9"/>
      <c r="U2115" s="14" t="s">
        <v>77</v>
      </c>
      <c r="V2115" s="9"/>
      <c r="W2115" s="12">
        <v>60</v>
      </c>
      <c r="X2115" s="13"/>
      <c r="Y2115" s="13"/>
      <c r="Z2115" s="13"/>
      <c r="AA2115" s="13"/>
      <c r="AB2115" s="13"/>
      <c r="AC2115" s="13"/>
      <c r="AD2115" s="13"/>
      <c r="AE2115" s="13">
        <f t="shared" si="222"/>
        <v>0.21</v>
      </c>
      <c r="AF2115" s="13"/>
      <c r="AG2115" s="13"/>
      <c r="AH2115" s="13"/>
      <c r="AI2115" s="13"/>
      <c r="AJ2115" s="13">
        <f t="shared" si="220"/>
        <v>0.21</v>
      </c>
      <c r="AK2115" s="12"/>
      <c r="AL2115" s="13"/>
      <c r="AM2115" s="9"/>
      <c r="AN2115" s="9"/>
      <c r="AO2115" s="9"/>
      <c r="AP2115" s="14"/>
    </row>
    <row r="2116" spans="1:42" s="45" customFormat="1" ht="22" customHeight="1">
      <c r="A2116" s="14" t="s">
        <v>17</v>
      </c>
      <c r="B2116" s="8">
        <v>2024</v>
      </c>
      <c r="C2116" s="8" t="s">
        <v>24</v>
      </c>
      <c r="D2116" s="9" t="s">
        <v>185</v>
      </c>
      <c r="E2116" s="9" t="s">
        <v>115</v>
      </c>
      <c r="F2116" s="9" t="s">
        <v>434</v>
      </c>
      <c r="G2116" s="8"/>
      <c r="H2116" s="8"/>
      <c r="I2116" s="9" t="s">
        <v>11</v>
      </c>
      <c r="J2116" s="9" t="s">
        <v>11</v>
      </c>
      <c r="K2116" s="9" t="s">
        <v>82</v>
      </c>
      <c r="L2116" s="9" t="s">
        <v>166</v>
      </c>
      <c r="M2116" s="9" t="s">
        <v>1072</v>
      </c>
      <c r="N2116" s="9" t="s">
        <v>1073</v>
      </c>
      <c r="O2116" s="9" t="s">
        <v>1085</v>
      </c>
      <c r="P2116" s="9" t="s">
        <v>1086</v>
      </c>
      <c r="Q2116" s="11"/>
      <c r="R2116" s="11"/>
      <c r="S2116" s="11">
        <v>27</v>
      </c>
      <c r="T2116" s="9"/>
      <c r="U2116" s="14" t="s">
        <v>77</v>
      </c>
      <c r="V2116" s="9"/>
      <c r="W2116" s="12">
        <v>60</v>
      </c>
      <c r="X2116" s="13"/>
      <c r="Y2116" s="13"/>
      <c r="Z2116" s="13"/>
      <c r="AA2116" s="13"/>
      <c r="AB2116" s="13"/>
      <c r="AC2116" s="13"/>
      <c r="AD2116" s="13"/>
      <c r="AE2116" s="13">
        <f t="shared" si="222"/>
        <v>0.16200000000000001</v>
      </c>
      <c r="AF2116" s="13"/>
      <c r="AG2116" s="13"/>
      <c r="AH2116" s="13"/>
      <c r="AI2116" s="13"/>
      <c r="AJ2116" s="13">
        <f t="shared" si="220"/>
        <v>0.16200000000000001</v>
      </c>
      <c r="AK2116" s="12"/>
      <c r="AL2116" s="13"/>
      <c r="AM2116" s="9"/>
      <c r="AN2116" s="9"/>
      <c r="AO2116" s="9"/>
      <c r="AP2116" s="14"/>
    </row>
    <row r="2117" spans="1:42" s="45" customFormat="1" ht="22" customHeight="1">
      <c r="A2117" s="14" t="s">
        <v>17</v>
      </c>
      <c r="B2117" s="8">
        <v>2024</v>
      </c>
      <c r="C2117" s="8" t="s">
        <v>24</v>
      </c>
      <c r="D2117" s="9" t="s">
        <v>185</v>
      </c>
      <c r="E2117" s="9" t="s">
        <v>115</v>
      </c>
      <c r="F2117" s="9" t="s">
        <v>434</v>
      </c>
      <c r="G2117" s="8"/>
      <c r="H2117" s="8"/>
      <c r="I2117" s="9" t="s">
        <v>11</v>
      </c>
      <c r="J2117" s="9" t="s">
        <v>11</v>
      </c>
      <c r="K2117" s="9" t="s">
        <v>82</v>
      </c>
      <c r="L2117" s="9" t="s">
        <v>166</v>
      </c>
      <c r="M2117" s="9" t="s">
        <v>1072</v>
      </c>
      <c r="N2117" s="9" t="s">
        <v>1073</v>
      </c>
      <c r="O2117" s="9" t="s">
        <v>1087</v>
      </c>
      <c r="P2117" s="9" t="s">
        <v>387</v>
      </c>
      <c r="Q2117" s="11"/>
      <c r="R2117" s="11"/>
      <c r="S2117" s="11">
        <v>37</v>
      </c>
      <c r="T2117" s="9"/>
      <c r="U2117" s="14" t="s">
        <v>77</v>
      </c>
      <c r="V2117" s="9"/>
      <c r="W2117" s="12">
        <v>60</v>
      </c>
      <c r="X2117" s="13"/>
      <c r="Y2117" s="13"/>
      <c r="Z2117" s="13"/>
      <c r="AA2117" s="13"/>
      <c r="AB2117" s="13"/>
      <c r="AC2117" s="13"/>
      <c r="AD2117" s="13"/>
      <c r="AE2117" s="13">
        <f t="shared" si="222"/>
        <v>0.222</v>
      </c>
      <c r="AF2117" s="13"/>
      <c r="AG2117" s="13"/>
      <c r="AH2117" s="13"/>
      <c r="AI2117" s="13"/>
      <c r="AJ2117" s="13">
        <f t="shared" si="220"/>
        <v>0.222</v>
      </c>
      <c r="AK2117" s="12"/>
      <c r="AL2117" s="13"/>
      <c r="AM2117" s="9"/>
      <c r="AN2117" s="9"/>
      <c r="AO2117" s="9"/>
      <c r="AP2117" s="14"/>
    </row>
    <row r="2118" spans="1:42" s="45" customFormat="1" ht="22" customHeight="1">
      <c r="A2118" s="14" t="s">
        <v>17</v>
      </c>
      <c r="B2118" s="8">
        <v>2024</v>
      </c>
      <c r="C2118" s="8" t="s">
        <v>24</v>
      </c>
      <c r="D2118" s="9" t="s">
        <v>185</v>
      </c>
      <c r="E2118" s="9" t="s">
        <v>115</v>
      </c>
      <c r="F2118" s="9" t="s">
        <v>434</v>
      </c>
      <c r="G2118" s="8"/>
      <c r="H2118" s="8"/>
      <c r="I2118" s="9" t="s">
        <v>11</v>
      </c>
      <c r="J2118" s="9" t="s">
        <v>11</v>
      </c>
      <c r="K2118" s="9" t="s">
        <v>82</v>
      </c>
      <c r="L2118" s="9" t="s">
        <v>166</v>
      </c>
      <c r="M2118" s="9" t="s">
        <v>1072</v>
      </c>
      <c r="N2118" s="9" t="s">
        <v>1073</v>
      </c>
      <c r="O2118" s="9" t="s">
        <v>1088</v>
      </c>
      <c r="P2118" s="9" t="s">
        <v>1089</v>
      </c>
      <c r="Q2118" s="11"/>
      <c r="R2118" s="11"/>
      <c r="S2118" s="11">
        <v>17</v>
      </c>
      <c r="T2118" s="9"/>
      <c r="U2118" s="14" t="s">
        <v>77</v>
      </c>
      <c r="V2118" s="9"/>
      <c r="W2118" s="12">
        <v>60</v>
      </c>
      <c r="X2118" s="13"/>
      <c r="Y2118" s="13"/>
      <c r="Z2118" s="13"/>
      <c r="AA2118" s="13"/>
      <c r="AB2118" s="13"/>
      <c r="AC2118" s="13"/>
      <c r="AD2118" s="13"/>
      <c r="AE2118" s="13">
        <f t="shared" si="222"/>
        <v>0.10199999999999999</v>
      </c>
      <c r="AF2118" s="13"/>
      <c r="AG2118" s="13"/>
      <c r="AH2118" s="13"/>
      <c r="AI2118" s="13"/>
      <c r="AJ2118" s="13">
        <f t="shared" si="220"/>
        <v>0.10199999999999999</v>
      </c>
      <c r="AK2118" s="12"/>
      <c r="AL2118" s="13"/>
      <c r="AM2118" s="9"/>
      <c r="AN2118" s="9"/>
      <c r="AO2118" s="9"/>
      <c r="AP2118" s="14"/>
    </row>
    <row r="2119" spans="1:42" s="45" customFormat="1" ht="22" customHeight="1">
      <c r="A2119" s="14" t="s">
        <v>17</v>
      </c>
      <c r="B2119" s="8">
        <v>2024</v>
      </c>
      <c r="C2119" s="8" t="s">
        <v>24</v>
      </c>
      <c r="D2119" s="9" t="s">
        <v>185</v>
      </c>
      <c r="E2119" s="9" t="s">
        <v>115</v>
      </c>
      <c r="F2119" s="9" t="s">
        <v>434</v>
      </c>
      <c r="G2119" s="8"/>
      <c r="H2119" s="8"/>
      <c r="I2119" s="9" t="s">
        <v>11</v>
      </c>
      <c r="J2119" s="9" t="s">
        <v>11</v>
      </c>
      <c r="K2119" s="9" t="s">
        <v>82</v>
      </c>
      <c r="L2119" s="9" t="s">
        <v>166</v>
      </c>
      <c r="M2119" s="9" t="s">
        <v>1072</v>
      </c>
      <c r="N2119" s="9" t="s">
        <v>1073</v>
      </c>
      <c r="O2119" s="9"/>
      <c r="P2119" s="9" t="s">
        <v>1090</v>
      </c>
      <c r="Q2119" s="11"/>
      <c r="R2119" s="11"/>
      <c r="S2119" s="11">
        <v>12</v>
      </c>
      <c r="T2119" s="9"/>
      <c r="U2119" s="14" t="s">
        <v>77</v>
      </c>
      <c r="V2119" s="9"/>
      <c r="W2119" s="12">
        <v>60</v>
      </c>
      <c r="X2119" s="13"/>
      <c r="Y2119" s="13"/>
      <c r="Z2119" s="13"/>
      <c r="AA2119" s="13"/>
      <c r="AB2119" s="13"/>
      <c r="AC2119" s="13"/>
      <c r="AD2119" s="13"/>
      <c r="AE2119" s="13">
        <f t="shared" si="222"/>
        <v>7.1999999999999995E-2</v>
      </c>
      <c r="AF2119" s="13"/>
      <c r="AG2119" s="13"/>
      <c r="AH2119" s="13"/>
      <c r="AI2119" s="13"/>
      <c r="AJ2119" s="13">
        <f t="shared" si="220"/>
        <v>7.1999999999999995E-2</v>
      </c>
      <c r="AK2119" s="12"/>
      <c r="AL2119" s="13"/>
      <c r="AM2119" s="9"/>
      <c r="AN2119" s="9"/>
      <c r="AO2119" s="9"/>
      <c r="AP2119" s="14"/>
    </row>
    <row r="2120" spans="1:42" s="45" customFormat="1" ht="22" customHeight="1">
      <c r="A2120" s="14" t="s">
        <v>17</v>
      </c>
      <c r="B2120" s="8">
        <v>2024</v>
      </c>
      <c r="C2120" s="8" t="s">
        <v>24</v>
      </c>
      <c r="D2120" s="9" t="s">
        <v>185</v>
      </c>
      <c r="E2120" s="9" t="s">
        <v>115</v>
      </c>
      <c r="F2120" s="9" t="s">
        <v>434</v>
      </c>
      <c r="G2120" s="8"/>
      <c r="H2120" s="8"/>
      <c r="I2120" s="9" t="s">
        <v>11</v>
      </c>
      <c r="J2120" s="9" t="s">
        <v>11</v>
      </c>
      <c r="K2120" s="9" t="s">
        <v>82</v>
      </c>
      <c r="L2120" s="9" t="s">
        <v>166</v>
      </c>
      <c r="M2120" s="9" t="s">
        <v>1072</v>
      </c>
      <c r="N2120" s="9" t="s">
        <v>1073</v>
      </c>
      <c r="O2120" s="9"/>
      <c r="P2120" s="9" t="s">
        <v>1091</v>
      </c>
      <c r="Q2120" s="11"/>
      <c r="R2120" s="11"/>
      <c r="S2120" s="11">
        <v>6</v>
      </c>
      <c r="T2120" s="9"/>
      <c r="U2120" s="14" t="s">
        <v>77</v>
      </c>
      <c r="V2120" s="9"/>
      <c r="W2120" s="12">
        <v>60</v>
      </c>
      <c r="X2120" s="13"/>
      <c r="Y2120" s="13"/>
      <c r="Z2120" s="13"/>
      <c r="AA2120" s="13"/>
      <c r="AB2120" s="13"/>
      <c r="AC2120" s="13"/>
      <c r="AD2120" s="13"/>
      <c r="AE2120" s="13">
        <f t="shared" si="222"/>
        <v>3.5999999999999997E-2</v>
      </c>
      <c r="AF2120" s="13"/>
      <c r="AG2120" s="13"/>
      <c r="AH2120" s="13"/>
      <c r="AI2120" s="13"/>
      <c r="AJ2120" s="13">
        <f t="shared" si="220"/>
        <v>3.5999999999999997E-2</v>
      </c>
      <c r="AK2120" s="12"/>
      <c r="AL2120" s="13"/>
      <c r="AM2120" s="9"/>
      <c r="AN2120" s="9"/>
      <c r="AO2120" s="9"/>
      <c r="AP2120" s="14"/>
    </row>
    <row r="2121" spans="1:42" s="45" customFormat="1" ht="22" customHeight="1">
      <c r="A2121" s="14" t="s">
        <v>17</v>
      </c>
      <c r="B2121" s="8">
        <v>2024</v>
      </c>
      <c r="C2121" s="8" t="s">
        <v>24</v>
      </c>
      <c r="D2121" s="9" t="s">
        <v>185</v>
      </c>
      <c r="E2121" s="9" t="s">
        <v>115</v>
      </c>
      <c r="F2121" s="9" t="s">
        <v>434</v>
      </c>
      <c r="G2121" s="8"/>
      <c r="H2121" s="8"/>
      <c r="I2121" s="9" t="s">
        <v>11</v>
      </c>
      <c r="J2121" s="9" t="s">
        <v>11</v>
      </c>
      <c r="K2121" s="9" t="s">
        <v>82</v>
      </c>
      <c r="L2121" s="9" t="s">
        <v>166</v>
      </c>
      <c r="M2121" s="9" t="s">
        <v>1072</v>
      </c>
      <c r="N2121" s="9" t="s">
        <v>1073</v>
      </c>
      <c r="O2121" s="9" t="s">
        <v>1092</v>
      </c>
      <c r="P2121" s="9" t="s">
        <v>1093</v>
      </c>
      <c r="Q2121" s="11"/>
      <c r="R2121" s="11"/>
      <c r="S2121" s="11">
        <v>16</v>
      </c>
      <c r="T2121" s="9"/>
      <c r="U2121" s="14" t="s">
        <v>77</v>
      </c>
      <c r="V2121" s="9"/>
      <c r="W2121" s="12">
        <v>60</v>
      </c>
      <c r="X2121" s="13"/>
      <c r="Y2121" s="13"/>
      <c r="Z2121" s="13"/>
      <c r="AA2121" s="13"/>
      <c r="AB2121" s="13"/>
      <c r="AC2121" s="13"/>
      <c r="AD2121" s="13"/>
      <c r="AE2121" s="13">
        <f t="shared" si="222"/>
        <v>9.6000000000000002E-2</v>
      </c>
      <c r="AF2121" s="13"/>
      <c r="AG2121" s="13"/>
      <c r="AH2121" s="13"/>
      <c r="AI2121" s="13"/>
      <c r="AJ2121" s="13">
        <f t="shared" si="220"/>
        <v>9.6000000000000002E-2</v>
      </c>
      <c r="AK2121" s="12"/>
      <c r="AL2121" s="13"/>
      <c r="AM2121" s="9"/>
      <c r="AN2121" s="9"/>
      <c r="AO2121" s="9"/>
      <c r="AP2121" s="14"/>
    </row>
    <row r="2122" spans="1:42" s="45" customFormat="1" ht="22" customHeight="1">
      <c r="A2122" s="14" t="s">
        <v>17</v>
      </c>
      <c r="B2122" s="8">
        <v>2024</v>
      </c>
      <c r="C2122" s="8" t="s">
        <v>24</v>
      </c>
      <c r="D2122" s="9" t="s">
        <v>185</v>
      </c>
      <c r="E2122" s="9" t="s">
        <v>115</v>
      </c>
      <c r="F2122" s="9" t="s">
        <v>434</v>
      </c>
      <c r="G2122" s="8"/>
      <c r="H2122" s="8"/>
      <c r="I2122" s="9" t="s">
        <v>11</v>
      </c>
      <c r="J2122" s="9" t="s">
        <v>11</v>
      </c>
      <c r="K2122" s="9" t="s">
        <v>82</v>
      </c>
      <c r="L2122" s="9" t="s">
        <v>166</v>
      </c>
      <c r="M2122" s="9" t="s">
        <v>1072</v>
      </c>
      <c r="N2122" s="9" t="s">
        <v>1073</v>
      </c>
      <c r="O2122" s="9" t="s">
        <v>1094</v>
      </c>
      <c r="P2122" s="9" t="s">
        <v>240</v>
      </c>
      <c r="Q2122" s="11"/>
      <c r="R2122" s="11"/>
      <c r="S2122" s="11">
        <v>40</v>
      </c>
      <c r="T2122" s="9"/>
      <c r="U2122" s="14" t="s">
        <v>77</v>
      </c>
      <c r="V2122" s="9"/>
      <c r="W2122" s="12">
        <v>60</v>
      </c>
      <c r="X2122" s="13"/>
      <c r="Y2122" s="13"/>
      <c r="Z2122" s="13"/>
      <c r="AA2122" s="13"/>
      <c r="AB2122" s="13"/>
      <c r="AC2122" s="13"/>
      <c r="AD2122" s="13"/>
      <c r="AE2122" s="13">
        <f t="shared" si="222"/>
        <v>0.24</v>
      </c>
      <c r="AF2122" s="13"/>
      <c r="AG2122" s="13"/>
      <c r="AH2122" s="13"/>
      <c r="AI2122" s="13"/>
      <c r="AJ2122" s="13">
        <f t="shared" si="220"/>
        <v>0.24</v>
      </c>
      <c r="AK2122" s="12"/>
      <c r="AL2122" s="13"/>
      <c r="AM2122" s="9"/>
      <c r="AN2122" s="9"/>
      <c r="AO2122" s="9"/>
      <c r="AP2122" s="14"/>
    </row>
    <row r="2123" spans="1:42" s="45" customFormat="1" ht="22" customHeight="1">
      <c r="A2123" s="14" t="s">
        <v>17</v>
      </c>
      <c r="B2123" s="8">
        <v>2024</v>
      </c>
      <c r="C2123" s="8" t="s">
        <v>24</v>
      </c>
      <c r="D2123" s="9" t="s">
        <v>185</v>
      </c>
      <c r="E2123" s="9" t="s">
        <v>115</v>
      </c>
      <c r="F2123" s="9" t="s">
        <v>434</v>
      </c>
      <c r="G2123" s="8"/>
      <c r="H2123" s="8"/>
      <c r="I2123" s="9" t="s">
        <v>11</v>
      </c>
      <c r="J2123" s="9" t="s">
        <v>11</v>
      </c>
      <c r="K2123" s="9" t="s">
        <v>82</v>
      </c>
      <c r="L2123" s="9" t="s">
        <v>166</v>
      </c>
      <c r="M2123" s="9" t="s">
        <v>1072</v>
      </c>
      <c r="N2123" s="9" t="s">
        <v>1073</v>
      </c>
      <c r="O2123" s="9"/>
      <c r="P2123" s="9" t="s">
        <v>1095</v>
      </c>
      <c r="Q2123" s="11"/>
      <c r="R2123" s="11"/>
      <c r="S2123" s="11">
        <v>34</v>
      </c>
      <c r="T2123" s="9"/>
      <c r="U2123" s="14" t="s">
        <v>77</v>
      </c>
      <c r="V2123" s="9"/>
      <c r="W2123" s="12">
        <v>60</v>
      </c>
      <c r="X2123" s="13"/>
      <c r="Y2123" s="13"/>
      <c r="Z2123" s="13"/>
      <c r="AA2123" s="13"/>
      <c r="AB2123" s="13"/>
      <c r="AC2123" s="13"/>
      <c r="AD2123" s="13"/>
      <c r="AE2123" s="13">
        <f t="shared" si="222"/>
        <v>0.20399999999999999</v>
      </c>
      <c r="AF2123" s="13"/>
      <c r="AG2123" s="13"/>
      <c r="AH2123" s="13"/>
      <c r="AI2123" s="13"/>
      <c r="AJ2123" s="13">
        <f t="shared" si="220"/>
        <v>0.20399999999999999</v>
      </c>
      <c r="AK2123" s="12"/>
      <c r="AL2123" s="13"/>
      <c r="AM2123" s="9"/>
      <c r="AN2123" s="9"/>
      <c r="AO2123" s="9"/>
      <c r="AP2123" s="14"/>
    </row>
    <row r="2124" spans="1:42" s="45" customFormat="1" ht="22" customHeight="1">
      <c r="A2124" s="14" t="s">
        <v>17</v>
      </c>
      <c r="B2124" s="8">
        <v>2024</v>
      </c>
      <c r="C2124" s="8" t="s">
        <v>24</v>
      </c>
      <c r="D2124" s="9" t="s">
        <v>185</v>
      </c>
      <c r="E2124" s="9" t="s">
        <v>115</v>
      </c>
      <c r="F2124" s="9" t="s">
        <v>434</v>
      </c>
      <c r="G2124" s="8"/>
      <c r="H2124" s="8"/>
      <c r="I2124" s="9" t="s">
        <v>11</v>
      </c>
      <c r="J2124" s="9" t="s">
        <v>11</v>
      </c>
      <c r="K2124" s="9" t="s">
        <v>82</v>
      </c>
      <c r="L2124" s="9" t="s">
        <v>166</v>
      </c>
      <c r="M2124" s="9" t="s">
        <v>1072</v>
      </c>
      <c r="N2124" s="9" t="s">
        <v>1073</v>
      </c>
      <c r="O2124" s="9"/>
      <c r="P2124" s="9" t="s">
        <v>1096</v>
      </c>
      <c r="Q2124" s="11"/>
      <c r="R2124" s="11"/>
      <c r="S2124" s="11">
        <v>19</v>
      </c>
      <c r="T2124" s="9"/>
      <c r="U2124" s="14" t="s">
        <v>77</v>
      </c>
      <c r="V2124" s="9"/>
      <c r="W2124" s="12">
        <v>60</v>
      </c>
      <c r="X2124" s="13"/>
      <c r="Y2124" s="13"/>
      <c r="Z2124" s="13"/>
      <c r="AA2124" s="13"/>
      <c r="AB2124" s="13"/>
      <c r="AC2124" s="13"/>
      <c r="AD2124" s="13"/>
      <c r="AE2124" s="13">
        <f t="shared" si="222"/>
        <v>0.114</v>
      </c>
      <c r="AF2124" s="13"/>
      <c r="AG2124" s="13"/>
      <c r="AH2124" s="13"/>
      <c r="AI2124" s="13"/>
      <c r="AJ2124" s="13">
        <f t="shared" si="220"/>
        <v>0.114</v>
      </c>
      <c r="AK2124" s="12"/>
      <c r="AL2124" s="13"/>
      <c r="AM2124" s="9"/>
      <c r="AN2124" s="9"/>
      <c r="AO2124" s="9"/>
      <c r="AP2124" s="14"/>
    </row>
    <row r="2125" spans="1:42" s="45" customFormat="1" ht="22" customHeight="1">
      <c r="A2125" s="14" t="s">
        <v>17</v>
      </c>
      <c r="B2125" s="8">
        <v>2024</v>
      </c>
      <c r="C2125" s="8" t="s">
        <v>24</v>
      </c>
      <c r="D2125" s="9" t="s">
        <v>185</v>
      </c>
      <c r="E2125" s="9" t="s">
        <v>115</v>
      </c>
      <c r="F2125" s="9" t="s">
        <v>434</v>
      </c>
      <c r="G2125" s="8"/>
      <c r="H2125" s="8"/>
      <c r="I2125" s="9" t="s">
        <v>11</v>
      </c>
      <c r="J2125" s="9" t="s">
        <v>11</v>
      </c>
      <c r="K2125" s="9" t="s">
        <v>82</v>
      </c>
      <c r="L2125" s="9" t="s">
        <v>166</v>
      </c>
      <c r="M2125" s="9" t="s">
        <v>1072</v>
      </c>
      <c r="N2125" s="9" t="s">
        <v>1073</v>
      </c>
      <c r="O2125" s="9" t="s">
        <v>1097</v>
      </c>
      <c r="P2125" s="9" t="s">
        <v>593</v>
      </c>
      <c r="Q2125" s="11"/>
      <c r="R2125" s="11"/>
      <c r="S2125" s="11">
        <v>26</v>
      </c>
      <c r="T2125" s="9"/>
      <c r="U2125" s="14" t="s">
        <v>77</v>
      </c>
      <c r="V2125" s="9"/>
      <c r="W2125" s="12">
        <v>60</v>
      </c>
      <c r="X2125" s="13"/>
      <c r="Y2125" s="13"/>
      <c r="Z2125" s="13"/>
      <c r="AA2125" s="13"/>
      <c r="AB2125" s="13"/>
      <c r="AC2125" s="13"/>
      <c r="AD2125" s="13"/>
      <c r="AE2125" s="13">
        <f t="shared" si="222"/>
        <v>0.156</v>
      </c>
      <c r="AF2125" s="13"/>
      <c r="AG2125" s="13"/>
      <c r="AH2125" s="13"/>
      <c r="AI2125" s="13"/>
      <c r="AJ2125" s="13">
        <f t="shared" si="220"/>
        <v>0.156</v>
      </c>
      <c r="AK2125" s="12"/>
      <c r="AL2125" s="13"/>
      <c r="AM2125" s="9"/>
      <c r="AN2125" s="9"/>
      <c r="AO2125" s="9"/>
      <c r="AP2125" s="14"/>
    </row>
    <row r="2126" spans="1:42" s="45" customFormat="1" ht="22" customHeight="1">
      <c r="A2126" s="14" t="s">
        <v>17</v>
      </c>
      <c r="B2126" s="8">
        <v>2024</v>
      </c>
      <c r="C2126" s="8" t="s">
        <v>24</v>
      </c>
      <c r="D2126" s="9" t="s">
        <v>185</v>
      </c>
      <c r="E2126" s="9" t="s">
        <v>115</v>
      </c>
      <c r="F2126" s="9" t="s">
        <v>434</v>
      </c>
      <c r="G2126" s="8"/>
      <c r="H2126" s="8"/>
      <c r="I2126" s="9" t="s">
        <v>11</v>
      </c>
      <c r="J2126" s="9" t="s">
        <v>11</v>
      </c>
      <c r="K2126" s="9" t="s">
        <v>82</v>
      </c>
      <c r="L2126" s="9" t="s">
        <v>166</v>
      </c>
      <c r="M2126" s="9" t="s">
        <v>1072</v>
      </c>
      <c r="N2126" s="9" t="s">
        <v>1073</v>
      </c>
      <c r="O2126" s="9"/>
      <c r="P2126" s="9" t="s">
        <v>1098</v>
      </c>
      <c r="Q2126" s="11"/>
      <c r="R2126" s="11"/>
      <c r="S2126" s="11">
        <v>31</v>
      </c>
      <c r="T2126" s="9"/>
      <c r="U2126" s="14" t="s">
        <v>77</v>
      </c>
      <c r="V2126" s="9"/>
      <c r="W2126" s="12">
        <v>60</v>
      </c>
      <c r="X2126" s="13"/>
      <c r="Y2126" s="13"/>
      <c r="Z2126" s="13"/>
      <c r="AA2126" s="13"/>
      <c r="AB2126" s="13"/>
      <c r="AC2126" s="13"/>
      <c r="AD2126" s="13"/>
      <c r="AE2126" s="13">
        <f t="shared" si="222"/>
        <v>0.186</v>
      </c>
      <c r="AF2126" s="13"/>
      <c r="AG2126" s="13"/>
      <c r="AH2126" s="13"/>
      <c r="AI2126" s="13"/>
      <c r="AJ2126" s="13">
        <f t="shared" si="220"/>
        <v>0.186</v>
      </c>
      <c r="AK2126" s="12"/>
      <c r="AL2126" s="13"/>
      <c r="AM2126" s="9"/>
      <c r="AN2126" s="9"/>
      <c r="AO2126" s="9"/>
      <c r="AP2126" s="14"/>
    </row>
    <row r="2127" spans="1:42" s="45" customFormat="1" ht="22" customHeight="1">
      <c r="A2127" s="14" t="s">
        <v>17</v>
      </c>
      <c r="B2127" s="8">
        <v>2024</v>
      </c>
      <c r="C2127" s="8" t="s">
        <v>24</v>
      </c>
      <c r="D2127" s="9" t="s">
        <v>185</v>
      </c>
      <c r="E2127" s="9" t="s">
        <v>115</v>
      </c>
      <c r="F2127" s="9" t="s">
        <v>434</v>
      </c>
      <c r="G2127" s="8"/>
      <c r="H2127" s="8"/>
      <c r="I2127" s="9" t="s">
        <v>11</v>
      </c>
      <c r="J2127" s="9" t="s">
        <v>11</v>
      </c>
      <c r="K2127" s="9" t="s">
        <v>82</v>
      </c>
      <c r="L2127" s="9" t="s">
        <v>166</v>
      </c>
      <c r="M2127" s="9" t="s">
        <v>1072</v>
      </c>
      <c r="N2127" s="9" t="s">
        <v>1073</v>
      </c>
      <c r="O2127" s="9"/>
      <c r="P2127" s="9" t="s">
        <v>1099</v>
      </c>
      <c r="Q2127" s="11"/>
      <c r="R2127" s="11"/>
      <c r="S2127" s="11">
        <v>39</v>
      </c>
      <c r="T2127" s="9"/>
      <c r="U2127" s="14" t="s">
        <v>77</v>
      </c>
      <c r="V2127" s="9"/>
      <c r="W2127" s="12">
        <v>60</v>
      </c>
      <c r="X2127" s="13"/>
      <c r="Y2127" s="13"/>
      <c r="Z2127" s="13"/>
      <c r="AA2127" s="13"/>
      <c r="AB2127" s="13"/>
      <c r="AC2127" s="13"/>
      <c r="AD2127" s="13"/>
      <c r="AE2127" s="13">
        <f t="shared" si="222"/>
        <v>0.23400000000000001</v>
      </c>
      <c r="AF2127" s="13"/>
      <c r="AG2127" s="13"/>
      <c r="AH2127" s="13"/>
      <c r="AI2127" s="13"/>
      <c r="AJ2127" s="13">
        <f t="shared" si="220"/>
        <v>0.23400000000000001</v>
      </c>
      <c r="AK2127" s="12"/>
      <c r="AL2127" s="13"/>
      <c r="AM2127" s="9"/>
      <c r="AN2127" s="9"/>
      <c r="AO2127" s="9"/>
      <c r="AP2127" s="14"/>
    </row>
    <row r="2128" spans="1:42" s="45" customFormat="1" ht="22" customHeight="1">
      <c r="A2128" s="14" t="s">
        <v>17</v>
      </c>
      <c r="B2128" s="8">
        <v>2024</v>
      </c>
      <c r="C2128" s="8" t="s">
        <v>24</v>
      </c>
      <c r="D2128" s="9" t="s">
        <v>185</v>
      </c>
      <c r="E2128" s="9" t="s">
        <v>115</v>
      </c>
      <c r="F2128" s="9" t="s">
        <v>434</v>
      </c>
      <c r="G2128" s="8"/>
      <c r="H2128" s="8"/>
      <c r="I2128" s="9" t="s">
        <v>11</v>
      </c>
      <c r="J2128" s="9" t="s">
        <v>11</v>
      </c>
      <c r="K2128" s="9" t="s">
        <v>82</v>
      </c>
      <c r="L2128" s="9" t="s">
        <v>166</v>
      </c>
      <c r="M2128" s="9" t="s">
        <v>1072</v>
      </c>
      <c r="N2128" s="9" t="s">
        <v>1073</v>
      </c>
      <c r="O2128" s="9"/>
      <c r="P2128" s="9" t="s">
        <v>1100</v>
      </c>
      <c r="Q2128" s="11"/>
      <c r="R2128" s="11"/>
      <c r="S2128" s="11">
        <v>4</v>
      </c>
      <c r="T2128" s="9"/>
      <c r="U2128" s="14" t="s">
        <v>77</v>
      </c>
      <c r="V2128" s="9"/>
      <c r="W2128" s="12">
        <v>60</v>
      </c>
      <c r="X2128" s="13"/>
      <c r="Y2128" s="13"/>
      <c r="Z2128" s="13"/>
      <c r="AA2128" s="13"/>
      <c r="AB2128" s="13"/>
      <c r="AC2128" s="13"/>
      <c r="AD2128" s="13"/>
      <c r="AE2128" s="13">
        <f t="shared" si="222"/>
        <v>2.4E-2</v>
      </c>
      <c r="AF2128" s="13"/>
      <c r="AG2128" s="13"/>
      <c r="AH2128" s="13"/>
      <c r="AI2128" s="13"/>
      <c r="AJ2128" s="13">
        <f t="shared" si="220"/>
        <v>2.4E-2</v>
      </c>
      <c r="AK2128" s="12"/>
      <c r="AL2128" s="13"/>
      <c r="AM2128" s="9"/>
      <c r="AN2128" s="9"/>
      <c r="AO2128" s="9"/>
      <c r="AP2128" s="14"/>
    </row>
    <row r="2129" spans="1:42" s="45" customFormat="1" ht="22" customHeight="1">
      <c r="A2129" s="14" t="s">
        <v>17</v>
      </c>
      <c r="B2129" s="8">
        <v>2024</v>
      </c>
      <c r="C2129" s="8" t="s">
        <v>24</v>
      </c>
      <c r="D2129" s="9" t="s">
        <v>185</v>
      </c>
      <c r="E2129" s="9" t="s">
        <v>115</v>
      </c>
      <c r="F2129" s="9" t="s">
        <v>434</v>
      </c>
      <c r="G2129" s="8"/>
      <c r="H2129" s="8"/>
      <c r="I2129" s="9" t="s">
        <v>11</v>
      </c>
      <c r="J2129" s="9" t="s">
        <v>11</v>
      </c>
      <c r="K2129" s="9" t="s">
        <v>82</v>
      </c>
      <c r="L2129" s="9" t="s">
        <v>166</v>
      </c>
      <c r="M2129" s="9" t="s">
        <v>1072</v>
      </c>
      <c r="N2129" s="9" t="s">
        <v>1073</v>
      </c>
      <c r="O2129" s="9" t="s">
        <v>1101</v>
      </c>
      <c r="P2129" s="9" t="s">
        <v>236</v>
      </c>
      <c r="Q2129" s="11"/>
      <c r="R2129" s="11"/>
      <c r="S2129" s="11">
        <v>22</v>
      </c>
      <c r="T2129" s="9"/>
      <c r="U2129" s="14" t="s">
        <v>77</v>
      </c>
      <c r="V2129" s="9"/>
      <c r="W2129" s="12">
        <v>60</v>
      </c>
      <c r="X2129" s="13"/>
      <c r="Y2129" s="13"/>
      <c r="Z2129" s="13"/>
      <c r="AA2129" s="13"/>
      <c r="AB2129" s="13"/>
      <c r="AC2129" s="13"/>
      <c r="AD2129" s="13"/>
      <c r="AE2129" s="13">
        <f t="shared" si="222"/>
        <v>0.13200000000000001</v>
      </c>
      <c r="AF2129" s="13"/>
      <c r="AG2129" s="13"/>
      <c r="AH2129" s="13"/>
      <c r="AI2129" s="13"/>
      <c r="AJ2129" s="13">
        <f t="shared" si="220"/>
        <v>0.13200000000000001</v>
      </c>
      <c r="AK2129" s="12"/>
      <c r="AL2129" s="13"/>
      <c r="AM2129" s="9"/>
      <c r="AN2129" s="9"/>
      <c r="AO2129" s="9"/>
      <c r="AP2129" s="14"/>
    </row>
    <row r="2130" spans="1:42" s="45" customFormat="1" ht="22" customHeight="1">
      <c r="A2130" s="14" t="s">
        <v>17</v>
      </c>
      <c r="B2130" s="8">
        <v>2024</v>
      </c>
      <c r="C2130" s="8" t="s">
        <v>24</v>
      </c>
      <c r="D2130" s="9" t="s">
        <v>185</v>
      </c>
      <c r="E2130" s="9" t="s">
        <v>115</v>
      </c>
      <c r="F2130" s="9" t="s">
        <v>434</v>
      </c>
      <c r="G2130" s="8"/>
      <c r="H2130" s="8"/>
      <c r="I2130" s="9" t="s">
        <v>11</v>
      </c>
      <c r="J2130" s="9" t="s">
        <v>11</v>
      </c>
      <c r="K2130" s="9" t="s">
        <v>82</v>
      </c>
      <c r="L2130" s="9" t="s">
        <v>166</v>
      </c>
      <c r="M2130" s="9" t="s">
        <v>1072</v>
      </c>
      <c r="N2130" s="9" t="s">
        <v>1073</v>
      </c>
      <c r="O2130" s="9" t="s">
        <v>1102</v>
      </c>
      <c r="P2130" s="9" t="s">
        <v>247</v>
      </c>
      <c r="Q2130" s="11"/>
      <c r="R2130" s="11"/>
      <c r="S2130" s="11">
        <v>17</v>
      </c>
      <c r="T2130" s="9"/>
      <c r="U2130" s="14" t="s">
        <v>77</v>
      </c>
      <c r="V2130" s="9"/>
      <c r="W2130" s="12">
        <v>60</v>
      </c>
      <c r="X2130" s="13"/>
      <c r="Y2130" s="13"/>
      <c r="Z2130" s="13"/>
      <c r="AA2130" s="13"/>
      <c r="AB2130" s="13"/>
      <c r="AC2130" s="13"/>
      <c r="AD2130" s="13"/>
      <c r="AE2130" s="13">
        <f t="shared" si="222"/>
        <v>0.10199999999999999</v>
      </c>
      <c r="AF2130" s="13"/>
      <c r="AG2130" s="13"/>
      <c r="AH2130" s="13"/>
      <c r="AI2130" s="13"/>
      <c r="AJ2130" s="13">
        <f t="shared" si="220"/>
        <v>0.10199999999999999</v>
      </c>
      <c r="AK2130" s="12"/>
      <c r="AL2130" s="13"/>
      <c r="AM2130" s="9"/>
      <c r="AN2130" s="9"/>
      <c r="AO2130" s="9"/>
      <c r="AP2130" s="14"/>
    </row>
    <row r="2131" spans="1:42" s="45" customFormat="1" ht="22" customHeight="1">
      <c r="A2131" s="14" t="s">
        <v>17</v>
      </c>
      <c r="B2131" s="8">
        <v>2024</v>
      </c>
      <c r="C2131" s="8" t="s">
        <v>24</v>
      </c>
      <c r="D2131" s="9" t="s">
        <v>185</v>
      </c>
      <c r="E2131" s="9" t="s">
        <v>115</v>
      </c>
      <c r="F2131" s="9" t="s">
        <v>434</v>
      </c>
      <c r="G2131" s="8"/>
      <c r="H2131" s="8"/>
      <c r="I2131" s="9" t="s">
        <v>11</v>
      </c>
      <c r="J2131" s="9" t="s">
        <v>11</v>
      </c>
      <c r="K2131" s="9" t="s">
        <v>82</v>
      </c>
      <c r="L2131" s="9" t="s">
        <v>166</v>
      </c>
      <c r="M2131" s="9" t="s">
        <v>1072</v>
      </c>
      <c r="N2131" s="9" t="s">
        <v>1073</v>
      </c>
      <c r="O2131" s="9"/>
      <c r="P2131" s="9" t="s">
        <v>1103</v>
      </c>
      <c r="Q2131" s="11"/>
      <c r="R2131" s="11"/>
      <c r="S2131" s="11">
        <v>23</v>
      </c>
      <c r="T2131" s="9"/>
      <c r="U2131" s="14" t="s">
        <v>77</v>
      </c>
      <c r="V2131" s="9"/>
      <c r="W2131" s="12">
        <v>60</v>
      </c>
      <c r="X2131" s="13"/>
      <c r="Y2131" s="13"/>
      <c r="Z2131" s="13"/>
      <c r="AA2131" s="13"/>
      <c r="AB2131" s="13"/>
      <c r="AC2131" s="13"/>
      <c r="AD2131" s="13"/>
      <c r="AE2131" s="13">
        <f t="shared" si="222"/>
        <v>0.13800000000000001</v>
      </c>
      <c r="AF2131" s="13"/>
      <c r="AG2131" s="13"/>
      <c r="AH2131" s="13"/>
      <c r="AI2131" s="13"/>
      <c r="AJ2131" s="13">
        <f t="shared" si="220"/>
        <v>0.13800000000000001</v>
      </c>
      <c r="AK2131" s="12"/>
      <c r="AL2131" s="13"/>
      <c r="AM2131" s="9"/>
      <c r="AN2131" s="9"/>
      <c r="AO2131" s="9"/>
      <c r="AP2131" s="14"/>
    </row>
    <row r="2132" spans="1:42" s="45" customFormat="1" ht="22" customHeight="1">
      <c r="A2132" s="14" t="s">
        <v>17</v>
      </c>
      <c r="B2132" s="8">
        <v>2024</v>
      </c>
      <c r="C2132" s="8" t="s">
        <v>24</v>
      </c>
      <c r="D2132" s="9" t="s">
        <v>185</v>
      </c>
      <c r="E2132" s="9" t="s">
        <v>115</v>
      </c>
      <c r="F2132" s="9" t="s">
        <v>434</v>
      </c>
      <c r="G2132" s="8"/>
      <c r="H2132" s="8"/>
      <c r="I2132" s="9" t="s">
        <v>11</v>
      </c>
      <c r="J2132" s="9" t="s">
        <v>11</v>
      </c>
      <c r="K2132" s="9" t="s">
        <v>82</v>
      </c>
      <c r="L2132" s="9" t="s">
        <v>166</v>
      </c>
      <c r="M2132" s="9" t="s">
        <v>1072</v>
      </c>
      <c r="N2132" s="9" t="s">
        <v>1073</v>
      </c>
      <c r="O2132" s="9"/>
      <c r="P2132" s="9" t="s">
        <v>1104</v>
      </c>
      <c r="Q2132" s="11"/>
      <c r="R2132" s="11"/>
      <c r="S2132" s="11">
        <v>38</v>
      </c>
      <c r="T2132" s="9"/>
      <c r="U2132" s="14" t="s">
        <v>77</v>
      </c>
      <c r="V2132" s="9"/>
      <c r="W2132" s="12">
        <v>60</v>
      </c>
      <c r="X2132" s="13"/>
      <c r="Y2132" s="13"/>
      <c r="Z2132" s="13"/>
      <c r="AA2132" s="13"/>
      <c r="AB2132" s="13"/>
      <c r="AC2132" s="13"/>
      <c r="AD2132" s="13"/>
      <c r="AE2132" s="13">
        <f t="shared" si="222"/>
        <v>0.22800000000000001</v>
      </c>
      <c r="AF2132" s="13"/>
      <c r="AG2132" s="13"/>
      <c r="AH2132" s="13"/>
      <c r="AI2132" s="13"/>
      <c r="AJ2132" s="13">
        <f t="shared" si="220"/>
        <v>0.22800000000000001</v>
      </c>
      <c r="AK2132" s="12"/>
      <c r="AL2132" s="13"/>
      <c r="AM2132" s="9"/>
      <c r="AN2132" s="9"/>
      <c r="AO2132" s="9"/>
      <c r="AP2132" s="14"/>
    </row>
    <row r="2133" spans="1:42" s="45" customFormat="1" ht="22" customHeight="1">
      <c r="A2133" s="14" t="s">
        <v>17</v>
      </c>
      <c r="B2133" s="8">
        <v>2024</v>
      </c>
      <c r="C2133" s="8" t="s">
        <v>24</v>
      </c>
      <c r="D2133" s="9" t="s">
        <v>185</v>
      </c>
      <c r="E2133" s="9" t="s">
        <v>115</v>
      </c>
      <c r="F2133" s="9" t="s">
        <v>434</v>
      </c>
      <c r="G2133" s="8"/>
      <c r="H2133" s="8"/>
      <c r="I2133" s="9" t="s">
        <v>11</v>
      </c>
      <c r="J2133" s="9" t="s">
        <v>11</v>
      </c>
      <c r="K2133" s="9" t="s">
        <v>82</v>
      </c>
      <c r="L2133" s="9" t="s">
        <v>166</v>
      </c>
      <c r="M2133" s="9" t="s">
        <v>1072</v>
      </c>
      <c r="N2133" s="9" t="s">
        <v>1073</v>
      </c>
      <c r="O2133" s="9" t="s">
        <v>355</v>
      </c>
      <c r="P2133" s="9" t="s">
        <v>1105</v>
      </c>
      <c r="Q2133" s="11"/>
      <c r="R2133" s="11"/>
      <c r="S2133" s="11">
        <v>39</v>
      </c>
      <c r="T2133" s="9"/>
      <c r="U2133" s="14" t="s">
        <v>77</v>
      </c>
      <c r="V2133" s="9"/>
      <c r="W2133" s="12">
        <v>60</v>
      </c>
      <c r="X2133" s="13"/>
      <c r="Y2133" s="13"/>
      <c r="Z2133" s="13"/>
      <c r="AA2133" s="13"/>
      <c r="AB2133" s="13"/>
      <c r="AC2133" s="13"/>
      <c r="AD2133" s="13"/>
      <c r="AE2133" s="13">
        <f t="shared" si="222"/>
        <v>0.23400000000000001</v>
      </c>
      <c r="AF2133" s="13"/>
      <c r="AG2133" s="13"/>
      <c r="AH2133" s="13"/>
      <c r="AI2133" s="13"/>
      <c r="AJ2133" s="13">
        <f t="shared" si="220"/>
        <v>0.23400000000000001</v>
      </c>
      <c r="AK2133" s="12"/>
      <c r="AL2133" s="13"/>
      <c r="AM2133" s="9"/>
      <c r="AN2133" s="9"/>
      <c r="AO2133" s="9"/>
      <c r="AP2133" s="14"/>
    </row>
    <row r="2134" spans="1:42" s="45" customFormat="1" ht="22" customHeight="1">
      <c r="A2134" s="14" t="s">
        <v>17</v>
      </c>
      <c r="B2134" s="8">
        <v>2024</v>
      </c>
      <c r="C2134" s="8" t="s">
        <v>24</v>
      </c>
      <c r="D2134" s="9" t="s">
        <v>185</v>
      </c>
      <c r="E2134" s="9" t="s">
        <v>115</v>
      </c>
      <c r="F2134" s="9" t="s">
        <v>434</v>
      </c>
      <c r="G2134" s="8"/>
      <c r="H2134" s="8"/>
      <c r="I2134" s="9" t="s">
        <v>11</v>
      </c>
      <c r="J2134" s="9" t="s">
        <v>11</v>
      </c>
      <c r="K2134" s="9" t="s">
        <v>82</v>
      </c>
      <c r="L2134" s="9" t="s">
        <v>166</v>
      </c>
      <c r="M2134" s="9" t="s">
        <v>1072</v>
      </c>
      <c r="N2134" s="9" t="s">
        <v>1073</v>
      </c>
      <c r="O2134" s="9"/>
      <c r="P2134" s="9" t="s">
        <v>1106</v>
      </c>
      <c r="Q2134" s="11"/>
      <c r="R2134" s="11"/>
      <c r="S2134" s="11">
        <v>13</v>
      </c>
      <c r="T2134" s="9"/>
      <c r="U2134" s="14" t="s">
        <v>77</v>
      </c>
      <c r="V2134" s="9"/>
      <c r="W2134" s="12">
        <v>60</v>
      </c>
      <c r="X2134" s="13"/>
      <c r="Y2134" s="13"/>
      <c r="Z2134" s="13"/>
      <c r="AA2134" s="13"/>
      <c r="AB2134" s="13"/>
      <c r="AC2134" s="13"/>
      <c r="AD2134" s="13"/>
      <c r="AE2134" s="13">
        <f t="shared" si="222"/>
        <v>7.8E-2</v>
      </c>
      <c r="AF2134" s="13"/>
      <c r="AG2134" s="13"/>
      <c r="AH2134" s="13"/>
      <c r="AI2134" s="13"/>
      <c r="AJ2134" s="13">
        <f t="shared" si="220"/>
        <v>7.8E-2</v>
      </c>
      <c r="AK2134" s="12"/>
      <c r="AL2134" s="13"/>
      <c r="AM2134" s="9"/>
      <c r="AN2134" s="9"/>
      <c r="AO2134" s="9"/>
      <c r="AP2134" s="14"/>
    </row>
    <row r="2135" spans="1:42" s="45" customFormat="1" ht="22" customHeight="1">
      <c r="A2135" s="14" t="s">
        <v>17</v>
      </c>
      <c r="B2135" s="8">
        <v>2024</v>
      </c>
      <c r="C2135" s="8" t="s">
        <v>24</v>
      </c>
      <c r="D2135" s="9" t="s">
        <v>185</v>
      </c>
      <c r="E2135" s="9" t="s">
        <v>115</v>
      </c>
      <c r="F2135" s="9" t="s">
        <v>434</v>
      </c>
      <c r="G2135" s="8"/>
      <c r="H2135" s="8"/>
      <c r="I2135" s="9" t="s">
        <v>11</v>
      </c>
      <c r="J2135" s="9" t="s">
        <v>11</v>
      </c>
      <c r="K2135" s="9" t="s">
        <v>82</v>
      </c>
      <c r="L2135" s="9" t="s">
        <v>166</v>
      </c>
      <c r="M2135" s="9" t="s">
        <v>1072</v>
      </c>
      <c r="N2135" s="9" t="s">
        <v>1073</v>
      </c>
      <c r="O2135" s="9" t="s">
        <v>357</v>
      </c>
      <c r="P2135" s="9" t="s">
        <v>169</v>
      </c>
      <c r="Q2135" s="11"/>
      <c r="R2135" s="11"/>
      <c r="S2135" s="11">
        <v>13</v>
      </c>
      <c r="T2135" s="9"/>
      <c r="U2135" s="14" t="s">
        <v>77</v>
      </c>
      <c r="V2135" s="9"/>
      <c r="W2135" s="12">
        <v>60</v>
      </c>
      <c r="X2135" s="13"/>
      <c r="Y2135" s="13"/>
      <c r="Z2135" s="13"/>
      <c r="AA2135" s="13"/>
      <c r="AB2135" s="13"/>
      <c r="AC2135" s="13"/>
      <c r="AD2135" s="13"/>
      <c r="AE2135" s="13">
        <f t="shared" si="222"/>
        <v>7.8E-2</v>
      </c>
      <c r="AF2135" s="13"/>
      <c r="AG2135" s="13"/>
      <c r="AH2135" s="13"/>
      <c r="AI2135" s="13"/>
      <c r="AJ2135" s="13">
        <f t="shared" si="220"/>
        <v>7.8E-2</v>
      </c>
      <c r="AK2135" s="12"/>
      <c r="AL2135" s="13"/>
      <c r="AM2135" s="9"/>
      <c r="AN2135" s="9"/>
      <c r="AO2135" s="9"/>
      <c r="AP2135" s="14"/>
    </row>
    <row r="2136" spans="1:42" s="45" customFormat="1" ht="22" customHeight="1">
      <c r="A2136" s="14" t="s">
        <v>17</v>
      </c>
      <c r="B2136" s="8">
        <v>2024</v>
      </c>
      <c r="C2136" s="8" t="s">
        <v>24</v>
      </c>
      <c r="D2136" s="9" t="s">
        <v>185</v>
      </c>
      <c r="E2136" s="9" t="s">
        <v>115</v>
      </c>
      <c r="F2136" s="9" t="s">
        <v>434</v>
      </c>
      <c r="G2136" s="8"/>
      <c r="H2136" s="8"/>
      <c r="I2136" s="9" t="s">
        <v>11</v>
      </c>
      <c r="J2136" s="9" t="s">
        <v>11</v>
      </c>
      <c r="K2136" s="9" t="s">
        <v>82</v>
      </c>
      <c r="L2136" s="9" t="s">
        <v>166</v>
      </c>
      <c r="M2136" s="9" t="s">
        <v>1072</v>
      </c>
      <c r="N2136" s="9" t="s">
        <v>1073</v>
      </c>
      <c r="O2136" s="9"/>
      <c r="P2136" s="9" t="s">
        <v>361</v>
      </c>
      <c r="Q2136" s="11"/>
      <c r="R2136" s="11"/>
      <c r="S2136" s="11">
        <v>9</v>
      </c>
      <c r="T2136" s="9"/>
      <c r="U2136" s="14" t="s">
        <v>77</v>
      </c>
      <c r="V2136" s="9"/>
      <c r="W2136" s="12">
        <v>60</v>
      </c>
      <c r="X2136" s="13"/>
      <c r="Y2136" s="13"/>
      <c r="Z2136" s="13"/>
      <c r="AA2136" s="13"/>
      <c r="AB2136" s="13"/>
      <c r="AC2136" s="13"/>
      <c r="AD2136" s="13"/>
      <c r="AE2136" s="13">
        <f t="shared" si="222"/>
        <v>5.3999999999999999E-2</v>
      </c>
      <c r="AF2136" s="13"/>
      <c r="AG2136" s="13"/>
      <c r="AH2136" s="13"/>
      <c r="AI2136" s="13"/>
      <c r="AJ2136" s="13">
        <f t="shared" si="220"/>
        <v>5.3999999999999999E-2</v>
      </c>
      <c r="AK2136" s="12"/>
      <c r="AL2136" s="13"/>
      <c r="AM2136" s="9"/>
      <c r="AN2136" s="9"/>
      <c r="AO2136" s="9"/>
      <c r="AP2136" s="14"/>
    </row>
    <row r="2137" spans="1:42" s="45" customFormat="1" ht="22" customHeight="1">
      <c r="A2137" s="14" t="s">
        <v>17</v>
      </c>
      <c r="B2137" s="8">
        <v>2024</v>
      </c>
      <c r="C2137" s="8" t="s">
        <v>24</v>
      </c>
      <c r="D2137" s="9" t="s">
        <v>185</v>
      </c>
      <c r="E2137" s="9" t="s">
        <v>115</v>
      </c>
      <c r="F2137" s="9" t="s">
        <v>434</v>
      </c>
      <c r="G2137" s="8"/>
      <c r="H2137" s="8"/>
      <c r="I2137" s="9" t="s">
        <v>11</v>
      </c>
      <c r="J2137" s="9" t="s">
        <v>11</v>
      </c>
      <c r="K2137" s="9" t="s">
        <v>82</v>
      </c>
      <c r="L2137" s="9" t="s">
        <v>166</v>
      </c>
      <c r="M2137" s="9" t="s">
        <v>1072</v>
      </c>
      <c r="N2137" s="9" t="s">
        <v>1073</v>
      </c>
      <c r="O2137" s="9"/>
      <c r="P2137" s="9" t="s">
        <v>656</v>
      </c>
      <c r="Q2137" s="11"/>
      <c r="R2137" s="11"/>
      <c r="S2137" s="11">
        <v>17</v>
      </c>
      <c r="T2137" s="9"/>
      <c r="U2137" s="14" t="s">
        <v>77</v>
      </c>
      <c r="V2137" s="9"/>
      <c r="W2137" s="12">
        <v>60</v>
      </c>
      <c r="X2137" s="13"/>
      <c r="Y2137" s="13"/>
      <c r="Z2137" s="13"/>
      <c r="AA2137" s="13"/>
      <c r="AB2137" s="13"/>
      <c r="AC2137" s="13"/>
      <c r="AD2137" s="13"/>
      <c r="AE2137" s="13">
        <f t="shared" si="222"/>
        <v>0.10199999999999999</v>
      </c>
      <c r="AF2137" s="13"/>
      <c r="AG2137" s="13"/>
      <c r="AH2137" s="13"/>
      <c r="AI2137" s="13"/>
      <c r="AJ2137" s="13">
        <f t="shared" si="220"/>
        <v>0.10199999999999999</v>
      </c>
      <c r="AK2137" s="12"/>
      <c r="AL2137" s="13"/>
      <c r="AM2137" s="9"/>
      <c r="AN2137" s="9"/>
      <c r="AO2137" s="9"/>
      <c r="AP2137" s="14"/>
    </row>
    <row r="2138" spans="1:42" s="45" customFormat="1" ht="22" customHeight="1">
      <c r="A2138" s="14" t="s">
        <v>17</v>
      </c>
      <c r="B2138" s="8">
        <v>2024</v>
      </c>
      <c r="C2138" s="8" t="s">
        <v>24</v>
      </c>
      <c r="D2138" s="9" t="s">
        <v>185</v>
      </c>
      <c r="E2138" s="9" t="s">
        <v>115</v>
      </c>
      <c r="F2138" s="9" t="s">
        <v>434</v>
      </c>
      <c r="G2138" s="8"/>
      <c r="H2138" s="8"/>
      <c r="I2138" s="9" t="s">
        <v>11</v>
      </c>
      <c r="J2138" s="9" t="s">
        <v>11</v>
      </c>
      <c r="K2138" s="9" t="s">
        <v>82</v>
      </c>
      <c r="L2138" s="9" t="s">
        <v>166</v>
      </c>
      <c r="M2138" s="9" t="s">
        <v>1072</v>
      </c>
      <c r="N2138" s="9" t="s">
        <v>1073</v>
      </c>
      <c r="O2138" s="9"/>
      <c r="P2138" s="9" t="s">
        <v>568</v>
      </c>
      <c r="Q2138" s="11"/>
      <c r="R2138" s="11"/>
      <c r="S2138" s="11">
        <v>8</v>
      </c>
      <c r="T2138" s="9"/>
      <c r="U2138" s="14" t="s">
        <v>77</v>
      </c>
      <c r="V2138" s="9"/>
      <c r="W2138" s="12">
        <v>60</v>
      </c>
      <c r="X2138" s="13"/>
      <c r="Y2138" s="13"/>
      <c r="Z2138" s="13"/>
      <c r="AA2138" s="13"/>
      <c r="AB2138" s="13"/>
      <c r="AC2138" s="13"/>
      <c r="AD2138" s="13"/>
      <c r="AE2138" s="13">
        <f t="shared" si="222"/>
        <v>4.8000000000000001E-2</v>
      </c>
      <c r="AF2138" s="13"/>
      <c r="AG2138" s="13"/>
      <c r="AH2138" s="13"/>
      <c r="AI2138" s="13"/>
      <c r="AJ2138" s="13">
        <f t="shared" si="220"/>
        <v>4.8000000000000001E-2</v>
      </c>
      <c r="AK2138" s="12"/>
      <c r="AL2138" s="13"/>
      <c r="AM2138" s="9"/>
      <c r="AN2138" s="9"/>
      <c r="AO2138" s="9"/>
      <c r="AP2138" s="14"/>
    </row>
    <row r="2139" spans="1:42" s="45" customFormat="1" ht="22" customHeight="1">
      <c r="A2139" s="14" t="s">
        <v>17</v>
      </c>
      <c r="B2139" s="8">
        <v>2024</v>
      </c>
      <c r="C2139" s="8" t="s">
        <v>24</v>
      </c>
      <c r="D2139" s="9" t="s">
        <v>185</v>
      </c>
      <c r="E2139" s="9" t="s">
        <v>115</v>
      </c>
      <c r="F2139" s="9" t="s">
        <v>434</v>
      </c>
      <c r="G2139" s="8"/>
      <c r="H2139" s="8"/>
      <c r="I2139" s="9" t="s">
        <v>11</v>
      </c>
      <c r="J2139" s="9" t="s">
        <v>11</v>
      </c>
      <c r="K2139" s="9" t="s">
        <v>82</v>
      </c>
      <c r="L2139" s="9" t="s">
        <v>166</v>
      </c>
      <c r="M2139" s="9" t="s">
        <v>1072</v>
      </c>
      <c r="N2139" s="9" t="s">
        <v>1073</v>
      </c>
      <c r="O2139" s="9"/>
      <c r="P2139" s="9" t="s">
        <v>1107</v>
      </c>
      <c r="Q2139" s="11"/>
      <c r="R2139" s="11"/>
      <c r="S2139" s="11">
        <v>17</v>
      </c>
      <c r="T2139" s="9"/>
      <c r="U2139" s="14" t="s">
        <v>77</v>
      </c>
      <c r="V2139" s="9"/>
      <c r="W2139" s="12">
        <v>60</v>
      </c>
      <c r="X2139" s="13"/>
      <c r="Y2139" s="13"/>
      <c r="Z2139" s="13"/>
      <c r="AA2139" s="13"/>
      <c r="AB2139" s="13"/>
      <c r="AC2139" s="13"/>
      <c r="AD2139" s="13"/>
      <c r="AE2139" s="13">
        <f t="shared" si="222"/>
        <v>0.10199999999999999</v>
      </c>
      <c r="AF2139" s="13"/>
      <c r="AG2139" s="13"/>
      <c r="AH2139" s="13"/>
      <c r="AI2139" s="13"/>
      <c r="AJ2139" s="13">
        <f t="shared" si="220"/>
        <v>0.10199999999999999</v>
      </c>
      <c r="AK2139" s="12"/>
      <c r="AL2139" s="13"/>
      <c r="AM2139" s="9"/>
      <c r="AN2139" s="9"/>
      <c r="AO2139" s="9"/>
      <c r="AP2139" s="14"/>
    </row>
    <row r="2140" spans="1:42" s="45" customFormat="1" ht="22" customHeight="1">
      <c r="A2140" s="14" t="s">
        <v>17</v>
      </c>
      <c r="B2140" s="8">
        <v>2024</v>
      </c>
      <c r="C2140" s="8" t="s">
        <v>24</v>
      </c>
      <c r="D2140" s="9" t="s">
        <v>185</v>
      </c>
      <c r="E2140" s="9" t="s">
        <v>115</v>
      </c>
      <c r="F2140" s="9" t="s">
        <v>434</v>
      </c>
      <c r="G2140" s="8"/>
      <c r="H2140" s="8"/>
      <c r="I2140" s="9" t="s">
        <v>11</v>
      </c>
      <c r="J2140" s="9" t="s">
        <v>11</v>
      </c>
      <c r="K2140" s="9" t="s">
        <v>82</v>
      </c>
      <c r="L2140" s="9" t="s">
        <v>166</v>
      </c>
      <c r="M2140" s="9" t="s">
        <v>1072</v>
      </c>
      <c r="N2140" s="9" t="s">
        <v>1073</v>
      </c>
      <c r="O2140" s="9"/>
      <c r="P2140" s="9" t="s">
        <v>1108</v>
      </c>
      <c r="Q2140" s="11"/>
      <c r="R2140" s="11"/>
      <c r="S2140" s="11">
        <v>9</v>
      </c>
      <c r="T2140" s="9"/>
      <c r="U2140" s="14" t="s">
        <v>77</v>
      </c>
      <c r="V2140" s="9"/>
      <c r="W2140" s="12">
        <v>60</v>
      </c>
      <c r="X2140" s="13"/>
      <c r="Y2140" s="13"/>
      <c r="Z2140" s="13"/>
      <c r="AA2140" s="13"/>
      <c r="AB2140" s="13"/>
      <c r="AC2140" s="13"/>
      <c r="AD2140" s="13"/>
      <c r="AE2140" s="13">
        <f t="shared" si="222"/>
        <v>5.3999999999999999E-2</v>
      </c>
      <c r="AF2140" s="13"/>
      <c r="AG2140" s="13"/>
      <c r="AH2140" s="13"/>
      <c r="AI2140" s="13"/>
      <c r="AJ2140" s="13">
        <f t="shared" si="220"/>
        <v>5.3999999999999999E-2</v>
      </c>
      <c r="AK2140" s="12"/>
      <c r="AL2140" s="13"/>
      <c r="AM2140" s="9"/>
      <c r="AN2140" s="9"/>
      <c r="AO2140" s="9"/>
      <c r="AP2140" s="14"/>
    </row>
    <row r="2141" spans="1:42" s="45" customFormat="1" ht="22" customHeight="1">
      <c r="A2141" s="14" t="s">
        <v>17</v>
      </c>
      <c r="B2141" s="8">
        <v>2024</v>
      </c>
      <c r="C2141" s="8" t="s">
        <v>24</v>
      </c>
      <c r="D2141" s="9" t="s">
        <v>185</v>
      </c>
      <c r="E2141" s="9" t="s">
        <v>115</v>
      </c>
      <c r="F2141" s="9" t="s">
        <v>434</v>
      </c>
      <c r="G2141" s="8"/>
      <c r="H2141" s="8"/>
      <c r="I2141" s="9" t="s">
        <v>11</v>
      </c>
      <c r="J2141" s="9" t="s">
        <v>11</v>
      </c>
      <c r="K2141" s="9" t="s">
        <v>82</v>
      </c>
      <c r="L2141" s="9" t="s">
        <v>166</v>
      </c>
      <c r="M2141" s="9" t="s">
        <v>1072</v>
      </c>
      <c r="N2141" s="9" t="s">
        <v>1073</v>
      </c>
      <c r="O2141" s="9"/>
      <c r="P2141" s="9" t="s">
        <v>1109</v>
      </c>
      <c r="Q2141" s="11"/>
      <c r="R2141" s="11"/>
      <c r="S2141" s="11">
        <v>33</v>
      </c>
      <c r="T2141" s="9"/>
      <c r="U2141" s="14" t="s">
        <v>77</v>
      </c>
      <c r="V2141" s="9"/>
      <c r="W2141" s="12">
        <v>60</v>
      </c>
      <c r="X2141" s="13"/>
      <c r="Y2141" s="13"/>
      <c r="Z2141" s="13"/>
      <c r="AA2141" s="13"/>
      <c r="AB2141" s="13"/>
      <c r="AC2141" s="13"/>
      <c r="AD2141" s="13"/>
      <c r="AE2141" s="13">
        <f t="shared" si="222"/>
        <v>0.19800000000000001</v>
      </c>
      <c r="AF2141" s="13"/>
      <c r="AG2141" s="13"/>
      <c r="AH2141" s="13"/>
      <c r="AI2141" s="13"/>
      <c r="AJ2141" s="13">
        <f t="shared" si="220"/>
        <v>0.19800000000000001</v>
      </c>
      <c r="AK2141" s="12"/>
      <c r="AL2141" s="13"/>
      <c r="AM2141" s="9"/>
      <c r="AN2141" s="9"/>
      <c r="AO2141" s="9"/>
      <c r="AP2141" s="14"/>
    </row>
    <row r="2142" spans="1:42" s="45" customFormat="1" ht="22" customHeight="1">
      <c r="A2142" s="14" t="s">
        <v>17</v>
      </c>
      <c r="B2142" s="8">
        <v>2024</v>
      </c>
      <c r="C2142" s="8" t="s">
        <v>24</v>
      </c>
      <c r="D2142" s="9" t="s">
        <v>185</v>
      </c>
      <c r="E2142" s="9" t="s">
        <v>115</v>
      </c>
      <c r="F2142" s="9" t="s">
        <v>434</v>
      </c>
      <c r="G2142" s="8"/>
      <c r="H2142" s="8"/>
      <c r="I2142" s="9" t="s">
        <v>11</v>
      </c>
      <c r="J2142" s="9" t="s">
        <v>11</v>
      </c>
      <c r="K2142" s="9" t="s">
        <v>82</v>
      </c>
      <c r="L2142" s="9" t="s">
        <v>166</v>
      </c>
      <c r="M2142" s="9" t="s">
        <v>1072</v>
      </c>
      <c r="N2142" s="9" t="s">
        <v>1073</v>
      </c>
      <c r="O2142" s="9"/>
      <c r="P2142" s="9" t="s">
        <v>1110</v>
      </c>
      <c r="Q2142" s="11"/>
      <c r="R2142" s="11"/>
      <c r="S2142" s="11">
        <v>15</v>
      </c>
      <c r="T2142" s="9"/>
      <c r="U2142" s="14" t="s">
        <v>77</v>
      </c>
      <c r="V2142" s="9"/>
      <c r="W2142" s="12">
        <v>60</v>
      </c>
      <c r="X2142" s="13"/>
      <c r="Y2142" s="13"/>
      <c r="Z2142" s="13"/>
      <c r="AA2142" s="13"/>
      <c r="AB2142" s="13"/>
      <c r="AC2142" s="13"/>
      <c r="AD2142" s="13"/>
      <c r="AE2142" s="13">
        <f t="shared" si="222"/>
        <v>0.09</v>
      </c>
      <c r="AF2142" s="13"/>
      <c r="AG2142" s="13"/>
      <c r="AH2142" s="13"/>
      <c r="AI2142" s="13"/>
      <c r="AJ2142" s="13">
        <f t="shared" si="220"/>
        <v>0.09</v>
      </c>
      <c r="AK2142" s="12"/>
      <c r="AL2142" s="13"/>
      <c r="AM2142" s="9"/>
      <c r="AN2142" s="9"/>
      <c r="AO2142" s="9"/>
      <c r="AP2142" s="14"/>
    </row>
    <row r="2143" spans="1:42" s="45" customFormat="1" ht="22" customHeight="1">
      <c r="A2143" s="14" t="s">
        <v>17</v>
      </c>
      <c r="B2143" s="8">
        <v>2024</v>
      </c>
      <c r="C2143" s="8" t="s">
        <v>24</v>
      </c>
      <c r="D2143" s="9" t="s">
        <v>185</v>
      </c>
      <c r="E2143" s="9" t="s">
        <v>115</v>
      </c>
      <c r="F2143" s="9" t="s">
        <v>434</v>
      </c>
      <c r="G2143" s="8"/>
      <c r="H2143" s="8"/>
      <c r="I2143" s="9" t="s">
        <v>11</v>
      </c>
      <c r="J2143" s="9" t="s">
        <v>11</v>
      </c>
      <c r="K2143" s="9" t="s">
        <v>82</v>
      </c>
      <c r="L2143" s="9" t="s">
        <v>166</v>
      </c>
      <c r="M2143" s="9" t="s">
        <v>1072</v>
      </c>
      <c r="N2143" s="9" t="s">
        <v>1073</v>
      </c>
      <c r="O2143" s="9"/>
      <c r="P2143" s="9" t="s">
        <v>1111</v>
      </c>
      <c r="Q2143" s="11"/>
      <c r="R2143" s="11"/>
      <c r="S2143" s="11">
        <v>32</v>
      </c>
      <c r="T2143" s="9"/>
      <c r="U2143" s="14" t="s">
        <v>77</v>
      </c>
      <c r="V2143" s="9"/>
      <c r="W2143" s="12">
        <v>60</v>
      </c>
      <c r="X2143" s="13"/>
      <c r="Y2143" s="13"/>
      <c r="Z2143" s="13"/>
      <c r="AA2143" s="13"/>
      <c r="AB2143" s="13"/>
      <c r="AC2143" s="13"/>
      <c r="AD2143" s="13"/>
      <c r="AE2143" s="13">
        <f t="shared" si="222"/>
        <v>0.192</v>
      </c>
      <c r="AF2143" s="13"/>
      <c r="AG2143" s="13"/>
      <c r="AH2143" s="13"/>
      <c r="AI2143" s="13"/>
      <c r="AJ2143" s="13">
        <f t="shared" si="220"/>
        <v>0.192</v>
      </c>
      <c r="AK2143" s="12"/>
      <c r="AL2143" s="13"/>
      <c r="AM2143" s="9"/>
      <c r="AN2143" s="9"/>
      <c r="AO2143" s="9"/>
      <c r="AP2143" s="14"/>
    </row>
    <row r="2144" spans="1:42" s="45" customFormat="1" ht="22" customHeight="1">
      <c r="A2144" s="14" t="s">
        <v>17</v>
      </c>
      <c r="B2144" s="8">
        <v>2024</v>
      </c>
      <c r="C2144" s="8" t="s">
        <v>24</v>
      </c>
      <c r="D2144" s="9" t="s">
        <v>185</v>
      </c>
      <c r="E2144" s="9" t="s">
        <v>115</v>
      </c>
      <c r="F2144" s="9" t="s">
        <v>434</v>
      </c>
      <c r="G2144" s="8"/>
      <c r="H2144" s="8"/>
      <c r="I2144" s="9" t="s">
        <v>11</v>
      </c>
      <c r="J2144" s="9" t="s">
        <v>11</v>
      </c>
      <c r="K2144" s="9" t="s">
        <v>82</v>
      </c>
      <c r="L2144" s="9" t="s">
        <v>166</v>
      </c>
      <c r="M2144" s="9" t="s">
        <v>1072</v>
      </c>
      <c r="N2144" s="9" t="s">
        <v>1073</v>
      </c>
      <c r="O2144" s="9"/>
      <c r="P2144" s="9" t="s">
        <v>1112</v>
      </c>
      <c r="Q2144" s="11"/>
      <c r="R2144" s="11"/>
      <c r="S2144" s="11">
        <v>27</v>
      </c>
      <c r="T2144" s="9"/>
      <c r="U2144" s="14" t="s">
        <v>77</v>
      </c>
      <c r="V2144" s="9"/>
      <c r="W2144" s="12">
        <v>60</v>
      </c>
      <c r="X2144" s="13"/>
      <c r="Y2144" s="13"/>
      <c r="Z2144" s="13"/>
      <c r="AA2144" s="13"/>
      <c r="AB2144" s="13"/>
      <c r="AC2144" s="13"/>
      <c r="AD2144" s="13"/>
      <c r="AE2144" s="13">
        <f t="shared" si="222"/>
        <v>0.16200000000000001</v>
      </c>
      <c r="AF2144" s="13"/>
      <c r="AG2144" s="13"/>
      <c r="AH2144" s="13"/>
      <c r="AI2144" s="13"/>
      <c r="AJ2144" s="13">
        <f t="shared" si="220"/>
        <v>0.16200000000000001</v>
      </c>
      <c r="AK2144" s="12"/>
      <c r="AL2144" s="13"/>
      <c r="AM2144" s="9"/>
      <c r="AN2144" s="9"/>
      <c r="AO2144" s="9"/>
      <c r="AP2144" s="14"/>
    </row>
    <row r="2145" spans="1:42" s="45" customFormat="1" ht="22" customHeight="1">
      <c r="A2145" s="14" t="s">
        <v>17</v>
      </c>
      <c r="B2145" s="8">
        <v>2024</v>
      </c>
      <c r="C2145" s="8" t="s">
        <v>24</v>
      </c>
      <c r="D2145" s="9" t="s">
        <v>185</v>
      </c>
      <c r="E2145" s="9" t="s">
        <v>115</v>
      </c>
      <c r="F2145" s="9" t="s">
        <v>434</v>
      </c>
      <c r="G2145" s="8"/>
      <c r="H2145" s="8"/>
      <c r="I2145" s="9" t="s">
        <v>11</v>
      </c>
      <c r="J2145" s="9" t="s">
        <v>11</v>
      </c>
      <c r="K2145" s="9" t="s">
        <v>82</v>
      </c>
      <c r="L2145" s="9" t="s">
        <v>166</v>
      </c>
      <c r="M2145" s="9" t="s">
        <v>1072</v>
      </c>
      <c r="N2145" s="9" t="s">
        <v>1073</v>
      </c>
      <c r="O2145" s="9"/>
      <c r="P2145" s="9" t="s">
        <v>1113</v>
      </c>
      <c r="Q2145" s="11"/>
      <c r="R2145" s="11"/>
      <c r="S2145" s="11">
        <v>9</v>
      </c>
      <c r="T2145" s="9"/>
      <c r="U2145" s="14" t="s">
        <v>77</v>
      </c>
      <c r="V2145" s="9"/>
      <c r="W2145" s="12">
        <v>60</v>
      </c>
      <c r="X2145" s="13"/>
      <c r="Y2145" s="13"/>
      <c r="Z2145" s="13"/>
      <c r="AA2145" s="13"/>
      <c r="AB2145" s="13"/>
      <c r="AC2145" s="13"/>
      <c r="AD2145" s="13"/>
      <c r="AE2145" s="13">
        <f t="shared" si="222"/>
        <v>5.3999999999999999E-2</v>
      </c>
      <c r="AF2145" s="13"/>
      <c r="AG2145" s="13"/>
      <c r="AH2145" s="13"/>
      <c r="AI2145" s="13"/>
      <c r="AJ2145" s="13">
        <f t="shared" si="220"/>
        <v>5.3999999999999999E-2</v>
      </c>
      <c r="AK2145" s="12"/>
      <c r="AL2145" s="13"/>
      <c r="AM2145" s="9"/>
      <c r="AN2145" s="9"/>
      <c r="AO2145" s="9"/>
      <c r="AP2145" s="14"/>
    </row>
    <row r="2146" spans="1:42" s="45" customFormat="1" ht="22" customHeight="1">
      <c r="A2146" s="14" t="s">
        <v>17</v>
      </c>
      <c r="B2146" s="8">
        <v>2024</v>
      </c>
      <c r="C2146" s="8" t="s">
        <v>24</v>
      </c>
      <c r="D2146" s="9" t="s">
        <v>185</v>
      </c>
      <c r="E2146" s="9" t="s">
        <v>115</v>
      </c>
      <c r="F2146" s="9" t="s">
        <v>434</v>
      </c>
      <c r="G2146" s="8"/>
      <c r="H2146" s="8"/>
      <c r="I2146" s="9" t="s">
        <v>11</v>
      </c>
      <c r="J2146" s="9" t="s">
        <v>11</v>
      </c>
      <c r="K2146" s="9" t="s">
        <v>82</v>
      </c>
      <c r="L2146" s="9" t="s">
        <v>166</v>
      </c>
      <c r="M2146" s="9" t="s">
        <v>1072</v>
      </c>
      <c r="N2146" s="9" t="s">
        <v>1073</v>
      </c>
      <c r="O2146" s="9" t="s">
        <v>365</v>
      </c>
      <c r="P2146" s="9" t="s">
        <v>1114</v>
      </c>
      <c r="Q2146" s="11"/>
      <c r="R2146" s="11"/>
      <c r="S2146" s="11">
        <v>15</v>
      </c>
      <c r="T2146" s="9"/>
      <c r="U2146" s="14" t="s">
        <v>77</v>
      </c>
      <c r="V2146" s="9"/>
      <c r="W2146" s="12">
        <v>60</v>
      </c>
      <c r="X2146" s="13"/>
      <c r="Y2146" s="13"/>
      <c r="Z2146" s="13"/>
      <c r="AA2146" s="13"/>
      <c r="AB2146" s="13"/>
      <c r="AC2146" s="13"/>
      <c r="AD2146" s="13"/>
      <c r="AE2146" s="13">
        <f t="shared" si="222"/>
        <v>0.09</v>
      </c>
      <c r="AF2146" s="13"/>
      <c r="AG2146" s="13"/>
      <c r="AH2146" s="13"/>
      <c r="AI2146" s="13"/>
      <c r="AJ2146" s="13">
        <f t="shared" si="220"/>
        <v>0.09</v>
      </c>
      <c r="AK2146" s="12"/>
      <c r="AL2146" s="13"/>
      <c r="AM2146" s="9"/>
      <c r="AN2146" s="9"/>
      <c r="AO2146" s="9"/>
      <c r="AP2146" s="14"/>
    </row>
    <row r="2147" spans="1:42" s="45" customFormat="1" ht="22" customHeight="1">
      <c r="A2147" s="14" t="s">
        <v>17</v>
      </c>
      <c r="B2147" s="8">
        <v>2024</v>
      </c>
      <c r="C2147" s="8" t="s">
        <v>24</v>
      </c>
      <c r="D2147" s="9" t="s">
        <v>185</v>
      </c>
      <c r="E2147" s="9" t="s">
        <v>115</v>
      </c>
      <c r="F2147" s="9" t="s">
        <v>434</v>
      </c>
      <c r="G2147" s="8"/>
      <c r="H2147" s="8"/>
      <c r="I2147" s="9" t="s">
        <v>11</v>
      </c>
      <c r="J2147" s="9" t="s">
        <v>11</v>
      </c>
      <c r="K2147" s="9" t="s">
        <v>82</v>
      </c>
      <c r="L2147" s="9" t="s">
        <v>166</v>
      </c>
      <c r="M2147" s="9" t="s">
        <v>1072</v>
      </c>
      <c r="N2147" s="9" t="s">
        <v>1073</v>
      </c>
      <c r="O2147" s="9"/>
      <c r="P2147" s="9" t="s">
        <v>1115</v>
      </c>
      <c r="Q2147" s="11"/>
      <c r="R2147" s="11"/>
      <c r="S2147" s="11">
        <v>3</v>
      </c>
      <c r="T2147" s="9"/>
      <c r="U2147" s="14" t="s">
        <v>77</v>
      </c>
      <c r="V2147" s="9"/>
      <c r="W2147" s="12">
        <v>60</v>
      </c>
      <c r="X2147" s="13"/>
      <c r="Y2147" s="13"/>
      <c r="Z2147" s="13"/>
      <c r="AA2147" s="13"/>
      <c r="AB2147" s="13"/>
      <c r="AC2147" s="13"/>
      <c r="AD2147" s="13"/>
      <c r="AE2147" s="13">
        <f t="shared" si="222"/>
        <v>1.7999999999999999E-2</v>
      </c>
      <c r="AF2147" s="13"/>
      <c r="AG2147" s="13"/>
      <c r="AH2147" s="13"/>
      <c r="AI2147" s="13"/>
      <c r="AJ2147" s="13">
        <f t="shared" si="220"/>
        <v>1.7999999999999999E-2</v>
      </c>
      <c r="AK2147" s="12"/>
      <c r="AL2147" s="13"/>
      <c r="AM2147" s="9"/>
      <c r="AN2147" s="9"/>
      <c r="AO2147" s="9"/>
      <c r="AP2147" s="14"/>
    </row>
    <row r="2148" spans="1:42" s="45" customFormat="1" ht="22" customHeight="1">
      <c r="A2148" s="14" t="s">
        <v>17</v>
      </c>
      <c r="B2148" s="8">
        <v>2024</v>
      </c>
      <c r="C2148" s="8" t="s">
        <v>24</v>
      </c>
      <c r="D2148" s="9" t="s">
        <v>185</v>
      </c>
      <c r="E2148" s="9" t="s">
        <v>115</v>
      </c>
      <c r="F2148" s="9" t="s">
        <v>434</v>
      </c>
      <c r="G2148" s="8"/>
      <c r="H2148" s="8"/>
      <c r="I2148" s="9" t="s">
        <v>11</v>
      </c>
      <c r="J2148" s="9" t="s">
        <v>11</v>
      </c>
      <c r="K2148" s="9" t="s">
        <v>82</v>
      </c>
      <c r="L2148" s="9" t="s">
        <v>166</v>
      </c>
      <c r="M2148" s="9" t="s">
        <v>1072</v>
      </c>
      <c r="N2148" s="9" t="s">
        <v>1073</v>
      </c>
      <c r="O2148" s="9"/>
      <c r="P2148" s="9" t="s">
        <v>1116</v>
      </c>
      <c r="Q2148" s="11"/>
      <c r="R2148" s="11"/>
      <c r="S2148" s="11">
        <v>22</v>
      </c>
      <c r="T2148" s="9"/>
      <c r="U2148" s="14" t="s">
        <v>77</v>
      </c>
      <c r="V2148" s="9"/>
      <c r="W2148" s="12">
        <v>60</v>
      </c>
      <c r="X2148" s="13"/>
      <c r="Y2148" s="13"/>
      <c r="Z2148" s="13"/>
      <c r="AA2148" s="13"/>
      <c r="AB2148" s="13"/>
      <c r="AC2148" s="13"/>
      <c r="AD2148" s="13"/>
      <c r="AE2148" s="13">
        <f t="shared" si="222"/>
        <v>0.13200000000000001</v>
      </c>
      <c r="AF2148" s="13"/>
      <c r="AG2148" s="13"/>
      <c r="AH2148" s="13"/>
      <c r="AI2148" s="13"/>
      <c r="AJ2148" s="13">
        <f t="shared" si="220"/>
        <v>0.13200000000000001</v>
      </c>
      <c r="AK2148" s="12"/>
      <c r="AL2148" s="13"/>
      <c r="AM2148" s="9"/>
      <c r="AN2148" s="9"/>
      <c r="AO2148" s="9"/>
      <c r="AP2148" s="14"/>
    </row>
    <row r="2149" spans="1:42" s="45" customFormat="1" ht="22" customHeight="1">
      <c r="A2149" s="14" t="s">
        <v>17</v>
      </c>
      <c r="B2149" s="8">
        <v>2024</v>
      </c>
      <c r="C2149" s="8" t="s">
        <v>24</v>
      </c>
      <c r="D2149" s="9" t="s">
        <v>185</v>
      </c>
      <c r="E2149" s="9" t="s">
        <v>115</v>
      </c>
      <c r="F2149" s="9" t="s">
        <v>434</v>
      </c>
      <c r="G2149" s="8"/>
      <c r="H2149" s="8"/>
      <c r="I2149" s="9" t="s">
        <v>11</v>
      </c>
      <c r="J2149" s="9" t="s">
        <v>11</v>
      </c>
      <c r="K2149" s="9" t="s">
        <v>82</v>
      </c>
      <c r="L2149" s="9" t="s">
        <v>166</v>
      </c>
      <c r="M2149" s="9" t="s">
        <v>1072</v>
      </c>
      <c r="N2149" s="9" t="s">
        <v>1073</v>
      </c>
      <c r="O2149" s="9"/>
      <c r="P2149" s="9" t="s">
        <v>1117</v>
      </c>
      <c r="Q2149" s="11"/>
      <c r="R2149" s="11"/>
      <c r="S2149" s="11">
        <v>34</v>
      </c>
      <c r="T2149" s="9"/>
      <c r="U2149" s="14" t="s">
        <v>77</v>
      </c>
      <c r="V2149" s="9"/>
      <c r="W2149" s="12">
        <v>60</v>
      </c>
      <c r="X2149" s="13"/>
      <c r="Y2149" s="13"/>
      <c r="Z2149" s="13"/>
      <c r="AA2149" s="13"/>
      <c r="AB2149" s="13"/>
      <c r="AC2149" s="13"/>
      <c r="AD2149" s="13"/>
      <c r="AE2149" s="13">
        <f t="shared" si="222"/>
        <v>0.20399999999999999</v>
      </c>
      <c r="AF2149" s="13"/>
      <c r="AG2149" s="13"/>
      <c r="AH2149" s="13"/>
      <c r="AI2149" s="13"/>
      <c r="AJ2149" s="13">
        <f t="shared" si="220"/>
        <v>0.20399999999999999</v>
      </c>
      <c r="AK2149" s="12"/>
      <c r="AL2149" s="13"/>
      <c r="AM2149" s="9"/>
      <c r="AN2149" s="9"/>
      <c r="AO2149" s="9"/>
      <c r="AP2149" s="14"/>
    </row>
    <row r="2150" spans="1:42" s="45" customFormat="1" ht="22" customHeight="1">
      <c r="A2150" s="14" t="s">
        <v>17</v>
      </c>
      <c r="B2150" s="8">
        <v>2024</v>
      </c>
      <c r="C2150" s="8" t="s">
        <v>24</v>
      </c>
      <c r="D2150" s="9" t="s">
        <v>185</v>
      </c>
      <c r="E2150" s="9" t="s">
        <v>115</v>
      </c>
      <c r="F2150" s="9" t="s">
        <v>434</v>
      </c>
      <c r="G2150" s="8"/>
      <c r="H2150" s="8"/>
      <c r="I2150" s="9" t="s">
        <v>11</v>
      </c>
      <c r="J2150" s="9" t="s">
        <v>11</v>
      </c>
      <c r="K2150" s="9" t="s">
        <v>82</v>
      </c>
      <c r="L2150" s="9" t="s">
        <v>166</v>
      </c>
      <c r="M2150" s="9" t="s">
        <v>1072</v>
      </c>
      <c r="N2150" s="9" t="s">
        <v>1073</v>
      </c>
      <c r="O2150" s="9"/>
      <c r="P2150" s="9" t="s">
        <v>1118</v>
      </c>
      <c r="Q2150" s="11"/>
      <c r="R2150" s="11"/>
      <c r="S2150" s="11">
        <v>18</v>
      </c>
      <c r="T2150" s="9"/>
      <c r="U2150" s="14" t="s">
        <v>77</v>
      </c>
      <c r="V2150" s="9"/>
      <c r="W2150" s="12">
        <v>60</v>
      </c>
      <c r="X2150" s="13"/>
      <c r="Y2150" s="13"/>
      <c r="Z2150" s="13"/>
      <c r="AA2150" s="13"/>
      <c r="AB2150" s="13"/>
      <c r="AC2150" s="13"/>
      <c r="AD2150" s="13"/>
      <c r="AE2150" s="13">
        <f t="shared" si="222"/>
        <v>0.108</v>
      </c>
      <c r="AF2150" s="13"/>
      <c r="AG2150" s="13"/>
      <c r="AH2150" s="13"/>
      <c r="AI2150" s="13"/>
      <c r="AJ2150" s="13">
        <f t="shared" si="220"/>
        <v>0.108</v>
      </c>
      <c r="AK2150" s="12"/>
      <c r="AL2150" s="13"/>
      <c r="AM2150" s="9"/>
      <c r="AN2150" s="9"/>
      <c r="AO2150" s="9"/>
      <c r="AP2150" s="14"/>
    </row>
    <row r="2151" spans="1:42" s="45" customFormat="1" ht="22" customHeight="1">
      <c r="A2151" s="14" t="s">
        <v>17</v>
      </c>
      <c r="B2151" s="8">
        <v>2024</v>
      </c>
      <c r="C2151" s="8" t="s">
        <v>24</v>
      </c>
      <c r="D2151" s="9" t="s">
        <v>185</v>
      </c>
      <c r="E2151" s="9" t="s">
        <v>115</v>
      </c>
      <c r="F2151" s="9" t="s">
        <v>434</v>
      </c>
      <c r="G2151" s="8"/>
      <c r="H2151" s="8"/>
      <c r="I2151" s="9" t="s">
        <v>11</v>
      </c>
      <c r="J2151" s="9" t="s">
        <v>11</v>
      </c>
      <c r="K2151" s="9" t="s">
        <v>82</v>
      </c>
      <c r="L2151" s="9" t="s">
        <v>166</v>
      </c>
      <c r="M2151" s="9" t="s">
        <v>1072</v>
      </c>
      <c r="N2151" s="9" t="s">
        <v>1073</v>
      </c>
      <c r="O2151" s="9" t="s">
        <v>342</v>
      </c>
      <c r="P2151" s="9" t="s">
        <v>1119</v>
      </c>
      <c r="Q2151" s="11"/>
      <c r="R2151" s="11"/>
      <c r="S2151" s="11">
        <v>13</v>
      </c>
      <c r="T2151" s="9"/>
      <c r="U2151" s="14" t="s">
        <v>77</v>
      </c>
      <c r="V2151" s="9"/>
      <c r="W2151" s="12">
        <v>60</v>
      </c>
      <c r="X2151" s="13"/>
      <c r="Y2151" s="13"/>
      <c r="Z2151" s="13"/>
      <c r="AA2151" s="13"/>
      <c r="AB2151" s="13"/>
      <c r="AC2151" s="13"/>
      <c r="AD2151" s="13"/>
      <c r="AE2151" s="13">
        <f t="shared" si="222"/>
        <v>7.8E-2</v>
      </c>
      <c r="AF2151" s="13"/>
      <c r="AG2151" s="13"/>
      <c r="AH2151" s="13"/>
      <c r="AI2151" s="13"/>
      <c r="AJ2151" s="13">
        <f t="shared" si="220"/>
        <v>7.8E-2</v>
      </c>
      <c r="AK2151" s="12"/>
      <c r="AL2151" s="13"/>
      <c r="AM2151" s="9"/>
      <c r="AN2151" s="9"/>
      <c r="AO2151" s="9"/>
      <c r="AP2151" s="14"/>
    </row>
    <row r="2152" spans="1:42" s="45" customFormat="1" ht="22" customHeight="1">
      <c r="A2152" s="14" t="s">
        <v>17</v>
      </c>
      <c r="B2152" s="8">
        <v>2024</v>
      </c>
      <c r="C2152" s="8" t="s">
        <v>24</v>
      </c>
      <c r="D2152" s="9" t="s">
        <v>185</v>
      </c>
      <c r="E2152" s="9" t="s">
        <v>115</v>
      </c>
      <c r="F2152" s="9" t="s">
        <v>434</v>
      </c>
      <c r="G2152" s="8"/>
      <c r="H2152" s="8"/>
      <c r="I2152" s="9" t="s">
        <v>11</v>
      </c>
      <c r="J2152" s="9" t="s">
        <v>11</v>
      </c>
      <c r="K2152" s="9" t="s">
        <v>82</v>
      </c>
      <c r="L2152" s="9" t="s">
        <v>166</v>
      </c>
      <c r="M2152" s="9" t="s">
        <v>1072</v>
      </c>
      <c r="N2152" s="9" t="s">
        <v>1073</v>
      </c>
      <c r="O2152" s="9"/>
      <c r="P2152" s="9" t="s">
        <v>1120</v>
      </c>
      <c r="Q2152" s="11"/>
      <c r="R2152" s="11"/>
      <c r="S2152" s="11">
        <v>40</v>
      </c>
      <c r="T2152" s="9"/>
      <c r="U2152" s="14" t="s">
        <v>77</v>
      </c>
      <c r="V2152" s="9"/>
      <c r="W2152" s="12">
        <v>60</v>
      </c>
      <c r="X2152" s="13"/>
      <c r="Y2152" s="13"/>
      <c r="Z2152" s="13"/>
      <c r="AA2152" s="13"/>
      <c r="AB2152" s="13"/>
      <c r="AC2152" s="13"/>
      <c r="AD2152" s="13"/>
      <c r="AE2152" s="13">
        <f t="shared" si="222"/>
        <v>0.24</v>
      </c>
      <c r="AF2152" s="13"/>
      <c r="AG2152" s="13"/>
      <c r="AH2152" s="13"/>
      <c r="AI2152" s="13"/>
      <c r="AJ2152" s="13">
        <f t="shared" si="220"/>
        <v>0.24</v>
      </c>
      <c r="AK2152" s="12"/>
      <c r="AL2152" s="13"/>
      <c r="AM2152" s="9"/>
      <c r="AN2152" s="9"/>
      <c r="AO2152" s="9"/>
      <c r="AP2152" s="14"/>
    </row>
    <row r="2153" spans="1:42" s="45" customFormat="1" ht="22" customHeight="1">
      <c r="A2153" s="14" t="s">
        <v>17</v>
      </c>
      <c r="B2153" s="8">
        <v>2024</v>
      </c>
      <c r="C2153" s="8" t="s">
        <v>24</v>
      </c>
      <c r="D2153" s="9" t="s">
        <v>185</v>
      </c>
      <c r="E2153" s="9" t="s">
        <v>115</v>
      </c>
      <c r="F2153" s="9" t="s">
        <v>434</v>
      </c>
      <c r="G2153" s="8"/>
      <c r="H2153" s="8"/>
      <c r="I2153" s="9" t="s">
        <v>11</v>
      </c>
      <c r="J2153" s="9" t="s">
        <v>11</v>
      </c>
      <c r="K2153" s="9" t="s">
        <v>82</v>
      </c>
      <c r="L2153" s="9" t="s">
        <v>166</v>
      </c>
      <c r="M2153" s="9" t="s">
        <v>1072</v>
      </c>
      <c r="N2153" s="9" t="s">
        <v>1073</v>
      </c>
      <c r="O2153" s="9"/>
      <c r="P2153" s="9" t="s">
        <v>1121</v>
      </c>
      <c r="Q2153" s="11"/>
      <c r="R2153" s="11"/>
      <c r="S2153" s="11">
        <v>17</v>
      </c>
      <c r="T2153" s="9"/>
      <c r="U2153" s="14" t="s">
        <v>77</v>
      </c>
      <c r="V2153" s="9"/>
      <c r="W2153" s="12">
        <v>60</v>
      </c>
      <c r="X2153" s="13"/>
      <c r="Y2153" s="13"/>
      <c r="Z2153" s="13"/>
      <c r="AA2153" s="13"/>
      <c r="AB2153" s="13"/>
      <c r="AC2153" s="13"/>
      <c r="AD2153" s="13"/>
      <c r="AE2153" s="13">
        <f t="shared" si="222"/>
        <v>0.10199999999999999</v>
      </c>
      <c r="AF2153" s="13"/>
      <c r="AG2153" s="13"/>
      <c r="AH2153" s="13"/>
      <c r="AI2153" s="13"/>
      <c r="AJ2153" s="13">
        <f t="shared" si="220"/>
        <v>0.10199999999999999</v>
      </c>
      <c r="AK2153" s="12"/>
      <c r="AL2153" s="13"/>
      <c r="AM2153" s="9"/>
      <c r="AN2153" s="9"/>
      <c r="AO2153" s="9"/>
      <c r="AP2153" s="14"/>
    </row>
    <row r="2154" spans="1:42" s="45" customFormat="1" ht="22" customHeight="1">
      <c r="A2154" s="14" t="s">
        <v>17</v>
      </c>
      <c r="B2154" s="8">
        <v>2024</v>
      </c>
      <c r="C2154" s="8" t="s">
        <v>24</v>
      </c>
      <c r="D2154" s="9" t="s">
        <v>185</v>
      </c>
      <c r="E2154" s="9" t="s">
        <v>115</v>
      </c>
      <c r="F2154" s="9" t="s">
        <v>434</v>
      </c>
      <c r="G2154" s="8"/>
      <c r="H2154" s="8"/>
      <c r="I2154" s="9" t="s">
        <v>11</v>
      </c>
      <c r="J2154" s="9" t="s">
        <v>11</v>
      </c>
      <c r="K2154" s="9" t="s">
        <v>82</v>
      </c>
      <c r="L2154" s="9" t="s">
        <v>166</v>
      </c>
      <c r="M2154" s="9" t="s">
        <v>1072</v>
      </c>
      <c r="N2154" s="9" t="s">
        <v>1073</v>
      </c>
      <c r="O2154" s="9"/>
      <c r="P2154" s="9" t="s">
        <v>1122</v>
      </c>
      <c r="Q2154" s="11"/>
      <c r="R2154" s="11"/>
      <c r="S2154" s="11">
        <v>12</v>
      </c>
      <c r="T2154" s="9"/>
      <c r="U2154" s="14" t="s">
        <v>77</v>
      </c>
      <c r="V2154" s="9"/>
      <c r="W2154" s="12">
        <v>60</v>
      </c>
      <c r="X2154" s="13"/>
      <c r="Y2154" s="13"/>
      <c r="Z2154" s="13"/>
      <c r="AA2154" s="13"/>
      <c r="AB2154" s="13"/>
      <c r="AC2154" s="13"/>
      <c r="AD2154" s="13"/>
      <c r="AE2154" s="13">
        <f t="shared" si="222"/>
        <v>7.1999999999999995E-2</v>
      </c>
      <c r="AF2154" s="13"/>
      <c r="AG2154" s="13"/>
      <c r="AH2154" s="13"/>
      <c r="AI2154" s="13"/>
      <c r="AJ2154" s="13">
        <f t="shared" si="220"/>
        <v>7.1999999999999995E-2</v>
      </c>
      <c r="AK2154" s="12"/>
      <c r="AL2154" s="13"/>
      <c r="AM2154" s="9"/>
      <c r="AN2154" s="9"/>
      <c r="AO2154" s="9"/>
      <c r="AP2154" s="14"/>
    </row>
    <row r="2155" spans="1:42" s="45" customFormat="1" ht="22" customHeight="1">
      <c r="A2155" s="14" t="s">
        <v>17</v>
      </c>
      <c r="B2155" s="8">
        <v>2024</v>
      </c>
      <c r="C2155" s="8" t="s">
        <v>24</v>
      </c>
      <c r="D2155" s="9" t="s">
        <v>185</v>
      </c>
      <c r="E2155" s="9" t="s">
        <v>115</v>
      </c>
      <c r="F2155" s="9" t="s">
        <v>434</v>
      </c>
      <c r="G2155" s="8"/>
      <c r="H2155" s="8"/>
      <c r="I2155" s="9" t="s">
        <v>11</v>
      </c>
      <c r="J2155" s="9" t="s">
        <v>11</v>
      </c>
      <c r="K2155" s="9" t="s">
        <v>82</v>
      </c>
      <c r="L2155" s="9" t="s">
        <v>166</v>
      </c>
      <c r="M2155" s="9" t="s">
        <v>1072</v>
      </c>
      <c r="N2155" s="9" t="s">
        <v>1073</v>
      </c>
      <c r="O2155" s="9"/>
      <c r="P2155" s="9" t="s">
        <v>1123</v>
      </c>
      <c r="Q2155" s="11"/>
      <c r="R2155" s="11"/>
      <c r="S2155" s="11">
        <v>24</v>
      </c>
      <c r="T2155" s="9"/>
      <c r="U2155" s="14" t="s">
        <v>77</v>
      </c>
      <c r="V2155" s="9"/>
      <c r="W2155" s="12">
        <v>60</v>
      </c>
      <c r="X2155" s="13"/>
      <c r="Y2155" s="13"/>
      <c r="Z2155" s="13"/>
      <c r="AA2155" s="13"/>
      <c r="AB2155" s="13"/>
      <c r="AC2155" s="13"/>
      <c r="AD2155" s="13"/>
      <c r="AE2155" s="13">
        <f t="shared" si="222"/>
        <v>0.14399999999999999</v>
      </c>
      <c r="AF2155" s="13"/>
      <c r="AG2155" s="13"/>
      <c r="AH2155" s="13"/>
      <c r="AI2155" s="13"/>
      <c r="AJ2155" s="13">
        <f t="shared" si="220"/>
        <v>0.14399999999999999</v>
      </c>
      <c r="AK2155" s="12"/>
      <c r="AL2155" s="13"/>
      <c r="AM2155" s="9"/>
      <c r="AN2155" s="9"/>
      <c r="AO2155" s="9"/>
      <c r="AP2155" s="14"/>
    </row>
    <row r="2156" spans="1:42" s="45" customFormat="1" ht="22" customHeight="1">
      <c r="A2156" s="14" t="s">
        <v>17</v>
      </c>
      <c r="B2156" s="8">
        <v>2024</v>
      </c>
      <c r="C2156" s="8" t="s">
        <v>24</v>
      </c>
      <c r="D2156" s="9" t="s">
        <v>185</v>
      </c>
      <c r="E2156" s="9" t="s">
        <v>115</v>
      </c>
      <c r="F2156" s="9" t="s">
        <v>434</v>
      </c>
      <c r="G2156" s="8"/>
      <c r="H2156" s="8"/>
      <c r="I2156" s="9" t="s">
        <v>11</v>
      </c>
      <c r="J2156" s="9" t="s">
        <v>11</v>
      </c>
      <c r="K2156" s="9" t="s">
        <v>82</v>
      </c>
      <c r="L2156" s="9" t="s">
        <v>166</v>
      </c>
      <c r="M2156" s="9" t="s">
        <v>1072</v>
      </c>
      <c r="N2156" s="9" t="s">
        <v>1073</v>
      </c>
      <c r="O2156" s="9"/>
      <c r="P2156" s="9" t="s">
        <v>1124</v>
      </c>
      <c r="Q2156" s="11"/>
      <c r="R2156" s="11"/>
      <c r="S2156" s="11">
        <v>8</v>
      </c>
      <c r="T2156" s="9"/>
      <c r="U2156" s="14" t="s">
        <v>77</v>
      </c>
      <c r="V2156" s="9"/>
      <c r="W2156" s="12">
        <v>60</v>
      </c>
      <c r="X2156" s="13"/>
      <c r="Y2156" s="13"/>
      <c r="Z2156" s="13"/>
      <c r="AA2156" s="13"/>
      <c r="AB2156" s="13"/>
      <c r="AC2156" s="13"/>
      <c r="AD2156" s="13"/>
      <c r="AE2156" s="13">
        <f t="shared" si="222"/>
        <v>4.8000000000000001E-2</v>
      </c>
      <c r="AF2156" s="13"/>
      <c r="AG2156" s="13"/>
      <c r="AH2156" s="13"/>
      <c r="AI2156" s="13"/>
      <c r="AJ2156" s="13">
        <f t="shared" si="220"/>
        <v>4.8000000000000001E-2</v>
      </c>
      <c r="AK2156" s="12"/>
      <c r="AL2156" s="13"/>
      <c r="AM2156" s="9"/>
      <c r="AN2156" s="9"/>
      <c r="AO2156" s="9"/>
      <c r="AP2156" s="14"/>
    </row>
    <row r="2157" spans="1:42" s="45" customFormat="1" ht="22" customHeight="1">
      <c r="A2157" s="14" t="s">
        <v>17</v>
      </c>
      <c r="B2157" s="8">
        <v>2024</v>
      </c>
      <c r="C2157" s="8" t="s">
        <v>24</v>
      </c>
      <c r="D2157" s="9" t="s">
        <v>185</v>
      </c>
      <c r="E2157" s="9" t="s">
        <v>115</v>
      </c>
      <c r="F2157" s="9" t="s">
        <v>434</v>
      </c>
      <c r="G2157" s="8"/>
      <c r="H2157" s="8"/>
      <c r="I2157" s="9" t="s">
        <v>11</v>
      </c>
      <c r="J2157" s="9" t="s">
        <v>11</v>
      </c>
      <c r="K2157" s="9" t="s">
        <v>82</v>
      </c>
      <c r="L2157" s="9" t="s">
        <v>166</v>
      </c>
      <c r="M2157" s="9" t="s">
        <v>1072</v>
      </c>
      <c r="N2157" s="9" t="s">
        <v>1073</v>
      </c>
      <c r="O2157" s="9" t="s">
        <v>1125</v>
      </c>
      <c r="P2157" s="9" t="s">
        <v>1126</v>
      </c>
      <c r="Q2157" s="11"/>
      <c r="R2157" s="11"/>
      <c r="S2157" s="11">
        <v>10</v>
      </c>
      <c r="T2157" s="9"/>
      <c r="U2157" s="14" t="s">
        <v>77</v>
      </c>
      <c r="V2157" s="9"/>
      <c r="W2157" s="12">
        <v>60</v>
      </c>
      <c r="X2157" s="13"/>
      <c r="Y2157" s="13"/>
      <c r="Z2157" s="13"/>
      <c r="AA2157" s="13"/>
      <c r="AB2157" s="13"/>
      <c r="AC2157" s="13"/>
      <c r="AD2157" s="13"/>
      <c r="AE2157" s="13">
        <f t="shared" si="222"/>
        <v>0.06</v>
      </c>
      <c r="AF2157" s="13"/>
      <c r="AG2157" s="13"/>
      <c r="AH2157" s="13"/>
      <c r="AI2157" s="13"/>
      <c r="AJ2157" s="13">
        <f t="shared" si="220"/>
        <v>0.06</v>
      </c>
      <c r="AK2157" s="12"/>
      <c r="AL2157" s="13"/>
      <c r="AM2157" s="9"/>
      <c r="AN2157" s="9"/>
      <c r="AO2157" s="9"/>
      <c r="AP2157" s="14"/>
    </row>
    <row r="2158" spans="1:42" s="45" customFormat="1" ht="22" customHeight="1">
      <c r="A2158" s="14" t="s">
        <v>17</v>
      </c>
      <c r="B2158" s="8">
        <v>2024</v>
      </c>
      <c r="C2158" s="8" t="s">
        <v>24</v>
      </c>
      <c r="D2158" s="9" t="s">
        <v>185</v>
      </c>
      <c r="E2158" s="9" t="s">
        <v>115</v>
      </c>
      <c r="F2158" s="9" t="s">
        <v>434</v>
      </c>
      <c r="G2158" s="8"/>
      <c r="H2158" s="8"/>
      <c r="I2158" s="9" t="s">
        <v>11</v>
      </c>
      <c r="J2158" s="9" t="s">
        <v>11</v>
      </c>
      <c r="K2158" s="9" t="s">
        <v>82</v>
      </c>
      <c r="L2158" s="9" t="s">
        <v>166</v>
      </c>
      <c r="M2158" s="9" t="s">
        <v>1072</v>
      </c>
      <c r="N2158" s="9" t="s">
        <v>1073</v>
      </c>
      <c r="O2158" s="9"/>
      <c r="P2158" s="9" t="s">
        <v>1127</v>
      </c>
      <c r="Q2158" s="11"/>
      <c r="R2158" s="11"/>
      <c r="S2158" s="11">
        <v>6</v>
      </c>
      <c r="T2158" s="9"/>
      <c r="U2158" s="14" t="s">
        <v>77</v>
      </c>
      <c r="V2158" s="9"/>
      <c r="W2158" s="12">
        <v>60</v>
      </c>
      <c r="X2158" s="13"/>
      <c r="Y2158" s="13"/>
      <c r="Z2158" s="13"/>
      <c r="AA2158" s="13"/>
      <c r="AB2158" s="13"/>
      <c r="AC2158" s="13"/>
      <c r="AD2158" s="13"/>
      <c r="AE2158" s="13">
        <f t="shared" si="222"/>
        <v>3.5999999999999997E-2</v>
      </c>
      <c r="AF2158" s="13"/>
      <c r="AG2158" s="13"/>
      <c r="AH2158" s="13"/>
      <c r="AI2158" s="13"/>
      <c r="AJ2158" s="13">
        <f t="shared" ref="AJ2158:AJ2221" si="223">SUBTOTAL(9,X2158:AI2158)</f>
        <v>3.5999999999999997E-2</v>
      </c>
      <c r="AK2158" s="12"/>
      <c r="AL2158" s="13"/>
      <c r="AM2158" s="9"/>
      <c r="AN2158" s="9"/>
      <c r="AO2158" s="9"/>
      <c r="AP2158" s="14"/>
    </row>
    <row r="2159" spans="1:42" s="45" customFormat="1" ht="22" customHeight="1">
      <c r="A2159" s="14" t="s">
        <v>17</v>
      </c>
      <c r="B2159" s="8">
        <v>2024</v>
      </c>
      <c r="C2159" s="8" t="s">
        <v>24</v>
      </c>
      <c r="D2159" s="9" t="s">
        <v>185</v>
      </c>
      <c r="E2159" s="9" t="s">
        <v>115</v>
      </c>
      <c r="F2159" s="9" t="s">
        <v>434</v>
      </c>
      <c r="G2159" s="8"/>
      <c r="H2159" s="8"/>
      <c r="I2159" s="9" t="s">
        <v>11</v>
      </c>
      <c r="J2159" s="9" t="s">
        <v>11</v>
      </c>
      <c r="K2159" s="9" t="s">
        <v>82</v>
      </c>
      <c r="L2159" s="9" t="s">
        <v>166</v>
      </c>
      <c r="M2159" s="9" t="s">
        <v>1072</v>
      </c>
      <c r="N2159" s="9" t="s">
        <v>1073</v>
      </c>
      <c r="O2159" s="9"/>
      <c r="P2159" s="9" t="s">
        <v>1128</v>
      </c>
      <c r="Q2159" s="11"/>
      <c r="R2159" s="11"/>
      <c r="S2159" s="11">
        <v>19</v>
      </c>
      <c r="T2159" s="9"/>
      <c r="U2159" s="14" t="s">
        <v>77</v>
      </c>
      <c r="V2159" s="9"/>
      <c r="W2159" s="12">
        <v>60</v>
      </c>
      <c r="X2159" s="13"/>
      <c r="Y2159" s="13"/>
      <c r="Z2159" s="13"/>
      <c r="AA2159" s="13"/>
      <c r="AB2159" s="13"/>
      <c r="AC2159" s="13"/>
      <c r="AD2159" s="13"/>
      <c r="AE2159" s="13">
        <f t="shared" si="222"/>
        <v>0.114</v>
      </c>
      <c r="AF2159" s="13"/>
      <c r="AG2159" s="13"/>
      <c r="AH2159" s="13"/>
      <c r="AI2159" s="13"/>
      <c r="AJ2159" s="13">
        <f t="shared" si="223"/>
        <v>0.114</v>
      </c>
      <c r="AK2159" s="12"/>
      <c r="AL2159" s="13"/>
      <c r="AM2159" s="9"/>
      <c r="AN2159" s="9"/>
      <c r="AO2159" s="9"/>
      <c r="AP2159" s="14"/>
    </row>
    <row r="2160" spans="1:42" s="45" customFormat="1" ht="22" customHeight="1">
      <c r="A2160" s="14" t="s">
        <v>17</v>
      </c>
      <c r="B2160" s="8">
        <v>2024</v>
      </c>
      <c r="C2160" s="8" t="s">
        <v>24</v>
      </c>
      <c r="D2160" s="9" t="s">
        <v>185</v>
      </c>
      <c r="E2160" s="9" t="s">
        <v>115</v>
      </c>
      <c r="F2160" s="9" t="s">
        <v>434</v>
      </c>
      <c r="G2160" s="8"/>
      <c r="H2160" s="8"/>
      <c r="I2160" s="9" t="s">
        <v>11</v>
      </c>
      <c r="J2160" s="9" t="s">
        <v>11</v>
      </c>
      <c r="K2160" s="9" t="s">
        <v>82</v>
      </c>
      <c r="L2160" s="9" t="s">
        <v>166</v>
      </c>
      <c r="M2160" s="9" t="s">
        <v>1072</v>
      </c>
      <c r="N2160" s="9" t="s">
        <v>1073</v>
      </c>
      <c r="O2160" s="9"/>
      <c r="P2160" s="9" t="s">
        <v>652</v>
      </c>
      <c r="Q2160" s="11"/>
      <c r="R2160" s="11"/>
      <c r="S2160" s="11">
        <v>36</v>
      </c>
      <c r="T2160" s="9"/>
      <c r="U2160" s="14" t="s">
        <v>77</v>
      </c>
      <c r="V2160" s="9"/>
      <c r="W2160" s="12">
        <v>60</v>
      </c>
      <c r="X2160" s="13"/>
      <c r="Y2160" s="13"/>
      <c r="Z2160" s="13"/>
      <c r="AA2160" s="13"/>
      <c r="AB2160" s="13"/>
      <c r="AC2160" s="13"/>
      <c r="AD2160" s="13"/>
      <c r="AE2160" s="13">
        <f t="shared" si="222"/>
        <v>0.216</v>
      </c>
      <c r="AF2160" s="13"/>
      <c r="AG2160" s="13"/>
      <c r="AH2160" s="13"/>
      <c r="AI2160" s="13"/>
      <c r="AJ2160" s="13">
        <f t="shared" si="223"/>
        <v>0.216</v>
      </c>
      <c r="AK2160" s="12"/>
      <c r="AL2160" s="13"/>
      <c r="AM2160" s="9"/>
      <c r="AN2160" s="9"/>
      <c r="AO2160" s="9"/>
      <c r="AP2160" s="14"/>
    </row>
    <row r="2161" spans="1:42" s="45" customFormat="1" ht="22" customHeight="1">
      <c r="A2161" s="14" t="s">
        <v>17</v>
      </c>
      <c r="B2161" s="8">
        <v>2024</v>
      </c>
      <c r="C2161" s="8" t="s">
        <v>24</v>
      </c>
      <c r="D2161" s="9" t="s">
        <v>185</v>
      </c>
      <c r="E2161" s="9" t="s">
        <v>115</v>
      </c>
      <c r="F2161" s="9" t="s">
        <v>434</v>
      </c>
      <c r="G2161" s="8"/>
      <c r="H2161" s="8"/>
      <c r="I2161" s="9" t="s">
        <v>11</v>
      </c>
      <c r="J2161" s="9" t="s">
        <v>11</v>
      </c>
      <c r="K2161" s="9" t="s">
        <v>82</v>
      </c>
      <c r="L2161" s="9" t="s">
        <v>166</v>
      </c>
      <c r="M2161" s="9" t="s">
        <v>1072</v>
      </c>
      <c r="N2161" s="9" t="s">
        <v>1073</v>
      </c>
      <c r="O2161" s="9"/>
      <c r="P2161" s="9" t="s">
        <v>1129</v>
      </c>
      <c r="Q2161" s="11"/>
      <c r="R2161" s="11"/>
      <c r="S2161" s="11">
        <v>2</v>
      </c>
      <c r="T2161" s="9"/>
      <c r="U2161" s="14" t="s">
        <v>77</v>
      </c>
      <c r="V2161" s="9"/>
      <c r="W2161" s="12">
        <v>60</v>
      </c>
      <c r="X2161" s="13"/>
      <c r="Y2161" s="13"/>
      <c r="Z2161" s="13"/>
      <c r="AA2161" s="13"/>
      <c r="AB2161" s="13"/>
      <c r="AC2161" s="13"/>
      <c r="AD2161" s="13"/>
      <c r="AE2161" s="13">
        <f t="shared" si="222"/>
        <v>1.2E-2</v>
      </c>
      <c r="AF2161" s="13"/>
      <c r="AG2161" s="13"/>
      <c r="AH2161" s="13"/>
      <c r="AI2161" s="13"/>
      <c r="AJ2161" s="13">
        <f t="shared" si="223"/>
        <v>1.2E-2</v>
      </c>
      <c r="AK2161" s="12"/>
      <c r="AL2161" s="13"/>
      <c r="AM2161" s="9"/>
      <c r="AN2161" s="9"/>
      <c r="AO2161" s="9"/>
      <c r="AP2161" s="14"/>
    </row>
    <row r="2162" spans="1:42" s="45" customFormat="1" ht="22" customHeight="1">
      <c r="A2162" s="14" t="s">
        <v>17</v>
      </c>
      <c r="B2162" s="8">
        <v>2024</v>
      </c>
      <c r="C2162" s="8" t="s">
        <v>24</v>
      </c>
      <c r="D2162" s="9" t="s">
        <v>185</v>
      </c>
      <c r="E2162" s="9" t="s">
        <v>115</v>
      </c>
      <c r="F2162" s="9" t="s">
        <v>434</v>
      </c>
      <c r="G2162" s="8"/>
      <c r="H2162" s="8"/>
      <c r="I2162" s="9" t="s">
        <v>11</v>
      </c>
      <c r="J2162" s="9" t="s">
        <v>11</v>
      </c>
      <c r="K2162" s="9" t="s">
        <v>82</v>
      </c>
      <c r="L2162" s="9" t="s">
        <v>166</v>
      </c>
      <c r="M2162" s="9" t="s">
        <v>1072</v>
      </c>
      <c r="N2162" s="9" t="s">
        <v>1073</v>
      </c>
      <c r="O2162" s="9" t="s">
        <v>110</v>
      </c>
      <c r="P2162" s="9" t="s">
        <v>1130</v>
      </c>
      <c r="Q2162" s="11"/>
      <c r="R2162" s="11"/>
      <c r="S2162" s="11">
        <v>20</v>
      </c>
      <c r="T2162" s="9"/>
      <c r="U2162" s="14" t="s">
        <v>77</v>
      </c>
      <c r="V2162" s="9"/>
      <c r="W2162" s="12">
        <v>60</v>
      </c>
      <c r="X2162" s="13"/>
      <c r="Y2162" s="13"/>
      <c r="Z2162" s="13"/>
      <c r="AA2162" s="13"/>
      <c r="AB2162" s="13"/>
      <c r="AC2162" s="13"/>
      <c r="AD2162" s="13"/>
      <c r="AE2162" s="13">
        <f t="shared" si="222"/>
        <v>0.12</v>
      </c>
      <c r="AF2162" s="13"/>
      <c r="AG2162" s="13"/>
      <c r="AH2162" s="13"/>
      <c r="AI2162" s="13"/>
      <c r="AJ2162" s="13">
        <f t="shared" si="223"/>
        <v>0.12</v>
      </c>
      <c r="AK2162" s="12"/>
      <c r="AL2162" s="13"/>
      <c r="AM2162" s="9"/>
      <c r="AN2162" s="9"/>
      <c r="AO2162" s="9"/>
      <c r="AP2162" s="14"/>
    </row>
    <row r="2163" spans="1:42" s="45" customFormat="1" ht="22" customHeight="1">
      <c r="A2163" s="14" t="s">
        <v>17</v>
      </c>
      <c r="B2163" s="8">
        <v>2024</v>
      </c>
      <c r="C2163" s="8" t="s">
        <v>24</v>
      </c>
      <c r="D2163" s="9" t="s">
        <v>185</v>
      </c>
      <c r="E2163" s="9" t="s">
        <v>115</v>
      </c>
      <c r="F2163" s="9" t="s">
        <v>434</v>
      </c>
      <c r="G2163" s="8"/>
      <c r="H2163" s="8"/>
      <c r="I2163" s="9" t="s">
        <v>11</v>
      </c>
      <c r="J2163" s="9" t="s">
        <v>11</v>
      </c>
      <c r="K2163" s="9" t="s">
        <v>82</v>
      </c>
      <c r="L2163" s="9" t="s">
        <v>166</v>
      </c>
      <c r="M2163" s="9" t="s">
        <v>1072</v>
      </c>
      <c r="N2163" s="9" t="s">
        <v>1073</v>
      </c>
      <c r="O2163" s="9"/>
      <c r="P2163" s="9" t="s">
        <v>1131</v>
      </c>
      <c r="Q2163" s="11"/>
      <c r="R2163" s="11"/>
      <c r="S2163" s="11">
        <v>44</v>
      </c>
      <c r="T2163" s="9"/>
      <c r="U2163" s="14" t="s">
        <v>77</v>
      </c>
      <c r="V2163" s="9"/>
      <c r="W2163" s="12">
        <v>60</v>
      </c>
      <c r="X2163" s="13"/>
      <c r="Y2163" s="13"/>
      <c r="Z2163" s="13"/>
      <c r="AA2163" s="13"/>
      <c r="AB2163" s="13"/>
      <c r="AC2163" s="13"/>
      <c r="AD2163" s="13"/>
      <c r="AE2163" s="13">
        <f t="shared" si="222"/>
        <v>0.26400000000000001</v>
      </c>
      <c r="AF2163" s="13"/>
      <c r="AG2163" s="13"/>
      <c r="AH2163" s="13"/>
      <c r="AI2163" s="13"/>
      <c r="AJ2163" s="13">
        <f t="shared" si="223"/>
        <v>0.26400000000000001</v>
      </c>
      <c r="AK2163" s="12"/>
      <c r="AL2163" s="13"/>
      <c r="AM2163" s="9"/>
      <c r="AN2163" s="9"/>
      <c r="AO2163" s="9"/>
      <c r="AP2163" s="14"/>
    </row>
    <row r="2164" spans="1:42" s="45" customFormat="1" ht="22" customHeight="1">
      <c r="A2164" s="14" t="s">
        <v>17</v>
      </c>
      <c r="B2164" s="8">
        <v>2024</v>
      </c>
      <c r="C2164" s="8" t="s">
        <v>24</v>
      </c>
      <c r="D2164" s="9" t="s">
        <v>185</v>
      </c>
      <c r="E2164" s="9" t="s">
        <v>115</v>
      </c>
      <c r="F2164" s="9" t="s">
        <v>434</v>
      </c>
      <c r="G2164" s="8"/>
      <c r="H2164" s="8"/>
      <c r="I2164" s="9" t="s">
        <v>11</v>
      </c>
      <c r="J2164" s="9" t="s">
        <v>11</v>
      </c>
      <c r="K2164" s="9" t="s">
        <v>82</v>
      </c>
      <c r="L2164" s="9" t="s">
        <v>166</v>
      </c>
      <c r="M2164" s="9" t="s">
        <v>1072</v>
      </c>
      <c r="N2164" s="9" t="s">
        <v>1073</v>
      </c>
      <c r="O2164" s="9"/>
      <c r="P2164" s="9" t="s">
        <v>1132</v>
      </c>
      <c r="Q2164" s="11"/>
      <c r="R2164" s="11"/>
      <c r="S2164" s="11">
        <v>40</v>
      </c>
      <c r="T2164" s="9"/>
      <c r="U2164" s="14" t="s">
        <v>77</v>
      </c>
      <c r="V2164" s="9"/>
      <c r="W2164" s="12">
        <v>60</v>
      </c>
      <c r="X2164" s="13"/>
      <c r="Y2164" s="13"/>
      <c r="Z2164" s="13"/>
      <c r="AA2164" s="13"/>
      <c r="AB2164" s="13"/>
      <c r="AC2164" s="13"/>
      <c r="AD2164" s="13"/>
      <c r="AE2164" s="13">
        <f t="shared" si="222"/>
        <v>0.24</v>
      </c>
      <c r="AF2164" s="13"/>
      <c r="AG2164" s="13"/>
      <c r="AH2164" s="13"/>
      <c r="AI2164" s="13"/>
      <c r="AJ2164" s="13">
        <f t="shared" si="223"/>
        <v>0.24</v>
      </c>
      <c r="AK2164" s="12"/>
      <c r="AL2164" s="13"/>
      <c r="AM2164" s="9"/>
      <c r="AN2164" s="9"/>
      <c r="AO2164" s="9"/>
      <c r="AP2164" s="14"/>
    </row>
    <row r="2165" spans="1:42" s="45" customFormat="1" ht="22" customHeight="1">
      <c r="A2165" s="14" t="s">
        <v>17</v>
      </c>
      <c r="B2165" s="8">
        <v>2024</v>
      </c>
      <c r="C2165" s="8" t="s">
        <v>24</v>
      </c>
      <c r="D2165" s="9" t="s">
        <v>185</v>
      </c>
      <c r="E2165" s="9" t="s">
        <v>115</v>
      </c>
      <c r="F2165" s="9" t="s">
        <v>434</v>
      </c>
      <c r="G2165" s="8"/>
      <c r="H2165" s="8"/>
      <c r="I2165" s="9" t="s">
        <v>11</v>
      </c>
      <c r="J2165" s="9" t="s">
        <v>11</v>
      </c>
      <c r="K2165" s="9" t="s">
        <v>82</v>
      </c>
      <c r="L2165" s="9" t="s">
        <v>166</v>
      </c>
      <c r="M2165" s="9" t="s">
        <v>1072</v>
      </c>
      <c r="N2165" s="9" t="s">
        <v>1073</v>
      </c>
      <c r="O2165" s="9"/>
      <c r="P2165" s="9" t="s">
        <v>1133</v>
      </c>
      <c r="Q2165" s="11"/>
      <c r="R2165" s="11"/>
      <c r="S2165" s="11">
        <v>10</v>
      </c>
      <c r="T2165" s="9"/>
      <c r="U2165" s="14" t="s">
        <v>77</v>
      </c>
      <c r="V2165" s="9"/>
      <c r="W2165" s="12">
        <v>60</v>
      </c>
      <c r="X2165" s="13"/>
      <c r="Y2165" s="13"/>
      <c r="Z2165" s="13"/>
      <c r="AA2165" s="13"/>
      <c r="AB2165" s="13"/>
      <c r="AC2165" s="13"/>
      <c r="AD2165" s="13"/>
      <c r="AE2165" s="13">
        <f t="shared" si="222"/>
        <v>0.06</v>
      </c>
      <c r="AF2165" s="13"/>
      <c r="AG2165" s="13"/>
      <c r="AH2165" s="13"/>
      <c r="AI2165" s="13"/>
      <c r="AJ2165" s="13">
        <f t="shared" si="223"/>
        <v>0.06</v>
      </c>
      <c r="AK2165" s="12"/>
      <c r="AL2165" s="13"/>
      <c r="AM2165" s="9"/>
      <c r="AN2165" s="9"/>
      <c r="AO2165" s="9"/>
      <c r="AP2165" s="14"/>
    </row>
    <row r="2166" spans="1:42" s="45" customFormat="1" ht="22" customHeight="1">
      <c r="A2166" s="14" t="s">
        <v>17</v>
      </c>
      <c r="B2166" s="8">
        <v>2024</v>
      </c>
      <c r="C2166" s="8" t="s">
        <v>24</v>
      </c>
      <c r="D2166" s="9" t="s">
        <v>185</v>
      </c>
      <c r="E2166" s="9" t="s">
        <v>115</v>
      </c>
      <c r="F2166" s="9" t="s">
        <v>434</v>
      </c>
      <c r="G2166" s="8"/>
      <c r="H2166" s="8"/>
      <c r="I2166" s="9" t="s">
        <v>11</v>
      </c>
      <c r="J2166" s="9" t="s">
        <v>11</v>
      </c>
      <c r="K2166" s="9" t="s">
        <v>82</v>
      </c>
      <c r="L2166" s="9" t="s">
        <v>166</v>
      </c>
      <c r="M2166" s="9" t="s">
        <v>1072</v>
      </c>
      <c r="N2166" s="9" t="s">
        <v>1073</v>
      </c>
      <c r="O2166" s="9"/>
      <c r="P2166" s="9" t="s">
        <v>1134</v>
      </c>
      <c r="Q2166" s="11"/>
      <c r="R2166" s="11"/>
      <c r="S2166" s="11">
        <v>38</v>
      </c>
      <c r="T2166" s="9"/>
      <c r="U2166" s="14" t="s">
        <v>77</v>
      </c>
      <c r="V2166" s="9"/>
      <c r="W2166" s="12">
        <v>60</v>
      </c>
      <c r="X2166" s="13"/>
      <c r="Y2166" s="13"/>
      <c r="Z2166" s="13"/>
      <c r="AA2166" s="13"/>
      <c r="AB2166" s="13"/>
      <c r="AC2166" s="13"/>
      <c r="AD2166" s="13"/>
      <c r="AE2166" s="13">
        <f t="shared" si="222"/>
        <v>0.22800000000000001</v>
      </c>
      <c r="AF2166" s="13"/>
      <c r="AG2166" s="13"/>
      <c r="AH2166" s="13"/>
      <c r="AI2166" s="13"/>
      <c r="AJ2166" s="13">
        <f t="shared" si="223"/>
        <v>0.22800000000000001</v>
      </c>
      <c r="AK2166" s="12"/>
      <c r="AL2166" s="13"/>
      <c r="AM2166" s="9"/>
      <c r="AN2166" s="9"/>
      <c r="AO2166" s="9"/>
      <c r="AP2166" s="14"/>
    </row>
    <row r="2167" spans="1:42" s="45" customFormat="1" ht="22" customHeight="1">
      <c r="A2167" s="14" t="s">
        <v>17</v>
      </c>
      <c r="B2167" s="8">
        <v>2024</v>
      </c>
      <c r="C2167" s="8" t="s">
        <v>24</v>
      </c>
      <c r="D2167" s="9" t="s">
        <v>185</v>
      </c>
      <c r="E2167" s="9" t="s">
        <v>115</v>
      </c>
      <c r="F2167" s="9" t="s">
        <v>434</v>
      </c>
      <c r="G2167" s="8"/>
      <c r="H2167" s="8"/>
      <c r="I2167" s="9" t="s">
        <v>11</v>
      </c>
      <c r="J2167" s="9" t="s">
        <v>11</v>
      </c>
      <c r="K2167" s="9" t="s">
        <v>82</v>
      </c>
      <c r="L2167" s="9" t="s">
        <v>166</v>
      </c>
      <c r="M2167" s="9" t="s">
        <v>1072</v>
      </c>
      <c r="N2167" s="9" t="s">
        <v>1073</v>
      </c>
      <c r="O2167" s="9"/>
      <c r="P2167" s="9" t="s">
        <v>1135</v>
      </c>
      <c r="Q2167" s="11"/>
      <c r="R2167" s="11"/>
      <c r="S2167" s="11">
        <v>45</v>
      </c>
      <c r="T2167" s="9"/>
      <c r="U2167" s="14" t="s">
        <v>77</v>
      </c>
      <c r="V2167" s="9"/>
      <c r="W2167" s="12">
        <v>60</v>
      </c>
      <c r="X2167" s="13"/>
      <c r="Y2167" s="13"/>
      <c r="Z2167" s="13"/>
      <c r="AA2167" s="13"/>
      <c r="AB2167" s="13"/>
      <c r="AC2167" s="13"/>
      <c r="AD2167" s="13"/>
      <c r="AE2167" s="13">
        <f t="shared" si="222"/>
        <v>0.27</v>
      </c>
      <c r="AF2167" s="13"/>
      <c r="AG2167" s="13"/>
      <c r="AH2167" s="13"/>
      <c r="AI2167" s="13"/>
      <c r="AJ2167" s="13">
        <f t="shared" si="223"/>
        <v>0.27</v>
      </c>
      <c r="AK2167" s="12"/>
      <c r="AL2167" s="13"/>
      <c r="AM2167" s="9"/>
      <c r="AN2167" s="9"/>
      <c r="AO2167" s="9"/>
      <c r="AP2167" s="14"/>
    </row>
    <row r="2168" spans="1:42" s="45" customFormat="1" ht="22" customHeight="1">
      <c r="A2168" s="14" t="s">
        <v>17</v>
      </c>
      <c r="B2168" s="8">
        <v>2024</v>
      </c>
      <c r="C2168" s="8" t="s">
        <v>24</v>
      </c>
      <c r="D2168" s="9" t="s">
        <v>185</v>
      </c>
      <c r="E2168" s="9" t="s">
        <v>115</v>
      </c>
      <c r="F2168" s="9" t="s">
        <v>434</v>
      </c>
      <c r="G2168" s="8"/>
      <c r="H2168" s="8"/>
      <c r="I2168" s="9" t="s">
        <v>11</v>
      </c>
      <c r="J2168" s="9" t="s">
        <v>11</v>
      </c>
      <c r="K2168" s="9" t="s">
        <v>82</v>
      </c>
      <c r="L2168" s="9" t="s">
        <v>166</v>
      </c>
      <c r="M2168" s="9" t="s">
        <v>1072</v>
      </c>
      <c r="N2168" s="9" t="s">
        <v>1073</v>
      </c>
      <c r="O2168" s="9"/>
      <c r="P2168" s="9" t="s">
        <v>969</v>
      </c>
      <c r="Q2168" s="11"/>
      <c r="R2168" s="11"/>
      <c r="S2168" s="11">
        <v>46</v>
      </c>
      <c r="T2168" s="9"/>
      <c r="U2168" s="14" t="s">
        <v>77</v>
      </c>
      <c r="V2168" s="9"/>
      <c r="W2168" s="12">
        <v>60</v>
      </c>
      <c r="X2168" s="13"/>
      <c r="Y2168" s="13"/>
      <c r="Z2168" s="13"/>
      <c r="AA2168" s="13"/>
      <c r="AB2168" s="13"/>
      <c r="AC2168" s="13"/>
      <c r="AD2168" s="13"/>
      <c r="AE2168" s="13">
        <f t="shared" si="222"/>
        <v>0.27600000000000002</v>
      </c>
      <c r="AF2168" s="13"/>
      <c r="AG2168" s="13"/>
      <c r="AH2168" s="13"/>
      <c r="AI2168" s="13"/>
      <c r="AJ2168" s="13">
        <f t="shared" si="223"/>
        <v>0.27600000000000002</v>
      </c>
      <c r="AK2168" s="12"/>
      <c r="AL2168" s="13"/>
      <c r="AM2168" s="9"/>
      <c r="AN2168" s="9"/>
      <c r="AO2168" s="9"/>
      <c r="AP2168" s="14"/>
    </row>
    <row r="2169" spans="1:42" s="45" customFormat="1" ht="22" customHeight="1">
      <c r="A2169" s="14" t="s">
        <v>17</v>
      </c>
      <c r="B2169" s="8">
        <v>2024</v>
      </c>
      <c r="C2169" s="8" t="s">
        <v>24</v>
      </c>
      <c r="D2169" s="9" t="s">
        <v>185</v>
      </c>
      <c r="E2169" s="9" t="s">
        <v>115</v>
      </c>
      <c r="F2169" s="9" t="s">
        <v>434</v>
      </c>
      <c r="G2169" s="8"/>
      <c r="H2169" s="8"/>
      <c r="I2169" s="9" t="s">
        <v>11</v>
      </c>
      <c r="J2169" s="9" t="s">
        <v>11</v>
      </c>
      <c r="K2169" s="9" t="s">
        <v>82</v>
      </c>
      <c r="L2169" s="9" t="s">
        <v>166</v>
      </c>
      <c r="M2169" s="9" t="s">
        <v>1072</v>
      </c>
      <c r="N2169" s="9" t="s">
        <v>1073</v>
      </c>
      <c r="O2169" s="9"/>
      <c r="P2169" s="9" t="s">
        <v>1136</v>
      </c>
      <c r="Q2169" s="11"/>
      <c r="R2169" s="11"/>
      <c r="S2169" s="11">
        <v>46</v>
      </c>
      <c r="T2169" s="9"/>
      <c r="U2169" s="14" t="s">
        <v>77</v>
      </c>
      <c r="V2169" s="9"/>
      <c r="W2169" s="12">
        <v>60</v>
      </c>
      <c r="X2169" s="13"/>
      <c r="Y2169" s="13"/>
      <c r="Z2169" s="13"/>
      <c r="AA2169" s="13"/>
      <c r="AB2169" s="13"/>
      <c r="AC2169" s="13"/>
      <c r="AD2169" s="13"/>
      <c r="AE2169" s="13">
        <f t="shared" si="222"/>
        <v>0.27600000000000002</v>
      </c>
      <c r="AF2169" s="13"/>
      <c r="AG2169" s="13"/>
      <c r="AH2169" s="13"/>
      <c r="AI2169" s="13"/>
      <c r="AJ2169" s="13">
        <f t="shared" si="223"/>
        <v>0.27600000000000002</v>
      </c>
      <c r="AK2169" s="12"/>
      <c r="AL2169" s="13"/>
      <c r="AM2169" s="9"/>
      <c r="AN2169" s="9"/>
      <c r="AO2169" s="9"/>
      <c r="AP2169" s="14"/>
    </row>
    <row r="2170" spans="1:42" s="45" customFormat="1" ht="22" customHeight="1">
      <c r="A2170" s="14" t="s">
        <v>17</v>
      </c>
      <c r="B2170" s="8">
        <v>2024</v>
      </c>
      <c r="C2170" s="8" t="s">
        <v>24</v>
      </c>
      <c r="D2170" s="9" t="s">
        <v>185</v>
      </c>
      <c r="E2170" s="9" t="s">
        <v>115</v>
      </c>
      <c r="F2170" s="9" t="s">
        <v>434</v>
      </c>
      <c r="G2170" s="8"/>
      <c r="H2170" s="8"/>
      <c r="I2170" s="9" t="s">
        <v>11</v>
      </c>
      <c r="J2170" s="9" t="s">
        <v>11</v>
      </c>
      <c r="K2170" s="9" t="s">
        <v>82</v>
      </c>
      <c r="L2170" s="9" t="s">
        <v>166</v>
      </c>
      <c r="M2170" s="9" t="s">
        <v>1072</v>
      </c>
      <c r="N2170" s="9" t="s">
        <v>1073</v>
      </c>
      <c r="O2170" s="9"/>
      <c r="P2170" s="9" t="s">
        <v>1137</v>
      </c>
      <c r="Q2170" s="11"/>
      <c r="R2170" s="11"/>
      <c r="S2170" s="11">
        <v>13</v>
      </c>
      <c r="T2170" s="9"/>
      <c r="U2170" s="14" t="s">
        <v>77</v>
      </c>
      <c r="V2170" s="9"/>
      <c r="W2170" s="12">
        <v>60</v>
      </c>
      <c r="X2170" s="13"/>
      <c r="Y2170" s="13"/>
      <c r="Z2170" s="13"/>
      <c r="AA2170" s="13"/>
      <c r="AB2170" s="13"/>
      <c r="AC2170" s="13"/>
      <c r="AD2170" s="13"/>
      <c r="AE2170" s="13">
        <f t="shared" ref="AE2170:AE2233" si="224">+S2170*W2170*100/1000000</f>
        <v>7.8E-2</v>
      </c>
      <c r="AF2170" s="13"/>
      <c r="AG2170" s="13"/>
      <c r="AH2170" s="13"/>
      <c r="AI2170" s="13"/>
      <c r="AJ2170" s="13">
        <f t="shared" si="223"/>
        <v>7.8E-2</v>
      </c>
      <c r="AK2170" s="12"/>
      <c r="AL2170" s="13"/>
      <c r="AM2170" s="9"/>
      <c r="AN2170" s="9"/>
      <c r="AO2170" s="9"/>
      <c r="AP2170" s="14"/>
    </row>
    <row r="2171" spans="1:42" s="45" customFormat="1" ht="22" customHeight="1">
      <c r="A2171" s="14" t="s">
        <v>17</v>
      </c>
      <c r="B2171" s="8">
        <v>2024</v>
      </c>
      <c r="C2171" s="8" t="s">
        <v>24</v>
      </c>
      <c r="D2171" s="9" t="s">
        <v>185</v>
      </c>
      <c r="E2171" s="9" t="s">
        <v>115</v>
      </c>
      <c r="F2171" s="9" t="s">
        <v>434</v>
      </c>
      <c r="G2171" s="8"/>
      <c r="H2171" s="8"/>
      <c r="I2171" s="9" t="s">
        <v>11</v>
      </c>
      <c r="J2171" s="9" t="s">
        <v>11</v>
      </c>
      <c r="K2171" s="9" t="s">
        <v>82</v>
      </c>
      <c r="L2171" s="9" t="s">
        <v>166</v>
      </c>
      <c r="M2171" s="9" t="s">
        <v>81</v>
      </c>
      <c r="N2171" s="9" t="s">
        <v>1073</v>
      </c>
      <c r="O2171" s="9" t="s">
        <v>1138</v>
      </c>
      <c r="P2171" s="9" t="s">
        <v>1138</v>
      </c>
      <c r="Q2171" s="11"/>
      <c r="R2171" s="11"/>
      <c r="S2171" s="11">
        <v>25</v>
      </c>
      <c r="T2171" s="9"/>
      <c r="U2171" s="14" t="s">
        <v>77</v>
      </c>
      <c r="V2171" s="9"/>
      <c r="W2171" s="12">
        <v>90</v>
      </c>
      <c r="X2171" s="13"/>
      <c r="Y2171" s="13"/>
      <c r="Z2171" s="13"/>
      <c r="AA2171" s="13"/>
      <c r="AB2171" s="13"/>
      <c r="AC2171" s="13"/>
      <c r="AD2171" s="13"/>
      <c r="AE2171" s="13">
        <f t="shared" si="224"/>
        <v>0.22500000000000001</v>
      </c>
      <c r="AF2171" s="13"/>
      <c r="AG2171" s="13"/>
      <c r="AH2171" s="13"/>
      <c r="AI2171" s="13"/>
      <c r="AJ2171" s="13">
        <f t="shared" si="223"/>
        <v>0.22500000000000001</v>
      </c>
      <c r="AK2171" s="12"/>
      <c r="AL2171" s="13"/>
      <c r="AM2171" s="9"/>
      <c r="AN2171" s="9"/>
      <c r="AO2171" s="9"/>
      <c r="AP2171" s="14"/>
    </row>
    <row r="2172" spans="1:42" s="45" customFormat="1" ht="22" customHeight="1">
      <c r="A2172" s="14" t="s">
        <v>17</v>
      </c>
      <c r="B2172" s="8">
        <v>2024</v>
      </c>
      <c r="C2172" s="8" t="s">
        <v>24</v>
      </c>
      <c r="D2172" s="9" t="s">
        <v>185</v>
      </c>
      <c r="E2172" s="9" t="s">
        <v>115</v>
      </c>
      <c r="F2172" s="9" t="s">
        <v>434</v>
      </c>
      <c r="G2172" s="8"/>
      <c r="H2172" s="8"/>
      <c r="I2172" s="9" t="s">
        <v>11</v>
      </c>
      <c r="J2172" s="9" t="s">
        <v>11</v>
      </c>
      <c r="K2172" s="9" t="s">
        <v>82</v>
      </c>
      <c r="L2172" s="9" t="s">
        <v>166</v>
      </c>
      <c r="M2172" s="9" t="s">
        <v>81</v>
      </c>
      <c r="N2172" s="9" t="s">
        <v>1073</v>
      </c>
      <c r="O2172" s="9"/>
      <c r="P2172" s="9" t="s">
        <v>1139</v>
      </c>
      <c r="Q2172" s="11"/>
      <c r="R2172" s="11"/>
      <c r="S2172" s="11">
        <v>13</v>
      </c>
      <c r="T2172" s="9"/>
      <c r="U2172" s="14" t="s">
        <v>77</v>
      </c>
      <c r="V2172" s="9"/>
      <c r="W2172" s="12">
        <v>90</v>
      </c>
      <c r="X2172" s="13"/>
      <c r="Y2172" s="13"/>
      <c r="Z2172" s="13"/>
      <c r="AA2172" s="13"/>
      <c r="AB2172" s="13"/>
      <c r="AC2172" s="13"/>
      <c r="AD2172" s="13"/>
      <c r="AE2172" s="13">
        <f t="shared" si="224"/>
        <v>0.11700000000000001</v>
      </c>
      <c r="AF2172" s="13"/>
      <c r="AG2172" s="13"/>
      <c r="AH2172" s="13"/>
      <c r="AI2172" s="13"/>
      <c r="AJ2172" s="13">
        <f t="shared" si="223"/>
        <v>0.11700000000000001</v>
      </c>
      <c r="AK2172" s="12"/>
      <c r="AL2172" s="13"/>
      <c r="AM2172" s="9"/>
      <c r="AN2172" s="9"/>
      <c r="AO2172" s="9"/>
      <c r="AP2172" s="14"/>
    </row>
    <row r="2173" spans="1:42" s="45" customFormat="1" ht="22" customHeight="1">
      <c r="A2173" s="14" t="s">
        <v>17</v>
      </c>
      <c r="B2173" s="8">
        <v>2024</v>
      </c>
      <c r="C2173" s="8" t="s">
        <v>24</v>
      </c>
      <c r="D2173" s="9" t="s">
        <v>185</v>
      </c>
      <c r="E2173" s="9" t="s">
        <v>115</v>
      </c>
      <c r="F2173" s="9" t="s">
        <v>434</v>
      </c>
      <c r="G2173" s="8"/>
      <c r="H2173" s="8"/>
      <c r="I2173" s="9" t="s">
        <v>11</v>
      </c>
      <c r="J2173" s="9" t="s">
        <v>11</v>
      </c>
      <c r="K2173" s="9" t="s">
        <v>82</v>
      </c>
      <c r="L2173" s="9" t="s">
        <v>166</v>
      </c>
      <c r="M2173" s="9" t="s">
        <v>81</v>
      </c>
      <c r="N2173" s="9" t="s">
        <v>1073</v>
      </c>
      <c r="O2173" s="9"/>
      <c r="P2173" s="9" t="s">
        <v>1140</v>
      </c>
      <c r="Q2173" s="11"/>
      <c r="R2173" s="11"/>
      <c r="S2173" s="11">
        <v>6</v>
      </c>
      <c r="T2173" s="9"/>
      <c r="U2173" s="14" t="s">
        <v>77</v>
      </c>
      <c r="V2173" s="9"/>
      <c r="W2173" s="12">
        <v>90</v>
      </c>
      <c r="X2173" s="13"/>
      <c r="Y2173" s="13"/>
      <c r="Z2173" s="13"/>
      <c r="AA2173" s="13"/>
      <c r="AB2173" s="13"/>
      <c r="AC2173" s="13"/>
      <c r="AD2173" s="13"/>
      <c r="AE2173" s="13">
        <f t="shared" si="224"/>
        <v>5.3999999999999999E-2</v>
      </c>
      <c r="AF2173" s="13"/>
      <c r="AG2173" s="13"/>
      <c r="AH2173" s="13"/>
      <c r="AI2173" s="13"/>
      <c r="AJ2173" s="13">
        <f t="shared" si="223"/>
        <v>5.3999999999999999E-2</v>
      </c>
      <c r="AK2173" s="12"/>
      <c r="AL2173" s="13"/>
      <c r="AM2173" s="9"/>
      <c r="AN2173" s="9"/>
      <c r="AO2173" s="9"/>
      <c r="AP2173" s="14"/>
    </row>
    <row r="2174" spans="1:42" s="45" customFormat="1" ht="22" customHeight="1">
      <c r="A2174" s="14" t="s">
        <v>17</v>
      </c>
      <c r="B2174" s="8">
        <v>2024</v>
      </c>
      <c r="C2174" s="8" t="s">
        <v>24</v>
      </c>
      <c r="D2174" s="9" t="s">
        <v>185</v>
      </c>
      <c r="E2174" s="9" t="s">
        <v>115</v>
      </c>
      <c r="F2174" s="9" t="s">
        <v>434</v>
      </c>
      <c r="G2174" s="8"/>
      <c r="H2174" s="8"/>
      <c r="I2174" s="9" t="s">
        <v>11</v>
      </c>
      <c r="J2174" s="9" t="s">
        <v>11</v>
      </c>
      <c r="K2174" s="9" t="s">
        <v>82</v>
      </c>
      <c r="L2174" s="9" t="s">
        <v>166</v>
      </c>
      <c r="M2174" s="9" t="s">
        <v>81</v>
      </c>
      <c r="N2174" s="9" t="s">
        <v>1073</v>
      </c>
      <c r="O2174" s="9"/>
      <c r="P2174" s="9" t="s">
        <v>1141</v>
      </c>
      <c r="Q2174" s="11"/>
      <c r="R2174" s="11"/>
      <c r="S2174" s="11">
        <v>6</v>
      </c>
      <c r="T2174" s="9"/>
      <c r="U2174" s="14" t="s">
        <v>77</v>
      </c>
      <c r="V2174" s="9"/>
      <c r="W2174" s="12">
        <v>90</v>
      </c>
      <c r="X2174" s="13"/>
      <c r="Y2174" s="13"/>
      <c r="Z2174" s="13"/>
      <c r="AA2174" s="13"/>
      <c r="AB2174" s="13"/>
      <c r="AC2174" s="13"/>
      <c r="AD2174" s="13"/>
      <c r="AE2174" s="13">
        <f t="shared" si="224"/>
        <v>5.3999999999999999E-2</v>
      </c>
      <c r="AF2174" s="13"/>
      <c r="AG2174" s="13"/>
      <c r="AH2174" s="13"/>
      <c r="AI2174" s="13"/>
      <c r="AJ2174" s="13">
        <f t="shared" si="223"/>
        <v>5.3999999999999999E-2</v>
      </c>
      <c r="AK2174" s="12"/>
      <c r="AL2174" s="13"/>
      <c r="AM2174" s="9"/>
      <c r="AN2174" s="9"/>
      <c r="AO2174" s="9"/>
      <c r="AP2174" s="14"/>
    </row>
    <row r="2175" spans="1:42" s="45" customFormat="1" ht="22" customHeight="1">
      <c r="A2175" s="14" t="s">
        <v>17</v>
      </c>
      <c r="B2175" s="8">
        <v>2024</v>
      </c>
      <c r="C2175" s="8" t="s">
        <v>24</v>
      </c>
      <c r="D2175" s="9" t="s">
        <v>185</v>
      </c>
      <c r="E2175" s="9" t="s">
        <v>115</v>
      </c>
      <c r="F2175" s="9" t="s">
        <v>434</v>
      </c>
      <c r="G2175" s="8"/>
      <c r="H2175" s="8"/>
      <c r="I2175" s="9" t="s">
        <v>11</v>
      </c>
      <c r="J2175" s="9" t="s">
        <v>11</v>
      </c>
      <c r="K2175" s="9" t="s">
        <v>82</v>
      </c>
      <c r="L2175" s="9" t="s">
        <v>166</v>
      </c>
      <c r="M2175" s="9" t="s">
        <v>81</v>
      </c>
      <c r="N2175" s="9" t="s">
        <v>1073</v>
      </c>
      <c r="O2175" s="9"/>
      <c r="P2175" s="9" t="s">
        <v>1142</v>
      </c>
      <c r="Q2175" s="11"/>
      <c r="R2175" s="11"/>
      <c r="S2175" s="11">
        <v>29</v>
      </c>
      <c r="T2175" s="9"/>
      <c r="U2175" s="14" t="s">
        <v>77</v>
      </c>
      <c r="V2175" s="9"/>
      <c r="W2175" s="12">
        <v>90</v>
      </c>
      <c r="X2175" s="13"/>
      <c r="Y2175" s="13"/>
      <c r="Z2175" s="13"/>
      <c r="AA2175" s="13"/>
      <c r="AB2175" s="13"/>
      <c r="AC2175" s="13"/>
      <c r="AD2175" s="13"/>
      <c r="AE2175" s="13">
        <f t="shared" si="224"/>
        <v>0.26100000000000001</v>
      </c>
      <c r="AF2175" s="13"/>
      <c r="AG2175" s="13"/>
      <c r="AH2175" s="13"/>
      <c r="AI2175" s="13"/>
      <c r="AJ2175" s="13">
        <f t="shared" si="223"/>
        <v>0.26100000000000001</v>
      </c>
      <c r="AK2175" s="12"/>
      <c r="AL2175" s="13"/>
      <c r="AM2175" s="9"/>
      <c r="AN2175" s="9"/>
      <c r="AO2175" s="9"/>
      <c r="AP2175" s="14"/>
    </row>
    <row r="2176" spans="1:42" s="45" customFormat="1" ht="22" customHeight="1">
      <c r="A2176" s="14" t="s">
        <v>17</v>
      </c>
      <c r="B2176" s="8">
        <v>2024</v>
      </c>
      <c r="C2176" s="8" t="s">
        <v>24</v>
      </c>
      <c r="D2176" s="9" t="s">
        <v>185</v>
      </c>
      <c r="E2176" s="9" t="s">
        <v>115</v>
      </c>
      <c r="F2176" s="9" t="s">
        <v>434</v>
      </c>
      <c r="G2176" s="8"/>
      <c r="H2176" s="8"/>
      <c r="I2176" s="9" t="s">
        <v>11</v>
      </c>
      <c r="J2176" s="9" t="s">
        <v>11</v>
      </c>
      <c r="K2176" s="9" t="s">
        <v>82</v>
      </c>
      <c r="L2176" s="9" t="s">
        <v>166</v>
      </c>
      <c r="M2176" s="9" t="s">
        <v>81</v>
      </c>
      <c r="N2176" s="9" t="s">
        <v>1073</v>
      </c>
      <c r="O2176" s="9"/>
      <c r="P2176" s="9" t="s">
        <v>1143</v>
      </c>
      <c r="Q2176" s="11"/>
      <c r="R2176" s="11"/>
      <c r="S2176" s="11">
        <v>25</v>
      </c>
      <c r="T2176" s="9"/>
      <c r="U2176" s="14" t="s">
        <v>77</v>
      </c>
      <c r="V2176" s="9"/>
      <c r="W2176" s="12">
        <v>90</v>
      </c>
      <c r="X2176" s="13"/>
      <c r="Y2176" s="13"/>
      <c r="Z2176" s="13"/>
      <c r="AA2176" s="13"/>
      <c r="AB2176" s="13"/>
      <c r="AC2176" s="13"/>
      <c r="AD2176" s="13"/>
      <c r="AE2176" s="13">
        <f t="shared" si="224"/>
        <v>0.22500000000000001</v>
      </c>
      <c r="AF2176" s="13"/>
      <c r="AG2176" s="13"/>
      <c r="AH2176" s="13"/>
      <c r="AI2176" s="13"/>
      <c r="AJ2176" s="13">
        <f t="shared" si="223"/>
        <v>0.22500000000000001</v>
      </c>
      <c r="AK2176" s="12"/>
      <c r="AL2176" s="13"/>
      <c r="AM2176" s="9"/>
      <c r="AN2176" s="9"/>
      <c r="AO2176" s="9"/>
      <c r="AP2176" s="14"/>
    </row>
    <row r="2177" spans="1:42" s="45" customFormat="1" ht="22" customHeight="1">
      <c r="A2177" s="14" t="s">
        <v>17</v>
      </c>
      <c r="B2177" s="8">
        <v>2024</v>
      </c>
      <c r="C2177" s="8" t="s">
        <v>24</v>
      </c>
      <c r="D2177" s="9" t="s">
        <v>185</v>
      </c>
      <c r="E2177" s="9" t="s">
        <v>115</v>
      </c>
      <c r="F2177" s="9" t="s">
        <v>434</v>
      </c>
      <c r="G2177" s="8"/>
      <c r="H2177" s="8"/>
      <c r="I2177" s="9" t="s">
        <v>11</v>
      </c>
      <c r="J2177" s="9" t="s">
        <v>11</v>
      </c>
      <c r="K2177" s="9" t="s">
        <v>82</v>
      </c>
      <c r="L2177" s="9" t="s">
        <v>166</v>
      </c>
      <c r="M2177" s="9" t="s">
        <v>81</v>
      </c>
      <c r="N2177" s="9" t="s">
        <v>1073</v>
      </c>
      <c r="O2177" s="9"/>
      <c r="P2177" s="9" t="s">
        <v>1144</v>
      </c>
      <c r="Q2177" s="11"/>
      <c r="R2177" s="11"/>
      <c r="S2177" s="11">
        <v>8</v>
      </c>
      <c r="T2177" s="9"/>
      <c r="U2177" s="14" t="s">
        <v>77</v>
      </c>
      <c r="V2177" s="9"/>
      <c r="W2177" s="12">
        <v>90</v>
      </c>
      <c r="X2177" s="13"/>
      <c r="Y2177" s="13"/>
      <c r="Z2177" s="13"/>
      <c r="AA2177" s="13"/>
      <c r="AB2177" s="13"/>
      <c r="AC2177" s="13"/>
      <c r="AD2177" s="13"/>
      <c r="AE2177" s="13">
        <f t="shared" si="224"/>
        <v>7.1999999999999995E-2</v>
      </c>
      <c r="AF2177" s="13"/>
      <c r="AG2177" s="13"/>
      <c r="AH2177" s="13"/>
      <c r="AI2177" s="13"/>
      <c r="AJ2177" s="13">
        <f t="shared" si="223"/>
        <v>7.1999999999999995E-2</v>
      </c>
      <c r="AK2177" s="12"/>
      <c r="AL2177" s="13"/>
      <c r="AM2177" s="9"/>
      <c r="AN2177" s="9"/>
      <c r="AO2177" s="9"/>
      <c r="AP2177" s="14"/>
    </row>
    <row r="2178" spans="1:42" s="45" customFormat="1" ht="22" customHeight="1">
      <c r="A2178" s="14" t="s">
        <v>17</v>
      </c>
      <c r="B2178" s="8">
        <v>2024</v>
      </c>
      <c r="C2178" s="8" t="s">
        <v>24</v>
      </c>
      <c r="D2178" s="9" t="s">
        <v>185</v>
      </c>
      <c r="E2178" s="9" t="s">
        <v>115</v>
      </c>
      <c r="F2178" s="9" t="s">
        <v>434</v>
      </c>
      <c r="G2178" s="8"/>
      <c r="H2178" s="8"/>
      <c r="I2178" s="9" t="s">
        <v>11</v>
      </c>
      <c r="J2178" s="9" t="s">
        <v>11</v>
      </c>
      <c r="K2178" s="9" t="s">
        <v>82</v>
      </c>
      <c r="L2178" s="9" t="s">
        <v>166</v>
      </c>
      <c r="M2178" s="9" t="s">
        <v>81</v>
      </c>
      <c r="N2178" s="9" t="s">
        <v>1073</v>
      </c>
      <c r="O2178" s="9"/>
      <c r="P2178" s="9" t="s">
        <v>1145</v>
      </c>
      <c r="Q2178" s="11"/>
      <c r="R2178" s="11"/>
      <c r="S2178" s="11">
        <v>26</v>
      </c>
      <c r="T2178" s="9"/>
      <c r="U2178" s="14" t="s">
        <v>77</v>
      </c>
      <c r="V2178" s="9"/>
      <c r="W2178" s="12">
        <v>90</v>
      </c>
      <c r="X2178" s="13"/>
      <c r="Y2178" s="13"/>
      <c r="Z2178" s="13"/>
      <c r="AA2178" s="13"/>
      <c r="AB2178" s="13"/>
      <c r="AC2178" s="13"/>
      <c r="AD2178" s="13"/>
      <c r="AE2178" s="13">
        <f t="shared" si="224"/>
        <v>0.23400000000000001</v>
      </c>
      <c r="AF2178" s="13"/>
      <c r="AG2178" s="13"/>
      <c r="AH2178" s="13"/>
      <c r="AI2178" s="13"/>
      <c r="AJ2178" s="13">
        <f t="shared" si="223"/>
        <v>0.23400000000000001</v>
      </c>
      <c r="AK2178" s="12"/>
      <c r="AL2178" s="13"/>
      <c r="AM2178" s="9"/>
      <c r="AN2178" s="9"/>
      <c r="AO2178" s="9"/>
      <c r="AP2178" s="14"/>
    </row>
    <row r="2179" spans="1:42" s="45" customFormat="1" ht="22" customHeight="1">
      <c r="A2179" s="14" t="s">
        <v>17</v>
      </c>
      <c r="B2179" s="8">
        <v>2024</v>
      </c>
      <c r="C2179" s="8" t="s">
        <v>24</v>
      </c>
      <c r="D2179" s="9" t="s">
        <v>185</v>
      </c>
      <c r="E2179" s="9" t="s">
        <v>115</v>
      </c>
      <c r="F2179" s="9" t="s">
        <v>434</v>
      </c>
      <c r="G2179" s="8"/>
      <c r="H2179" s="8"/>
      <c r="I2179" s="9" t="s">
        <v>11</v>
      </c>
      <c r="J2179" s="9" t="s">
        <v>11</v>
      </c>
      <c r="K2179" s="9" t="s">
        <v>82</v>
      </c>
      <c r="L2179" s="9" t="s">
        <v>166</v>
      </c>
      <c r="M2179" s="9" t="s">
        <v>81</v>
      </c>
      <c r="N2179" s="9" t="s">
        <v>1073</v>
      </c>
      <c r="O2179" s="9" t="s">
        <v>1146</v>
      </c>
      <c r="P2179" s="9" t="s">
        <v>1147</v>
      </c>
      <c r="Q2179" s="11"/>
      <c r="R2179" s="11"/>
      <c r="S2179" s="11">
        <v>12</v>
      </c>
      <c r="T2179" s="9"/>
      <c r="U2179" s="14" t="s">
        <v>77</v>
      </c>
      <c r="V2179" s="9"/>
      <c r="W2179" s="12">
        <v>90</v>
      </c>
      <c r="X2179" s="13"/>
      <c r="Y2179" s="13"/>
      <c r="Z2179" s="13"/>
      <c r="AA2179" s="13"/>
      <c r="AB2179" s="13"/>
      <c r="AC2179" s="13"/>
      <c r="AD2179" s="13"/>
      <c r="AE2179" s="13">
        <f t="shared" si="224"/>
        <v>0.108</v>
      </c>
      <c r="AF2179" s="13"/>
      <c r="AG2179" s="13"/>
      <c r="AH2179" s="13"/>
      <c r="AI2179" s="13"/>
      <c r="AJ2179" s="13">
        <f t="shared" si="223"/>
        <v>0.108</v>
      </c>
      <c r="AK2179" s="12"/>
      <c r="AL2179" s="13"/>
      <c r="AM2179" s="9"/>
      <c r="AN2179" s="9"/>
      <c r="AO2179" s="9"/>
      <c r="AP2179" s="14"/>
    </row>
    <row r="2180" spans="1:42" s="45" customFormat="1" ht="22" customHeight="1">
      <c r="A2180" s="14" t="s">
        <v>17</v>
      </c>
      <c r="B2180" s="8">
        <v>2024</v>
      </c>
      <c r="C2180" s="8" t="s">
        <v>24</v>
      </c>
      <c r="D2180" s="9" t="s">
        <v>185</v>
      </c>
      <c r="E2180" s="9" t="s">
        <v>115</v>
      </c>
      <c r="F2180" s="9" t="s">
        <v>434</v>
      </c>
      <c r="G2180" s="8"/>
      <c r="H2180" s="8"/>
      <c r="I2180" s="9" t="s">
        <v>11</v>
      </c>
      <c r="J2180" s="9" t="s">
        <v>11</v>
      </c>
      <c r="K2180" s="9" t="s">
        <v>82</v>
      </c>
      <c r="L2180" s="9" t="s">
        <v>166</v>
      </c>
      <c r="M2180" s="9" t="s">
        <v>81</v>
      </c>
      <c r="N2180" s="9" t="s">
        <v>1073</v>
      </c>
      <c r="O2180" s="9"/>
      <c r="P2180" s="9" t="s">
        <v>1148</v>
      </c>
      <c r="Q2180" s="11"/>
      <c r="R2180" s="11"/>
      <c r="S2180" s="11">
        <v>49</v>
      </c>
      <c r="T2180" s="9"/>
      <c r="U2180" s="14" t="s">
        <v>77</v>
      </c>
      <c r="V2180" s="9"/>
      <c r="W2180" s="12">
        <v>90</v>
      </c>
      <c r="X2180" s="13"/>
      <c r="Y2180" s="13"/>
      <c r="Z2180" s="13"/>
      <c r="AA2180" s="13"/>
      <c r="AB2180" s="13"/>
      <c r="AC2180" s="13"/>
      <c r="AD2180" s="13"/>
      <c r="AE2180" s="13">
        <f t="shared" si="224"/>
        <v>0.441</v>
      </c>
      <c r="AF2180" s="13"/>
      <c r="AG2180" s="13"/>
      <c r="AH2180" s="13"/>
      <c r="AI2180" s="13"/>
      <c r="AJ2180" s="13">
        <f t="shared" si="223"/>
        <v>0.441</v>
      </c>
      <c r="AK2180" s="12"/>
      <c r="AL2180" s="13"/>
      <c r="AM2180" s="9"/>
      <c r="AN2180" s="9"/>
      <c r="AO2180" s="9"/>
      <c r="AP2180" s="14"/>
    </row>
    <row r="2181" spans="1:42" s="45" customFormat="1" ht="22" customHeight="1">
      <c r="A2181" s="14" t="s">
        <v>17</v>
      </c>
      <c r="B2181" s="8">
        <v>2024</v>
      </c>
      <c r="C2181" s="8" t="s">
        <v>24</v>
      </c>
      <c r="D2181" s="9" t="s">
        <v>185</v>
      </c>
      <c r="E2181" s="9" t="s">
        <v>115</v>
      </c>
      <c r="F2181" s="9" t="s">
        <v>434</v>
      </c>
      <c r="G2181" s="8"/>
      <c r="H2181" s="8"/>
      <c r="I2181" s="9" t="s">
        <v>11</v>
      </c>
      <c r="J2181" s="9" t="s">
        <v>11</v>
      </c>
      <c r="K2181" s="9" t="s">
        <v>82</v>
      </c>
      <c r="L2181" s="9" t="s">
        <v>166</v>
      </c>
      <c r="M2181" s="9" t="s">
        <v>81</v>
      </c>
      <c r="N2181" s="9" t="s">
        <v>1073</v>
      </c>
      <c r="O2181" s="9"/>
      <c r="P2181" s="9" t="s">
        <v>1149</v>
      </c>
      <c r="Q2181" s="11"/>
      <c r="R2181" s="11"/>
      <c r="S2181" s="11">
        <v>26</v>
      </c>
      <c r="T2181" s="9"/>
      <c r="U2181" s="14" t="s">
        <v>77</v>
      </c>
      <c r="V2181" s="9"/>
      <c r="W2181" s="12">
        <v>90</v>
      </c>
      <c r="X2181" s="13"/>
      <c r="Y2181" s="13"/>
      <c r="Z2181" s="13"/>
      <c r="AA2181" s="13"/>
      <c r="AB2181" s="13"/>
      <c r="AC2181" s="13"/>
      <c r="AD2181" s="13"/>
      <c r="AE2181" s="13">
        <f t="shared" si="224"/>
        <v>0.23400000000000001</v>
      </c>
      <c r="AF2181" s="13"/>
      <c r="AG2181" s="13"/>
      <c r="AH2181" s="13"/>
      <c r="AI2181" s="13"/>
      <c r="AJ2181" s="13">
        <f t="shared" si="223"/>
        <v>0.23400000000000001</v>
      </c>
      <c r="AK2181" s="12"/>
      <c r="AL2181" s="13"/>
      <c r="AM2181" s="9"/>
      <c r="AN2181" s="9"/>
      <c r="AO2181" s="9"/>
      <c r="AP2181" s="14"/>
    </row>
    <row r="2182" spans="1:42" s="45" customFormat="1" ht="22" customHeight="1">
      <c r="A2182" s="14" t="s">
        <v>17</v>
      </c>
      <c r="B2182" s="8">
        <v>2024</v>
      </c>
      <c r="C2182" s="8" t="s">
        <v>24</v>
      </c>
      <c r="D2182" s="9" t="s">
        <v>185</v>
      </c>
      <c r="E2182" s="9" t="s">
        <v>115</v>
      </c>
      <c r="F2182" s="9" t="s">
        <v>434</v>
      </c>
      <c r="G2182" s="8"/>
      <c r="H2182" s="8"/>
      <c r="I2182" s="9" t="s">
        <v>11</v>
      </c>
      <c r="J2182" s="9" t="s">
        <v>11</v>
      </c>
      <c r="K2182" s="9" t="s">
        <v>82</v>
      </c>
      <c r="L2182" s="9" t="s">
        <v>166</v>
      </c>
      <c r="M2182" s="9" t="s">
        <v>81</v>
      </c>
      <c r="N2182" s="9" t="s">
        <v>1073</v>
      </c>
      <c r="O2182" s="9"/>
      <c r="P2182" s="9" t="s">
        <v>1150</v>
      </c>
      <c r="Q2182" s="11"/>
      <c r="R2182" s="11"/>
      <c r="S2182" s="11">
        <v>16</v>
      </c>
      <c r="T2182" s="9"/>
      <c r="U2182" s="14" t="s">
        <v>77</v>
      </c>
      <c r="V2182" s="9"/>
      <c r="W2182" s="12">
        <v>90</v>
      </c>
      <c r="X2182" s="13"/>
      <c r="Y2182" s="13"/>
      <c r="Z2182" s="13"/>
      <c r="AA2182" s="13"/>
      <c r="AB2182" s="13"/>
      <c r="AC2182" s="13"/>
      <c r="AD2182" s="13"/>
      <c r="AE2182" s="13">
        <f t="shared" si="224"/>
        <v>0.14399999999999999</v>
      </c>
      <c r="AF2182" s="13"/>
      <c r="AG2182" s="13"/>
      <c r="AH2182" s="13"/>
      <c r="AI2182" s="13"/>
      <c r="AJ2182" s="13">
        <f t="shared" si="223"/>
        <v>0.14399999999999999</v>
      </c>
      <c r="AK2182" s="12"/>
      <c r="AL2182" s="13"/>
      <c r="AM2182" s="9"/>
      <c r="AN2182" s="9"/>
      <c r="AO2182" s="9"/>
      <c r="AP2182" s="14"/>
    </row>
    <row r="2183" spans="1:42" s="45" customFormat="1" ht="22" customHeight="1">
      <c r="A2183" s="14" t="s">
        <v>17</v>
      </c>
      <c r="B2183" s="8">
        <v>2024</v>
      </c>
      <c r="C2183" s="8" t="s">
        <v>24</v>
      </c>
      <c r="D2183" s="9" t="s">
        <v>185</v>
      </c>
      <c r="E2183" s="9" t="s">
        <v>115</v>
      </c>
      <c r="F2183" s="9" t="s">
        <v>434</v>
      </c>
      <c r="G2183" s="8"/>
      <c r="H2183" s="8"/>
      <c r="I2183" s="9" t="s">
        <v>11</v>
      </c>
      <c r="J2183" s="9" t="s">
        <v>11</v>
      </c>
      <c r="K2183" s="9" t="s">
        <v>82</v>
      </c>
      <c r="L2183" s="9" t="s">
        <v>166</v>
      </c>
      <c r="M2183" s="9" t="s">
        <v>81</v>
      </c>
      <c r="N2183" s="9" t="s">
        <v>1073</v>
      </c>
      <c r="O2183" s="9"/>
      <c r="P2183" s="9" t="s">
        <v>1151</v>
      </c>
      <c r="Q2183" s="11"/>
      <c r="R2183" s="11"/>
      <c r="S2183" s="11">
        <v>19</v>
      </c>
      <c r="T2183" s="9"/>
      <c r="U2183" s="14" t="s">
        <v>77</v>
      </c>
      <c r="V2183" s="9"/>
      <c r="W2183" s="12">
        <v>90</v>
      </c>
      <c r="X2183" s="13"/>
      <c r="Y2183" s="13"/>
      <c r="Z2183" s="13"/>
      <c r="AA2183" s="13"/>
      <c r="AB2183" s="13"/>
      <c r="AC2183" s="13"/>
      <c r="AD2183" s="13"/>
      <c r="AE2183" s="13">
        <f t="shared" si="224"/>
        <v>0.17100000000000001</v>
      </c>
      <c r="AF2183" s="13"/>
      <c r="AG2183" s="13"/>
      <c r="AH2183" s="13"/>
      <c r="AI2183" s="13"/>
      <c r="AJ2183" s="13">
        <f t="shared" si="223"/>
        <v>0.17100000000000001</v>
      </c>
      <c r="AK2183" s="12"/>
      <c r="AL2183" s="13"/>
      <c r="AM2183" s="9"/>
      <c r="AN2183" s="9"/>
      <c r="AO2183" s="9"/>
      <c r="AP2183" s="14"/>
    </row>
    <row r="2184" spans="1:42" s="45" customFormat="1" ht="22" customHeight="1">
      <c r="A2184" s="14" t="s">
        <v>17</v>
      </c>
      <c r="B2184" s="8">
        <v>2024</v>
      </c>
      <c r="C2184" s="8" t="s">
        <v>24</v>
      </c>
      <c r="D2184" s="9" t="s">
        <v>185</v>
      </c>
      <c r="E2184" s="9" t="s">
        <v>115</v>
      </c>
      <c r="F2184" s="9" t="s">
        <v>434</v>
      </c>
      <c r="G2184" s="8"/>
      <c r="H2184" s="8"/>
      <c r="I2184" s="9" t="s">
        <v>11</v>
      </c>
      <c r="J2184" s="9" t="s">
        <v>11</v>
      </c>
      <c r="K2184" s="9" t="s">
        <v>82</v>
      </c>
      <c r="L2184" s="9" t="s">
        <v>166</v>
      </c>
      <c r="M2184" s="9" t="s">
        <v>81</v>
      </c>
      <c r="N2184" s="9" t="s">
        <v>1073</v>
      </c>
      <c r="O2184" s="9"/>
      <c r="P2184" s="9" t="s">
        <v>373</v>
      </c>
      <c r="Q2184" s="11"/>
      <c r="R2184" s="11"/>
      <c r="S2184" s="11">
        <v>16</v>
      </c>
      <c r="T2184" s="9"/>
      <c r="U2184" s="14" t="s">
        <v>77</v>
      </c>
      <c r="V2184" s="9"/>
      <c r="W2184" s="12">
        <v>90</v>
      </c>
      <c r="X2184" s="13"/>
      <c r="Y2184" s="13"/>
      <c r="Z2184" s="13"/>
      <c r="AA2184" s="13"/>
      <c r="AB2184" s="13"/>
      <c r="AC2184" s="13"/>
      <c r="AD2184" s="13"/>
      <c r="AE2184" s="13">
        <f t="shared" si="224"/>
        <v>0.14399999999999999</v>
      </c>
      <c r="AF2184" s="13"/>
      <c r="AG2184" s="13"/>
      <c r="AH2184" s="13"/>
      <c r="AI2184" s="13"/>
      <c r="AJ2184" s="13">
        <f t="shared" si="223"/>
        <v>0.14399999999999999</v>
      </c>
      <c r="AK2184" s="12"/>
      <c r="AL2184" s="13"/>
      <c r="AM2184" s="9"/>
      <c r="AN2184" s="9"/>
      <c r="AO2184" s="9"/>
      <c r="AP2184" s="14"/>
    </row>
    <row r="2185" spans="1:42" s="45" customFormat="1" ht="22" customHeight="1">
      <c r="A2185" s="14" t="s">
        <v>17</v>
      </c>
      <c r="B2185" s="8">
        <v>2024</v>
      </c>
      <c r="C2185" s="8" t="s">
        <v>24</v>
      </c>
      <c r="D2185" s="9" t="s">
        <v>185</v>
      </c>
      <c r="E2185" s="9" t="s">
        <v>115</v>
      </c>
      <c r="F2185" s="9" t="s">
        <v>434</v>
      </c>
      <c r="G2185" s="8"/>
      <c r="H2185" s="8"/>
      <c r="I2185" s="9" t="s">
        <v>11</v>
      </c>
      <c r="J2185" s="9" t="s">
        <v>11</v>
      </c>
      <c r="K2185" s="9" t="s">
        <v>82</v>
      </c>
      <c r="L2185" s="9" t="s">
        <v>166</v>
      </c>
      <c r="M2185" s="9" t="s">
        <v>81</v>
      </c>
      <c r="N2185" s="9" t="s">
        <v>1073</v>
      </c>
      <c r="O2185" s="9" t="s">
        <v>1152</v>
      </c>
      <c r="P2185" s="9" t="s">
        <v>685</v>
      </c>
      <c r="Q2185" s="11"/>
      <c r="R2185" s="11"/>
      <c r="S2185" s="11">
        <v>9</v>
      </c>
      <c r="T2185" s="9"/>
      <c r="U2185" s="14" t="s">
        <v>77</v>
      </c>
      <c r="V2185" s="9"/>
      <c r="W2185" s="12">
        <v>90</v>
      </c>
      <c r="X2185" s="13"/>
      <c r="Y2185" s="13"/>
      <c r="Z2185" s="13"/>
      <c r="AA2185" s="13"/>
      <c r="AB2185" s="13"/>
      <c r="AC2185" s="13"/>
      <c r="AD2185" s="13"/>
      <c r="AE2185" s="13">
        <f t="shared" si="224"/>
        <v>8.1000000000000003E-2</v>
      </c>
      <c r="AF2185" s="13"/>
      <c r="AG2185" s="13"/>
      <c r="AH2185" s="13"/>
      <c r="AI2185" s="13"/>
      <c r="AJ2185" s="13">
        <f t="shared" si="223"/>
        <v>8.1000000000000003E-2</v>
      </c>
      <c r="AK2185" s="12"/>
      <c r="AL2185" s="13"/>
      <c r="AM2185" s="9"/>
      <c r="AN2185" s="9"/>
      <c r="AO2185" s="9"/>
      <c r="AP2185" s="14"/>
    </row>
    <row r="2186" spans="1:42" s="45" customFormat="1" ht="22" customHeight="1">
      <c r="A2186" s="14" t="s">
        <v>17</v>
      </c>
      <c r="B2186" s="8">
        <v>2024</v>
      </c>
      <c r="C2186" s="8" t="s">
        <v>24</v>
      </c>
      <c r="D2186" s="9" t="s">
        <v>185</v>
      </c>
      <c r="E2186" s="9" t="s">
        <v>115</v>
      </c>
      <c r="F2186" s="9" t="s">
        <v>434</v>
      </c>
      <c r="G2186" s="8"/>
      <c r="H2186" s="8"/>
      <c r="I2186" s="9" t="s">
        <v>11</v>
      </c>
      <c r="J2186" s="9" t="s">
        <v>11</v>
      </c>
      <c r="K2186" s="9" t="s">
        <v>82</v>
      </c>
      <c r="L2186" s="9" t="s">
        <v>166</v>
      </c>
      <c r="M2186" s="9" t="s">
        <v>81</v>
      </c>
      <c r="N2186" s="9" t="s">
        <v>1073</v>
      </c>
      <c r="O2186" s="9"/>
      <c r="P2186" s="9" t="s">
        <v>1153</v>
      </c>
      <c r="Q2186" s="11"/>
      <c r="R2186" s="11"/>
      <c r="S2186" s="11">
        <v>15</v>
      </c>
      <c r="T2186" s="9"/>
      <c r="U2186" s="14" t="s">
        <v>77</v>
      </c>
      <c r="V2186" s="9"/>
      <c r="W2186" s="12">
        <v>90</v>
      </c>
      <c r="X2186" s="13"/>
      <c r="Y2186" s="13"/>
      <c r="Z2186" s="13"/>
      <c r="AA2186" s="13"/>
      <c r="AB2186" s="13"/>
      <c r="AC2186" s="13"/>
      <c r="AD2186" s="13"/>
      <c r="AE2186" s="13">
        <f t="shared" si="224"/>
        <v>0.13500000000000001</v>
      </c>
      <c r="AF2186" s="13"/>
      <c r="AG2186" s="13"/>
      <c r="AH2186" s="13"/>
      <c r="AI2186" s="13"/>
      <c r="AJ2186" s="13">
        <f t="shared" si="223"/>
        <v>0.13500000000000001</v>
      </c>
      <c r="AK2186" s="12"/>
      <c r="AL2186" s="13"/>
      <c r="AM2186" s="9"/>
      <c r="AN2186" s="9"/>
      <c r="AO2186" s="9"/>
      <c r="AP2186" s="14"/>
    </row>
    <row r="2187" spans="1:42" s="45" customFormat="1" ht="22" customHeight="1">
      <c r="A2187" s="14" t="s">
        <v>17</v>
      </c>
      <c r="B2187" s="8">
        <v>2024</v>
      </c>
      <c r="C2187" s="8" t="s">
        <v>24</v>
      </c>
      <c r="D2187" s="9" t="s">
        <v>185</v>
      </c>
      <c r="E2187" s="9" t="s">
        <v>115</v>
      </c>
      <c r="F2187" s="9" t="s">
        <v>434</v>
      </c>
      <c r="G2187" s="8"/>
      <c r="H2187" s="8"/>
      <c r="I2187" s="9" t="s">
        <v>11</v>
      </c>
      <c r="J2187" s="9" t="s">
        <v>11</v>
      </c>
      <c r="K2187" s="9" t="s">
        <v>82</v>
      </c>
      <c r="L2187" s="9" t="s">
        <v>166</v>
      </c>
      <c r="M2187" s="9" t="s">
        <v>81</v>
      </c>
      <c r="N2187" s="9" t="s">
        <v>1073</v>
      </c>
      <c r="O2187" s="9"/>
      <c r="P2187" s="9" t="s">
        <v>1154</v>
      </c>
      <c r="Q2187" s="11"/>
      <c r="R2187" s="11"/>
      <c r="S2187" s="11">
        <v>4</v>
      </c>
      <c r="T2187" s="9"/>
      <c r="U2187" s="14" t="s">
        <v>77</v>
      </c>
      <c r="V2187" s="9"/>
      <c r="W2187" s="12">
        <v>90</v>
      </c>
      <c r="X2187" s="13"/>
      <c r="Y2187" s="13"/>
      <c r="Z2187" s="13"/>
      <c r="AA2187" s="13"/>
      <c r="AB2187" s="13"/>
      <c r="AC2187" s="13"/>
      <c r="AD2187" s="13"/>
      <c r="AE2187" s="13">
        <f t="shared" si="224"/>
        <v>3.5999999999999997E-2</v>
      </c>
      <c r="AF2187" s="13"/>
      <c r="AG2187" s="13"/>
      <c r="AH2187" s="13"/>
      <c r="AI2187" s="13"/>
      <c r="AJ2187" s="13">
        <f t="shared" si="223"/>
        <v>3.5999999999999997E-2</v>
      </c>
      <c r="AK2187" s="12"/>
      <c r="AL2187" s="13"/>
      <c r="AM2187" s="9"/>
      <c r="AN2187" s="9"/>
      <c r="AO2187" s="9"/>
      <c r="AP2187" s="14"/>
    </row>
    <row r="2188" spans="1:42" s="45" customFormat="1" ht="22" customHeight="1">
      <c r="A2188" s="14" t="s">
        <v>17</v>
      </c>
      <c r="B2188" s="8">
        <v>2024</v>
      </c>
      <c r="C2188" s="8" t="s">
        <v>24</v>
      </c>
      <c r="D2188" s="9" t="s">
        <v>185</v>
      </c>
      <c r="E2188" s="9" t="s">
        <v>115</v>
      </c>
      <c r="F2188" s="9" t="s">
        <v>434</v>
      </c>
      <c r="G2188" s="8"/>
      <c r="H2188" s="8"/>
      <c r="I2188" s="9" t="s">
        <v>11</v>
      </c>
      <c r="J2188" s="9" t="s">
        <v>11</v>
      </c>
      <c r="K2188" s="9" t="s">
        <v>82</v>
      </c>
      <c r="L2188" s="9" t="s">
        <v>166</v>
      </c>
      <c r="M2188" s="9" t="s">
        <v>81</v>
      </c>
      <c r="N2188" s="9" t="s">
        <v>1073</v>
      </c>
      <c r="O2188" s="9"/>
      <c r="P2188" s="9" t="s">
        <v>1155</v>
      </c>
      <c r="Q2188" s="11"/>
      <c r="R2188" s="11"/>
      <c r="S2188" s="11">
        <v>6</v>
      </c>
      <c r="T2188" s="9"/>
      <c r="U2188" s="14" t="s">
        <v>77</v>
      </c>
      <c r="V2188" s="9"/>
      <c r="W2188" s="12">
        <v>90</v>
      </c>
      <c r="X2188" s="13"/>
      <c r="Y2188" s="13"/>
      <c r="Z2188" s="13"/>
      <c r="AA2188" s="13"/>
      <c r="AB2188" s="13"/>
      <c r="AC2188" s="13"/>
      <c r="AD2188" s="13"/>
      <c r="AE2188" s="13">
        <f t="shared" si="224"/>
        <v>5.3999999999999999E-2</v>
      </c>
      <c r="AF2188" s="13"/>
      <c r="AG2188" s="13"/>
      <c r="AH2188" s="13"/>
      <c r="AI2188" s="13"/>
      <c r="AJ2188" s="13">
        <f t="shared" si="223"/>
        <v>5.3999999999999999E-2</v>
      </c>
      <c r="AK2188" s="12"/>
      <c r="AL2188" s="13"/>
      <c r="AM2188" s="9"/>
      <c r="AN2188" s="9"/>
      <c r="AO2188" s="9"/>
      <c r="AP2188" s="14"/>
    </row>
    <row r="2189" spans="1:42" s="45" customFormat="1" ht="22" customHeight="1">
      <c r="A2189" s="14" t="s">
        <v>17</v>
      </c>
      <c r="B2189" s="8">
        <v>2024</v>
      </c>
      <c r="C2189" s="8" t="s">
        <v>24</v>
      </c>
      <c r="D2189" s="9" t="s">
        <v>185</v>
      </c>
      <c r="E2189" s="9" t="s">
        <v>115</v>
      </c>
      <c r="F2189" s="9" t="s">
        <v>434</v>
      </c>
      <c r="G2189" s="8"/>
      <c r="H2189" s="8"/>
      <c r="I2189" s="9" t="s">
        <v>11</v>
      </c>
      <c r="J2189" s="9" t="s">
        <v>11</v>
      </c>
      <c r="K2189" s="9" t="s">
        <v>82</v>
      </c>
      <c r="L2189" s="9" t="s">
        <v>166</v>
      </c>
      <c r="M2189" s="9" t="s">
        <v>81</v>
      </c>
      <c r="N2189" s="9" t="s">
        <v>1073</v>
      </c>
      <c r="O2189" s="9"/>
      <c r="P2189" s="9" t="s">
        <v>1156</v>
      </c>
      <c r="Q2189" s="11"/>
      <c r="R2189" s="11"/>
      <c r="S2189" s="11">
        <v>19</v>
      </c>
      <c r="T2189" s="9"/>
      <c r="U2189" s="14" t="s">
        <v>77</v>
      </c>
      <c r="V2189" s="9"/>
      <c r="W2189" s="12">
        <v>90</v>
      </c>
      <c r="X2189" s="13"/>
      <c r="Y2189" s="13"/>
      <c r="Z2189" s="13"/>
      <c r="AA2189" s="13"/>
      <c r="AB2189" s="13"/>
      <c r="AC2189" s="13"/>
      <c r="AD2189" s="13"/>
      <c r="AE2189" s="13">
        <f t="shared" si="224"/>
        <v>0.17100000000000001</v>
      </c>
      <c r="AF2189" s="13"/>
      <c r="AG2189" s="13"/>
      <c r="AH2189" s="13"/>
      <c r="AI2189" s="13"/>
      <c r="AJ2189" s="13">
        <f t="shared" si="223"/>
        <v>0.17100000000000001</v>
      </c>
      <c r="AK2189" s="12"/>
      <c r="AL2189" s="13"/>
      <c r="AM2189" s="9"/>
      <c r="AN2189" s="9"/>
      <c r="AO2189" s="9"/>
      <c r="AP2189" s="14"/>
    </row>
    <row r="2190" spans="1:42" s="45" customFormat="1" ht="22" customHeight="1">
      <c r="A2190" s="14" t="s">
        <v>17</v>
      </c>
      <c r="B2190" s="8">
        <v>2024</v>
      </c>
      <c r="C2190" s="8" t="s">
        <v>24</v>
      </c>
      <c r="D2190" s="9" t="s">
        <v>185</v>
      </c>
      <c r="E2190" s="9" t="s">
        <v>115</v>
      </c>
      <c r="F2190" s="9" t="s">
        <v>434</v>
      </c>
      <c r="G2190" s="8"/>
      <c r="H2190" s="8"/>
      <c r="I2190" s="9" t="s">
        <v>11</v>
      </c>
      <c r="J2190" s="9" t="s">
        <v>11</v>
      </c>
      <c r="K2190" s="9" t="s">
        <v>82</v>
      </c>
      <c r="L2190" s="9" t="s">
        <v>166</v>
      </c>
      <c r="M2190" s="9" t="s">
        <v>81</v>
      </c>
      <c r="N2190" s="9" t="s">
        <v>1073</v>
      </c>
      <c r="O2190" s="9"/>
      <c r="P2190" s="9" t="s">
        <v>1157</v>
      </c>
      <c r="Q2190" s="11"/>
      <c r="R2190" s="11"/>
      <c r="S2190" s="11">
        <v>5</v>
      </c>
      <c r="T2190" s="9"/>
      <c r="U2190" s="14" t="s">
        <v>77</v>
      </c>
      <c r="V2190" s="9"/>
      <c r="W2190" s="12">
        <v>90</v>
      </c>
      <c r="X2190" s="13"/>
      <c r="Y2190" s="13"/>
      <c r="Z2190" s="13"/>
      <c r="AA2190" s="13"/>
      <c r="AB2190" s="13"/>
      <c r="AC2190" s="13"/>
      <c r="AD2190" s="13"/>
      <c r="AE2190" s="13">
        <f t="shared" si="224"/>
        <v>4.4999999999999998E-2</v>
      </c>
      <c r="AF2190" s="13"/>
      <c r="AG2190" s="13"/>
      <c r="AH2190" s="13"/>
      <c r="AI2190" s="13"/>
      <c r="AJ2190" s="13">
        <f t="shared" si="223"/>
        <v>4.4999999999999998E-2</v>
      </c>
      <c r="AK2190" s="12"/>
      <c r="AL2190" s="13"/>
      <c r="AM2190" s="9"/>
      <c r="AN2190" s="9"/>
      <c r="AO2190" s="9"/>
      <c r="AP2190" s="14"/>
    </row>
    <row r="2191" spans="1:42" s="45" customFormat="1" ht="22" customHeight="1">
      <c r="A2191" s="14" t="s">
        <v>17</v>
      </c>
      <c r="B2191" s="8">
        <v>2024</v>
      </c>
      <c r="C2191" s="8" t="s">
        <v>24</v>
      </c>
      <c r="D2191" s="9" t="s">
        <v>185</v>
      </c>
      <c r="E2191" s="9" t="s">
        <v>115</v>
      </c>
      <c r="F2191" s="9" t="s">
        <v>434</v>
      </c>
      <c r="G2191" s="8"/>
      <c r="H2191" s="8"/>
      <c r="I2191" s="9" t="s">
        <v>11</v>
      </c>
      <c r="J2191" s="9" t="s">
        <v>11</v>
      </c>
      <c r="K2191" s="9" t="s">
        <v>82</v>
      </c>
      <c r="L2191" s="9" t="s">
        <v>166</v>
      </c>
      <c r="M2191" s="9" t="s">
        <v>81</v>
      </c>
      <c r="N2191" s="9" t="s">
        <v>1073</v>
      </c>
      <c r="O2191" s="9"/>
      <c r="P2191" s="9" t="s">
        <v>1158</v>
      </c>
      <c r="Q2191" s="11"/>
      <c r="R2191" s="11"/>
      <c r="S2191" s="11">
        <v>12</v>
      </c>
      <c r="T2191" s="9"/>
      <c r="U2191" s="14" t="s">
        <v>77</v>
      </c>
      <c r="V2191" s="9"/>
      <c r="W2191" s="12">
        <v>90</v>
      </c>
      <c r="X2191" s="13"/>
      <c r="Y2191" s="13"/>
      <c r="Z2191" s="13"/>
      <c r="AA2191" s="13"/>
      <c r="AB2191" s="13"/>
      <c r="AC2191" s="13"/>
      <c r="AD2191" s="13"/>
      <c r="AE2191" s="13">
        <f t="shared" si="224"/>
        <v>0.108</v>
      </c>
      <c r="AF2191" s="13"/>
      <c r="AG2191" s="13"/>
      <c r="AH2191" s="13"/>
      <c r="AI2191" s="13"/>
      <c r="AJ2191" s="13">
        <f t="shared" si="223"/>
        <v>0.108</v>
      </c>
      <c r="AK2191" s="12"/>
      <c r="AL2191" s="13"/>
      <c r="AM2191" s="9"/>
      <c r="AN2191" s="9"/>
      <c r="AO2191" s="9"/>
      <c r="AP2191" s="14"/>
    </row>
    <row r="2192" spans="1:42" s="45" customFormat="1" ht="22" customHeight="1">
      <c r="A2192" s="14" t="s">
        <v>17</v>
      </c>
      <c r="B2192" s="8">
        <v>2024</v>
      </c>
      <c r="C2192" s="8" t="s">
        <v>24</v>
      </c>
      <c r="D2192" s="9" t="s">
        <v>185</v>
      </c>
      <c r="E2192" s="9" t="s">
        <v>115</v>
      </c>
      <c r="F2192" s="9" t="s">
        <v>434</v>
      </c>
      <c r="G2192" s="8"/>
      <c r="H2192" s="8"/>
      <c r="I2192" s="9" t="s">
        <v>11</v>
      </c>
      <c r="J2192" s="9" t="s">
        <v>11</v>
      </c>
      <c r="K2192" s="9" t="s">
        <v>82</v>
      </c>
      <c r="L2192" s="9" t="s">
        <v>166</v>
      </c>
      <c r="M2192" s="9" t="s">
        <v>81</v>
      </c>
      <c r="N2192" s="9" t="s">
        <v>1073</v>
      </c>
      <c r="O2192" s="9"/>
      <c r="P2192" s="9" t="s">
        <v>1159</v>
      </c>
      <c r="Q2192" s="11"/>
      <c r="R2192" s="11"/>
      <c r="S2192" s="11">
        <v>8</v>
      </c>
      <c r="T2192" s="9"/>
      <c r="U2192" s="14" t="s">
        <v>77</v>
      </c>
      <c r="V2192" s="9"/>
      <c r="W2192" s="12">
        <v>90</v>
      </c>
      <c r="X2192" s="13"/>
      <c r="Y2192" s="13"/>
      <c r="Z2192" s="13"/>
      <c r="AA2192" s="13"/>
      <c r="AB2192" s="13"/>
      <c r="AC2192" s="13"/>
      <c r="AD2192" s="13"/>
      <c r="AE2192" s="13">
        <f t="shared" si="224"/>
        <v>7.1999999999999995E-2</v>
      </c>
      <c r="AF2192" s="13"/>
      <c r="AG2192" s="13"/>
      <c r="AH2192" s="13"/>
      <c r="AI2192" s="13"/>
      <c r="AJ2192" s="13">
        <f t="shared" si="223"/>
        <v>7.1999999999999995E-2</v>
      </c>
      <c r="AK2192" s="12"/>
      <c r="AL2192" s="13"/>
      <c r="AM2192" s="9"/>
      <c r="AN2192" s="9"/>
      <c r="AO2192" s="9"/>
      <c r="AP2192" s="14"/>
    </row>
    <row r="2193" spans="1:42" s="45" customFormat="1" ht="22" customHeight="1">
      <c r="A2193" s="14" t="s">
        <v>17</v>
      </c>
      <c r="B2193" s="8">
        <v>2024</v>
      </c>
      <c r="C2193" s="8" t="s">
        <v>24</v>
      </c>
      <c r="D2193" s="9" t="s">
        <v>185</v>
      </c>
      <c r="E2193" s="9" t="s">
        <v>115</v>
      </c>
      <c r="F2193" s="9" t="s">
        <v>434</v>
      </c>
      <c r="G2193" s="8"/>
      <c r="H2193" s="8"/>
      <c r="I2193" s="9" t="s">
        <v>11</v>
      </c>
      <c r="J2193" s="9" t="s">
        <v>11</v>
      </c>
      <c r="K2193" s="9" t="s">
        <v>82</v>
      </c>
      <c r="L2193" s="9" t="s">
        <v>166</v>
      </c>
      <c r="M2193" s="9" t="s">
        <v>81</v>
      </c>
      <c r="N2193" s="9" t="s">
        <v>1073</v>
      </c>
      <c r="O2193" s="9"/>
      <c r="P2193" s="9" t="s">
        <v>1160</v>
      </c>
      <c r="Q2193" s="11"/>
      <c r="R2193" s="11"/>
      <c r="S2193" s="11">
        <v>15</v>
      </c>
      <c r="T2193" s="9"/>
      <c r="U2193" s="14" t="s">
        <v>77</v>
      </c>
      <c r="V2193" s="9"/>
      <c r="W2193" s="12">
        <v>90</v>
      </c>
      <c r="X2193" s="13"/>
      <c r="Y2193" s="13"/>
      <c r="Z2193" s="13"/>
      <c r="AA2193" s="13"/>
      <c r="AB2193" s="13"/>
      <c r="AC2193" s="13"/>
      <c r="AD2193" s="13"/>
      <c r="AE2193" s="13">
        <f t="shared" si="224"/>
        <v>0.13500000000000001</v>
      </c>
      <c r="AF2193" s="13"/>
      <c r="AG2193" s="13"/>
      <c r="AH2193" s="13"/>
      <c r="AI2193" s="13"/>
      <c r="AJ2193" s="13">
        <f t="shared" si="223"/>
        <v>0.13500000000000001</v>
      </c>
      <c r="AK2193" s="12"/>
      <c r="AL2193" s="13"/>
      <c r="AM2193" s="9"/>
      <c r="AN2193" s="9"/>
      <c r="AO2193" s="9"/>
      <c r="AP2193" s="14"/>
    </row>
    <row r="2194" spans="1:42" s="45" customFormat="1" ht="22" customHeight="1">
      <c r="A2194" s="14" t="s">
        <v>17</v>
      </c>
      <c r="B2194" s="8">
        <v>2024</v>
      </c>
      <c r="C2194" s="8" t="s">
        <v>24</v>
      </c>
      <c r="D2194" s="9" t="s">
        <v>185</v>
      </c>
      <c r="E2194" s="9" t="s">
        <v>115</v>
      </c>
      <c r="F2194" s="9" t="s">
        <v>434</v>
      </c>
      <c r="G2194" s="8"/>
      <c r="H2194" s="8"/>
      <c r="I2194" s="9" t="s">
        <v>11</v>
      </c>
      <c r="J2194" s="9" t="s">
        <v>11</v>
      </c>
      <c r="K2194" s="9" t="s">
        <v>82</v>
      </c>
      <c r="L2194" s="9" t="s">
        <v>166</v>
      </c>
      <c r="M2194" s="9" t="s">
        <v>81</v>
      </c>
      <c r="N2194" s="9" t="s">
        <v>1073</v>
      </c>
      <c r="O2194" s="9"/>
      <c r="P2194" s="9" t="s">
        <v>1161</v>
      </c>
      <c r="Q2194" s="11"/>
      <c r="R2194" s="11"/>
      <c r="S2194" s="11">
        <v>25</v>
      </c>
      <c r="T2194" s="9"/>
      <c r="U2194" s="14" t="s">
        <v>77</v>
      </c>
      <c r="V2194" s="9"/>
      <c r="W2194" s="12">
        <v>90</v>
      </c>
      <c r="X2194" s="13"/>
      <c r="Y2194" s="13"/>
      <c r="Z2194" s="13"/>
      <c r="AA2194" s="13"/>
      <c r="AB2194" s="13"/>
      <c r="AC2194" s="13"/>
      <c r="AD2194" s="13"/>
      <c r="AE2194" s="13">
        <f t="shared" si="224"/>
        <v>0.22500000000000001</v>
      </c>
      <c r="AF2194" s="13"/>
      <c r="AG2194" s="13"/>
      <c r="AH2194" s="13"/>
      <c r="AI2194" s="13"/>
      <c r="AJ2194" s="13">
        <f t="shared" si="223"/>
        <v>0.22500000000000001</v>
      </c>
      <c r="AK2194" s="12"/>
      <c r="AL2194" s="13"/>
      <c r="AM2194" s="9"/>
      <c r="AN2194" s="9"/>
      <c r="AO2194" s="9"/>
      <c r="AP2194" s="14"/>
    </row>
    <row r="2195" spans="1:42" s="45" customFormat="1" ht="22" customHeight="1">
      <c r="A2195" s="14" t="s">
        <v>17</v>
      </c>
      <c r="B2195" s="8">
        <v>2024</v>
      </c>
      <c r="C2195" s="8" t="s">
        <v>24</v>
      </c>
      <c r="D2195" s="9" t="s">
        <v>185</v>
      </c>
      <c r="E2195" s="9" t="s">
        <v>115</v>
      </c>
      <c r="F2195" s="9" t="s">
        <v>434</v>
      </c>
      <c r="G2195" s="8"/>
      <c r="H2195" s="8"/>
      <c r="I2195" s="9" t="s">
        <v>11</v>
      </c>
      <c r="J2195" s="9" t="s">
        <v>11</v>
      </c>
      <c r="K2195" s="9" t="s">
        <v>82</v>
      </c>
      <c r="L2195" s="9" t="s">
        <v>166</v>
      </c>
      <c r="M2195" s="9" t="s">
        <v>81</v>
      </c>
      <c r="N2195" s="9" t="s">
        <v>1073</v>
      </c>
      <c r="O2195" s="9"/>
      <c r="P2195" s="9" t="s">
        <v>1162</v>
      </c>
      <c r="Q2195" s="11"/>
      <c r="R2195" s="11"/>
      <c r="S2195" s="11">
        <v>15</v>
      </c>
      <c r="T2195" s="9"/>
      <c r="U2195" s="14" t="s">
        <v>77</v>
      </c>
      <c r="V2195" s="9"/>
      <c r="W2195" s="12">
        <v>90</v>
      </c>
      <c r="X2195" s="13"/>
      <c r="Y2195" s="13"/>
      <c r="Z2195" s="13"/>
      <c r="AA2195" s="13"/>
      <c r="AB2195" s="13"/>
      <c r="AC2195" s="13"/>
      <c r="AD2195" s="13"/>
      <c r="AE2195" s="13">
        <f t="shared" si="224"/>
        <v>0.13500000000000001</v>
      </c>
      <c r="AF2195" s="13"/>
      <c r="AG2195" s="13"/>
      <c r="AH2195" s="13"/>
      <c r="AI2195" s="13"/>
      <c r="AJ2195" s="13">
        <f t="shared" si="223"/>
        <v>0.13500000000000001</v>
      </c>
      <c r="AK2195" s="12"/>
      <c r="AL2195" s="13"/>
      <c r="AM2195" s="9"/>
      <c r="AN2195" s="9"/>
      <c r="AO2195" s="9"/>
      <c r="AP2195" s="14"/>
    </row>
    <row r="2196" spans="1:42" s="45" customFormat="1" ht="22" customHeight="1">
      <c r="A2196" s="14" t="s">
        <v>17</v>
      </c>
      <c r="B2196" s="8">
        <v>2024</v>
      </c>
      <c r="C2196" s="8" t="s">
        <v>24</v>
      </c>
      <c r="D2196" s="9" t="s">
        <v>185</v>
      </c>
      <c r="E2196" s="9" t="s">
        <v>115</v>
      </c>
      <c r="F2196" s="9" t="s">
        <v>434</v>
      </c>
      <c r="G2196" s="8"/>
      <c r="H2196" s="8"/>
      <c r="I2196" s="9" t="s">
        <v>11</v>
      </c>
      <c r="J2196" s="9" t="s">
        <v>11</v>
      </c>
      <c r="K2196" s="9" t="s">
        <v>82</v>
      </c>
      <c r="L2196" s="9" t="s">
        <v>166</v>
      </c>
      <c r="M2196" s="9" t="s">
        <v>81</v>
      </c>
      <c r="N2196" s="9" t="s">
        <v>1073</v>
      </c>
      <c r="O2196" s="9"/>
      <c r="P2196" s="9" t="s">
        <v>1163</v>
      </c>
      <c r="Q2196" s="11"/>
      <c r="R2196" s="11"/>
      <c r="S2196" s="11">
        <v>24</v>
      </c>
      <c r="T2196" s="9"/>
      <c r="U2196" s="14" t="s">
        <v>77</v>
      </c>
      <c r="V2196" s="9"/>
      <c r="W2196" s="12">
        <v>90</v>
      </c>
      <c r="X2196" s="13"/>
      <c r="Y2196" s="13"/>
      <c r="Z2196" s="13"/>
      <c r="AA2196" s="13"/>
      <c r="AB2196" s="13"/>
      <c r="AC2196" s="13"/>
      <c r="AD2196" s="13"/>
      <c r="AE2196" s="13">
        <f t="shared" si="224"/>
        <v>0.216</v>
      </c>
      <c r="AF2196" s="13"/>
      <c r="AG2196" s="13"/>
      <c r="AH2196" s="13"/>
      <c r="AI2196" s="13"/>
      <c r="AJ2196" s="13">
        <f t="shared" si="223"/>
        <v>0.216</v>
      </c>
      <c r="AK2196" s="12"/>
      <c r="AL2196" s="13"/>
      <c r="AM2196" s="9"/>
      <c r="AN2196" s="9"/>
      <c r="AO2196" s="9"/>
      <c r="AP2196" s="14"/>
    </row>
    <row r="2197" spans="1:42" s="45" customFormat="1" ht="22" customHeight="1">
      <c r="A2197" s="14" t="s">
        <v>17</v>
      </c>
      <c r="B2197" s="8">
        <v>2024</v>
      </c>
      <c r="C2197" s="8" t="s">
        <v>24</v>
      </c>
      <c r="D2197" s="9" t="s">
        <v>185</v>
      </c>
      <c r="E2197" s="9" t="s">
        <v>115</v>
      </c>
      <c r="F2197" s="9" t="s">
        <v>434</v>
      </c>
      <c r="G2197" s="8"/>
      <c r="H2197" s="8"/>
      <c r="I2197" s="9" t="s">
        <v>11</v>
      </c>
      <c r="J2197" s="9" t="s">
        <v>11</v>
      </c>
      <c r="K2197" s="9" t="s">
        <v>82</v>
      </c>
      <c r="L2197" s="9" t="s">
        <v>166</v>
      </c>
      <c r="M2197" s="9" t="s">
        <v>81</v>
      </c>
      <c r="N2197" s="9" t="s">
        <v>1073</v>
      </c>
      <c r="O2197" s="9"/>
      <c r="P2197" s="9" t="s">
        <v>702</v>
      </c>
      <c r="Q2197" s="11"/>
      <c r="R2197" s="11"/>
      <c r="S2197" s="11">
        <v>18</v>
      </c>
      <c r="T2197" s="9"/>
      <c r="U2197" s="14" t="s">
        <v>77</v>
      </c>
      <c r="V2197" s="9"/>
      <c r="W2197" s="12">
        <v>90</v>
      </c>
      <c r="X2197" s="13"/>
      <c r="Y2197" s="13"/>
      <c r="Z2197" s="13"/>
      <c r="AA2197" s="13"/>
      <c r="AB2197" s="13"/>
      <c r="AC2197" s="13"/>
      <c r="AD2197" s="13"/>
      <c r="AE2197" s="13">
        <f t="shared" si="224"/>
        <v>0.16200000000000001</v>
      </c>
      <c r="AF2197" s="13"/>
      <c r="AG2197" s="13"/>
      <c r="AH2197" s="13"/>
      <c r="AI2197" s="13"/>
      <c r="AJ2197" s="13">
        <f t="shared" si="223"/>
        <v>0.16200000000000001</v>
      </c>
      <c r="AK2197" s="12"/>
      <c r="AL2197" s="13"/>
      <c r="AM2197" s="9"/>
      <c r="AN2197" s="9"/>
      <c r="AO2197" s="9"/>
      <c r="AP2197" s="14"/>
    </row>
    <row r="2198" spans="1:42" s="45" customFormat="1" ht="22" customHeight="1">
      <c r="A2198" s="14" t="s">
        <v>17</v>
      </c>
      <c r="B2198" s="8">
        <v>2024</v>
      </c>
      <c r="C2198" s="8" t="s">
        <v>24</v>
      </c>
      <c r="D2198" s="9" t="s">
        <v>185</v>
      </c>
      <c r="E2198" s="9" t="s">
        <v>115</v>
      </c>
      <c r="F2198" s="9" t="s">
        <v>434</v>
      </c>
      <c r="G2198" s="8"/>
      <c r="H2198" s="8"/>
      <c r="I2198" s="9" t="s">
        <v>11</v>
      </c>
      <c r="J2198" s="9" t="s">
        <v>11</v>
      </c>
      <c r="K2198" s="9" t="s">
        <v>82</v>
      </c>
      <c r="L2198" s="9" t="s">
        <v>166</v>
      </c>
      <c r="M2198" s="9" t="s">
        <v>81</v>
      </c>
      <c r="N2198" s="9" t="s">
        <v>1073</v>
      </c>
      <c r="O2198" s="9"/>
      <c r="P2198" s="9" t="s">
        <v>327</v>
      </c>
      <c r="Q2198" s="11"/>
      <c r="R2198" s="11"/>
      <c r="S2198" s="11">
        <v>16</v>
      </c>
      <c r="T2198" s="9"/>
      <c r="U2198" s="14" t="s">
        <v>77</v>
      </c>
      <c r="V2198" s="9"/>
      <c r="W2198" s="12">
        <v>90</v>
      </c>
      <c r="X2198" s="13"/>
      <c r="Y2198" s="13"/>
      <c r="Z2198" s="13"/>
      <c r="AA2198" s="13"/>
      <c r="AB2198" s="13"/>
      <c r="AC2198" s="13"/>
      <c r="AD2198" s="13"/>
      <c r="AE2198" s="13">
        <f t="shared" si="224"/>
        <v>0.14399999999999999</v>
      </c>
      <c r="AF2198" s="13"/>
      <c r="AG2198" s="13"/>
      <c r="AH2198" s="13"/>
      <c r="AI2198" s="13"/>
      <c r="AJ2198" s="13">
        <f t="shared" si="223"/>
        <v>0.14399999999999999</v>
      </c>
      <c r="AK2198" s="12"/>
      <c r="AL2198" s="13"/>
      <c r="AM2198" s="9"/>
      <c r="AN2198" s="9"/>
      <c r="AO2198" s="9"/>
      <c r="AP2198" s="14"/>
    </row>
    <row r="2199" spans="1:42" s="45" customFormat="1" ht="22" customHeight="1">
      <c r="A2199" s="14" t="s">
        <v>17</v>
      </c>
      <c r="B2199" s="8">
        <v>2024</v>
      </c>
      <c r="C2199" s="8" t="s">
        <v>24</v>
      </c>
      <c r="D2199" s="9" t="s">
        <v>185</v>
      </c>
      <c r="E2199" s="9" t="s">
        <v>115</v>
      </c>
      <c r="F2199" s="9" t="s">
        <v>434</v>
      </c>
      <c r="G2199" s="8"/>
      <c r="H2199" s="8"/>
      <c r="I2199" s="9" t="s">
        <v>11</v>
      </c>
      <c r="J2199" s="9" t="s">
        <v>11</v>
      </c>
      <c r="K2199" s="9" t="s">
        <v>82</v>
      </c>
      <c r="L2199" s="9" t="s">
        <v>166</v>
      </c>
      <c r="M2199" s="9" t="s">
        <v>81</v>
      </c>
      <c r="N2199" s="9" t="s">
        <v>1073</v>
      </c>
      <c r="O2199" s="9" t="s">
        <v>1164</v>
      </c>
      <c r="P2199" s="9" t="s">
        <v>1164</v>
      </c>
      <c r="Q2199" s="11"/>
      <c r="R2199" s="11"/>
      <c r="S2199" s="11">
        <v>10</v>
      </c>
      <c r="T2199" s="9"/>
      <c r="U2199" s="14" t="s">
        <v>77</v>
      </c>
      <c r="V2199" s="9"/>
      <c r="W2199" s="12">
        <v>90</v>
      </c>
      <c r="X2199" s="13"/>
      <c r="Y2199" s="13"/>
      <c r="Z2199" s="13"/>
      <c r="AA2199" s="13"/>
      <c r="AB2199" s="13"/>
      <c r="AC2199" s="13"/>
      <c r="AD2199" s="13"/>
      <c r="AE2199" s="13">
        <f t="shared" si="224"/>
        <v>0.09</v>
      </c>
      <c r="AF2199" s="13"/>
      <c r="AG2199" s="13"/>
      <c r="AH2199" s="13"/>
      <c r="AI2199" s="13"/>
      <c r="AJ2199" s="13">
        <f t="shared" si="223"/>
        <v>0.09</v>
      </c>
      <c r="AK2199" s="12"/>
      <c r="AL2199" s="13"/>
      <c r="AM2199" s="9"/>
      <c r="AN2199" s="9"/>
      <c r="AO2199" s="9"/>
      <c r="AP2199" s="14"/>
    </row>
    <row r="2200" spans="1:42" s="45" customFormat="1" ht="22" customHeight="1">
      <c r="A2200" s="14" t="s">
        <v>17</v>
      </c>
      <c r="B2200" s="8">
        <v>2024</v>
      </c>
      <c r="C2200" s="8" t="s">
        <v>24</v>
      </c>
      <c r="D2200" s="9" t="s">
        <v>185</v>
      </c>
      <c r="E2200" s="9" t="s">
        <v>115</v>
      </c>
      <c r="F2200" s="9" t="s">
        <v>434</v>
      </c>
      <c r="G2200" s="8"/>
      <c r="H2200" s="8"/>
      <c r="I2200" s="9" t="s">
        <v>11</v>
      </c>
      <c r="J2200" s="9" t="s">
        <v>11</v>
      </c>
      <c r="K2200" s="9" t="s">
        <v>82</v>
      </c>
      <c r="L2200" s="9" t="s">
        <v>166</v>
      </c>
      <c r="M2200" s="9" t="s">
        <v>81</v>
      </c>
      <c r="N2200" s="9" t="s">
        <v>1073</v>
      </c>
      <c r="O2200" s="9"/>
      <c r="P2200" s="9" t="s">
        <v>1165</v>
      </c>
      <c r="Q2200" s="11"/>
      <c r="R2200" s="11"/>
      <c r="S2200" s="11">
        <v>25</v>
      </c>
      <c r="T2200" s="9"/>
      <c r="U2200" s="14" t="s">
        <v>77</v>
      </c>
      <c r="V2200" s="9"/>
      <c r="W2200" s="12">
        <v>90</v>
      </c>
      <c r="X2200" s="13"/>
      <c r="Y2200" s="13"/>
      <c r="Z2200" s="13"/>
      <c r="AA2200" s="13"/>
      <c r="AB2200" s="13"/>
      <c r="AC2200" s="13"/>
      <c r="AD2200" s="13"/>
      <c r="AE2200" s="13">
        <f t="shared" si="224"/>
        <v>0.22500000000000001</v>
      </c>
      <c r="AF2200" s="13"/>
      <c r="AG2200" s="13"/>
      <c r="AH2200" s="13"/>
      <c r="AI2200" s="13"/>
      <c r="AJ2200" s="13">
        <f t="shared" si="223"/>
        <v>0.22500000000000001</v>
      </c>
      <c r="AK2200" s="12"/>
      <c r="AL2200" s="13"/>
      <c r="AM2200" s="9"/>
      <c r="AN2200" s="9"/>
      <c r="AO2200" s="9"/>
      <c r="AP2200" s="14"/>
    </row>
    <row r="2201" spans="1:42" s="45" customFormat="1" ht="22" customHeight="1">
      <c r="A2201" s="14" t="s">
        <v>17</v>
      </c>
      <c r="B2201" s="8">
        <v>2024</v>
      </c>
      <c r="C2201" s="8" t="s">
        <v>24</v>
      </c>
      <c r="D2201" s="9" t="s">
        <v>185</v>
      </c>
      <c r="E2201" s="9" t="s">
        <v>115</v>
      </c>
      <c r="F2201" s="9" t="s">
        <v>434</v>
      </c>
      <c r="G2201" s="8"/>
      <c r="H2201" s="8"/>
      <c r="I2201" s="9" t="s">
        <v>11</v>
      </c>
      <c r="J2201" s="9" t="s">
        <v>11</v>
      </c>
      <c r="K2201" s="9" t="s">
        <v>82</v>
      </c>
      <c r="L2201" s="9" t="s">
        <v>166</v>
      </c>
      <c r="M2201" s="9" t="s">
        <v>81</v>
      </c>
      <c r="N2201" s="9" t="s">
        <v>1073</v>
      </c>
      <c r="O2201" s="9"/>
      <c r="P2201" s="9" t="s">
        <v>1166</v>
      </c>
      <c r="Q2201" s="11"/>
      <c r="R2201" s="11"/>
      <c r="S2201" s="11">
        <v>7</v>
      </c>
      <c r="T2201" s="9"/>
      <c r="U2201" s="14" t="s">
        <v>77</v>
      </c>
      <c r="V2201" s="9"/>
      <c r="W2201" s="12">
        <v>90</v>
      </c>
      <c r="X2201" s="13"/>
      <c r="Y2201" s="13"/>
      <c r="Z2201" s="13"/>
      <c r="AA2201" s="13"/>
      <c r="AB2201" s="13"/>
      <c r="AC2201" s="13"/>
      <c r="AD2201" s="13"/>
      <c r="AE2201" s="13">
        <f t="shared" si="224"/>
        <v>6.3E-2</v>
      </c>
      <c r="AF2201" s="13"/>
      <c r="AG2201" s="13"/>
      <c r="AH2201" s="13"/>
      <c r="AI2201" s="13"/>
      <c r="AJ2201" s="13">
        <f t="shared" si="223"/>
        <v>6.3E-2</v>
      </c>
      <c r="AK2201" s="12"/>
      <c r="AL2201" s="13"/>
      <c r="AM2201" s="9"/>
      <c r="AN2201" s="9"/>
      <c r="AO2201" s="9"/>
      <c r="AP2201" s="14"/>
    </row>
    <row r="2202" spans="1:42" s="45" customFormat="1" ht="22" customHeight="1">
      <c r="A2202" s="14" t="s">
        <v>17</v>
      </c>
      <c r="B2202" s="8">
        <v>2024</v>
      </c>
      <c r="C2202" s="8" t="s">
        <v>24</v>
      </c>
      <c r="D2202" s="9" t="s">
        <v>185</v>
      </c>
      <c r="E2202" s="9" t="s">
        <v>115</v>
      </c>
      <c r="F2202" s="9" t="s">
        <v>434</v>
      </c>
      <c r="G2202" s="8"/>
      <c r="H2202" s="8"/>
      <c r="I2202" s="9" t="s">
        <v>11</v>
      </c>
      <c r="J2202" s="9" t="s">
        <v>11</v>
      </c>
      <c r="K2202" s="9" t="s">
        <v>82</v>
      </c>
      <c r="L2202" s="9" t="s">
        <v>166</v>
      </c>
      <c r="M2202" s="9" t="s">
        <v>81</v>
      </c>
      <c r="N2202" s="9" t="s">
        <v>1073</v>
      </c>
      <c r="O2202" s="9"/>
      <c r="P2202" s="9" t="s">
        <v>1167</v>
      </c>
      <c r="Q2202" s="11"/>
      <c r="R2202" s="11"/>
      <c r="S2202" s="11">
        <v>4</v>
      </c>
      <c r="T2202" s="9"/>
      <c r="U2202" s="14" t="s">
        <v>77</v>
      </c>
      <c r="V2202" s="9"/>
      <c r="W2202" s="12">
        <v>90</v>
      </c>
      <c r="X2202" s="13"/>
      <c r="Y2202" s="13"/>
      <c r="Z2202" s="13"/>
      <c r="AA2202" s="13"/>
      <c r="AB2202" s="13"/>
      <c r="AC2202" s="13"/>
      <c r="AD2202" s="13"/>
      <c r="AE2202" s="13">
        <f t="shared" si="224"/>
        <v>3.5999999999999997E-2</v>
      </c>
      <c r="AF2202" s="13"/>
      <c r="AG2202" s="13"/>
      <c r="AH2202" s="13"/>
      <c r="AI2202" s="13"/>
      <c r="AJ2202" s="13">
        <f t="shared" si="223"/>
        <v>3.5999999999999997E-2</v>
      </c>
      <c r="AK2202" s="12"/>
      <c r="AL2202" s="13"/>
      <c r="AM2202" s="9"/>
      <c r="AN2202" s="9"/>
      <c r="AO2202" s="9"/>
      <c r="AP2202" s="14"/>
    </row>
    <row r="2203" spans="1:42" s="45" customFormat="1" ht="22" customHeight="1">
      <c r="A2203" s="14" t="s">
        <v>17</v>
      </c>
      <c r="B2203" s="8">
        <v>2024</v>
      </c>
      <c r="C2203" s="8" t="s">
        <v>24</v>
      </c>
      <c r="D2203" s="9" t="s">
        <v>185</v>
      </c>
      <c r="E2203" s="9" t="s">
        <v>115</v>
      </c>
      <c r="F2203" s="9" t="s">
        <v>434</v>
      </c>
      <c r="G2203" s="8"/>
      <c r="H2203" s="8"/>
      <c r="I2203" s="9" t="s">
        <v>11</v>
      </c>
      <c r="J2203" s="9" t="s">
        <v>11</v>
      </c>
      <c r="K2203" s="9" t="s">
        <v>82</v>
      </c>
      <c r="L2203" s="9" t="s">
        <v>166</v>
      </c>
      <c r="M2203" s="9" t="s">
        <v>81</v>
      </c>
      <c r="N2203" s="9" t="s">
        <v>1073</v>
      </c>
      <c r="O2203" s="9"/>
      <c r="P2203" s="9" t="s">
        <v>1168</v>
      </c>
      <c r="Q2203" s="11"/>
      <c r="R2203" s="11"/>
      <c r="S2203" s="11">
        <v>7</v>
      </c>
      <c r="T2203" s="9"/>
      <c r="U2203" s="14" t="s">
        <v>77</v>
      </c>
      <c r="V2203" s="9"/>
      <c r="W2203" s="12">
        <v>90</v>
      </c>
      <c r="X2203" s="13"/>
      <c r="Y2203" s="13"/>
      <c r="Z2203" s="13"/>
      <c r="AA2203" s="13"/>
      <c r="AB2203" s="13"/>
      <c r="AC2203" s="13"/>
      <c r="AD2203" s="13"/>
      <c r="AE2203" s="13">
        <f t="shared" si="224"/>
        <v>6.3E-2</v>
      </c>
      <c r="AF2203" s="13"/>
      <c r="AG2203" s="13"/>
      <c r="AH2203" s="13"/>
      <c r="AI2203" s="13"/>
      <c r="AJ2203" s="13">
        <f t="shared" si="223"/>
        <v>6.3E-2</v>
      </c>
      <c r="AK2203" s="12"/>
      <c r="AL2203" s="13"/>
      <c r="AM2203" s="9"/>
      <c r="AN2203" s="9"/>
      <c r="AO2203" s="9"/>
      <c r="AP2203" s="14"/>
    </row>
    <row r="2204" spans="1:42" s="45" customFormat="1" ht="22" customHeight="1">
      <c r="A2204" s="14" t="s">
        <v>17</v>
      </c>
      <c r="B2204" s="8">
        <v>2024</v>
      </c>
      <c r="C2204" s="8" t="s">
        <v>24</v>
      </c>
      <c r="D2204" s="9" t="s">
        <v>185</v>
      </c>
      <c r="E2204" s="9" t="s">
        <v>115</v>
      </c>
      <c r="F2204" s="9" t="s">
        <v>434</v>
      </c>
      <c r="G2204" s="8"/>
      <c r="H2204" s="8"/>
      <c r="I2204" s="9" t="s">
        <v>11</v>
      </c>
      <c r="J2204" s="9" t="s">
        <v>11</v>
      </c>
      <c r="K2204" s="9" t="s">
        <v>82</v>
      </c>
      <c r="L2204" s="9" t="s">
        <v>166</v>
      </c>
      <c r="M2204" s="9" t="s">
        <v>81</v>
      </c>
      <c r="N2204" s="9" t="s">
        <v>1073</v>
      </c>
      <c r="O2204" s="9"/>
      <c r="P2204" s="9" t="s">
        <v>1169</v>
      </c>
      <c r="Q2204" s="11"/>
      <c r="R2204" s="11"/>
      <c r="S2204" s="11">
        <v>4</v>
      </c>
      <c r="T2204" s="9"/>
      <c r="U2204" s="14" t="s">
        <v>77</v>
      </c>
      <c r="V2204" s="9"/>
      <c r="W2204" s="12">
        <v>90</v>
      </c>
      <c r="X2204" s="13"/>
      <c r="Y2204" s="13"/>
      <c r="Z2204" s="13"/>
      <c r="AA2204" s="13"/>
      <c r="AB2204" s="13"/>
      <c r="AC2204" s="13"/>
      <c r="AD2204" s="13"/>
      <c r="AE2204" s="13">
        <f t="shared" si="224"/>
        <v>3.5999999999999997E-2</v>
      </c>
      <c r="AF2204" s="13"/>
      <c r="AG2204" s="13"/>
      <c r="AH2204" s="13"/>
      <c r="AI2204" s="13"/>
      <c r="AJ2204" s="13">
        <f t="shared" si="223"/>
        <v>3.5999999999999997E-2</v>
      </c>
      <c r="AK2204" s="12"/>
      <c r="AL2204" s="13"/>
      <c r="AM2204" s="9"/>
      <c r="AN2204" s="9"/>
      <c r="AO2204" s="9"/>
      <c r="AP2204" s="14"/>
    </row>
    <row r="2205" spans="1:42" s="45" customFormat="1" ht="22" customHeight="1">
      <c r="A2205" s="14" t="s">
        <v>17</v>
      </c>
      <c r="B2205" s="8">
        <v>2024</v>
      </c>
      <c r="C2205" s="8" t="s">
        <v>24</v>
      </c>
      <c r="D2205" s="9" t="s">
        <v>185</v>
      </c>
      <c r="E2205" s="9" t="s">
        <v>115</v>
      </c>
      <c r="F2205" s="9" t="s">
        <v>434</v>
      </c>
      <c r="G2205" s="8"/>
      <c r="H2205" s="8"/>
      <c r="I2205" s="9" t="s">
        <v>11</v>
      </c>
      <c r="J2205" s="9" t="s">
        <v>11</v>
      </c>
      <c r="K2205" s="9" t="s">
        <v>82</v>
      </c>
      <c r="L2205" s="9" t="s">
        <v>166</v>
      </c>
      <c r="M2205" s="9" t="s">
        <v>81</v>
      </c>
      <c r="N2205" s="9" t="s">
        <v>1073</v>
      </c>
      <c r="O2205" s="9" t="s">
        <v>1101</v>
      </c>
      <c r="P2205" s="9" t="s">
        <v>1170</v>
      </c>
      <c r="Q2205" s="11"/>
      <c r="R2205" s="11"/>
      <c r="S2205" s="11">
        <v>4</v>
      </c>
      <c r="T2205" s="9"/>
      <c r="U2205" s="14" t="s">
        <v>77</v>
      </c>
      <c r="V2205" s="9"/>
      <c r="W2205" s="12">
        <v>90</v>
      </c>
      <c r="X2205" s="13"/>
      <c r="Y2205" s="13"/>
      <c r="Z2205" s="13"/>
      <c r="AA2205" s="13"/>
      <c r="AB2205" s="13"/>
      <c r="AC2205" s="13"/>
      <c r="AD2205" s="13"/>
      <c r="AE2205" s="13">
        <f t="shared" si="224"/>
        <v>3.5999999999999997E-2</v>
      </c>
      <c r="AF2205" s="13"/>
      <c r="AG2205" s="13"/>
      <c r="AH2205" s="13"/>
      <c r="AI2205" s="13"/>
      <c r="AJ2205" s="13">
        <f t="shared" si="223"/>
        <v>3.5999999999999997E-2</v>
      </c>
      <c r="AK2205" s="12"/>
      <c r="AL2205" s="13"/>
      <c r="AM2205" s="9"/>
      <c r="AN2205" s="9"/>
      <c r="AO2205" s="9"/>
      <c r="AP2205" s="14"/>
    </row>
    <row r="2206" spans="1:42" s="45" customFormat="1" ht="22" customHeight="1">
      <c r="A2206" s="14" t="s">
        <v>17</v>
      </c>
      <c r="B2206" s="8">
        <v>2024</v>
      </c>
      <c r="C2206" s="8" t="s">
        <v>24</v>
      </c>
      <c r="D2206" s="9" t="s">
        <v>185</v>
      </c>
      <c r="E2206" s="9" t="s">
        <v>115</v>
      </c>
      <c r="F2206" s="9" t="s">
        <v>434</v>
      </c>
      <c r="G2206" s="8"/>
      <c r="H2206" s="8"/>
      <c r="I2206" s="9" t="s">
        <v>11</v>
      </c>
      <c r="J2206" s="9" t="s">
        <v>11</v>
      </c>
      <c r="K2206" s="9" t="s">
        <v>82</v>
      </c>
      <c r="L2206" s="9" t="s">
        <v>166</v>
      </c>
      <c r="M2206" s="9" t="s">
        <v>81</v>
      </c>
      <c r="N2206" s="9" t="s">
        <v>1073</v>
      </c>
      <c r="O2206" s="9"/>
      <c r="P2206" s="9" t="s">
        <v>1171</v>
      </c>
      <c r="Q2206" s="11"/>
      <c r="R2206" s="11"/>
      <c r="S2206" s="11">
        <v>8</v>
      </c>
      <c r="T2206" s="9"/>
      <c r="U2206" s="14" t="s">
        <v>77</v>
      </c>
      <c r="V2206" s="9"/>
      <c r="W2206" s="12">
        <v>90</v>
      </c>
      <c r="X2206" s="13"/>
      <c r="Y2206" s="13"/>
      <c r="Z2206" s="13"/>
      <c r="AA2206" s="13"/>
      <c r="AB2206" s="13"/>
      <c r="AC2206" s="13"/>
      <c r="AD2206" s="13"/>
      <c r="AE2206" s="13">
        <f t="shared" si="224"/>
        <v>7.1999999999999995E-2</v>
      </c>
      <c r="AF2206" s="13"/>
      <c r="AG2206" s="13"/>
      <c r="AH2206" s="13"/>
      <c r="AI2206" s="13"/>
      <c r="AJ2206" s="13">
        <f t="shared" si="223"/>
        <v>7.1999999999999995E-2</v>
      </c>
      <c r="AK2206" s="12"/>
      <c r="AL2206" s="13"/>
      <c r="AM2206" s="9"/>
      <c r="AN2206" s="9"/>
      <c r="AO2206" s="9"/>
      <c r="AP2206" s="14"/>
    </row>
    <row r="2207" spans="1:42" s="45" customFormat="1" ht="22" customHeight="1">
      <c r="A2207" s="14" t="s">
        <v>17</v>
      </c>
      <c r="B2207" s="8">
        <v>2024</v>
      </c>
      <c r="C2207" s="8" t="s">
        <v>24</v>
      </c>
      <c r="D2207" s="9" t="s">
        <v>185</v>
      </c>
      <c r="E2207" s="9" t="s">
        <v>115</v>
      </c>
      <c r="F2207" s="9" t="s">
        <v>434</v>
      </c>
      <c r="G2207" s="8"/>
      <c r="H2207" s="8"/>
      <c r="I2207" s="9" t="s">
        <v>11</v>
      </c>
      <c r="J2207" s="9" t="s">
        <v>11</v>
      </c>
      <c r="K2207" s="9" t="s">
        <v>82</v>
      </c>
      <c r="L2207" s="9" t="s">
        <v>166</v>
      </c>
      <c r="M2207" s="9" t="s">
        <v>81</v>
      </c>
      <c r="N2207" s="9" t="s">
        <v>1073</v>
      </c>
      <c r="O2207" s="9"/>
      <c r="P2207" s="9" t="s">
        <v>1172</v>
      </c>
      <c r="Q2207" s="11"/>
      <c r="R2207" s="11"/>
      <c r="S2207" s="11">
        <v>6</v>
      </c>
      <c r="T2207" s="9"/>
      <c r="U2207" s="14" t="s">
        <v>77</v>
      </c>
      <c r="V2207" s="9"/>
      <c r="W2207" s="12">
        <v>90</v>
      </c>
      <c r="X2207" s="13"/>
      <c r="Y2207" s="13"/>
      <c r="Z2207" s="13"/>
      <c r="AA2207" s="13"/>
      <c r="AB2207" s="13"/>
      <c r="AC2207" s="13"/>
      <c r="AD2207" s="13"/>
      <c r="AE2207" s="13">
        <f t="shared" si="224"/>
        <v>5.3999999999999999E-2</v>
      </c>
      <c r="AF2207" s="13"/>
      <c r="AG2207" s="13"/>
      <c r="AH2207" s="13"/>
      <c r="AI2207" s="13"/>
      <c r="AJ2207" s="13">
        <f t="shared" si="223"/>
        <v>5.3999999999999999E-2</v>
      </c>
      <c r="AK2207" s="12"/>
      <c r="AL2207" s="13"/>
      <c r="AM2207" s="9"/>
      <c r="AN2207" s="9"/>
      <c r="AO2207" s="9"/>
      <c r="AP2207" s="14"/>
    </row>
    <row r="2208" spans="1:42" s="45" customFormat="1" ht="22" customHeight="1">
      <c r="A2208" s="14" t="s">
        <v>17</v>
      </c>
      <c r="B2208" s="8">
        <v>2024</v>
      </c>
      <c r="C2208" s="8" t="s">
        <v>24</v>
      </c>
      <c r="D2208" s="9" t="s">
        <v>185</v>
      </c>
      <c r="E2208" s="9" t="s">
        <v>115</v>
      </c>
      <c r="F2208" s="9" t="s">
        <v>434</v>
      </c>
      <c r="G2208" s="8"/>
      <c r="H2208" s="8"/>
      <c r="I2208" s="9" t="s">
        <v>11</v>
      </c>
      <c r="J2208" s="9" t="s">
        <v>11</v>
      </c>
      <c r="K2208" s="9" t="s">
        <v>82</v>
      </c>
      <c r="L2208" s="9" t="s">
        <v>166</v>
      </c>
      <c r="M2208" s="9" t="s">
        <v>81</v>
      </c>
      <c r="N2208" s="9" t="s">
        <v>1073</v>
      </c>
      <c r="O2208" s="9"/>
      <c r="P2208" s="9" t="s">
        <v>1088</v>
      </c>
      <c r="Q2208" s="11"/>
      <c r="R2208" s="11"/>
      <c r="S2208" s="11">
        <v>3</v>
      </c>
      <c r="T2208" s="9"/>
      <c r="U2208" s="14" t="s">
        <v>77</v>
      </c>
      <c r="V2208" s="9"/>
      <c r="W2208" s="12">
        <v>90</v>
      </c>
      <c r="X2208" s="13"/>
      <c r="Y2208" s="13"/>
      <c r="Z2208" s="13"/>
      <c r="AA2208" s="13"/>
      <c r="AB2208" s="13"/>
      <c r="AC2208" s="13"/>
      <c r="AD2208" s="13"/>
      <c r="AE2208" s="13">
        <f t="shared" si="224"/>
        <v>2.7E-2</v>
      </c>
      <c r="AF2208" s="13"/>
      <c r="AG2208" s="13"/>
      <c r="AH2208" s="13"/>
      <c r="AI2208" s="13"/>
      <c r="AJ2208" s="13">
        <f t="shared" si="223"/>
        <v>2.7E-2</v>
      </c>
      <c r="AK2208" s="12"/>
      <c r="AL2208" s="13"/>
      <c r="AM2208" s="9"/>
      <c r="AN2208" s="9"/>
      <c r="AO2208" s="9"/>
      <c r="AP2208" s="14"/>
    </row>
    <row r="2209" spans="1:42" s="45" customFormat="1" ht="22" customHeight="1">
      <c r="A2209" s="14" t="s">
        <v>17</v>
      </c>
      <c r="B2209" s="8">
        <v>2024</v>
      </c>
      <c r="C2209" s="8" t="s">
        <v>24</v>
      </c>
      <c r="D2209" s="9" t="s">
        <v>185</v>
      </c>
      <c r="E2209" s="9" t="s">
        <v>115</v>
      </c>
      <c r="F2209" s="9" t="s">
        <v>434</v>
      </c>
      <c r="G2209" s="8"/>
      <c r="H2209" s="8"/>
      <c r="I2209" s="9" t="s">
        <v>11</v>
      </c>
      <c r="J2209" s="9" t="s">
        <v>11</v>
      </c>
      <c r="K2209" s="9" t="s">
        <v>82</v>
      </c>
      <c r="L2209" s="9" t="s">
        <v>166</v>
      </c>
      <c r="M2209" s="9" t="s">
        <v>81</v>
      </c>
      <c r="N2209" s="9" t="s">
        <v>1073</v>
      </c>
      <c r="O2209" s="9"/>
      <c r="P2209" s="9" t="s">
        <v>1173</v>
      </c>
      <c r="Q2209" s="11"/>
      <c r="R2209" s="11"/>
      <c r="S2209" s="11">
        <v>6</v>
      </c>
      <c r="T2209" s="9"/>
      <c r="U2209" s="14" t="s">
        <v>77</v>
      </c>
      <c r="V2209" s="9"/>
      <c r="W2209" s="12">
        <v>90</v>
      </c>
      <c r="X2209" s="13"/>
      <c r="Y2209" s="13"/>
      <c r="Z2209" s="13"/>
      <c r="AA2209" s="13"/>
      <c r="AB2209" s="13"/>
      <c r="AC2209" s="13"/>
      <c r="AD2209" s="13"/>
      <c r="AE2209" s="13">
        <f t="shared" si="224"/>
        <v>5.3999999999999999E-2</v>
      </c>
      <c r="AF2209" s="13"/>
      <c r="AG2209" s="13"/>
      <c r="AH2209" s="13"/>
      <c r="AI2209" s="13"/>
      <c r="AJ2209" s="13">
        <f t="shared" si="223"/>
        <v>5.3999999999999999E-2</v>
      </c>
      <c r="AK2209" s="12"/>
      <c r="AL2209" s="13"/>
      <c r="AM2209" s="9"/>
      <c r="AN2209" s="9"/>
      <c r="AO2209" s="9"/>
      <c r="AP2209" s="14"/>
    </row>
    <row r="2210" spans="1:42" s="45" customFormat="1" ht="22" customHeight="1">
      <c r="A2210" s="14" t="s">
        <v>17</v>
      </c>
      <c r="B2210" s="8">
        <v>2024</v>
      </c>
      <c r="C2210" s="8" t="s">
        <v>24</v>
      </c>
      <c r="D2210" s="9" t="s">
        <v>185</v>
      </c>
      <c r="E2210" s="9" t="s">
        <v>115</v>
      </c>
      <c r="F2210" s="9" t="s">
        <v>434</v>
      </c>
      <c r="G2210" s="8"/>
      <c r="H2210" s="8"/>
      <c r="I2210" s="9" t="s">
        <v>11</v>
      </c>
      <c r="J2210" s="9" t="s">
        <v>11</v>
      </c>
      <c r="K2210" s="9" t="s">
        <v>82</v>
      </c>
      <c r="L2210" s="9" t="s">
        <v>166</v>
      </c>
      <c r="M2210" s="9" t="s">
        <v>81</v>
      </c>
      <c r="N2210" s="9" t="s">
        <v>1073</v>
      </c>
      <c r="O2210" s="9"/>
      <c r="P2210" s="9" t="s">
        <v>1174</v>
      </c>
      <c r="Q2210" s="11"/>
      <c r="R2210" s="11"/>
      <c r="S2210" s="11">
        <v>1</v>
      </c>
      <c r="T2210" s="9"/>
      <c r="U2210" s="14" t="s">
        <v>77</v>
      </c>
      <c r="V2210" s="9"/>
      <c r="W2210" s="12">
        <v>90</v>
      </c>
      <c r="X2210" s="13"/>
      <c r="Y2210" s="13"/>
      <c r="Z2210" s="13"/>
      <c r="AA2210" s="13"/>
      <c r="AB2210" s="13"/>
      <c r="AC2210" s="13"/>
      <c r="AD2210" s="13"/>
      <c r="AE2210" s="13">
        <f t="shared" si="224"/>
        <v>8.9999999999999993E-3</v>
      </c>
      <c r="AF2210" s="13"/>
      <c r="AG2210" s="13"/>
      <c r="AH2210" s="13"/>
      <c r="AI2210" s="13"/>
      <c r="AJ2210" s="13">
        <f t="shared" si="223"/>
        <v>8.9999999999999993E-3</v>
      </c>
      <c r="AK2210" s="12"/>
      <c r="AL2210" s="13"/>
      <c r="AM2210" s="9"/>
      <c r="AN2210" s="9"/>
      <c r="AO2210" s="9"/>
      <c r="AP2210" s="14"/>
    </row>
    <row r="2211" spans="1:42" s="45" customFormat="1" ht="22" customHeight="1">
      <c r="A2211" s="14" t="s">
        <v>17</v>
      </c>
      <c r="B2211" s="8">
        <v>2024</v>
      </c>
      <c r="C2211" s="8" t="s">
        <v>24</v>
      </c>
      <c r="D2211" s="9" t="s">
        <v>185</v>
      </c>
      <c r="E2211" s="9" t="s">
        <v>115</v>
      </c>
      <c r="F2211" s="9" t="s">
        <v>434</v>
      </c>
      <c r="G2211" s="8"/>
      <c r="H2211" s="8"/>
      <c r="I2211" s="9" t="s">
        <v>11</v>
      </c>
      <c r="J2211" s="9" t="s">
        <v>11</v>
      </c>
      <c r="K2211" s="9" t="s">
        <v>82</v>
      </c>
      <c r="L2211" s="9" t="s">
        <v>166</v>
      </c>
      <c r="M2211" s="9" t="s">
        <v>81</v>
      </c>
      <c r="N2211" s="9" t="s">
        <v>1073</v>
      </c>
      <c r="O2211" s="9"/>
      <c r="P2211" s="9" t="s">
        <v>760</v>
      </c>
      <c r="Q2211" s="11"/>
      <c r="R2211" s="11"/>
      <c r="S2211" s="11">
        <v>10</v>
      </c>
      <c r="T2211" s="9"/>
      <c r="U2211" s="14" t="s">
        <v>77</v>
      </c>
      <c r="V2211" s="9"/>
      <c r="W2211" s="12">
        <v>90</v>
      </c>
      <c r="X2211" s="13"/>
      <c r="Y2211" s="13"/>
      <c r="Z2211" s="13"/>
      <c r="AA2211" s="13"/>
      <c r="AB2211" s="13"/>
      <c r="AC2211" s="13"/>
      <c r="AD2211" s="13"/>
      <c r="AE2211" s="13">
        <f t="shared" si="224"/>
        <v>0.09</v>
      </c>
      <c r="AF2211" s="13"/>
      <c r="AG2211" s="13"/>
      <c r="AH2211" s="13"/>
      <c r="AI2211" s="13"/>
      <c r="AJ2211" s="13">
        <f t="shared" si="223"/>
        <v>0.09</v>
      </c>
      <c r="AK2211" s="12"/>
      <c r="AL2211" s="13"/>
      <c r="AM2211" s="9"/>
      <c r="AN2211" s="9"/>
      <c r="AO2211" s="9"/>
      <c r="AP2211" s="14"/>
    </row>
    <row r="2212" spans="1:42" s="45" customFormat="1" ht="22" customHeight="1">
      <c r="A2212" s="14" t="s">
        <v>17</v>
      </c>
      <c r="B2212" s="8">
        <v>2024</v>
      </c>
      <c r="C2212" s="8" t="s">
        <v>24</v>
      </c>
      <c r="D2212" s="9" t="s">
        <v>185</v>
      </c>
      <c r="E2212" s="9" t="s">
        <v>115</v>
      </c>
      <c r="F2212" s="9" t="s">
        <v>434</v>
      </c>
      <c r="G2212" s="8"/>
      <c r="H2212" s="8"/>
      <c r="I2212" s="9" t="s">
        <v>11</v>
      </c>
      <c r="J2212" s="9" t="s">
        <v>11</v>
      </c>
      <c r="K2212" s="9" t="s">
        <v>82</v>
      </c>
      <c r="L2212" s="9" t="s">
        <v>166</v>
      </c>
      <c r="M2212" s="9" t="s">
        <v>81</v>
      </c>
      <c r="N2212" s="9" t="s">
        <v>1073</v>
      </c>
      <c r="O2212" s="9"/>
      <c r="P2212" s="9" t="s">
        <v>1175</v>
      </c>
      <c r="Q2212" s="11"/>
      <c r="R2212" s="11"/>
      <c r="S2212" s="11">
        <v>10</v>
      </c>
      <c r="T2212" s="9"/>
      <c r="U2212" s="14" t="s">
        <v>77</v>
      </c>
      <c r="V2212" s="9"/>
      <c r="W2212" s="12">
        <v>90</v>
      </c>
      <c r="X2212" s="13"/>
      <c r="Y2212" s="13"/>
      <c r="Z2212" s="13"/>
      <c r="AA2212" s="13"/>
      <c r="AB2212" s="13"/>
      <c r="AC2212" s="13"/>
      <c r="AD2212" s="13"/>
      <c r="AE2212" s="13">
        <f t="shared" si="224"/>
        <v>0.09</v>
      </c>
      <c r="AF2212" s="13"/>
      <c r="AG2212" s="13"/>
      <c r="AH2212" s="13"/>
      <c r="AI2212" s="13"/>
      <c r="AJ2212" s="13">
        <f t="shared" si="223"/>
        <v>0.09</v>
      </c>
      <c r="AK2212" s="12"/>
      <c r="AL2212" s="13"/>
      <c r="AM2212" s="9"/>
      <c r="AN2212" s="9"/>
      <c r="AO2212" s="9"/>
      <c r="AP2212" s="14"/>
    </row>
    <row r="2213" spans="1:42" s="45" customFormat="1" ht="22" customHeight="1">
      <c r="A2213" s="14" t="s">
        <v>17</v>
      </c>
      <c r="B2213" s="8">
        <v>2024</v>
      </c>
      <c r="C2213" s="8" t="s">
        <v>24</v>
      </c>
      <c r="D2213" s="9" t="s">
        <v>185</v>
      </c>
      <c r="E2213" s="9" t="s">
        <v>115</v>
      </c>
      <c r="F2213" s="9" t="s">
        <v>434</v>
      </c>
      <c r="G2213" s="8"/>
      <c r="H2213" s="8"/>
      <c r="I2213" s="9" t="s">
        <v>11</v>
      </c>
      <c r="J2213" s="9" t="s">
        <v>11</v>
      </c>
      <c r="K2213" s="9" t="s">
        <v>82</v>
      </c>
      <c r="L2213" s="9" t="s">
        <v>166</v>
      </c>
      <c r="M2213" s="9" t="s">
        <v>81</v>
      </c>
      <c r="N2213" s="9" t="s">
        <v>1073</v>
      </c>
      <c r="O2213" s="9" t="s">
        <v>1176</v>
      </c>
      <c r="P2213" s="9" t="s">
        <v>1177</v>
      </c>
      <c r="Q2213" s="11"/>
      <c r="R2213" s="11"/>
      <c r="S2213" s="11">
        <v>7</v>
      </c>
      <c r="T2213" s="9"/>
      <c r="U2213" s="14" t="s">
        <v>77</v>
      </c>
      <c r="V2213" s="9"/>
      <c r="W2213" s="12">
        <v>90</v>
      </c>
      <c r="X2213" s="13"/>
      <c r="Y2213" s="13"/>
      <c r="Z2213" s="13"/>
      <c r="AA2213" s="13"/>
      <c r="AB2213" s="13"/>
      <c r="AC2213" s="13"/>
      <c r="AD2213" s="13"/>
      <c r="AE2213" s="13">
        <f t="shared" si="224"/>
        <v>6.3E-2</v>
      </c>
      <c r="AF2213" s="13"/>
      <c r="AG2213" s="13"/>
      <c r="AH2213" s="13"/>
      <c r="AI2213" s="13"/>
      <c r="AJ2213" s="13">
        <f t="shared" si="223"/>
        <v>6.3E-2</v>
      </c>
      <c r="AK2213" s="12"/>
      <c r="AL2213" s="13"/>
      <c r="AM2213" s="9"/>
      <c r="AN2213" s="9"/>
      <c r="AO2213" s="9"/>
      <c r="AP2213" s="14"/>
    </row>
    <row r="2214" spans="1:42" s="45" customFormat="1" ht="22" customHeight="1">
      <c r="A2214" s="14" t="s">
        <v>17</v>
      </c>
      <c r="B2214" s="8">
        <v>2024</v>
      </c>
      <c r="C2214" s="8" t="s">
        <v>24</v>
      </c>
      <c r="D2214" s="9" t="s">
        <v>185</v>
      </c>
      <c r="E2214" s="9" t="s">
        <v>115</v>
      </c>
      <c r="F2214" s="9" t="s">
        <v>434</v>
      </c>
      <c r="G2214" s="8"/>
      <c r="H2214" s="8"/>
      <c r="I2214" s="9" t="s">
        <v>11</v>
      </c>
      <c r="J2214" s="9" t="s">
        <v>11</v>
      </c>
      <c r="K2214" s="9" t="s">
        <v>82</v>
      </c>
      <c r="L2214" s="9" t="s">
        <v>166</v>
      </c>
      <c r="M2214" s="9" t="s">
        <v>81</v>
      </c>
      <c r="N2214" s="9" t="s">
        <v>1073</v>
      </c>
      <c r="O2214" s="9"/>
      <c r="P2214" s="9" t="s">
        <v>1178</v>
      </c>
      <c r="Q2214" s="11"/>
      <c r="R2214" s="11"/>
      <c r="S2214" s="11">
        <v>10</v>
      </c>
      <c r="T2214" s="9"/>
      <c r="U2214" s="14" t="s">
        <v>77</v>
      </c>
      <c r="V2214" s="9"/>
      <c r="W2214" s="12">
        <v>90</v>
      </c>
      <c r="X2214" s="13"/>
      <c r="Y2214" s="13"/>
      <c r="Z2214" s="13"/>
      <c r="AA2214" s="13"/>
      <c r="AB2214" s="13"/>
      <c r="AC2214" s="13"/>
      <c r="AD2214" s="13"/>
      <c r="AE2214" s="13">
        <f t="shared" si="224"/>
        <v>0.09</v>
      </c>
      <c r="AF2214" s="13"/>
      <c r="AG2214" s="13"/>
      <c r="AH2214" s="13"/>
      <c r="AI2214" s="13"/>
      <c r="AJ2214" s="13">
        <f t="shared" si="223"/>
        <v>0.09</v>
      </c>
      <c r="AK2214" s="12"/>
      <c r="AL2214" s="13"/>
      <c r="AM2214" s="9"/>
      <c r="AN2214" s="9"/>
      <c r="AO2214" s="9"/>
      <c r="AP2214" s="14"/>
    </row>
    <row r="2215" spans="1:42" s="45" customFormat="1" ht="22" customHeight="1">
      <c r="A2215" s="14" t="s">
        <v>17</v>
      </c>
      <c r="B2215" s="8">
        <v>2024</v>
      </c>
      <c r="C2215" s="8" t="s">
        <v>24</v>
      </c>
      <c r="D2215" s="9" t="s">
        <v>185</v>
      </c>
      <c r="E2215" s="9" t="s">
        <v>115</v>
      </c>
      <c r="F2215" s="9" t="s">
        <v>434</v>
      </c>
      <c r="G2215" s="8"/>
      <c r="H2215" s="8"/>
      <c r="I2215" s="9" t="s">
        <v>11</v>
      </c>
      <c r="J2215" s="9" t="s">
        <v>11</v>
      </c>
      <c r="K2215" s="9" t="s">
        <v>82</v>
      </c>
      <c r="L2215" s="9" t="s">
        <v>166</v>
      </c>
      <c r="M2215" s="9" t="s">
        <v>81</v>
      </c>
      <c r="N2215" s="9" t="s">
        <v>1073</v>
      </c>
      <c r="O2215" s="9"/>
      <c r="P2215" s="9" t="s">
        <v>1179</v>
      </c>
      <c r="Q2215" s="11"/>
      <c r="R2215" s="11"/>
      <c r="S2215" s="11">
        <v>20</v>
      </c>
      <c r="T2215" s="9"/>
      <c r="U2215" s="14" t="s">
        <v>77</v>
      </c>
      <c r="V2215" s="9"/>
      <c r="W2215" s="12">
        <v>90</v>
      </c>
      <c r="X2215" s="13"/>
      <c r="Y2215" s="13"/>
      <c r="Z2215" s="13"/>
      <c r="AA2215" s="13"/>
      <c r="AB2215" s="13"/>
      <c r="AC2215" s="13"/>
      <c r="AD2215" s="13"/>
      <c r="AE2215" s="13">
        <f t="shared" si="224"/>
        <v>0.18</v>
      </c>
      <c r="AF2215" s="13"/>
      <c r="AG2215" s="13"/>
      <c r="AH2215" s="13"/>
      <c r="AI2215" s="13"/>
      <c r="AJ2215" s="13">
        <f t="shared" si="223"/>
        <v>0.18</v>
      </c>
      <c r="AK2215" s="12"/>
      <c r="AL2215" s="13"/>
      <c r="AM2215" s="9"/>
      <c r="AN2215" s="9"/>
      <c r="AO2215" s="9"/>
      <c r="AP2215" s="14"/>
    </row>
    <row r="2216" spans="1:42" s="45" customFormat="1" ht="22" customHeight="1">
      <c r="A2216" s="14" t="s">
        <v>17</v>
      </c>
      <c r="B2216" s="8">
        <v>2024</v>
      </c>
      <c r="C2216" s="8" t="s">
        <v>24</v>
      </c>
      <c r="D2216" s="9" t="s">
        <v>185</v>
      </c>
      <c r="E2216" s="9" t="s">
        <v>115</v>
      </c>
      <c r="F2216" s="9" t="s">
        <v>434</v>
      </c>
      <c r="G2216" s="8"/>
      <c r="H2216" s="8"/>
      <c r="I2216" s="9" t="s">
        <v>11</v>
      </c>
      <c r="J2216" s="9" t="s">
        <v>11</v>
      </c>
      <c r="K2216" s="9" t="s">
        <v>82</v>
      </c>
      <c r="L2216" s="9" t="s">
        <v>166</v>
      </c>
      <c r="M2216" s="9" t="s">
        <v>81</v>
      </c>
      <c r="N2216" s="9" t="s">
        <v>1073</v>
      </c>
      <c r="O2216" s="9"/>
      <c r="P2216" s="9" t="s">
        <v>1180</v>
      </c>
      <c r="Q2216" s="11"/>
      <c r="R2216" s="11"/>
      <c r="S2216" s="11">
        <v>5</v>
      </c>
      <c r="T2216" s="9"/>
      <c r="U2216" s="14" t="s">
        <v>77</v>
      </c>
      <c r="V2216" s="9"/>
      <c r="W2216" s="12">
        <v>90</v>
      </c>
      <c r="X2216" s="13"/>
      <c r="Y2216" s="13"/>
      <c r="Z2216" s="13"/>
      <c r="AA2216" s="13"/>
      <c r="AB2216" s="13"/>
      <c r="AC2216" s="13"/>
      <c r="AD2216" s="13"/>
      <c r="AE2216" s="13">
        <f t="shared" si="224"/>
        <v>4.4999999999999998E-2</v>
      </c>
      <c r="AF2216" s="13"/>
      <c r="AG2216" s="13"/>
      <c r="AH2216" s="13"/>
      <c r="AI2216" s="13"/>
      <c r="AJ2216" s="13">
        <f t="shared" si="223"/>
        <v>4.4999999999999998E-2</v>
      </c>
      <c r="AK2216" s="12"/>
      <c r="AL2216" s="13"/>
      <c r="AM2216" s="9"/>
      <c r="AN2216" s="9"/>
      <c r="AO2216" s="9"/>
      <c r="AP2216" s="14"/>
    </row>
    <row r="2217" spans="1:42" s="45" customFormat="1" ht="22" customHeight="1">
      <c r="A2217" s="14" t="s">
        <v>17</v>
      </c>
      <c r="B2217" s="8">
        <v>2024</v>
      </c>
      <c r="C2217" s="8" t="s">
        <v>24</v>
      </c>
      <c r="D2217" s="9" t="s">
        <v>185</v>
      </c>
      <c r="E2217" s="9" t="s">
        <v>115</v>
      </c>
      <c r="F2217" s="9" t="s">
        <v>434</v>
      </c>
      <c r="G2217" s="8"/>
      <c r="H2217" s="8"/>
      <c r="I2217" s="9" t="s">
        <v>11</v>
      </c>
      <c r="J2217" s="9" t="s">
        <v>11</v>
      </c>
      <c r="K2217" s="9" t="s">
        <v>82</v>
      </c>
      <c r="L2217" s="9" t="s">
        <v>166</v>
      </c>
      <c r="M2217" s="9" t="s">
        <v>81</v>
      </c>
      <c r="N2217" s="9" t="s">
        <v>1073</v>
      </c>
      <c r="O2217" s="9"/>
      <c r="P2217" s="9" t="s">
        <v>1181</v>
      </c>
      <c r="Q2217" s="11"/>
      <c r="R2217" s="11"/>
      <c r="S2217" s="11">
        <v>6</v>
      </c>
      <c r="T2217" s="9"/>
      <c r="U2217" s="14" t="s">
        <v>77</v>
      </c>
      <c r="V2217" s="9"/>
      <c r="W2217" s="12">
        <v>90</v>
      </c>
      <c r="X2217" s="13"/>
      <c r="Y2217" s="13"/>
      <c r="Z2217" s="13"/>
      <c r="AA2217" s="13"/>
      <c r="AB2217" s="13"/>
      <c r="AC2217" s="13"/>
      <c r="AD2217" s="13"/>
      <c r="AE2217" s="13">
        <f t="shared" si="224"/>
        <v>5.3999999999999999E-2</v>
      </c>
      <c r="AF2217" s="13"/>
      <c r="AG2217" s="13"/>
      <c r="AH2217" s="13"/>
      <c r="AI2217" s="13"/>
      <c r="AJ2217" s="13">
        <f t="shared" si="223"/>
        <v>5.3999999999999999E-2</v>
      </c>
      <c r="AK2217" s="12"/>
      <c r="AL2217" s="13"/>
      <c r="AM2217" s="9"/>
      <c r="AN2217" s="9"/>
      <c r="AO2217" s="9"/>
      <c r="AP2217" s="14"/>
    </row>
    <row r="2218" spans="1:42" s="45" customFormat="1" ht="22" customHeight="1">
      <c r="A2218" s="14" t="s">
        <v>17</v>
      </c>
      <c r="B2218" s="8">
        <v>2024</v>
      </c>
      <c r="C2218" s="8" t="s">
        <v>24</v>
      </c>
      <c r="D2218" s="9" t="s">
        <v>185</v>
      </c>
      <c r="E2218" s="9" t="s">
        <v>115</v>
      </c>
      <c r="F2218" s="9" t="s">
        <v>434</v>
      </c>
      <c r="G2218" s="8"/>
      <c r="H2218" s="8"/>
      <c r="I2218" s="9" t="s">
        <v>11</v>
      </c>
      <c r="J2218" s="9" t="s">
        <v>11</v>
      </c>
      <c r="K2218" s="9" t="s">
        <v>82</v>
      </c>
      <c r="L2218" s="9" t="s">
        <v>166</v>
      </c>
      <c r="M2218" s="9" t="s">
        <v>81</v>
      </c>
      <c r="N2218" s="9" t="s">
        <v>1073</v>
      </c>
      <c r="O2218" s="9"/>
      <c r="P2218" s="9" t="s">
        <v>1182</v>
      </c>
      <c r="Q2218" s="11"/>
      <c r="R2218" s="11"/>
      <c r="S2218" s="11">
        <v>7</v>
      </c>
      <c r="T2218" s="9"/>
      <c r="U2218" s="14" t="s">
        <v>77</v>
      </c>
      <c r="V2218" s="9"/>
      <c r="W2218" s="12">
        <v>90</v>
      </c>
      <c r="X2218" s="13"/>
      <c r="Y2218" s="13"/>
      <c r="Z2218" s="13"/>
      <c r="AA2218" s="13"/>
      <c r="AB2218" s="13"/>
      <c r="AC2218" s="13"/>
      <c r="AD2218" s="13"/>
      <c r="AE2218" s="13">
        <f t="shared" si="224"/>
        <v>6.3E-2</v>
      </c>
      <c r="AF2218" s="13"/>
      <c r="AG2218" s="13"/>
      <c r="AH2218" s="13"/>
      <c r="AI2218" s="13"/>
      <c r="AJ2218" s="13">
        <f t="shared" si="223"/>
        <v>6.3E-2</v>
      </c>
      <c r="AK2218" s="12"/>
      <c r="AL2218" s="13"/>
      <c r="AM2218" s="9"/>
      <c r="AN2218" s="9"/>
      <c r="AO2218" s="9"/>
      <c r="AP2218" s="14"/>
    </row>
    <row r="2219" spans="1:42" s="45" customFormat="1" ht="22" customHeight="1">
      <c r="A2219" s="14" t="s">
        <v>17</v>
      </c>
      <c r="B2219" s="8">
        <v>2024</v>
      </c>
      <c r="C2219" s="8" t="s">
        <v>24</v>
      </c>
      <c r="D2219" s="9" t="s">
        <v>185</v>
      </c>
      <c r="E2219" s="9" t="s">
        <v>115</v>
      </c>
      <c r="F2219" s="9" t="s">
        <v>434</v>
      </c>
      <c r="G2219" s="8"/>
      <c r="H2219" s="8"/>
      <c r="I2219" s="9" t="s">
        <v>11</v>
      </c>
      <c r="J2219" s="9" t="s">
        <v>11</v>
      </c>
      <c r="K2219" s="9" t="s">
        <v>82</v>
      </c>
      <c r="L2219" s="9" t="s">
        <v>166</v>
      </c>
      <c r="M2219" s="9" t="s">
        <v>81</v>
      </c>
      <c r="N2219" s="9" t="s">
        <v>1073</v>
      </c>
      <c r="O2219" s="9"/>
      <c r="P2219" s="9" t="s">
        <v>1183</v>
      </c>
      <c r="Q2219" s="11"/>
      <c r="R2219" s="11"/>
      <c r="S2219" s="11">
        <v>8</v>
      </c>
      <c r="T2219" s="9"/>
      <c r="U2219" s="14" t="s">
        <v>77</v>
      </c>
      <c r="V2219" s="9"/>
      <c r="W2219" s="12">
        <v>90</v>
      </c>
      <c r="X2219" s="13"/>
      <c r="Y2219" s="13"/>
      <c r="Z2219" s="13"/>
      <c r="AA2219" s="13"/>
      <c r="AB2219" s="13"/>
      <c r="AC2219" s="13"/>
      <c r="AD2219" s="13"/>
      <c r="AE2219" s="13">
        <f t="shared" si="224"/>
        <v>7.1999999999999995E-2</v>
      </c>
      <c r="AF2219" s="13"/>
      <c r="AG2219" s="13"/>
      <c r="AH2219" s="13"/>
      <c r="AI2219" s="13"/>
      <c r="AJ2219" s="13">
        <f t="shared" si="223"/>
        <v>7.1999999999999995E-2</v>
      </c>
      <c r="AK2219" s="12"/>
      <c r="AL2219" s="13"/>
      <c r="AM2219" s="9"/>
      <c r="AN2219" s="9"/>
      <c r="AO2219" s="9"/>
      <c r="AP2219" s="14"/>
    </row>
    <row r="2220" spans="1:42" s="45" customFormat="1" ht="22" customHeight="1">
      <c r="A2220" s="14" t="s">
        <v>17</v>
      </c>
      <c r="B2220" s="8">
        <v>2024</v>
      </c>
      <c r="C2220" s="8" t="s">
        <v>24</v>
      </c>
      <c r="D2220" s="9" t="s">
        <v>185</v>
      </c>
      <c r="E2220" s="9" t="s">
        <v>115</v>
      </c>
      <c r="F2220" s="9" t="s">
        <v>434</v>
      </c>
      <c r="G2220" s="8"/>
      <c r="H2220" s="8"/>
      <c r="I2220" s="9" t="s">
        <v>11</v>
      </c>
      <c r="J2220" s="9" t="s">
        <v>11</v>
      </c>
      <c r="K2220" s="9" t="s">
        <v>82</v>
      </c>
      <c r="L2220" s="9" t="s">
        <v>166</v>
      </c>
      <c r="M2220" s="9" t="s">
        <v>81</v>
      </c>
      <c r="N2220" s="9" t="s">
        <v>1073</v>
      </c>
      <c r="O2220" s="9"/>
      <c r="P2220" s="9" t="s">
        <v>1184</v>
      </c>
      <c r="Q2220" s="11"/>
      <c r="R2220" s="11"/>
      <c r="S2220" s="11">
        <v>9</v>
      </c>
      <c r="T2220" s="9"/>
      <c r="U2220" s="14" t="s">
        <v>77</v>
      </c>
      <c r="V2220" s="9"/>
      <c r="W2220" s="12">
        <v>90</v>
      </c>
      <c r="X2220" s="13"/>
      <c r="Y2220" s="13"/>
      <c r="Z2220" s="13"/>
      <c r="AA2220" s="13"/>
      <c r="AB2220" s="13"/>
      <c r="AC2220" s="13"/>
      <c r="AD2220" s="13"/>
      <c r="AE2220" s="13">
        <f t="shared" si="224"/>
        <v>8.1000000000000003E-2</v>
      </c>
      <c r="AF2220" s="13"/>
      <c r="AG2220" s="13"/>
      <c r="AH2220" s="13"/>
      <c r="AI2220" s="13"/>
      <c r="AJ2220" s="13">
        <f t="shared" si="223"/>
        <v>8.1000000000000003E-2</v>
      </c>
      <c r="AK2220" s="12"/>
      <c r="AL2220" s="13"/>
      <c r="AM2220" s="9"/>
      <c r="AN2220" s="9"/>
      <c r="AO2220" s="9"/>
      <c r="AP2220" s="14"/>
    </row>
    <row r="2221" spans="1:42" s="45" customFormat="1" ht="22" customHeight="1">
      <c r="A2221" s="14" t="s">
        <v>17</v>
      </c>
      <c r="B2221" s="8">
        <v>2024</v>
      </c>
      <c r="C2221" s="8" t="s">
        <v>24</v>
      </c>
      <c r="D2221" s="9" t="s">
        <v>185</v>
      </c>
      <c r="E2221" s="9" t="s">
        <v>115</v>
      </c>
      <c r="F2221" s="9" t="s">
        <v>434</v>
      </c>
      <c r="G2221" s="8"/>
      <c r="H2221" s="8"/>
      <c r="I2221" s="9" t="s">
        <v>11</v>
      </c>
      <c r="J2221" s="9" t="s">
        <v>11</v>
      </c>
      <c r="K2221" s="9" t="s">
        <v>82</v>
      </c>
      <c r="L2221" s="9" t="s">
        <v>166</v>
      </c>
      <c r="M2221" s="9" t="s">
        <v>81</v>
      </c>
      <c r="N2221" s="9" t="s">
        <v>1073</v>
      </c>
      <c r="O2221" s="9"/>
      <c r="P2221" s="9" t="s">
        <v>1185</v>
      </c>
      <c r="Q2221" s="11"/>
      <c r="R2221" s="11"/>
      <c r="S2221" s="11">
        <v>6</v>
      </c>
      <c r="T2221" s="9"/>
      <c r="U2221" s="14" t="s">
        <v>77</v>
      </c>
      <c r="V2221" s="9"/>
      <c r="W2221" s="12">
        <v>90</v>
      </c>
      <c r="X2221" s="13"/>
      <c r="Y2221" s="13"/>
      <c r="Z2221" s="13"/>
      <c r="AA2221" s="13"/>
      <c r="AB2221" s="13"/>
      <c r="AC2221" s="13"/>
      <c r="AD2221" s="13"/>
      <c r="AE2221" s="13">
        <f t="shared" si="224"/>
        <v>5.3999999999999999E-2</v>
      </c>
      <c r="AF2221" s="13"/>
      <c r="AG2221" s="13"/>
      <c r="AH2221" s="13"/>
      <c r="AI2221" s="13"/>
      <c r="AJ2221" s="13">
        <f t="shared" si="223"/>
        <v>5.3999999999999999E-2</v>
      </c>
      <c r="AK2221" s="12"/>
      <c r="AL2221" s="13"/>
      <c r="AM2221" s="9"/>
      <c r="AN2221" s="9"/>
      <c r="AO2221" s="9"/>
      <c r="AP2221" s="14"/>
    </row>
    <row r="2222" spans="1:42" s="45" customFormat="1" ht="22" customHeight="1">
      <c r="A2222" s="14" t="s">
        <v>17</v>
      </c>
      <c r="B2222" s="8">
        <v>2024</v>
      </c>
      <c r="C2222" s="8" t="s">
        <v>24</v>
      </c>
      <c r="D2222" s="9" t="s">
        <v>185</v>
      </c>
      <c r="E2222" s="9" t="s">
        <v>115</v>
      </c>
      <c r="F2222" s="9" t="s">
        <v>434</v>
      </c>
      <c r="G2222" s="8"/>
      <c r="H2222" s="8"/>
      <c r="I2222" s="9" t="s">
        <v>11</v>
      </c>
      <c r="J2222" s="9" t="s">
        <v>11</v>
      </c>
      <c r="K2222" s="9" t="s">
        <v>82</v>
      </c>
      <c r="L2222" s="9" t="s">
        <v>166</v>
      </c>
      <c r="M2222" s="9" t="s">
        <v>81</v>
      </c>
      <c r="N2222" s="9" t="s">
        <v>1073</v>
      </c>
      <c r="O2222" s="9"/>
      <c r="P2222" s="9" t="s">
        <v>1186</v>
      </c>
      <c r="Q2222" s="11"/>
      <c r="R2222" s="11"/>
      <c r="S2222" s="11">
        <v>10</v>
      </c>
      <c r="T2222" s="9"/>
      <c r="U2222" s="14" t="s">
        <v>77</v>
      </c>
      <c r="V2222" s="9"/>
      <c r="W2222" s="12">
        <v>90</v>
      </c>
      <c r="X2222" s="13"/>
      <c r="Y2222" s="13"/>
      <c r="Z2222" s="13"/>
      <c r="AA2222" s="13"/>
      <c r="AB2222" s="13"/>
      <c r="AC2222" s="13"/>
      <c r="AD2222" s="13"/>
      <c r="AE2222" s="13">
        <f t="shared" si="224"/>
        <v>0.09</v>
      </c>
      <c r="AF2222" s="13"/>
      <c r="AG2222" s="13"/>
      <c r="AH2222" s="13"/>
      <c r="AI2222" s="13"/>
      <c r="AJ2222" s="13">
        <f t="shared" ref="AJ2222:AJ2285" si="225">SUBTOTAL(9,X2222:AI2222)</f>
        <v>0.09</v>
      </c>
      <c r="AK2222" s="12"/>
      <c r="AL2222" s="13"/>
      <c r="AM2222" s="9"/>
      <c r="AN2222" s="9"/>
      <c r="AO2222" s="9"/>
      <c r="AP2222" s="14"/>
    </row>
    <row r="2223" spans="1:42" s="45" customFormat="1" ht="22" customHeight="1">
      <c r="A2223" s="14" t="s">
        <v>17</v>
      </c>
      <c r="B2223" s="8">
        <v>2024</v>
      </c>
      <c r="C2223" s="8" t="s">
        <v>24</v>
      </c>
      <c r="D2223" s="9" t="s">
        <v>185</v>
      </c>
      <c r="E2223" s="9" t="s">
        <v>115</v>
      </c>
      <c r="F2223" s="9" t="s">
        <v>434</v>
      </c>
      <c r="G2223" s="8"/>
      <c r="H2223" s="8"/>
      <c r="I2223" s="9" t="s">
        <v>11</v>
      </c>
      <c r="J2223" s="9" t="s">
        <v>11</v>
      </c>
      <c r="K2223" s="9" t="s">
        <v>82</v>
      </c>
      <c r="L2223" s="9" t="s">
        <v>166</v>
      </c>
      <c r="M2223" s="9" t="s">
        <v>81</v>
      </c>
      <c r="N2223" s="9" t="s">
        <v>1073</v>
      </c>
      <c r="O2223" s="9"/>
      <c r="P2223" s="9" t="s">
        <v>1187</v>
      </c>
      <c r="Q2223" s="11"/>
      <c r="R2223" s="11"/>
      <c r="S2223" s="11">
        <v>10</v>
      </c>
      <c r="T2223" s="9"/>
      <c r="U2223" s="14" t="s">
        <v>77</v>
      </c>
      <c r="V2223" s="9"/>
      <c r="W2223" s="12">
        <v>90</v>
      </c>
      <c r="X2223" s="13"/>
      <c r="Y2223" s="13"/>
      <c r="Z2223" s="13"/>
      <c r="AA2223" s="13"/>
      <c r="AB2223" s="13"/>
      <c r="AC2223" s="13"/>
      <c r="AD2223" s="13"/>
      <c r="AE2223" s="13">
        <f t="shared" si="224"/>
        <v>0.09</v>
      </c>
      <c r="AF2223" s="13"/>
      <c r="AG2223" s="13"/>
      <c r="AH2223" s="13"/>
      <c r="AI2223" s="13"/>
      <c r="AJ2223" s="13">
        <f t="shared" si="225"/>
        <v>0.09</v>
      </c>
      <c r="AK2223" s="12"/>
      <c r="AL2223" s="13"/>
      <c r="AM2223" s="9"/>
      <c r="AN2223" s="9"/>
      <c r="AO2223" s="9"/>
      <c r="AP2223" s="14"/>
    </row>
    <row r="2224" spans="1:42" s="45" customFormat="1" ht="22" customHeight="1">
      <c r="A2224" s="14" t="s">
        <v>17</v>
      </c>
      <c r="B2224" s="8">
        <v>2024</v>
      </c>
      <c r="C2224" s="8" t="s">
        <v>24</v>
      </c>
      <c r="D2224" s="9" t="s">
        <v>185</v>
      </c>
      <c r="E2224" s="9" t="s">
        <v>115</v>
      </c>
      <c r="F2224" s="9" t="s">
        <v>434</v>
      </c>
      <c r="G2224" s="8"/>
      <c r="H2224" s="8"/>
      <c r="I2224" s="9" t="s">
        <v>11</v>
      </c>
      <c r="J2224" s="9" t="s">
        <v>11</v>
      </c>
      <c r="K2224" s="9" t="s">
        <v>82</v>
      </c>
      <c r="L2224" s="9" t="s">
        <v>166</v>
      </c>
      <c r="M2224" s="9" t="s">
        <v>81</v>
      </c>
      <c r="N2224" s="9" t="s">
        <v>1073</v>
      </c>
      <c r="O2224" s="9"/>
      <c r="P2224" s="9" t="s">
        <v>1188</v>
      </c>
      <c r="Q2224" s="11"/>
      <c r="R2224" s="11"/>
      <c r="S2224" s="11">
        <v>3</v>
      </c>
      <c r="T2224" s="9"/>
      <c r="U2224" s="14" t="s">
        <v>77</v>
      </c>
      <c r="V2224" s="9"/>
      <c r="W2224" s="12">
        <v>90</v>
      </c>
      <c r="X2224" s="13"/>
      <c r="Y2224" s="13"/>
      <c r="Z2224" s="13"/>
      <c r="AA2224" s="13"/>
      <c r="AB2224" s="13"/>
      <c r="AC2224" s="13"/>
      <c r="AD2224" s="13"/>
      <c r="AE2224" s="13">
        <f t="shared" si="224"/>
        <v>2.7E-2</v>
      </c>
      <c r="AF2224" s="13"/>
      <c r="AG2224" s="13"/>
      <c r="AH2224" s="13"/>
      <c r="AI2224" s="13"/>
      <c r="AJ2224" s="13">
        <f t="shared" si="225"/>
        <v>2.7E-2</v>
      </c>
      <c r="AK2224" s="12"/>
      <c r="AL2224" s="13"/>
      <c r="AM2224" s="9"/>
      <c r="AN2224" s="9"/>
      <c r="AO2224" s="9"/>
      <c r="AP2224" s="14"/>
    </row>
    <row r="2225" spans="1:42" s="45" customFormat="1" ht="22" customHeight="1">
      <c r="A2225" s="14" t="s">
        <v>17</v>
      </c>
      <c r="B2225" s="8">
        <v>2024</v>
      </c>
      <c r="C2225" s="8" t="s">
        <v>24</v>
      </c>
      <c r="D2225" s="9" t="s">
        <v>185</v>
      </c>
      <c r="E2225" s="9" t="s">
        <v>115</v>
      </c>
      <c r="F2225" s="9" t="s">
        <v>434</v>
      </c>
      <c r="G2225" s="8"/>
      <c r="H2225" s="8"/>
      <c r="I2225" s="9" t="s">
        <v>11</v>
      </c>
      <c r="J2225" s="9" t="s">
        <v>11</v>
      </c>
      <c r="K2225" s="9" t="s">
        <v>82</v>
      </c>
      <c r="L2225" s="9" t="s">
        <v>166</v>
      </c>
      <c r="M2225" s="9" t="s">
        <v>81</v>
      </c>
      <c r="N2225" s="9" t="s">
        <v>1073</v>
      </c>
      <c r="O2225" s="9" t="s">
        <v>1189</v>
      </c>
      <c r="P2225" s="9" t="s">
        <v>1190</v>
      </c>
      <c r="Q2225" s="11"/>
      <c r="R2225" s="11"/>
      <c r="S2225" s="11">
        <v>4</v>
      </c>
      <c r="T2225" s="9"/>
      <c r="U2225" s="14" t="s">
        <v>77</v>
      </c>
      <c r="V2225" s="9"/>
      <c r="W2225" s="12">
        <v>90</v>
      </c>
      <c r="X2225" s="13"/>
      <c r="Y2225" s="13"/>
      <c r="Z2225" s="13"/>
      <c r="AA2225" s="13"/>
      <c r="AB2225" s="13"/>
      <c r="AC2225" s="13"/>
      <c r="AD2225" s="13"/>
      <c r="AE2225" s="13">
        <f t="shared" si="224"/>
        <v>3.5999999999999997E-2</v>
      </c>
      <c r="AF2225" s="13"/>
      <c r="AG2225" s="13"/>
      <c r="AH2225" s="13"/>
      <c r="AI2225" s="13"/>
      <c r="AJ2225" s="13">
        <f t="shared" si="225"/>
        <v>3.5999999999999997E-2</v>
      </c>
      <c r="AK2225" s="12"/>
      <c r="AL2225" s="13"/>
      <c r="AM2225" s="9"/>
      <c r="AN2225" s="9"/>
      <c r="AO2225" s="9"/>
      <c r="AP2225" s="14"/>
    </row>
    <row r="2226" spans="1:42" s="45" customFormat="1" ht="22" customHeight="1">
      <c r="A2226" s="14" t="s">
        <v>17</v>
      </c>
      <c r="B2226" s="8">
        <v>2024</v>
      </c>
      <c r="C2226" s="8" t="s">
        <v>24</v>
      </c>
      <c r="D2226" s="9" t="s">
        <v>185</v>
      </c>
      <c r="E2226" s="9" t="s">
        <v>115</v>
      </c>
      <c r="F2226" s="9" t="s">
        <v>434</v>
      </c>
      <c r="G2226" s="8"/>
      <c r="H2226" s="8"/>
      <c r="I2226" s="9" t="s">
        <v>11</v>
      </c>
      <c r="J2226" s="9" t="s">
        <v>11</v>
      </c>
      <c r="K2226" s="9" t="s">
        <v>82</v>
      </c>
      <c r="L2226" s="9" t="s">
        <v>166</v>
      </c>
      <c r="M2226" s="9" t="s">
        <v>81</v>
      </c>
      <c r="N2226" s="9" t="s">
        <v>1073</v>
      </c>
      <c r="O2226" s="9"/>
      <c r="P2226" s="9" t="s">
        <v>1191</v>
      </c>
      <c r="Q2226" s="11"/>
      <c r="R2226" s="11"/>
      <c r="S2226" s="11">
        <v>9</v>
      </c>
      <c r="T2226" s="9"/>
      <c r="U2226" s="14" t="s">
        <v>77</v>
      </c>
      <c r="V2226" s="9"/>
      <c r="W2226" s="12">
        <v>90</v>
      </c>
      <c r="X2226" s="13"/>
      <c r="Y2226" s="13"/>
      <c r="Z2226" s="13"/>
      <c r="AA2226" s="13"/>
      <c r="AB2226" s="13"/>
      <c r="AC2226" s="13"/>
      <c r="AD2226" s="13"/>
      <c r="AE2226" s="13">
        <f t="shared" si="224"/>
        <v>8.1000000000000003E-2</v>
      </c>
      <c r="AF2226" s="13"/>
      <c r="AG2226" s="13"/>
      <c r="AH2226" s="13"/>
      <c r="AI2226" s="13"/>
      <c r="AJ2226" s="13">
        <f t="shared" si="225"/>
        <v>8.1000000000000003E-2</v>
      </c>
      <c r="AK2226" s="12"/>
      <c r="AL2226" s="13"/>
      <c r="AM2226" s="9"/>
      <c r="AN2226" s="9"/>
      <c r="AO2226" s="9"/>
      <c r="AP2226" s="14"/>
    </row>
    <row r="2227" spans="1:42" s="45" customFormat="1" ht="22" customHeight="1">
      <c r="A2227" s="14" t="s">
        <v>17</v>
      </c>
      <c r="B2227" s="8">
        <v>2024</v>
      </c>
      <c r="C2227" s="8" t="s">
        <v>24</v>
      </c>
      <c r="D2227" s="9" t="s">
        <v>185</v>
      </c>
      <c r="E2227" s="9" t="s">
        <v>115</v>
      </c>
      <c r="F2227" s="9" t="s">
        <v>434</v>
      </c>
      <c r="G2227" s="8"/>
      <c r="H2227" s="8"/>
      <c r="I2227" s="9" t="s">
        <v>11</v>
      </c>
      <c r="J2227" s="9" t="s">
        <v>11</v>
      </c>
      <c r="K2227" s="9" t="s">
        <v>82</v>
      </c>
      <c r="L2227" s="9" t="s">
        <v>166</v>
      </c>
      <c r="M2227" s="9" t="s">
        <v>81</v>
      </c>
      <c r="N2227" s="9" t="s">
        <v>1073</v>
      </c>
      <c r="O2227" s="9"/>
      <c r="P2227" s="9" t="s">
        <v>1192</v>
      </c>
      <c r="Q2227" s="11"/>
      <c r="R2227" s="11"/>
      <c r="S2227" s="11">
        <v>4</v>
      </c>
      <c r="T2227" s="9"/>
      <c r="U2227" s="14" t="s">
        <v>77</v>
      </c>
      <c r="V2227" s="9"/>
      <c r="W2227" s="12">
        <v>90</v>
      </c>
      <c r="X2227" s="13"/>
      <c r="Y2227" s="13"/>
      <c r="Z2227" s="13"/>
      <c r="AA2227" s="13"/>
      <c r="AB2227" s="13"/>
      <c r="AC2227" s="13"/>
      <c r="AD2227" s="13"/>
      <c r="AE2227" s="13">
        <f t="shared" si="224"/>
        <v>3.5999999999999997E-2</v>
      </c>
      <c r="AF2227" s="13"/>
      <c r="AG2227" s="13"/>
      <c r="AH2227" s="13"/>
      <c r="AI2227" s="13"/>
      <c r="AJ2227" s="13">
        <f t="shared" si="225"/>
        <v>3.5999999999999997E-2</v>
      </c>
      <c r="AK2227" s="12"/>
      <c r="AL2227" s="13"/>
      <c r="AM2227" s="9"/>
      <c r="AN2227" s="9"/>
      <c r="AO2227" s="9"/>
      <c r="AP2227" s="14"/>
    </row>
    <row r="2228" spans="1:42" s="45" customFormat="1" ht="22" customHeight="1">
      <c r="A2228" s="14" t="s">
        <v>17</v>
      </c>
      <c r="B2228" s="8">
        <v>2024</v>
      </c>
      <c r="C2228" s="8" t="s">
        <v>24</v>
      </c>
      <c r="D2228" s="9" t="s">
        <v>185</v>
      </c>
      <c r="E2228" s="9" t="s">
        <v>115</v>
      </c>
      <c r="F2228" s="9" t="s">
        <v>434</v>
      </c>
      <c r="G2228" s="8"/>
      <c r="H2228" s="8"/>
      <c r="I2228" s="9" t="s">
        <v>11</v>
      </c>
      <c r="J2228" s="9" t="s">
        <v>11</v>
      </c>
      <c r="K2228" s="9" t="s">
        <v>82</v>
      </c>
      <c r="L2228" s="9" t="s">
        <v>166</v>
      </c>
      <c r="M2228" s="9" t="s">
        <v>81</v>
      </c>
      <c r="N2228" s="9" t="s">
        <v>1073</v>
      </c>
      <c r="O2228" s="9"/>
      <c r="P2228" s="9" t="s">
        <v>1193</v>
      </c>
      <c r="Q2228" s="11"/>
      <c r="R2228" s="11"/>
      <c r="S2228" s="11">
        <v>12</v>
      </c>
      <c r="T2228" s="9"/>
      <c r="U2228" s="14" t="s">
        <v>77</v>
      </c>
      <c r="V2228" s="9"/>
      <c r="W2228" s="12">
        <v>90</v>
      </c>
      <c r="X2228" s="13"/>
      <c r="Y2228" s="13"/>
      <c r="Z2228" s="13"/>
      <c r="AA2228" s="13"/>
      <c r="AB2228" s="13"/>
      <c r="AC2228" s="13"/>
      <c r="AD2228" s="13"/>
      <c r="AE2228" s="13">
        <f t="shared" si="224"/>
        <v>0.108</v>
      </c>
      <c r="AF2228" s="13"/>
      <c r="AG2228" s="13"/>
      <c r="AH2228" s="13"/>
      <c r="AI2228" s="13"/>
      <c r="AJ2228" s="13">
        <f t="shared" si="225"/>
        <v>0.108</v>
      </c>
      <c r="AK2228" s="12"/>
      <c r="AL2228" s="13"/>
      <c r="AM2228" s="9"/>
      <c r="AN2228" s="9"/>
      <c r="AO2228" s="9"/>
      <c r="AP2228" s="14"/>
    </row>
    <row r="2229" spans="1:42" s="45" customFormat="1" ht="22" customHeight="1">
      <c r="A2229" s="14" t="s">
        <v>17</v>
      </c>
      <c r="B2229" s="8">
        <v>2024</v>
      </c>
      <c r="C2229" s="8" t="s">
        <v>24</v>
      </c>
      <c r="D2229" s="9" t="s">
        <v>185</v>
      </c>
      <c r="E2229" s="9" t="s">
        <v>115</v>
      </c>
      <c r="F2229" s="9" t="s">
        <v>434</v>
      </c>
      <c r="G2229" s="8"/>
      <c r="H2229" s="8"/>
      <c r="I2229" s="9" t="s">
        <v>11</v>
      </c>
      <c r="J2229" s="9" t="s">
        <v>11</v>
      </c>
      <c r="K2229" s="9" t="s">
        <v>82</v>
      </c>
      <c r="L2229" s="9" t="s">
        <v>166</v>
      </c>
      <c r="M2229" s="9" t="s">
        <v>81</v>
      </c>
      <c r="N2229" s="9" t="s">
        <v>1073</v>
      </c>
      <c r="O2229" s="9"/>
      <c r="P2229" s="9" t="s">
        <v>759</v>
      </c>
      <c r="Q2229" s="11"/>
      <c r="R2229" s="11"/>
      <c r="S2229" s="11">
        <v>6</v>
      </c>
      <c r="T2229" s="9"/>
      <c r="U2229" s="14" t="s">
        <v>77</v>
      </c>
      <c r="V2229" s="9"/>
      <c r="W2229" s="12">
        <v>90</v>
      </c>
      <c r="X2229" s="13"/>
      <c r="Y2229" s="13"/>
      <c r="Z2229" s="13"/>
      <c r="AA2229" s="13"/>
      <c r="AB2229" s="13"/>
      <c r="AC2229" s="13"/>
      <c r="AD2229" s="13"/>
      <c r="AE2229" s="13">
        <f t="shared" si="224"/>
        <v>5.3999999999999999E-2</v>
      </c>
      <c r="AF2229" s="13"/>
      <c r="AG2229" s="13"/>
      <c r="AH2229" s="13"/>
      <c r="AI2229" s="13"/>
      <c r="AJ2229" s="13">
        <f t="shared" si="225"/>
        <v>5.3999999999999999E-2</v>
      </c>
      <c r="AK2229" s="12"/>
      <c r="AL2229" s="13"/>
      <c r="AM2229" s="9"/>
      <c r="AN2229" s="9"/>
      <c r="AO2229" s="9"/>
      <c r="AP2229" s="14"/>
    </row>
    <row r="2230" spans="1:42" s="45" customFormat="1" ht="22" customHeight="1">
      <c r="A2230" s="14" t="s">
        <v>17</v>
      </c>
      <c r="B2230" s="8">
        <v>2024</v>
      </c>
      <c r="C2230" s="8" t="s">
        <v>24</v>
      </c>
      <c r="D2230" s="9" t="s">
        <v>185</v>
      </c>
      <c r="E2230" s="9" t="s">
        <v>115</v>
      </c>
      <c r="F2230" s="9" t="s">
        <v>434</v>
      </c>
      <c r="G2230" s="8"/>
      <c r="H2230" s="8"/>
      <c r="I2230" s="9" t="s">
        <v>11</v>
      </c>
      <c r="J2230" s="9" t="s">
        <v>11</v>
      </c>
      <c r="K2230" s="9" t="s">
        <v>82</v>
      </c>
      <c r="L2230" s="9" t="s">
        <v>166</v>
      </c>
      <c r="M2230" s="9" t="s">
        <v>81</v>
      </c>
      <c r="N2230" s="9" t="s">
        <v>1073</v>
      </c>
      <c r="O2230" s="9" t="s">
        <v>1194</v>
      </c>
      <c r="P2230" s="9" t="s">
        <v>1195</v>
      </c>
      <c r="Q2230" s="11"/>
      <c r="R2230" s="11"/>
      <c r="S2230" s="11">
        <v>4</v>
      </c>
      <c r="T2230" s="9"/>
      <c r="U2230" s="14" t="s">
        <v>77</v>
      </c>
      <c r="V2230" s="9"/>
      <c r="W2230" s="12">
        <v>90</v>
      </c>
      <c r="X2230" s="13"/>
      <c r="Y2230" s="13"/>
      <c r="Z2230" s="13"/>
      <c r="AA2230" s="13"/>
      <c r="AB2230" s="13"/>
      <c r="AC2230" s="13"/>
      <c r="AD2230" s="13"/>
      <c r="AE2230" s="13">
        <f t="shared" si="224"/>
        <v>3.5999999999999997E-2</v>
      </c>
      <c r="AF2230" s="13"/>
      <c r="AG2230" s="13"/>
      <c r="AH2230" s="13"/>
      <c r="AI2230" s="13"/>
      <c r="AJ2230" s="13">
        <f t="shared" si="225"/>
        <v>3.5999999999999997E-2</v>
      </c>
      <c r="AK2230" s="12"/>
      <c r="AL2230" s="13"/>
      <c r="AM2230" s="9"/>
      <c r="AN2230" s="9"/>
      <c r="AO2230" s="9"/>
      <c r="AP2230" s="14"/>
    </row>
    <row r="2231" spans="1:42" s="45" customFormat="1" ht="22" customHeight="1">
      <c r="A2231" s="14" t="s">
        <v>17</v>
      </c>
      <c r="B2231" s="8">
        <v>2024</v>
      </c>
      <c r="C2231" s="8" t="s">
        <v>24</v>
      </c>
      <c r="D2231" s="9" t="s">
        <v>185</v>
      </c>
      <c r="E2231" s="9" t="s">
        <v>115</v>
      </c>
      <c r="F2231" s="9" t="s">
        <v>434</v>
      </c>
      <c r="G2231" s="8"/>
      <c r="H2231" s="8"/>
      <c r="I2231" s="9" t="s">
        <v>11</v>
      </c>
      <c r="J2231" s="9" t="s">
        <v>11</v>
      </c>
      <c r="K2231" s="9" t="s">
        <v>82</v>
      </c>
      <c r="L2231" s="9" t="s">
        <v>166</v>
      </c>
      <c r="M2231" s="9" t="s">
        <v>81</v>
      </c>
      <c r="N2231" s="9" t="s">
        <v>1073</v>
      </c>
      <c r="O2231" s="9"/>
      <c r="P2231" s="9" t="s">
        <v>1196</v>
      </c>
      <c r="Q2231" s="11"/>
      <c r="R2231" s="11"/>
      <c r="S2231" s="11">
        <v>8</v>
      </c>
      <c r="T2231" s="9"/>
      <c r="U2231" s="14" t="s">
        <v>77</v>
      </c>
      <c r="V2231" s="9"/>
      <c r="W2231" s="12">
        <v>90</v>
      </c>
      <c r="X2231" s="13"/>
      <c r="Y2231" s="13"/>
      <c r="Z2231" s="13"/>
      <c r="AA2231" s="13"/>
      <c r="AB2231" s="13"/>
      <c r="AC2231" s="13"/>
      <c r="AD2231" s="13"/>
      <c r="AE2231" s="13">
        <f t="shared" si="224"/>
        <v>7.1999999999999995E-2</v>
      </c>
      <c r="AF2231" s="13"/>
      <c r="AG2231" s="13"/>
      <c r="AH2231" s="13"/>
      <c r="AI2231" s="13"/>
      <c r="AJ2231" s="13">
        <f t="shared" si="225"/>
        <v>7.1999999999999995E-2</v>
      </c>
      <c r="AK2231" s="12"/>
      <c r="AL2231" s="13"/>
      <c r="AM2231" s="9"/>
      <c r="AN2231" s="9"/>
      <c r="AO2231" s="9"/>
      <c r="AP2231" s="14"/>
    </row>
    <row r="2232" spans="1:42" s="45" customFormat="1" ht="22" customHeight="1">
      <c r="A2232" s="14" t="s">
        <v>17</v>
      </c>
      <c r="B2232" s="8">
        <v>2024</v>
      </c>
      <c r="C2232" s="8" t="s">
        <v>24</v>
      </c>
      <c r="D2232" s="9" t="s">
        <v>185</v>
      </c>
      <c r="E2232" s="9" t="s">
        <v>115</v>
      </c>
      <c r="F2232" s="9" t="s">
        <v>434</v>
      </c>
      <c r="G2232" s="8"/>
      <c r="H2232" s="8"/>
      <c r="I2232" s="9" t="s">
        <v>11</v>
      </c>
      <c r="J2232" s="9" t="s">
        <v>11</v>
      </c>
      <c r="K2232" s="9" t="s">
        <v>82</v>
      </c>
      <c r="L2232" s="9" t="s">
        <v>166</v>
      </c>
      <c r="M2232" s="9" t="s">
        <v>81</v>
      </c>
      <c r="N2232" s="9" t="s">
        <v>1073</v>
      </c>
      <c r="O2232" s="9" t="s">
        <v>1197</v>
      </c>
      <c r="P2232" s="9" t="s">
        <v>1197</v>
      </c>
      <c r="Q2232" s="11"/>
      <c r="R2232" s="11"/>
      <c r="S2232" s="11">
        <v>78</v>
      </c>
      <c r="T2232" s="9"/>
      <c r="U2232" s="14" t="s">
        <v>77</v>
      </c>
      <c r="V2232" s="9"/>
      <c r="W2232" s="12">
        <v>90</v>
      </c>
      <c r="X2232" s="13"/>
      <c r="Y2232" s="13"/>
      <c r="Z2232" s="13"/>
      <c r="AA2232" s="13"/>
      <c r="AB2232" s="13"/>
      <c r="AC2232" s="13"/>
      <c r="AD2232" s="13"/>
      <c r="AE2232" s="13">
        <f t="shared" si="224"/>
        <v>0.70199999999999996</v>
      </c>
      <c r="AF2232" s="13"/>
      <c r="AG2232" s="13"/>
      <c r="AH2232" s="13"/>
      <c r="AI2232" s="13"/>
      <c r="AJ2232" s="13">
        <f t="shared" si="225"/>
        <v>0.70199999999999996</v>
      </c>
      <c r="AK2232" s="12"/>
      <c r="AL2232" s="13"/>
      <c r="AM2232" s="9"/>
      <c r="AN2232" s="9"/>
      <c r="AO2232" s="9"/>
      <c r="AP2232" s="14"/>
    </row>
    <row r="2233" spans="1:42" s="45" customFormat="1" ht="22" customHeight="1">
      <c r="A2233" s="14" t="s">
        <v>17</v>
      </c>
      <c r="B2233" s="8">
        <v>2024</v>
      </c>
      <c r="C2233" s="8" t="s">
        <v>24</v>
      </c>
      <c r="D2233" s="9" t="s">
        <v>185</v>
      </c>
      <c r="E2233" s="9" t="s">
        <v>115</v>
      </c>
      <c r="F2233" s="9" t="s">
        <v>434</v>
      </c>
      <c r="G2233" s="8"/>
      <c r="H2233" s="8"/>
      <c r="I2233" s="9" t="s">
        <v>11</v>
      </c>
      <c r="J2233" s="9" t="s">
        <v>11</v>
      </c>
      <c r="K2233" s="9" t="s">
        <v>82</v>
      </c>
      <c r="L2233" s="9" t="s">
        <v>166</v>
      </c>
      <c r="M2233" s="9" t="s">
        <v>81</v>
      </c>
      <c r="N2233" s="9" t="s">
        <v>1073</v>
      </c>
      <c r="O2233" s="9"/>
      <c r="P2233" s="9" t="s">
        <v>339</v>
      </c>
      <c r="Q2233" s="11"/>
      <c r="R2233" s="11"/>
      <c r="S2233" s="11">
        <v>16</v>
      </c>
      <c r="T2233" s="9"/>
      <c r="U2233" s="14" t="s">
        <v>77</v>
      </c>
      <c r="V2233" s="9"/>
      <c r="W2233" s="12">
        <v>90</v>
      </c>
      <c r="X2233" s="13"/>
      <c r="Y2233" s="13"/>
      <c r="Z2233" s="13"/>
      <c r="AA2233" s="13"/>
      <c r="AB2233" s="13"/>
      <c r="AC2233" s="13"/>
      <c r="AD2233" s="13"/>
      <c r="AE2233" s="13">
        <f t="shared" si="224"/>
        <v>0.14399999999999999</v>
      </c>
      <c r="AF2233" s="13"/>
      <c r="AG2233" s="13"/>
      <c r="AH2233" s="13"/>
      <c r="AI2233" s="13"/>
      <c r="AJ2233" s="13">
        <f t="shared" si="225"/>
        <v>0.14399999999999999</v>
      </c>
      <c r="AK2233" s="12"/>
      <c r="AL2233" s="13"/>
      <c r="AM2233" s="9"/>
      <c r="AN2233" s="9"/>
      <c r="AO2233" s="9"/>
      <c r="AP2233" s="14"/>
    </row>
    <row r="2234" spans="1:42" s="45" customFormat="1" ht="22" customHeight="1">
      <c r="A2234" s="14" t="s">
        <v>17</v>
      </c>
      <c r="B2234" s="8">
        <v>2024</v>
      </c>
      <c r="C2234" s="8" t="s">
        <v>24</v>
      </c>
      <c r="D2234" s="9" t="s">
        <v>185</v>
      </c>
      <c r="E2234" s="9" t="s">
        <v>115</v>
      </c>
      <c r="F2234" s="9" t="s">
        <v>434</v>
      </c>
      <c r="G2234" s="8"/>
      <c r="H2234" s="8"/>
      <c r="I2234" s="9" t="s">
        <v>11</v>
      </c>
      <c r="J2234" s="9" t="s">
        <v>11</v>
      </c>
      <c r="K2234" s="9" t="s">
        <v>82</v>
      </c>
      <c r="L2234" s="9" t="s">
        <v>166</v>
      </c>
      <c r="M2234" s="9" t="s">
        <v>81</v>
      </c>
      <c r="N2234" s="9" t="s">
        <v>1073</v>
      </c>
      <c r="O2234" s="9" t="s">
        <v>1198</v>
      </c>
      <c r="P2234" s="9" t="s">
        <v>1198</v>
      </c>
      <c r="Q2234" s="11"/>
      <c r="R2234" s="11"/>
      <c r="S2234" s="11">
        <v>13</v>
      </c>
      <c r="T2234" s="9"/>
      <c r="U2234" s="14" t="s">
        <v>77</v>
      </c>
      <c r="V2234" s="9"/>
      <c r="W2234" s="12">
        <v>90</v>
      </c>
      <c r="X2234" s="13"/>
      <c r="Y2234" s="13"/>
      <c r="Z2234" s="13"/>
      <c r="AA2234" s="13"/>
      <c r="AB2234" s="13"/>
      <c r="AC2234" s="13"/>
      <c r="AD2234" s="13"/>
      <c r="AE2234" s="13">
        <f t="shared" ref="AE2234:AE2239" si="226">+S2234*W2234*100/1000000</f>
        <v>0.11700000000000001</v>
      </c>
      <c r="AF2234" s="13"/>
      <c r="AG2234" s="13"/>
      <c r="AH2234" s="13"/>
      <c r="AI2234" s="13"/>
      <c r="AJ2234" s="13">
        <f t="shared" si="225"/>
        <v>0.11700000000000001</v>
      </c>
      <c r="AK2234" s="12"/>
      <c r="AL2234" s="13"/>
      <c r="AM2234" s="9"/>
      <c r="AN2234" s="9"/>
      <c r="AO2234" s="9"/>
      <c r="AP2234" s="14"/>
    </row>
    <row r="2235" spans="1:42" s="45" customFormat="1" ht="22" customHeight="1">
      <c r="A2235" s="14" t="s">
        <v>17</v>
      </c>
      <c r="B2235" s="8">
        <v>2024</v>
      </c>
      <c r="C2235" s="8" t="s">
        <v>24</v>
      </c>
      <c r="D2235" s="9" t="s">
        <v>185</v>
      </c>
      <c r="E2235" s="9" t="s">
        <v>115</v>
      </c>
      <c r="F2235" s="9" t="s">
        <v>434</v>
      </c>
      <c r="G2235" s="8"/>
      <c r="H2235" s="8"/>
      <c r="I2235" s="9" t="s">
        <v>11</v>
      </c>
      <c r="J2235" s="9" t="s">
        <v>11</v>
      </c>
      <c r="K2235" s="9" t="s">
        <v>82</v>
      </c>
      <c r="L2235" s="9" t="s">
        <v>166</v>
      </c>
      <c r="M2235" s="9" t="s">
        <v>81</v>
      </c>
      <c r="N2235" s="9" t="s">
        <v>1073</v>
      </c>
      <c r="O2235" s="9"/>
      <c r="P2235" s="9" t="s">
        <v>1199</v>
      </c>
      <c r="Q2235" s="11"/>
      <c r="R2235" s="11"/>
      <c r="S2235" s="11">
        <v>12</v>
      </c>
      <c r="T2235" s="9"/>
      <c r="U2235" s="14" t="s">
        <v>77</v>
      </c>
      <c r="V2235" s="9"/>
      <c r="W2235" s="12">
        <v>90</v>
      </c>
      <c r="X2235" s="13"/>
      <c r="Y2235" s="13"/>
      <c r="Z2235" s="13"/>
      <c r="AA2235" s="13"/>
      <c r="AB2235" s="13"/>
      <c r="AC2235" s="13"/>
      <c r="AD2235" s="13"/>
      <c r="AE2235" s="13">
        <f t="shared" si="226"/>
        <v>0.108</v>
      </c>
      <c r="AF2235" s="13"/>
      <c r="AG2235" s="13"/>
      <c r="AH2235" s="13"/>
      <c r="AI2235" s="13"/>
      <c r="AJ2235" s="13">
        <f t="shared" si="225"/>
        <v>0.108</v>
      </c>
      <c r="AK2235" s="12"/>
      <c r="AL2235" s="13"/>
      <c r="AM2235" s="9"/>
      <c r="AN2235" s="9"/>
      <c r="AO2235" s="9"/>
      <c r="AP2235" s="14"/>
    </row>
    <row r="2236" spans="1:42" s="45" customFormat="1" ht="22" customHeight="1">
      <c r="A2236" s="14" t="s">
        <v>17</v>
      </c>
      <c r="B2236" s="8">
        <v>2024</v>
      </c>
      <c r="C2236" s="8" t="s">
        <v>24</v>
      </c>
      <c r="D2236" s="9" t="s">
        <v>185</v>
      </c>
      <c r="E2236" s="9" t="s">
        <v>115</v>
      </c>
      <c r="F2236" s="9" t="s">
        <v>434</v>
      </c>
      <c r="G2236" s="8"/>
      <c r="H2236" s="8"/>
      <c r="I2236" s="9" t="s">
        <v>11</v>
      </c>
      <c r="J2236" s="9" t="s">
        <v>11</v>
      </c>
      <c r="K2236" s="9" t="s">
        <v>82</v>
      </c>
      <c r="L2236" s="9" t="s">
        <v>166</v>
      </c>
      <c r="M2236" s="9" t="s">
        <v>81</v>
      </c>
      <c r="N2236" s="9" t="s">
        <v>1073</v>
      </c>
      <c r="O2236" s="9"/>
      <c r="P2236" s="9" t="s">
        <v>1168</v>
      </c>
      <c r="Q2236" s="11"/>
      <c r="R2236" s="11"/>
      <c r="S2236" s="11">
        <v>2</v>
      </c>
      <c r="T2236" s="9"/>
      <c r="U2236" s="14" t="s">
        <v>77</v>
      </c>
      <c r="V2236" s="9"/>
      <c r="W2236" s="12">
        <v>90</v>
      </c>
      <c r="X2236" s="13"/>
      <c r="Y2236" s="13"/>
      <c r="Z2236" s="13"/>
      <c r="AA2236" s="13"/>
      <c r="AB2236" s="13"/>
      <c r="AC2236" s="13"/>
      <c r="AD2236" s="13"/>
      <c r="AE2236" s="13">
        <f t="shared" si="226"/>
        <v>1.7999999999999999E-2</v>
      </c>
      <c r="AF2236" s="13"/>
      <c r="AG2236" s="13"/>
      <c r="AH2236" s="13"/>
      <c r="AI2236" s="13"/>
      <c r="AJ2236" s="13">
        <f t="shared" si="225"/>
        <v>1.7999999999999999E-2</v>
      </c>
      <c r="AK2236" s="12"/>
      <c r="AL2236" s="13"/>
      <c r="AM2236" s="9"/>
      <c r="AN2236" s="9"/>
      <c r="AO2236" s="9"/>
      <c r="AP2236" s="14"/>
    </row>
    <row r="2237" spans="1:42" s="45" customFormat="1" ht="22" customHeight="1">
      <c r="A2237" s="14" t="s">
        <v>17</v>
      </c>
      <c r="B2237" s="8">
        <v>2024</v>
      </c>
      <c r="C2237" s="8" t="s">
        <v>24</v>
      </c>
      <c r="D2237" s="9" t="s">
        <v>185</v>
      </c>
      <c r="E2237" s="9" t="s">
        <v>115</v>
      </c>
      <c r="F2237" s="9" t="s">
        <v>434</v>
      </c>
      <c r="G2237" s="8"/>
      <c r="H2237" s="8"/>
      <c r="I2237" s="9" t="s">
        <v>11</v>
      </c>
      <c r="J2237" s="9" t="s">
        <v>11</v>
      </c>
      <c r="K2237" s="9" t="s">
        <v>82</v>
      </c>
      <c r="L2237" s="9" t="s">
        <v>166</v>
      </c>
      <c r="M2237" s="9" t="s">
        <v>81</v>
      </c>
      <c r="N2237" s="9" t="s">
        <v>1073</v>
      </c>
      <c r="O2237" s="9"/>
      <c r="P2237" s="9" t="s">
        <v>795</v>
      </c>
      <c r="Q2237" s="11"/>
      <c r="R2237" s="11"/>
      <c r="S2237" s="11">
        <v>14</v>
      </c>
      <c r="T2237" s="9"/>
      <c r="U2237" s="14" t="s">
        <v>77</v>
      </c>
      <c r="V2237" s="9"/>
      <c r="W2237" s="12">
        <v>90</v>
      </c>
      <c r="X2237" s="13"/>
      <c r="Y2237" s="13"/>
      <c r="Z2237" s="13"/>
      <c r="AA2237" s="13"/>
      <c r="AB2237" s="13"/>
      <c r="AC2237" s="13"/>
      <c r="AD2237" s="13"/>
      <c r="AE2237" s="13">
        <f t="shared" si="226"/>
        <v>0.126</v>
      </c>
      <c r="AF2237" s="13"/>
      <c r="AG2237" s="13"/>
      <c r="AH2237" s="13"/>
      <c r="AI2237" s="13"/>
      <c r="AJ2237" s="13">
        <f t="shared" si="225"/>
        <v>0.126</v>
      </c>
      <c r="AK2237" s="12"/>
      <c r="AL2237" s="13"/>
      <c r="AM2237" s="9"/>
      <c r="AN2237" s="9"/>
      <c r="AO2237" s="9"/>
      <c r="AP2237" s="14"/>
    </row>
    <row r="2238" spans="1:42" s="45" customFormat="1" ht="22" customHeight="1">
      <c r="A2238" s="14" t="s">
        <v>17</v>
      </c>
      <c r="B2238" s="8">
        <v>2024</v>
      </c>
      <c r="C2238" s="8" t="s">
        <v>24</v>
      </c>
      <c r="D2238" s="9" t="s">
        <v>185</v>
      </c>
      <c r="E2238" s="9" t="s">
        <v>115</v>
      </c>
      <c r="F2238" s="9" t="s">
        <v>434</v>
      </c>
      <c r="G2238" s="8"/>
      <c r="H2238" s="8"/>
      <c r="I2238" s="9" t="s">
        <v>11</v>
      </c>
      <c r="J2238" s="9" t="s">
        <v>11</v>
      </c>
      <c r="K2238" s="9" t="s">
        <v>82</v>
      </c>
      <c r="L2238" s="9" t="s">
        <v>166</v>
      </c>
      <c r="M2238" s="9" t="s">
        <v>81</v>
      </c>
      <c r="N2238" s="9" t="s">
        <v>1073</v>
      </c>
      <c r="O2238" s="9"/>
      <c r="P2238" s="9" t="s">
        <v>1200</v>
      </c>
      <c r="Q2238" s="11"/>
      <c r="R2238" s="11"/>
      <c r="S2238" s="11">
        <v>29</v>
      </c>
      <c r="T2238" s="9"/>
      <c r="U2238" s="14" t="s">
        <v>77</v>
      </c>
      <c r="V2238" s="9"/>
      <c r="W2238" s="12">
        <v>90</v>
      </c>
      <c r="X2238" s="13"/>
      <c r="Y2238" s="13"/>
      <c r="Z2238" s="13"/>
      <c r="AA2238" s="13"/>
      <c r="AB2238" s="13"/>
      <c r="AC2238" s="13"/>
      <c r="AD2238" s="13"/>
      <c r="AE2238" s="13">
        <f t="shared" si="226"/>
        <v>0.26100000000000001</v>
      </c>
      <c r="AF2238" s="13"/>
      <c r="AG2238" s="13"/>
      <c r="AH2238" s="13"/>
      <c r="AI2238" s="13"/>
      <c r="AJ2238" s="13">
        <f t="shared" si="225"/>
        <v>0.26100000000000001</v>
      </c>
      <c r="AK2238" s="12"/>
      <c r="AL2238" s="13"/>
      <c r="AM2238" s="9"/>
      <c r="AN2238" s="9"/>
      <c r="AO2238" s="9"/>
      <c r="AP2238" s="14"/>
    </row>
    <row r="2239" spans="1:42" s="45" customFormat="1" ht="22" customHeight="1">
      <c r="A2239" s="14" t="s">
        <v>17</v>
      </c>
      <c r="B2239" s="8">
        <v>2024</v>
      </c>
      <c r="C2239" s="8" t="s">
        <v>24</v>
      </c>
      <c r="D2239" s="9" t="s">
        <v>185</v>
      </c>
      <c r="E2239" s="9" t="s">
        <v>115</v>
      </c>
      <c r="F2239" s="9" t="s">
        <v>434</v>
      </c>
      <c r="G2239" s="8"/>
      <c r="H2239" s="8"/>
      <c r="I2239" s="9" t="s">
        <v>11</v>
      </c>
      <c r="J2239" s="9" t="s">
        <v>11</v>
      </c>
      <c r="K2239" s="9" t="s">
        <v>82</v>
      </c>
      <c r="L2239" s="9" t="s">
        <v>166</v>
      </c>
      <c r="M2239" s="9" t="s">
        <v>81</v>
      </c>
      <c r="N2239" s="9" t="s">
        <v>1073</v>
      </c>
      <c r="O2239" s="9"/>
      <c r="P2239" s="9" t="s">
        <v>326</v>
      </c>
      <c r="Q2239" s="11"/>
      <c r="R2239" s="11"/>
      <c r="S2239" s="11">
        <v>21</v>
      </c>
      <c r="T2239" s="9"/>
      <c r="U2239" s="14" t="s">
        <v>77</v>
      </c>
      <c r="V2239" s="9"/>
      <c r="W2239" s="12">
        <v>90</v>
      </c>
      <c r="X2239" s="13"/>
      <c r="Y2239" s="13"/>
      <c r="Z2239" s="13"/>
      <c r="AA2239" s="13"/>
      <c r="AB2239" s="13"/>
      <c r="AC2239" s="13"/>
      <c r="AD2239" s="13"/>
      <c r="AE2239" s="13">
        <f t="shared" si="226"/>
        <v>0.189</v>
      </c>
      <c r="AF2239" s="13"/>
      <c r="AG2239" s="13"/>
      <c r="AH2239" s="13"/>
      <c r="AI2239" s="13"/>
      <c r="AJ2239" s="13">
        <f t="shared" si="225"/>
        <v>0.189</v>
      </c>
      <c r="AK2239" s="12"/>
      <c r="AL2239" s="13"/>
      <c r="AM2239" s="9"/>
      <c r="AN2239" s="9"/>
      <c r="AO2239" s="9"/>
      <c r="AP2239" s="14"/>
    </row>
    <row r="2240" spans="1:42" s="45" customFormat="1" ht="22" customHeight="1">
      <c r="A2240" s="14" t="s">
        <v>17</v>
      </c>
      <c r="B2240" s="8">
        <v>2024</v>
      </c>
      <c r="C2240" s="8" t="s">
        <v>24</v>
      </c>
      <c r="D2240" s="9" t="s">
        <v>185</v>
      </c>
      <c r="E2240" s="9" t="s">
        <v>115</v>
      </c>
      <c r="F2240" s="9" t="s">
        <v>434</v>
      </c>
      <c r="G2240" s="8"/>
      <c r="H2240" s="8"/>
      <c r="I2240" s="9" t="s">
        <v>78</v>
      </c>
      <c r="J2240" s="9" t="s">
        <v>11</v>
      </c>
      <c r="K2240" s="9" t="s">
        <v>82</v>
      </c>
      <c r="L2240" s="9" t="s">
        <v>171</v>
      </c>
      <c r="M2240" s="9" t="s">
        <v>78</v>
      </c>
      <c r="N2240" s="9" t="s">
        <v>861</v>
      </c>
      <c r="O2240" s="9" t="s">
        <v>1201</v>
      </c>
      <c r="P2240" s="9" t="s">
        <v>1202</v>
      </c>
      <c r="Q2240" s="11">
        <v>39</v>
      </c>
      <c r="R2240" s="11"/>
      <c r="S2240" s="177">
        <v>39</v>
      </c>
      <c r="T2240" s="9"/>
      <c r="U2240" s="14" t="s">
        <v>77</v>
      </c>
      <c r="V2240" s="9"/>
      <c r="W2240" s="12">
        <v>30</v>
      </c>
      <c r="X2240" s="13"/>
      <c r="Y2240" s="13"/>
      <c r="Z2240" s="13"/>
      <c r="AA2240" s="13"/>
      <c r="AB2240" s="13"/>
      <c r="AC2240" s="13"/>
      <c r="AD2240" s="13"/>
      <c r="AE2240" s="13">
        <f>+Q2240*W2240*100/1000000</f>
        <v>0.11700000000000001</v>
      </c>
      <c r="AF2240" s="13"/>
      <c r="AG2240" s="13"/>
      <c r="AH2240" s="13"/>
      <c r="AI2240" s="13"/>
      <c r="AJ2240" s="13">
        <f t="shared" si="225"/>
        <v>0.11700000000000001</v>
      </c>
      <c r="AK2240" s="12"/>
      <c r="AL2240" s="13"/>
      <c r="AM2240" s="9"/>
      <c r="AN2240" s="9"/>
      <c r="AO2240" s="9"/>
      <c r="AP2240" s="14"/>
    </row>
    <row r="2241" spans="1:42" s="45" customFormat="1" ht="22" customHeight="1">
      <c r="A2241" s="14" t="s">
        <v>17</v>
      </c>
      <c r="B2241" s="8">
        <v>2024</v>
      </c>
      <c r="C2241" s="8" t="s">
        <v>24</v>
      </c>
      <c r="D2241" s="9" t="s">
        <v>185</v>
      </c>
      <c r="E2241" s="9" t="s">
        <v>115</v>
      </c>
      <c r="F2241" s="9" t="s">
        <v>434</v>
      </c>
      <c r="G2241" s="8"/>
      <c r="H2241" s="8"/>
      <c r="I2241" s="9" t="s">
        <v>78</v>
      </c>
      <c r="J2241" s="9" t="s">
        <v>11</v>
      </c>
      <c r="K2241" s="9" t="s">
        <v>82</v>
      </c>
      <c r="L2241" s="9" t="s">
        <v>171</v>
      </c>
      <c r="M2241" s="9" t="s">
        <v>78</v>
      </c>
      <c r="N2241" s="9" t="s">
        <v>861</v>
      </c>
      <c r="O2241" s="9" t="s">
        <v>1201</v>
      </c>
      <c r="P2241" s="9" t="s">
        <v>1203</v>
      </c>
      <c r="Q2241" s="11">
        <v>36</v>
      </c>
      <c r="R2241" s="11"/>
      <c r="S2241" s="177">
        <v>27</v>
      </c>
      <c r="T2241" s="9"/>
      <c r="U2241" s="14" t="s">
        <v>77</v>
      </c>
      <c r="V2241" s="9"/>
      <c r="W2241" s="12">
        <v>30</v>
      </c>
      <c r="X2241" s="13"/>
      <c r="Y2241" s="13"/>
      <c r="Z2241" s="13"/>
      <c r="AA2241" s="13"/>
      <c r="AB2241" s="13"/>
      <c r="AC2241" s="13"/>
      <c r="AD2241" s="13"/>
      <c r="AE2241" s="13">
        <f t="shared" ref="AE2241:AE2304" si="227">+Q2241*W2241*100/1000000</f>
        <v>0.108</v>
      </c>
      <c r="AF2241" s="13"/>
      <c r="AG2241" s="13"/>
      <c r="AH2241" s="13"/>
      <c r="AI2241" s="13"/>
      <c r="AJ2241" s="13">
        <f t="shared" si="225"/>
        <v>0.108</v>
      </c>
      <c r="AK2241" s="12"/>
      <c r="AL2241" s="13"/>
      <c r="AM2241" s="9"/>
      <c r="AN2241" s="9"/>
      <c r="AO2241" s="9"/>
      <c r="AP2241" s="14"/>
    </row>
    <row r="2242" spans="1:42" s="45" customFormat="1" ht="22" customHeight="1">
      <c r="A2242" s="14" t="s">
        <v>17</v>
      </c>
      <c r="B2242" s="8">
        <v>2024</v>
      </c>
      <c r="C2242" s="8" t="s">
        <v>24</v>
      </c>
      <c r="D2242" s="9" t="s">
        <v>185</v>
      </c>
      <c r="E2242" s="9" t="s">
        <v>115</v>
      </c>
      <c r="F2242" s="9" t="s">
        <v>434</v>
      </c>
      <c r="G2242" s="8"/>
      <c r="H2242" s="8"/>
      <c r="I2242" s="9" t="s">
        <v>78</v>
      </c>
      <c r="J2242" s="9" t="s">
        <v>11</v>
      </c>
      <c r="K2242" s="9" t="s">
        <v>82</v>
      </c>
      <c r="L2242" s="9" t="s">
        <v>171</v>
      </c>
      <c r="M2242" s="9" t="s">
        <v>78</v>
      </c>
      <c r="N2242" s="9" t="s">
        <v>861</v>
      </c>
      <c r="O2242" s="9" t="s">
        <v>1201</v>
      </c>
      <c r="P2242" s="9" t="s">
        <v>1204</v>
      </c>
      <c r="Q2242" s="11">
        <v>22</v>
      </c>
      <c r="R2242" s="11"/>
      <c r="S2242" s="177">
        <v>14</v>
      </c>
      <c r="T2242" s="9"/>
      <c r="U2242" s="14" t="s">
        <v>77</v>
      </c>
      <c r="V2242" s="9"/>
      <c r="W2242" s="12">
        <v>30</v>
      </c>
      <c r="X2242" s="13"/>
      <c r="Y2242" s="13"/>
      <c r="Z2242" s="13"/>
      <c r="AA2242" s="13"/>
      <c r="AB2242" s="13"/>
      <c r="AC2242" s="13"/>
      <c r="AD2242" s="13"/>
      <c r="AE2242" s="13">
        <f t="shared" si="227"/>
        <v>6.6000000000000003E-2</v>
      </c>
      <c r="AF2242" s="13"/>
      <c r="AG2242" s="13"/>
      <c r="AH2242" s="13"/>
      <c r="AI2242" s="13"/>
      <c r="AJ2242" s="13">
        <f t="shared" si="225"/>
        <v>6.6000000000000003E-2</v>
      </c>
      <c r="AK2242" s="12"/>
      <c r="AL2242" s="13"/>
      <c r="AM2242" s="9"/>
      <c r="AN2242" s="9"/>
      <c r="AO2242" s="9"/>
      <c r="AP2242" s="14"/>
    </row>
    <row r="2243" spans="1:42" s="45" customFormat="1" ht="22" customHeight="1">
      <c r="A2243" s="14" t="s">
        <v>17</v>
      </c>
      <c r="B2243" s="8">
        <v>2024</v>
      </c>
      <c r="C2243" s="8" t="s">
        <v>24</v>
      </c>
      <c r="D2243" s="9" t="s">
        <v>185</v>
      </c>
      <c r="E2243" s="9" t="s">
        <v>115</v>
      </c>
      <c r="F2243" s="9" t="s">
        <v>434</v>
      </c>
      <c r="G2243" s="8"/>
      <c r="H2243" s="8"/>
      <c r="I2243" s="9" t="s">
        <v>78</v>
      </c>
      <c r="J2243" s="9" t="s">
        <v>11</v>
      </c>
      <c r="K2243" s="9" t="s">
        <v>82</v>
      </c>
      <c r="L2243" s="9" t="s">
        <v>171</v>
      </c>
      <c r="M2243" s="9" t="s">
        <v>78</v>
      </c>
      <c r="N2243" s="9" t="s">
        <v>861</v>
      </c>
      <c r="O2243" s="9" t="s">
        <v>1201</v>
      </c>
      <c r="P2243" s="9" t="s">
        <v>1205</v>
      </c>
      <c r="Q2243" s="11">
        <v>29</v>
      </c>
      <c r="R2243" s="11"/>
      <c r="S2243" s="177">
        <v>33</v>
      </c>
      <c r="T2243" s="9"/>
      <c r="U2243" s="14" t="s">
        <v>77</v>
      </c>
      <c r="V2243" s="9"/>
      <c r="W2243" s="12">
        <v>30</v>
      </c>
      <c r="X2243" s="13"/>
      <c r="Y2243" s="13"/>
      <c r="Z2243" s="13"/>
      <c r="AA2243" s="13"/>
      <c r="AB2243" s="13"/>
      <c r="AC2243" s="13"/>
      <c r="AD2243" s="13"/>
      <c r="AE2243" s="13">
        <f t="shared" si="227"/>
        <v>8.6999999999999994E-2</v>
      </c>
      <c r="AF2243" s="13"/>
      <c r="AG2243" s="13"/>
      <c r="AH2243" s="13"/>
      <c r="AI2243" s="13"/>
      <c r="AJ2243" s="13">
        <f t="shared" si="225"/>
        <v>8.6999999999999994E-2</v>
      </c>
      <c r="AK2243" s="12"/>
      <c r="AL2243" s="13"/>
      <c r="AM2243" s="9"/>
      <c r="AN2243" s="9"/>
      <c r="AO2243" s="9"/>
      <c r="AP2243" s="14"/>
    </row>
    <row r="2244" spans="1:42" s="45" customFormat="1" ht="22" customHeight="1">
      <c r="A2244" s="14" t="s">
        <v>17</v>
      </c>
      <c r="B2244" s="8">
        <v>2024</v>
      </c>
      <c r="C2244" s="8" t="s">
        <v>24</v>
      </c>
      <c r="D2244" s="9" t="s">
        <v>185</v>
      </c>
      <c r="E2244" s="9" t="s">
        <v>115</v>
      </c>
      <c r="F2244" s="9" t="s">
        <v>434</v>
      </c>
      <c r="G2244" s="8"/>
      <c r="H2244" s="8"/>
      <c r="I2244" s="9" t="s">
        <v>78</v>
      </c>
      <c r="J2244" s="9" t="s">
        <v>11</v>
      </c>
      <c r="K2244" s="9" t="s">
        <v>82</v>
      </c>
      <c r="L2244" s="9" t="s">
        <v>171</v>
      </c>
      <c r="M2244" s="9" t="s">
        <v>78</v>
      </c>
      <c r="N2244" s="9" t="s">
        <v>861</v>
      </c>
      <c r="O2244" s="9" t="s">
        <v>1206</v>
      </c>
      <c r="P2244" s="9" t="s">
        <v>1207</v>
      </c>
      <c r="Q2244" s="11">
        <v>52</v>
      </c>
      <c r="R2244" s="11"/>
      <c r="S2244" s="177">
        <v>67</v>
      </c>
      <c r="T2244" s="9"/>
      <c r="U2244" s="14" t="s">
        <v>77</v>
      </c>
      <c r="V2244" s="9"/>
      <c r="W2244" s="12">
        <v>30</v>
      </c>
      <c r="X2244" s="13"/>
      <c r="Y2244" s="13"/>
      <c r="Z2244" s="13"/>
      <c r="AA2244" s="13"/>
      <c r="AB2244" s="13"/>
      <c r="AC2244" s="13"/>
      <c r="AD2244" s="13"/>
      <c r="AE2244" s="13">
        <f t="shared" si="227"/>
        <v>0.156</v>
      </c>
      <c r="AF2244" s="13"/>
      <c r="AG2244" s="13"/>
      <c r="AH2244" s="13"/>
      <c r="AI2244" s="13"/>
      <c r="AJ2244" s="13">
        <f t="shared" si="225"/>
        <v>0.156</v>
      </c>
      <c r="AK2244" s="12"/>
      <c r="AL2244" s="13"/>
      <c r="AM2244" s="9"/>
      <c r="AN2244" s="9"/>
      <c r="AO2244" s="9"/>
      <c r="AP2244" s="14"/>
    </row>
    <row r="2245" spans="1:42" s="45" customFormat="1" ht="22" customHeight="1">
      <c r="A2245" s="14" t="s">
        <v>17</v>
      </c>
      <c r="B2245" s="8">
        <v>2024</v>
      </c>
      <c r="C2245" s="8" t="s">
        <v>24</v>
      </c>
      <c r="D2245" s="9" t="s">
        <v>185</v>
      </c>
      <c r="E2245" s="9" t="s">
        <v>115</v>
      </c>
      <c r="F2245" s="9" t="s">
        <v>434</v>
      </c>
      <c r="G2245" s="8"/>
      <c r="H2245" s="8"/>
      <c r="I2245" s="9" t="s">
        <v>78</v>
      </c>
      <c r="J2245" s="9" t="s">
        <v>11</v>
      </c>
      <c r="K2245" s="9" t="s">
        <v>82</v>
      </c>
      <c r="L2245" s="9" t="s">
        <v>171</v>
      </c>
      <c r="M2245" s="9" t="s">
        <v>78</v>
      </c>
      <c r="N2245" s="9" t="s">
        <v>861</v>
      </c>
      <c r="O2245" s="9" t="s">
        <v>1206</v>
      </c>
      <c r="P2245" s="9" t="s">
        <v>568</v>
      </c>
      <c r="Q2245" s="11">
        <v>52</v>
      </c>
      <c r="R2245" s="11"/>
      <c r="S2245" s="177">
        <v>57</v>
      </c>
      <c r="T2245" s="9"/>
      <c r="U2245" s="14" t="s">
        <v>77</v>
      </c>
      <c r="V2245" s="9"/>
      <c r="W2245" s="12">
        <v>30</v>
      </c>
      <c r="X2245" s="13"/>
      <c r="Y2245" s="13"/>
      <c r="Z2245" s="13"/>
      <c r="AA2245" s="13"/>
      <c r="AB2245" s="13"/>
      <c r="AC2245" s="13"/>
      <c r="AD2245" s="13"/>
      <c r="AE2245" s="13">
        <f t="shared" si="227"/>
        <v>0.156</v>
      </c>
      <c r="AF2245" s="13"/>
      <c r="AG2245" s="13"/>
      <c r="AH2245" s="13"/>
      <c r="AI2245" s="13"/>
      <c r="AJ2245" s="13">
        <f t="shared" si="225"/>
        <v>0.156</v>
      </c>
      <c r="AK2245" s="12"/>
      <c r="AL2245" s="13"/>
      <c r="AM2245" s="9"/>
      <c r="AN2245" s="9"/>
      <c r="AO2245" s="9"/>
      <c r="AP2245" s="14"/>
    </row>
    <row r="2246" spans="1:42" s="45" customFormat="1" ht="22" customHeight="1">
      <c r="A2246" s="14" t="s">
        <v>17</v>
      </c>
      <c r="B2246" s="8">
        <v>2024</v>
      </c>
      <c r="C2246" s="8" t="s">
        <v>24</v>
      </c>
      <c r="D2246" s="9" t="s">
        <v>185</v>
      </c>
      <c r="E2246" s="9" t="s">
        <v>115</v>
      </c>
      <c r="F2246" s="9" t="s">
        <v>434</v>
      </c>
      <c r="G2246" s="8"/>
      <c r="H2246" s="8"/>
      <c r="I2246" s="9" t="s">
        <v>78</v>
      </c>
      <c r="J2246" s="9" t="s">
        <v>11</v>
      </c>
      <c r="K2246" s="9" t="s">
        <v>82</v>
      </c>
      <c r="L2246" s="9" t="s">
        <v>171</v>
      </c>
      <c r="M2246" s="9" t="s">
        <v>78</v>
      </c>
      <c r="N2246" s="9" t="s">
        <v>861</v>
      </c>
      <c r="O2246" s="9" t="s">
        <v>1208</v>
      </c>
      <c r="P2246" s="9" t="s">
        <v>1209</v>
      </c>
      <c r="Q2246" s="11">
        <v>49</v>
      </c>
      <c r="R2246" s="11"/>
      <c r="S2246" s="177">
        <v>58</v>
      </c>
      <c r="T2246" s="9"/>
      <c r="U2246" s="14" t="s">
        <v>77</v>
      </c>
      <c r="V2246" s="9"/>
      <c r="W2246" s="12">
        <v>30</v>
      </c>
      <c r="X2246" s="13"/>
      <c r="Y2246" s="13"/>
      <c r="Z2246" s="13"/>
      <c r="AA2246" s="13"/>
      <c r="AB2246" s="13"/>
      <c r="AC2246" s="13"/>
      <c r="AD2246" s="13"/>
      <c r="AE2246" s="13">
        <f t="shared" si="227"/>
        <v>0.14699999999999999</v>
      </c>
      <c r="AF2246" s="13"/>
      <c r="AG2246" s="13"/>
      <c r="AH2246" s="13"/>
      <c r="AI2246" s="13"/>
      <c r="AJ2246" s="13">
        <f t="shared" si="225"/>
        <v>0.14699999999999999</v>
      </c>
      <c r="AK2246" s="12"/>
      <c r="AL2246" s="13"/>
      <c r="AM2246" s="9"/>
      <c r="AN2246" s="9"/>
      <c r="AO2246" s="9"/>
      <c r="AP2246" s="14"/>
    </row>
    <row r="2247" spans="1:42" s="45" customFormat="1" ht="22" customHeight="1">
      <c r="A2247" s="14" t="s">
        <v>17</v>
      </c>
      <c r="B2247" s="8">
        <v>2024</v>
      </c>
      <c r="C2247" s="8" t="s">
        <v>24</v>
      </c>
      <c r="D2247" s="9" t="s">
        <v>185</v>
      </c>
      <c r="E2247" s="9" t="s">
        <v>115</v>
      </c>
      <c r="F2247" s="9" t="s">
        <v>434</v>
      </c>
      <c r="G2247" s="8"/>
      <c r="H2247" s="8"/>
      <c r="I2247" s="9" t="s">
        <v>78</v>
      </c>
      <c r="J2247" s="9" t="s">
        <v>11</v>
      </c>
      <c r="K2247" s="9" t="s">
        <v>82</v>
      </c>
      <c r="L2247" s="9" t="s">
        <v>171</v>
      </c>
      <c r="M2247" s="9" t="s">
        <v>78</v>
      </c>
      <c r="N2247" s="9" t="s">
        <v>861</v>
      </c>
      <c r="O2247" s="9" t="s">
        <v>1208</v>
      </c>
      <c r="P2247" s="9" t="s">
        <v>1210</v>
      </c>
      <c r="Q2247" s="11">
        <v>52</v>
      </c>
      <c r="R2247" s="11"/>
      <c r="S2247" s="177">
        <v>57</v>
      </c>
      <c r="T2247" s="9"/>
      <c r="U2247" s="14" t="s">
        <v>77</v>
      </c>
      <c r="V2247" s="9"/>
      <c r="W2247" s="12">
        <v>30</v>
      </c>
      <c r="X2247" s="13"/>
      <c r="Y2247" s="13"/>
      <c r="Z2247" s="13"/>
      <c r="AA2247" s="13"/>
      <c r="AB2247" s="13"/>
      <c r="AC2247" s="13"/>
      <c r="AD2247" s="13"/>
      <c r="AE2247" s="13">
        <f t="shared" si="227"/>
        <v>0.156</v>
      </c>
      <c r="AF2247" s="13"/>
      <c r="AG2247" s="13"/>
      <c r="AH2247" s="13"/>
      <c r="AI2247" s="13"/>
      <c r="AJ2247" s="13">
        <f t="shared" si="225"/>
        <v>0.156</v>
      </c>
      <c r="AK2247" s="12"/>
      <c r="AL2247" s="13"/>
      <c r="AM2247" s="9"/>
      <c r="AN2247" s="9"/>
      <c r="AO2247" s="9"/>
      <c r="AP2247" s="14"/>
    </row>
    <row r="2248" spans="1:42" s="45" customFormat="1" ht="22" customHeight="1">
      <c r="A2248" s="14" t="s">
        <v>17</v>
      </c>
      <c r="B2248" s="8">
        <v>2024</v>
      </c>
      <c r="C2248" s="8" t="s">
        <v>24</v>
      </c>
      <c r="D2248" s="9" t="s">
        <v>185</v>
      </c>
      <c r="E2248" s="9" t="s">
        <v>115</v>
      </c>
      <c r="F2248" s="9" t="s">
        <v>434</v>
      </c>
      <c r="G2248" s="8"/>
      <c r="H2248" s="8"/>
      <c r="I2248" s="9" t="s">
        <v>78</v>
      </c>
      <c r="J2248" s="9" t="s">
        <v>11</v>
      </c>
      <c r="K2248" s="9" t="s">
        <v>82</v>
      </c>
      <c r="L2248" s="9" t="s">
        <v>171</v>
      </c>
      <c r="M2248" s="9" t="s">
        <v>78</v>
      </c>
      <c r="N2248" s="9" t="s">
        <v>861</v>
      </c>
      <c r="O2248" s="9" t="s">
        <v>1208</v>
      </c>
      <c r="P2248" s="9" t="s">
        <v>1211</v>
      </c>
      <c r="Q2248" s="11">
        <v>35</v>
      </c>
      <c r="R2248" s="11"/>
      <c r="S2248" s="177">
        <v>36</v>
      </c>
      <c r="T2248" s="9"/>
      <c r="U2248" s="14" t="s">
        <v>77</v>
      </c>
      <c r="V2248" s="9"/>
      <c r="W2248" s="12">
        <v>30</v>
      </c>
      <c r="X2248" s="13"/>
      <c r="Y2248" s="13"/>
      <c r="Z2248" s="13"/>
      <c r="AA2248" s="13"/>
      <c r="AB2248" s="13"/>
      <c r="AC2248" s="13"/>
      <c r="AD2248" s="13"/>
      <c r="AE2248" s="13">
        <f t="shared" si="227"/>
        <v>0.105</v>
      </c>
      <c r="AF2248" s="13"/>
      <c r="AG2248" s="13"/>
      <c r="AH2248" s="13"/>
      <c r="AI2248" s="13"/>
      <c r="AJ2248" s="13">
        <f t="shared" si="225"/>
        <v>0.105</v>
      </c>
      <c r="AK2248" s="12"/>
      <c r="AL2248" s="13"/>
      <c r="AM2248" s="9"/>
      <c r="AN2248" s="9"/>
      <c r="AO2248" s="9"/>
      <c r="AP2248" s="14"/>
    </row>
    <row r="2249" spans="1:42" s="45" customFormat="1" ht="22" customHeight="1">
      <c r="A2249" s="14" t="s">
        <v>17</v>
      </c>
      <c r="B2249" s="8">
        <v>2024</v>
      </c>
      <c r="C2249" s="8" t="s">
        <v>24</v>
      </c>
      <c r="D2249" s="9" t="s">
        <v>185</v>
      </c>
      <c r="E2249" s="9" t="s">
        <v>115</v>
      </c>
      <c r="F2249" s="9" t="s">
        <v>434</v>
      </c>
      <c r="G2249" s="8"/>
      <c r="H2249" s="8"/>
      <c r="I2249" s="9" t="s">
        <v>78</v>
      </c>
      <c r="J2249" s="9" t="s">
        <v>11</v>
      </c>
      <c r="K2249" s="9" t="s">
        <v>82</v>
      </c>
      <c r="L2249" s="9" t="s">
        <v>171</v>
      </c>
      <c r="M2249" s="9" t="s">
        <v>78</v>
      </c>
      <c r="N2249" s="9" t="s">
        <v>861</v>
      </c>
      <c r="O2249" s="9" t="s">
        <v>1208</v>
      </c>
      <c r="P2249" s="9" t="s">
        <v>1212</v>
      </c>
      <c r="Q2249" s="11">
        <v>44</v>
      </c>
      <c r="R2249" s="11"/>
      <c r="S2249" s="177">
        <v>53</v>
      </c>
      <c r="T2249" s="9"/>
      <c r="U2249" s="14" t="s">
        <v>77</v>
      </c>
      <c r="V2249" s="9"/>
      <c r="W2249" s="12">
        <v>30</v>
      </c>
      <c r="X2249" s="13"/>
      <c r="Y2249" s="13"/>
      <c r="Z2249" s="13"/>
      <c r="AA2249" s="13"/>
      <c r="AB2249" s="13"/>
      <c r="AC2249" s="13"/>
      <c r="AD2249" s="13"/>
      <c r="AE2249" s="13">
        <f t="shared" si="227"/>
        <v>0.13200000000000001</v>
      </c>
      <c r="AF2249" s="13"/>
      <c r="AG2249" s="13"/>
      <c r="AH2249" s="13"/>
      <c r="AI2249" s="13"/>
      <c r="AJ2249" s="13">
        <f t="shared" si="225"/>
        <v>0.13200000000000001</v>
      </c>
      <c r="AK2249" s="12"/>
      <c r="AL2249" s="13"/>
      <c r="AM2249" s="9"/>
      <c r="AN2249" s="9"/>
      <c r="AO2249" s="9"/>
      <c r="AP2249" s="14"/>
    </row>
    <row r="2250" spans="1:42" s="45" customFormat="1" ht="22" customHeight="1">
      <c r="A2250" s="14" t="s">
        <v>17</v>
      </c>
      <c r="B2250" s="8">
        <v>2024</v>
      </c>
      <c r="C2250" s="8" t="s">
        <v>24</v>
      </c>
      <c r="D2250" s="9" t="s">
        <v>185</v>
      </c>
      <c r="E2250" s="9" t="s">
        <v>115</v>
      </c>
      <c r="F2250" s="9" t="s">
        <v>434</v>
      </c>
      <c r="G2250" s="8"/>
      <c r="H2250" s="8"/>
      <c r="I2250" s="9" t="s">
        <v>78</v>
      </c>
      <c r="J2250" s="9" t="s">
        <v>11</v>
      </c>
      <c r="K2250" s="9" t="s">
        <v>82</v>
      </c>
      <c r="L2250" s="9" t="s">
        <v>171</v>
      </c>
      <c r="M2250" s="9" t="s">
        <v>78</v>
      </c>
      <c r="N2250" s="9" t="s">
        <v>861</v>
      </c>
      <c r="O2250" s="9" t="s">
        <v>1213</v>
      </c>
      <c r="P2250" s="9" t="s">
        <v>217</v>
      </c>
      <c r="Q2250" s="11">
        <v>75</v>
      </c>
      <c r="R2250" s="11"/>
      <c r="S2250" s="177">
        <v>84</v>
      </c>
      <c r="T2250" s="9"/>
      <c r="U2250" s="14" t="s">
        <v>77</v>
      </c>
      <c r="V2250" s="9"/>
      <c r="W2250" s="12">
        <v>30</v>
      </c>
      <c r="X2250" s="13"/>
      <c r="Y2250" s="13"/>
      <c r="Z2250" s="13"/>
      <c r="AA2250" s="13"/>
      <c r="AB2250" s="13"/>
      <c r="AC2250" s="13"/>
      <c r="AD2250" s="13"/>
      <c r="AE2250" s="13">
        <f t="shared" si="227"/>
        <v>0.22500000000000001</v>
      </c>
      <c r="AF2250" s="13"/>
      <c r="AG2250" s="13"/>
      <c r="AH2250" s="13"/>
      <c r="AI2250" s="13"/>
      <c r="AJ2250" s="13">
        <f t="shared" si="225"/>
        <v>0.22500000000000001</v>
      </c>
      <c r="AK2250" s="12"/>
      <c r="AL2250" s="13"/>
      <c r="AM2250" s="9"/>
      <c r="AN2250" s="9"/>
      <c r="AO2250" s="9"/>
      <c r="AP2250" s="14"/>
    </row>
    <row r="2251" spans="1:42" s="45" customFormat="1" ht="22" customHeight="1">
      <c r="A2251" s="14" t="s">
        <v>17</v>
      </c>
      <c r="B2251" s="8">
        <v>2024</v>
      </c>
      <c r="C2251" s="8" t="s">
        <v>24</v>
      </c>
      <c r="D2251" s="9" t="s">
        <v>185</v>
      </c>
      <c r="E2251" s="9" t="s">
        <v>115</v>
      </c>
      <c r="F2251" s="9" t="s">
        <v>434</v>
      </c>
      <c r="G2251" s="8"/>
      <c r="H2251" s="8"/>
      <c r="I2251" s="9" t="s">
        <v>78</v>
      </c>
      <c r="J2251" s="9" t="s">
        <v>11</v>
      </c>
      <c r="K2251" s="9" t="s">
        <v>82</v>
      </c>
      <c r="L2251" s="9" t="s">
        <v>171</v>
      </c>
      <c r="M2251" s="9" t="s">
        <v>78</v>
      </c>
      <c r="N2251" s="9" t="s">
        <v>861</v>
      </c>
      <c r="O2251" s="9" t="s">
        <v>1213</v>
      </c>
      <c r="P2251" s="9" t="s">
        <v>1214</v>
      </c>
      <c r="Q2251" s="11">
        <v>63</v>
      </c>
      <c r="R2251" s="11"/>
      <c r="S2251" s="177">
        <v>58</v>
      </c>
      <c r="T2251" s="9"/>
      <c r="U2251" s="14" t="s">
        <v>77</v>
      </c>
      <c r="V2251" s="9"/>
      <c r="W2251" s="12">
        <v>30</v>
      </c>
      <c r="X2251" s="13"/>
      <c r="Y2251" s="13"/>
      <c r="Z2251" s="13"/>
      <c r="AA2251" s="13"/>
      <c r="AB2251" s="13"/>
      <c r="AC2251" s="13"/>
      <c r="AD2251" s="13"/>
      <c r="AE2251" s="13">
        <f t="shared" si="227"/>
        <v>0.189</v>
      </c>
      <c r="AF2251" s="13"/>
      <c r="AG2251" s="13"/>
      <c r="AH2251" s="13"/>
      <c r="AI2251" s="13"/>
      <c r="AJ2251" s="13">
        <f t="shared" si="225"/>
        <v>0.189</v>
      </c>
      <c r="AK2251" s="12"/>
      <c r="AL2251" s="13"/>
      <c r="AM2251" s="9"/>
      <c r="AN2251" s="9"/>
      <c r="AO2251" s="9"/>
      <c r="AP2251" s="14"/>
    </row>
    <row r="2252" spans="1:42" s="45" customFormat="1" ht="22" customHeight="1">
      <c r="A2252" s="14" t="s">
        <v>17</v>
      </c>
      <c r="B2252" s="8">
        <v>2024</v>
      </c>
      <c r="C2252" s="8" t="s">
        <v>24</v>
      </c>
      <c r="D2252" s="9" t="s">
        <v>185</v>
      </c>
      <c r="E2252" s="9" t="s">
        <v>115</v>
      </c>
      <c r="F2252" s="9" t="s">
        <v>434</v>
      </c>
      <c r="G2252" s="8"/>
      <c r="H2252" s="8"/>
      <c r="I2252" s="9" t="s">
        <v>78</v>
      </c>
      <c r="J2252" s="9" t="s">
        <v>11</v>
      </c>
      <c r="K2252" s="9" t="s">
        <v>82</v>
      </c>
      <c r="L2252" s="9" t="s">
        <v>171</v>
      </c>
      <c r="M2252" s="9" t="s">
        <v>78</v>
      </c>
      <c r="N2252" s="9" t="s">
        <v>861</v>
      </c>
      <c r="O2252" s="9" t="s">
        <v>1213</v>
      </c>
      <c r="P2252" s="9" t="s">
        <v>1215</v>
      </c>
      <c r="Q2252" s="11">
        <v>57</v>
      </c>
      <c r="R2252" s="11"/>
      <c r="S2252" s="177">
        <v>74</v>
      </c>
      <c r="T2252" s="9"/>
      <c r="U2252" s="14" t="s">
        <v>77</v>
      </c>
      <c r="V2252" s="9"/>
      <c r="W2252" s="12">
        <v>30</v>
      </c>
      <c r="X2252" s="13"/>
      <c r="Y2252" s="13"/>
      <c r="Z2252" s="13"/>
      <c r="AA2252" s="13"/>
      <c r="AB2252" s="13"/>
      <c r="AC2252" s="13"/>
      <c r="AD2252" s="13"/>
      <c r="AE2252" s="13">
        <f t="shared" si="227"/>
        <v>0.17100000000000001</v>
      </c>
      <c r="AF2252" s="13"/>
      <c r="AG2252" s="13"/>
      <c r="AH2252" s="13"/>
      <c r="AI2252" s="13"/>
      <c r="AJ2252" s="13">
        <f t="shared" si="225"/>
        <v>0.17100000000000001</v>
      </c>
      <c r="AK2252" s="12"/>
      <c r="AL2252" s="13"/>
      <c r="AM2252" s="9"/>
      <c r="AN2252" s="9"/>
      <c r="AO2252" s="9"/>
      <c r="AP2252" s="14"/>
    </row>
    <row r="2253" spans="1:42" s="45" customFormat="1" ht="22" customHeight="1">
      <c r="A2253" s="14" t="s">
        <v>17</v>
      </c>
      <c r="B2253" s="8">
        <v>2024</v>
      </c>
      <c r="C2253" s="8" t="s">
        <v>24</v>
      </c>
      <c r="D2253" s="9" t="s">
        <v>185</v>
      </c>
      <c r="E2253" s="9" t="s">
        <v>115</v>
      </c>
      <c r="F2253" s="9" t="s">
        <v>434</v>
      </c>
      <c r="G2253" s="8"/>
      <c r="H2253" s="8"/>
      <c r="I2253" s="9" t="s">
        <v>78</v>
      </c>
      <c r="J2253" s="9" t="s">
        <v>11</v>
      </c>
      <c r="K2253" s="9" t="s">
        <v>82</v>
      </c>
      <c r="L2253" s="9" t="s">
        <v>171</v>
      </c>
      <c r="M2253" s="9" t="s">
        <v>78</v>
      </c>
      <c r="N2253" s="9" t="s">
        <v>861</v>
      </c>
      <c r="O2253" s="9" t="s">
        <v>1216</v>
      </c>
      <c r="P2253" s="9" t="s">
        <v>1217</v>
      </c>
      <c r="Q2253" s="11">
        <v>34</v>
      </c>
      <c r="R2253" s="11"/>
      <c r="S2253" s="177">
        <v>47</v>
      </c>
      <c r="T2253" s="9"/>
      <c r="U2253" s="14" t="s">
        <v>77</v>
      </c>
      <c r="V2253" s="9"/>
      <c r="W2253" s="12">
        <v>30</v>
      </c>
      <c r="X2253" s="13"/>
      <c r="Y2253" s="13"/>
      <c r="Z2253" s="13"/>
      <c r="AA2253" s="13"/>
      <c r="AB2253" s="13"/>
      <c r="AC2253" s="13"/>
      <c r="AD2253" s="13"/>
      <c r="AE2253" s="13">
        <f t="shared" si="227"/>
        <v>0.10199999999999999</v>
      </c>
      <c r="AF2253" s="13"/>
      <c r="AG2253" s="13"/>
      <c r="AH2253" s="13"/>
      <c r="AI2253" s="13"/>
      <c r="AJ2253" s="13">
        <f t="shared" si="225"/>
        <v>0.10199999999999999</v>
      </c>
      <c r="AK2253" s="12"/>
      <c r="AL2253" s="13"/>
      <c r="AM2253" s="9"/>
      <c r="AN2253" s="9"/>
      <c r="AO2253" s="9"/>
      <c r="AP2253" s="14"/>
    </row>
    <row r="2254" spans="1:42" s="45" customFormat="1" ht="22" customHeight="1">
      <c r="A2254" s="14" t="s">
        <v>17</v>
      </c>
      <c r="B2254" s="8">
        <v>2024</v>
      </c>
      <c r="C2254" s="8" t="s">
        <v>24</v>
      </c>
      <c r="D2254" s="9" t="s">
        <v>185</v>
      </c>
      <c r="E2254" s="9" t="s">
        <v>115</v>
      </c>
      <c r="F2254" s="9" t="s">
        <v>434</v>
      </c>
      <c r="G2254" s="8"/>
      <c r="H2254" s="8"/>
      <c r="I2254" s="9" t="s">
        <v>78</v>
      </c>
      <c r="J2254" s="9" t="s">
        <v>11</v>
      </c>
      <c r="K2254" s="9" t="s">
        <v>82</v>
      </c>
      <c r="L2254" s="9" t="s">
        <v>171</v>
      </c>
      <c r="M2254" s="9" t="s">
        <v>78</v>
      </c>
      <c r="N2254" s="9" t="s">
        <v>861</v>
      </c>
      <c r="O2254" s="9" t="s">
        <v>1216</v>
      </c>
      <c r="P2254" s="9" t="s">
        <v>1218</v>
      </c>
      <c r="Q2254" s="11">
        <v>38</v>
      </c>
      <c r="R2254" s="11"/>
      <c r="S2254" s="177">
        <v>50</v>
      </c>
      <c r="T2254" s="9"/>
      <c r="U2254" s="14" t="s">
        <v>77</v>
      </c>
      <c r="V2254" s="9"/>
      <c r="W2254" s="12">
        <v>30</v>
      </c>
      <c r="X2254" s="13"/>
      <c r="Y2254" s="13"/>
      <c r="Z2254" s="13"/>
      <c r="AA2254" s="13"/>
      <c r="AB2254" s="13"/>
      <c r="AC2254" s="13"/>
      <c r="AD2254" s="13"/>
      <c r="AE2254" s="13">
        <f t="shared" si="227"/>
        <v>0.114</v>
      </c>
      <c r="AF2254" s="13"/>
      <c r="AG2254" s="13"/>
      <c r="AH2254" s="13"/>
      <c r="AI2254" s="13"/>
      <c r="AJ2254" s="13">
        <f t="shared" si="225"/>
        <v>0.114</v>
      </c>
      <c r="AK2254" s="12"/>
      <c r="AL2254" s="13"/>
      <c r="AM2254" s="9"/>
      <c r="AN2254" s="9"/>
      <c r="AO2254" s="9"/>
      <c r="AP2254" s="14"/>
    </row>
    <row r="2255" spans="1:42" s="45" customFormat="1" ht="22" customHeight="1">
      <c r="A2255" s="14" t="s">
        <v>17</v>
      </c>
      <c r="B2255" s="8">
        <v>2024</v>
      </c>
      <c r="C2255" s="8" t="s">
        <v>24</v>
      </c>
      <c r="D2255" s="9" t="s">
        <v>185</v>
      </c>
      <c r="E2255" s="9" t="s">
        <v>115</v>
      </c>
      <c r="F2255" s="9" t="s">
        <v>434</v>
      </c>
      <c r="G2255" s="8"/>
      <c r="H2255" s="8"/>
      <c r="I2255" s="9" t="s">
        <v>78</v>
      </c>
      <c r="J2255" s="9" t="s">
        <v>11</v>
      </c>
      <c r="K2255" s="9" t="s">
        <v>82</v>
      </c>
      <c r="L2255" s="9" t="s">
        <v>171</v>
      </c>
      <c r="M2255" s="9" t="s">
        <v>78</v>
      </c>
      <c r="N2255" s="9" t="s">
        <v>861</v>
      </c>
      <c r="O2255" s="9" t="s">
        <v>1216</v>
      </c>
      <c r="P2255" s="9" t="s">
        <v>1219</v>
      </c>
      <c r="Q2255" s="11">
        <v>38</v>
      </c>
      <c r="R2255" s="11"/>
      <c r="S2255" s="177">
        <v>40</v>
      </c>
      <c r="T2255" s="9"/>
      <c r="U2255" s="14" t="s">
        <v>77</v>
      </c>
      <c r="V2255" s="9"/>
      <c r="W2255" s="12">
        <v>30</v>
      </c>
      <c r="X2255" s="13"/>
      <c r="Y2255" s="13"/>
      <c r="Z2255" s="13"/>
      <c r="AA2255" s="13"/>
      <c r="AB2255" s="13"/>
      <c r="AC2255" s="13"/>
      <c r="AD2255" s="13"/>
      <c r="AE2255" s="13">
        <f t="shared" si="227"/>
        <v>0.114</v>
      </c>
      <c r="AF2255" s="13"/>
      <c r="AG2255" s="13"/>
      <c r="AH2255" s="13"/>
      <c r="AI2255" s="13"/>
      <c r="AJ2255" s="13">
        <f t="shared" si="225"/>
        <v>0.114</v>
      </c>
      <c r="AK2255" s="12"/>
      <c r="AL2255" s="13"/>
      <c r="AM2255" s="9"/>
      <c r="AN2255" s="9"/>
      <c r="AO2255" s="9"/>
      <c r="AP2255" s="14"/>
    </row>
    <row r="2256" spans="1:42" s="45" customFormat="1" ht="22" customHeight="1">
      <c r="A2256" s="14" t="s">
        <v>17</v>
      </c>
      <c r="B2256" s="8">
        <v>2024</v>
      </c>
      <c r="C2256" s="8" t="s">
        <v>24</v>
      </c>
      <c r="D2256" s="9" t="s">
        <v>185</v>
      </c>
      <c r="E2256" s="9" t="s">
        <v>115</v>
      </c>
      <c r="F2256" s="9" t="s">
        <v>434</v>
      </c>
      <c r="G2256" s="8"/>
      <c r="H2256" s="8"/>
      <c r="I2256" s="9" t="s">
        <v>78</v>
      </c>
      <c r="J2256" s="9" t="s">
        <v>11</v>
      </c>
      <c r="K2256" s="9" t="s">
        <v>82</v>
      </c>
      <c r="L2256" s="9" t="s">
        <v>171</v>
      </c>
      <c r="M2256" s="9" t="s">
        <v>78</v>
      </c>
      <c r="N2256" s="9" t="s">
        <v>861</v>
      </c>
      <c r="O2256" s="9" t="s">
        <v>1216</v>
      </c>
      <c r="P2256" s="9" t="s">
        <v>1220</v>
      </c>
      <c r="Q2256" s="11">
        <v>27</v>
      </c>
      <c r="R2256" s="11"/>
      <c r="S2256" s="177">
        <v>43</v>
      </c>
      <c r="T2256" s="9"/>
      <c r="U2256" s="14" t="s">
        <v>77</v>
      </c>
      <c r="V2256" s="9"/>
      <c r="W2256" s="12">
        <v>30</v>
      </c>
      <c r="X2256" s="13"/>
      <c r="Y2256" s="13"/>
      <c r="Z2256" s="13"/>
      <c r="AA2256" s="13"/>
      <c r="AB2256" s="13"/>
      <c r="AC2256" s="13"/>
      <c r="AD2256" s="13"/>
      <c r="AE2256" s="13">
        <f t="shared" si="227"/>
        <v>8.1000000000000003E-2</v>
      </c>
      <c r="AF2256" s="13"/>
      <c r="AG2256" s="13"/>
      <c r="AH2256" s="13"/>
      <c r="AI2256" s="13"/>
      <c r="AJ2256" s="13">
        <f t="shared" si="225"/>
        <v>8.1000000000000003E-2</v>
      </c>
      <c r="AK2256" s="12"/>
      <c r="AL2256" s="13"/>
      <c r="AM2256" s="9"/>
      <c r="AN2256" s="9"/>
      <c r="AO2256" s="9"/>
      <c r="AP2256" s="14"/>
    </row>
    <row r="2257" spans="1:42" s="45" customFormat="1" ht="22" customHeight="1">
      <c r="A2257" s="14" t="s">
        <v>17</v>
      </c>
      <c r="B2257" s="8">
        <v>2024</v>
      </c>
      <c r="C2257" s="8" t="s">
        <v>24</v>
      </c>
      <c r="D2257" s="9" t="s">
        <v>185</v>
      </c>
      <c r="E2257" s="9" t="s">
        <v>115</v>
      </c>
      <c r="F2257" s="9" t="s">
        <v>434</v>
      </c>
      <c r="G2257" s="8"/>
      <c r="H2257" s="8"/>
      <c r="I2257" s="9" t="s">
        <v>78</v>
      </c>
      <c r="J2257" s="9" t="s">
        <v>11</v>
      </c>
      <c r="K2257" s="9" t="s">
        <v>82</v>
      </c>
      <c r="L2257" s="9" t="s">
        <v>171</v>
      </c>
      <c r="M2257" s="9" t="s">
        <v>78</v>
      </c>
      <c r="N2257" s="9" t="s">
        <v>861</v>
      </c>
      <c r="O2257" s="9" t="s">
        <v>1221</v>
      </c>
      <c r="P2257" s="9" t="s">
        <v>1222</v>
      </c>
      <c r="Q2257" s="11">
        <v>39</v>
      </c>
      <c r="R2257" s="11"/>
      <c r="S2257" s="177">
        <v>58</v>
      </c>
      <c r="T2257" s="9"/>
      <c r="U2257" s="14" t="s">
        <v>77</v>
      </c>
      <c r="V2257" s="9"/>
      <c r="W2257" s="12">
        <v>30</v>
      </c>
      <c r="X2257" s="13"/>
      <c r="Y2257" s="13"/>
      <c r="Z2257" s="13"/>
      <c r="AA2257" s="13"/>
      <c r="AB2257" s="13"/>
      <c r="AC2257" s="13"/>
      <c r="AD2257" s="13"/>
      <c r="AE2257" s="13">
        <f t="shared" si="227"/>
        <v>0.11700000000000001</v>
      </c>
      <c r="AF2257" s="13"/>
      <c r="AG2257" s="13"/>
      <c r="AH2257" s="13"/>
      <c r="AI2257" s="13"/>
      <c r="AJ2257" s="13">
        <f t="shared" si="225"/>
        <v>0.11700000000000001</v>
      </c>
      <c r="AK2257" s="12"/>
      <c r="AL2257" s="13"/>
      <c r="AM2257" s="9"/>
      <c r="AN2257" s="9"/>
      <c r="AO2257" s="9"/>
      <c r="AP2257" s="14"/>
    </row>
    <row r="2258" spans="1:42" s="45" customFormat="1" ht="22" customHeight="1">
      <c r="A2258" s="14" t="s">
        <v>17</v>
      </c>
      <c r="B2258" s="8">
        <v>2024</v>
      </c>
      <c r="C2258" s="8" t="s">
        <v>24</v>
      </c>
      <c r="D2258" s="9" t="s">
        <v>185</v>
      </c>
      <c r="E2258" s="9" t="s">
        <v>115</v>
      </c>
      <c r="F2258" s="9" t="s">
        <v>434</v>
      </c>
      <c r="G2258" s="8"/>
      <c r="H2258" s="8"/>
      <c r="I2258" s="9" t="s">
        <v>78</v>
      </c>
      <c r="J2258" s="9" t="s">
        <v>11</v>
      </c>
      <c r="K2258" s="9" t="s">
        <v>82</v>
      </c>
      <c r="L2258" s="9" t="s">
        <v>171</v>
      </c>
      <c r="M2258" s="9" t="s">
        <v>78</v>
      </c>
      <c r="N2258" s="9" t="s">
        <v>861</v>
      </c>
      <c r="O2258" s="9" t="s">
        <v>1221</v>
      </c>
      <c r="P2258" s="9" t="s">
        <v>1223</v>
      </c>
      <c r="Q2258" s="11">
        <v>35</v>
      </c>
      <c r="R2258" s="11"/>
      <c r="S2258" s="177">
        <v>41</v>
      </c>
      <c r="T2258" s="9"/>
      <c r="U2258" s="14" t="s">
        <v>77</v>
      </c>
      <c r="V2258" s="9"/>
      <c r="W2258" s="12">
        <v>30</v>
      </c>
      <c r="X2258" s="13"/>
      <c r="Y2258" s="13"/>
      <c r="Z2258" s="13"/>
      <c r="AA2258" s="13"/>
      <c r="AB2258" s="13"/>
      <c r="AC2258" s="13"/>
      <c r="AD2258" s="13"/>
      <c r="AE2258" s="13">
        <f t="shared" si="227"/>
        <v>0.105</v>
      </c>
      <c r="AF2258" s="13"/>
      <c r="AG2258" s="13"/>
      <c r="AH2258" s="13"/>
      <c r="AI2258" s="13"/>
      <c r="AJ2258" s="13">
        <f t="shared" si="225"/>
        <v>0.105</v>
      </c>
      <c r="AK2258" s="12"/>
      <c r="AL2258" s="13"/>
      <c r="AM2258" s="9"/>
      <c r="AN2258" s="9"/>
      <c r="AO2258" s="9"/>
      <c r="AP2258" s="14"/>
    </row>
    <row r="2259" spans="1:42" s="45" customFormat="1" ht="22" customHeight="1">
      <c r="A2259" s="14" t="s">
        <v>17</v>
      </c>
      <c r="B2259" s="8">
        <v>2024</v>
      </c>
      <c r="C2259" s="8" t="s">
        <v>24</v>
      </c>
      <c r="D2259" s="9" t="s">
        <v>185</v>
      </c>
      <c r="E2259" s="9" t="s">
        <v>115</v>
      </c>
      <c r="F2259" s="9" t="s">
        <v>434</v>
      </c>
      <c r="G2259" s="8"/>
      <c r="H2259" s="8"/>
      <c r="I2259" s="9" t="s">
        <v>78</v>
      </c>
      <c r="J2259" s="9" t="s">
        <v>11</v>
      </c>
      <c r="K2259" s="9" t="s">
        <v>82</v>
      </c>
      <c r="L2259" s="9" t="s">
        <v>171</v>
      </c>
      <c r="M2259" s="9" t="s">
        <v>78</v>
      </c>
      <c r="N2259" s="9" t="s">
        <v>861</v>
      </c>
      <c r="O2259" s="9" t="s">
        <v>1221</v>
      </c>
      <c r="P2259" s="9" t="s">
        <v>1224</v>
      </c>
      <c r="Q2259" s="11">
        <v>45</v>
      </c>
      <c r="R2259" s="11"/>
      <c r="S2259" s="177">
        <v>38</v>
      </c>
      <c r="T2259" s="9"/>
      <c r="U2259" s="14" t="s">
        <v>77</v>
      </c>
      <c r="V2259" s="9"/>
      <c r="W2259" s="12">
        <v>30</v>
      </c>
      <c r="X2259" s="13"/>
      <c r="Y2259" s="13"/>
      <c r="Z2259" s="13"/>
      <c r="AA2259" s="13"/>
      <c r="AB2259" s="13"/>
      <c r="AC2259" s="13"/>
      <c r="AD2259" s="13"/>
      <c r="AE2259" s="13">
        <f t="shared" si="227"/>
        <v>0.13500000000000001</v>
      </c>
      <c r="AF2259" s="13"/>
      <c r="AG2259" s="13"/>
      <c r="AH2259" s="13"/>
      <c r="AI2259" s="13"/>
      <c r="AJ2259" s="13">
        <f t="shared" si="225"/>
        <v>0.13500000000000001</v>
      </c>
      <c r="AK2259" s="12"/>
      <c r="AL2259" s="13"/>
      <c r="AM2259" s="9"/>
      <c r="AN2259" s="9"/>
      <c r="AO2259" s="9"/>
      <c r="AP2259" s="14"/>
    </row>
    <row r="2260" spans="1:42" s="45" customFormat="1" ht="22" customHeight="1">
      <c r="A2260" s="14" t="s">
        <v>17</v>
      </c>
      <c r="B2260" s="8">
        <v>2024</v>
      </c>
      <c r="C2260" s="8" t="s">
        <v>24</v>
      </c>
      <c r="D2260" s="9" t="s">
        <v>185</v>
      </c>
      <c r="E2260" s="9" t="s">
        <v>115</v>
      </c>
      <c r="F2260" s="9" t="s">
        <v>434</v>
      </c>
      <c r="G2260" s="8"/>
      <c r="H2260" s="8"/>
      <c r="I2260" s="9" t="s">
        <v>78</v>
      </c>
      <c r="J2260" s="9" t="s">
        <v>11</v>
      </c>
      <c r="K2260" s="9" t="s">
        <v>82</v>
      </c>
      <c r="L2260" s="9" t="s">
        <v>171</v>
      </c>
      <c r="M2260" s="9" t="s">
        <v>78</v>
      </c>
      <c r="N2260" s="9" t="s">
        <v>861</v>
      </c>
      <c r="O2260" s="9" t="s">
        <v>1221</v>
      </c>
      <c r="P2260" s="9" t="s">
        <v>1225</v>
      </c>
      <c r="Q2260" s="11">
        <v>37</v>
      </c>
      <c r="R2260" s="11"/>
      <c r="S2260" s="177">
        <v>50</v>
      </c>
      <c r="T2260" s="9"/>
      <c r="U2260" s="14" t="s">
        <v>77</v>
      </c>
      <c r="V2260" s="9"/>
      <c r="W2260" s="12">
        <v>30</v>
      </c>
      <c r="X2260" s="13"/>
      <c r="Y2260" s="13"/>
      <c r="Z2260" s="13"/>
      <c r="AA2260" s="13"/>
      <c r="AB2260" s="13"/>
      <c r="AC2260" s="13"/>
      <c r="AD2260" s="13"/>
      <c r="AE2260" s="13">
        <f t="shared" si="227"/>
        <v>0.111</v>
      </c>
      <c r="AF2260" s="13"/>
      <c r="AG2260" s="13"/>
      <c r="AH2260" s="13"/>
      <c r="AI2260" s="13"/>
      <c r="AJ2260" s="13">
        <f t="shared" si="225"/>
        <v>0.111</v>
      </c>
      <c r="AK2260" s="12"/>
      <c r="AL2260" s="13"/>
      <c r="AM2260" s="9"/>
      <c r="AN2260" s="9"/>
      <c r="AO2260" s="9"/>
      <c r="AP2260" s="14"/>
    </row>
    <row r="2261" spans="1:42" s="45" customFormat="1" ht="22" customHeight="1">
      <c r="A2261" s="14" t="s">
        <v>17</v>
      </c>
      <c r="B2261" s="8">
        <v>2024</v>
      </c>
      <c r="C2261" s="8" t="s">
        <v>24</v>
      </c>
      <c r="D2261" s="9" t="s">
        <v>185</v>
      </c>
      <c r="E2261" s="9" t="s">
        <v>115</v>
      </c>
      <c r="F2261" s="9" t="s">
        <v>434</v>
      </c>
      <c r="G2261" s="8"/>
      <c r="H2261" s="8"/>
      <c r="I2261" s="9" t="s">
        <v>78</v>
      </c>
      <c r="J2261" s="9" t="s">
        <v>11</v>
      </c>
      <c r="K2261" s="9" t="s">
        <v>82</v>
      </c>
      <c r="L2261" s="9" t="s">
        <v>171</v>
      </c>
      <c r="M2261" s="9" t="s">
        <v>78</v>
      </c>
      <c r="N2261" s="9" t="s">
        <v>861</v>
      </c>
      <c r="O2261" s="9" t="s">
        <v>1221</v>
      </c>
      <c r="P2261" s="9" t="s">
        <v>1226</v>
      </c>
      <c r="Q2261" s="11">
        <v>20</v>
      </c>
      <c r="R2261" s="11"/>
      <c r="S2261" s="177">
        <v>51</v>
      </c>
      <c r="T2261" s="9"/>
      <c r="U2261" s="14" t="s">
        <v>77</v>
      </c>
      <c r="V2261" s="9"/>
      <c r="W2261" s="12">
        <v>30</v>
      </c>
      <c r="X2261" s="13"/>
      <c r="Y2261" s="13"/>
      <c r="Z2261" s="13"/>
      <c r="AA2261" s="13"/>
      <c r="AB2261" s="13"/>
      <c r="AC2261" s="13"/>
      <c r="AD2261" s="13"/>
      <c r="AE2261" s="13">
        <f t="shared" si="227"/>
        <v>0.06</v>
      </c>
      <c r="AF2261" s="13"/>
      <c r="AG2261" s="13"/>
      <c r="AH2261" s="13"/>
      <c r="AI2261" s="13"/>
      <c r="AJ2261" s="13">
        <f t="shared" si="225"/>
        <v>0.06</v>
      </c>
      <c r="AK2261" s="12"/>
      <c r="AL2261" s="13"/>
      <c r="AM2261" s="9"/>
      <c r="AN2261" s="9"/>
      <c r="AO2261" s="9"/>
      <c r="AP2261" s="14"/>
    </row>
    <row r="2262" spans="1:42" s="45" customFormat="1" ht="22" customHeight="1">
      <c r="A2262" s="14" t="s">
        <v>17</v>
      </c>
      <c r="B2262" s="8">
        <v>2024</v>
      </c>
      <c r="C2262" s="8" t="s">
        <v>24</v>
      </c>
      <c r="D2262" s="9" t="s">
        <v>185</v>
      </c>
      <c r="E2262" s="9" t="s">
        <v>115</v>
      </c>
      <c r="F2262" s="9" t="s">
        <v>434</v>
      </c>
      <c r="G2262" s="8"/>
      <c r="H2262" s="8"/>
      <c r="I2262" s="9" t="s">
        <v>78</v>
      </c>
      <c r="J2262" s="9" t="s">
        <v>11</v>
      </c>
      <c r="K2262" s="9" t="s">
        <v>82</v>
      </c>
      <c r="L2262" s="9" t="s">
        <v>171</v>
      </c>
      <c r="M2262" s="9" t="s">
        <v>78</v>
      </c>
      <c r="N2262" s="9" t="s">
        <v>861</v>
      </c>
      <c r="O2262" s="9" t="s">
        <v>1221</v>
      </c>
      <c r="P2262" s="9" t="s">
        <v>1227</v>
      </c>
      <c r="Q2262" s="11">
        <v>33</v>
      </c>
      <c r="R2262" s="11"/>
      <c r="S2262" s="177">
        <v>54</v>
      </c>
      <c r="T2262" s="9"/>
      <c r="U2262" s="14" t="s">
        <v>77</v>
      </c>
      <c r="V2262" s="9"/>
      <c r="W2262" s="12">
        <v>30</v>
      </c>
      <c r="X2262" s="13"/>
      <c r="Y2262" s="13"/>
      <c r="Z2262" s="13"/>
      <c r="AA2262" s="13"/>
      <c r="AB2262" s="13"/>
      <c r="AC2262" s="13"/>
      <c r="AD2262" s="13"/>
      <c r="AE2262" s="13">
        <f t="shared" si="227"/>
        <v>9.9000000000000005E-2</v>
      </c>
      <c r="AF2262" s="13"/>
      <c r="AG2262" s="13"/>
      <c r="AH2262" s="13"/>
      <c r="AI2262" s="13"/>
      <c r="AJ2262" s="13">
        <f t="shared" si="225"/>
        <v>9.9000000000000005E-2</v>
      </c>
      <c r="AK2262" s="12"/>
      <c r="AL2262" s="13"/>
      <c r="AM2262" s="9"/>
      <c r="AN2262" s="9"/>
      <c r="AO2262" s="9"/>
      <c r="AP2262" s="14"/>
    </row>
    <row r="2263" spans="1:42" s="45" customFormat="1" ht="22" customHeight="1">
      <c r="A2263" s="14" t="s">
        <v>17</v>
      </c>
      <c r="B2263" s="8">
        <v>2024</v>
      </c>
      <c r="C2263" s="8" t="s">
        <v>24</v>
      </c>
      <c r="D2263" s="9" t="s">
        <v>185</v>
      </c>
      <c r="E2263" s="9" t="s">
        <v>115</v>
      </c>
      <c r="F2263" s="9" t="s">
        <v>434</v>
      </c>
      <c r="G2263" s="8"/>
      <c r="H2263" s="8"/>
      <c r="I2263" s="9" t="s">
        <v>78</v>
      </c>
      <c r="J2263" s="9" t="s">
        <v>11</v>
      </c>
      <c r="K2263" s="9" t="s">
        <v>82</v>
      </c>
      <c r="L2263" s="9" t="s">
        <v>171</v>
      </c>
      <c r="M2263" s="9" t="s">
        <v>78</v>
      </c>
      <c r="N2263" s="9" t="s">
        <v>861</v>
      </c>
      <c r="O2263" s="9" t="s">
        <v>1221</v>
      </c>
      <c r="P2263" s="9" t="s">
        <v>1228</v>
      </c>
      <c r="Q2263" s="11">
        <v>69</v>
      </c>
      <c r="R2263" s="11"/>
      <c r="S2263" s="177">
        <v>68</v>
      </c>
      <c r="T2263" s="9"/>
      <c r="U2263" s="14" t="s">
        <v>77</v>
      </c>
      <c r="V2263" s="9"/>
      <c r="W2263" s="12">
        <v>30</v>
      </c>
      <c r="X2263" s="13"/>
      <c r="Y2263" s="13"/>
      <c r="Z2263" s="13"/>
      <c r="AA2263" s="13"/>
      <c r="AB2263" s="13"/>
      <c r="AC2263" s="13"/>
      <c r="AD2263" s="13"/>
      <c r="AE2263" s="13">
        <f t="shared" si="227"/>
        <v>0.20699999999999999</v>
      </c>
      <c r="AF2263" s="13"/>
      <c r="AG2263" s="13"/>
      <c r="AH2263" s="13"/>
      <c r="AI2263" s="13"/>
      <c r="AJ2263" s="13">
        <f t="shared" si="225"/>
        <v>0.20699999999999999</v>
      </c>
      <c r="AK2263" s="12"/>
      <c r="AL2263" s="13"/>
      <c r="AM2263" s="9"/>
      <c r="AN2263" s="9"/>
      <c r="AO2263" s="9"/>
      <c r="AP2263" s="14"/>
    </row>
    <row r="2264" spans="1:42" s="45" customFormat="1" ht="22" customHeight="1">
      <c r="A2264" s="14" t="s">
        <v>17</v>
      </c>
      <c r="B2264" s="8">
        <v>2024</v>
      </c>
      <c r="C2264" s="8" t="s">
        <v>24</v>
      </c>
      <c r="D2264" s="9" t="s">
        <v>185</v>
      </c>
      <c r="E2264" s="9" t="s">
        <v>115</v>
      </c>
      <c r="F2264" s="9" t="s">
        <v>434</v>
      </c>
      <c r="G2264" s="8"/>
      <c r="H2264" s="8"/>
      <c r="I2264" s="9" t="s">
        <v>78</v>
      </c>
      <c r="J2264" s="9" t="s">
        <v>11</v>
      </c>
      <c r="K2264" s="9" t="s">
        <v>82</v>
      </c>
      <c r="L2264" s="9" t="s">
        <v>171</v>
      </c>
      <c r="M2264" s="9" t="s">
        <v>78</v>
      </c>
      <c r="N2264" s="9" t="s">
        <v>861</v>
      </c>
      <c r="O2264" s="9" t="s">
        <v>1229</v>
      </c>
      <c r="P2264" s="9" t="s">
        <v>226</v>
      </c>
      <c r="Q2264" s="11">
        <v>69</v>
      </c>
      <c r="R2264" s="11"/>
      <c r="S2264" s="177">
        <v>59</v>
      </c>
      <c r="T2264" s="9"/>
      <c r="U2264" s="14" t="s">
        <v>77</v>
      </c>
      <c r="V2264" s="9"/>
      <c r="W2264" s="12">
        <v>30</v>
      </c>
      <c r="X2264" s="13"/>
      <c r="Y2264" s="13"/>
      <c r="Z2264" s="13"/>
      <c r="AA2264" s="13"/>
      <c r="AB2264" s="13"/>
      <c r="AC2264" s="13"/>
      <c r="AD2264" s="13"/>
      <c r="AE2264" s="13">
        <f t="shared" si="227"/>
        <v>0.20699999999999999</v>
      </c>
      <c r="AF2264" s="13"/>
      <c r="AG2264" s="13"/>
      <c r="AH2264" s="13"/>
      <c r="AI2264" s="13"/>
      <c r="AJ2264" s="13">
        <f t="shared" si="225"/>
        <v>0.20699999999999999</v>
      </c>
      <c r="AK2264" s="12"/>
      <c r="AL2264" s="13"/>
      <c r="AM2264" s="9"/>
      <c r="AN2264" s="9"/>
      <c r="AO2264" s="9"/>
      <c r="AP2264" s="14"/>
    </row>
    <row r="2265" spans="1:42" s="45" customFormat="1" ht="22" customHeight="1">
      <c r="A2265" s="14" t="s">
        <v>17</v>
      </c>
      <c r="B2265" s="8">
        <v>2024</v>
      </c>
      <c r="C2265" s="8" t="s">
        <v>24</v>
      </c>
      <c r="D2265" s="9" t="s">
        <v>185</v>
      </c>
      <c r="E2265" s="9" t="s">
        <v>115</v>
      </c>
      <c r="F2265" s="9" t="s">
        <v>434</v>
      </c>
      <c r="G2265" s="8"/>
      <c r="H2265" s="8"/>
      <c r="I2265" s="9" t="s">
        <v>78</v>
      </c>
      <c r="J2265" s="9" t="s">
        <v>11</v>
      </c>
      <c r="K2265" s="9" t="s">
        <v>82</v>
      </c>
      <c r="L2265" s="9" t="s">
        <v>171</v>
      </c>
      <c r="M2265" s="9" t="s">
        <v>78</v>
      </c>
      <c r="N2265" s="9" t="s">
        <v>861</v>
      </c>
      <c r="O2265" s="9" t="s">
        <v>1229</v>
      </c>
      <c r="P2265" s="9" t="s">
        <v>1230</v>
      </c>
      <c r="Q2265" s="11">
        <v>35</v>
      </c>
      <c r="R2265" s="11"/>
      <c r="S2265" s="177">
        <v>43</v>
      </c>
      <c r="T2265" s="9"/>
      <c r="U2265" s="14" t="s">
        <v>77</v>
      </c>
      <c r="V2265" s="9"/>
      <c r="W2265" s="12">
        <v>30</v>
      </c>
      <c r="X2265" s="13"/>
      <c r="Y2265" s="13"/>
      <c r="Z2265" s="13"/>
      <c r="AA2265" s="13"/>
      <c r="AB2265" s="13"/>
      <c r="AC2265" s="13"/>
      <c r="AD2265" s="13"/>
      <c r="AE2265" s="13">
        <f t="shared" si="227"/>
        <v>0.105</v>
      </c>
      <c r="AF2265" s="13"/>
      <c r="AG2265" s="13"/>
      <c r="AH2265" s="13"/>
      <c r="AI2265" s="13"/>
      <c r="AJ2265" s="13">
        <f t="shared" si="225"/>
        <v>0.105</v>
      </c>
      <c r="AK2265" s="12"/>
      <c r="AL2265" s="13"/>
      <c r="AM2265" s="9"/>
      <c r="AN2265" s="9"/>
      <c r="AO2265" s="9"/>
      <c r="AP2265" s="14"/>
    </row>
    <row r="2266" spans="1:42" s="45" customFormat="1" ht="22" customHeight="1">
      <c r="A2266" s="14" t="s">
        <v>17</v>
      </c>
      <c r="B2266" s="8">
        <v>2024</v>
      </c>
      <c r="C2266" s="8" t="s">
        <v>24</v>
      </c>
      <c r="D2266" s="9" t="s">
        <v>185</v>
      </c>
      <c r="E2266" s="9" t="s">
        <v>115</v>
      </c>
      <c r="F2266" s="9" t="s">
        <v>434</v>
      </c>
      <c r="G2266" s="8"/>
      <c r="H2266" s="8"/>
      <c r="I2266" s="9" t="s">
        <v>78</v>
      </c>
      <c r="J2266" s="9" t="s">
        <v>11</v>
      </c>
      <c r="K2266" s="9" t="s">
        <v>82</v>
      </c>
      <c r="L2266" s="9" t="s">
        <v>171</v>
      </c>
      <c r="M2266" s="9" t="s">
        <v>78</v>
      </c>
      <c r="N2266" s="9" t="s">
        <v>861</v>
      </c>
      <c r="O2266" s="9" t="s">
        <v>1231</v>
      </c>
      <c r="P2266" s="9" t="s">
        <v>1232</v>
      </c>
      <c r="Q2266" s="11">
        <v>37</v>
      </c>
      <c r="R2266" s="11"/>
      <c r="S2266" s="177">
        <v>29</v>
      </c>
      <c r="T2266" s="9"/>
      <c r="U2266" s="14" t="s">
        <v>77</v>
      </c>
      <c r="V2266" s="9"/>
      <c r="W2266" s="12">
        <v>30</v>
      </c>
      <c r="X2266" s="13"/>
      <c r="Y2266" s="13"/>
      <c r="Z2266" s="13"/>
      <c r="AA2266" s="13"/>
      <c r="AB2266" s="13"/>
      <c r="AC2266" s="13"/>
      <c r="AD2266" s="13"/>
      <c r="AE2266" s="13">
        <f t="shared" si="227"/>
        <v>0.111</v>
      </c>
      <c r="AF2266" s="13"/>
      <c r="AG2266" s="13"/>
      <c r="AH2266" s="13"/>
      <c r="AI2266" s="13"/>
      <c r="AJ2266" s="13">
        <f t="shared" si="225"/>
        <v>0.111</v>
      </c>
      <c r="AK2266" s="12"/>
      <c r="AL2266" s="13"/>
      <c r="AM2266" s="9"/>
      <c r="AN2266" s="9"/>
      <c r="AO2266" s="9"/>
      <c r="AP2266" s="14"/>
    </row>
    <row r="2267" spans="1:42" s="45" customFormat="1" ht="22" customHeight="1">
      <c r="A2267" s="14" t="s">
        <v>17</v>
      </c>
      <c r="B2267" s="8">
        <v>2024</v>
      </c>
      <c r="C2267" s="8" t="s">
        <v>24</v>
      </c>
      <c r="D2267" s="9" t="s">
        <v>185</v>
      </c>
      <c r="E2267" s="9" t="s">
        <v>115</v>
      </c>
      <c r="F2267" s="9" t="s">
        <v>434</v>
      </c>
      <c r="G2267" s="8"/>
      <c r="H2267" s="8"/>
      <c r="I2267" s="9" t="s">
        <v>78</v>
      </c>
      <c r="J2267" s="9" t="s">
        <v>11</v>
      </c>
      <c r="K2267" s="9" t="s">
        <v>82</v>
      </c>
      <c r="L2267" s="9" t="s">
        <v>171</v>
      </c>
      <c r="M2267" s="9" t="s">
        <v>78</v>
      </c>
      <c r="N2267" s="9" t="s">
        <v>861</v>
      </c>
      <c r="O2267" s="9" t="s">
        <v>1231</v>
      </c>
      <c r="P2267" s="9" t="s">
        <v>1233</v>
      </c>
      <c r="Q2267" s="11">
        <v>68</v>
      </c>
      <c r="R2267" s="11"/>
      <c r="S2267" s="177">
        <v>88</v>
      </c>
      <c r="T2267" s="9"/>
      <c r="U2267" s="14" t="s">
        <v>77</v>
      </c>
      <c r="V2267" s="9"/>
      <c r="W2267" s="12">
        <v>30</v>
      </c>
      <c r="X2267" s="13"/>
      <c r="Y2267" s="13"/>
      <c r="Z2267" s="13"/>
      <c r="AA2267" s="13"/>
      <c r="AB2267" s="13"/>
      <c r="AC2267" s="13"/>
      <c r="AD2267" s="13"/>
      <c r="AE2267" s="13">
        <f t="shared" si="227"/>
        <v>0.20399999999999999</v>
      </c>
      <c r="AF2267" s="13"/>
      <c r="AG2267" s="13"/>
      <c r="AH2267" s="13"/>
      <c r="AI2267" s="13"/>
      <c r="AJ2267" s="13">
        <f t="shared" si="225"/>
        <v>0.20399999999999999</v>
      </c>
      <c r="AK2267" s="12"/>
      <c r="AL2267" s="13"/>
      <c r="AM2267" s="9"/>
      <c r="AN2267" s="9"/>
      <c r="AO2267" s="9"/>
      <c r="AP2267" s="14"/>
    </row>
    <row r="2268" spans="1:42" s="45" customFormat="1" ht="22" customHeight="1">
      <c r="A2268" s="14" t="s">
        <v>17</v>
      </c>
      <c r="B2268" s="8">
        <v>2024</v>
      </c>
      <c r="C2268" s="8" t="s">
        <v>24</v>
      </c>
      <c r="D2268" s="9" t="s">
        <v>185</v>
      </c>
      <c r="E2268" s="9" t="s">
        <v>115</v>
      </c>
      <c r="F2268" s="9" t="s">
        <v>434</v>
      </c>
      <c r="G2268" s="8"/>
      <c r="H2268" s="8"/>
      <c r="I2268" s="9" t="s">
        <v>78</v>
      </c>
      <c r="J2268" s="9" t="s">
        <v>11</v>
      </c>
      <c r="K2268" s="9" t="s">
        <v>82</v>
      </c>
      <c r="L2268" s="9" t="s">
        <v>171</v>
      </c>
      <c r="M2268" s="9" t="s">
        <v>78</v>
      </c>
      <c r="N2268" s="9" t="s">
        <v>861</v>
      </c>
      <c r="O2268" s="9" t="s">
        <v>1231</v>
      </c>
      <c r="P2268" s="9" t="s">
        <v>568</v>
      </c>
      <c r="Q2268" s="11">
        <v>28</v>
      </c>
      <c r="R2268" s="11"/>
      <c r="S2268" s="177">
        <v>43</v>
      </c>
      <c r="T2268" s="9"/>
      <c r="U2268" s="14" t="s">
        <v>77</v>
      </c>
      <c r="V2268" s="9"/>
      <c r="W2268" s="12">
        <v>30</v>
      </c>
      <c r="X2268" s="13"/>
      <c r="Y2268" s="13"/>
      <c r="Z2268" s="13"/>
      <c r="AA2268" s="13"/>
      <c r="AB2268" s="13"/>
      <c r="AC2268" s="13"/>
      <c r="AD2268" s="13"/>
      <c r="AE2268" s="13">
        <f t="shared" si="227"/>
        <v>8.4000000000000005E-2</v>
      </c>
      <c r="AF2268" s="13"/>
      <c r="AG2268" s="13"/>
      <c r="AH2268" s="13"/>
      <c r="AI2268" s="13"/>
      <c r="AJ2268" s="13">
        <f t="shared" si="225"/>
        <v>8.4000000000000005E-2</v>
      </c>
      <c r="AK2268" s="12"/>
      <c r="AL2268" s="13"/>
      <c r="AM2268" s="9"/>
      <c r="AN2268" s="9"/>
      <c r="AO2268" s="9"/>
      <c r="AP2268" s="14"/>
    </row>
    <row r="2269" spans="1:42" s="45" customFormat="1" ht="22" customHeight="1">
      <c r="A2269" s="14" t="s">
        <v>17</v>
      </c>
      <c r="B2269" s="8">
        <v>2024</v>
      </c>
      <c r="C2269" s="8" t="s">
        <v>24</v>
      </c>
      <c r="D2269" s="9" t="s">
        <v>185</v>
      </c>
      <c r="E2269" s="9" t="s">
        <v>115</v>
      </c>
      <c r="F2269" s="9" t="s">
        <v>434</v>
      </c>
      <c r="G2269" s="8"/>
      <c r="H2269" s="8"/>
      <c r="I2269" s="9" t="s">
        <v>78</v>
      </c>
      <c r="J2269" s="9" t="s">
        <v>11</v>
      </c>
      <c r="K2269" s="9" t="s">
        <v>82</v>
      </c>
      <c r="L2269" s="9" t="s">
        <v>171</v>
      </c>
      <c r="M2269" s="9" t="s">
        <v>78</v>
      </c>
      <c r="N2269" s="9" t="s">
        <v>861</v>
      </c>
      <c r="O2269" s="9" t="s">
        <v>1231</v>
      </c>
      <c r="P2269" s="9" t="s">
        <v>1234</v>
      </c>
      <c r="Q2269" s="11">
        <v>34</v>
      </c>
      <c r="R2269" s="11"/>
      <c r="S2269" s="177">
        <v>54</v>
      </c>
      <c r="T2269" s="9"/>
      <c r="U2269" s="14" t="s">
        <v>77</v>
      </c>
      <c r="V2269" s="9"/>
      <c r="W2269" s="12">
        <v>30</v>
      </c>
      <c r="X2269" s="13"/>
      <c r="Y2269" s="13"/>
      <c r="Z2269" s="13"/>
      <c r="AA2269" s="13"/>
      <c r="AB2269" s="13"/>
      <c r="AC2269" s="13"/>
      <c r="AD2269" s="13"/>
      <c r="AE2269" s="13">
        <f t="shared" si="227"/>
        <v>0.10199999999999999</v>
      </c>
      <c r="AF2269" s="13"/>
      <c r="AG2269" s="13"/>
      <c r="AH2269" s="13"/>
      <c r="AI2269" s="13"/>
      <c r="AJ2269" s="13">
        <f t="shared" si="225"/>
        <v>0.10199999999999999</v>
      </c>
      <c r="AK2269" s="12"/>
      <c r="AL2269" s="13"/>
      <c r="AM2269" s="9"/>
      <c r="AN2269" s="9"/>
      <c r="AO2269" s="9"/>
      <c r="AP2269" s="14"/>
    </row>
    <row r="2270" spans="1:42" s="45" customFormat="1" ht="22" customHeight="1">
      <c r="A2270" s="14" t="s">
        <v>17</v>
      </c>
      <c r="B2270" s="8">
        <v>2024</v>
      </c>
      <c r="C2270" s="8" t="s">
        <v>24</v>
      </c>
      <c r="D2270" s="9" t="s">
        <v>185</v>
      </c>
      <c r="E2270" s="9" t="s">
        <v>115</v>
      </c>
      <c r="F2270" s="9" t="s">
        <v>434</v>
      </c>
      <c r="G2270" s="8"/>
      <c r="H2270" s="8"/>
      <c r="I2270" s="9" t="s">
        <v>78</v>
      </c>
      <c r="J2270" s="9" t="s">
        <v>11</v>
      </c>
      <c r="K2270" s="9" t="s">
        <v>82</v>
      </c>
      <c r="L2270" s="9" t="s">
        <v>171</v>
      </c>
      <c r="M2270" s="9" t="s">
        <v>78</v>
      </c>
      <c r="N2270" s="9" t="s">
        <v>861</v>
      </c>
      <c r="O2270" s="9" t="s">
        <v>1231</v>
      </c>
      <c r="P2270" s="9" t="s">
        <v>503</v>
      </c>
      <c r="Q2270" s="11">
        <v>52</v>
      </c>
      <c r="R2270" s="11"/>
      <c r="S2270" s="177">
        <v>51</v>
      </c>
      <c r="T2270" s="9"/>
      <c r="U2270" s="14" t="s">
        <v>77</v>
      </c>
      <c r="V2270" s="9"/>
      <c r="W2270" s="12">
        <v>30</v>
      </c>
      <c r="X2270" s="13"/>
      <c r="Y2270" s="13"/>
      <c r="Z2270" s="13"/>
      <c r="AA2270" s="13"/>
      <c r="AB2270" s="13"/>
      <c r="AC2270" s="13"/>
      <c r="AD2270" s="13"/>
      <c r="AE2270" s="13">
        <f t="shared" si="227"/>
        <v>0.156</v>
      </c>
      <c r="AF2270" s="13"/>
      <c r="AG2270" s="13"/>
      <c r="AH2270" s="13"/>
      <c r="AI2270" s="13"/>
      <c r="AJ2270" s="13">
        <f t="shared" si="225"/>
        <v>0.156</v>
      </c>
      <c r="AK2270" s="12"/>
      <c r="AL2270" s="13"/>
      <c r="AM2270" s="9"/>
      <c r="AN2270" s="9"/>
      <c r="AO2270" s="9"/>
      <c r="AP2270" s="14"/>
    </row>
    <row r="2271" spans="1:42" s="45" customFormat="1" ht="22" customHeight="1">
      <c r="A2271" s="14" t="s">
        <v>17</v>
      </c>
      <c r="B2271" s="8">
        <v>2024</v>
      </c>
      <c r="C2271" s="8" t="s">
        <v>24</v>
      </c>
      <c r="D2271" s="9" t="s">
        <v>185</v>
      </c>
      <c r="E2271" s="9" t="s">
        <v>115</v>
      </c>
      <c r="F2271" s="9" t="s">
        <v>434</v>
      </c>
      <c r="G2271" s="8"/>
      <c r="H2271" s="8"/>
      <c r="I2271" s="9" t="s">
        <v>78</v>
      </c>
      <c r="J2271" s="9" t="s">
        <v>11</v>
      </c>
      <c r="K2271" s="9" t="s">
        <v>82</v>
      </c>
      <c r="L2271" s="9" t="s">
        <v>171</v>
      </c>
      <c r="M2271" s="9" t="s">
        <v>78</v>
      </c>
      <c r="N2271" s="9" t="s">
        <v>861</v>
      </c>
      <c r="O2271" s="9" t="s">
        <v>1231</v>
      </c>
      <c r="P2271" s="9" t="s">
        <v>1235</v>
      </c>
      <c r="Q2271" s="11">
        <v>45</v>
      </c>
      <c r="R2271" s="11"/>
      <c r="S2271" s="177">
        <v>50</v>
      </c>
      <c r="T2271" s="9"/>
      <c r="U2271" s="14" t="s">
        <v>77</v>
      </c>
      <c r="V2271" s="9"/>
      <c r="W2271" s="12">
        <v>30</v>
      </c>
      <c r="X2271" s="13"/>
      <c r="Y2271" s="13"/>
      <c r="Z2271" s="13"/>
      <c r="AA2271" s="13"/>
      <c r="AB2271" s="13"/>
      <c r="AC2271" s="13"/>
      <c r="AD2271" s="13"/>
      <c r="AE2271" s="13">
        <f t="shared" si="227"/>
        <v>0.13500000000000001</v>
      </c>
      <c r="AF2271" s="13"/>
      <c r="AG2271" s="13"/>
      <c r="AH2271" s="13"/>
      <c r="AI2271" s="13"/>
      <c r="AJ2271" s="13">
        <f t="shared" si="225"/>
        <v>0.13500000000000001</v>
      </c>
      <c r="AK2271" s="12"/>
      <c r="AL2271" s="13"/>
      <c r="AM2271" s="9"/>
      <c r="AN2271" s="9"/>
      <c r="AO2271" s="9"/>
      <c r="AP2271" s="14"/>
    </row>
    <row r="2272" spans="1:42" s="45" customFormat="1" ht="22" customHeight="1">
      <c r="A2272" s="14" t="s">
        <v>17</v>
      </c>
      <c r="B2272" s="8">
        <v>2024</v>
      </c>
      <c r="C2272" s="8" t="s">
        <v>24</v>
      </c>
      <c r="D2272" s="9" t="s">
        <v>185</v>
      </c>
      <c r="E2272" s="9" t="s">
        <v>115</v>
      </c>
      <c r="F2272" s="9" t="s">
        <v>434</v>
      </c>
      <c r="G2272" s="8"/>
      <c r="H2272" s="8"/>
      <c r="I2272" s="9" t="s">
        <v>78</v>
      </c>
      <c r="J2272" s="9" t="s">
        <v>11</v>
      </c>
      <c r="K2272" s="9" t="s">
        <v>82</v>
      </c>
      <c r="L2272" s="9" t="s">
        <v>171</v>
      </c>
      <c r="M2272" s="9" t="s">
        <v>78</v>
      </c>
      <c r="N2272" s="9" t="s">
        <v>861</v>
      </c>
      <c r="O2272" s="9" t="s">
        <v>1231</v>
      </c>
      <c r="P2272" s="9" t="s">
        <v>1236</v>
      </c>
      <c r="Q2272" s="11">
        <v>83</v>
      </c>
      <c r="R2272" s="11"/>
      <c r="S2272" s="177">
        <v>104</v>
      </c>
      <c r="T2272" s="9"/>
      <c r="U2272" s="14" t="s">
        <v>77</v>
      </c>
      <c r="V2272" s="9"/>
      <c r="W2272" s="12">
        <v>30</v>
      </c>
      <c r="X2272" s="13"/>
      <c r="Y2272" s="13"/>
      <c r="Z2272" s="13"/>
      <c r="AA2272" s="13"/>
      <c r="AB2272" s="13"/>
      <c r="AC2272" s="13"/>
      <c r="AD2272" s="13"/>
      <c r="AE2272" s="13">
        <f t="shared" si="227"/>
        <v>0.249</v>
      </c>
      <c r="AF2272" s="13"/>
      <c r="AG2272" s="13"/>
      <c r="AH2272" s="13"/>
      <c r="AI2272" s="13"/>
      <c r="AJ2272" s="13">
        <f t="shared" si="225"/>
        <v>0.249</v>
      </c>
      <c r="AK2272" s="12"/>
      <c r="AL2272" s="13"/>
      <c r="AM2272" s="9"/>
      <c r="AN2272" s="9"/>
      <c r="AO2272" s="9"/>
      <c r="AP2272" s="14"/>
    </row>
    <row r="2273" spans="1:42" s="45" customFormat="1" ht="22" customHeight="1">
      <c r="A2273" s="14" t="s">
        <v>17</v>
      </c>
      <c r="B2273" s="8">
        <v>2024</v>
      </c>
      <c r="C2273" s="8" t="s">
        <v>24</v>
      </c>
      <c r="D2273" s="9" t="s">
        <v>185</v>
      </c>
      <c r="E2273" s="9" t="s">
        <v>115</v>
      </c>
      <c r="F2273" s="9" t="s">
        <v>434</v>
      </c>
      <c r="G2273" s="8"/>
      <c r="H2273" s="8"/>
      <c r="I2273" s="9" t="s">
        <v>78</v>
      </c>
      <c r="J2273" s="9" t="s">
        <v>11</v>
      </c>
      <c r="K2273" s="9" t="s">
        <v>82</v>
      </c>
      <c r="L2273" s="9" t="s">
        <v>171</v>
      </c>
      <c r="M2273" s="9" t="s">
        <v>78</v>
      </c>
      <c r="N2273" s="9" t="s">
        <v>861</v>
      </c>
      <c r="O2273" s="9" t="s">
        <v>1231</v>
      </c>
      <c r="P2273" s="9" t="s">
        <v>1237</v>
      </c>
      <c r="Q2273" s="11">
        <v>42</v>
      </c>
      <c r="R2273" s="11"/>
      <c r="S2273" s="177">
        <v>42</v>
      </c>
      <c r="T2273" s="9"/>
      <c r="U2273" s="14" t="s">
        <v>77</v>
      </c>
      <c r="V2273" s="9"/>
      <c r="W2273" s="12">
        <v>30</v>
      </c>
      <c r="X2273" s="13"/>
      <c r="Y2273" s="13"/>
      <c r="Z2273" s="13"/>
      <c r="AA2273" s="13"/>
      <c r="AB2273" s="13"/>
      <c r="AC2273" s="13"/>
      <c r="AD2273" s="13"/>
      <c r="AE2273" s="13">
        <f t="shared" si="227"/>
        <v>0.126</v>
      </c>
      <c r="AF2273" s="13"/>
      <c r="AG2273" s="13"/>
      <c r="AH2273" s="13"/>
      <c r="AI2273" s="13"/>
      <c r="AJ2273" s="13">
        <f t="shared" si="225"/>
        <v>0.126</v>
      </c>
      <c r="AK2273" s="12"/>
      <c r="AL2273" s="13"/>
      <c r="AM2273" s="9"/>
      <c r="AN2273" s="9"/>
      <c r="AO2273" s="9"/>
      <c r="AP2273" s="14"/>
    </row>
    <row r="2274" spans="1:42" s="45" customFormat="1" ht="22" customHeight="1">
      <c r="A2274" s="14" t="s">
        <v>17</v>
      </c>
      <c r="B2274" s="8">
        <v>2024</v>
      </c>
      <c r="C2274" s="8" t="s">
        <v>24</v>
      </c>
      <c r="D2274" s="9" t="s">
        <v>185</v>
      </c>
      <c r="E2274" s="9" t="s">
        <v>115</v>
      </c>
      <c r="F2274" s="9" t="s">
        <v>434</v>
      </c>
      <c r="G2274" s="8"/>
      <c r="H2274" s="8"/>
      <c r="I2274" s="9" t="s">
        <v>78</v>
      </c>
      <c r="J2274" s="9" t="s">
        <v>11</v>
      </c>
      <c r="K2274" s="9" t="s">
        <v>82</v>
      </c>
      <c r="L2274" s="9" t="s">
        <v>171</v>
      </c>
      <c r="M2274" s="9" t="s">
        <v>78</v>
      </c>
      <c r="N2274" s="9" t="s">
        <v>861</v>
      </c>
      <c r="O2274" s="9" t="s">
        <v>1231</v>
      </c>
      <c r="P2274" s="9" t="s">
        <v>1238</v>
      </c>
      <c r="Q2274" s="11">
        <v>48</v>
      </c>
      <c r="R2274" s="11"/>
      <c r="S2274" s="177">
        <v>48</v>
      </c>
      <c r="T2274" s="9"/>
      <c r="U2274" s="14" t="s">
        <v>77</v>
      </c>
      <c r="V2274" s="9"/>
      <c r="W2274" s="12">
        <v>30</v>
      </c>
      <c r="X2274" s="13"/>
      <c r="Y2274" s="13"/>
      <c r="Z2274" s="13"/>
      <c r="AA2274" s="13"/>
      <c r="AB2274" s="13"/>
      <c r="AC2274" s="13"/>
      <c r="AD2274" s="13"/>
      <c r="AE2274" s="13">
        <f t="shared" si="227"/>
        <v>0.14399999999999999</v>
      </c>
      <c r="AF2274" s="13"/>
      <c r="AG2274" s="13"/>
      <c r="AH2274" s="13"/>
      <c r="AI2274" s="13"/>
      <c r="AJ2274" s="13">
        <f t="shared" si="225"/>
        <v>0.14399999999999999</v>
      </c>
      <c r="AK2274" s="12"/>
      <c r="AL2274" s="13"/>
      <c r="AM2274" s="9"/>
      <c r="AN2274" s="9"/>
      <c r="AO2274" s="9"/>
      <c r="AP2274" s="14"/>
    </row>
    <row r="2275" spans="1:42" s="45" customFormat="1" ht="22" customHeight="1">
      <c r="A2275" s="14" t="s">
        <v>17</v>
      </c>
      <c r="B2275" s="8">
        <v>2024</v>
      </c>
      <c r="C2275" s="8" t="s">
        <v>24</v>
      </c>
      <c r="D2275" s="9" t="s">
        <v>185</v>
      </c>
      <c r="E2275" s="9" t="s">
        <v>115</v>
      </c>
      <c r="F2275" s="9" t="s">
        <v>434</v>
      </c>
      <c r="G2275" s="8"/>
      <c r="H2275" s="8"/>
      <c r="I2275" s="9" t="s">
        <v>78</v>
      </c>
      <c r="J2275" s="9" t="s">
        <v>11</v>
      </c>
      <c r="K2275" s="9" t="s">
        <v>82</v>
      </c>
      <c r="L2275" s="9" t="s">
        <v>171</v>
      </c>
      <c r="M2275" s="9" t="s">
        <v>78</v>
      </c>
      <c r="N2275" s="9" t="s">
        <v>861</v>
      </c>
      <c r="O2275" s="9" t="s">
        <v>1231</v>
      </c>
      <c r="P2275" s="9" t="s">
        <v>1239</v>
      </c>
      <c r="Q2275" s="11">
        <v>39</v>
      </c>
      <c r="R2275" s="11"/>
      <c r="S2275" s="177">
        <v>29</v>
      </c>
      <c r="T2275" s="9"/>
      <c r="U2275" s="14" t="s">
        <v>77</v>
      </c>
      <c r="V2275" s="9"/>
      <c r="W2275" s="12">
        <v>30</v>
      </c>
      <c r="X2275" s="13"/>
      <c r="Y2275" s="13"/>
      <c r="Z2275" s="13"/>
      <c r="AA2275" s="13"/>
      <c r="AB2275" s="13"/>
      <c r="AC2275" s="13"/>
      <c r="AD2275" s="13"/>
      <c r="AE2275" s="13">
        <f t="shared" si="227"/>
        <v>0.11700000000000001</v>
      </c>
      <c r="AF2275" s="13"/>
      <c r="AG2275" s="13"/>
      <c r="AH2275" s="13"/>
      <c r="AI2275" s="13"/>
      <c r="AJ2275" s="13">
        <f t="shared" si="225"/>
        <v>0.11700000000000001</v>
      </c>
      <c r="AK2275" s="12"/>
      <c r="AL2275" s="13"/>
      <c r="AM2275" s="9"/>
      <c r="AN2275" s="9"/>
      <c r="AO2275" s="9"/>
      <c r="AP2275" s="14"/>
    </row>
    <row r="2276" spans="1:42" s="45" customFormat="1" ht="22" customHeight="1">
      <c r="A2276" s="14" t="s">
        <v>17</v>
      </c>
      <c r="B2276" s="8">
        <v>2024</v>
      </c>
      <c r="C2276" s="8" t="s">
        <v>24</v>
      </c>
      <c r="D2276" s="9" t="s">
        <v>185</v>
      </c>
      <c r="E2276" s="9" t="s">
        <v>115</v>
      </c>
      <c r="F2276" s="9" t="s">
        <v>434</v>
      </c>
      <c r="G2276" s="8"/>
      <c r="H2276" s="8"/>
      <c r="I2276" s="9" t="s">
        <v>78</v>
      </c>
      <c r="J2276" s="9" t="s">
        <v>11</v>
      </c>
      <c r="K2276" s="9" t="s">
        <v>82</v>
      </c>
      <c r="L2276" s="9" t="s">
        <v>171</v>
      </c>
      <c r="M2276" s="9" t="s">
        <v>78</v>
      </c>
      <c r="N2276" s="9" t="s">
        <v>861</v>
      </c>
      <c r="O2276" s="9" t="s">
        <v>1240</v>
      </c>
      <c r="P2276" s="9" t="s">
        <v>1241</v>
      </c>
      <c r="Q2276" s="11">
        <v>53</v>
      </c>
      <c r="R2276" s="11"/>
      <c r="S2276" s="177">
        <v>36</v>
      </c>
      <c r="T2276" s="9"/>
      <c r="U2276" s="14" t="s">
        <v>77</v>
      </c>
      <c r="V2276" s="9"/>
      <c r="W2276" s="12">
        <v>30</v>
      </c>
      <c r="X2276" s="13"/>
      <c r="Y2276" s="13"/>
      <c r="Z2276" s="13"/>
      <c r="AA2276" s="13"/>
      <c r="AB2276" s="13"/>
      <c r="AC2276" s="13"/>
      <c r="AD2276" s="13"/>
      <c r="AE2276" s="13">
        <f t="shared" si="227"/>
        <v>0.159</v>
      </c>
      <c r="AF2276" s="13"/>
      <c r="AG2276" s="13"/>
      <c r="AH2276" s="13"/>
      <c r="AI2276" s="13"/>
      <c r="AJ2276" s="13">
        <f t="shared" si="225"/>
        <v>0.159</v>
      </c>
      <c r="AK2276" s="12"/>
      <c r="AL2276" s="13"/>
      <c r="AM2276" s="9"/>
      <c r="AN2276" s="9"/>
      <c r="AO2276" s="9"/>
      <c r="AP2276" s="14"/>
    </row>
    <row r="2277" spans="1:42" s="45" customFormat="1" ht="22" customHeight="1">
      <c r="A2277" s="14" t="s">
        <v>17</v>
      </c>
      <c r="B2277" s="8">
        <v>2024</v>
      </c>
      <c r="C2277" s="8" t="s">
        <v>24</v>
      </c>
      <c r="D2277" s="9" t="s">
        <v>185</v>
      </c>
      <c r="E2277" s="9" t="s">
        <v>115</v>
      </c>
      <c r="F2277" s="9" t="s">
        <v>434</v>
      </c>
      <c r="G2277" s="8"/>
      <c r="H2277" s="8"/>
      <c r="I2277" s="9" t="s">
        <v>78</v>
      </c>
      <c r="J2277" s="9" t="s">
        <v>11</v>
      </c>
      <c r="K2277" s="9" t="s">
        <v>82</v>
      </c>
      <c r="L2277" s="9" t="s">
        <v>171</v>
      </c>
      <c r="M2277" s="9" t="s">
        <v>78</v>
      </c>
      <c r="N2277" s="9" t="s">
        <v>861</v>
      </c>
      <c r="O2277" s="9" t="s">
        <v>1240</v>
      </c>
      <c r="P2277" s="9" t="s">
        <v>545</v>
      </c>
      <c r="Q2277" s="11">
        <v>34</v>
      </c>
      <c r="R2277" s="11"/>
      <c r="S2277" s="177">
        <v>37</v>
      </c>
      <c r="T2277" s="9"/>
      <c r="U2277" s="14" t="s">
        <v>77</v>
      </c>
      <c r="V2277" s="9"/>
      <c r="W2277" s="12">
        <v>30</v>
      </c>
      <c r="X2277" s="13"/>
      <c r="Y2277" s="13"/>
      <c r="Z2277" s="13"/>
      <c r="AA2277" s="13"/>
      <c r="AB2277" s="13"/>
      <c r="AC2277" s="13"/>
      <c r="AD2277" s="13"/>
      <c r="AE2277" s="13">
        <f t="shared" si="227"/>
        <v>0.10199999999999999</v>
      </c>
      <c r="AF2277" s="13"/>
      <c r="AG2277" s="13"/>
      <c r="AH2277" s="13"/>
      <c r="AI2277" s="13"/>
      <c r="AJ2277" s="13">
        <f t="shared" si="225"/>
        <v>0.10199999999999999</v>
      </c>
      <c r="AK2277" s="12"/>
      <c r="AL2277" s="13"/>
      <c r="AM2277" s="9"/>
      <c r="AN2277" s="9"/>
      <c r="AO2277" s="9"/>
      <c r="AP2277" s="14"/>
    </row>
    <row r="2278" spans="1:42" s="45" customFormat="1" ht="22" customHeight="1">
      <c r="A2278" s="14" t="s">
        <v>17</v>
      </c>
      <c r="B2278" s="8">
        <v>2024</v>
      </c>
      <c r="C2278" s="8" t="s">
        <v>24</v>
      </c>
      <c r="D2278" s="9" t="s">
        <v>185</v>
      </c>
      <c r="E2278" s="9" t="s">
        <v>115</v>
      </c>
      <c r="F2278" s="9" t="s">
        <v>434</v>
      </c>
      <c r="G2278" s="8"/>
      <c r="H2278" s="8"/>
      <c r="I2278" s="9" t="s">
        <v>78</v>
      </c>
      <c r="J2278" s="9" t="s">
        <v>11</v>
      </c>
      <c r="K2278" s="9" t="s">
        <v>82</v>
      </c>
      <c r="L2278" s="9" t="s">
        <v>171</v>
      </c>
      <c r="M2278" s="9" t="s">
        <v>78</v>
      </c>
      <c r="N2278" s="9" t="s">
        <v>861</v>
      </c>
      <c r="O2278" s="9" t="s">
        <v>1240</v>
      </c>
      <c r="P2278" s="9" t="s">
        <v>1242</v>
      </c>
      <c r="Q2278" s="11">
        <v>50</v>
      </c>
      <c r="R2278" s="11"/>
      <c r="S2278" s="177">
        <v>38</v>
      </c>
      <c r="T2278" s="9"/>
      <c r="U2278" s="14" t="s">
        <v>77</v>
      </c>
      <c r="V2278" s="9"/>
      <c r="W2278" s="12">
        <v>30</v>
      </c>
      <c r="X2278" s="13"/>
      <c r="Y2278" s="13"/>
      <c r="Z2278" s="13"/>
      <c r="AA2278" s="13"/>
      <c r="AB2278" s="13"/>
      <c r="AC2278" s="13"/>
      <c r="AD2278" s="13"/>
      <c r="AE2278" s="13">
        <f t="shared" si="227"/>
        <v>0.15</v>
      </c>
      <c r="AF2278" s="13"/>
      <c r="AG2278" s="13"/>
      <c r="AH2278" s="13"/>
      <c r="AI2278" s="13"/>
      <c r="AJ2278" s="13">
        <f t="shared" si="225"/>
        <v>0.15</v>
      </c>
      <c r="AK2278" s="12"/>
      <c r="AL2278" s="13"/>
      <c r="AM2278" s="9"/>
      <c r="AN2278" s="9"/>
      <c r="AO2278" s="9"/>
      <c r="AP2278" s="14"/>
    </row>
    <row r="2279" spans="1:42" s="45" customFormat="1" ht="22" customHeight="1">
      <c r="A2279" s="14" t="s">
        <v>17</v>
      </c>
      <c r="B2279" s="8">
        <v>2024</v>
      </c>
      <c r="C2279" s="8" t="s">
        <v>24</v>
      </c>
      <c r="D2279" s="9" t="s">
        <v>185</v>
      </c>
      <c r="E2279" s="9" t="s">
        <v>115</v>
      </c>
      <c r="F2279" s="9" t="s">
        <v>434</v>
      </c>
      <c r="G2279" s="8"/>
      <c r="H2279" s="8"/>
      <c r="I2279" s="9" t="s">
        <v>78</v>
      </c>
      <c r="J2279" s="9" t="s">
        <v>11</v>
      </c>
      <c r="K2279" s="9" t="s">
        <v>82</v>
      </c>
      <c r="L2279" s="9" t="s">
        <v>171</v>
      </c>
      <c r="M2279" s="9" t="s">
        <v>78</v>
      </c>
      <c r="N2279" s="9" t="s">
        <v>861</v>
      </c>
      <c r="O2279" s="9" t="s">
        <v>1240</v>
      </c>
      <c r="P2279" s="9" t="s">
        <v>1243</v>
      </c>
      <c r="Q2279" s="11">
        <v>56</v>
      </c>
      <c r="R2279" s="11"/>
      <c r="S2279" s="177">
        <v>46</v>
      </c>
      <c r="T2279" s="9"/>
      <c r="U2279" s="14" t="s">
        <v>77</v>
      </c>
      <c r="V2279" s="9"/>
      <c r="W2279" s="12">
        <v>30</v>
      </c>
      <c r="X2279" s="13"/>
      <c r="Y2279" s="13"/>
      <c r="Z2279" s="13"/>
      <c r="AA2279" s="13"/>
      <c r="AB2279" s="13"/>
      <c r="AC2279" s="13"/>
      <c r="AD2279" s="13"/>
      <c r="AE2279" s="13">
        <f t="shared" si="227"/>
        <v>0.16800000000000001</v>
      </c>
      <c r="AF2279" s="13"/>
      <c r="AG2279" s="13"/>
      <c r="AH2279" s="13"/>
      <c r="AI2279" s="13"/>
      <c r="AJ2279" s="13">
        <f t="shared" si="225"/>
        <v>0.16800000000000001</v>
      </c>
      <c r="AK2279" s="12"/>
      <c r="AL2279" s="13"/>
      <c r="AM2279" s="9"/>
      <c r="AN2279" s="9"/>
      <c r="AO2279" s="9"/>
      <c r="AP2279" s="14"/>
    </row>
    <row r="2280" spans="1:42" s="45" customFormat="1" ht="22" customHeight="1">
      <c r="A2280" s="14" t="s">
        <v>17</v>
      </c>
      <c r="B2280" s="8">
        <v>2024</v>
      </c>
      <c r="C2280" s="8" t="s">
        <v>24</v>
      </c>
      <c r="D2280" s="9" t="s">
        <v>185</v>
      </c>
      <c r="E2280" s="9" t="s">
        <v>115</v>
      </c>
      <c r="F2280" s="9" t="s">
        <v>434</v>
      </c>
      <c r="G2280" s="8"/>
      <c r="H2280" s="8"/>
      <c r="I2280" s="9" t="s">
        <v>78</v>
      </c>
      <c r="J2280" s="9" t="s">
        <v>11</v>
      </c>
      <c r="K2280" s="9" t="s">
        <v>82</v>
      </c>
      <c r="L2280" s="9" t="s">
        <v>171</v>
      </c>
      <c r="M2280" s="9" t="s">
        <v>78</v>
      </c>
      <c r="N2280" s="9" t="s">
        <v>861</v>
      </c>
      <c r="O2280" s="9" t="s">
        <v>1240</v>
      </c>
      <c r="P2280" s="9" t="s">
        <v>1244</v>
      </c>
      <c r="Q2280" s="11">
        <v>48</v>
      </c>
      <c r="R2280" s="11"/>
      <c r="S2280" s="177">
        <v>46</v>
      </c>
      <c r="T2280" s="9"/>
      <c r="U2280" s="14" t="s">
        <v>77</v>
      </c>
      <c r="V2280" s="9"/>
      <c r="W2280" s="12">
        <v>30</v>
      </c>
      <c r="X2280" s="13"/>
      <c r="Y2280" s="13"/>
      <c r="Z2280" s="13"/>
      <c r="AA2280" s="13"/>
      <c r="AB2280" s="13"/>
      <c r="AC2280" s="13"/>
      <c r="AD2280" s="13"/>
      <c r="AE2280" s="13">
        <f t="shared" si="227"/>
        <v>0.14399999999999999</v>
      </c>
      <c r="AF2280" s="13"/>
      <c r="AG2280" s="13"/>
      <c r="AH2280" s="13"/>
      <c r="AI2280" s="13"/>
      <c r="AJ2280" s="13">
        <f t="shared" si="225"/>
        <v>0.14399999999999999</v>
      </c>
      <c r="AK2280" s="12"/>
      <c r="AL2280" s="13"/>
      <c r="AM2280" s="9"/>
      <c r="AN2280" s="9"/>
      <c r="AO2280" s="9"/>
      <c r="AP2280" s="14"/>
    </row>
    <row r="2281" spans="1:42" s="45" customFormat="1" ht="22" customHeight="1">
      <c r="A2281" s="14" t="s">
        <v>17</v>
      </c>
      <c r="B2281" s="8">
        <v>2024</v>
      </c>
      <c r="C2281" s="8" t="s">
        <v>24</v>
      </c>
      <c r="D2281" s="9" t="s">
        <v>185</v>
      </c>
      <c r="E2281" s="9" t="s">
        <v>115</v>
      </c>
      <c r="F2281" s="9" t="s">
        <v>434</v>
      </c>
      <c r="G2281" s="8"/>
      <c r="H2281" s="8"/>
      <c r="I2281" s="9" t="s">
        <v>78</v>
      </c>
      <c r="J2281" s="9" t="s">
        <v>11</v>
      </c>
      <c r="K2281" s="9" t="s">
        <v>82</v>
      </c>
      <c r="L2281" s="9" t="s">
        <v>171</v>
      </c>
      <c r="M2281" s="9" t="s">
        <v>78</v>
      </c>
      <c r="N2281" s="9" t="s">
        <v>861</v>
      </c>
      <c r="O2281" s="9" t="s">
        <v>1240</v>
      </c>
      <c r="P2281" s="9" t="s">
        <v>174</v>
      </c>
      <c r="Q2281" s="11">
        <v>50</v>
      </c>
      <c r="R2281" s="11"/>
      <c r="S2281" s="177">
        <v>42</v>
      </c>
      <c r="T2281" s="9"/>
      <c r="U2281" s="14" t="s">
        <v>77</v>
      </c>
      <c r="V2281" s="9"/>
      <c r="W2281" s="12">
        <v>30</v>
      </c>
      <c r="X2281" s="13"/>
      <c r="Y2281" s="13"/>
      <c r="Z2281" s="13"/>
      <c r="AA2281" s="13"/>
      <c r="AB2281" s="13"/>
      <c r="AC2281" s="13"/>
      <c r="AD2281" s="13"/>
      <c r="AE2281" s="13">
        <f t="shared" si="227"/>
        <v>0.15</v>
      </c>
      <c r="AF2281" s="13"/>
      <c r="AG2281" s="13"/>
      <c r="AH2281" s="13"/>
      <c r="AI2281" s="13"/>
      <c r="AJ2281" s="13">
        <f t="shared" si="225"/>
        <v>0.15</v>
      </c>
      <c r="AK2281" s="12"/>
      <c r="AL2281" s="13"/>
      <c r="AM2281" s="9"/>
      <c r="AN2281" s="9"/>
      <c r="AO2281" s="9"/>
      <c r="AP2281" s="14"/>
    </row>
    <row r="2282" spans="1:42" s="45" customFormat="1" ht="22" customHeight="1">
      <c r="A2282" s="14" t="s">
        <v>17</v>
      </c>
      <c r="B2282" s="8">
        <v>2024</v>
      </c>
      <c r="C2282" s="8" t="s">
        <v>24</v>
      </c>
      <c r="D2282" s="9" t="s">
        <v>185</v>
      </c>
      <c r="E2282" s="9" t="s">
        <v>115</v>
      </c>
      <c r="F2282" s="9" t="s">
        <v>434</v>
      </c>
      <c r="G2282" s="8"/>
      <c r="H2282" s="8"/>
      <c r="I2282" s="9" t="s">
        <v>78</v>
      </c>
      <c r="J2282" s="9" t="s">
        <v>11</v>
      </c>
      <c r="K2282" s="9" t="s">
        <v>82</v>
      </c>
      <c r="L2282" s="9" t="s">
        <v>171</v>
      </c>
      <c r="M2282" s="9" t="s">
        <v>78</v>
      </c>
      <c r="N2282" s="9" t="s">
        <v>861</v>
      </c>
      <c r="O2282" s="9" t="s">
        <v>362</v>
      </c>
      <c r="P2282" s="9" t="s">
        <v>1245</v>
      </c>
      <c r="Q2282" s="11">
        <v>45</v>
      </c>
      <c r="R2282" s="11"/>
      <c r="S2282" s="177">
        <v>74</v>
      </c>
      <c r="T2282" s="9"/>
      <c r="U2282" s="14" t="s">
        <v>77</v>
      </c>
      <c r="V2282" s="9"/>
      <c r="W2282" s="12">
        <v>30</v>
      </c>
      <c r="X2282" s="13"/>
      <c r="Y2282" s="13"/>
      <c r="Z2282" s="13"/>
      <c r="AA2282" s="13"/>
      <c r="AB2282" s="13"/>
      <c r="AC2282" s="13"/>
      <c r="AD2282" s="13"/>
      <c r="AE2282" s="13">
        <f t="shared" si="227"/>
        <v>0.13500000000000001</v>
      </c>
      <c r="AF2282" s="13"/>
      <c r="AG2282" s="13"/>
      <c r="AH2282" s="13"/>
      <c r="AI2282" s="13"/>
      <c r="AJ2282" s="13">
        <f t="shared" si="225"/>
        <v>0.13500000000000001</v>
      </c>
      <c r="AK2282" s="12"/>
      <c r="AL2282" s="13"/>
      <c r="AM2282" s="9"/>
      <c r="AN2282" s="9"/>
      <c r="AO2282" s="9"/>
      <c r="AP2282" s="14"/>
    </row>
    <row r="2283" spans="1:42" s="45" customFormat="1" ht="22" customHeight="1">
      <c r="A2283" s="14" t="s">
        <v>17</v>
      </c>
      <c r="B2283" s="8">
        <v>2024</v>
      </c>
      <c r="C2283" s="8" t="s">
        <v>24</v>
      </c>
      <c r="D2283" s="9" t="s">
        <v>185</v>
      </c>
      <c r="E2283" s="9" t="s">
        <v>115</v>
      </c>
      <c r="F2283" s="9" t="s">
        <v>434</v>
      </c>
      <c r="G2283" s="8"/>
      <c r="H2283" s="8"/>
      <c r="I2283" s="9" t="s">
        <v>78</v>
      </c>
      <c r="J2283" s="9" t="s">
        <v>11</v>
      </c>
      <c r="K2283" s="9" t="s">
        <v>82</v>
      </c>
      <c r="L2283" s="9" t="s">
        <v>171</v>
      </c>
      <c r="M2283" s="9" t="s">
        <v>78</v>
      </c>
      <c r="N2283" s="9" t="s">
        <v>861</v>
      </c>
      <c r="O2283" s="9" t="s">
        <v>362</v>
      </c>
      <c r="P2283" s="9" t="s">
        <v>1246</v>
      </c>
      <c r="Q2283" s="11">
        <v>45</v>
      </c>
      <c r="R2283" s="11"/>
      <c r="S2283" s="177">
        <v>62</v>
      </c>
      <c r="T2283" s="9"/>
      <c r="U2283" s="14" t="s">
        <v>77</v>
      </c>
      <c r="V2283" s="9"/>
      <c r="W2283" s="12">
        <v>30</v>
      </c>
      <c r="X2283" s="13"/>
      <c r="Y2283" s="13"/>
      <c r="Z2283" s="13"/>
      <c r="AA2283" s="13"/>
      <c r="AB2283" s="13"/>
      <c r="AC2283" s="13"/>
      <c r="AD2283" s="13"/>
      <c r="AE2283" s="13">
        <f t="shared" si="227"/>
        <v>0.13500000000000001</v>
      </c>
      <c r="AF2283" s="13"/>
      <c r="AG2283" s="13"/>
      <c r="AH2283" s="13"/>
      <c r="AI2283" s="13"/>
      <c r="AJ2283" s="13">
        <f t="shared" si="225"/>
        <v>0.13500000000000001</v>
      </c>
      <c r="AK2283" s="12"/>
      <c r="AL2283" s="13"/>
      <c r="AM2283" s="9"/>
      <c r="AN2283" s="9"/>
      <c r="AO2283" s="9"/>
      <c r="AP2283" s="14"/>
    </row>
    <row r="2284" spans="1:42" s="45" customFormat="1" ht="22" customHeight="1">
      <c r="A2284" s="14" t="s">
        <v>17</v>
      </c>
      <c r="B2284" s="8">
        <v>2024</v>
      </c>
      <c r="C2284" s="8" t="s">
        <v>24</v>
      </c>
      <c r="D2284" s="9" t="s">
        <v>185</v>
      </c>
      <c r="E2284" s="9" t="s">
        <v>115</v>
      </c>
      <c r="F2284" s="9" t="s">
        <v>434</v>
      </c>
      <c r="G2284" s="8"/>
      <c r="H2284" s="8"/>
      <c r="I2284" s="9" t="s">
        <v>78</v>
      </c>
      <c r="J2284" s="9" t="s">
        <v>11</v>
      </c>
      <c r="K2284" s="9" t="s">
        <v>82</v>
      </c>
      <c r="L2284" s="9" t="s">
        <v>171</v>
      </c>
      <c r="M2284" s="9" t="s">
        <v>78</v>
      </c>
      <c r="N2284" s="9" t="s">
        <v>861</v>
      </c>
      <c r="O2284" s="9" t="s">
        <v>362</v>
      </c>
      <c r="P2284" s="9" t="s">
        <v>28</v>
      </c>
      <c r="Q2284" s="11">
        <v>57</v>
      </c>
      <c r="R2284" s="11"/>
      <c r="S2284" s="177">
        <v>57</v>
      </c>
      <c r="T2284" s="9"/>
      <c r="U2284" s="14" t="s">
        <v>77</v>
      </c>
      <c r="V2284" s="9"/>
      <c r="W2284" s="12">
        <v>30</v>
      </c>
      <c r="X2284" s="13"/>
      <c r="Y2284" s="13"/>
      <c r="Z2284" s="13"/>
      <c r="AA2284" s="13"/>
      <c r="AB2284" s="13"/>
      <c r="AC2284" s="13"/>
      <c r="AD2284" s="13"/>
      <c r="AE2284" s="13">
        <f t="shared" si="227"/>
        <v>0.17100000000000001</v>
      </c>
      <c r="AF2284" s="13"/>
      <c r="AG2284" s="13"/>
      <c r="AH2284" s="13"/>
      <c r="AI2284" s="13"/>
      <c r="AJ2284" s="13">
        <f t="shared" si="225"/>
        <v>0.17100000000000001</v>
      </c>
      <c r="AK2284" s="12"/>
      <c r="AL2284" s="13"/>
      <c r="AM2284" s="9"/>
      <c r="AN2284" s="9"/>
      <c r="AO2284" s="9"/>
      <c r="AP2284" s="14"/>
    </row>
    <row r="2285" spans="1:42" s="45" customFormat="1" ht="22" customHeight="1">
      <c r="A2285" s="14" t="s">
        <v>17</v>
      </c>
      <c r="B2285" s="8">
        <v>2024</v>
      </c>
      <c r="C2285" s="8" t="s">
        <v>24</v>
      </c>
      <c r="D2285" s="9" t="s">
        <v>185</v>
      </c>
      <c r="E2285" s="9" t="s">
        <v>115</v>
      </c>
      <c r="F2285" s="9" t="s">
        <v>434</v>
      </c>
      <c r="G2285" s="8"/>
      <c r="H2285" s="8"/>
      <c r="I2285" s="9" t="s">
        <v>78</v>
      </c>
      <c r="J2285" s="9" t="s">
        <v>11</v>
      </c>
      <c r="K2285" s="9" t="s">
        <v>82</v>
      </c>
      <c r="L2285" s="9" t="s">
        <v>171</v>
      </c>
      <c r="M2285" s="9" t="s">
        <v>78</v>
      </c>
      <c r="N2285" s="9" t="s">
        <v>861</v>
      </c>
      <c r="O2285" s="9" t="s">
        <v>362</v>
      </c>
      <c r="P2285" s="9" t="s">
        <v>1247</v>
      </c>
      <c r="Q2285" s="11">
        <v>35</v>
      </c>
      <c r="R2285" s="11"/>
      <c r="S2285" s="177">
        <v>50</v>
      </c>
      <c r="T2285" s="9"/>
      <c r="U2285" s="14" t="s">
        <v>77</v>
      </c>
      <c r="V2285" s="9"/>
      <c r="W2285" s="12">
        <v>30</v>
      </c>
      <c r="X2285" s="13"/>
      <c r="Y2285" s="13"/>
      <c r="Z2285" s="13"/>
      <c r="AA2285" s="13"/>
      <c r="AB2285" s="13"/>
      <c r="AC2285" s="13"/>
      <c r="AD2285" s="13"/>
      <c r="AE2285" s="13">
        <f t="shared" si="227"/>
        <v>0.105</v>
      </c>
      <c r="AF2285" s="13"/>
      <c r="AG2285" s="13"/>
      <c r="AH2285" s="13"/>
      <c r="AI2285" s="13"/>
      <c r="AJ2285" s="13">
        <f t="shared" si="225"/>
        <v>0.105</v>
      </c>
      <c r="AK2285" s="12"/>
      <c r="AL2285" s="13"/>
      <c r="AM2285" s="9"/>
      <c r="AN2285" s="9"/>
      <c r="AO2285" s="9"/>
      <c r="AP2285" s="14"/>
    </row>
    <row r="2286" spans="1:42" s="45" customFormat="1" ht="22" customHeight="1">
      <c r="A2286" s="14" t="s">
        <v>17</v>
      </c>
      <c r="B2286" s="8">
        <v>2024</v>
      </c>
      <c r="C2286" s="8" t="s">
        <v>24</v>
      </c>
      <c r="D2286" s="9" t="s">
        <v>185</v>
      </c>
      <c r="E2286" s="9" t="s">
        <v>115</v>
      </c>
      <c r="F2286" s="9" t="s">
        <v>434</v>
      </c>
      <c r="G2286" s="8"/>
      <c r="H2286" s="8"/>
      <c r="I2286" s="9" t="s">
        <v>78</v>
      </c>
      <c r="J2286" s="9" t="s">
        <v>11</v>
      </c>
      <c r="K2286" s="9" t="s">
        <v>82</v>
      </c>
      <c r="L2286" s="9" t="s">
        <v>171</v>
      </c>
      <c r="M2286" s="9" t="s">
        <v>78</v>
      </c>
      <c r="N2286" s="9" t="s">
        <v>861</v>
      </c>
      <c r="O2286" s="9" t="s">
        <v>362</v>
      </c>
      <c r="P2286" s="9" t="s">
        <v>1248</v>
      </c>
      <c r="Q2286" s="11">
        <v>31</v>
      </c>
      <c r="R2286" s="11"/>
      <c r="S2286" s="177">
        <v>42</v>
      </c>
      <c r="T2286" s="9"/>
      <c r="U2286" s="14" t="s">
        <v>77</v>
      </c>
      <c r="V2286" s="9"/>
      <c r="W2286" s="12">
        <v>30</v>
      </c>
      <c r="X2286" s="13"/>
      <c r="Y2286" s="13"/>
      <c r="Z2286" s="13"/>
      <c r="AA2286" s="13"/>
      <c r="AB2286" s="13"/>
      <c r="AC2286" s="13"/>
      <c r="AD2286" s="13"/>
      <c r="AE2286" s="13">
        <f t="shared" si="227"/>
        <v>9.2999999999999999E-2</v>
      </c>
      <c r="AF2286" s="13"/>
      <c r="AG2286" s="13"/>
      <c r="AH2286" s="13"/>
      <c r="AI2286" s="13"/>
      <c r="AJ2286" s="13">
        <f t="shared" ref="AJ2286:AJ2349" si="228">SUBTOTAL(9,X2286:AI2286)</f>
        <v>9.2999999999999999E-2</v>
      </c>
      <c r="AK2286" s="12"/>
      <c r="AL2286" s="13"/>
      <c r="AM2286" s="9"/>
      <c r="AN2286" s="9"/>
      <c r="AO2286" s="9"/>
      <c r="AP2286" s="14"/>
    </row>
    <row r="2287" spans="1:42" s="45" customFormat="1" ht="22" customHeight="1">
      <c r="A2287" s="14" t="s">
        <v>17</v>
      </c>
      <c r="B2287" s="8">
        <v>2024</v>
      </c>
      <c r="C2287" s="8" t="s">
        <v>24</v>
      </c>
      <c r="D2287" s="9" t="s">
        <v>185</v>
      </c>
      <c r="E2287" s="9" t="s">
        <v>115</v>
      </c>
      <c r="F2287" s="9" t="s">
        <v>434</v>
      </c>
      <c r="G2287" s="8"/>
      <c r="H2287" s="8"/>
      <c r="I2287" s="9" t="s">
        <v>78</v>
      </c>
      <c r="J2287" s="9" t="s">
        <v>11</v>
      </c>
      <c r="K2287" s="9" t="s">
        <v>82</v>
      </c>
      <c r="L2287" s="9" t="s">
        <v>171</v>
      </c>
      <c r="M2287" s="9" t="s">
        <v>78</v>
      </c>
      <c r="N2287" s="9" t="s">
        <v>861</v>
      </c>
      <c r="O2287" s="9" t="s">
        <v>362</v>
      </c>
      <c r="P2287" s="9" t="s">
        <v>1249</v>
      </c>
      <c r="Q2287" s="11">
        <v>74</v>
      </c>
      <c r="R2287" s="11"/>
      <c r="S2287" s="177">
        <v>56</v>
      </c>
      <c r="T2287" s="9"/>
      <c r="U2287" s="14" t="s">
        <v>77</v>
      </c>
      <c r="V2287" s="9"/>
      <c r="W2287" s="12">
        <v>30</v>
      </c>
      <c r="X2287" s="13"/>
      <c r="Y2287" s="13"/>
      <c r="Z2287" s="13"/>
      <c r="AA2287" s="13"/>
      <c r="AB2287" s="13"/>
      <c r="AC2287" s="13"/>
      <c r="AD2287" s="13"/>
      <c r="AE2287" s="13">
        <f t="shared" si="227"/>
        <v>0.222</v>
      </c>
      <c r="AF2287" s="13"/>
      <c r="AG2287" s="13"/>
      <c r="AH2287" s="13"/>
      <c r="AI2287" s="13"/>
      <c r="AJ2287" s="13">
        <f t="shared" si="228"/>
        <v>0.222</v>
      </c>
      <c r="AK2287" s="12"/>
      <c r="AL2287" s="13"/>
      <c r="AM2287" s="9"/>
      <c r="AN2287" s="9"/>
      <c r="AO2287" s="9"/>
      <c r="AP2287" s="14"/>
    </row>
    <row r="2288" spans="1:42" s="45" customFormat="1" ht="22" customHeight="1">
      <c r="A2288" s="14" t="s">
        <v>17</v>
      </c>
      <c r="B2288" s="8">
        <v>2024</v>
      </c>
      <c r="C2288" s="8" t="s">
        <v>24</v>
      </c>
      <c r="D2288" s="9" t="s">
        <v>185</v>
      </c>
      <c r="E2288" s="9" t="s">
        <v>115</v>
      </c>
      <c r="F2288" s="9" t="s">
        <v>434</v>
      </c>
      <c r="G2288" s="8"/>
      <c r="H2288" s="8"/>
      <c r="I2288" s="9" t="s">
        <v>78</v>
      </c>
      <c r="J2288" s="9" t="s">
        <v>11</v>
      </c>
      <c r="K2288" s="9" t="s">
        <v>82</v>
      </c>
      <c r="L2288" s="9" t="s">
        <v>171</v>
      </c>
      <c r="M2288" s="9" t="s">
        <v>78</v>
      </c>
      <c r="N2288" s="9" t="s">
        <v>861</v>
      </c>
      <c r="O2288" s="9" t="s">
        <v>362</v>
      </c>
      <c r="P2288" s="9" t="s">
        <v>382</v>
      </c>
      <c r="Q2288" s="11">
        <v>43</v>
      </c>
      <c r="R2288" s="11"/>
      <c r="S2288" s="177">
        <v>68</v>
      </c>
      <c r="T2288" s="9"/>
      <c r="U2288" s="14" t="s">
        <v>77</v>
      </c>
      <c r="V2288" s="9"/>
      <c r="W2288" s="12">
        <v>30</v>
      </c>
      <c r="X2288" s="13"/>
      <c r="Y2288" s="13"/>
      <c r="Z2288" s="13"/>
      <c r="AA2288" s="13"/>
      <c r="AB2288" s="13"/>
      <c r="AC2288" s="13"/>
      <c r="AD2288" s="13"/>
      <c r="AE2288" s="13">
        <f t="shared" si="227"/>
        <v>0.129</v>
      </c>
      <c r="AF2288" s="13"/>
      <c r="AG2288" s="13"/>
      <c r="AH2288" s="13"/>
      <c r="AI2288" s="13"/>
      <c r="AJ2288" s="13">
        <f t="shared" si="228"/>
        <v>0.129</v>
      </c>
      <c r="AK2288" s="12"/>
      <c r="AL2288" s="13"/>
      <c r="AM2288" s="9"/>
      <c r="AN2288" s="9"/>
      <c r="AO2288" s="9"/>
      <c r="AP2288" s="14"/>
    </row>
    <row r="2289" spans="1:42" s="45" customFormat="1" ht="22" customHeight="1">
      <c r="A2289" s="14" t="s">
        <v>17</v>
      </c>
      <c r="B2289" s="8">
        <v>2024</v>
      </c>
      <c r="C2289" s="8" t="s">
        <v>24</v>
      </c>
      <c r="D2289" s="9" t="s">
        <v>185</v>
      </c>
      <c r="E2289" s="9" t="s">
        <v>115</v>
      </c>
      <c r="F2289" s="9" t="s">
        <v>434</v>
      </c>
      <c r="G2289" s="8"/>
      <c r="H2289" s="8"/>
      <c r="I2289" s="9" t="s">
        <v>78</v>
      </c>
      <c r="J2289" s="9" t="s">
        <v>11</v>
      </c>
      <c r="K2289" s="9" t="s">
        <v>82</v>
      </c>
      <c r="L2289" s="9" t="s">
        <v>171</v>
      </c>
      <c r="M2289" s="9" t="s">
        <v>78</v>
      </c>
      <c r="N2289" s="9" t="s">
        <v>861</v>
      </c>
      <c r="O2289" s="9" t="s">
        <v>362</v>
      </c>
      <c r="P2289" s="9" t="s">
        <v>383</v>
      </c>
      <c r="Q2289" s="11">
        <v>46</v>
      </c>
      <c r="R2289" s="11"/>
      <c r="S2289" s="177">
        <v>51</v>
      </c>
      <c r="T2289" s="9"/>
      <c r="U2289" s="14" t="s">
        <v>77</v>
      </c>
      <c r="V2289" s="9"/>
      <c r="W2289" s="12">
        <v>30</v>
      </c>
      <c r="X2289" s="13"/>
      <c r="Y2289" s="13"/>
      <c r="Z2289" s="13"/>
      <c r="AA2289" s="13"/>
      <c r="AB2289" s="13"/>
      <c r="AC2289" s="13"/>
      <c r="AD2289" s="13"/>
      <c r="AE2289" s="13">
        <f t="shared" si="227"/>
        <v>0.13800000000000001</v>
      </c>
      <c r="AF2289" s="13"/>
      <c r="AG2289" s="13"/>
      <c r="AH2289" s="13"/>
      <c r="AI2289" s="13"/>
      <c r="AJ2289" s="13">
        <f t="shared" si="228"/>
        <v>0.13800000000000001</v>
      </c>
      <c r="AK2289" s="12"/>
      <c r="AL2289" s="13"/>
      <c r="AM2289" s="9"/>
      <c r="AN2289" s="9"/>
      <c r="AO2289" s="9"/>
      <c r="AP2289" s="14"/>
    </row>
    <row r="2290" spans="1:42" s="45" customFormat="1" ht="22" customHeight="1">
      <c r="A2290" s="14" t="s">
        <v>17</v>
      </c>
      <c r="B2290" s="8">
        <v>2024</v>
      </c>
      <c r="C2290" s="8" t="s">
        <v>24</v>
      </c>
      <c r="D2290" s="9" t="s">
        <v>185</v>
      </c>
      <c r="E2290" s="9" t="s">
        <v>115</v>
      </c>
      <c r="F2290" s="9" t="s">
        <v>434</v>
      </c>
      <c r="G2290" s="8"/>
      <c r="H2290" s="8"/>
      <c r="I2290" s="9" t="s">
        <v>78</v>
      </c>
      <c r="J2290" s="9" t="s">
        <v>11</v>
      </c>
      <c r="K2290" s="9" t="s">
        <v>82</v>
      </c>
      <c r="L2290" s="9" t="s">
        <v>171</v>
      </c>
      <c r="M2290" s="9" t="s">
        <v>78</v>
      </c>
      <c r="N2290" s="9" t="s">
        <v>861</v>
      </c>
      <c r="O2290" s="9" t="s">
        <v>362</v>
      </c>
      <c r="P2290" s="9" t="s">
        <v>1250</v>
      </c>
      <c r="Q2290" s="11">
        <v>46</v>
      </c>
      <c r="R2290" s="11"/>
      <c r="S2290" s="177">
        <v>63</v>
      </c>
      <c r="T2290" s="9"/>
      <c r="U2290" s="14" t="s">
        <v>77</v>
      </c>
      <c r="V2290" s="9"/>
      <c r="W2290" s="12">
        <v>30</v>
      </c>
      <c r="X2290" s="13"/>
      <c r="Y2290" s="13"/>
      <c r="Z2290" s="13"/>
      <c r="AA2290" s="13"/>
      <c r="AB2290" s="13"/>
      <c r="AC2290" s="13"/>
      <c r="AD2290" s="13"/>
      <c r="AE2290" s="13">
        <f t="shared" si="227"/>
        <v>0.13800000000000001</v>
      </c>
      <c r="AF2290" s="13"/>
      <c r="AG2290" s="13"/>
      <c r="AH2290" s="13"/>
      <c r="AI2290" s="13"/>
      <c r="AJ2290" s="13">
        <f t="shared" si="228"/>
        <v>0.13800000000000001</v>
      </c>
      <c r="AK2290" s="12"/>
      <c r="AL2290" s="13"/>
      <c r="AM2290" s="9"/>
      <c r="AN2290" s="9"/>
      <c r="AO2290" s="9"/>
      <c r="AP2290" s="14"/>
    </row>
    <row r="2291" spans="1:42" s="45" customFormat="1" ht="22" customHeight="1">
      <c r="A2291" s="14" t="s">
        <v>17</v>
      </c>
      <c r="B2291" s="8">
        <v>2024</v>
      </c>
      <c r="C2291" s="8" t="s">
        <v>24</v>
      </c>
      <c r="D2291" s="9" t="s">
        <v>185</v>
      </c>
      <c r="E2291" s="9" t="s">
        <v>115</v>
      </c>
      <c r="F2291" s="9" t="s">
        <v>434</v>
      </c>
      <c r="G2291" s="8"/>
      <c r="H2291" s="8"/>
      <c r="I2291" s="9" t="s">
        <v>78</v>
      </c>
      <c r="J2291" s="9" t="s">
        <v>11</v>
      </c>
      <c r="K2291" s="9" t="s">
        <v>82</v>
      </c>
      <c r="L2291" s="9" t="s">
        <v>171</v>
      </c>
      <c r="M2291" s="9" t="s">
        <v>78</v>
      </c>
      <c r="N2291" s="9" t="s">
        <v>861</v>
      </c>
      <c r="O2291" s="9" t="s">
        <v>309</v>
      </c>
      <c r="P2291" s="9" t="s">
        <v>1251</v>
      </c>
      <c r="Q2291" s="11">
        <v>37</v>
      </c>
      <c r="R2291" s="11"/>
      <c r="S2291" s="177">
        <v>20</v>
      </c>
      <c r="T2291" s="9"/>
      <c r="U2291" s="14" t="s">
        <v>77</v>
      </c>
      <c r="V2291" s="9"/>
      <c r="W2291" s="12">
        <v>30</v>
      </c>
      <c r="X2291" s="13"/>
      <c r="Y2291" s="13"/>
      <c r="Z2291" s="13"/>
      <c r="AA2291" s="13"/>
      <c r="AB2291" s="13"/>
      <c r="AC2291" s="13"/>
      <c r="AD2291" s="13"/>
      <c r="AE2291" s="13">
        <f t="shared" si="227"/>
        <v>0.111</v>
      </c>
      <c r="AF2291" s="13"/>
      <c r="AG2291" s="13"/>
      <c r="AH2291" s="13"/>
      <c r="AI2291" s="13"/>
      <c r="AJ2291" s="13">
        <f t="shared" si="228"/>
        <v>0.111</v>
      </c>
      <c r="AK2291" s="12"/>
      <c r="AL2291" s="13"/>
      <c r="AM2291" s="9"/>
      <c r="AN2291" s="9"/>
      <c r="AO2291" s="9"/>
      <c r="AP2291" s="14"/>
    </row>
    <row r="2292" spans="1:42" s="45" customFormat="1" ht="22" customHeight="1">
      <c r="A2292" s="14" t="s">
        <v>17</v>
      </c>
      <c r="B2292" s="8">
        <v>2024</v>
      </c>
      <c r="C2292" s="8" t="s">
        <v>24</v>
      </c>
      <c r="D2292" s="9" t="s">
        <v>185</v>
      </c>
      <c r="E2292" s="9" t="s">
        <v>115</v>
      </c>
      <c r="F2292" s="9" t="s">
        <v>434</v>
      </c>
      <c r="G2292" s="8"/>
      <c r="H2292" s="8"/>
      <c r="I2292" s="9" t="s">
        <v>78</v>
      </c>
      <c r="J2292" s="9" t="s">
        <v>11</v>
      </c>
      <c r="K2292" s="9" t="s">
        <v>82</v>
      </c>
      <c r="L2292" s="9" t="s">
        <v>171</v>
      </c>
      <c r="M2292" s="9" t="s">
        <v>78</v>
      </c>
      <c r="N2292" s="9" t="s">
        <v>861</v>
      </c>
      <c r="O2292" s="9" t="s">
        <v>309</v>
      </c>
      <c r="P2292" s="9" t="s">
        <v>391</v>
      </c>
      <c r="Q2292" s="11">
        <v>16</v>
      </c>
      <c r="R2292" s="11"/>
      <c r="S2292" s="177">
        <v>41</v>
      </c>
      <c r="T2292" s="9"/>
      <c r="U2292" s="14" t="s">
        <v>77</v>
      </c>
      <c r="V2292" s="9"/>
      <c r="W2292" s="12">
        <v>30</v>
      </c>
      <c r="X2292" s="13"/>
      <c r="Y2292" s="13"/>
      <c r="Z2292" s="13"/>
      <c r="AA2292" s="13"/>
      <c r="AB2292" s="13"/>
      <c r="AC2292" s="13"/>
      <c r="AD2292" s="13"/>
      <c r="AE2292" s="13">
        <f t="shared" si="227"/>
        <v>4.8000000000000001E-2</v>
      </c>
      <c r="AF2292" s="13"/>
      <c r="AG2292" s="13"/>
      <c r="AH2292" s="13"/>
      <c r="AI2292" s="13"/>
      <c r="AJ2292" s="13">
        <f t="shared" si="228"/>
        <v>4.8000000000000001E-2</v>
      </c>
      <c r="AK2292" s="12"/>
      <c r="AL2292" s="13"/>
      <c r="AM2292" s="9"/>
      <c r="AN2292" s="9"/>
      <c r="AO2292" s="9"/>
      <c r="AP2292" s="14"/>
    </row>
    <row r="2293" spans="1:42" s="45" customFormat="1" ht="22" customHeight="1">
      <c r="A2293" s="14" t="s">
        <v>17</v>
      </c>
      <c r="B2293" s="8">
        <v>2024</v>
      </c>
      <c r="C2293" s="8" t="s">
        <v>24</v>
      </c>
      <c r="D2293" s="9" t="s">
        <v>185</v>
      </c>
      <c r="E2293" s="9" t="s">
        <v>115</v>
      </c>
      <c r="F2293" s="9" t="s">
        <v>434</v>
      </c>
      <c r="G2293" s="8"/>
      <c r="H2293" s="8"/>
      <c r="I2293" s="9" t="s">
        <v>78</v>
      </c>
      <c r="J2293" s="9" t="s">
        <v>11</v>
      </c>
      <c r="K2293" s="9" t="s">
        <v>82</v>
      </c>
      <c r="L2293" s="9" t="s">
        <v>171</v>
      </c>
      <c r="M2293" s="9" t="s">
        <v>78</v>
      </c>
      <c r="N2293" s="9" t="s">
        <v>861</v>
      </c>
      <c r="O2293" s="9" t="s">
        <v>309</v>
      </c>
      <c r="P2293" s="9" t="s">
        <v>1252</v>
      </c>
      <c r="Q2293" s="11">
        <v>35</v>
      </c>
      <c r="R2293" s="11"/>
      <c r="S2293" s="177">
        <v>45</v>
      </c>
      <c r="T2293" s="9"/>
      <c r="U2293" s="14" t="s">
        <v>77</v>
      </c>
      <c r="V2293" s="9"/>
      <c r="W2293" s="12">
        <v>30</v>
      </c>
      <c r="X2293" s="13"/>
      <c r="Y2293" s="13"/>
      <c r="Z2293" s="13"/>
      <c r="AA2293" s="13"/>
      <c r="AB2293" s="13"/>
      <c r="AC2293" s="13"/>
      <c r="AD2293" s="13"/>
      <c r="AE2293" s="13">
        <f t="shared" si="227"/>
        <v>0.105</v>
      </c>
      <c r="AF2293" s="13"/>
      <c r="AG2293" s="13"/>
      <c r="AH2293" s="13"/>
      <c r="AI2293" s="13"/>
      <c r="AJ2293" s="13">
        <f t="shared" si="228"/>
        <v>0.105</v>
      </c>
      <c r="AK2293" s="12"/>
      <c r="AL2293" s="13"/>
      <c r="AM2293" s="9"/>
      <c r="AN2293" s="9"/>
      <c r="AO2293" s="9"/>
      <c r="AP2293" s="14"/>
    </row>
    <row r="2294" spans="1:42" s="45" customFormat="1" ht="22" customHeight="1">
      <c r="A2294" s="14" t="s">
        <v>17</v>
      </c>
      <c r="B2294" s="8">
        <v>2024</v>
      </c>
      <c r="C2294" s="8" t="s">
        <v>24</v>
      </c>
      <c r="D2294" s="9" t="s">
        <v>185</v>
      </c>
      <c r="E2294" s="9" t="s">
        <v>115</v>
      </c>
      <c r="F2294" s="9" t="s">
        <v>434</v>
      </c>
      <c r="G2294" s="8"/>
      <c r="H2294" s="8"/>
      <c r="I2294" s="9" t="s">
        <v>78</v>
      </c>
      <c r="J2294" s="9" t="s">
        <v>11</v>
      </c>
      <c r="K2294" s="9" t="s">
        <v>82</v>
      </c>
      <c r="L2294" s="9" t="s">
        <v>171</v>
      </c>
      <c r="M2294" s="9" t="s">
        <v>78</v>
      </c>
      <c r="N2294" s="9" t="s">
        <v>861</v>
      </c>
      <c r="O2294" s="9" t="s">
        <v>309</v>
      </c>
      <c r="P2294" s="9" t="s">
        <v>1253</v>
      </c>
      <c r="Q2294" s="11">
        <v>33</v>
      </c>
      <c r="R2294" s="11"/>
      <c r="S2294" s="177">
        <v>24</v>
      </c>
      <c r="T2294" s="9"/>
      <c r="U2294" s="14" t="s">
        <v>77</v>
      </c>
      <c r="V2294" s="9"/>
      <c r="W2294" s="12">
        <v>30</v>
      </c>
      <c r="X2294" s="13"/>
      <c r="Y2294" s="13"/>
      <c r="Z2294" s="13"/>
      <c r="AA2294" s="13"/>
      <c r="AB2294" s="13"/>
      <c r="AC2294" s="13"/>
      <c r="AD2294" s="13"/>
      <c r="AE2294" s="13">
        <f t="shared" si="227"/>
        <v>9.9000000000000005E-2</v>
      </c>
      <c r="AF2294" s="13"/>
      <c r="AG2294" s="13"/>
      <c r="AH2294" s="13"/>
      <c r="AI2294" s="13"/>
      <c r="AJ2294" s="13">
        <f t="shared" si="228"/>
        <v>9.9000000000000005E-2</v>
      </c>
      <c r="AK2294" s="12"/>
      <c r="AL2294" s="13"/>
      <c r="AM2294" s="9"/>
      <c r="AN2294" s="9"/>
      <c r="AO2294" s="9"/>
      <c r="AP2294" s="14"/>
    </row>
    <row r="2295" spans="1:42" s="45" customFormat="1" ht="22" customHeight="1">
      <c r="A2295" s="14" t="s">
        <v>17</v>
      </c>
      <c r="B2295" s="8">
        <v>2024</v>
      </c>
      <c r="C2295" s="8" t="s">
        <v>24</v>
      </c>
      <c r="D2295" s="9" t="s">
        <v>185</v>
      </c>
      <c r="E2295" s="9" t="s">
        <v>115</v>
      </c>
      <c r="F2295" s="9" t="s">
        <v>434</v>
      </c>
      <c r="G2295" s="8"/>
      <c r="H2295" s="8"/>
      <c r="I2295" s="9" t="s">
        <v>78</v>
      </c>
      <c r="J2295" s="9" t="s">
        <v>11</v>
      </c>
      <c r="K2295" s="9" t="s">
        <v>82</v>
      </c>
      <c r="L2295" s="9" t="s">
        <v>171</v>
      </c>
      <c r="M2295" s="9" t="s">
        <v>78</v>
      </c>
      <c r="N2295" s="9" t="s">
        <v>861</v>
      </c>
      <c r="O2295" s="9" t="s">
        <v>309</v>
      </c>
      <c r="P2295" s="9" t="s">
        <v>392</v>
      </c>
      <c r="Q2295" s="11">
        <v>14</v>
      </c>
      <c r="R2295" s="11"/>
      <c r="S2295" s="177">
        <v>27</v>
      </c>
      <c r="T2295" s="9"/>
      <c r="U2295" s="14" t="s">
        <v>77</v>
      </c>
      <c r="V2295" s="9"/>
      <c r="W2295" s="12">
        <v>30</v>
      </c>
      <c r="X2295" s="13"/>
      <c r="Y2295" s="13"/>
      <c r="Z2295" s="13"/>
      <c r="AA2295" s="13"/>
      <c r="AB2295" s="13"/>
      <c r="AC2295" s="13"/>
      <c r="AD2295" s="13"/>
      <c r="AE2295" s="13">
        <f t="shared" si="227"/>
        <v>4.2000000000000003E-2</v>
      </c>
      <c r="AF2295" s="13"/>
      <c r="AG2295" s="13"/>
      <c r="AH2295" s="13"/>
      <c r="AI2295" s="13"/>
      <c r="AJ2295" s="13">
        <f t="shared" si="228"/>
        <v>4.2000000000000003E-2</v>
      </c>
      <c r="AK2295" s="12"/>
      <c r="AL2295" s="13"/>
      <c r="AM2295" s="9"/>
      <c r="AN2295" s="9"/>
      <c r="AO2295" s="9"/>
      <c r="AP2295" s="14"/>
    </row>
    <row r="2296" spans="1:42" s="45" customFormat="1" ht="22" customHeight="1">
      <c r="A2296" s="14" t="s">
        <v>17</v>
      </c>
      <c r="B2296" s="8">
        <v>2024</v>
      </c>
      <c r="C2296" s="8" t="s">
        <v>24</v>
      </c>
      <c r="D2296" s="9" t="s">
        <v>185</v>
      </c>
      <c r="E2296" s="9" t="s">
        <v>115</v>
      </c>
      <c r="F2296" s="9" t="s">
        <v>434</v>
      </c>
      <c r="G2296" s="8"/>
      <c r="H2296" s="8"/>
      <c r="I2296" s="9" t="s">
        <v>78</v>
      </c>
      <c r="J2296" s="9" t="s">
        <v>11</v>
      </c>
      <c r="K2296" s="9" t="s">
        <v>82</v>
      </c>
      <c r="L2296" s="9" t="s">
        <v>171</v>
      </c>
      <c r="M2296" s="9" t="s">
        <v>78</v>
      </c>
      <c r="N2296" s="9" t="s">
        <v>861</v>
      </c>
      <c r="O2296" s="9" t="s">
        <v>1254</v>
      </c>
      <c r="P2296" s="9" t="s">
        <v>1255</v>
      </c>
      <c r="Q2296" s="11">
        <v>52</v>
      </c>
      <c r="R2296" s="11"/>
      <c r="S2296" s="177">
        <v>64</v>
      </c>
      <c r="T2296" s="9"/>
      <c r="U2296" s="14" t="s">
        <v>77</v>
      </c>
      <c r="V2296" s="9"/>
      <c r="W2296" s="12">
        <v>30</v>
      </c>
      <c r="X2296" s="13"/>
      <c r="Y2296" s="13"/>
      <c r="Z2296" s="13"/>
      <c r="AA2296" s="13"/>
      <c r="AB2296" s="13"/>
      <c r="AC2296" s="13"/>
      <c r="AD2296" s="13"/>
      <c r="AE2296" s="13">
        <f t="shared" si="227"/>
        <v>0.156</v>
      </c>
      <c r="AF2296" s="13"/>
      <c r="AG2296" s="13"/>
      <c r="AH2296" s="13"/>
      <c r="AI2296" s="13"/>
      <c r="AJ2296" s="13">
        <f t="shared" si="228"/>
        <v>0.156</v>
      </c>
      <c r="AK2296" s="12"/>
      <c r="AL2296" s="13"/>
      <c r="AM2296" s="9"/>
      <c r="AN2296" s="9"/>
      <c r="AO2296" s="9"/>
      <c r="AP2296" s="14"/>
    </row>
    <row r="2297" spans="1:42" s="45" customFormat="1" ht="22" customHeight="1">
      <c r="A2297" s="14" t="s">
        <v>17</v>
      </c>
      <c r="B2297" s="8">
        <v>2024</v>
      </c>
      <c r="C2297" s="8" t="s">
        <v>24</v>
      </c>
      <c r="D2297" s="9" t="s">
        <v>185</v>
      </c>
      <c r="E2297" s="9" t="s">
        <v>115</v>
      </c>
      <c r="F2297" s="9" t="s">
        <v>434</v>
      </c>
      <c r="G2297" s="8"/>
      <c r="H2297" s="8"/>
      <c r="I2297" s="9" t="s">
        <v>78</v>
      </c>
      <c r="J2297" s="9" t="s">
        <v>11</v>
      </c>
      <c r="K2297" s="9" t="s">
        <v>82</v>
      </c>
      <c r="L2297" s="9" t="s">
        <v>171</v>
      </c>
      <c r="M2297" s="9" t="s">
        <v>78</v>
      </c>
      <c r="N2297" s="9" t="s">
        <v>861</v>
      </c>
      <c r="O2297" s="9" t="s">
        <v>1254</v>
      </c>
      <c r="P2297" s="9" t="s">
        <v>1256</v>
      </c>
      <c r="Q2297" s="11">
        <v>49</v>
      </c>
      <c r="R2297" s="11"/>
      <c r="S2297" s="177">
        <v>47</v>
      </c>
      <c r="T2297" s="9"/>
      <c r="U2297" s="14" t="s">
        <v>77</v>
      </c>
      <c r="V2297" s="9"/>
      <c r="W2297" s="12">
        <v>30</v>
      </c>
      <c r="X2297" s="13"/>
      <c r="Y2297" s="13"/>
      <c r="Z2297" s="13"/>
      <c r="AA2297" s="13"/>
      <c r="AB2297" s="13"/>
      <c r="AC2297" s="13"/>
      <c r="AD2297" s="13"/>
      <c r="AE2297" s="13">
        <f t="shared" si="227"/>
        <v>0.14699999999999999</v>
      </c>
      <c r="AF2297" s="13"/>
      <c r="AG2297" s="13"/>
      <c r="AH2297" s="13"/>
      <c r="AI2297" s="13"/>
      <c r="AJ2297" s="13">
        <f t="shared" si="228"/>
        <v>0.14699999999999999</v>
      </c>
      <c r="AK2297" s="12"/>
      <c r="AL2297" s="13"/>
      <c r="AM2297" s="9"/>
      <c r="AN2297" s="9"/>
      <c r="AO2297" s="9"/>
      <c r="AP2297" s="14"/>
    </row>
    <row r="2298" spans="1:42" s="45" customFormat="1" ht="22" customHeight="1">
      <c r="A2298" s="14" t="s">
        <v>17</v>
      </c>
      <c r="B2298" s="8">
        <v>2024</v>
      </c>
      <c r="C2298" s="8" t="s">
        <v>24</v>
      </c>
      <c r="D2298" s="9" t="s">
        <v>185</v>
      </c>
      <c r="E2298" s="9" t="s">
        <v>115</v>
      </c>
      <c r="F2298" s="9" t="s">
        <v>434</v>
      </c>
      <c r="G2298" s="8"/>
      <c r="H2298" s="8"/>
      <c r="I2298" s="9" t="s">
        <v>78</v>
      </c>
      <c r="J2298" s="9" t="s">
        <v>11</v>
      </c>
      <c r="K2298" s="9" t="s">
        <v>82</v>
      </c>
      <c r="L2298" s="9" t="s">
        <v>171</v>
      </c>
      <c r="M2298" s="9" t="s">
        <v>78</v>
      </c>
      <c r="N2298" s="9" t="s">
        <v>861</v>
      </c>
      <c r="O2298" s="9" t="s">
        <v>1254</v>
      </c>
      <c r="P2298" s="9" t="s">
        <v>1257</v>
      </c>
      <c r="Q2298" s="11">
        <v>39</v>
      </c>
      <c r="R2298" s="11"/>
      <c r="S2298" s="177">
        <v>57</v>
      </c>
      <c r="T2298" s="9"/>
      <c r="U2298" s="14" t="s">
        <v>77</v>
      </c>
      <c r="V2298" s="9"/>
      <c r="W2298" s="12">
        <v>30</v>
      </c>
      <c r="X2298" s="13"/>
      <c r="Y2298" s="13"/>
      <c r="Z2298" s="13"/>
      <c r="AA2298" s="13"/>
      <c r="AB2298" s="13"/>
      <c r="AC2298" s="13"/>
      <c r="AD2298" s="13"/>
      <c r="AE2298" s="13">
        <f t="shared" si="227"/>
        <v>0.11700000000000001</v>
      </c>
      <c r="AF2298" s="13"/>
      <c r="AG2298" s="13"/>
      <c r="AH2298" s="13"/>
      <c r="AI2298" s="13"/>
      <c r="AJ2298" s="13">
        <f t="shared" si="228"/>
        <v>0.11700000000000001</v>
      </c>
      <c r="AK2298" s="12"/>
      <c r="AL2298" s="13"/>
      <c r="AM2298" s="9"/>
      <c r="AN2298" s="9"/>
      <c r="AO2298" s="9"/>
      <c r="AP2298" s="14"/>
    </row>
    <row r="2299" spans="1:42" s="45" customFormat="1" ht="22" customHeight="1">
      <c r="A2299" s="14" t="s">
        <v>17</v>
      </c>
      <c r="B2299" s="8">
        <v>2024</v>
      </c>
      <c r="C2299" s="8" t="s">
        <v>24</v>
      </c>
      <c r="D2299" s="9" t="s">
        <v>185</v>
      </c>
      <c r="E2299" s="9" t="s">
        <v>115</v>
      </c>
      <c r="F2299" s="9" t="s">
        <v>434</v>
      </c>
      <c r="G2299" s="8"/>
      <c r="H2299" s="8"/>
      <c r="I2299" s="9" t="s">
        <v>78</v>
      </c>
      <c r="J2299" s="9" t="s">
        <v>11</v>
      </c>
      <c r="K2299" s="9" t="s">
        <v>82</v>
      </c>
      <c r="L2299" s="9" t="s">
        <v>171</v>
      </c>
      <c r="M2299" s="9" t="s">
        <v>78</v>
      </c>
      <c r="N2299" s="9" t="s">
        <v>861</v>
      </c>
      <c r="O2299" s="9" t="s">
        <v>1254</v>
      </c>
      <c r="P2299" s="9" t="s">
        <v>1258</v>
      </c>
      <c r="Q2299" s="11">
        <v>57</v>
      </c>
      <c r="R2299" s="11"/>
      <c r="S2299" s="177">
        <v>66</v>
      </c>
      <c r="T2299" s="9"/>
      <c r="U2299" s="14" t="s">
        <v>77</v>
      </c>
      <c r="V2299" s="9"/>
      <c r="W2299" s="12">
        <v>30</v>
      </c>
      <c r="X2299" s="13"/>
      <c r="Y2299" s="13"/>
      <c r="Z2299" s="13"/>
      <c r="AA2299" s="13"/>
      <c r="AB2299" s="13"/>
      <c r="AC2299" s="13"/>
      <c r="AD2299" s="13"/>
      <c r="AE2299" s="13">
        <f t="shared" si="227"/>
        <v>0.17100000000000001</v>
      </c>
      <c r="AF2299" s="13"/>
      <c r="AG2299" s="13"/>
      <c r="AH2299" s="13"/>
      <c r="AI2299" s="13"/>
      <c r="AJ2299" s="13">
        <f t="shared" si="228"/>
        <v>0.17100000000000001</v>
      </c>
      <c r="AK2299" s="12"/>
      <c r="AL2299" s="13"/>
      <c r="AM2299" s="9"/>
      <c r="AN2299" s="9"/>
      <c r="AO2299" s="9"/>
      <c r="AP2299" s="14"/>
    </row>
    <row r="2300" spans="1:42" s="45" customFormat="1" ht="22" customHeight="1">
      <c r="A2300" s="14" t="s">
        <v>17</v>
      </c>
      <c r="B2300" s="8">
        <v>2024</v>
      </c>
      <c r="C2300" s="8" t="s">
        <v>24</v>
      </c>
      <c r="D2300" s="9" t="s">
        <v>185</v>
      </c>
      <c r="E2300" s="9" t="s">
        <v>115</v>
      </c>
      <c r="F2300" s="9" t="s">
        <v>434</v>
      </c>
      <c r="G2300" s="8"/>
      <c r="H2300" s="8"/>
      <c r="I2300" s="9" t="s">
        <v>78</v>
      </c>
      <c r="J2300" s="9" t="s">
        <v>11</v>
      </c>
      <c r="K2300" s="9" t="s">
        <v>82</v>
      </c>
      <c r="L2300" s="9" t="s">
        <v>171</v>
      </c>
      <c r="M2300" s="9" t="s">
        <v>78</v>
      </c>
      <c r="N2300" s="9" t="s">
        <v>861</v>
      </c>
      <c r="O2300" s="9" t="s">
        <v>1254</v>
      </c>
      <c r="P2300" s="9" t="s">
        <v>1259</v>
      </c>
      <c r="Q2300" s="11">
        <v>15</v>
      </c>
      <c r="R2300" s="11"/>
      <c r="S2300" s="177">
        <v>54</v>
      </c>
      <c r="T2300" s="9"/>
      <c r="U2300" s="14" t="s">
        <v>77</v>
      </c>
      <c r="V2300" s="9"/>
      <c r="W2300" s="12">
        <v>30</v>
      </c>
      <c r="X2300" s="13"/>
      <c r="Y2300" s="13"/>
      <c r="Z2300" s="13"/>
      <c r="AA2300" s="13"/>
      <c r="AB2300" s="13"/>
      <c r="AC2300" s="13"/>
      <c r="AD2300" s="13"/>
      <c r="AE2300" s="13">
        <f t="shared" si="227"/>
        <v>4.4999999999999998E-2</v>
      </c>
      <c r="AF2300" s="13"/>
      <c r="AG2300" s="13"/>
      <c r="AH2300" s="13"/>
      <c r="AI2300" s="13"/>
      <c r="AJ2300" s="13">
        <f t="shared" si="228"/>
        <v>4.4999999999999998E-2</v>
      </c>
      <c r="AK2300" s="12"/>
      <c r="AL2300" s="13"/>
      <c r="AM2300" s="9"/>
      <c r="AN2300" s="9"/>
      <c r="AO2300" s="9"/>
      <c r="AP2300" s="14"/>
    </row>
    <row r="2301" spans="1:42" s="45" customFormat="1" ht="22" customHeight="1">
      <c r="A2301" s="14" t="s">
        <v>17</v>
      </c>
      <c r="B2301" s="8">
        <v>2024</v>
      </c>
      <c r="C2301" s="8" t="s">
        <v>24</v>
      </c>
      <c r="D2301" s="9" t="s">
        <v>185</v>
      </c>
      <c r="E2301" s="9" t="s">
        <v>115</v>
      </c>
      <c r="F2301" s="9" t="s">
        <v>434</v>
      </c>
      <c r="G2301" s="8"/>
      <c r="H2301" s="8"/>
      <c r="I2301" s="9" t="s">
        <v>78</v>
      </c>
      <c r="J2301" s="9" t="s">
        <v>11</v>
      </c>
      <c r="K2301" s="9" t="s">
        <v>82</v>
      </c>
      <c r="L2301" s="9" t="s">
        <v>171</v>
      </c>
      <c r="M2301" s="9" t="s">
        <v>78</v>
      </c>
      <c r="N2301" s="9" t="s">
        <v>861</v>
      </c>
      <c r="O2301" s="9" t="s">
        <v>1260</v>
      </c>
      <c r="P2301" s="9" t="s">
        <v>1261</v>
      </c>
      <c r="Q2301" s="11">
        <v>55</v>
      </c>
      <c r="R2301" s="11"/>
      <c r="S2301" s="177">
        <v>77</v>
      </c>
      <c r="T2301" s="9"/>
      <c r="U2301" s="14" t="s">
        <v>77</v>
      </c>
      <c r="V2301" s="9"/>
      <c r="W2301" s="12">
        <v>30</v>
      </c>
      <c r="X2301" s="13"/>
      <c r="Y2301" s="13"/>
      <c r="Z2301" s="13"/>
      <c r="AA2301" s="13"/>
      <c r="AB2301" s="13"/>
      <c r="AC2301" s="13"/>
      <c r="AD2301" s="13"/>
      <c r="AE2301" s="13">
        <f t="shared" si="227"/>
        <v>0.16500000000000001</v>
      </c>
      <c r="AF2301" s="13"/>
      <c r="AG2301" s="13"/>
      <c r="AH2301" s="13"/>
      <c r="AI2301" s="13"/>
      <c r="AJ2301" s="13">
        <f t="shared" si="228"/>
        <v>0.16500000000000001</v>
      </c>
      <c r="AK2301" s="12"/>
      <c r="AL2301" s="13"/>
      <c r="AM2301" s="9"/>
      <c r="AN2301" s="9"/>
      <c r="AO2301" s="9"/>
      <c r="AP2301" s="14"/>
    </row>
    <row r="2302" spans="1:42" s="45" customFormat="1" ht="22" customHeight="1">
      <c r="A2302" s="14" t="s">
        <v>17</v>
      </c>
      <c r="B2302" s="8">
        <v>2024</v>
      </c>
      <c r="C2302" s="8" t="s">
        <v>24</v>
      </c>
      <c r="D2302" s="9" t="s">
        <v>185</v>
      </c>
      <c r="E2302" s="9" t="s">
        <v>115</v>
      </c>
      <c r="F2302" s="9" t="s">
        <v>434</v>
      </c>
      <c r="G2302" s="8"/>
      <c r="H2302" s="8"/>
      <c r="I2302" s="9" t="s">
        <v>78</v>
      </c>
      <c r="J2302" s="9" t="s">
        <v>11</v>
      </c>
      <c r="K2302" s="9" t="s">
        <v>82</v>
      </c>
      <c r="L2302" s="9" t="s">
        <v>171</v>
      </c>
      <c r="M2302" s="9" t="s">
        <v>78</v>
      </c>
      <c r="N2302" s="9" t="s">
        <v>861</v>
      </c>
      <c r="O2302" s="9" t="s">
        <v>1260</v>
      </c>
      <c r="P2302" s="9" t="s">
        <v>1262</v>
      </c>
      <c r="Q2302" s="11">
        <v>48</v>
      </c>
      <c r="R2302" s="11"/>
      <c r="S2302" s="177">
        <v>72</v>
      </c>
      <c r="T2302" s="9"/>
      <c r="U2302" s="14" t="s">
        <v>77</v>
      </c>
      <c r="V2302" s="9"/>
      <c r="W2302" s="12">
        <v>30</v>
      </c>
      <c r="X2302" s="13"/>
      <c r="Y2302" s="13"/>
      <c r="Z2302" s="13"/>
      <c r="AA2302" s="13"/>
      <c r="AB2302" s="13"/>
      <c r="AC2302" s="13"/>
      <c r="AD2302" s="13"/>
      <c r="AE2302" s="13">
        <f t="shared" si="227"/>
        <v>0.14399999999999999</v>
      </c>
      <c r="AF2302" s="13"/>
      <c r="AG2302" s="13"/>
      <c r="AH2302" s="13"/>
      <c r="AI2302" s="13"/>
      <c r="AJ2302" s="13">
        <f t="shared" si="228"/>
        <v>0.14399999999999999</v>
      </c>
      <c r="AK2302" s="12"/>
      <c r="AL2302" s="13"/>
      <c r="AM2302" s="9"/>
      <c r="AN2302" s="9"/>
      <c r="AO2302" s="9"/>
      <c r="AP2302" s="14"/>
    </row>
    <row r="2303" spans="1:42" s="45" customFormat="1" ht="22" customHeight="1">
      <c r="A2303" s="14" t="s">
        <v>17</v>
      </c>
      <c r="B2303" s="8">
        <v>2024</v>
      </c>
      <c r="C2303" s="8" t="s">
        <v>24</v>
      </c>
      <c r="D2303" s="9" t="s">
        <v>185</v>
      </c>
      <c r="E2303" s="9" t="s">
        <v>115</v>
      </c>
      <c r="F2303" s="9" t="s">
        <v>434</v>
      </c>
      <c r="G2303" s="8"/>
      <c r="H2303" s="8"/>
      <c r="I2303" s="9" t="s">
        <v>78</v>
      </c>
      <c r="J2303" s="9" t="s">
        <v>11</v>
      </c>
      <c r="K2303" s="9" t="s">
        <v>82</v>
      </c>
      <c r="L2303" s="9" t="s">
        <v>171</v>
      </c>
      <c r="M2303" s="9" t="s">
        <v>78</v>
      </c>
      <c r="N2303" s="9" t="s">
        <v>861</v>
      </c>
      <c r="O2303" s="9" t="s">
        <v>1260</v>
      </c>
      <c r="P2303" s="9" t="s">
        <v>1263</v>
      </c>
      <c r="Q2303" s="11">
        <v>40</v>
      </c>
      <c r="R2303" s="11"/>
      <c r="S2303" s="177">
        <v>59</v>
      </c>
      <c r="T2303" s="9"/>
      <c r="U2303" s="14" t="s">
        <v>77</v>
      </c>
      <c r="V2303" s="9"/>
      <c r="W2303" s="12">
        <v>30</v>
      </c>
      <c r="X2303" s="13"/>
      <c r="Y2303" s="13"/>
      <c r="Z2303" s="13"/>
      <c r="AA2303" s="13"/>
      <c r="AB2303" s="13"/>
      <c r="AC2303" s="13"/>
      <c r="AD2303" s="13"/>
      <c r="AE2303" s="13">
        <f t="shared" si="227"/>
        <v>0.12</v>
      </c>
      <c r="AF2303" s="13"/>
      <c r="AG2303" s="13"/>
      <c r="AH2303" s="13"/>
      <c r="AI2303" s="13"/>
      <c r="AJ2303" s="13">
        <f t="shared" si="228"/>
        <v>0.12</v>
      </c>
      <c r="AK2303" s="12"/>
      <c r="AL2303" s="13"/>
      <c r="AM2303" s="9"/>
      <c r="AN2303" s="9"/>
      <c r="AO2303" s="9"/>
      <c r="AP2303" s="14"/>
    </row>
    <row r="2304" spans="1:42" s="45" customFormat="1" ht="22" customHeight="1">
      <c r="A2304" s="14" t="s">
        <v>17</v>
      </c>
      <c r="B2304" s="8">
        <v>2024</v>
      </c>
      <c r="C2304" s="8" t="s">
        <v>24</v>
      </c>
      <c r="D2304" s="9" t="s">
        <v>185</v>
      </c>
      <c r="E2304" s="9" t="s">
        <v>115</v>
      </c>
      <c r="F2304" s="9" t="s">
        <v>434</v>
      </c>
      <c r="G2304" s="8"/>
      <c r="H2304" s="8"/>
      <c r="I2304" s="9" t="s">
        <v>78</v>
      </c>
      <c r="J2304" s="9" t="s">
        <v>11</v>
      </c>
      <c r="K2304" s="9" t="s">
        <v>82</v>
      </c>
      <c r="L2304" s="9" t="s">
        <v>171</v>
      </c>
      <c r="M2304" s="9" t="s">
        <v>78</v>
      </c>
      <c r="N2304" s="9" t="s">
        <v>861</v>
      </c>
      <c r="O2304" s="9" t="s">
        <v>1260</v>
      </c>
      <c r="P2304" s="9" t="s">
        <v>1264</v>
      </c>
      <c r="Q2304" s="11">
        <v>31</v>
      </c>
      <c r="R2304" s="11"/>
      <c r="S2304" s="177">
        <v>54</v>
      </c>
      <c r="T2304" s="9"/>
      <c r="U2304" s="14" t="s">
        <v>77</v>
      </c>
      <c r="V2304" s="9"/>
      <c r="W2304" s="12">
        <v>30</v>
      </c>
      <c r="X2304" s="13"/>
      <c r="Y2304" s="13"/>
      <c r="Z2304" s="13"/>
      <c r="AA2304" s="13"/>
      <c r="AB2304" s="13"/>
      <c r="AC2304" s="13"/>
      <c r="AD2304" s="13"/>
      <c r="AE2304" s="13">
        <f t="shared" si="227"/>
        <v>9.2999999999999999E-2</v>
      </c>
      <c r="AF2304" s="13"/>
      <c r="AG2304" s="13"/>
      <c r="AH2304" s="13"/>
      <c r="AI2304" s="13"/>
      <c r="AJ2304" s="13">
        <f t="shared" si="228"/>
        <v>9.2999999999999999E-2</v>
      </c>
      <c r="AK2304" s="12"/>
      <c r="AL2304" s="13"/>
      <c r="AM2304" s="9"/>
      <c r="AN2304" s="9"/>
      <c r="AO2304" s="9"/>
      <c r="AP2304" s="14"/>
    </row>
    <row r="2305" spans="1:42" s="45" customFormat="1" ht="22" customHeight="1">
      <c r="A2305" s="14" t="s">
        <v>17</v>
      </c>
      <c r="B2305" s="8">
        <v>2024</v>
      </c>
      <c r="C2305" s="8" t="s">
        <v>24</v>
      </c>
      <c r="D2305" s="9" t="s">
        <v>185</v>
      </c>
      <c r="E2305" s="9" t="s">
        <v>115</v>
      </c>
      <c r="F2305" s="9" t="s">
        <v>434</v>
      </c>
      <c r="G2305" s="8"/>
      <c r="H2305" s="8"/>
      <c r="I2305" s="9" t="s">
        <v>78</v>
      </c>
      <c r="J2305" s="9" t="s">
        <v>11</v>
      </c>
      <c r="K2305" s="9" t="s">
        <v>82</v>
      </c>
      <c r="L2305" s="9" t="s">
        <v>171</v>
      </c>
      <c r="M2305" s="9" t="s">
        <v>78</v>
      </c>
      <c r="N2305" s="9" t="s">
        <v>861</v>
      </c>
      <c r="O2305" s="9" t="s">
        <v>1260</v>
      </c>
      <c r="P2305" s="9" t="s">
        <v>1265</v>
      </c>
      <c r="Q2305" s="11">
        <v>40</v>
      </c>
      <c r="R2305" s="11"/>
      <c r="S2305" s="177">
        <v>36</v>
      </c>
      <c r="T2305" s="9"/>
      <c r="U2305" s="14" t="s">
        <v>77</v>
      </c>
      <c r="V2305" s="9"/>
      <c r="W2305" s="12">
        <v>30</v>
      </c>
      <c r="X2305" s="13"/>
      <c r="Y2305" s="13"/>
      <c r="Z2305" s="13"/>
      <c r="AA2305" s="13"/>
      <c r="AB2305" s="13"/>
      <c r="AC2305" s="13"/>
      <c r="AD2305" s="13"/>
      <c r="AE2305" s="13">
        <f t="shared" ref="AE2305:AE2345" si="229">+Q2305*W2305*100/1000000</f>
        <v>0.12</v>
      </c>
      <c r="AF2305" s="13"/>
      <c r="AG2305" s="13"/>
      <c r="AH2305" s="13"/>
      <c r="AI2305" s="13"/>
      <c r="AJ2305" s="13">
        <f t="shared" si="228"/>
        <v>0.12</v>
      </c>
      <c r="AK2305" s="12"/>
      <c r="AL2305" s="13"/>
      <c r="AM2305" s="9"/>
      <c r="AN2305" s="9"/>
      <c r="AO2305" s="9"/>
      <c r="AP2305" s="14"/>
    </row>
    <row r="2306" spans="1:42" s="45" customFormat="1" ht="22" customHeight="1">
      <c r="A2306" s="14" t="s">
        <v>17</v>
      </c>
      <c r="B2306" s="8">
        <v>2024</v>
      </c>
      <c r="C2306" s="8" t="s">
        <v>24</v>
      </c>
      <c r="D2306" s="9" t="s">
        <v>185</v>
      </c>
      <c r="E2306" s="9" t="s">
        <v>115</v>
      </c>
      <c r="F2306" s="9" t="s">
        <v>434</v>
      </c>
      <c r="G2306" s="8"/>
      <c r="H2306" s="8"/>
      <c r="I2306" s="9" t="s">
        <v>78</v>
      </c>
      <c r="J2306" s="9" t="s">
        <v>11</v>
      </c>
      <c r="K2306" s="9" t="s">
        <v>82</v>
      </c>
      <c r="L2306" s="9" t="s">
        <v>171</v>
      </c>
      <c r="M2306" s="9" t="s">
        <v>78</v>
      </c>
      <c r="N2306" s="9" t="s">
        <v>861</v>
      </c>
      <c r="O2306" s="9" t="s">
        <v>1260</v>
      </c>
      <c r="P2306" s="9" t="s">
        <v>1266</v>
      </c>
      <c r="Q2306" s="11">
        <v>35</v>
      </c>
      <c r="R2306" s="11"/>
      <c r="S2306" s="177">
        <v>29</v>
      </c>
      <c r="T2306" s="9"/>
      <c r="U2306" s="14" t="s">
        <v>77</v>
      </c>
      <c r="V2306" s="9"/>
      <c r="W2306" s="12">
        <v>30</v>
      </c>
      <c r="X2306" s="13"/>
      <c r="Y2306" s="13"/>
      <c r="Z2306" s="13"/>
      <c r="AA2306" s="13"/>
      <c r="AB2306" s="13"/>
      <c r="AC2306" s="13"/>
      <c r="AD2306" s="13"/>
      <c r="AE2306" s="13">
        <f t="shared" si="229"/>
        <v>0.105</v>
      </c>
      <c r="AF2306" s="13"/>
      <c r="AG2306" s="13"/>
      <c r="AH2306" s="13"/>
      <c r="AI2306" s="13"/>
      <c r="AJ2306" s="13">
        <f t="shared" si="228"/>
        <v>0.105</v>
      </c>
      <c r="AK2306" s="12"/>
      <c r="AL2306" s="13"/>
      <c r="AM2306" s="9"/>
      <c r="AN2306" s="9"/>
      <c r="AO2306" s="9"/>
      <c r="AP2306" s="14"/>
    </row>
    <row r="2307" spans="1:42" s="45" customFormat="1" ht="22" customHeight="1">
      <c r="A2307" s="14" t="s">
        <v>17</v>
      </c>
      <c r="B2307" s="8">
        <v>2024</v>
      </c>
      <c r="C2307" s="8" t="s">
        <v>24</v>
      </c>
      <c r="D2307" s="9" t="s">
        <v>185</v>
      </c>
      <c r="E2307" s="9" t="s">
        <v>115</v>
      </c>
      <c r="F2307" s="9" t="s">
        <v>434</v>
      </c>
      <c r="G2307" s="8"/>
      <c r="H2307" s="8"/>
      <c r="I2307" s="9" t="s">
        <v>78</v>
      </c>
      <c r="J2307" s="9" t="s">
        <v>11</v>
      </c>
      <c r="K2307" s="9" t="s">
        <v>82</v>
      </c>
      <c r="L2307" s="9" t="s">
        <v>171</v>
      </c>
      <c r="M2307" s="9" t="s">
        <v>78</v>
      </c>
      <c r="N2307" s="9" t="s">
        <v>861</v>
      </c>
      <c r="O2307" s="9" t="s">
        <v>1260</v>
      </c>
      <c r="P2307" s="9" t="s">
        <v>1267</v>
      </c>
      <c r="Q2307" s="11">
        <v>49</v>
      </c>
      <c r="R2307" s="11"/>
      <c r="S2307" s="177">
        <v>46</v>
      </c>
      <c r="T2307" s="9"/>
      <c r="U2307" s="14" t="s">
        <v>77</v>
      </c>
      <c r="V2307" s="9"/>
      <c r="W2307" s="12">
        <v>30</v>
      </c>
      <c r="X2307" s="13"/>
      <c r="Y2307" s="13"/>
      <c r="Z2307" s="13"/>
      <c r="AA2307" s="13"/>
      <c r="AB2307" s="13"/>
      <c r="AC2307" s="13"/>
      <c r="AD2307" s="13"/>
      <c r="AE2307" s="13">
        <f t="shared" si="229"/>
        <v>0.14699999999999999</v>
      </c>
      <c r="AF2307" s="13"/>
      <c r="AG2307" s="13"/>
      <c r="AH2307" s="13"/>
      <c r="AI2307" s="13"/>
      <c r="AJ2307" s="13">
        <f t="shared" si="228"/>
        <v>0.14699999999999999</v>
      </c>
      <c r="AK2307" s="12"/>
      <c r="AL2307" s="13"/>
      <c r="AM2307" s="9"/>
      <c r="AN2307" s="9"/>
      <c r="AO2307" s="9"/>
      <c r="AP2307" s="14"/>
    </row>
    <row r="2308" spans="1:42" s="45" customFormat="1" ht="22" customHeight="1">
      <c r="A2308" s="14" t="s">
        <v>17</v>
      </c>
      <c r="B2308" s="8">
        <v>2024</v>
      </c>
      <c r="C2308" s="8" t="s">
        <v>24</v>
      </c>
      <c r="D2308" s="9" t="s">
        <v>185</v>
      </c>
      <c r="E2308" s="9" t="s">
        <v>115</v>
      </c>
      <c r="F2308" s="9" t="s">
        <v>434</v>
      </c>
      <c r="G2308" s="8"/>
      <c r="H2308" s="8"/>
      <c r="I2308" s="9" t="s">
        <v>78</v>
      </c>
      <c r="J2308" s="9" t="s">
        <v>11</v>
      </c>
      <c r="K2308" s="9" t="s">
        <v>82</v>
      </c>
      <c r="L2308" s="9" t="s">
        <v>171</v>
      </c>
      <c r="M2308" s="9" t="s">
        <v>78</v>
      </c>
      <c r="N2308" s="9" t="s">
        <v>861</v>
      </c>
      <c r="O2308" s="9" t="s">
        <v>1260</v>
      </c>
      <c r="P2308" s="9" t="s">
        <v>1268</v>
      </c>
      <c r="Q2308" s="11">
        <v>40</v>
      </c>
      <c r="R2308" s="11"/>
      <c r="S2308" s="177">
        <v>42</v>
      </c>
      <c r="T2308" s="9"/>
      <c r="U2308" s="14" t="s">
        <v>77</v>
      </c>
      <c r="V2308" s="9"/>
      <c r="W2308" s="12">
        <v>30</v>
      </c>
      <c r="X2308" s="13"/>
      <c r="Y2308" s="13"/>
      <c r="Z2308" s="13"/>
      <c r="AA2308" s="13"/>
      <c r="AB2308" s="13"/>
      <c r="AC2308" s="13"/>
      <c r="AD2308" s="13"/>
      <c r="AE2308" s="13">
        <f t="shared" si="229"/>
        <v>0.12</v>
      </c>
      <c r="AF2308" s="13"/>
      <c r="AG2308" s="13"/>
      <c r="AH2308" s="13"/>
      <c r="AI2308" s="13"/>
      <c r="AJ2308" s="13">
        <f t="shared" si="228"/>
        <v>0.12</v>
      </c>
      <c r="AK2308" s="12"/>
      <c r="AL2308" s="13"/>
      <c r="AM2308" s="9"/>
      <c r="AN2308" s="9"/>
      <c r="AO2308" s="9"/>
      <c r="AP2308" s="14"/>
    </row>
    <row r="2309" spans="1:42" s="45" customFormat="1" ht="22" customHeight="1">
      <c r="A2309" s="14" t="s">
        <v>17</v>
      </c>
      <c r="B2309" s="8">
        <v>2024</v>
      </c>
      <c r="C2309" s="8" t="s">
        <v>24</v>
      </c>
      <c r="D2309" s="9" t="s">
        <v>185</v>
      </c>
      <c r="E2309" s="9" t="s">
        <v>115</v>
      </c>
      <c r="F2309" s="9" t="s">
        <v>434</v>
      </c>
      <c r="G2309" s="8"/>
      <c r="H2309" s="8"/>
      <c r="I2309" s="9" t="s">
        <v>78</v>
      </c>
      <c r="J2309" s="9" t="s">
        <v>11</v>
      </c>
      <c r="K2309" s="9" t="s">
        <v>82</v>
      </c>
      <c r="L2309" s="9" t="s">
        <v>171</v>
      </c>
      <c r="M2309" s="9" t="s">
        <v>78</v>
      </c>
      <c r="N2309" s="9" t="s">
        <v>861</v>
      </c>
      <c r="O2309" s="9" t="s">
        <v>1269</v>
      </c>
      <c r="P2309" s="9" t="s">
        <v>1269</v>
      </c>
      <c r="Q2309" s="11">
        <v>22</v>
      </c>
      <c r="R2309" s="11"/>
      <c r="S2309" s="177">
        <v>34</v>
      </c>
      <c r="T2309" s="9"/>
      <c r="U2309" s="14" t="s">
        <v>77</v>
      </c>
      <c r="V2309" s="9"/>
      <c r="W2309" s="12">
        <v>30</v>
      </c>
      <c r="X2309" s="13"/>
      <c r="Y2309" s="13"/>
      <c r="Z2309" s="13"/>
      <c r="AA2309" s="13"/>
      <c r="AB2309" s="13"/>
      <c r="AC2309" s="13"/>
      <c r="AD2309" s="13"/>
      <c r="AE2309" s="13">
        <f t="shared" si="229"/>
        <v>6.6000000000000003E-2</v>
      </c>
      <c r="AF2309" s="13"/>
      <c r="AG2309" s="13"/>
      <c r="AH2309" s="13"/>
      <c r="AI2309" s="13"/>
      <c r="AJ2309" s="13">
        <f t="shared" si="228"/>
        <v>6.6000000000000003E-2</v>
      </c>
      <c r="AK2309" s="12"/>
      <c r="AL2309" s="13"/>
      <c r="AM2309" s="9"/>
      <c r="AN2309" s="9"/>
      <c r="AO2309" s="9"/>
      <c r="AP2309" s="14"/>
    </row>
    <row r="2310" spans="1:42" s="45" customFormat="1" ht="22" customHeight="1">
      <c r="A2310" s="14" t="s">
        <v>17</v>
      </c>
      <c r="B2310" s="8">
        <v>2024</v>
      </c>
      <c r="C2310" s="8" t="s">
        <v>24</v>
      </c>
      <c r="D2310" s="9" t="s">
        <v>185</v>
      </c>
      <c r="E2310" s="9" t="s">
        <v>115</v>
      </c>
      <c r="F2310" s="9" t="s">
        <v>434</v>
      </c>
      <c r="G2310" s="8"/>
      <c r="H2310" s="8"/>
      <c r="I2310" s="9" t="s">
        <v>78</v>
      </c>
      <c r="J2310" s="9" t="s">
        <v>11</v>
      </c>
      <c r="K2310" s="9" t="s">
        <v>82</v>
      </c>
      <c r="L2310" s="9" t="s">
        <v>171</v>
      </c>
      <c r="M2310" s="9" t="s">
        <v>78</v>
      </c>
      <c r="N2310" s="9" t="s">
        <v>861</v>
      </c>
      <c r="O2310" s="9" t="s">
        <v>1269</v>
      </c>
      <c r="P2310" s="9" t="s">
        <v>1270</v>
      </c>
      <c r="Q2310" s="11">
        <v>31</v>
      </c>
      <c r="R2310" s="11"/>
      <c r="S2310" s="177">
        <v>31</v>
      </c>
      <c r="T2310" s="9"/>
      <c r="U2310" s="14" t="s">
        <v>77</v>
      </c>
      <c r="V2310" s="9"/>
      <c r="W2310" s="12">
        <v>30</v>
      </c>
      <c r="X2310" s="13"/>
      <c r="Y2310" s="13"/>
      <c r="Z2310" s="13"/>
      <c r="AA2310" s="13"/>
      <c r="AB2310" s="13"/>
      <c r="AC2310" s="13"/>
      <c r="AD2310" s="13"/>
      <c r="AE2310" s="13">
        <f t="shared" si="229"/>
        <v>9.2999999999999999E-2</v>
      </c>
      <c r="AF2310" s="13"/>
      <c r="AG2310" s="13"/>
      <c r="AH2310" s="13"/>
      <c r="AI2310" s="13"/>
      <c r="AJ2310" s="13">
        <f t="shared" si="228"/>
        <v>9.2999999999999999E-2</v>
      </c>
      <c r="AK2310" s="12"/>
      <c r="AL2310" s="13"/>
      <c r="AM2310" s="9"/>
      <c r="AN2310" s="9"/>
      <c r="AO2310" s="9"/>
      <c r="AP2310" s="14"/>
    </row>
    <row r="2311" spans="1:42" s="45" customFormat="1" ht="22" customHeight="1">
      <c r="A2311" s="14" t="s">
        <v>17</v>
      </c>
      <c r="B2311" s="8">
        <v>2024</v>
      </c>
      <c r="C2311" s="8" t="s">
        <v>24</v>
      </c>
      <c r="D2311" s="9" t="s">
        <v>185</v>
      </c>
      <c r="E2311" s="9" t="s">
        <v>115</v>
      </c>
      <c r="F2311" s="9" t="s">
        <v>434</v>
      </c>
      <c r="G2311" s="8"/>
      <c r="H2311" s="8"/>
      <c r="I2311" s="9" t="s">
        <v>78</v>
      </c>
      <c r="J2311" s="9" t="s">
        <v>11</v>
      </c>
      <c r="K2311" s="9" t="s">
        <v>82</v>
      </c>
      <c r="L2311" s="9" t="s">
        <v>171</v>
      </c>
      <c r="M2311" s="9" t="s">
        <v>78</v>
      </c>
      <c r="N2311" s="9" t="s">
        <v>861</v>
      </c>
      <c r="O2311" s="9" t="s">
        <v>1269</v>
      </c>
      <c r="P2311" s="9" t="s">
        <v>1271</v>
      </c>
      <c r="Q2311" s="11">
        <v>28</v>
      </c>
      <c r="R2311" s="11"/>
      <c r="S2311" s="177">
        <v>26</v>
      </c>
      <c r="T2311" s="9"/>
      <c r="U2311" s="14" t="s">
        <v>77</v>
      </c>
      <c r="V2311" s="9"/>
      <c r="W2311" s="12">
        <v>30</v>
      </c>
      <c r="X2311" s="13"/>
      <c r="Y2311" s="13"/>
      <c r="Z2311" s="13"/>
      <c r="AA2311" s="13"/>
      <c r="AB2311" s="13"/>
      <c r="AC2311" s="13"/>
      <c r="AD2311" s="13"/>
      <c r="AE2311" s="13">
        <f t="shared" si="229"/>
        <v>8.4000000000000005E-2</v>
      </c>
      <c r="AF2311" s="13"/>
      <c r="AG2311" s="13"/>
      <c r="AH2311" s="13"/>
      <c r="AI2311" s="13"/>
      <c r="AJ2311" s="13">
        <f t="shared" si="228"/>
        <v>8.4000000000000005E-2</v>
      </c>
      <c r="AK2311" s="12"/>
      <c r="AL2311" s="13"/>
      <c r="AM2311" s="9"/>
      <c r="AN2311" s="9"/>
      <c r="AO2311" s="9"/>
      <c r="AP2311" s="14"/>
    </row>
    <row r="2312" spans="1:42" s="45" customFormat="1" ht="22" customHeight="1">
      <c r="A2312" s="14" t="s">
        <v>17</v>
      </c>
      <c r="B2312" s="8">
        <v>2024</v>
      </c>
      <c r="C2312" s="8" t="s">
        <v>24</v>
      </c>
      <c r="D2312" s="9" t="s">
        <v>185</v>
      </c>
      <c r="E2312" s="9" t="s">
        <v>115</v>
      </c>
      <c r="F2312" s="9" t="s">
        <v>434</v>
      </c>
      <c r="G2312" s="8"/>
      <c r="H2312" s="8"/>
      <c r="I2312" s="9" t="s">
        <v>78</v>
      </c>
      <c r="J2312" s="9" t="s">
        <v>11</v>
      </c>
      <c r="K2312" s="9" t="s">
        <v>82</v>
      </c>
      <c r="L2312" s="9" t="s">
        <v>171</v>
      </c>
      <c r="M2312" s="9" t="s">
        <v>78</v>
      </c>
      <c r="N2312" s="9" t="s">
        <v>861</v>
      </c>
      <c r="O2312" s="9" t="s">
        <v>1269</v>
      </c>
      <c r="P2312" s="9" t="s">
        <v>1272</v>
      </c>
      <c r="Q2312" s="11">
        <v>21</v>
      </c>
      <c r="R2312" s="11"/>
      <c r="S2312" s="177">
        <v>40</v>
      </c>
      <c r="T2312" s="9"/>
      <c r="U2312" s="14" t="s">
        <v>77</v>
      </c>
      <c r="V2312" s="9"/>
      <c r="W2312" s="12">
        <v>30</v>
      </c>
      <c r="X2312" s="13"/>
      <c r="Y2312" s="13"/>
      <c r="Z2312" s="13"/>
      <c r="AA2312" s="13"/>
      <c r="AB2312" s="13"/>
      <c r="AC2312" s="13"/>
      <c r="AD2312" s="13"/>
      <c r="AE2312" s="13">
        <f t="shared" si="229"/>
        <v>6.3E-2</v>
      </c>
      <c r="AF2312" s="13"/>
      <c r="AG2312" s="13"/>
      <c r="AH2312" s="13"/>
      <c r="AI2312" s="13"/>
      <c r="AJ2312" s="13">
        <f t="shared" si="228"/>
        <v>6.3E-2</v>
      </c>
      <c r="AK2312" s="12"/>
      <c r="AL2312" s="13"/>
      <c r="AM2312" s="9"/>
      <c r="AN2312" s="9"/>
      <c r="AO2312" s="9"/>
      <c r="AP2312" s="14"/>
    </row>
    <row r="2313" spans="1:42" s="45" customFormat="1" ht="22" customHeight="1">
      <c r="A2313" s="14" t="s">
        <v>17</v>
      </c>
      <c r="B2313" s="8">
        <v>2024</v>
      </c>
      <c r="C2313" s="8" t="s">
        <v>24</v>
      </c>
      <c r="D2313" s="9" t="s">
        <v>185</v>
      </c>
      <c r="E2313" s="9" t="s">
        <v>115</v>
      </c>
      <c r="F2313" s="9" t="s">
        <v>434</v>
      </c>
      <c r="G2313" s="8"/>
      <c r="H2313" s="8"/>
      <c r="I2313" s="9" t="s">
        <v>78</v>
      </c>
      <c r="J2313" s="9" t="s">
        <v>11</v>
      </c>
      <c r="K2313" s="9" t="s">
        <v>82</v>
      </c>
      <c r="L2313" s="9" t="s">
        <v>171</v>
      </c>
      <c r="M2313" s="9" t="s">
        <v>78</v>
      </c>
      <c r="N2313" s="9" t="s">
        <v>861</v>
      </c>
      <c r="O2313" s="9" t="s">
        <v>1269</v>
      </c>
      <c r="P2313" s="9" t="s">
        <v>1273</v>
      </c>
      <c r="Q2313" s="11">
        <v>16</v>
      </c>
      <c r="R2313" s="11"/>
      <c r="S2313" s="177">
        <v>48</v>
      </c>
      <c r="T2313" s="9"/>
      <c r="U2313" s="14" t="s">
        <v>77</v>
      </c>
      <c r="V2313" s="9"/>
      <c r="W2313" s="12">
        <v>30</v>
      </c>
      <c r="X2313" s="13"/>
      <c r="Y2313" s="13"/>
      <c r="Z2313" s="13"/>
      <c r="AA2313" s="13"/>
      <c r="AB2313" s="13"/>
      <c r="AC2313" s="13"/>
      <c r="AD2313" s="13"/>
      <c r="AE2313" s="13">
        <f t="shared" si="229"/>
        <v>4.8000000000000001E-2</v>
      </c>
      <c r="AF2313" s="13"/>
      <c r="AG2313" s="13"/>
      <c r="AH2313" s="13"/>
      <c r="AI2313" s="13"/>
      <c r="AJ2313" s="13">
        <f t="shared" si="228"/>
        <v>4.8000000000000001E-2</v>
      </c>
      <c r="AK2313" s="12"/>
      <c r="AL2313" s="13"/>
      <c r="AM2313" s="9"/>
      <c r="AN2313" s="9"/>
      <c r="AO2313" s="9"/>
      <c r="AP2313" s="14"/>
    </row>
    <row r="2314" spans="1:42" s="45" customFormat="1" ht="22" customHeight="1">
      <c r="A2314" s="14" t="s">
        <v>17</v>
      </c>
      <c r="B2314" s="8">
        <v>2024</v>
      </c>
      <c r="C2314" s="8" t="s">
        <v>24</v>
      </c>
      <c r="D2314" s="9" t="s">
        <v>185</v>
      </c>
      <c r="E2314" s="9" t="s">
        <v>115</v>
      </c>
      <c r="F2314" s="9" t="s">
        <v>434</v>
      </c>
      <c r="G2314" s="8"/>
      <c r="H2314" s="8"/>
      <c r="I2314" s="9" t="s">
        <v>78</v>
      </c>
      <c r="J2314" s="9" t="s">
        <v>11</v>
      </c>
      <c r="K2314" s="9" t="s">
        <v>82</v>
      </c>
      <c r="L2314" s="9" t="s">
        <v>171</v>
      </c>
      <c r="M2314" s="9" t="s">
        <v>78</v>
      </c>
      <c r="N2314" s="9" t="s">
        <v>861</v>
      </c>
      <c r="O2314" s="9" t="s">
        <v>1269</v>
      </c>
      <c r="P2314" s="9" t="s">
        <v>1274</v>
      </c>
      <c r="Q2314" s="11">
        <v>43</v>
      </c>
      <c r="R2314" s="11"/>
      <c r="S2314" s="177">
        <v>35</v>
      </c>
      <c r="T2314" s="9"/>
      <c r="U2314" s="14" t="s">
        <v>77</v>
      </c>
      <c r="V2314" s="9"/>
      <c r="W2314" s="12">
        <v>30</v>
      </c>
      <c r="X2314" s="13"/>
      <c r="Y2314" s="13"/>
      <c r="Z2314" s="13"/>
      <c r="AA2314" s="13"/>
      <c r="AB2314" s="13"/>
      <c r="AC2314" s="13"/>
      <c r="AD2314" s="13"/>
      <c r="AE2314" s="13">
        <f t="shared" si="229"/>
        <v>0.129</v>
      </c>
      <c r="AF2314" s="13"/>
      <c r="AG2314" s="13"/>
      <c r="AH2314" s="13"/>
      <c r="AI2314" s="13"/>
      <c r="AJ2314" s="13">
        <f t="shared" si="228"/>
        <v>0.129</v>
      </c>
      <c r="AK2314" s="12"/>
      <c r="AL2314" s="13"/>
      <c r="AM2314" s="9"/>
      <c r="AN2314" s="9"/>
      <c r="AO2314" s="9"/>
      <c r="AP2314" s="14"/>
    </row>
    <row r="2315" spans="1:42" s="45" customFormat="1" ht="22" customHeight="1">
      <c r="A2315" s="14" t="s">
        <v>17</v>
      </c>
      <c r="B2315" s="8">
        <v>2024</v>
      </c>
      <c r="C2315" s="8" t="s">
        <v>24</v>
      </c>
      <c r="D2315" s="9" t="s">
        <v>185</v>
      </c>
      <c r="E2315" s="9" t="s">
        <v>115</v>
      </c>
      <c r="F2315" s="9" t="s">
        <v>434</v>
      </c>
      <c r="G2315" s="8"/>
      <c r="H2315" s="8"/>
      <c r="I2315" s="9" t="s">
        <v>78</v>
      </c>
      <c r="J2315" s="9" t="s">
        <v>11</v>
      </c>
      <c r="K2315" s="9" t="s">
        <v>82</v>
      </c>
      <c r="L2315" s="9" t="s">
        <v>171</v>
      </c>
      <c r="M2315" s="9" t="s">
        <v>78</v>
      </c>
      <c r="N2315" s="9" t="s">
        <v>861</v>
      </c>
      <c r="O2315" s="9" t="s">
        <v>1275</v>
      </c>
      <c r="P2315" s="9" t="s">
        <v>1276</v>
      </c>
      <c r="Q2315" s="11">
        <v>29</v>
      </c>
      <c r="R2315" s="11"/>
      <c r="S2315" s="177">
        <v>46</v>
      </c>
      <c r="T2315" s="9"/>
      <c r="U2315" s="14" t="s">
        <v>77</v>
      </c>
      <c r="V2315" s="9"/>
      <c r="W2315" s="12">
        <v>30</v>
      </c>
      <c r="X2315" s="13"/>
      <c r="Y2315" s="13"/>
      <c r="Z2315" s="13"/>
      <c r="AA2315" s="13"/>
      <c r="AB2315" s="13"/>
      <c r="AC2315" s="13"/>
      <c r="AD2315" s="13"/>
      <c r="AE2315" s="13">
        <f t="shared" si="229"/>
        <v>8.6999999999999994E-2</v>
      </c>
      <c r="AF2315" s="13"/>
      <c r="AG2315" s="13"/>
      <c r="AH2315" s="13"/>
      <c r="AI2315" s="13"/>
      <c r="AJ2315" s="13">
        <f t="shared" si="228"/>
        <v>8.6999999999999994E-2</v>
      </c>
      <c r="AK2315" s="12"/>
      <c r="AL2315" s="13"/>
      <c r="AM2315" s="9"/>
      <c r="AN2315" s="9"/>
      <c r="AO2315" s="9"/>
      <c r="AP2315" s="14"/>
    </row>
    <row r="2316" spans="1:42" s="45" customFormat="1" ht="22" customHeight="1">
      <c r="A2316" s="14" t="s">
        <v>17</v>
      </c>
      <c r="B2316" s="8">
        <v>2024</v>
      </c>
      <c r="C2316" s="8" t="s">
        <v>24</v>
      </c>
      <c r="D2316" s="9" t="s">
        <v>185</v>
      </c>
      <c r="E2316" s="9" t="s">
        <v>115</v>
      </c>
      <c r="F2316" s="9" t="s">
        <v>434</v>
      </c>
      <c r="G2316" s="8"/>
      <c r="H2316" s="8"/>
      <c r="I2316" s="9" t="s">
        <v>78</v>
      </c>
      <c r="J2316" s="9" t="s">
        <v>11</v>
      </c>
      <c r="K2316" s="9" t="s">
        <v>82</v>
      </c>
      <c r="L2316" s="9" t="s">
        <v>171</v>
      </c>
      <c r="M2316" s="9" t="s">
        <v>78</v>
      </c>
      <c r="N2316" s="9" t="s">
        <v>861</v>
      </c>
      <c r="O2316" s="9" t="s">
        <v>1275</v>
      </c>
      <c r="P2316" s="9" t="s">
        <v>1277</v>
      </c>
      <c r="Q2316" s="11">
        <v>37</v>
      </c>
      <c r="R2316" s="11"/>
      <c r="S2316" s="177">
        <v>54</v>
      </c>
      <c r="T2316" s="9"/>
      <c r="U2316" s="14" t="s">
        <v>77</v>
      </c>
      <c r="V2316" s="9"/>
      <c r="W2316" s="12">
        <v>30</v>
      </c>
      <c r="X2316" s="13"/>
      <c r="Y2316" s="13"/>
      <c r="Z2316" s="13"/>
      <c r="AA2316" s="13"/>
      <c r="AB2316" s="13"/>
      <c r="AC2316" s="13"/>
      <c r="AD2316" s="13"/>
      <c r="AE2316" s="13">
        <f t="shared" si="229"/>
        <v>0.111</v>
      </c>
      <c r="AF2316" s="13"/>
      <c r="AG2316" s="13"/>
      <c r="AH2316" s="13"/>
      <c r="AI2316" s="13"/>
      <c r="AJ2316" s="13">
        <f t="shared" si="228"/>
        <v>0.111</v>
      </c>
      <c r="AK2316" s="12"/>
      <c r="AL2316" s="13"/>
      <c r="AM2316" s="9"/>
      <c r="AN2316" s="9"/>
      <c r="AO2316" s="9"/>
      <c r="AP2316" s="14"/>
    </row>
    <row r="2317" spans="1:42" s="45" customFormat="1" ht="22" customHeight="1">
      <c r="A2317" s="14" t="s">
        <v>17</v>
      </c>
      <c r="B2317" s="8">
        <v>2024</v>
      </c>
      <c r="C2317" s="8" t="s">
        <v>24</v>
      </c>
      <c r="D2317" s="9" t="s">
        <v>185</v>
      </c>
      <c r="E2317" s="9" t="s">
        <v>115</v>
      </c>
      <c r="F2317" s="9" t="s">
        <v>434</v>
      </c>
      <c r="G2317" s="8"/>
      <c r="H2317" s="8"/>
      <c r="I2317" s="9" t="s">
        <v>78</v>
      </c>
      <c r="J2317" s="9" t="s">
        <v>11</v>
      </c>
      <c r="K2317" s="9" t="s">
        <v>82</v>
      </c>
      <c r="L2317" s="9" t="s">
        <v>171</v>
      </c>
      <c r="M2317" s="9" t="s">
        <v>78</v>
      </c>
      <c r="N2317" s="9" t="s">
        <v>861</v>
      </c>
      <c r="O2317" s="9" t="s">
        <v>1275</v>
      </c>
      <c r="P2317" s="9" t="s">
        <v>1278</v>
      </c>
      <c r="Q2317" s="11">
        <v>47</v>
      </c>
      <c r="R2317" s="11"/>
      <c r="S2317" s="177">
        <v>40</v>
      </c>
      <c r="T2317" s="9"/>
      <c r="U2317" s="14" t="s">
        <v>77</v>
      </c>
      <c r="V2317" s="9"/>
      <c r="W2317" s="12">
        <v>30</v>
      </c>
      <c r="X2317" s="13"/>
      <c r="Y2317" s="13"/>
      <c r="Z2317" s="13"/>
      <c r="AA2317" s="13"/>
      <c r="AB2317" s="13"/>
      <c r="AC2317" s="13"/>
      <c r="AD2317" s="13"/>
      <c r="AE2317" s="13">
        <f t="shared" si="229"/>
        <v>0.14099999999999999</v>
      </c>
      <c r="AF2317" s="13"/>
      <c r="AG2317" s="13"/>
      <c r="AH2317" s="13"/>
      <c r="AI2317" s="13"/>
      <c r="AJ2317" s="13">
        <f t="shared" si="228"/>
        <v>0.14099999999999999</v>
      </c>
      <c r="AK2317" s="12"/>
      <c r="AL2317" s="13"/>
      <c r="AM2317" s="9"/>
      <c r="AN2317" s="9"/>
      <c r="AO2317" s="9"/>
      <c r="AP2317" s="14"/>
    </row>
    <row r="2318" spans="1:42" s="45" customFormat="1" ht="22" customHeight="1">
      <c r="A2318" s="14" t="s">
        <v>17</v>
      </c>
      <c r="B2318" s="8">
        <v>2024</v>
      </c>
      <c r="C2318" s="8" t="s">
        <v>24</v>
      </c>
      <c r="D2318" s="9" t="s">
        <v>185</v>
      </c>
      <c r="E2318" s="9" t="s">
        <v>115</v>
      </c>
      <c r="F2318" s="9" t="s">
        <v>434</v>
      </c>
      <c r="G2318" s="8"/>
      <c r="H2318" s="8"/>
      <c r="I2318" s="9" t="s">
        <v>78</v>
      </c>
      <c r="J2318" s="9" t="s">
        <v>11</v>
      </c>
      <c r="K2318" s="9" t="s">
        <v>82</v>
      </c>
      <c r="L2318" s="9" t="s">
        <v>171</v>
      </c>
      <c r="M2318" s="9" t="s">
        <v>78</v>
      </c>
      <c r="N2318" s="9" t="s">
        <v>861</v>
      </c>
      <c r="O2318" s="9" t="s">
        <v>1275</v>
      </c>
      <c r="P2318" s="9" t="s">
        <v>1279</v>
      </c>
      <c r="Q2318" s="11">
        <v>47</v>
      </c>
      <c r="R2318" s="11"/>
      <c r="S2318" s="177">
        <v>44</v>
      </c>
      <c r="T2318" s="9"/>
      <c r="U2318" s="14" t="s">
        <v>77</v>
      </c>
      <c r="V2318" s="9"/>
      <c r="W2318" s="12">
        <v>30</v>
      </c>
      <c r="X2318" s="13"/>
      <c r="Y2318" s="13"/>
      <c r="Z2318" s="13"/>
      <c r="AA2318" s="13"/>
      <c r="AB2318" s="13"/>
      <c r="AC2318" s="13"/>
      <c r="AD2318" s="13"/>
      <c r="AE2318" s="13">
        <f t="shared" si="229"/>
        <v>0.14099999999999999</v>
      </c>
      <c r="AF2318" s="13"/>
      <c r="AG2318" s="13"/>
      <c r="AH2318" s="13"/>
      <c r="AI2318" s="13"/>
      <c r="AJ2318" s="13">
        <f t="shared" si="228"/>
        <v>0.14099999999999999</v>
      </c>
      <c r="AK2318" s="12"/>
      <c r="AL2318" s="13"/>
      <c r="AM2318" s="9"/>
      <c r="AN2318" s="9"/>
      <c r="AO2318" s="9"/>
      <c r="AP2318" s="14"/>
    </row>
    <row r="2319" spans="1:42" s="45" customFormat="1" ht="22" customHeight="1">
      <c r="A2319" s="14" t="s">
        <v>17</v>
      </c>
      <c r="B2319" s="8">
        <v>2024</v>
      </c>
      <c r="C2319" s="8" t="s">
        <v>24</v>
      </c>
      <c r="D2319" s="9" t="s">
        <v>185</v>
      </c>
      <c r="E2319" s="9" t="s">
        <v>115</v>
      </c>
      <c r="F2319" s="9" t="s">
        <v>434</v>
      </c>
      <c r="G2319" s="8"/>
      <c r="H2319" s="8"/>
      <c r="I2319" s="9" t="s">
        <v>78</v>
      </c>
      <c r="J2319" s="9" t="s">
        <v>11</v>
      </c>
      <c r="K2319" s="9" t="s">
        <v>82</v>
      </c>
      <c r="L2319" s="9" t="s">
        <v>171</v>
      </c>
      <c r="M2319" s="9" t="s">
        <v>78</v>
      </c>
      <c r="N2319" s="9" t="s">
        <v>861</v>
      </c>
      <c r="O2319" s="9" t="s">
        <v>1275</v>
      </c>
      <c r="P2319" s="9" t="s">
        <v>1280</v>
      </c>
      <c r="Q2319" s="11">
        <v>46</v>
      </c>
      <c r="R2319" s="11"/>
      <c r="S2319" s="177">
        <v>62</v>
      </c>
      <c r="T2319" s="9"/>
      <c r="U2319" s="14" t="s">
        <v>77</v>
      </c>
      <c r="V2319" s="9"/>
      <c r="W2319" s="12">
        <v>30</v>
      </c>
      <c r="X2319" s="13"/>
      <c r="Y2319" s="13"/>
      <c r="Z2319" s="13"/>
      <c r="AA2319" s="13"/>
      <c r="AB2319" s="13"/>
      <c r="AC2319" s="13"/>
      <c r="AD2319" s="13"/>
      <c r="AE2319" s="13">
        <f t="shared" si="229"/>
        <v>0.13800000000000001</v>
      </c>
      <c r="AF2319" s="13"/>
      <c r="AG2319" s="13"/>
      <c r="AH2319" s="13"/>
      <c r="AI2319" s="13"/>
      <c r="AJ2319" s="13">
        <f t="shared" si="228"/>
        <v>0.13800000000000001</v>
      </c>
      <c r="AK2319" s="12"/>
      <c r="AL2319" s="13"/>
      <c r="AM2319" s="9"/>
      <c r="AN2319" s="9"/>
      <c r="AO2319" s="9"/>
      <c r="AP2319" s="14"/>
    </row>
    <row r="2320" spans="1:42" s="45" customFormat="1" ht="22" customHeight="1">
      <c r="A2320" s="14" t="s">
        <v>17</v>
      </c>
      <c r="B2320" s="8">
        <v>2024</v>
      </c>
      <c r="C2320" s="8" t="s">
        <v>24</v>
      </c>
      <c r="D2320" s="9" t="s">
        <v>185</v>
      </c>
      <c r="E2320" s="9" t="s">
        <v>115</v>
      </c>
      <c r="F2320" s="9" t="s">
        <v>434</v>
      </c>
      <c r="G2320" s="8"/>
      <c r="H2320" s="8"/>
      <c r="I2320" s="9" t="s">
        <v>78</v>
      </c>
      <c r="J2320" s="9" t="s">
        <v>11</v>
      </c>
      <c r="K2320" s="9" t="s">
        <v>82</v>
      </c>
      <c r="L2320" s="9" t="s">
        <v>171</v>
      </c>
      <c r="M2320" s="9" t="s">
        <v>78</v>
      </c>
      <c r="N2320" s="9" t="s">
        <v>861</v>
      </c>
      <c r="O2320" s="9" t="s">
        <v>1275</v>
      </c>
      <c r="P2320" s="9" t="s">
        <v>1281</v>
      </c>
      <c r="Q2320" s="11">
        <v>31</v>
      </c>
      <c r="R2320" s="11"/>
      <c r="S2320" s="177">
        <v>45</v>
      </c>
      <c r="T2320" s="9"/>
      <c r="U2320" s="14" t="s">
        <v>77</v>
      </c>
      <c r="V2320" s="9"/>
      <c r="W2320" s="12">
        <v>30</v>
      </c>
      <c r="X2320" s="13"/>
      <c r="Y2320" s="13"/>
      <c r="Z2320" s="13"/>
      <c r="AA2320" s="13"/>
      <c r="AB2320" s="13"/>
      <c r="AC2320" s="13"/>
      <c r="AD2320" s="13"/>
      <c r="AE2320" s="13">
        <f t="shared" si="229"/>
        <v>9.2999999999999999E-2</v>
      </c>
      <c r="AF2320" s="13"/>
      <c r="AG2320" s="13"/>
      <c r="AH2320" s="13"/>
      <c r="AI2320" s="13"/>
      <c r="AJ2320" s="13">
        <f t="shared" si="228"/>
        <v>9.2999999999999999E-2</v>
      </c>
      <c r="AK2320" s="12"/>
      <c r="AL2320" s="13"/>
      <c r="AM2320" s="9"/>
      <c r="AN2320" s="9"/>
      <c r="AO2320" s="9"/>
      <c r="AP2320" s="14"/>
    </row>
    <row r="2321" spans="1:42" s="45" customFormat="1" ht="22" customHeight="1">
      <c r="A2321" s="14" t="s">
        <v>17</v>
      </c>
      <c r="B2321" s="8">
        <v>2024</v>
      </c>
      <c r="C2321" s="8" t="s">
        <v>24</v>
      </c>
      <c r="D2321" s="9" t="s">
        <v>185</v>
      </c>
      <c r="E2321" s="9" t="s">
        <v>115</v>
      </c>
      <c r="F2321" s="9" t="s">
        <v>434</v>
      </c>
      <c r="G2321" s="8"/>
      <c r="H2321" s="8"/>
      <c r="I2321" s="9" t="s">
        <v>78</v>
      </c>
      <c r="J2321" s="9" t="s">
        <v>11</v>
      </c>
      <c r="K2321" s="9" t="s">
        <v>82</v>
      </c>
      <c r="L2321" s="9" t="s">
        <v>171</v>
      </c>
      <c r="M2321" s="9" t="s">
        <v>78</v>
      </c>
      <c r="N2321" s="9" t="s">
        <v>861</v>
      </c>
      <c r="O2321" s="9" t="s">
        <v>1275</v>
      </c>
      <c r="P2321" s="9" t="s">
        <v>1282</v>
      </c>
      <c r="Q2321" s="11">
        <v>35</v>
      </c>
      <c r="R2321" s="11"/>
      <c r="S2321" s="177">
        <v>38</v>
      </c>
      <c r="T2321" s="9"/>
      <c r="U2321" s="14" t="s">
        <v>77</v>
      </c>
      <c r="V2321" s="9"/>
      <c r="W2321" s="12">
        <v>30</v>
      </c>
      <c r="X2321" s="13"/>
      <c r="Y2321" s="13"/>
      <c r="Z2321" s="13"/>
      <c r="AA2321" s="13"/>
      <c r="AB2321" s="13"/>
      <c r="AC2321" s="13"/>
      <c r="AD2321" s="13"/>
      <c r="AE2321" s="13">
        <f t="shared" si="229"/>
        <v>0.105</v>
      </c>
      <c r="AF2321" s="13"/>
      <c r="AG2321" s="13"/>
      <c r="AH2321" s="13"/>
      <c r="AI2321" s="13"/>
      <c r="AJ2321" s="13">
        <f t="shared" si="228"/>
        <v>0.105</v>
      </c>
      <c r="AK2321" s="12"/>
      <c r="AL2321" s="13"/>
      <c r="AM2321" s="9"/>
      <c r="AN2321" s="9"/>
      <c r="AO2321" s="9"/>
      <c r="AP2321" s="14"/>
    </row>
    <row r="2322" spans="1:42" s="45" customFormat="1" ht="22" customHeight="1">
      <c r="A2322" s="14" t="s">
        <v>17</v>
      </c>
      <c r="B2322" s="8">
        <v>2024</v>
      </c>
      <c r="C2322" s="8" t="s">
        <v>24</v>
      </c>
      <c r="D2322" s="9" t="s">
        <v>185</v>
      </c>
      <c r="E2322" s="9" t="s">
        <v>115</v>
      </c>
      <c r="F2322" s="9" t="s">
        <v>434</v>
      </c>
      <c r="G2322" s="8"/>
      <c r="H2322" s="8"/>
      <c r="I2322" s="9" t="s">
        <v>78</v>
      </c>
      <c r="J2322" s="9" t="s">
        <v>11</v>
      </c>
      <c r="K2322" s="9" t="s">
        <v>82</v>
      </c>
      <c r="L2322" s="9" t="s">
        <v>171</v>
      </c>
      <c r="M2322" s="9" t="s">
        <v>78</v>
      </c>
      <c r="N2322" s="9" t="s">
        <v>861</v>
      </c>
      <c r="O2322" s="9" t="s">
        <v>1283</v>
      </c>
      <c r="P2322" s="9" t="s">
        <v>1284</v>
      </c>
      <c r="Q2322" s="11">
        <v>56</v>
      </c>
      <c r="R2322" s="11"/>
      <c r="S2322" s="177">
        <v>39</v>
      </c>
      <c r="T2322" s="9"/>
      <c r="U2322" s="14" t="s">
        <v>77</v>
      </c>
      <c r="V2322" s="9"/>
      <c r="W2322" s="12">
        <v>30</v>
      </c>
      <c r="X2322" s="13"/>
      <c r="Y2322" s="13"/>
      <c r="Z2322" s="13"/>
      <c r="AA2322" s="13"/>
      <c r="AB2322" s="13"/>
      <c r="AC2322" s="13"/>
      <c r="AD2322" s="13"/>
      <c r="AE2322" s="13">
        <f t="shared" si="229"/>
        <v>0.16800000000000001</v>
      </c>
      <c r="AF2322" s="13"/>
      <c r="AG2322" s="13"/>
      <c r="AH2322" s="13"/>
      <c r="AI2322" s="13"/>
      <c r="AJ2322" s="13">
        <f t="shared" si="228"/>
        <v>0.16800000000000001</v>
      </c>
      <c r="AK2322" s="12"/>
      <c r="AL2322" s="13"/>
      <c r="AM2322" s="9"/>
      <c r="AN2322" s="9"/>
      <c r="AO2322" s="9"/>
      <c r="AP2322" s="14"/>
    </row>
    <row r="2323" spans="1:42" s="45" customFormat="1" ht="22" customHeight="1">
      <c r="A2323" s="14" t="s">
        <v>17</v>
      </c>
      <c r="B2323" s="8">
        <v>2024</v>
      </c>
      <c r="C2323" s="8" t="s">
        <v>24</v>
      </c>
      <c r="D2323" s="9" t="s">
        <v>185</v>
      </c>
      <c r="E2323" s="9" t="s">
        <v>115</v>
      </c>
      <c r="F2323" s="9" t="s">
        <v>434</v>
      </c>
      <c r="G2323" s="8"/>
      <c r="H2323" s="8"/>
      <c r="I2323" s="9" t="s">
        <v>78</v>
      </c>
      <c r="J2323" s="9" t="s">
        <v>11</v>
      </c>
      <c r="K2323" s="9" t="s">
        <v>82</v>
      </c>
      <c r="L2323" s="9" t="s">
        <v>171</v>
      </c>
      <c r="M2323" s="9" t="s">
        <v>78</v>
      </c>
      <c r="N2323" s="9" t="s">
        <v>861</v>
      </c>
      <c r="O2323" s="9" t="s">
        <v>1283</v>
      </c>
      <c r="P2323" s="9" t="s">
        <v>1233</v>
      </c>
      <c r="Q2323" s="11">
        <v>54</v>
      </c>
      <c r="R2323" s="11"/>
      <c r="S2323" s="177">
        <v>47</v>
      </c>
      <c r="T2323" s="9"/>
      <c r="U2323" s="14" t="s">
        <v>77</v>
      </c>
      <c r="V2323" s="9"/>
      <c r="W2323" s="12">
        <v>30</v>
      </c>
      <c r="X2323" s="13"/>
      <c r="Y2323" s="13"/>
      <c r="Z2323" s="13"/>
      <c r="AA2323" s="13"/>
      <c r="AB2323" s="13"/>
      <c r="AC2323" s="13"/>
      <c r="AD2323" s="13"/>
      <c r="AE2323" s="13">
        <f t="shared" si="229"/>
        <v>0.16200000000000001</v>
      </c>
      <c r="AF2323" s="13"/>
      <c r="AG2323" s="13"/>
      <c r="AH2323" s="13"/>
      <c r="AI2323" s="13"/>
      <c r="AJ2323" s="13">
        <f t="shared" si="228"/>
        <v>0.16200000000000001</v>
      </c>
      <c r="AK2323" s="12"/>
      <c r="AL2323" s="13"/>
      <c r="AM2323" s="9"/>
      <c r="AN2323" s="9"/>
      <c r="AO2323" s="9"/>
      <c r="AP2323" s="14"/>
    </row>
    <row r="2324" spans="1:42" s="45" customFormat="1" ht="22" customHeight="1">
      <c r="A2324" s="14" t="s">
        <v>17</v>
      </c>
      <c r="B2324" s="8">
        <v>2024</v>
      </c>
      <c r="C2324" s="8" t="s">
        <v>24</v>
      </c>
      <c r="D2324" s="9" t="s">
        <v>185</v>
      </c>
      <c r="E2324" s="9" t="s">
        <v>115</v>
      </c>
      <c r="F2324" s="9" t="s">
        <v>434</v>
      </c>
      <c r="G2324" s="8"/>
      <c r="H2324" s="8"/>
      <c r="I2324" s="9" t="s">
        <v>78</v>
      </c>
      <c r="J2324" s="9" t="s">
        <v>11</v>
      </c>
      <c r="K2324" s="9" t="s">
        <v>82</v>
      </c>
      <c r="L2324" s="9" t="s">
        <v>171</v>
      </c>
      <c r="M2324" s="9" t="s">
        <v>78</v>
      </c>
      <c r="N2324" s="9" t="s">
        <v>861</v>
      </c>
      <c r="O2324" s="9" t="s">
        <v>1283</v>
      </c>
      <c r="P2324" s="9" t="s">
        <v>1285</v>
      </c>
      <c r="Q2324" s="11">
        <v>51</v>
      </c>
      <c r="R2324" s="11"/>
      <c r="S2324" s="177">
        <v>39</v>
      </c>
      <c r="T2324" s="9"/>
      <c r="U2324" s="14" t="s">
        <v>77</v>
      </c>
      <c r="V2324" s="9"/>
      <c r="W2324" s="12">
        <v>30</v>
      </c>
      <c r="X2324" s="13"/>
      <c r="Y2324" s="13"/>
      <c r="Z2324" s="13"/>
      <c r="AA2324" s="13"/>
      <c r="AB2324" s="13"/>
      <c r="AC2324" s="13"/>
      <c r="AD2324" s="13"/>
      <c r="AE2324" s="13">
        <f t="shared" si="229"/>
        <v>0.153</v>
      </c>
      <c r="AF2324" s="13"/>
      <c r="AG2324" s="13"/>
      <c r="AH2324" s="13"/>
      <c r="AI2324" s="13"/>
      <c r="AJ2324" s="13">
        <f t="shared" si="228"/>
        <v>0.153</v>
      </c>
      <c r="AK2324" s="12"/>
      <c r="AL2324" s="13"/>
      <c r="AM2324" s="9"/>
      <c r="AN2324" s="9"/>
      <c r="AO2324" s="9"/>
      <c r="AP2324" s="14"/>
    </row>
    <row r="2325" spans="1:42" s="45" customFormat="1" ht="22" customHeight="1">
      <c r="A2325" s="14" t="s">
        <v>17</v>
      </c>
      <c r="B2325" s="8">
        <v>2024</v>
      </c>
      <c r="C2325" s="8" t="s">
        <v>24</v>
      </c>
      <c r="D2325" s="9" t="s">
        <v>185</v>
      </c>
      <c r="E2325" s="9" t="s">
        <v>115</v>
      </c>
      <c r="F2325" s="9" t="s">
        <v>434</v>
      </c>
      <c r="G2325" s="8"/>
      <c r="H2325" s="8"/>
      <c r="I2325" s="9" t="s">
        <v>78</v>
      </c>
      <c r="J2325" s="9" t="s">
        <v>11</v>
      </c>
      <c r="K2325" s="9" t="s">
        <v>82</v>
      </c>
      <c r="L2325" s="9" t="s">
        <v>171</v>
      </c>
      <c r="M2325" s="9" t="s">
        <v>78</v>
      </c>
      <c r="N2325" s="9" t="s">
        <v>861</v>
      </c>
      <c r="O2325" s="9" t="s">
        <v>1283</v>
      </c>
      <c r="P2325" s="9" t="s">
        <v>1286</v>
      </c>
      <c r="Q2325" s="11">
        <v>69</v>
      </c>
      <c r="R2325" s="11"/>
      <c r="S2325" s="177">
        <v>75</v>
      </c>
      <c r="T2325" s="9"/>
      <c r="U2325" s="14" t="s">
        <v>77</v>
      </c>
      <c r="V2325" s="9"/>
      <c r="W2325" s="12">
        <v>30</v>
      </c>
      <c r="X2325" s="13"/>
      <c r="Y2325" s="13"/>
      <c r="Z2325" s="13"/>
      <c r="AA2325" s="13"/>
      <c r="AB2325" s="13"/>
      <c r="AC2325" s="13"/>
      <c r="AD2325" s="13"/>
      <c r="AE2325" s="13">
        <f t="shared" si="229"/>
        <v>0.20699999999999999</v>
      </c>
      <c r="AF2325" s="13"/>
      <c r="AG2325" s="13"/>
      <c r="AH2325" s="13"/>
      <c r="AI2325" s="13"/>
      <c r="AJ2325" s="13">
        <f t="shared" si="228"/>
        <v>0.20699999999999999</v>
      </c>
      <c r="AK2325" s="12"/>
      <c r="AL2325" s="13"/>
      <c r="AM2325" s="9"/>
      <c r="AN2325" s="9"/>
      <c r="AO2325" s="9"/>
      <c r="AP2325" s="14"/>
    </row>
    <row r="2326" spans="1:42" s="45" customFormat="1" ht="22" customHeight="1">
      <c r="A2326" s="14" t="s">
        <v>17</v>
      </c>
      <c r="B2326" s="8">
        <v>2024</v>
      </c>
      <c r="C2326" s="8" t="s">
        <v>24</v>
      </c>
      <c r="D2326" s="9" t="s">
        <v>185</v>
      </c>
      <c r="E2326" s="9" t="s">
        <v>115</v>
      </c>
      <c r="F2326" s="9" t="s">
        <v>434</v>
      </c>
      <c r="G2326" s="8"/>
      <c r="H2326" s="8"/>
      <c r="I2326" s="9" t="s">
        <v>78</v>
      </c>
      <c r="J2326" s="9" t="s">
        <v>11</v>
      </c>
      <c r="K2326" s="9" t="s">
        <v>82</v>
      </c>
      <c r="L2326" s="9" t="s">
        <v>171</v>
      </c>
      <c r="M2326" s="9" t="s">
        <v>78</v>
      </c>
      <c r="N2326" s="9" t="s">
        <v>861</v>
      </c>
      <c r="O2326" s="9" t="s">
        <v>1283</v>
      </c>
      <c r="P2326" s="9" t="s">
        <v>472</v>
      </c>
      <c r="Q2326" s="11">
        <v>42</v>
      </c>
      <c r="R2326" s="11"/>
      <c r="S2326" s="177">
        <v>30</v>
      </c>
      <c r="T2326" s="9"/>
      <c r="U2326" s="14" t="s">
        <v>77</v>
      </c>
      <c r="V2326" s="9"/>
      <c r="W2326" s="12">
        <v>30</v>
      </c>
      <c r="X2326" s="13"/>
      <c r="Y2326" s="13"/>
      <c r="Z2326" s="13"/>
      <c r="AA2326" s="13"/>
      <c r="AB2326" s="13"/>
      <c r="AC2326" s="13"/>
      <c r="AD2326" s="13"/>
      <c r="AE2326" s="13">
        <f t="shared" si="229"/>
        <v>0.126</v>
      </c>
      <c r="AF2326" s="13"/>
      <c r="AG2326" s="13"/>
      <c r="AH2326" s="13"/>
      <c r="AI2326" s="13"/>
      <c r="AJ2326" s="13">
        <f t="shared" si="228"/>
        <v>0.126</v>
      </c>
      <c r="AK2326" s="12"/>
      <c r="AL2326" s="13"/>
      <c r="AM2326" s="9"/>
      <c r="AN2326" s="9"/>
      <c r="AO2326" s="9"/>
      <c r="AP2326" s="14"/>
    </row>
    <row r="2327" spans="1:42" s="45" customFormat="1" ht="22" customHeight="1">
      <c r="A2327" s="14" t="s">
        <v>17</v>
      </c>
      <c r="B2327" s="8">
        <v>2024</v>
      </c>
      <c r="C2327" s="8" t="s">
        <v>24</v>
      </c>
      <c r="D2327" s="9" t="s">
        <v>185</v>
      </c>
      <c r="E2327" s="9" t="s">
        <v>115</v>
      </c>
      <c r="F2327" s="9" t="s">
        <v>434</v>
      </c>
      <c r="G2327" s="8"/>
      <c r="H2327" s="8"/>
      <c r="I2327" s="9" t="s">
        <v>78</v>
      </c>
      <c r="J2327" s="9" t="s">
        <v>11</v>
      </c>
      <c r="K2327" s="9" t="s">
        <v>82</v>
      </c>
      <c r="L2327" s="9" t="s">
        <v>171</v>
      </c>
      <c r="M2327" s="9" t="s">
        <v>78</v>
      </c>
      <c r="N2327" s="9" t="s">
        <v>861</v>
      </c>
      <c r="O2327" s="9" t="s">
        <v>1283</v>
      </c>
      <c r="P2327" s="9" t="s">
        <v>1287</v>
      </c>
      <c r="Q2327" s="11">
        <v>56</v>
      </c>
      <c r="R2327" s="11"/>
      <c r="S2327" s="177">
        <v>32</v>
      </c>
      <c r="T2327" s="9"/>
      <c r="U2327" s="14" t="s">
        <v>77</v>
      </c>
      <c r="V2327" s="9"/>
      <c r="W2327" s="12">
        <v>30</v>
      </c>
      <c r="X2327" s="13"/>
      <c r="Y2327" s="13"/>
      <c r="Z2327" s="13"/>
      <c r="AA2327" s="13"/>
      <c r="AB2327" s="13"/>
      <c r="AC2327" s="13"/>
      <c r="AD2327" s="13"/>
      <c r="AE2327" s="13">
        <f t="shared" si="229"/>
        <v>0.16800000000000001</v>
      </c>
      <c r="AF2327" s="13"/>
      <c r="AG2327" s="13"/>
      <c r="AH2327" s="13"/>
      <c r="AI2327" s="13"/>
      <c r="AJ2327" s="13">
        <f t="shared" si="228"/>
        <v>0.16800000000000001</v>
      </c>
      <c r="AK2327" s="12"/>
      <c r="AL2327" s="13"/>
      <c r="AM2327" s="9"/>
      <c r="AN2327" s="9"/>
      <c r="AO2327" s="9"/>
      <c r="AP2327" s="14"/>
    </row>
    <row r="2328" spans="1:42" s="45" customFormat="1" ht="22" customHeight="1">
      <c r="A2328" s="14" t="s">
        <v>17</v>
      </c>
      <c r="B2328" s="8">
        <v>2024</v>
      </c>
      <c r="C2328" s="8" t="s">
        <v>24</v>
      </c>
      <c r="D2328" s="9" t="s">
        <v>185</v>
      </c>
      <c r="E2328" s="9" t="s">
        <v>115</v>
      </c>
      <c r="F2328" s="9" t="s">
        <v>434</v>
      </c>
      <c r="G2328" s="8"/>
      <c r="H2328" s="8"/>
      <c r="I2328" s="9" t="s">
        <v>78</v>
      </c>
      <c r="J2328" s="9" t="s">
        <v>11</v>
      </c>
      <c r="K2328" s="9" t="s">
        <v>82</v>
      </c>
      <c r="L2328" s="9" t="s">
        <v>171</v>
      </c>
      <c r="M2328" s="9" t="s">
        <v>78</v>
      </c>
      <c r="N2328" s="9" t="s">
        <v>861</v>
      </c>
      <c r="O2328" s="9" t="s">
        <v>1283</v>
      </c>
      <c r="P2328" s="9" t="s">
        <v>1288</v>
      </c>
      <c r="Q2328" s="11">
        <v>26</v>
      </c>
      <c r="R2328" s="11"/>
      <c r="S2328" s="177">
        <v>57</v>
      </c>
      <c r="T2328" s="9"/>
      <c r="U2328" s="14" t="s">
        <v>77</v>
      </c>
      <c r="V2328" s="9"/>
      <c r="W2328" s="12">
        <v>30</v>
      </c>
      <c r="X2328" s="13"/>
      <c r="Y2328" s="13"/>
      <c r="Z2328" s="13"/>
      <c r="AA2328" s="13"/>
      <c r="AB2328" s="13"/>
      <c r="AC2328" s="13"/>
      <c r="AD2328" s="13"/>
      <c r="AE2328" s="13">
        <f t="shared" si="229"/>
        <v>7.8E-2</v>
      </c>
      <c r="AF2328" s="13"/>
      <c r="AG2328" s="13"/>
      <c r="AH2328" s="13"/>
      <c r="AI2328" s="13"/>
      <c r="AJ2328" s="13">
        <f t="shared" si="228"/>
        <v>7.8E-2</v>
      </c>
      <c r="AK2328" s="12"/>
      <c r="AL2328" s="13"/>
      <c r="AM2328" s="9"/>
      <c r="AN2328" s="9"/>
      <c r="AO2328" s="9"/>
      <c r="AP2328" s="14"/>
    </row>
    <row r="2329" spans="1:42" s="45" customFormat="1" ht="22" customHeight="1">
      <c r="A2329" s="14" t="s">
        <v>17</v>
      </c>
      <c r="B2329" s="8">
        <v>2024</v>
      </c>
      <c r="C2329" s="8" t="s">
        <v>24</v>
      </c>
      <c r="D2329" s="9" t="s">
        <v>185</v>
      </c>
      <c r="E2329" s="9" t="s">
        <v>115</v>
      </c>
      <c r="F2329" s="9" t="s">
        <v>434</v>
      </c>
      <c r="G2329" s="8"/>
      <c r="H2329" s="8"/>
      <c r="I2329" s="9" t="s">
        <v>78</v>
      </c>
      <c r="J2329" s="9" t="s">
        <v>11</v>
      </c>
      <c r="K2329" s="9" t="s">
        <v>82</v>
      </c>
      <c r="L2329" s="9" t="s">
        <v>171</v>
      </c>
      <c r="M2329" s="9" t="s">
        <v>78</v>
      </c>
      <c r="N2329" s="9" t="s">
        <v>861</v>
      </c>
      <c r="O2329" s="9" t="s">
        <v>1283</v>
      </c>
      <c r="P2329" s="9" t="s">
        <v>624</v>
      </c>
      <c r="Q2329" s="11">
        <v>35</v>
      </c>
      <c r="R2329" s="11"/>
      <c r="S2329" s="177">
        <v>45</v>
      </c>
      <c r="T2329" s="9"/>
      <c r="U2329" s="14" t="s">
        <v>77</v>
      </c>
      <c r="V2329" s="9"/>
      <c r="W2329" s="12">
        <v>30</v>
      </c>
      <c r="X2329" s="13"/>
      <c r="Y2329" s="13"/>
      <c r="Z2329" s="13"/>
      <c r="AA2329" s="13"/>
      <c r="AB2329" s="13"/>
      <c r="AC2329" s="13"/>
      <c r="AD2329" s="13"/>
      <c r="AE2329" s="13">
        <f t="shared" si="229"/>
        <v>0.105</v>
      </c>
      <c r="AF2329" s="13"/>
      <c r="AG2329" s="13"/>
      <c r="AH2329" s="13"/>
      <c r="AI2329" s="13"/>
      <c r="AJ2329" s="13">
        <f t="shared" si="228"/>
        <v>0.105</v>
      </c>
      <c r="AK2329" s="12"/>
      <c r="AL2329" s="13"/>
      <c r="AM2329" s="9"/>
      <c r="AN2329" s="9"/>
      <c r="AO2329" s="9"/>
      <c r="AP2329" s="14"/>
    </row>
    <row r="2330" spans="1:42" s="45" customFormat="1" ht="22" customHeight="1">
      <c r="A2330" s="14" t="s">
        <v>17</v>
      </c>
      <c r="B2330" s="8">
        <v>2024</v>
      </c>
      <c r="C2330" s="8" t="s">
        <v>24</v>
      </c>
      <c r="D2330" s="9" t="s">
        <v>185</v>
      </c>
      <c r="E2330" s="9" t="s">
        <v>115</v>
      </c>
      <c r="F2330" s="9" t="s">
        <v>434</v>
      </c>
      <c r="G2330" s="8"/>
      <c r="H2330" s="8"/>
      <c r="I2330" s="9" t="s">
        <v>78</v>
      </c>
      <c r="J2330" s="9" t="s">
        <v>11</v>
      </c>
      <c r="K2330" s="9" t="s">
        <v>82</v>
      </c>
      <c r="L2330" s="9" t="s">
        <v>171</v>
      </c>
      <c r="M2330" s="9" t="s">
        <v>78</v>
      </c>
      <c r="N2330" s="9" t="s">
        <v>861</v>
      </c>
      <c r="O2330" s="9" t="s">
        <v>1289</v>
      </c>
      <c r="P2330" s="9" t="s">
        <v>1290</v>
      </c>
      <c r="Q2330" s="11">
        <v>42</v>
      </c>
      <c r="R2330" s="11"/>
      <c r="S2330" s="177">
        <v>75</v>
      </c>
      <c r="T2330" s="9"/>
      <c r="U2330" s="14" t="s">
        <v>77</v>
      </c>
      <c r="V2330" s="9"/>
      <c r="W2330" s="12">
        <v>30</v>
      </c>
      <c r="X2330" s="13"/>
      <c r="Y2330" s="13"/>
      <c r="Z2330" s="13"/>
      <c r="AA2330" s="13"/>
      <c r="AB2330" s="13"/>
      <c r="AC2330" s="13"/>
      <c r="AD2330" s="13"/>
      <c r="AE2330" s="13">
        <f t="shared" si="229"/>
        <v>0.126</v>
      </c>
      <c r="AF2330" s="13"/>
      <c r="AG2330" s="13"/>
      <c r="AH2330" s="13"/>
      <c r="AI2330" s="13"/>
      <c r="AJ2330" s="13">
        <f t="shared" si="228"/>
        <v>0.126</v>
      </c>
      <c r="AK2330" s="12"/>
      <c r="AL2330" s="13"/>
      <c r="AM2330" s="9"/>
      <c r="AN2330" s="9"/>
      <c r="AO2330" s="9"/>
      <c r="AP2330" s="14"/>
    </row>
    <row r="2331" spans="1:42" s="45" customFormat="1" ht="22" customHeight="1">
      <c r="A2331" s="14" t="s">
        <v>17</v>
      </c>
      <c r="B2331" s="8">
        <v>2024</v>
      </c>
      <c r="C2331" s="8" t="s">
        <v>24</v>
      </c>
      <c r="D2331" s="9" t="s">
        <v>185</v>
      </c>
      <c r="E2331" s="9" t="s">
        <v>115</v>
      </c>
      <c r="F2331" s="9" t="s">
        <v>434</v>
      </c>
      <c r="G2331" s="8"/>
      <c r="H2331" s="8"/>
      <c r="I2331" s="9" t="s">
        <v>78</v>
      </c>
      <c r="J2331" s="9" t="s">
        <v>11</v>
      </c>
      <c r="K2331" s="9" t="s">
        <v>82</v>
      </c>
      <c r="L2331" s="9" t="s">
        <v>171</v>
      </c>
      <c r="M2331" s="9" t="s">
        <v>78</v>
      </c>
      <c r="N2331" s="9" t="s">
        <v>861</v>
      </c>
      <c r="O2331" s="9" t="s">
        <v>1289</v>
      </c>
      <c r="P2331" s="9" t="s">
        <v>1291</v>
      </c>
      <c r="Q2331" s="11">
        <v>35</v>
      </c>
      <c r="R2331" s="11"/>
      <c r="S2331" s="177">
        <v>44</v>
      </c>
      <c r="T2331" s="9"/>
      <c r="U2331" s="14" t="s">
        <v>77</v>
      </c>
      <c r="V2331" s="9"/>
      <c r="W2331" s="12">
        <v>30</v>
      </c>
      <c r="X2331" s="13"/>
      <c r="Y2331" s="13"/>
      <c r="Z2331" s="13"/>
      <c r="AA2331" s="13"/>
      <c r="AB2331" s="13"/>
      <c r="AC2331" s="13"/>
      <c r="AD2331" s="13"/>
      <c r="AE2331" s="13">
        <f t="shared" si="229"/>
        <v>0.105</v>
      </c>
      <c r="AF2331" s="13"/>
      <c r="AG2331" s="13"/>
      <c r="AH2331" s="13"/>
      <c r="AI2331" s="13"/>
      <c r="AJ2331" s="13">
        <f t="shared" si="228"/>
        <v>0.105</v>
      </c>
      <c r="AK2331" s="12"/>
      <c r="AL2331" s="13"/>
      <c r="AM2331" s="9"/>
      <c r="AN2331" s="9"/>
      <c r="AO2331" s="9"/>
      <c r="AP2331" s="14"/>
    </row>
    <row r="2332" spans="1:42" s="45" customFormat="1" ht="22" customHeight="1">
      <c r="A2332" s="14" t="s">
        <v>17</v>
      </c>
      <c r="B2332" s="8">
        <v>2024</v>
      </c>
      <c r="C2332" s="8" t="s">
        <v>24</v>
      </c>
      <c r="D2332" s="9" t="s">
        <v>185</v>
      </c>
      <c r="E2332" s="9" t="s">
        <v>115</v>
      </c>
      <c r="F2332" s="9" t="s">
        <v>434</v>
      </c>
      <c r="G2332" s="8"/>
      <c r="H2332" s="8"/>
      <c r="I2332" s="9" t="s">
        <v>78</v>
      </c>
      <c r="J2332" s="9" t="s">
        <v>11</v>
      </c>
      <c r="K2332" s="9" t="s">
        <v>82</v>
      </c>
      <c r="L2332" s="9" t="s">
        <v>171</v>
      </c>
      <c r="M2332" s="9" t="s">
        <v>78</v>
      </c>
      <c r="N2332" s="9" t="s">
        <v>861</v>
      </c>
      <c r="O2332" s="9" t="s">
        <v>1289</v>
      </c>
      <c r="P2332" s="9" t="s">
        <v>1292</v>
      </c>
      <c r="Q2332" s="11">
        <v>44</v>
      </c>
      <c r="R2332" s="11"/>
      <c r="S2332" s="177">
        <v>53</v>
      </c>
      <c r="T2332" s="9"/>
      <c r="U2332" s="14" t="s">
        <v>77</v>
      </c>
      <c r="V2332" s="9"/>
      <c r="W2332" s="12">
        <v>30</v>
      </c>
      <c r="X2332" s="13"/>
      <c r="Y2332" s="13"/>
      <c r="Z2332" s="13"/>
      <c r="AA2332" s="13"/>
      <c r="AB2332" s="13"/>
      <c r="AC2332" s="13"/>
      <c r="AD2332" s="13"/>
      <c r="AE2332" s="13">
        <f t="shared" si="229"/>
        <v>0.13200000000000001</v>
      </c>
      <c r="AF2332" s="13"/>
      <c r="AG2332" s="13"/>
      <c r="AH2332" s="13"/>
      <c r="AI2332" s="13"/>
      <c r="AJ2332" s="13">
        <f t="shared" si="228"/>
        <v>0.13200000000000001</v>
      </c>
      <c r="AK2332" s="12"/>
      <c r="AL2332" s="13"/>
      <c r="AM2332" s="9"/>
      <c r="AN2332" s="9"/>
      <c r="AO2332" s="9"/>
      <c r="AP2332" s="14"/>
    </row>
    <row r="2333" spans="1:42" s="45" customFormat="1" ht="22" customHeight="1">
      <c r="A2333" s="14" t="s">
        <v>17</v>
      </c>
      <c r="B2333" s="8">
        <v>2024</v>
      </c>
      <c r="C2333" s="8" t="s">
        <v>24</v>
      </c>
      <c r="D2333" s="9" t="s">
        <v>185</v>
      </c>
      <c r="E2333" s="9" t="s">
        <v>115</v>
      </c>
      <c r="F2333" s="9" t="s">
        <v>434</v>
      </c>
      <c r="G2333" s="8"/>
      <c r="H2333" s="8"/>
      <c r="I2333" s="9" t="s">
        <v>78</v>
      </c>
      <c r="J2333" s="9" t="s">
        <v>11</v>
      </c>
      <c r="K2333" s="9" t="s">
        <v>82</v>
      </c>
      <c r="L2333" s="9" t="s">
        <v>171</v>
      </c>
      <c r="M2333" s="9" t="s">
        <v>78</v>
      </c>
      <c r="N2333" s="9" t="s">
        <v>861</v>
      </c>
      <c r="O2333" s="9" t="s">
        <v>339</v>
      </c>
      <c r="P2333" s="9" t="s">
        <v>1293</v>
      </c>
      <c r="Q2333" s="11">
        <v>32</v>
      </c>
      <c r="R2333" s="11"/>
      <c r="S2333" s="177">
        <v>27</v>
      </c>
      <c r="T2333" s="9"/>
      <c r="U2333" s="14" t="s">
        <v>77</v>
      </c>
      <c r="V2333" s="9"/>
      <c r="W2333" s="12">
        <v>30</v>
      </c>
      <c r="X2333" s="13"/>
      <c r="Y2333" s="13"/>
      <c r="Z2333" s="13"/>
      <c r="AA2333" s="13"/>
      <c r="AB2333" s="13"/>
      <c r="AC2333" s="13"/>
      <c r="AD2333" s="13"/>
      <c r="AE2333" s="13">
        <f t="shared" si="229"/>
        <v>9.6000000000000002E-2</v>
      </c>
      <c r="AF2333" s="13"/>
      <c r="AG2333" s="13"/>
      <c r="AH2333" s="13"/>
      <c r="AI2333" s="13"/>
      <c r="AJ2333" s="13">
        <f t="shared" si="228"/>
        <v>9.6000000000000002E-2</v>
      </c>
      <c r="AK2333" s="12"/>
      <c r="AL2333" s="13"/>
      <c r="AM2333" s="9"/>
      <c r="AN2333" s="9"/>
      <c r="AO2333" s="9"/>
      <c r="AP2333" s="14"/>
    </row>
    <row r="2334" spans="1:42" s="45" customFormat="1" ht="22" customHeight="1">
      <c r="A2334" s="14" t="s">
        <v>17</v>
      </c>
      <c r="B2334" s="8">
        <v>2024</v>
      </c>
      <c r="C2334" s="8" t="s">
        <v>24</v>
      </c>
      <c r="D2334" s="9" t="s">
        <v>185</v>
      </c>
      <c r="E2334" s="9" t="s">
        <v>115</v>
      </c>
      <c r="F2334" s="9" t="s">
        <v>434</v>
      </c>
      <c r="G2334" s="8"/>
      <c r="H2334" s="8"/>
      <c r="I2334" s="9" t="s">
        <v>78</v>
      </c>
      <c r="J2334" s="9" t="s">
        <v>11</v>
      </c>
      <c r="K2334" s="9" t="s">
        <v>82</v>
      </c>
      <c r="L2334" s="9" t="s">
        <v>171</v>
      </c>
      <c r="M2334" s="9" t="s">
        <v>78</v>
      </c>
      <c r="N2334" s="9" t="s">
        <v>861</v>
      </c>
      <c r="O2334" s="9" t="s">
        <v>339</v>
      </c>
      <c r="P2334" s="9" t="s">
        <v>1294</v>
      </c>
      <c r="Q2334" s="11">
        <v>82</v>
      </c>
      <c r="R2334" s="11"/>
      <c r="S2334" s="177">
        <v>35</v>
      </c>
      <c r="T2334" s="9"/>
      <c r="U2334" s="14" t="s">
        <v>77</v>
      </c>
      <c r="V2334" s="9"/>
      <c r="W2334" s="12">
        <v>30</v>
      </c>
      <c r="X2334" s="13"/>
      <c r="Y2334" s="13"/>
      <c r="Z2334" s="13"/>
      <c r="AA2334" s="13"/>
      <c r="AB2334" s="13"/>
      <c r="AC2334" s="13"/>
      <c r="AD2334" s="13"/>
      <c r="AE2334" s="13">
        <f t="shared" si="229"/>
        <v>0.246</v>
      </c>
      <c r="AF2334" s="13"/>
      <c r="AG2334" s="13"/>
      <c r="AH2334" s="13"/>
      <c r="AI2334" s="13"/>
      <c r="AJ2334" s="13">
        <f t="shared" si="228"/>
        <v>0.246</v>
      </c>
      <c r="AK2334" s="12"/>
      <c r="AL2334" s="13"/>
      <c r="AM2334" s="9"/>
      <c r="AN2334" s="9"/>
      <c r="AO2334" s="9"/>
      <c r="AP2334" s="14"/>
    </row>
    <row r="2335" spans="1:42" s="45" customFormat="1" ht="22" customHeight="1">
      <c r="A2335" s="14" t="s">
        <v>17</v>
      </c>
      <c r="B2335" s="8">
        <v>2024</v>
      </c>
      <c r="C2335" s="8" t="s">
        <v>24</v>
      </c>
      <c r="D2335" s="9" t="s">
        <v>185</v>
      </c>
      <c r="E2335" s="9" t="s">
        <v>115</v>
      </c>
      <c r="F2335" s="9" t="s">
        <v>434</v>
      </c>
      <c r="G2335" s="8"/>
      <c r="H2335" s="8"/>
      <c r="I2335" s="9" t="s">
        <v>78</v>
      </c>
      <c r="J2335" s="9" t="s">
        <v>11</v>
      </c>
      <c r="K2335" s="9" t="s">
        <v>82</v>
      </c>
      <c r="L2335" s="9" t="s">
        <v>171</v>
      </c>
      <c r="M2335" s="9" t="s">
        <v>78</v>
      </c>
      <c r="N2335" s="9" t="s">
        <v>861</v>
      </c>
      <c r="O2335" s="9" t="s">
        <v>339</v>
      </c>
      <c r="P2335" s="9" t="s">
        <v>1295</v>
      </c>
      <c r="Q2335" s="11">
        <v>58</v>
      </c>
      <c r="R2335" s="11"/>
      <c r="S2335" s="177">
        <v>32</v>
      </c>
      <c r="T2335" s="9"/>
      <c r="U2335" s="14" t="s">
        <v>77</v>
      </c>
      <c r="V2335" s="9"/>
      <c r="W2335" s="12">
        <v>30</v>
      </c>
      <c r="X2335" s="13"/>
      <c r="Y2335" s="13"/>
      <c r="Z2335" s="13"/>
      <c r="AA2335" s="13"/>
      <c r="AB2335" s="13"/>
      <c r="AC2335" s="13"/>
      <c r="AD2335" s="13"/>
      <c r="AE2335" s="13">
        <f t="shared" si="229"/>
        <v>0.17399999999999999</v>
      </c>
      <c r="AF2335" s="13"/>
      <c r="AG2335" s="13"/>
      <c r="AH2335" s="13"/>
      <c r="AI2335" s="13"/>
      <c r="AJ2335" s="13">
        <f t="shared" si="228"/>
        <v>0.17399999999999999</v>
      </c>
      <c r="AK2335" s="12"/>
      <c r="AL2335" s="13"/>
      <c r="AM2335" s="9"/>
      <c r="AN2335" s="9"/>
      <c r="AO2335" s="9"/>
      <c r="AP2335" s="14"/>
    </row>
    <row r="2336" spans="1:42" s="45" customFormat="1" ht="22" customHeight="1">
      <c r="A2336" s="14" t="s">
        <v>17</v>
      </c>
      <c r="B2336" s="8">
        <v>2024</v>
      </c>
      <c r="C2336" s="8" t="s">
        <v>24</v>
      </c>
      <c r="D2336" s="9" t="s">
        <v>185</v>
      </c>
      <c r="E2336" s="9" t="s">
        <v>115</v>
      </c>
      <c r="F2336" s="9" t="s">
        <v>434</v>
      </c>
      <c r="G2336" s="8"/>
      <c r="H2336" s="8"/>
      <c r="I2336" s="9" t="s">
        <v>78</v>
      </c>
      <c r="J2336" s="9" t="s">
        <v>11</v>
      </c>
      <c r="K2336" s="9" t="s">
        <v>82</v>
      </c>
      <c r="L2336" s="9" t="s">
        <v>171</v>
      </c>
      <c r="M2336" s="9" t="s">
        <v>78</v>
      </c>
      <c r="N2336" s="9" t="s">
        <v>861</v>
      </c>
      <c r="O2336" s="9" t="s">
        <v>1296</v>
      </c>
      <c r="P2336" s="9" t="s">
        <v>1297</v>
      </c>
      <c r="Q2336" s="11">
        <v>51</v>
      </c>
      <c r="R2336" s="11"/>
      <c r="S2336" s="177">
        <v>89</v>
      </c>
      <c r="T2336" s="9"/>
      <c r="U2336" s="14" t="s">
        <v>77</v>
      </c>
      <c r="V2336" s="9"/>
      <c r="W2336" s="12">
        <v>30</v>
      </c>
      <c r="X2336" s="13"/>
      <c r="Y2336" s="13"/>
      <c r="Z2336" s="13"/>
      <c r="AA2336" s="13"/>
      <c r="AB2336" s="13"/>
      <c r="AC2336" s="13"/>
      <c r="AD2336" s="13"/>
      <c r="AE2336" s="13">
        <f t="shared" si="229"/>
        <v>0.153</v>
      </c>
      <c r="AF2336" s="13"/>
      <c r="AG2336" s="13"/>
      <c r="AH2336" s="13"/>
      <c r="AI2336" s="13"/>
      <c r="AJ2336" s="13">
        <f t="shared" si="228"/>
        <v>0.153</v>
      </c>
      <c r="AK2336" s="12"/>
      <c r="AL2336" s="13"/>
      <c r="AM2336" s="9"/>
      <c r="AN2336" s="9"/>
      <c r="AO2336" s="9"/>
      <c r="AP2336" s="14"/>
    </row>
    <row r="2337" spans="1:42" s="45" customFormat="1" ht="22" customHeight="1">
      <c r="A2337" s="14" t="s">
        <v>17</v>
      </c>
      <c r="B2337" s="8">
        <v>2024</v>
      </c>
      <c r="C2337" s="8" t="s">
        <v>24</v>
      </c>
      <c r="D2337" s="9" t="s">
        <v>185</v>
      </c>
      <c r="E2337" s="9" t="s">
        <v>115</v>
      </c>
      <c r="F2337" s="9" t="s">
        <v>434</v>
      </c>
      <c r="G2337" s="8"/>
      <c r="H2337" s="8"/>
      <c r="I2337" s="9" t="s">
        <v>78</v>
      </c>
      <c r="J2337" s="9" t="s">
        <v>11</v>
      </c>
      <c r="K2337" s="9" t="s">
        <v>82</v>
      </c>
      <c r="L2337" s="9" t="s">
        <v>171</v>
      </c>
      <c r="M2337" s="9" t="s">
        <v>78</v>
      </c>
      <c r="N2337" s="9" t="s">
        <v>861</v>
      </c>
      <c r="O2337" s="9" t="s">
        <v>1296</v>
      </c>
      <c r="P2337" s="9" t="s">
        <v>1101</v>
      </c>
      <c r="Q2337" s="11">
        <v>62</v>
      </c>
      <c r="R2337" s="11"/>
      <c r="S2337" s="177">
        <v>106</v>
      </c>
      <c r="T2337" s="9"/>
      <c r="U2337" s="14" t="s">
        <v>77</v>
      </c>
      <c r="V2337" s="9"/>
      <c r="W2337" s="12">
        <v>30</v>
      </c>
      <c r="X2337" s="13"/>
      <c r="Y2337" s="13"/>
      <c r="Z2337" s="13"/>
      <c r="AA2337" s="13"/>
      <c r="AB2337" s="13"/>
      <c r="AC2337" s="13"/>
      <c r="AD2337" s="13"/>
      <c r="AE2337" s="13">
        <f t="shared" si="229"/>
        <v>0.186</v>
      </c>
      <c r="AF2337" s="13"/>
      <c r="AG2337" s="13"/>
      <c r="AH2337" s="13"/>
      <c r="AI2337" s="13"/>
      <c r="AJ2337" s="13">
        <f t="shared" si="228"/>
        <v>0.186</v>
      </c>
      <c r="AK2337" s="12"/>
      <c r="AL2337" s="13"/>
      <c r="AM2337" s="9"/>
      <c r="AN2337" s="9"/>
      <c r="AO2337" s="9"/>
      <c r="AP2337" s="14"/>
    </row>
    <row r="2338" spans="1:42" s="45" customFormat="1" ht="22" customHeight="1">
      <c r="A2338" s="14" t="s">
        <v>17</v>
      </c>
      <c r="B2338" s="8">
        <v>2024</v>
      </c>
      <c r="C2338" s="8" t="s">
        <v>24</v>
      </c>
      <c r="D2338" s="9" t="s">
        <v>185</v>
      </c>
      <c r="E2338" s="9" t="s">
        <v>115</v>
      </c>
      <c r="F2338" s="9" t="s">
        <v>434</v>
      </c>
      <c r="G2338" s="8"/>
      <c r="H2338" s="8"/>
      <c r="I2338" s="9" t="s">
        <v>78</v>
      </c>
      <c r="J2338" s="9" t="s">
        <v>11</v>
      </c>
      <c r="K2338" s="9" t="s">
        <v>82</v>
      </c>
      <c r="L2338" s="9" t="s">
        <v>171</v>
      </c>
      <c r="M2338" s="9" t="s">
        <v>78</v>
      </c>
      <c r="N2338" s="9" t="s">
        <v>861</v>
      </c>
      <c r="O2338" s="9" t="s">
        <v>1296</v>
      </c>
      <c r="P2338" s="9" t="s">
        <v>1298</v>
      </c>
      <c r="Q2338" s="11">
        <v>58</v>
      </c>
      <c r="R2338" s="11"/>
      <c r="S2338" s="177">
        <v>49</v>
      </c>
      <c r="T2338" s="9"/>
      <c r="U2338" s="14" t="s">
        <v>77</v>
      </c>
      <c r="V2338" s="9"/>
      <c r="W2338" s="12">
        <v>30</v>
      </c>
      <c r="X2338" s="13"/>
      <c r="Y2338" s="13"/>
      <c r="Z2338" s="13"/>
      <c r="AA2338" s="13"/>
      <c r="AB2338" s="13"/>
      <c r="AC2338" s="13"/>
      <c r="AD2338" s="13"/>
      <c r="AE2338" s="13">
        <f t="shared" si="229"/>
        <v>0.17399999999999999</v>
      </c>
      <c r="AF2338" s="13"/>
      <c r="AG2338" s="13"/>
      <c r="AH2338" s="13"/>
      <c r="AI2338" s="13"/>
      <c r="AJ2338" s="13">
        <f t="shared" si="228"/>
        <v>0.17399999999999999</v>
      </c>
      <c r="AK2338" s="12"/>
      <c r="AL2338" s="13"/>
      <c r="AM2338" s="9"/>
      <c r="AN2338" s="9"/>
      <c r="AO2338" s="9"/>
      <c r="AP2338" s="14"/>
    </row>
    <row r="2339" spans="1:42" s="45" customFormat="1" ht="22" customHeight="1">
      <c r="A2339" s="14" t="s">
        <v>17</v>
      </c>
      <c r="B2339" s="8">
        <v>2024</v>
      </c>
      <c r="C2339" s="8" t="s">
        <v>24</v>
      </c>
      <c r="D2339" s="9" t="s">
        <v>185</v>
      </c>
      <c r="E2339" s="9" t="s">
        <v>115</v>
      </c>
      <c r="F2339" s="9" t="s">
        <v>434</v>
      </c>
      <c r="G2339" s="8"/>
      <c r="H2339" s="8"/>
      <c r="I2339" s="9" t="s">
        <v>78</v>
      </c>
      <c r="J2339" s="9" t="s">
        <v>11</v>
      </c>
      <c r="K2339" s="9" t="s">
        <v>82</v>
      </c>
      <c r="L2339" s="9" t="s">
        <v>171</v>
      </c>
      <c r="M2339" s="9" t="s">
        <v>78</v>
      </c>
      <c r="N2339" s="9" t="s">
        <v>861</v>
      </c>
      <c r="O2339" s="9" t="s">
        <v>1296</v>
      </c>
      <c r="P2339" s="9" t="s">
        <v>1296</v>
      </c>
      <c r="Q2339" s="11">
        <v>55</v>
      </c>
      <c r="R2339" s="11"/>
      <c r="S2339" s="177">
        <v>64</v>
      </c>
      <c r="T2339" s="9"/>
      <c r="U2339" s="14" t="s">
        <v>77</v>
      </c>
      <c r="V2339" s="9"/>
      <c r="W2339" s="12">
        <v>30</v>
      </c>
      <c r="X2339" s="13"/>
      <c r="Y2339" s="13"/>
      <c r="Z2339" s="13"/>
      <c r="AA2339" s="13"/>
      <c r="AB2339" s="13"/>
      <c r="AC2339" s="13"/>
      <c r="AD2339" s="13"/>
      <c r="AE2339" s="13">
        <f t="shared" si="229"/>
        <v>0.16500000000000001</v>
      </c>
      <c r="AF2339" s="13"/>
      <c r="AG2339" s="13"/>
      <c r="AH2339" s="13"/>
      <c r="AI2339" s="13"/>
      <c r="AJ2339" s="13">
        <f t="shared" si="228"/>
        <v>0.16500000000000001</v>
      </c>
      <c r="AK2339" s="12"/>
      <c r="AL2339" s="13"/>
      <c r="AM2339" s="9"/>
      <c r="AN2339" s="9"/>
      <c r="AO2339" s="9"/>
      <c r="AP2339" s="14"/>
    </row>
    <row r="2340" spans="1:42" s="45" customFormat="1" ht="22" customHeight="1">
      <c r="A2340" s="14" t="s">
        <v>17</v>
      </c>
      <c r="B2340" s="8">
        <v>2024</v>
      </c>
      <c r="C2340" s="8" t="s">
        <v>24</v>
      </c>
      <c r="D2340" s="9" t="s">
        <v>185</v>
      </c>
      <c r="E2340" s="9" t="s">
        <v>115</v>
      </c>
      <c r="F2340" s="9" t="s">
        <v>434</v>
      </c>
      <c r="G2340" s="8"/>
      <c r="H2340" s="8"/>
      <c r="I2340" s="9" t="s">
        <v>78</v>
      </c>
      <c r="J2340" s="9" t="s">
        <v>11</v>
      </c>
      <c r="K2340" s="9" t="s">
        <v>82</v>
      </c>
      <c r="L2340" s="9" t="s">
        <v>171</v>
      </c>
      <c r="M2340" s="9" t="s">
        <v>78</v>
      </c>
      <c r="N2340" s="9" t="s">
        <v>861</v>
      </c>
      <c r="O2340" s="9" t="s">
        <v>1296</v>
      </c>
      <c r="P2340" s="9" t="s">
        <v>1299</v>
      </c>
      <c r="Q2340" s="11">
        <v>58</v>
      </c>
      <c r="R2340" s="11"/>
      <c r="S2340" s="177">
        <v>54</v>
      </c>
      <c r="T2340" s="9"/>
      <c r="U2340" s="14" t="s">
        <v>77</v>
      </c>
      <c r="V2340" s="9"/>
      <c r="W2340" s="12">
        <v>30</v>
      </c>
      <c r="X2340" s="13"/>
      <c r="Y2340" s="13"/>
      <c r="Z2340" s="13"/>
      <c r="AA2340" s="13"/>
      <c r="AB2340" s="13"/>
      <c r="AC2340" s="13"/>
      <c r="AD2340" s="13"/>
      <c r="AE2340" s="13">
        <f t="shared" si="229"/>
        <v>0.17399999999999999</v>
      </c>
      <c r="AF2340" s="13"/>
      <c r="AG2340" s="13"/>
      <c r="AH2340" s="13"/>
      <c r="AI2340" s="13"/>
      <c r="AJ2340" s="13">
        <f t="shared" si="228"/>
        <v>0.17399999999999999</v>
      </c>
      <c r="AK2340" s="12"/>
      <c r="AL2340" s="13"/>
      <c r="AM2340" s="9"/>
      <c r="AN2340" s="9"/>
      <c r="AO2340" s="9"/>
      <c r="AP2340" s="14"/>
    </row>
    <row r="2341" spans="1:42" s="45" customFormat="1" ht="22" customHeight="1">
      <c r="A2341" s="14" t="s">
        <v>17</v>
      </c>
      <c r="B2341" s="8">
        <v>2024</v>
      </c>
      <c r="C2341" s="8" t="s">
        <v>24</v>
      </c>
      <c r="D2341" s="9" t="s">
        <v>185</v>
      </c>
      <c r="E2341" s="9" t="s">
        <v>115</v>
      </c>
      <c r="F2341" s="9" t="s">
        <v>434</v>
      </c>
      <c r="G2341" s="8"/>
      <c r="H2341" s="8"/>
      <c r="I2341" s="9" t="s">
        <v>78</v>
      </c>
      <c r="J2341" s="9" t="s">
        <v>11</v>
      </c>
      <c r="K2341" s="9" t="s">
        <v>82</v>
      </c>
      <c r="L2341" s="9" t="s">
        <v>171</v>
      </c>
      <c r="M2341" s="9" t="s">
        <v>78</v>
      </c>
      <c r="N2341" s="9" t="s">
        <v>861</v>
      </c>
      <c r="O2341" s="9" t="s">
        <v>1300</v>
      </c>
      <c r="P2341" s="9" t="s">
        <v>1301</v>
      </c>
      <c r="Q2341" s="11">
        <v>43</v>
      </c>
      <c r="R2341" s="11"/>
      <c r="S2341" s="177">
        <v>52</v>
      </c>
      <c r="T2341" s="9"/>
      <c r="U2341" s="14" t="s">
        <v>77</v>
      </c>
      <c r="V2341" s="9"/>
      <c r="W2341" s="12">
        <v>30</v>
      </c>
      <c r="X2341" s="13"/>
      <c r="Y2341" s="13"/>
      <c r="Z2341" s="13"/>
      <c r="AA2341" s="13"/>
      <c r="AB2341" s="13"/>
      <c r="AC2341" s="13"/>
      <c r="AD2341" s="13"/>
      <c r="AE2341" s="13">
        <f t="shared" si="229"/>
        <v>0.129</v>
      </c>
      <c r="AF2341" s="13"/>
      <c r="AG2341" s="13"/>
      <c r="AH2341" s="13"/>
      <c r="AI2341" s="13"/>
      <c r="AJ2341" s="13">
        <f t="shared" si="228"/>
        <v>0.129</v>
      </c>
      <c r="AK2341" s="12"/>
      <c r="AL2341" s="13"/>
      <c r="AM2341" s="9"/>
      <c r="AN2341" s="9"/>
      <c r="AO2341" s="9"/>
      <c r="AP2341" s="14"/>
    </row>
    <row r="2342" spans="1:42" s="45" customFormat="1" ht="22" customHeight="1">
      <c r="A2342" s="14" t="s">
        <v>17</v>
      </c>
      <c r="B2342" s="8">
        <v>2024</v>
      </c>
      <c r="C2342" s="8" t="s">
        <v>24</v>
      </c>
      <c r="D2342" s="9" t="s">
        <v>185</v>
      </c>
      <c r="E2342" s="9" t="s">
        <v>115</v>
      </c>
      <c r="F2342" s="9" t="s">
        <v>434</v>
      </c>
      <c r="G2342" s="8"/>
      <c r="H2342" s="8"/>
      <c r="I2342" s="9" t="s">
        <v>78</v>
      </c>
      <c r="J2342" s="9" t="s">
        <v>11</v>
      </c>
      <c r="K2342" s="9" t="s">
        <v>82</v>
      </c>
      <c r="L2342" s="9" t="s">
        <v>171</v>
      </c>
      <c r="M2342" s="9" t="s">
        <v>78</v>
      </c>
      <c r="N2342" s="9" t="s">
        <v>861</v>
      </c>
      <c r="O2342" s="9" t="s">
        <v>1300</v>
      </c>
      <c r="P2342" s="9" t="s">
        <v>1302</v>
      </c>
      <c r="Q2342" s="11">
        <v>38</v>
      </c>
      <c r="R2342" s="11"/>
      <c r="S2342" s="177">
        <v>32</v>
      </c>
      <c r="T2342" s="9"/>
      <c r="U2342" s="14" t="s">
        <v>77</v>
      </c>
      <c r="V2342" s="9"/>
      <c r="W2342" s="12">
        <v>30</v>
      </c>
      <c r="X2342" s="13"/>
      <c r="Y2342" s="13"/>
      <c r="Z2342" s="13"/>
      <c r="AA2342" s="13"/>
      <c r="AB2342" s="13"/>
      <c r="AC2342" s="13"/>
      <c r="AD2342" s="13"/>
      <c r="AE2342" s="13">
        <f t="shared" si="229"/>
        <v>0.114</v>
      </c>
      <c r="AF2342" s="13"/>
      <c r="AG2342" s="13"/>
      <c r="AH2342" s="13"/>
      <c r="AI2342" s="13"/>
      <c r="AJ2342" s="13">
        <f t="shared" si="228"/>
        <v>0.114</v>
      </c>
      <c r="AK2342" s="12"/>
      <c r="AL2342" s="13"/>
      <c r="AM2342" s="9"/>
      <c r="AN2342" s="9"/>
      <c r="AO2342" s="9"/>
      <c r="AP2342" s="14"/>
    </row>
    <row r="2343" spans="1:42" s="45" customFormat="1" ht="22" customHeight="1">
      <c r="A2343" s="14" t="s">
        <v>17</v>
      </c>
      <c r="B2343" s="8">
        <v>2024</v>
      </c>
      <c r="C2343" s="8" t="s">
        <v>24</v>
      </c>
      <c r="D2343" s="9" t="s">
        <v>185</v>
      </c>
      <c r="E2343" s="9" t="s">
        <v>115</v>
      </c>
      <c r="F2343" s="9" t="s">
        <v>434</v>
      </c>
      <c r="G2343" s="8"/>
      <c r="H2343" s="8"/>
      <c r="I2343" s="9" t="s">
        <v>78</v>
      </c>
      <c r="J2343" s="9" t="s">
        <v>11</v>
      </c>
      <c r="K2343" s="9" t="s">
        <v>82</v>
      </c>
      <c r="L2343" s="9" t="s">
        <v>171</v>
      </c>
      <c r="M2343" s="9" t="s">
        <v>78</v>
      </c>
      <c r="N2343" s="9" t="s">
        <v>861</v>
      </c>
      <c r="O2343" s="9" t="s">
        <v>1300</v>
      </c>
      <c r="P2343" s="9" t="s">
        <v>1303</v>
      </c>
      <c r="Q2343" s="11">
        <v>52</v>
      </c>
      <c r="R2343" s="11"/>
      <c r="S2343" s="177">
        <v>42</v>
      </c>
      <c r="T2343" s="9"/>
      <c r="U2343" s="14" t="s">
        <v>77</v>
      </c>
      <c r="V2343" s="9"/>
      <c r="W2343" s="12">
        <v>30</v>
      </c>
      <c r="X2343" s="13"/>
      <c r="Y2343" s="13"/>
      <c r="Z2343" s="13"/>
      <c r="AA2343" s="13"/>
      <c r="AB2343" s="13"/>
      <c r="AC2343" s="13"/>
      <c r="AD2343" s="13"/>
      <c r="AE2343" s="13">
        <f t="shared" si="229"/>
        <v>0.156</v>
      </c>
      <c r="AF2343" s="13"/>
      <c r="AG2343" s="13"/>
      <c r="AH2343" s="13"/>
      <c r="AI2343" s="13"/>
      <c r="AJ2343" s="13">
        <f t="shared" si="228"/>
        <v>0.156</v>
      </c>
      <c r="AK2343" s="12"/>
      <c r="AL2343" s="13"/>
      <c r="AM2343" s="9"/>
      <c r="AN2343" s="9"/>
      <c r="AO2343" s="9"/>
      <c r="AP2343" s="14"/>
    </row>
    <row r="2344" spans="1:42" s="45" customFormat="1" ht="22" customHeight="1">
      <c r="A2344" s="14" t="s">
        <v>17</v>
      </c>
      <c r="B2344" s="8">
        <v>2024</v>
      </c>
      <c r="C2344" s="8" t="s">
        <v>24</v>
      </c>
      <c r="D2344" s="9" t="s">
        <v>185</v>
      </c>
      <c r="E2344" s="9" t="s">
        <v>115</v>
      </c>
      <c r="F2344" s="9" t="s">
        <v>434</v>
      </c>
      <c r="G2344" s="8"/>
      <c r="H2344" s="8"/>
      <c r="I2344" s="9" t="s">
        <v>78</v>
      </c>
      <c r="J2344" s="9" t="s">
        <v>11</v>
      </c>
      <c r="K2344" s="9" t="s">
        <v>82</v>
      </c>
      <c r="L2344" s="9" t="s">
        <v>171</v>
      </c>
      <c r="M2344" s="9" t="s">
        <v>78</v>
      </c>
      <c r="N2344" s="9" t="s">
        <v>861</v>
      </c>
      <c r="O2344" s="9" t="s">
        <v>1300</v>
      </c>
      <c r="P2344" s="9" t="s">
        <v>1304</v>
      </c>
      <c r="Q2344" s="11">
        <v>32</v>
      </c>
      <c r="R2344" s="11"/>
      <c r="S2344" s="177">
        <v>47</v>
      </c>
      <c r="T2344" s="9"/>
      <c r="U2344" s="14" t="s">
        <v>77</v>
      </c>
      <c r="V2344" s="9"/>
      <c r="W2344" s="12">
        <v>30</v>
      </c>
      <c r="X2344" s="13"/>
      <c r="Y2344" s="13"/>
      <c r="Z2344" s="13"/>
      <c r="AA2344" s="13"/>
      <c r="AB2344" s="13"/>
      <c r="AC2344" s="13"/>
      <c r="AD2344" s="13"/>
      <c r="AE2344" s="13">
        <f t="shared" si="229"/>
        <v>9.6000000000000002E-2</v>
      </c>
      <c r="AF2344" s="13"/>
      <c r="AG2344" s="13"/>
      <c r="AH2344" s="13"/>
      <c r="AI2344" s="13"/>
      <c r="AJ2344" s="13">
        <f t="shared" si="228"/>
        <v>9.6000000000000002E-2</v>
      </c>
      <c r="AK2344" s="12"/>
      <c r="AL2344" s="13"/>
      <c r="AM2344" s="9"/>
      <c r="AN2344" s="9"/>
      <c r="AO2344" s="9"/>
      <c r="AP2344" s="14"/>
    </row>
    <row r="2345" spans="1:42" s="45" customFormat="1" ht="22" customHeight="1">
      <c r="A2345" s="14" t="s">
        <v>17</v>
      </c>
      <c r="B2345" s="8">
        <v>2024</v>
      </c>
      <c r="C2345" s="8" t="s">
        <v>24</v>
      </c>
      <c r="D2345" s="9" t="s">
        <v>185</v>
      </c>
      <c r="E2345" s="9" t="s">
        <v>115</v>
      </c>
      <c r="F2345" s="9" t="s">
        <v>434</v>
      </c>
      <c r="G2345" s="8"/>
      <c r="H2345" s="8"/>
      <c r="I2345" s="9" t="s">
        <v>78</v>
      </c>
      <c r="J2345" s="9" t="s">
        <v>11</v>
      </c>
      <c r="K2345" s="9" t="s">
        <v>82</v>
      </c>
      <c r="L2345" s="9" t="s">
        <v>171</v>
      </c>
      <c r="M2345" s="9" t="s">
        <v>78</v>
      </c>
      <c r="N2345" s="9" t="s">
        <v>861</v>
      </c>
      <c r="O2345" s="9" t="s">
        <v>1300</v>
      </c>
      <c r="P2345" s="9" t="s">
        <v>1305</v>
      </c>
      <c r="Q2345" s="11">
        <v>47</v>
      </c>
      <c r="R2345" s="11"/>
      <c r="S2345" s="177">
        <v>44</v>
      </c>
      <c r="T2345" s="9"/>
      <c r="U2345" s="14" t="s">
        <v>77</v>
      </c>
      <c r="V2345" s="9"/>
      <c r="W2345" s="12">
        <v>30</v>
      </c>
      <c r="X2345" s="13"/>
      <c r="Y2345" s="13"/>
      <c r="Z2345" s="13"/>
      <c r="AA2345" s="13"/>
      <c r="AB2345" s="13"/>
      <c r="AC2345" s="13"/>
      <c r="AD2345" s="13"/>
      <c r="AE2345" s="13">
        <f t="shared" si="229"/>
        <v>0.14099999999999999</v>
      </c>
      <c r="AF2345" s="13"/>
      <c r="AG2345" s="13"/>
      <c r="AH2345" s="13"/>
      <c r="AI2345" s="13"/>
      <c r="AJ2345" s="13">
        <f t="shared" si="228"/>
        <v>0.14099999999999999</v>
      </c>
      <c r="AK2345" s="12"/>
      <c r="AL2345" s="13"/>
      <c r="AM2345" s="9"/>
      <c r="AN2345" s="9"/>
      <c r="AO2345" s="9"/>
      <c r="AP2345" s="14"/>
    </row>
    <row r="2346" spans="1:42" s="45" customFormat="1" ht="22" customHeight="1">
      <c r="A2346" s="14" t="s">
        <v>17</v>
      </c>
      <c r="B2346" s="8">
        <v>2024</v>
      </c>
      <c r="C2346" s="8" t="s">
        <v>24</v>
      </c>
      <c r="D2346" s="9" t="s">
        <v>185</v>
      </c>
      <c r="E2346" s="9" t="s">
        <v>115</v>
      </c>
      <c r="F2346" s="9" t="s">
        <v>434</v>
      </c>
      <c r="G2346" s="8"/>
      <c r="H2346" s="8"/>
      <c r="I2346" s="9" t="s">
        <v>11</v>
      </c>
      <c r="J2346" s="9" t="s">
        <v>11</v>
      </c>
      <c r="K2346" s="9" t="s">
        <v>82</v>
      </c>
      <c r="L2346" s="9" t="s">
        <v>171</v>
      </c>
      <c r="M2346" s="9" t="s">
        <v>80</v>
      </c>
      <c r="N2346" s="9" t="s">
        <v>861</v>
      </c>
      <c r="O2346" s="9" t="s">
        <v>80</v>
      </c>
      <c r="P2346" s="9" t="s">
        <v>1306</v>
      </c>
      <c r="Q2346" s="11"/>
      <c r="R2346" s="11"/>
      <c r="S2346" s="11"/>
      <c r="T2346" s="9"/>
      <c r="U2346" s="14" t="s">
        <v>77</v>
      </c>
      <c r="V2346" s="9"/>
      <c r="W2346" s="12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>
        <f t="shared" si="228"/>
        <v>0</v>
      </c>
      <c r="AK2346" s="12"/>
      <c r="AL2346" s="13"/>
      <c r="AM2346" s="9"/>
      <c r="AN2346" s="9"/>
      <c r="AO2346" s="9"/>
      <c r="AP2346" s="14"/>
    </row>
    <row r="2347" spans="1:42" s="45" customFormat="1" ht="22" customHeight="1">
      <c r="A2347" s="14" t="s">
        <v>17</v>
      </c>
      <c r="B2347" s="8">
        <v>2024</v>
      </c>
      <c r="C2347" s="8" t="s">
        <v>24</v>
      </c>
      <c r="D2347" s="9" t="s">
        <v>185</v>
      </c>
      <c r="E2347" s="9" t="s">
        <v>115</v>
      </c>
      <c r="F2347" s="9" t="s">
        <v>434</v>
      </c>
      <c r="G2347" s="8"/>
      <c r="H2347" s="8"/>
      <c r="I2347" s="9" t="s">
        <v>11</v>
      </c>
      <c r="J2347" s="9" t="s">
        <v>11</v>
      </c>
      <c r="K2347" s="9" t="s">
        <v>82</v>
      </c>
      <c r="L2347" s="9" t="s">
        <v>171</v>
      </c>
      <c r="M2347" s="9" t="s">
        <v>80</v>
      </c>
      <c r="N2347" s="9" t="s">
        <v>861</v>
      </c>
      <c r="O2347" s="9" t="s">
        <v>80</v>
      </c>
      <c r="P2347" s="9" t="s">
        <v>1307</v>
      </c>
      <c r="Q2347" s="11"/>
      <c r="R2347" s="11"/>
      <c r="S2347" s="11"/>
      <c r="T2347" s="9"/>
      <c r="U2347" s="14" t="s">
        <v>77</v>
      </c>
      <c r="V2347" s="9"/>
      <c r="W2347" s="12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>
        <f t="shared" si="228"/>
        <v>0</v>
      </c>
      <c r="AK2347" s="12"/>
      <c r="AL2347" s="13"/>
      <c r="AM2347" s="9"/>
      <c r="AN2347" s="9"/>
      <c r="AO2347" s="9"/>
      <c r="AP2347" s="14"/>
    </row>
    <row r="2348" spans="1:42" s="45" customFormat="1" ht="22" customHeight="1">
      <c r="A2348" s="14" t="s">
        <v>17</v>
      </c>
      <c r="B2348" s="8">
        <v>2024</v>
      </c>
      <c r="C2348" s="8" t="s">
        <v>24</v>
      </c>
      <c r="D2348" s="9" t="s">
        <v>185</v>
      </c>
      <c r="E2348" s="9" t="s">
        <v>115</v>
      </c>
      <c r="F2348" s="9" t="s">
        <v>434</v>
      </c>
      <c r="G2348" s="8"/>
      <c r="H2348" s="8"/>
      <c r="I2348" s="9" t="s">
        <v>11</v>
      </c>
      <c r="J2348" s="9" t="s">
        <v>11</v>
      </c>
      <c r="K2348" s="9" t="s">
        <v>82</v>
      </c>
      <c r="L2348" s="9" t="s">
        <v>171</v>
      </c>
      <c r="M2348" s="9" t="s">
        <v>80</v>
      </c>
      <c r="N2348" s="9" t="s">
        <v>861</v>
      </c>
      <c r="O2348" s="9" t="s">
        <v>80</v>
      </c>
      <c r="P2348" s="9" t="s">
        <v>1308</v>
      </c>
      <c r="Q2348" s="11"/>
      <c r="R2348" s="11"/>
      <c r="S2348" s="11"/>
      <c r="T2348" s="9"/>
      <c r="U2348" s="14" t="s">
        <v>77</v>
      </c>
      <c r="V2348" s="9"/>
      <c r="W2348" s="12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>
        <f t="shared" si="228"/>
        <v>0</v>
      </c>
      <c r="AK2348" s="12"/>
      <c r="AL2348" s="13"/>
      <c r="AM2348" s="9"/>
      <c r="AN2348" s="9"/>
      <c r="AO2348" s="9"/>
      <c r="AP2348" s="14"/>
    </row>
    <row r="2349" spans="1:42" s="45" customFormat="1" ht="22" customHeight="1">
      <c r="A2349" s="14" t="s">
        <v>17</v>
      </c>
      <c r="B2349" s="8">
        <v>2024</v>
      </c>
      <c r="C2349" s="8" t="s">
        <v>24</v>
      </c>
      <c r="D2349" s="9" t="s">
        <v>185</v>
      </c>
      <c r="E2349" s="9" t="s">
        <v>115</v>
      </c>
      <c r="F2349" s="9" t="s">
        <v>434</v>
      </c>
      <c r="G2349" s="8"/>
      <c r="H2349" s="8"/>
      <c r="I2349" s="9" t="s">
        <v>11</v>
      </c>
      <c r="J2349" s="9" t="s">
        <v>11</v>
      </c>
      <c r="K2349" s="9" t="s">
        <v>82</v>
      </c>
      <c r="L2349" s="9" t="s">
        <v>171</v>
      </c>
      <c r="M2349" s="9" t="s">
        <v>80</v>
      </c>
      <c r="N2349" s="9" t="s">
        <v>861</v>
      </c>
      <c r="O2349" s="9" t="s">
        <v>80</v>
      </c>
      <c r="P2349" s="9" t="s">
        <v>1309</v>
      </c>
      <c r="Q2349" s="11"/>
      <c r="R2349" s="11"/>
      <c r="S2349" s="11"/>
      <c r="T2349" s="9"/>
      <c r="U2349" s="14" t="s">
        <v>77</v>
      </c>
      <c r="V2349" s="9"/>
      <c r="W2349" s="12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>
        <f t="shared" si="228"/>
        <v>0</v>
      </c>
      <c r="AK2349" s="12"/>
      <c r="AL2349" s="13"/>
      <c r="AM2349" s="9"/>
      <c r="AN2349" s="9"/>
      <c r="AO2349" s="9"/>
      <c r="AP2349" s="14"/>
    </row>
    <row r="2350" spans="1:42" s="45" customFormat="1" ht="22" customHeight="1">
      <c r="A2350" s="14" t="s">
        <v>17</v>
      </c>
      <c r="B2350" s="8">
        <v>2024</v>
      </c>
      <c r="C2350" s="8" t="s">
        <v>24</v>
      </c>
      <c r="D2350" s="9" t="s">
        <v>185</v>
      </c>
      <c r="E2350" s="9" t="s">
        <v>115</v>
      </c>
      <c r="F2350" s="9" t="s">
        <v>434</v>
      </c>
      <c r="G2350" s="8"/>
      <c r="H2350" s="8"/>
      <c r="I2350" s="9" t="s">
        <v>11</v>
      </c>
      <c r="J2350" s="9" t="s">
        <v>11</v>
      </c>
      <c r="K2350" s="9" t="s">
        <v>82</v>
      </c>
      <c r="L2350" s="9" t="s">
        <v>171</v>
      </c>
      <c r="M2350" s="9" t="s">
        <v>80</v>
      </c>
      <c r="N2350" s="9" t="s">
        <v>861</v>
      </c>
      <c r="O2350" s="9" t="s">
        <v>80</v>
      </c>
      <c r="P2350" s="9" t="s">
        <v>1310</v>
      </c>
      <c r="Q2350" s="11"/>
      <c r="R2350" s="11"/>
      <c r="S2350" s="11"/>
      <c r="T2350" s="9"/>
      <c r="U2350" s="14" t="s">
        <v>77</v>
      </c>
      <c r="V2350" s="9"/>
      <c r="W2350" s="12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>
        <f t="shared" ref="AJ2350:AJ2413" si="230">SUBTOTAL(9,X2350:AI2350)</f>
        <v>0</v>
      </c>
      <c r="AK2350" s="12"/>
      <c r="AL2350" s="13"/>
      <c r="AM2350" s="9"/>
      <c r="AN2350" s="9"/>
      <c r="AO2350" s="9"/>
      <c r="AP2350" s="14"/>
    </row>
    <row r="2351" spans="1:42" s="45" customFormat="1" ht="22" customHeight="1">
      <c r="A2351" s="14" t="s">
        <v>17</v>
      </c>
      <c r="B2351" s="8">
        <v>2024</v>
      </c>
      <c r="C2351" s="8" t="s">
        <v>24</v>
      </c>
      <c r="D2351" s="9" t="s">
        <v>185</v>
      </c>
      <c r="E2351" s="9" t="s">
        <v>115</v>
      </c>
      <c r="F2351" s="9" t="s">
        <v>434</v>
      </c>
      <c r="G2351" s="8"/>
      <c r="H2351" s="8"/>
      <c r="I2351" s="9" t="s">
        <v>11</v>
      </c>
      <c r="J2351" s="9" t="s">
        <v>11</v>
      </c>
      <c r="K2351" s="9" t="s">
        <v>82</v>
      </c>
      <c r="L2351" s="9" t="s">
        <v>171</v>
      </c>
      <c r="M2351" s="9" t="s">
        <v>80</v>
      </c>
      <c r="N2351" s="9" t="s">
        <v>861</v>
      </c>
      <c r="O2351" s="9" t="s">
        <v>80</v>
      </c>
      <c r="P2351" s="9" t="s">
        <v>1311</v>
      </c>
      <c r="Q2351" s="11"/>
      <c r="R2351" s="11"/>
      <c r="S2351" s="11"/>
      <c r="T2351" s="9"/>
      <c r="U2351" s="14" t="s">
        <v>77</v>
      </c>
      <c r="V2351" s="9"/>
      <c r="W2351" s="12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>
        <f t="shared" si="230"/>
        <v>0</v>
      </c>
      <c r="AK2351" s="12"/>
      <c r="AL2351" s="13"/>
      <c r="AM2351" s="9"/>
      <c r="AN2351" s="9"/>
      <c r="AO2351" s="9"/>
      <c r="AP2351" s="14"/>
    </row>
    <row r="2352" spans="1:42" s="45" customFormat="1" ht="22" customHeight="1">
      <c r="A2352" s="14" t="s">
        <v>17</v>
      </c>
      <c r="B2352" s="8">
        <v>2024</v>
      </c>
      <c r="C2352" s="8" t="s">
        <v>24</v>
      </c>
      <c r="D2352" s="9" t="s">
        <v>185</v>
      </c>
      <c r="E2352" s="9" t="s">
        <v>115</v>
      </c>
      <c r="F2352" s="9" t="s">
        <v>434</v>
      </c>
      <c r="G2352" s="8"/>
      <c r="H2352" s="8"/>
      <c r="I2352" s="9" t="s">
        <v>11</v>
      </c>
      <c r="J2352" s="9" t="s">
        <v>11</v>
      </c>
      <c r="K2352" s="9" t="s">
        <v>82</v>
      </c>
      <c r="L2352" s="9" t="s">
        <v>171</v>
      </c>
      <c r="M2352" s="9" t="s">
        <v>80</v>
      </c>
      <c r="N2352" s="9" t="s">
        <v>861</v>
      </c>
      <c r="O2352" s="9" t="s">
        <v>80</v>
      </c>
      <c r="P2352" s="9" t="s">
        <v>1312</v>
      </c>
      <c r="Q2352" s="11"/>
      <c r="R2352" s="11"/>
      <c r="S2352" s="11"/>
      <c r="T2352" s="9"/>
      <c r="U2352" s="14" t="s">
        <v>77</v>
      </c>
      <c r="V2352" s="9"/>
      <c r="W2352" s="12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>
        <f t="shared" si="230"/>
        <v>0</v>
      </c>
      <c r="AK2352" s="12"/>
      <c r="AL2352" s="13"/>
      <c r="AM2352" s="9"/>
      <c r="AN2352" s="9"/>
      <c r="AO2352" s="9"/>
      <c r="AP2352" s="14"/>
    </row>
    <row r="2353" spans="1:42" s="45" customFormat="1" ht="22" customHeight="1">
      <c r="A2353" s="14" t="s">
        <v>17</v>
      </c>
      <c r="B2353" s="8">
        <v>2024</v>
      </c>
      <c r="C2353" s="8" t="s">
        <v>24</v>
      </c>
      <c r="D2353" s="9" t="s">
        <v>185</v>
      </c>
      <c r="E2353" s="9" t="s">
        <v>115</v>
      </c>
      <c r="F2353" s="9" t="s">
        <v>434</v>
      </c>
      <c r="G2353" s="8"/>
      <c r="H2353" s="8"/>
      <c r="I2353" s="9" t="s">
        <v>11</v>
      </c>
      <c r="J2353" s="9" t="s">
        <v>11</v>
      </c>
      <c r="K2353" s="9" t="s">
        <v>82</v>
      </c>
      <c r="L2353" s="9" t="s">
        <v>171</v>
      </c>
      <c r="M2353" s="9" t="s">
        <v>80</v>
      </c>
      <c r="N2353" s="9" t="s">
        <v>861</v>
      </c>
      <c r="O2353" s="9" t="s">
        <v>80</v>
      </c>
      <c r="P2353" s="9" t="s">
        <v>1313</v>
      </c>
      <c r="Q2353" s="11"/>
      <c r="R2353" s="11"/>
      <c r="S2353" s="11"/>
      <c r="T2353" s="9"/>
      <c r="U2353" s="14" t="s">
        <v>77</v>
      </c>
      <c r="V2353" s="9"/>
      <c r="W2353" s="12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>
        <f t="shared" si="230"/>
        <v>0</v>
      </c>
      <c r="AK2353" s="12"/>
      <c r="AL2353" s="13"/>
      <c r="AM2353" s="9"/>
      <c r="AN2353" s="9"/>
      <c r="AO2353" s="9"/>
      <c r="AP2353" s="14"/>
    </row>
    <row r="2354" spans="1:42" s="45" customFormat="1" ht="22" customHeight="1">
      <c r="A2354" s="14" t="s">
        <v>17</v>
      </c>
      <c r="B2354" s="8">
        <v>2024</v>
      </c>
      <c r="C2354" s="8" t="s">
        <v>24</v>
      </c>
      <c r="D2354" s="9" t="s">
        <v>185</v>
      </c>
      <c r="E2354" s="9" t="s">
        <v>115</v>
      </c>
      <c r="F2354" s="9" t="s">
        <v>434</v>
      </c>
      <c r="G2354" s="8"/>
      <c r="H2354" s="8"/>
      <c r="I2354" s="9" t="s">
        <v>11</v>
      </c>
      <c r="J2354" s="9" t="s">
        <v>11</v>
      </c>
      <c r="K2354" s="9" t="s">
        <v>82</v>
      </c>
      <c r="L2354" s="9" t="s">
        <v>171</v>
      </c>
      <c r="M2354" s="9" t="s">
        <v>80</v>
      </c>
      <c r="N2354" s="9" t="s">
        <v>861</v>
      </c>
      <c r="O2354" s="9" t="s">
        <v>80</v>
      </c>
      <c r="P2354" s="9" t="s">
        <v>1314</v>
      </c>
      <c r="Q2354" s="11"/>
      <c r="R2354" s="11"/>
      <c r="S2354" s="11"/>
      <c r="T2354" s="9"/>
      <c r="U2354" s="14" t="s">
        <v>77</v>
      </c>
      <c r="V2354" s="9"/>
      <c r="W2354" s="12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  <c r="AH2354" s="13"/>
      <c r="AI2354" s="13"/>
      <c r="AJ2354" s="13">
        <f t="shared" si="230"/>
        <v>0</v>
      </c>
      <c r="AK2354" s="12"/>
      <c r="AL2354" s="13"/>
      <c r="AM2354" s="9"/>
      <c r="AN2354" s="9"/>
      <c r="AO2354" s="9"/>
      <c r="AP2354" s="14"/>
    </row>
    <row r="2355" spans="1:42" s="45" customFormat="1" ht="22" customHeight="1">
      <c r="A2355" s="14" t="s">
        <v>17</v>
      </c>
      <c r="B2355" s="8">
        <v>2024</v>
      </c>
      <c r="C2355" s="8" t="s">
        <v>24</v>
      </c>
      <c r="D2355" s="9" t="s">
        <v>185</v>
      </c>
      <c r="E2355" s="9" t="s">
        <v>115</v>
      </c>
      <c r="F2355" s="9" t="s">
        <v>434</v>
      </c>
      <c r="G2355" s="8"/>
      <c r="H2355" s="8"/>
      <c r="I2355" s="9" t="s">
        <v>11</v>
      </c>
      <c r="J2355" s="9" t="s">
        <v>11</v>
      </c>
      <c r="K2355" s="9" t="s">
        <v>82</v>
      </c>
      <c r="L2355" s="9" t="s">
        <v>171</v>
      </c>
      <c r="M2355" s="9" t="s">
        <v>80</v>
      </c>
      <c r="N2355" s="9" t="s">
        <v>861</v>
      </c>
      <c r="O2355" s="9" t="s">
        <v>1315</v>
      </c>
      <c r="P2355" s="9" t="s">
        <v>1316</v>
      </c>
      <c r="Q2355" s="11"/>
      <c r="R2355" s="11"/>
      <c r="S2355" s="11"/>
      <c r="T2355" s="9"/>
      <c r="U2355" s="14" t="s">
        <v>77</v>
      </c>
      <c r="V2355" s="9"/>
      <c r="W2355" s="12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>
        <f t="shared" si="230"/>
        <v>0</v>
      </c>
      <c r="AK2355" s="12"/>
      <c r="AL2355" s="13"/>
      <c r="AM2355" s="9"/>
      <c r="AN2355" s="9"/>
      <c r="AO2355" s="9"/>
      <c r="AP2355" s="14"/>
    </row>
    <row r="2356" spans="1:42" s="45" customFormat="1" ht="22" customHeight="1">
      <c r="A2356" s="14" t="s">
        <v>17</v>
      </c>
      <c r="B2356" s="8">
        <v>2024</v>
      </c>
      <c r="C2356" s="8" t="s">
        <v>24</v>
      </c>
      <c r="D2356" s="9" t="s">
        <v>185</v>
      </c>
      <c r="E2356" s="9" t="s">
        <v>115</v>
      </c>
      <c r="F2356" s="9" t="s">
        <v>434</v>
      </c>
      <c r="G2356" s="8"/>
      <c r="H2356" s="8"/>
      <c r="I2356" s="9" t="s">
        <v>11</v>
      </c>
      <c r="J2356" s="9" t="s">
        <v>11</v>
      </c>
      <c r="K2356" s="9" t="s">
        <v>82</v>
      </c>
      <c r="L2356" s="9" t="s">
        <v>171</v>
      </c>
      <c r="M2356" s="9" t="s">
        <v>80</v>
      </c>
      <c r="N2356" s="9" t="s">
        <v>861</v>
      </c>
      <c r="O2356" s="9" t="s">
        <v>1315</v>
      </c>
      <c r="P2356" s="9" t="s">
        <v>1317</v>
      </c>
      <c r="Q2356" s="11"/>
      <c r="R2356" s="11"/>
      <c r="S2356" s="11"/>
      <c r="T2356" s="9"/>
      <c r="U2356" s="14" t="s">
        <v>77</v>
      </c>
      <c r="V2356" s="9"/>
      <c r="W2356" s="12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>
        <f t="shared" si="230"/>
        <v>0</v>
      </c>
      <c r="AK2356" s="12"/>
      <c r="AL2356" s="13"/>
      <c r="AM2356" s="9"/>
      <c r="AN2356" s="9"/>
      <c r="AO2356" s="9"/>
      <c r="AP2356" s="14"/>
    </row>
    <row r="2357" spans="1:42" s="45" customFormat="1" ht="22" customHeight="1">
      <c r="A2357" s="14" t="s">
        <v>17</v>
      </c>
      <c r="B2357" s="8">
        <v>2024</v>
      </c>
      <c r="C2357" s="8" t="s">
        <v>24</v>
      </c>
      <c r="D2357" s="9" t="s">
        <v>185</v>
      </c>
      <c r="E2357" s="9" t="s">
        <v>115</v>
      </c>
      <c r="F2357" s="9" t="s">
        <v>434</v>
      </c>
      <c r="G2357" s="8"/>
      <c r="H2357" s="8"/>
      <c r="I2357" s="9" t="s">
        <v>11</v>
      </c>
      <c r="J2357" s="9" t="s">
        <v>11</v>
      </c>
      <c r="K2357" s="9" t="s">
        <v>82</v>
      </c>
      <c r="L2357" s="9" t="s">
        <v>171</v>
      </c>
      <c r="M2357" s="9" t="s">
        <v>80</v>
      </c>
      <c r="N2357" s="9" t="s">
        <v>861</v>
      </c>
      <c r="O2357" s="9" t="s">
        <v>1315</v>
      </c>
      <c r="P2357" s="9" t="s">
        <v>1318</v>
      </c>
      <c r="Q2357" s="11"/>
      <c r="R2357" s="11"/>
      <c r="S2357" s="11"/>
      <c r="T2357" s="9"/>
      <c r="U2357" s="14" t="s">
        <v>77</v>
      </c>
      <c r="V2357" s="9"/>
      <c r="W2357" s="12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>
        <f t="shared" si="230"/>
        <v>0</v>
      </c>
      <c r="AK2357" s="12"/>
      <c r="AL2357" s="13"/>
      <c r="AM2357" s="9"/>
      <c r="AN2357" s="9"/>
      <c r="AO2357" s="9"/>
      <c r="AP2357" s="14"/>
    </row>
    <row r="2358" spans="1:42" s="45" customFormat="1" ht="22" customHeight="1">
      <c r="A2358" s="14" t="s">
        <v>17</v>
      </c>
      <c r="B2358" s="8">
        <v>2024</v>
      </c>
      <c r="C2358" s="8" t="s">
        <v>24</v>
      </c>
      <c r="D2358" s="9" t="s">
        <v>185</v>
      </c>
      <c r="E2358" s="9" t="s">
        <v>115</v>
      </c>
      <c r="F2358" s="9" t="s">
        <v>434</v>
      </c>
      <c r="G2358" s="8"/>
      <c r="H2358" s="8"/>
      <c r="I2358" s="9" t="s">
        <v>11</v>
      </c>
      <c r="J2358" s="9" t="s">
        <v>11</v>
      </c>
      <c r="K2358" s="9" t="s">
        <v>82</v>
      </c>
      <c r="L2358" s="9" t="s">
        <v>171</v>
      </c>
      <c r="M2358" s="9" t="s">
        <v>80</v>
      </c>
      <c r="N2358" s="9" t="s">
        <v>861</v>
      </c>
      <c r="O2358" s="9" t="s">
        <v>646</v>
      </c>
      <c r="P2358" s="9" t="s">
        <v>1319</v>
      </c>
      <c r="Q2358" s="11"/>
      <c r="R2358" s="11"/>
      <c r="S2358" s="11"/>
      <c r="T2358" s="9"/>
      <c r="U2358" s="14" t="s">
        <v>77</v>
      </c>
      <c r="V2358" s="9"/>
      <c r="W2358" s="12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>
        <f t="shared" si="230"/>
        <v>0</v>
      </c>
      <c r="AK2358" s="12"/>
      <c r="AL2358" s="13"/>
      <c r="AM2358" s="9"/>
      <c r="AN2358" s="9"/>
      <c r="AO2358" s="9"/>
      <c r="AP2358" s="14"/>
    </row>
    <row r="2359" spans="1:42" s="45" customFormat="1" ht="22" customHeight="1">
      <c r="A2359" s="14" t="s">
        <v>17</v>
      </c>
      <c r="B2359" s="8">
        <v>2024</v>
      </c>
      <c r="C2359" s="8" t="s">
        <v>24</v>
      </c>
      <c r="D2359" s="9" t="s">
        <v>185</v>
      </c>
      <c r="E2359" s="9" t="s">
        <v>115</v>
      </c>
      <c r="F2359" s="9" t="s">
        <v>434</v>
      </c>
      <c r="G2359" s="8"/>
      <c r="H2359" s="8"/>
      <c r="I2359" s="9" t="s">
        <v>11</v>
      </c>
      <c r="J2359" s="9" t="s">
        <v>11</v>
      </c>
      <c r="K2359" s="9" t="s">
        <v>82</v>
      </c>
      <c r="L2359" s="9" t="s">
        <v>171</v>
      </c>
      <c r="M2359" s="9" t="s">
        <v>80</v>
      </c>
      <c r="N2359" s="9" t="s">
        <v>861</v>
      </c>
      <c r="O2359" s="9" t="s">
        <v>646</v>
      </c>
      <c r="P2359" s="9" t="s">
        <v>1320</v>
      </c>
      <c r="Q2359" s="11"/>
      <c r="R2359" s="11"/>
      <c r="S2359" s="11"/>
      <c r="T2359" s="9"/>
      <c r="U2359" s="14" t="s">
        <v>77</v>
      </c>
      <c r="V2359" s="9"/>
      <c r="W2359" s="12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>
        <f t="shared" si="230"/>
        <v>0</v>
      </c>
      <c r="AK2359" s="12"/>
      <c r="AL2359" s="13"/>
      <c r="AM2359" s="9"/>
      <c r="AN2359" s="9"/>
      <c r="AO2359" s="9"/>
      <c r="AP2359" s="14"/>
    </row>
    <row r="2360" spans="1:42" s="45" customFormat="1" ht="22" customHeight="1">
      <c r="A2360" s="14" t="s">
        <v>17</v>
      </c>
      <c r="B2360" s="8">
        <v>2024</v>
      </c>
      <c r="C2360" s="8" t="s">
        <v>24</v>
      </c>
      <c r="D2360" s="9" t="s">
        <v>185</v>
      </c>
      <c r="E2360" s="9" t="s">
        <v>115</v>
      </c>
      <c r="F2360" s="9" t="s">
        <v>434</v>
      </c>
      <c r="G2360" s="8"/>
      <c r="H2360" s="8"/>
      <c r="I2360" s="9" t="s">
        <v>11</v>
      </c>
      <c r="J2360" s="9" t="s">
        <v>11</v>
      </c>
      <c r="K2360" s="9" t="s">
        <v>82</v>
      </c>
      <c r="L2360" s="9" t="s">
        <v>171</v>
      </c>
      <c r="M2360" s="9" t="s">
        <v>80</v>
      </c>
      <c r="N2360" s="9" t="s">
        <v>861</v>
      </c>
      <c r="O2360" s="9" t="s">
        <v>646</v>
      </c>
      <c r="P2360" s="9" t="s">
        <v>1321</v>
      </c>
      <c r="Q2360" s="11"/>
      <c r="R2360" s="11"/>
      <c r="S2360" s="11"/>
      <c r="T2360" s="9"/>
      <c r="U2360" s="14" t="s">
        <v>77</v>
      </c>
      <c r="V2360" s="9"/>
      <c r="W2360" s="12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>
        <f t="shared" si="230"/>
        <v>0</v>
      </c>
      <c r="AK2360" s="12"/>
      <c r="AL2360" s="13"/>
      <c r="AM2360" s="9"/>
      <c r="AN2360" s="9"/>
      <c r="AO2360" s="9"/>
      <c r="AP2360" s="14"/>
    </row>
    <row r="2361" spans="1:42" s="45" customFormat="1" ht="22" customHeight="1">
      <c r="A2361" s="14" t="s">
        <v>17</v>
      </c>
      <c r="B2361" s="8">
        <v>2024</v>
      </c>
      <c r="C2361" s="8" t="s">
        <v>24</v>
      </c>
      <c r="D2361" s="9" t="s">
        <v>185</v>
      </c>
      <c r="E2361" s="9" t="s">
        <v>115</v>
      </c>
      <c r="F2361" s="9" t="s">
        <v>434</v>
      </c>
      <c r="G2361" s="8"/>
      <c r="H2361" s="8"/>
      <c r="I2361" s="9" t="s">
        <v>11</v>
      </c>
      <c r="J2361" s="9" t="s">
        <v>11</v>
      </c>
      <c r="K2361" s="9" t="s">
        <v>82</v>
      </c>
      <c r="L2361" s="9" t="s">
        <v>171</v>
      </c>
      <c r="M2361" s="9" t="s">
        <v>80</v>
      </c>
      <c r="N2361" s="9" t="s">
        <v>861</v>
      </c>
      <c r="O2361" s="9" t="s">
        <v>646</v>
      </c>
      <c r="P2361" s="9" t="s">
        <v>1322</v>
      </c>
      <c r="Q2361" s="11"/>
      <c r="R2361" s="11"/>
      <c r="S2361" s="11"/>
      <c r="T2361" s="9"/>
      <c r="U2361" s="14" t="s">
        <v>77</v>
      </c>
      <c r="V2361" s="9"/>
      <c r="W2361" s="12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>
        <f t="shared" si="230"/>
        <v>0</v>
      </c>
      <c r="AK2361" s="12"/>
      <c r="AL2361" s="13"/>
      <c r="AM2361" s="9"/>
      <c r="AN2361" s="9"/>
      <c r="AO2361" s="9"/>
      <c r="AP2361" s="14"/>
    </row>
    <row r="2362" spans="1:42" s="45" customFormat="1" ht="22" customHeight="1">
      <c r="A2362" s="14" t="s">
        <v>17</v>
      </c>
      <c r="B2362" s="8">
        <v>2024</v>
      </c>
      <c r="C2362" s="8" t="s">
        <v>24</v>
      </c>
      <c r="D2362" s="9" t="s">
        <v>185</v>
      </c>
      <c r="E2362" s="9" t="s">
        <v>115</v>
      </c>
      <c r="F2362" s="9" t="s">
        <v>434</v>
      </c>
      <c r="G2362" s="8"/>
      <c r="H2362" s="8"/>
      <c r="I2362" s="9" t="s">
        <v>11</v>
      </c>
      <c r="J2362" s="9" t="s">
        <v>11</v>
      </c>
      <c r="K2362" s="9" t="s">
        <v>82</v>
      </c>
      <c r="L2362" s="9" t="s">
        <v>171</v>
      </c>
      <c r="M2362" s="9" t="s">
        <v>80</v>
      </c>
      <c r="N2362" s="9" t="s">
        <v>861</v>
      </c>
      <c r="O2362" s="9" t="s">
        <v>646</v>
      </c>
      <c r="P2362" s="9" t="s">
        <v>1323</v>
      </c>
      <c r="Q2362" s="11"/>
      <c r="R2362" s="11"/>
      <c r="S2362" s="11"/>
      <c r="T2362" s="9"/>
      <c r="U2362" s="14" t="s">
        <v>77</v>
      </c>
      <c r="V2362" s="9"/>
      <c r="W2362" s="12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>
        <f t="shared" si="230"/>
        <v>0</v>
      </c>
      <c r="AK2362" s="12"/>
      <c r="AL2362" s="13"/>
      <c r="AM2362" s="9"/>
      <c r="AN2362" s="9"/>
      <c r="AO2362" s="9"/>
      <c r="AP2362" s="14"/>
    </row>
    <row r="2363" spans="1:42" s="45" customFormat="1" ht="22" customHeight="1">
      <c r="A2363" s="14" t="s">
        <v>17</v>
      </c>
      <c r="B2363" s="8">
        <v>2024</v>
      </c>
      <c r="C2363" s="8" t="s">
        <v>24</v>
      </c>
      <c r="D2363" s="9" t="s">
        <v>185</v>
      </c>
      <c r="E2363" s="9" t="s">
        <v>115</v>
      </c>
      <c r="F2363" s="9" t="s">
        <v>434</v>
      </c>
      <c r="G2363" s="8"/>
      <c r="H2363" s="8"/>
      <c r="I2363" s="9" t="s">
        <v>11</v>
      </c>
      <c r="J2363" s="9" t="s">
        <v>11</v>
      </c>
      <c r="K2363" s="9" t="s">
        <v>82</v>
      </c>
      <c r="L2363" s="9" t="s">
        <v>171</v>
      </c>
      <c r="M2363" s="9" t="s">
        <v>80</v>
      </c>
      <c r="N2363" s="9" t="s">
        <v>861</v>
      </c>
      <c r="O2363" s="9" t="s">
        <v>646</v>
      </c>
      <c r="P2363" s="9" t="s">
        <v>1324</v>
      </c>
      <c r="Q2363" s="11"/>
      <c r="R2363" s="11"/>
      <c r="S2363" s="11"/>
      <c r="T2363" s="9"/>
      <c r="U2363" s="14" t="s">
        <v>77</v>
      </c>
      <c r="V2363" s="9"/>
      <c r="W2363" s="12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>
        <f t="shared" si="230"/>
        <v>0</v>
      </c>
      <c r="AK2363" s="12"/>
      <c r="AL2363" s="13"/>
      <c r="AM2363" s="9"/>
      <c r="AN2363" s="9"/>
      <c r="AO2363" s="9"/>
      <c r="AP2363" s="14"/>
    </row>
    <row r="2364" spans="1:42" s="45" customFormat="1" ht="22" customHeight="1">
      <c r="A2364" s="14" t="s">
        <v>17</v>
      </c>
      <c r="B2364" s="8">
        <v>2024</v>
      </c>
      <c r="C2364" s="8" t="s">
        <v>24</v>
      </c>
      <c r="D2364" s="9" t="s">
        <v>185</v>
      </c>
      <c r="E2364" s="9" t="s">
        <v>115</v>
      </c>
      <c r="F2364" s="9" t="s">
        <v>434</v>
      </c>
      <c r="G2364" s="8"/>
      <c r="H2364" s="8"/>
      <c r="I2364" s="9" t="s">
        <v>11</v>
      </c>
      <c r="J2364" s="9" t="s">
        <v>11</v>
      </c>
      <c r="K2364" s="9" t="s">
        <v>82</v>
      </c>
      <c r="L2364" s="9" t="s">
        <v>171</v>
      </c>
      <c r="M2364" s="9" t="s">
        <v>80</v>
      </c>
      <c r="N2364" s="9" t="s">
        <v>861</v>
      </c>
      <c r="O2364" s="9" t="s">
        <v>1325</v>
      </c>
      <c r="P2364" s="9" t="s">
        <v>1326</v>
      </c>
      <c r="Q2364" s="11"/>
      <c r="R2364" s="11"/>
      <c r="S2364" s="11"/>
      <c r="T2364" s="9"/>
      <c r="U2364" s="14" t="s">
        <v>77</v>
      </c>
      <c r="V2364" s="9"/>
      <c r="W2364" s="12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>
        <f t="shared" si="230"/>
        <v>0</v>
      </c>
      <c r="AK2364" s="12"/>
      <c r="AL2364" s="13"/>
      <c r="AM2364" s="9"/>
      <c r="AN2364" s="9"/>
      <c r="AO2364" s="9"/>
      <c r="AP2364" s="14"/>
    </row>
    <row r="2365" spans="1:42" s="45" customFormat="1" ht="22" customHeight="1">
      <c r="A2365" s="14" t="s">
        <v>17</v>
      </c>
      <c r="B2365" s="8">
        <v>2024</v>
      </c>
      <c r="C2365" s="8" t="s">
        <v>24</v>
      </c>
      <c r="D2365" s="9" t="s">
        <v>185</v>
      </c>
      <c r="E2365" s="9" t="s">
        <v>115</v>
      </c>
      <c r="F2365" s="9" t="s">
        <v>434</v>
      </c>
      <c r="G2365" s="8"/>
      <c r="H2365" s="8"/>
      <c r="I2365" s="9" t="s">
        <v>11</v>
      </c>
      <c r="J2365" s="9" t="s">
        <v>11</v>
      </c>
      <c r="K2365" s="9" t="s">
        <v>82</v>
      </c>
      <c r="L2365" s="9" t="s">
        <v>171</v>
      </c>
      <c r="M2365" s="9" t="s">
        <v>80</v>
      </c>
      <c r="N2365" s="9" t="s">
        <v>861</v>
      </c>
      <c r="O2365" s="9" t="s">
        <v>1325</v>
      </c>
      <c r="P2365" s="9" t="s">
        <v>1327</v>
      </c>
      <c r="Q2365" s="11"/>
      <c r="R2365" s="11"/>
      <c r="S2365" s="11"/>
      <c r="T2365" s="9"/>
      <c r="U2365" s="14" t="s">
        <v>77</v>
      </c>
      <c r="V2365" s="9"/>
      <c r="W2365" s="12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>
        <f t="shared" si="230"/>
        <v>0</v>
      </c>
      <c r="AK2365" s="12"/>
      <c r="AL2365" s="13"/>
      <c r="AM2365" s="9"/>
      <c r="AN2365" s="9"/>
      <c r="AO2365" s="9"/>
      <c r="AP2365" s="14"/>
    </row>
    <row r="2366" spans="1:42" s="45" customFormat="1" ht="22" customHeight="1">
      <c r="A2366" s="14" t="s">
        <v>17</v>
      </c>
      <c r="B2366" s="8">
        <v>2024</v>
      </c>
      <c r="C2366" s="8" t="s">
        <v>24</v>
      </c>
      <c r="D2366" s="9" t="s">
        <v>185</v>
      </c>
      <c r="E2366" s="9" t="s">
        <v>115</v>
      </c>
      <c r="F2366" s="9" t="s">
        <v>434</v>
      </c>
      <c r="G2366" s="8"/>
      <c r="H2366" s="8"/>
      <c r="I2366" s="9" t="s">
        <v>11</v>
      </c>
      <c r="J2366" s="9" t="s">
        <v>11</v>
      </c>
      <c r="K2366" s="9" t="s">
        <v>82</v>
      </c>
      <c r="L2366" s="9" t="s">
        <v>171</v>
      </c>
      <c r="M2366" s="9" t="s">
        <v>80</v>
      </c>
      <c r="N2366" s="9" t="s">
        <v>861</v>
      </c>
      <c r="O2366" s="9" t="s">
        <v>1325</v>
      </c>
      <c r="P2366" s="9" t="s">
        <v>1325</v>
      </c>
      <c r="Q2366" s="11"/>
      <c r="R2366" s="11"/>
      <c r="S2366" s="11"/>
      <c r="T2366" s="9"/>
      <c r="U2366" s="14" t="s">
        <v>77</v>
      </c>
      <c r="V2366" s="9"/>
      <c r="W2366" s="12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>
        <f t="shared" si="230"/>
        <v>0</v>
      </c>
      <c r="AK2366" s="12"/>
      <c r="AL2366" s="13"/>
      <c r="AM2366" s="9"/>
      <c r="AN2366" s="9"/>
      <c r="AO2366" s="9"/>
      <c r="AP2366" s="14"/>
    </row>
    <row r="2367" spans="1:42" s="45" customFormat="1" ht="22" customHeight="1">
      <c r="A2367" s="14" t="s">
        <v>17</v>
      </c>
      <c r="B2367" s="8">
        <v>2024</v>
      </c>
      <c r="C2367" s="8" t="s">
        <v>24</v>
      </c>
      <c r="D2367" s="9" t="s">
        <v>185</v>
      </c>
      <c r="E2367" s="9" t="s">
        <v>115</v>
      </c>
      <c r="F2367" s="9" t="s">
        <v>434</v>
      </c>
      <c r="G2367" s="8"/>
      <c r="H2367" s="8"/>
      <c r="I2367" s="9" t="s">
        <v>11</v>
      </c>
      <c r="J2367" s="9" t="s">
        <v>11</v>
      </c>
      <c r="K2367" s="9" t="s">
        <v>82</v>
      </c>
      <c r="L2367" s="9" t="s">
        <v>171</v>
      </c>
      <c r="M2367" s="9" t="s">
        <v>80</v>
      </c>
      <c r="N2367" s="9" t="s">
        <v>861</v>
      </c>
      <c r="O2367" s="9" t="s">
        <v>1325</v>
      </c>
      <c r="P2367" s="9" t="s">
        <v>1328</v>
      </c>
      <c r="Q2367" s="11"/>
      <c r="R2367" s="11"/>
      <c r="S2367" s="11"/>
      <c r="T2367" s="9"/>
      <c r="U2367" s="14" t="s">
        <v>77</v>
      </c>
      <c r="V2367" s="9"/>
      <c r="W2367" s="12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>
        <f t="shared" si="230"/>
        <v>0</v>
      </c>
      <c r="AK2367" s="12"/>
      <c r="AL2367" s="13"/>
      <c r="AM2367" s="9"/>
      <c r="AN2367" s="9"/>
      <c r="AO2367" s="9"/>
      <c r="AP2367" s="14"/>
    </row>
    <row r="2368" spans="1:42" s="45" customFormat="1" ht="22" customHeight="1">
      <c r="A2368" s="14" t="s">
        <v>17</v>
      </c>
      <c r="B2368" s="8">
        <v>2024</v>
      </c>
      <c r="C2368" s="8" t="s">
        <v>24</v>
      </c>
      <c r="D2368" s="9" t="s">
        <v>185</v>
      </c>
      <c r="E2368" s="9" t="s">
        <v>115</v>
      </c>
      <c r="F2368" s="9" t="s">
        <v>434</v>
      </c>
      <c r="G2368" s="8"/>
      <c r="H2368" s="8"/>
      <c r="I2368" s="9" t="s">
        <v>11</v>
      </c>
      <c r="J2368" s="9" t="s">
        <v>11</v>
      </c>
      <c r="K2368" s="9" t="s">
        <v>82</v>
      </c>
      <c r="L2368" s="9" t="s">
        <v>171</v>
      </c>
      <c r="M2368" s="9" t="s">
        <v>80</v>
      </c>
      <c r="N2368" s="9" t="s">
        <v>861</v>
      </c>
      <c r="O2368" s="9" t="s">
        <v>1329</v>
      </c>
      <c r="P2368" s="9" t="s">
        <v>1330</v>
      </c>
      <c r="Q2368" s="11"/>
      <c r="R2368" s="11"/>
      <c r="S2368" s="11"/>
      <c r="T2368" s="9"/>
      <c r="U2368" s="14" t="s">
        <v>77</v>
      </c>
      <c r="V2368" s="9"/>
      <c r="W2368" s="12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>
        <f t="shared" si="230"/>
        <v>0</v>
      </c>
      <c r="AK2368" s="12"/>
      <c r="AL2368" s="13"/>
      <c r="AM2368" s="9"/>
      <c r="AN2368" s="9"/>
      <c r="AO2368" s="9"/>
      <c r="AP2368" s="14"/>
    </row>
    <row r="2369" spans="1:42" s="45" customFormat="1" ht="22" customHeight="1">
      <c r="A2369" s="14" t="s">
        <v>17</v>
      </c>
      <c r="B2369" s="8">
        <v>2024</v>
      </c>
      <c r="C2369" s="8" t="s">
        <v>24</v>
      </c>
      <c r="D2369" s="9" t="s">
        <v>185</v>
      </c>
      <c r="E2369" s="9" t="s">
        <v>115</v>
      </c>
      <c r="F2369" s="9" t="s">
        <v>434</v>
      </c>
      <c r="G2369" s="8"/>
      <c r="H2369" s="8"/>
      <c r="I2369" s="9" t="s">
        <v>11</v>
      </c>
      <c r="J2369" s="9" t="s">
        <v>11</v>
      </c>
      <c r="K2369" s="9" t="s">
        <v>82</v>
      </c>
      <c r="L2369" s="9" t="s">
        <v>171</v>
      </c>
      <c r="M2369" s="9" t="s">
        <v>80</v>
      </c>
      <c r="N2369" s="9" t="s">
        <v>861</v>
      </c>
      <c r="O2369" s="9" t="s">
        <v>1329</v>
      </c>
      <c r="P2369" s="9" t="s">
        <v>1331</v>
      </c>
      <c r="Q2369" s="11"/>
      <c r="R2369" s="11"/>
      <c r="S2369" s="11"/>
      <c r="T2369" s="9"/>
      <c r="U2369" s="14" t="s">
        <v>77</v>
      </c>
      <c r="V2369" s="9"/>
      <c r="W2369" s="12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>
        <f t="shared" si="230"/>
        <v>0</v>
      </c>
      <c r="AK2369" s="12"/>
      <c r="AL2369" s="13"/>
      <c r="AM2369" s="9"/>
      <c r="AN2369" s="9"/>
      <c r="AO2369" s="9"/>
      <c r="AP2369" s="14"/>
    </row>
    <row r="2370" spans="1:42" s="45" customFormat="1" ht="22" customHeight="1">
      <c r="A2370" s="14" t="s">
        <v>17</v>
      </c>
      <c r="B2370" s="8">
        <v>2024</v>
      </c>
      <c r="C2370" s="8" t="s">
        <v>24</v>
      </c>
      <c r="D2370" s="9" t="s">
        <v>185</v>
      </c>
      <c r="E2370" s="9" t="s">
        <v>115</v>
      </c>
      <c r="F2370" s="9" t="s">
        <v>434</v>
      </c>
      <c r="G2370" s="8"/>
      <c r="H2370" s="8"/>
      <c r="I2370" s="9" t="s">
        <v>11</v>
      </c>
      <c r="J2370" s="9" t="s">
        <v>11</v>
      </c>
      <c r="K2370" s="9" t="s">
        <v>82</v>
      </c>
      <c r="L2370" s="9" t="s">
        <v>171</v>
      </c>
      <c r="M2370" s="9" t="s">
        <v>80</v>
      </c>
      <c r="N2370" s="9" t="s">
        <v>861</v>
      </c>
      <c r="O2370" s="9" t="s">
        <v>1329</v>
      </c>
      <c r="P2370" s="9" t="s">
        <v>1332</v>
      </c>
      <c r="Q2370" s="11"/>
      <c r="R2370" s="11"/>
      <c r="S2370" s="11"/>
      <c r="T2370" s="9"/>
      <c r="U2370" s="14" t="s">
        <v>77</v>
      </c>
      <c r="V2370" s="9"/>
      <c r="W2370" s="12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>
        <f t="shared" si="230"/>
        <v>0</v>
      </c>
      <c r="AK2370" s="12"/>
      <c r="AL2370" s="13"/>
      <c r="AM2370" s="9"/>
      <c r="AN2370" s="9"/>
      <c r="AO2370" s="9"/>
      <c r="AP2370" s="14"/>
    </row>
    <row r="2371" spans="1:42" s="45" customFormat="1" ht="22" customHeight="1">
      <c r="A2371" s="14" t="s">
        <v>17</v>
      </c>
      <c r="B2371" s="8">
        <v>2024</v>
      </c>
      <c r="C2371" s="8" t="s">
        <v>24</v>
      </c>
      <c r="D2371" s="9" t="s">
        <v>185</v>
      </c>
      <c r="E2371" s="9" t="s">
        <v>115</v>
      </c>
      <c r="F2371" s="9" t="s">
        <v>434</v>
      </c>
      <c r="G2371" s="8"/>
      <c r="H2371" s="8"/>
      <c r="I2371" s="9" t="s">
        <v>11</v>
      </c>
      <c r="J2371" s="9" t="s">
        <v>11</v>
      </c>
      <c r="K2371" s="9" t="s">
        <v>82</v>
      </c>
      <c r="L2371" s="9" t="s">
        <v>171</v>
      </c>
      <c r="M2371" s="9" t="s">
        <v>80</v>
      </c>
      <c r="N2371" s="9" t="s">
        <v>861</v>
      </c>
      <c r="O2371" s="9" t="s">
        <v>1329</v>
      </c>
      <c r="P2371" s="9" t="s">
        <v>1333</v>
      </c>
      <c r="Q2371" s="11"/>
      <c r="R2371" s="11"/>
      <c r="S2371" s="11"/>
      <c r="T2371" s="9"/>
      <c r="U2371" s="14" t="s">
        <v>77</v>
      </c>
      <c r="V2371" s="9"/>
      <c r="W2371" s="12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>
        <f t="shared" si="230"/>
        <v>0</v>
      </c>
      <c r="AK2371" s="12"/>
      <c r="AL2371" s="13"/>
      <c r="AM2371" s="9"/>
      <c r="AN2371" s="9"/>
      <c r="AO2371" s="9"/>
      <c r="AP2371" s="14"/>
    </row>
    <row r="2372" spans="1:42" s="45" customFormat="1" ht="22" customHeight="1">
      <c r="A2372" s="14" t="s">
        <v>17</v>
      </c>
      <c r="B2372" s="8">
        <v>2024</v>
      </c>
      <c r="C2372" s="8" t="s">
        <v>24</v>
      </c>
      <c r="D2372" s="9" t="s">
        <v>185</v>
      </c>
      <c r="E2372" s="9" t="s">
        <v>115</v>
      </c>
      <c r="F2372" s="9" t="s">
        <v>434</v>
      </c>
      <c r="G2372" s="8"/>
      <c r="H2372" s="8"/>
      <c r="I2372" s="9" t="s">
        <v>11</v>
      </c>
      <c r="J2372" s="9" t="s">
        <v>11</v>
      </c>
      <c r="K2372" s="9" t="s">
        <v>82</v>
      </c>
      <c r="L2372" s="9" t="s">
        <v>171</v>
      </c>
      <c r="M2372" s="9" t="s">
        <v>80</v>
      </c>
      <c r="N2372" s="9" t="s">
        <v>861</v>
      </c>
      <c r="O2372" s="9" t="s">
        <v>1329</v>
      </c>
      <c r="P2372" s="9" t="s">
        <v>1334</v>
      </c>
      <c r="Q2372" s="11"/>
      <c r="R2372" s="11"/>
      <c r="S2372" s="11"/>
      <c r="T2372" s="9"/>
      <c r="U2372" s="14" t="s">
        <v>77</v>
      </c>
      <c r="V2372" s="9"/>
      <c r="W2372" s="12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  <c r="AH2372" s="13"/>
      <c r="AI2372" s="13"/>
      <c r="AJ2372" s="13">
        <f t="shared" si="230"/>
        <v>0</v>
      </c>
      <c r="AK2372" s="12"/>
      <c r="AL2372" s="13"/>
      <c r="AM2372" s="9"/>
      <c r="AN2372" s="9"/>
      <c r="AO2372" s="9"/>
      <c r="AP2372" s="14"/>
    </row>
    <row r="2373" spans="1:42" s="45" customFormat="1" ht="22" customHeight="1">
      <c r="A2373" s="14" t="s">
        <v>17</v>
      </c>
      <c r="B2373" s="8">
        <v>2024</v>
      </c>
      <c r="C2373" s="8" t="s">
        <v>24</v>
      </c>
      <c r="D2373" s="9" t="s">
        <v>185</v>
      </c>
      <c r="E2373" s="9" t="s">
        <v>115</v>
      </c>
      <c r="F2373" s="9" t="s">
        <v>434</v>
      </c>
      <c r="G2373" s="8"/>
      <c r="H2373" s="8"/>
      <c r="I2373" s="9" t="s">
        <v>11</v>
      </c>
      <c r="J2373" s="9" t="s">
        <v>11</v>
      </c>
      <c r="K2373" s="9" t="s">
        <v>82</v>
      </c>
      <c r="L2373" s="9" t="s">
        <v>171</v>
      </c>
      <c r="M2373" s="9" t="s">
        <v>80</v>
      </c>
      <c r="N2373" s="9" t="s">
        <v>861</v>
      </c>
      <c r="O2373" s="9" t="s">
        <v>1329</v>
      </c>
      <c r="P2373" s="9" t="s">
        <v>1232</v>
      </c>
      <c r="Q2373" s="11"/>
      <c r="R2373" s="11"/>
      <c r="S2373" s="11"/>
      <c r="T2373" s="9"/>
      <c r="U2373" s="14" t="s">
        <v>77</v>
      </c>
      <c r="V2373" s="9"/>
      <c r="W2373" s="12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>
        <f t="shared" si="230"/>
        <v>0</v>
      </c>
      <c r="AK2373" s="12"/>
      <c r="AL2373" s="13"/>
      <c r="AM2373" s="9"/>
      <c r="AN2373" s="9"/>
      <c r="AO2373" s="9"/>
      <c r="AP2373" s="14"/>
    </row>
    <row r="2374" spans="1:42" s="45" customFormat="1" ht="22" customHeight="1">
      <c r="A2374" s="14" t="s">
        <v>17</v>
      </c>
      <c r="B2374" s="8">
        <v>2024</v>
      </c>
      <c r="C2374" s="8" t="s">
        <v>24</v>
      </c>
      <c r="D2374" s="9" t="s">
        <v>185</v>
      </c>
      <c r="E2374" s="9" t="s">
        <v>115</v>
      </c>
      <c r="F2374" s="9" t="s">
        <v>434</v>
      </c>
      <c r="G2374" s="8"/>
      <c r="H2374" s="8"/>
      <c r="I2374" s="9" t="s">
        <v>11</v>
      </c>
      <c r="J2374" s="9" t="s">
        <v>11</v>
      </c>
      <c r="K2374" s="9" t="s">
        <v>82</v>
      </c>
      <c r="L2374" s="9" t="s">
        <v>171</v>
      </c>
      <c r="M2374" s="9" t="s">
        <v>80</v>
      </c>
      <c r="N2374" s="9" t="s">
        <v>861</v>
      </c>
      <c r="O2374" s="9" t="s">
        <v>1335</v>
      </c>
      <c r="P2374" s="9" t="s">
        <v>1336</v>
      </c>
      <c r="Q2374" s="11"/>
      <c r="R2374" s="11"/>
      <c r="S2374" s="11"/>
      <c r="T2374" s="9"/>
      <c r="U2374" s="14" t="s">
        <v>77</v>
      </c>
      <c r="V2374" s="9"/>
      <c r="W2374" s="12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>
        <f t="shared" si="230"/>
        <v>0</v>
      </c>
      <c r="AK2374" s="12"/>
      <c r="AL2374" s="13"/>
      <c r="AM2374" s="9"/>
      <c r="AN2374" s="9"/>
      <c r="AO2374" s="9"/>
      <c r="AP2374" s="14"/>
    </row>
    <row r="2375" spans="1:42" s="45" customFormat="1" ht="22" customHeight="1">
      <c r="A2375" s="14" t="s">
        <v>17</v>
      </c>
      <c r="B2375" s="8">
        <v>2024</v>
      </c>
      <c r="C2375" s="8" t="s">
        <v>24</v>
      </c>
      <c r="D2375" s="9" t="s">
        <v>185</v>
      </c>
      <c r="E2375" s="9" t="s">
        <v>115</v>
      </c>
      <c r="F2375" s="9" t="s">
        <v>434</v>
      </c>
      <c r="G2375" s="8"/>
      <c r="H2375" s="8"/>
      <c r="I2375" s="9" t="s">
        <v>11</v>
      </c>
      <c r="J2375" s="9" t="s">
        <v>11</v>
      </c>
      <c r="K2375" s="9" t="s">
        <v>82</v>
      </c>
      <c r="L2375" s="9" t="s">
        <v>171</v>
      </c>
      <c r="M2375" s="9" t="s">
        <v>80</v>
      </c>
      <c r="N2375" s="9" t="s">
        <v>861</v>
      </c>
      <c r="O2375" s="9" t="s">
        <v>1335</v>
      </c>
      <c r="P2375" s="9" t="s">
        <v>1337</v>
      </c>
      <c r="Q2375" s="11"/>
      <c r="R2375" s="11"/>
      <c r="S2375" s="11"/>
      <c r="T2375" s="9"/>
      <c r="U2375" s="14" t="s">
        <v>77</v>
      </c>
      <c r="V2375" s="9"/>
      <c r="W2375" s="12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>
        <f t="shared" si="230"/>
        <v>0</v>
      </c>
      <c r="AK2375" s="12"/>
      <c r="AL2375" s="13"/>
      <c r="AM2375" s="9"/>
      <c r="AN2375" s="9"/>
      <c r="AO2375" s="9"/>
      <c r="AP2375" s="14"/>
    </row>
    <row r="2376" spans="1:42" s="45" customFormat="1" ht="22" customHeight="1">
      <c r="A2376" s="14" t="s">
        <v>17</v>
      </c>
      <c r="B2376" s="8">
        <v>2024</v>
      </c>
      <c r="C2376" s="8" t="s">
        <v>24</v>
      </c>
      <c r="D2376" s="9" t="s">
        <v>185</v>
      </c>
      <c r="E2376" s="9" t="s">
        <v>115</v>
      </c>
      <c r="F2376" s="9" t="s">
        <v>434</v>
      </c>
      <c r="G2376" s="8"/>
      <c r="H2376" s="8"/>
      <c r="I2376" s="9" t="s">
        <v>11</v>
      </c>
      <c r="J2376" s="9" t="s">
        <v>11</v>
      </c>
      <c r="K2376" s="9" t="s">
        <v>82</v>
      </c>
      <c r="L2376" s="9" t="s">
        <v>171</v>
      </c>
      <c r="M2376" s="9" t="s">
        <v>80</v>
      </c>
      <c r="N2376" s="9" t="s">
        <v>861</v>
      </c>
      <c r="O2376" s="9" t="s">
        <v>1335</v>
      </c>
      <c r="P2376" s="9" t="s">
        <v>1335</v>
      </c>
      <c r="Q2376" s="11"/>
      <c r="R2376" s="11"/>
      <c r="S2376" s="11"/>
      <c r="T2376" s="9"/>
      <c r="U2376" s="14" t="s">
        <v>77</v>
      </c>
      <c r="V2376" s="9"/>
      <c r="W2376" s="12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>
        <f t="shared" si="230"/>
        <v>0</v>
      </c>
      <c r="AK2376" s="12"/>
      <c r="AL2376" s="13"/>
      <c r="AM2376" s="9"/>
      <c r="AN2376" s="9"/>
      <c r="AO2376" s="9"/>
      <c r="AP2376" s="14"/>
    </row>
    <row r="2377" spans="1:42" s="45" customFormat="1" ht="22" customHeight="1">
      <c r="A2377" s="14" t="s">
        <v>17</v>
      </c>
      <c r="B2377" s="8">
        <v>2024</v>
      </c>
      <c r="C2377" s="8" t="s">
        <v>24</v>
      </c>
      <c r="D2377" s="9" t="s">
        <v>185</v>
      </c>
      <c r="E2377" s="9" t="s">
        <v>115</v>
      </c>
      <c r="F2377" s="9" t="s">
        <v>434</v>
      </c>
      <c r="G2377" s="8"/>
      <c r="H2377" s="8"/>
      <c r="I2377" s="9" t="s">
        <v>11</v>
      </c>
      <c r="J2377" s="9" t="s">
        <v>11</v>
      </c>
      <c r="K2377" s="9" t="s">
        <v>82</v>
      </c>
      <c r="L2377" s="9" t="s">
        <v>171</v>
      </c>
      <c r="M2377" s="9" t="s">
        <v>80</v>
      </c>
      <c r="N2377" s="9" t="s">
        <v>861</v>
      </c>
      <c r="O2377" s="9" t="s">
        <v>1335</v>
      </c>
      <c r="P2377" s="9" t="s">
        <v>1338</v>
      </c>
      <c r="Q2377" s="11"/>
      <c r="R2377" s="11"/>
      <c r="S2377" s="11"/>
      <c r="T2377" s="9"/>
      <c r="U2377" s="14" t="s">
        <v>77</v>
      </c>
      <c r="V2377" s="9"/>
      <c r="W2377" s="12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>
        <f t="shared" si="230"/>
        <v>0</v>
      </c>
      <c r="AK2377" s="12"/>
      <c r="AL2377" s="13"/>
      <c r="AM2377" s="9"/>
      <c r="AN2377" s="9"/>
      <c r="AO2377" s="9"/>
      <c r="AP2377" s="14"/>
    </row>
    <row r="2378" spans="1:42" s="45" customFormat="1" ht="22" customHeight="1">
      <c r="A2378" s="14" t="s">
        <v>17</v>
      </c>
      <c r="B2378" s="8">
        <v>2024</v>
      </c>
      <c r="C2378" s="8" t="s">
        <v>24</v>
      </c>
      <c r="D2378" s="9" t="s">
        <v>185</v>
      </c>
      <c r="E2378" s="9" t="s">
        <v>115</v>
      </c>
      <c r="F2378" s="9" t="s">
        <v>434</v>
      </c>
      <c r="G2378" s="8"/>
      <c r="H2378" s="8"/>
      <c r="I2378" s="9" t="s">
        <v>11</v>
      </c>
      <c r="J2378" s="9" t="s">
        <v>11</v>
      </c>
      <c r="K2378" s="9" t="s">
        <v>82</v>
      </c>
      <c r="L2378" s="9" t="s">
        <v>171</v>
      </c>
      <c r="M2378" s="9" t="s">
        <v>80</v>
      </c>
      <c r="N2378" s="9" t="s">
        <v>861</v>
      </c>
      <c r="O2378" s="9" t="s">
        <v>1335</v>
      </c>
      <c r="P2378" s="9" t="s">
        <v>1339</v>
      </c>
      <c r="Q2378" s="11"/>
      <c r="R2378" s="11"/>
      <c r="S2378" s="11"/>
      <c r="T2378" s="9"/>
      <c r="U2378" s="14" t="s">
        <v>77</v>
      </c>
      <c r="V2378" s="9"/>
      <c r="W2378" s="12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>
        <f t="shared" si="230"/>
        <v>0</v>
      </c>
      <c r="AK2378" s="12"/>
      <c r="AL2378" s="13"/>
      <c r="AM2378" s="9"/>
      <c r="AN2378" s="9"/>
      <c r="AO2378" s="9"/>
      <c r="AP2378" s="14"/>
    </row>
    <row r="2379" spans="1:42" s="45" customFormat="1" ht="22" customHeight="1">
      <c r="A2379" s="14" t="s">
        <v>17</v>
      </c>
      <c r="B2379" s="8">
        <v>2024</v>
      </c>
      <c r="C2379" s="8" t="s">
        <v>24</v>
      </c>
      <c r="D2379" s="9" t="s">
        <v>185</v>
      </c>
      <c r="E2379" s="9" t="s">
        <v>115</v>
      </c>
      <c r="F2379" s="9" t="s">
        <v>434</v>
      </c>
      <c r="G2379" s="8"/>
      <c r="H2379" s="8"/>
      <c r="I2379" s="9" t="s">
        <v>11</v>
      </c>
      <c r="J2379" s="9" t="s">
        <v>11</v>
      </c>
      <c r="K2379" s="9" t="s">
        <v>82</v>
      </c>
      <c r="L2379" s="9" t="s">
        <v>171</v>
      </c>
      <c r="M2379" s="9" t="s">
        <v>80</v>
      </c>
      <c r="N2379" s="9" t="s">
        <v>861</v>
      </c>
      <c r="O2379" s="9" t="s">
        <v>1335</v>
      </c>
      <c r="P2379" s="9" t="s">
        <v>1340</v>
      </c>
      <c r="Q2379" s="11"/>
      <c r="R2379" s="11"/>
      <c r="S2379" s="11"/>
      <c r="T2379" s="9"/>
      <c r="U2379" s="14" t="s">
        <v>77</v>
      </c>
      <c r="V2379" s="9"/>
      <c r="W2379" s="12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>
        <f t="shared" si="230"/>
        <v>0</v>
      </c>
      <c r="AK2379" s="12"/>
      <c r="AL2379" s="13"/>
      <c r="AM2379" s="9"/>
      <c r="AN2379" s="9"/>
      <c r="AO2379" s="9"/>
      <c r="AP2379" s="14"/>
    </row>
    <row r="2380" spans="1:42" s="45" customFormat="1" ht="22" customHeight="1">
      <c r="A2380" s="14" t="s">
        <v>17</v>
      </c>
      <c r="B2380" s="8">
        <v>2024</v>
      </c>
      <c r="C2380" s="8" t="s">
        <v>24</v>
      </c>
      <c r="D2380" s="9" t="s">
        <v>185</v>
      </c>
      <c r="E2380" s="9" t="s">
        <v>115</v>
      </c>
      <c r="F2380" s="9" t="s">
        <v>434</v>
      </c>
      <c r="G2380" s="8"/>
      <c r="H2380" s="8"/>
      <c r="I2380" s="9" t="s">
        <v>11</v>
      </c>
      <c r="J2380" s="9" t="s">
        <v>11</v>
      </c>
      <c r="K2380" s="9" t="s">
        <v>82</v>
      </c>
      <c r="L2380" s="9" t="s">
        <v>171</v>
      </c>
      <c r="M2380" s="9" t="s">
        <v>80</v>
      </c>
      <c r="N2380" s="9" t="s">
        <v>861</v>
      </c>
      <c r="O2380" s="9" t="s">
        <v>1335</v>
      </c>
      <c r="P2380" s="9" t="s">
        <v>1341</v>
      </c>
      <c r="Q2380" s="11"/>
      <c r="R2380" s="11"/>
      <c r="S2380" s="11"/>
      <c r="T2380" s="9"/>
      <c r="U2380" s="14" t="s">
        <v>77</v>
      </c>
      <c r="V2380" s="9"/>
      <c r="W2380" s="12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>
        <f t="shared" si="230"/>
        <v>0</v>
      </c>
      <c r="AK2380" s="12"/>
      <c r="AL2380" s="13"/>
      <c r="AM2380" s="9"/>
      <c r="AN2380" s="9"/>
      <c r="AO2380" s="9"/>
      <c r="AP2380" s="14"/>
    </row>
    <row r="2381" spans="1:42" s="45" customFormat="1" ht="22" customHeight="1">
      <c r="A2381" s="14" t="s">
        <v>17</v>
      </c>
      <c r="B2381" s="8">
        <v>2024</v>
      </c>
      <c r="C2381" s="8" t="s">
        <v>24</v>
      </c>
      <c r="D2381" s="9" t="s">
        <v>185</v>
      </c>
      <c r="E2381" s="9" t="s">
        <v>115</v>
      </c>
      <c r="F2381" s="9" t="s">
        <v>434</v>
      </c>
      <c r="G2381" s="8"/>
      <c r="H2381" s="8"/>
      <c r="I2381" s="9" t="s">
        <v>11</v>
      </c>
      <c r="J2381" s="9" t="s">
        <v>11</v>
      </c>
      <c r="K2381" s="9" t="s">
        <v>82</v>
      </c>
      <c r="L2381" s="9" t="s">
        <v>171</v>
      </c>
      <c r="M2381" s="9" t="s">
        <v>80</v>
      </c>
      <c r="N2381" s="9" t="s">
        <v>861</v>
      </c>
      <c r="O2381" s="9" t="s">
        <v>1335</v>
      </c>
      <c r="P2381" s="9" t="s">
        <v>1342</v>
      </c>
      <c r="Q2381" s="11"/>
      <c r="R2381" s="11"/>
      <c r="S2381" s="11"/>
      <c r="T2381" s="9"/>
      <c r="U2381" s="14" t="s">
        <v>77</v>
      </c>
      <c r="V2381" s="9"/>
      <c r="W2381" s="12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>
        <f t="shared" si="230"/>
        <v>0</v>
      </c>
      <c r="AK2381" s="12"/>
      <c r="AL2381" s="13"/>
      <c r="AM2381" s="9"/>
      <c r="AN2381" s="9"/>
      <c r="AO2381" s="9"/>
      <c r="AP2381" s="14"/>
    </row>
    <row r="2382" spans="1:42" s="45" customFormat="1" ht="22" customHeight="1">
      <c r="A2382" s="14" t="s">
        <v>17</v>
      </c>
      <c r="B2382" s="8">
        <v>2024</v>
      </c>
      <c r="C2382" s="8" t="s">
        <v>24</v>
      </c>
      <c r="D2382" s="9" t="s">
        <v>185</v>
      </c>
      <c r="E2382" s="9" t="s">
        <v>115</v>
      </c>
      <c r="F2382" s="9" t="s">
        <v>434</v>
      </c>
      <c r="G2382" s="8"/>
      <c r="H2382" s="8"/>
      <c r="I2382" s="9" t="s">
        <v>11</v>
      </c>
      <c r="J2382" s="9" t="s">
        <v>11</v>
      </c>
      <c r="K2382" s="9" t="s">
        <v>82</v>
      </c>
      <c r="L2382" s="9" t="s">
        <v>171</v>
      </c>
      <c r="M2382" s="9" t="s">
        <v>80</v>
      </c>
      <c r="N2382" s="9" t="s">
        <v>861</v>
      </c>
      <c r="O2382" s="9" t="s">
        <v>1343</v>
      </c>
      <c r="P2382" s="9" t="s">
        <v>1343</v>
      </c>
      <c r="Q2382" s="11"/>
      <c r="R2382" s="11"/>
      <c r="S2382" s="11"/>
      <c r="T2382" s="9"/>
      <c r="U2382" s="14" t="s">
        <v>77</v>
      </c>
      <c r="V2382" s="9"/>
      <c r="W2382" s="12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>
        <f t="shared" si="230"/>
        <v>0</v>
      </c>
      <c r="AK2382" s="12"/>
      <c r="AL2382" s="13"/>
      <c r="AM2382" s="9"/>
      <c r="AN2382" s="9"/>
      <c r="AO2382" s="9"/>
      <c r="AP2382" s="14"/>
    </row>
    <row r="2383" spans="1:42" s="45" customFormat="1" ht="22" customHeight="1">
      <c r="A2383" s="14" t="s">
        <v>17</v>
      </c>
      <c r="B2383" s="8">
        <v>2024</v>
      </c>
      <c r="C2383" s="8" t="s">
        <v>24</v>
      </c>
      <c r="D2383" s="9" t="s">
        <v>185</v>
      </c>
      <c r="E2383" s="9" t="s">
        <v>115</v>
      </c>
      <c r="F2383" s="9" t="s">
        <v>434</v>
      </c>
      <c r="G2383" s="8"/>
      <c r="H2383" s="8"/>
      <c r="I2383" s="9" t="s">
        <v>11</v>
      </c>
      <c r="J2383" s="9" t="s">
        <v>11</v>
      </c>
      <c r="K2383" s="9" t="s">
        <v>82</v>
      </c>
      <c r="L2383" s="9" t="s">
        <v>171</v>
      </c>
      <c r="M2383" s="9" t="s">
        <v>80</v>
      </c>
      <c r="N2383" s="9" t="s">
        <v>861</v>
      </c>
      <c r="O2383" s="9" t="s">
        <v>1343</v>
      </c>
      <c r="P2383" s="9" t="s">
        <v>1344</v>
      </c>
      <c r="Q2383" s="11"/>
      <c r="R2383" s="11"/>
      <c r="S2383" s="11"/>
      <c r="T2383" s="9"/>
      <c r="U2383" s="14" t="s">
        <v>77</v>
      </c>
      <c r="V2383" s="9"/>
      <c r="W2383" s="12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>
        <f t="shared" si="230"/>
        <v>0</v>
      </c>
      <c r="AK2383" s="12"/>
      <c r="AL2383" s="13"/>
      <c r="AM2383" s="9"/>
      <c r="AN2383" s="9"/>
      <c r="AO2383" s="9"/>
      <c r="AP2383" s="14"/>
    </row>
    <row r="2384" spans="1:42" s="45" customFormat="1" ht="22" customHeight="1">
      <c r="A2384" s="14" t="s">
        <v>17</v>
      </c>
      <c r="B2384" s="8">
        <v>2024</v>
      </c>
      <c r="C2384" s="8" t="s">
        <v>24</v>
      </c>
      <c r="D2384" s="9" t="s">
        <v>185</v>
      </c>
      <c r="E2384" s="9" t="s">
        <v>115</v>
      </c>
      <c r="F2384" s="9" t="s">
        <v>434</v>
      </c>
      <c r="G2384" s="8"/>
      <c r="H2384" s="8"/>
      <c r="I2384" s="9" t="s">
        <v>11</v>
      </c>
      <c r="J2384" s="9" t="s">
        <v>11</v>
      </c>
      <c r="K2384" s="9" t="s">
        <v>82</v>
      </c>
      <c r="L2384" s="9" t="s">
        <v>171</v>
      </c>
      <c r="M2384" s="9" t="s">
        <v>80</v>
      </c>
      <c r="N2384" s="9" t="s">
        <v>861</v>
      </c>
      <c r="O2384" s="9" t="s">
        <v>1343</v>
      </c>
      <c r="P2384" s="9" t="s">
        <v>1345</v>
      </c>
      <c r="Q2384" s="11"/>
      <c r="R2384" s="11"/>
      <c r="S2384" s="11"/>
      <c r="T2384" s="9"/>
      <c r="U2384" s="14" t="s">
        <v>77</v>
      </c>
      <c r="V2384" s="9"/>
      <c r="W2384" s="12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>
        <f t="shared" si="230"/>
        <v>0</v>
      </c>
      <c r="AK2384" s="12"/>
      <c r="AL2384" s="13"/>
      <c r="AM2384" s="9"/>
      <c r="AN2384" s="9"/>
      <c r="AO2384" s="9"/>
      <c r="AP2384" s="14"/>
    </row>
    <row r="2385" spans="1:42" s="45" customFormat="1" ht="22" customHeight="1">
      <c r="A2385" s="14" t="s">
        <v>17</v>
      </c>
      <c r="B2385" s="8">
        <v>2024</v>
      </c>
      <c r="C2385" s="8" t="s">
        <v>24</v>
      </c>
      <c r="D2385" s="9" t="s">
        <v>185</v>
      </c>
      <c r="E2385" s="9" t="s">
        <v>115</v>
      </c>
      <c r="F2385" s="9" t="s">
        <v>434</v>
      </c>
      <c r="G2385" s="8"/>
      <c r="H2385" s="8"/>
      <c r="I2385" s="9" t="s">
        <v>11</v>
      </c>
      <c r="J2385" s="9" t="s">
        <v>11</v>
      </c>
      <c r="K2385" s="9" t="s">
        <v>82</v>
      </c>
      <c r="L2385" s="9" t="s">
        <v>171</v>
      </c>
      <c r="M2385" s="9" t="s">
        <v>80</v>
      </c>
      <c r="N2385" s="9" t="s">
        <v>861</v>
      </c>
      <c r="O2385" s="9" t="s">
        <v>1343</v>
      </c>
      <c r="P2385" s="9" t="s">
        <v>1346</v>
      </c>
      <c r="Q2385" s="11"/>
      <c r="R2385" s="11"/>
      <c r="S2385" s="11"/>
      <c r="T2385" s="9"/>
      <c r="U2385" s="14" t="s">
        <v>77</v>
      </c>
      <c r="V2385" s="9"/>
      <c r="W2385" s="12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>
        <f t="shared" si="230"/>
        <v>0</v>
      </c>
      <c r="AK2385" s="12"/>
      <c r="AL2385" s="13"/>
      <c r="AM2385" s="9"/>
      <c r="AN2385" s="9"/>
      <c r="AO2385" s="9"/>
      <c r="AP2385" s="14"/>
    </row>
    <row r="2386" spans="1:42" s="45" customFormat="1" ht="22" customHeight="1">
      <c r="A2386" s="14" t="s">
        <v>17</v>
      </c>
      <c r="B2386" s="8">
        <v>2024</v>
      </c>
      <c r="C2386" s="8" t="s">
        <v>24</v>
      </c>
      <c r="D2386" s="9" t="s">
        <v>185</v>
      </c>
      <c r="E2386" s="9" t="s">
        <v>115</v>
      </c>
      <c r="F2386" s="9" t="s">
        <v>434</v>
      </c>
      <c r="G2386" s="8"/>
      <c r="H2386" s="8"/>
      <c r="I2386" s="9" t="s">
        <v>11</v>
      </c>
      <c r="J2386" s="9" t="s">
        <v>11</v>
      </c>
      <c r="K2386" s="9" t="s">
        <v>82</v>
      </c>
      <c r="L2386" s="9" t="s">
        <v>171</v>
      </c>
      <c r="M2386" s="9" t="s">
        <v>80</v>
      </c>
      <c r="N2386" s="9" t="s">
        <v>861</v>
      </c>
      <c r="O2386" s="9" t="s">
        <v>1343</v>
      </c>
      <c r="P2386" s="9" t="s">
        <v>1347</v>
      </c>
      <c r="Q2386" s="11"/>
      <c r="R2386" s="11"/>
      <c r="S2386" s="11"/>
      <c r="T2386" s="9"/>
      <c r="U2386" s="14" t="s">
        <v>77</v>
      </c>
      <c r="V2386" s="9"/>
      <c r="W2386" s="12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>
        <f t="shared" si="230"/>
        <v>0</v>
      </c>
      <c r="AK2386" s="12"/>
      <c r="AL2386" s="13"/>
      <c r="AM2386" s="9"/>
      <c r="AN2386" s="9"/>
      <c r="AO2386" s="9"/>
      <c r="AP2386" s="14"/>
    </row>
    <row r="2387" spans="1:42" s="45" customFormat="1" ht="22" customHeight="1">
      <c r="A2387" s="14" t="s">
        <v>17</v>
      </c>
      <c r="B2387" s="8">
        <v>2024</v>
      </c>
      <c r="C2387" s="8" t="s">
        <v>24</v>
      </c>
      <c r="D2387" s="9" t="s">
        <v>185</v>
      </c>
      <c r="E2387" s="9" t="s">
        <v>115</v>
      </c>
      <c r="F2387" s="9" t="s">
        <v>434</v>
      </c>
      <c r="G2387" s="8"/>
      <c r="H2387" s="8"/>
      <c r="I2387" s="9" t="s">
        <v>11</v>
      </c>
      <c r="J2387" s="9" t="s">
        <v>11</v>
      </c>
      <c r="K2387" s="9" t="s">
        <v>82</v>
      </c>
      <c r="L2387" s="9" t="s">
        <v>171</v>
      </c>
      <c r="M2387" s="9" t="s">
        <v>80</v>
      </c>
      <c r="N2387" s="9" t="s">
        <v>861</v>
      </c>
      <c r="O2387" s="9" t="s">
        <v>1343</v>
      </c>
      <c r="P2387" s="9" t="s">
        <v>1348</v>
      </c>
      <c r="Q2387" s="11"/>
      <c r="R2387" s="11"/>
      <c r="S2387" s="11"/>
      <c r="T2387" s="9"/>
      <c r="U2387" s="14" t="s">
        <v>77</v>
      </c>
      <c r="V2387" s="9"/>
      <c r="W2387" s="12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>
        <f t="shared" si="230"/>
        <v>0</v>
      </c>
      <c r="AK2387" s="12"/>
      <c r="AL2387" s="13"/>
      <c r="AM2387" s="9"/>
      <c r="AN2387" s="9"/>
      <c r="AO2387" s="9"/>
      <c r="AP2387" s="14"/>
    </row>
    <row r="2388" spans="1:42" s="45" customFormat="1" ht="22" customHeight="1">
      <c r="A2388" s="14" t="s">
        <v>17</v>
      </c>
      <c r="B2388" s="8">
        <v>2024</v>
      </c>
      <c r="C2388" s="8" t="s">
        <v>24</v>
      </c>
      <c r="D2388" s="9" t="s">
        <v>185</v>
      </c>
      <c r="E2388" s="9" t="s">
        <v>115</v>
      </c>
      <c r="F2388" s="9" t="s">
        <v>434</v>
      </c>
      <c r="G2388" s="8"/>
      <c r="H2388" s="8"/>
      <c r="I2388" s="9" t="s">
        <v>11</v>
      </c>
      <c r="J2388" s="9" t="s">
        <v>11</v>
      </c>
      <c r="K2388" s="9" t="s">
        <v>82</v>
      </c>
      <c r="L2388" s="9" t="s">
        <v>171</v>
      </c>
      <c r="M2388" s="9" t="s">
        <v>80</v>
      </c>
      <c r="N2388" s="9" t="s">
        <v>861</v>
      </c>
      <c r="O2388" s="9" t="s">
        <v>1343</v>
      </c>
      <c r="P2388" s="9" t="s">
        <v>1349</v>
      </c>
      <c r="Q2388" s="11"/>
      <c r="R2388" s="11"/>
      <c r="S2388" s="11"/>
      <c r="T2388" s="9"/>
      <c r="U2388" s="14" t="s">
        <v>77</v>
      </c>
      <c r="V2388" s="9"/>
      <c r="W2388" s="12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>
        <f t="shared" si="230"/>
        <v>0</v>
      </c>
      <c r="AK2388" s="12"/>
      <c r="AL2388" s="13"/>
      <c r="AM2388" s="9"/>
      <c r="AN2388" s="9"/>
      <c r="AO2388" s="9"/>
      <c r="AP2388" s="14"/>
    </row>
    <row r="2389" spans="1:42" s="45" customFormat="1" ht="22" customHeight="1">
      <c r="A2389" s="14" t="s">
        <v>17</v>
      </c>
      <c r="B2389" s="8">
        <v>2024</v>
      </c>
      <c r="C2389" s="8" t="s">
        <v>24</v>
      </c>
      <c r="D2389" s="9" t="s">
        <v>185</v>
      </c>
      <c r="E2389" s="9" t="s">
        <v>115</v>
      </c>
      <c r="F2389" s="9" t="s">
        <v>434</v>
      </c>
      <c r="G2389" s="8"/>
      <c r="H2389" s="8"/>
      <c r="I2389" s="9" t="s">
        <v>11</v>
      </c>
      <c r="J2389" s="9" t="s">
        <v>11</v>
      </c>
      <c r="K2389" s="9" t="s">
        <v>82</v>
      </c>
      <c r="L2389" s="9" t="s">
        <v>171</v>
      </c>
      <c r="M2389" s="9" t="s">
        <v>80</v>
      </c>
      <c r="N2389" s="9" t="s">
        <v>861</v>
      </c>
      <c r="O2389" s="9" t="s">
        <v>259</v>
      </c>
      <c r="P2389" s="9" t="s">
        <v>1350</v>
      </c>
      <c r="Q2389" s="11"/>
      <c r="R2389" s="11"/>
      <c r="S2389" s="11"/>
      <c r="T2389" s="9"/>
      <c r="U2389" s="14" t="s">
        <v>77</v>
      </c>
      <c r="V2389" s="9"/>
      <c r="W2389" s="12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>
        <f t="shared" si="230"/>
        <v>0</v>
      </c>
      <c r="AK2389" s="12"/>
      <c r="AL2389" s="13"/>
      <c r="AM2389" s="9"/>
      <c r="AN2389" s="9"/>
      <c r="AO2389" s="9"/>
      <c r="AP2389" s="14"/>
    </row>
    <row r="2390" spans="1:42" s="45" customFormat="1" ht="22" customHeight="1">
      <c r="A2390" s="14" t="s">
        <v>17</v>
      </c>
      <c r="B2390" s="8">
        <v>2024</v>
      </c>
      <c r="C2390" s="8" t="s">
        <v>24</v>
      </c>
      <c r="D2390" s="9" t="s">
        <v>185</v>
      </c>
      <c r="E2390" s="9" t="s">
        <v>115</v>
      </c>
      <c r="F2390" s="9" t="s">
        <v>434</v>
      </c>
      <c r="G2390" s="8"/>
      <c r="H2390" s="8"/>
      <c r="I2390" s="9" t="s">
        <v>11</v>
      </c>
      <c r="J2390" s="9" t="s">
        <v>11</v>
      </c>
      <c r="K2390" s="9" t="s">
        <v>82</v>
      </c>
      <c r="L2390" s="9" t="s">
        <v>171</v>
      </c>
      <c r="M2390" s="9" t="s">
        <v>80</v>
      </c>
      <c r="N2390" s="9" t="s">
        <v>861</v>
      </c>
      <c r="O2390" s="9" t="s">
        <v>259</v>
      </c>
      <c r="P2390" s="9" t="s">
        <v>1351</v>
      </c>
      <c r="Q2390" s="11"/>
      <c r="R2390" s="11"/>
      <c r="S2390" s="11"/>
      <c r="T2390" s="9"/>
      <c r="U2390" s="14" t="s">
        <v>77</v>
      </c>
      <c r="V2390" s="9"/>
      <c r="W2390" s="12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>
        <f t="shared" si="230"/>
        <v>0</v>
      </c>
      <c r="AK2390" s="12"/>
      <c r="AL2390" s="13"/>
      <c r="AM2390" s="9"/>
      <c r="AN2390" s="9"/>
      <c r="AO2390" s="9"/>
      <c r="AP2390" s="14"/>
    </row>
    <row r="2391" spans="1:42" s="45" customFormat="1" ht="22" customHeight="1">
      <c r="A2391" s="14" t="s">
        <v>17</v>
      </c>
      <c r="B2391" s="8">
        <v>2024</v>
      </c>
      <c r="C2391" s="8" t="s">
        <v>24</v>
      </c>
      <c r="D2391" s="9" t="s">
        <v>185</v>
      </c>
      <c r="E2391" s="9" t="s">
        <v>115</v>
      </c>
      <c r="F2391" s="9" t="s">
        <v>434</v>
      </c>
      <c r="G2391" s="8"/>
      <c r="H2391" s="8"/>
      <c r="I2391" s="9" t="s">
        <v>11</v>
      </c>
      <c r="J2391" s="9" t="s">
        <v>11</v>
      </c>
      <c r="K2391" s="9" t="s">
        <v>82</v>
      </c>
      <c r="L2391" s="9" t="s">
        <v>171</v>
      </c>
      <c r="M2391" s="9" t="s">
        <v>80</v>
      </c>
      <c r="N2391" s="9" t="s">
        <v>861</v>
      </c>
      <c r="O2391" s="9" t="s">
        <v>259</v>
      </c>
      <c r="P2391" s="9" t="s">
        <v>1352</v>
      </c>
      <c r="Q2391" s="11"/>
      <c r="R2391" s="11"/>
      <c r="S2391" s="11"/>
      <c r="T2391" s="9"/>
      <c r="U2391" s="14" t="s">
        <v>77</v>
      </c>
      <c r="V2391" s="9"/>
      <c r="W2391" s="12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>
        <f t="shared" si="230"/>
        <v>0</v>
      </c>
      <c r="AK2391" s="12"/>
      <c r="AL2391" s="13"/>
      <c r="AM2391" s="9"/>
      <c r="AN2391" s="9"/>
      <c r="AO2391" s="9"/>
      <c r="AP2391" s="14"/>
    </row>
    <row r="2392" spans="1:42" s="45" customFormat="1" ht="22" customHeight="1">
      <c r="A2392" s="14" t="s">
        <v>17</v>
      </c>
      <c r="B2392" s="8">
        <v>2024</v>
      </c>
      <c r="C2392" s="8" t="s">
        <v>24</v>
      </c>
      <c r="D2392" s="9" t="s">
        <v>185</v>
      </c>
      <c r="E2392" s="9" t="s">
        <v>115</v>
      </c>
      <c r="F2392" s="9" t="s">
        <v>434</v>
      </c>
      <c r="G2392" s="8"/>
      <c r="H2392" s="8"/>
      <c r="I2392" s="9" t="s">
        <v>11</v>
      </c>
      <c r="J2392" s="9" t="s">
        <v>11</v>
      </c>
      <c r="K2392" s="9" t="s">
        <v>82</v>
      </c>
      <c r="L2392" s="9" t="s">
        <v>171</v>
      </c>
      <c r="M2392" s="9" t="s">
        <v>80</v>
      </c>
      <c r="N2392" s="9" t="s">
        <v>861</v>
      </c>
      <c r="O2392" s="9" t="s">
        <v>259</v>
      </c>
      <c r="P2392" s="9" t="s">
        <v>1353</v>
      </c>
      <c r="Q2392" s="11"/>
      <c r="R2392" s="11"/>
      <c r="S2392" s="11"/>
      <c r="T2392" s="9"/>
      <c r="U2392" s="14" t="s">
        <v>77</v>
      </c>
      <c r="V2392" s="9"/>
      <c r="W2392" s="12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>
        <f t="shared" si="230"/>
        <v>0</v>
      </c>
      <c r="AK2392" s="12"/>
      <c r="AL2392" s="13"/>
      <c r="AM2392" s="9"/>
      <c r="AN2392" s="9"/>
      <c r="AO2392" s="9"/>
      <c r="AP2392" s="14"/>
    </row>
    <row r="2393" spans="1:42" s="45" customFormat="1" ht="22" customHeight="1">
      <c r="A2393" s="14" t="s">
        <v>17</v>
      </c>
      <c r="B2393" s="8">
        <v>2024</v>
      </c>
      <c r="C2393" s="8" t="s">
        <v>24</v>
      </c>
      <c r="D2393" s="9" t="s">
        <v>185</v>
      </c>
      <c r="E2393" s="9" t="s">
        <v>115</v>
      </c>
      <c r="F2393" s="9" t="s">
        <v>434</v>
      </c>
      <c r="G2393" s="8"/>
      <c r="H2393" s="8"/>
      <c r="I2393" s="9" t="s">
        <v>11</v>
      </c>
      <c r="J2393" s="9" t="s">
        <v>11</v>
      </c>
      <c r="K2393" s="9" t="s">
        <v>82</v>
      </c>
      <c r="L2393" s="9" t="s">
        <v>171</v>
      </c>
      <c r="M2393" s="9" t="s">
        <v>80</v>
      </c>
      <c r="N2393" s="9" t="s">
        <v>861</v>
      </c>
      <c r="O2393" s="9" t="s">
        <v>259</v>
      </c>
      <c r="P2393" s="9" t="s">
        <v>1354</v>
      </c>
      <c r="Q2393" s="11"/>
      <c r="R2393" s="11"/>
      <c r="S2393" s="11"/>
      <c r="T2393" s="9"/>
      <c r="U2393" s="14" t="s">
        <v>77</v>
      </c>
      <c r="V2393" s="9"/>
      <c r="W2393" s="12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>
        <f t="shared" si="230"/>
        <v>0</v>
      </c>
      <c r="AK2393" s="12"/>
      <c r="AL2393" s="13"/>
      <c r="AM2393" s="9"/>
      <c r="AN2393" s="9"/>
      <c r="AO2393" s="9"/>
      <c r="AP2393" s="14"/>
    </row>
    <row r="2394" spans="1:42" s="45" customFormat="1" ht="22" customHeight="1">
      <c r="A2394" s="14" t="s">
        <v>17</v>
      </c>
      <c r="B2394" s="8">
        <v>2024</v>
      </c>
      <c r="C2394" s="8" t="s">
        <v>24</v>
      </c>
      <c r="D2394" s="9" t="s">
        <v>185</v>
      </c>
      <c r="E2394" s="9" t="s">
        <v>115</v>
      </c>
      <c r="F2394" s="9" t="s">
        <v>434</v>
      </c>
      <c r="G2394" s="8"/>
      <c r="H2394" s="8"/>
      <c r="I2394" s="9" t="s">
        <v>11</v>
      </c>
      <c r="J2394" s="9" t="s">
        <v>11</v>
      </c>
      <c r="K2394" s="9" t="s">
        <v>82</v>
      </c>
      <c r="L2394" s="9" t="s">
        <v>171</v>
      </c>
      <c r="M2394" s="9" t="s">
        <v>80</v>
      </c>
      <c r="N2394" s="9" t="s">
        <v>861</v>
      </c>
      <c r="O2394" s="9" t="s">
        <v>259</v>
      </c>
      <c r="P2394" s="9" t="s">
        <v>1355</v>
      </c>
      <c r="Q2394" s="11"/>
      <c r="R2394" s="11"/>
      <c r="S2394" s="11"/>
      <c r="T2394" s="9"/>
      <c r="U2394" s="14" t="s">
        <v>77</v>
      </c>
      <c r="V2394" s="9"/>
      <c r="W2394" s="12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>
        <f t="shared" si="230"/>
        <v>0</v>
      </c>
      <c r="AK2394" s="12"/>
      <c r="AL2394" s="13"/>
      <c r="AM2394" s="9"/>
      <c r="AN2394" s="9"/>
      <c r="AO2394" s="9"/>
      <c r="AP2394" s="14"/>
    </row>
    <row r="2395" spans="1:42" s="45" customFormat="1" ht="22" customHeight="1">
      <c r="A2395" s="14" t="s">
        <v>17</v>
      </c>
      <c r="B2395" s="8">
        <v>2024</v>
      </c>
      <c r="C2395" s="8" t="s">
        <v>24</v>
      </c>
      <c r="D2395" s="9" t="s">
        <v>185</v>
      </c>
      <c r="E2395" s="9" t="s">
        <v>115</v>
      </c>
      <c r="F2395" s="9" t="s">
        <v>434</v>
      </c>
      <c r="G2395" s="8"/>
      <c r="H2395" s="8"/>
      <c r="I2395" s="9" t="s">
        <v>11</v>
      </c>
      <c r="J2395" s="9" t="s">
        <v>11</v>
      </c>
      <c r="K2395" s="9" t="s">
        <v>82</v>
      </c>
      <c r="L2395" s="9" t="s">
        <v>171</v>
      </c>
      <c r="M2395" s="9" t="s">
        <v>80</v>
      </c>
      <c r="N2395" s="9" t="s">
        <v>861</v>
      </c>
      <c r="O2395" s="9" t="s">
        <v>259</v>
      </c>
      <c r="P2395" s="9" t="s">
        <v>1356</v>
      </c>
      <c r="Q2395" s="11"/>
      <c r="R2395" s="11"/>
      <c r="S2395" s="11"/>
      <c r="T2395" s="9"/>
      <c r="U2395" s="14" t="s">
        <v>77</v>
      </c>
      <c r="V2395" s="9"/>
      <c r="W2395" s="12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>
        <f t="shared" si="230"/>
        <v>0</v>
      </c>
      <c r="AK2395" s="12"/>
      <c r="AL2395" s="13"/>
      <c r="AM2395" s="9"/>
      <c r="AN2395" s="9"/>
      <c r="AO2395" s="9"/>
      <c r="AP2395" s="14"/>
    </row>
    <row r="2396" spans="1:42" s="45" customFormat="1" ht="22" customHeight="1">
      <c r="A2396" s="14" t="s">
        <v>17</v>
      </c>
      <c r="B2396" s="8">
        <v>2024</v>
      </c>
      <c r="C2396" s="8" t="s">
        <v>24</v>
      </c>
      <c r="D2396" s="9" t="s">
        <v>185</v>
      </c>
      <c r="E2396" s="9" t="s">
        <v>115</v>
      </c>
      <c r="F2396" s="9" t="s">
        <v>434</v>
      </c>
      <c r="G2396" s="8"/>
      <c r="H2396" s="8"/>
      <c r="I2396" s="9" t="s">
        <v>11</v>
      </c>
      <c r="J2396" s="9" t="s">
        <v>11</v>
      </c>
      <c r="K2396" s="9" t="s">
        <v>82</v>
      </c>
      <c r="L2396" s="9" t="s">
        <v>171</v>
      </c>
      <c r="M2396" s="9" t="s">
        <v>80</v>
      </c>
      <c r="N2396" s="9" t="s">
        <v>861</v>
      </c>
      <c r="O2396" s="9" t="s">
        <v>259</v>
      </c>
      <c r="P2396" s="9" t="s">
        <v>1357</v>
      </c>
      <c r="Q2396" s="11"/>
      <c r="R2396" s="11"/>
      <c r="S2396" s="11"/>
      <c r="T2396" s="9"/>
      <c r="U2396" s="14" t="s">
        <v>77</v>
      </c>
      <c r="V2396" s="9"/>
      <c r="W2396" s="12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>
        <f t="shared" si="230"/>
        <v>0</v>
      </c>
      <c r="AK2396" s="12"/>
      <c r="AL2396" s="13"/>
      <c r="AM2396" s="9"/>
      <c r="AN2396" s="9"/>
      <c r="AO2396" s="9"/>
      <c r="AP2396" s="14"/>
    </row>
    <row r="2397" spans="1:42" s="45" customFormat="1" ht="22" customHeight="1">
      <c r="A2397" s="14" t="s">
        <v>17</v>
      </c>
      <c r="B2397" s="8">
        <v>2024</v>
      </c>
      <c r="C2397" s="8" t="s">
        <v>24</v>
      </c>
      <c r="D2397" s="9" t="s">
        <v>185</v>
      </c>
      <c r="E2397" s="9" t="s">
        <v>115</v>
      </c>
      <c r="F2397" s="9" t="s">
        <v>434</v>
      </c>
      <c r="G2397" s="8"/>
      <c r="H2397" s="8"/>
      <c r="I2397" s="9" t="s">
        <v>11</v>
      </c>
      <c r="J2397" s="9" t="s">
        <v>11</v>
      </c>
      <c r="K2397" s="9" t="s">
        <v>82</v>
      </c>
      <c r="L2397" s="9" t="s">
        <v>171</v>
      </c>
      <c r="M2397" s="9" t="s">
        <v>80</v>
      </c>
      <c r="N2397" s="9" t="s">
        <v>861</v>
      </c>
      <c r="O2397" s="9" t="s">
        <v>259</v>
      </c>
      <c r="P2397" s="9" t="s">
        <v>1358</v>
      </c>
      <c r="Q2397" s="11"/>
      <c r="R2397" s="11"/>
      <c r="S2397" s="11"/>
      <c r="T2397" s="9"/>
      <c r="U2397" s="14" t="s">
        <v>77</v>
      </c>
      <c r="V2397" s="9"/>
      <c r="W2397" s="12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>
        <f t="shared" si="230"/>
        <v>0</v>
      </c>
      <c r="AK2397" s="12"/>
      <c r="AL2397" s="13"/>
      <c r="AM2397" s="9"/>
      <c r="AN2397" s="9"/>
      <c r="AO2397" s="9"/>
      <c r="AP2397" s="14"/>
    </row>
    <row r="2398" spans="1:42" s="45" customFormat="1" ht="22" customHeight="1">
      <c r="A2398" s="14" t="s">
        <v>17</v>
      </c>
      <c r="B2398" s="8">
        <v>2024</v>
      </c>
      <c r="C2398" s="8" t="s">
        <v>24</v>
      </c>
      <c r="D2398" s="9" t="s">
        <v>185</v>
      </c>
      <c r="E2398" s="9" t="s">
        <v>115</v>
      </c>
      <c r="F2398" s="9" t="s">
        <v>434</v>
      </c>
      <c r="G2398" s="8"/>
      <c r="H2398" s="8"/>
      <c r="I2398" s="9" t="s">
        <v>11</v>
      </c>
      <c r="J2398" s="9" t="s">
        <v>11</v>
      </c>
      <c r="K2398" s="9" t="s">
        <v>82</v>
      </c>
      <c r="L2398" s="9" t="s">
        <v>171</v>
      </c>
      <c r="M2398" s="9" t="s">
        <v>80</v>
      </c>
      <c r="N2398" s="9" t="s">
        <v>861</v>
      </c>
      <c r="O2398" s="9" t="s">
        <v>259</v>
      </c>
      <c r="P2398" s="9" t="s">
        <v>1359</v>
      </c>
      <c r="Q2398" s="11"/>
      <c r="R2398" s="11"/>
      <c r="S2398" s="11"/>
      <c r="T2398" s="9"/>
      <c r="U2398" s="14" t="s">
        <v>77</v>
      </c>
      <c r="V2398" s="9"/>
      <c r="W2398" s="12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>
        <f t="shared" si="230"/>
        <v>0</v>
      </c>
      <c r="AK2398" s="12"/>
      <c r="AL2398" s="13"/>
      <c r="AM2398" s="9"/>
      <c r="AN2398" s="9"/>
      <c r="AO2398" s="9"/>
      <c r="AP2398" s="14"/>
    </row>
    <row r="2399" spans="1:42" s="45" customFormat="1" ht="22" customHeight="1">
      <c r="A2399" s="14" t="s">
        <v>17</v>
      </c>
      <c r="B2399" s="8">
        <v>2024</v>
      </c>
      <c r="C2399" s="8" t="s">
        <v>24</v>
      </c>
      <c r="D2399" s="9" t="s">
        <v>185</v>
      </c>
      <c r="E2399" s="9" t="s">
        <v>115</v>
      </c>
      <c r="F2399" s="9" t="s">
        <v>434</v>
      </c>
      <c r="G2399" s="8"/>
      <c r="H2399" s="8"/>
      <c r="I2399" s="9" t="s">
        <v>11</v>
      </c>
      <c r="J2399" s="9" t="s">
        <v>11</v>
      </c>
      <c r="K2399" s="9" t="s">
        <v>82</v>
      </c>
      <c r="L2399" s="9" t="s">
        <v>171</v>
      </c>
      <c r="M2399" s="9" t="s">
        <v>80</v>
      </c>
      <c r="N2399" s="9" t="s">
        <v>861</v>
      </c>
      <c r="O2399" s="9" t="s">
        <v>259</v>
      </c>
      <c r="P2399" s="9" t="s">
        <v>1360</v>
      </c>
      <c r="Q2399" s="11"/>
      <c r="R2399" s="11"/>
      <c r="S2399" s="11"/>
      <c r="T2399" s="9"/>
      <c r="U2399" s="14" t="s">
        <v>77</v>
      </c>
      <c r="V2399" s="9"/>
      <c r="W2399" s="12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>
        <f t="shared" si="230"/>
        <v>0</v>
      </c>
      <c r="AK2399" s="12"/>
      <c r="AL2399" s="13"/>
      <c r="AM2399" s="9"/>
      <c r="AN2399" s="9"/>
      <c r="AO2399" s="9"/>
      <c r="AP2399" s="14"/>
    </row>
    <row r="2400" spans="1:42" s="45" customFormat="1" ht="22" customHeight="1">
      <c r="A2400" s="14" t="s">
        <v>17</v>
      </c>
      <c r="B2400" s="8">
        <v>2024</v>
      </c>
      <c r="C2400" s="8" t="s">
        <v>24</v>
      </c>
      <c r="D2400" s="9" t="s">
        <v>185</v>
      </c>
      <c r="E2400" s="9" t="s">
        <v>115</v>
      </c>
      <c r="F2400" s="9" t="s">
        <v>434</v>
      </c>
      <c r="G2400" s="8"/>
      <c r="H2400" s="8"/>
      <c r="I2400" s="9" t="s">
        <v>11</v>
      </c>
      <c r="J2400" s="9" t="s">
        <v>11</v>
      </c>
      <c r="K2400" s="9" t="s">
        <v>82</v>
      </c>
      <c r="L2400" s="9" t="s">
        <v>171</v>
      </c>
      <c r="M2400" s="9" t="s">
        <v>80</v>
      </c>
      <c r="N2400" s="9" t="s">
        <v>861</v>
      </c>
      <c r="O2400" s="9" t="s">
        <v>259</v>
      </c>
      <c r="P2400" s="9" t="s">
        <v>1361</v>
      </c>
      <c r="Q2400" s="11"/>
      <c r="R2400" s="11"/>
      <c r="S2400" s="11"/>
      <c r="T2400" s="9"/>
      <c r="U2400" s="14" t="s">
        <v>77</v>
      </c>
      <c r="V2400" s="9"/>
      <c r="W2400" s="12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>
        <f t="shared" si="230"/>
        <v>0</v>
      </c>
      <c r="AK2400" s="12"/>
      <c r="AL2400" s="13"/>
      <c r="AM2400" s="9"/>
      <c r="AN2400" s="9"/>
      <c r="AO2400" s="9"/>
      <c r="AP2400" s="14"/>
    </row>
    <row r="2401" spans="1:42" s="45" customFormat="1" ht="22" customHeight="1">
      <c r="A2401" s="14" t="s">
        <v>17</v>
      </c>
      <c r="B2401" s="8">
        <v>2024</v>
      </c>
      <c r="C2401" s="8" t="s">
        <v>24</v>
      </c>
      <c r="D2401" s="9" t="s">
        <v>185</v>
      </c>
      <c r="E2401" s="9" t="s">
        <v>115</v>
      </c>
      <c r="F2401" s="9" t="s">
        <v>434</v>
      </c>
      <c r="G2401" s="8"/>
      <c r="H2401" s="8"/>
      <c r="I2401" s="9" t="s">
        <v>11</v>
      </c>
      <c r="J2401" s="9" t="s">
        <v>11</v>
      </c>
      <c r="K2401" s="9" t="s">
        <v>82</v>
      </c>
      <c r="L2401" s="9" t="s">
        <v>171</v>
      </c>
      <c r="M2401" s="9" t="s">
        <v>80</v>
      </c>
      <c r="N2401" s="9" t="s">
        <v>861</v>
      </c>
      <c r="O2401" s="9" t="s">
        <v>259</v>
      </c>
      <c r="P2401" s="9" t="s">
        <v>1362</v>
      </c>
      <c r="Q2401" s="11"/>
      <c r="R2401" s="11"/>
      <c r="S2401" s="11"/>
      <c r="T2401" s="9"/>
      <c r="U2401" s="14" t="s">
        <v>77</v>
      </c>
      <c r="V2401" s="9"/>
      <c r="W2401" s="12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>
        <f t="shared" si="230"/>
        <v>0</v>
      </c>
      <c r="AK2401" s="12"/>
      <c r="AL2401" s="13"/>
      <c r="AM2401" s="9"/>
      <c r="AN2401" s="9"/>
      <c r="AO2401" s="9"/>
      <c r="AP2401" s="14"/>
    </row>
    <row r="2402" spans="1:42" s="45" customFormat="1" ht="22" customHeight="1">
      <c r="A2402" s="14" t="s">
        <v>17</v>
      </c>
      <c r="B2402" s="8">
        <v>2024</v>
      </c>
      <c r="C2402" s="8" t="s">
        <v>24</v>
      </c>
      <c r="D2402" s="9" t="s">
        <v>185</v>
      </c>
      <c r="E2402" s="9" t="s">
        <v>115</v>
      </c>
      <c r="F2402" s="9" t="s">
        <v>434</v>
      </c>
      <c r="G2402" s="8"/>
      <c r="H2402" s="8"/>
      <c r="I2402" s="9" t="s">
        <v>11</v>
      </c>
      <c r="J2402" s="9" t="s">
        <v>11</v>
      </c>
      <c r="K2402" s="9" t="s">
        <v>82</v>
      </c>
      <c r="L2402" s="9" t="s">
        <v>171</v>
      </c>
      <c r="M2402" s="9" t="s">
        <v>80</v>
      </c>
      <c r="N2402" s="9" t="s">
        <v>861</v>
      </c>
      <c r="O2402" s="9" t="s">
        <v>259</v>
      </c>
      <c r="P2402" s="9" t="s">
        <v>1363</v>
      </c>
      <c r="Q2402" s="11"/>
      <c r="R2402" s="11"/>
      <c r="S2402" s="11"/>
      <c r="T2402" s="9"/>
      <c r="U2402" s="14" t="s">
        <v>77</v>
      </c>
      <c r="V2402" s="9"/>
      <c r="W2402" s="12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>
        <f t="shared" si="230"/>
        <v>0</v>
      </c>
      <c r="AK2402" s="12"/>
      <c r="AL2402" s="13"/>
      <c r="AM2402" s="9"/>
      <c r="AN2402" s="9"/>
      <c r="AO2402" s="9"/>
      <c r="AP2402" s="14"/>
    </row>
    <row r="2403" spans="1:42" s="45" customFormat="1" ht="22" customHeight="1">
      <c r="A2403" s="14" t="s">
        <v>17</v>
      </c>
      <c r="B2403" s="8">
        <v>2024</v>
      </c>
      <c r="C2403" s="8" t="s">
        <v>24</v>
      </c>
      <c r="D2403" s="9" t="s">
        <v>185</v>
      </c>
      <c r="E2403" s="9" t="s">
        <v>115</v>
      </c>
      <c r="F2403" s="9" t="s">
        <v>434</v>
      </c>
      <c r="G2403" s="8"/>
      <c r="H2403" s="8"/>
      <c r="I2403" s="9" t="s">
        <v>11</v>
      </c>
      <c r="J2403" s="9" t="s">
        <v>11</v>
      </c>
      <c r="K2403" s="9" t="s">
        <v>82</v>
      </c>
      <c r="L2403" s="9" t="s">
        <v>171</v>
      </c>
      <c r="M2403" s="9" t="s">
        <v>80</v>
      </c>
      <c r="N2403" s="9" t="s">
        <v>861</v>
      </c>
      <c r="O2403" s="9" t="s">
        <v>259</v>
      </c>
      <c r="P2403" s="9" t="s">
        <v>1364</v>
      </c>
      <c r="Q2403" s="11"/>
      <c r="R2403" s="11"/>
      <c r="S2403" s="11"/>
      <c r="T2403" s="9"/>
      <c r="U2403" s="14" t="s">
        <v>77</v>
      </c>
      <c r="V2403" s="9"/>
      <c r="W2403" s="12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>
        <f t="shared" si="230"/>
        <v>0</v>
      </c>
      <c r="AK2403" s="12"/>
      <c r="AL2403" s="13"/>
      <c r="AM2403" s="9"/>
      <c r="AN2403" s="9"/>
      <c r="AO2403" s="9"/>
      <c r="AP2403" s="14"/>
    </row>
    <row r="2404" spans="1:42" s="45" customFormat="1" ht="22" customHeight="1">
      <c r="A2404" s="14" t="s">
        <v>17</v>
      </c>
      <c r="B2404" s="8">
        <v>2024</v>
      </c>
      <c r="C2404" s="8" t="s">
        <v>24</v>
      </c>
      <c r="D2404" s="9" t="s">
        <v>185</v>
      </c>
      <c r="E2404" s="9" t="s">
        <v>115</v>
      </c>
      <c r="F2404" s="9" t="s">
        <v>434</v>
      </c>
      <c r="G2404" s="8"/>
      <c r="H2404" s="8"/>
      <c r="I2404" s="9" t="s">
        <v>11</v>
      </c>
      <c r="J2404" s="9" t="s">
        <v>11</v>
      </c>
      <c r="K2404" s="9" t="s">
        <v>82</v>
      </c>
      <c r="L2404" s="9" t="s">
        <v>171</v>
      </c>
      <c r="M2404" s="9" t="s">
        <v>80</v>
      </c>
      <c r="N2404" s="9" t="s">
        <v>861</v>
      </c>
      <c r="O2404" s="9" t="s">
        <v>259</v>
      </c>
      <c r="P2404" s="9" t="s">
        <v>1365</v>
      </c>
      <c r="Q2404" s="11"/>
      <c r="R2404" s="11"/>
      <c r="S2404" s="11"/>
      <c r="T2404" s="9"/>
      <c r="U2404" s="14" t="s">
        <v>77</v>
      </c>
      <c r="V2404" s="9"/>
      <c r="W2404" s="12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>
        <f t="shared" si="230"/>
        <v>0</v>
      </c>
      <c r="AK2404" s="12"/>
      <c r="AL2404" s="13"/>
      <c r="AM2404" s="9"/>
      <c r="AN2404" s="9"/>
      <c r="AO2404" s="9"/>
      <c r="AP2404" s="14"/>
    </row>
    <row r="2405" spans="1:42" s="45" customFormat="1" ht="22" customHeight="1">
      <c r="A2405" s="14" t="s">
        <v>17</v>
      </c>
      <c r="B2405" s="8">
        <v>2024</v>
      </c>
      <c r="C2405" s="8" t="s">
        <v>24</v>
      </c>
      <c r="D2405" s="9" t="s">
        <v>185</v>
      </c>
      <c r="E2405" s="9" t="s">
        <v>115</v>
      </c>
      <c r="F2405" s="9" t="s">
        <v>434</v>
      </c>
      <c r="G2405" s="8"/>
      <c r="H2405" s="8"/>
      <c r="I2405" s="9" t="s">
        <v>11</v>
      </c>
      <c r="J2405" s="9" t="s">
        <v>11</v>
      </c>
      <c r="K2405" s="9" t="s">
        <v>82</v>
      </c>
      <c r="L2405" s="9" t="s">
        <v>171</v>
      </c>
      <c r="M2405" s="9" t="s">
        <v>80</v>
      </c>
      <c r="N2405" s="9" t="s">
        <v>861</v>
      </c>
      <c r="O2405" s="9" t="s">
        <v>259</v>
      </c>
      <c r="P2405" s="9" t="s">
        <v>1366</v>
      </c>
      <c r="Q2405" s="11"/>
      <c r="R2405" s="11"/>
      <c r="S2405" s="11"/>
      <c r="T2405" s="9"/>
      <c r="U2405" s="14" t="s">
        <v>77</v>
      </c>
      <c r="V2405" s="9"/>
      <c r="W2405" s="12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>
        <f t="shared" si="230"/>
        <v>0</v>
      </c>
      <c r="AK2405" s="12"/>
      <c r="AL2405" s="13"/>
      <c r="AM2405" s="9"/>
      <c r="AN2405" s="9"/>
      <c r="AO2405" s="9"/>
      <c r="AP2405" s="14"/>
    </row>
    <row r="2406" spans="1:42" s="45" customFormat="1" ht="22" customHeight="1">
      <c r="A2406" s="14" t="s">
        <v>17</v>
      </c>
      <c r="B2406" s="8">
        <v>2024</v>
      </c>
      <c r="C2406" s="8" t="s">
        <v>24</v>
      </c>
      <c r="D2406" s="9" t="s">
        <v>185</v>
      </c>
      <c r="E2406" s="9" t="s">
        <v>115</v>
      </c>
      <c r="F2406" s="9" t="s">
        <v>434</v>
      </c>
      <c r="G2406" s="8"/>
      <c r="H2406" s="8"/>
      <c r="I2406" s="9" t="s">
        <v>11</v>
      </c>
      <c r="J2406" s="9" t="s">
        <v>11</v>
      </c>
      <c r="K2406" s="9" t="s">
        <v>82</v>
      </c>
      <c r="L2406" s="9" t="s">
        <v>171</v>
      </c>
      <c r="M2406" s="9" t="s">
        <v>80</v>
      </c>
      <c r="N2406" s="9" t="s">
        <v>861</v>
      </c>
      <c r="O2406" s="9" t="s">
        <v>259</v>
      </c>
      <c r="P2406" s="9" t="s">
        <v>1367</v>
      </c>
      <c r="Q2406" s="11"/>
      <c r="R2406" s="11"/>
      <c r="S2406" s="11"/>
      <c r="T2406" s="9"/>
      <c r="U2406" s="14" t="s">
        <v>77</v>
      </c>
      <c r="V2406" s="9"/>
      <c r="W2406" s="12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>
        <f t="shared" si="230"/>
        <v>0</v>
      </c>
      <c r="AK2406" s="12"/>
      <c r="AL2406" s="13"/>
      <c r="AM2406" s="9"/>
      <c r="AN2406" s="9"/>
      <c r="AO2406" s="9"/>
      <c r="AP2406" s="14"/>
    </row>
    <row r="2407" spans="1:42" s="45" customFormat="1" ht="22" customHeight="1">
      <c r="A2407" s="14" t="s">
        <v>17</v>
      </c>
      <c r="B2407" s="8">
        <v>2024</v>
      </c>
      <c r="C2407" s="8" t="s">
        <v>24</v>
      </c>
      <c r="D2407" s="9" t="s">
        <v>185</v>
      </c>
      <c r="E2407" s="9" t="s">
        <v>115</v>
      </c>
      <c r="F2407" s="9" t="s">
        <v>434</v>
      </c>
      <c r="G2407" s="8"/>
      <c r="H2407" s="8"/>
      <c r="I2407" s="9" t="s">
        <v>11</v>
      </c>
      <c r="J2407" s="9" t="s">
        <v>11</v>
      </c>
      <c r="K2407" s="9" t="s">
        <v>82</v>
      </c>
      <c r="L2407" s="9" t="s">
        <v>171</v>
      </c>
      <c r="M2407" s="9" t="s">
        <v>80</v>
      </c>
      <c r="N2407" s="9" t="s">
        <v>861</v>
      </c>
      <c r="O2407" s="9" t="s">
        <v>259</v>
      </c>
      <c r="P2407" s="9" t="s">
        <v>1368</v>
      </c>
      <c r="Q2407" s="11"/>
      <c r="R2407" s="11"/>
      <c r="S2407" s="11"/>
      <c r="T2407" s="9"/>
      <c r="U2407" s="14" t="s">
        <v>77</v>
      </c>
      <c r="V2407" s="9"/>
      <c r="W2407" s="12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3"/>
      <c r="AJ2407" s="13">
        <f t="shared" si="230"/>
        <v>0</v>
      </c>
      <c r="AK2407" s="12"/>
      <c r="AL2407" s="13"/>
      <c r="AM2407" s="9"/>
      <c r="AN2407" s="9"/>
      <c r="AO2407" s="9"/>
      <c r="AP2407" s="14"/>
    </row>
    <row r="2408" spans="1:42" s="45" customFormat="1" ht="22" customHeight="1">
      <c r="A2408" s="14" t="s">
        <v>17</v>
      </c>
      <c r="B2408" s="8">
        <v>2024</v>
      </c>
      <c r="C2408" s="8" t="s">
        <v>24</v>
      </c>
      <c r="D2408" s="9" t="s">
        <v>185</v>
      </c>
      <c r="E2408" s="9" t="s">
        <v>115</v>
      </c>
      <c r="F2408" s="9" t="s">
        <v>434</v>
      </c>
      <c r="G2408" s="8"/>
      <c r="H2408" s="8"/>
      <c r="I2408" s="9" t="s">
        <v>11</v>
      </c>
      <c r="J2408" s="9" t="s">
        <v>11</v>
      </c>
      <c r="K2408" s="9" t="s">
        <v>82</v>
      </c>
      <c r="L2408" s="9" t="s">
        <v>171</v>
      </c>
      <c r="M2408" s="9" t="s">
        <v>80</v>
      </c>
      <c r="N2408" s="9" t="s">
        <v>861</v>
      </c>
      <c r="O2408" s="9" t="s">
        <v>259</v>
      </c>
      <c r="P2408" s="9" t="s">
        <v>259</v>
      </c>
      <c r="Q2408" s="11"/>
      <c r="R2408" s="11"/>
      <c r="S2408" s="11"/>
      <c r="T2408" s="9"/>
      <c r="U2408" s="14" t="s">
        <v>77</v>
      </c>
      <c r="V2408" s="9"/>
      <c r="W2408" s="12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3"/>
      <c r="AJ2408" s="13">
        <f t="shared" si="230"/>
        <v>0</v>
      </c>
      <c r="AK2408" s="12"/>
      <c r="AL2408" s="13"/>
      <c r="AM2408" s="9"/>
      <c r="AN2408" s="9"/>
      <c r="AO2408" s="9"/>
      <c r="AP2408" s="14"/>
    </row>
    <row r="2409" spans="1:42" s="45" customFormat="1" ht="22" customHeight="1">
      <c r="A2409" s="14" t="s">
        <v>17</v>
      </c>
      <c r="B2409" s="8">
        <v>2024</v>
      </c>
      <c r="C2409" s="8" t="s">
        <v>24</v>
      </c>
      <c r="D2409" s="9" t="s">
        <v>185</v>
      </c>
      <c r="E2409" s="9" t="s">
        <v>115</v>
      </c>
      <c r="F2409" s="9" t="s">
        <v>434</v>
      </c>
      <c r="G2409" s="8"/>
      <c r="H2409" s="8"/>
      <c r="I2409" s="9" t="s">
        <v>11</v>
      </c>
      <c r="J2409" s="9" t="s">
        <v>11</v>
      </c>
      <c r="K2409" s="9" t="s">
        <v>82</v>
      </c>
      <c r="L2409" s="9" t="s">
        <v>171</v>
      </c>
      <c r="M2409" s="9" t="s">
        <v>114</v>
      </c>
      <c r="N2409" s="9" t="s">
        <v>861</v>
      </c>
      <c r="O2409" s="9" t="s">
        <v>1369</v>
      </c>
      <c r="P2409" s="9" t="s">
        <v>1369</v>
      </c>
      <c r="Q2409" s="11"/>
      <c r="R2409" s="11"/>
      <c r="S2409" s="11"/>
      <c r="T2409" s="9"/>
      <c r="U2409" s="14" t="s">
        <v>77</v>
      </c>
      <c r="V2409" s="9"/>
      <c r="W2409" s="12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>
        <f t="shared" si="230"/>
        <v>0</v>
      </c>
      <c r="AK2409" s="12"/>
      <c r="AL2409" s="13"/>
      <c r="AM2409" s="9"/>
      <c r="AN2409" s="9"/>
      <c r="AO2409" s="9"/>
      <c r="AP2409" s="14"/>
    </row>
    <row r="2410" spans="1:42" s="45" customFormat="1" ht="22" customHeight="1">
      <c r="A2410" s="14" t="s">
        <v>17</v>
      </c>
      <c r="B2410" s="8">
        <v>2024</v>
      </c>
      <c r="C2410" s="8" t="s">
        <v>24</v>
      </c>
      <c r="D2410" s="9" t="s">
        <v>185</v>
      </c>
      <c r="E2410" s="9" t="s">
        <v>115</v>
      </c>
      <c r="F2410" s="9" t="s">
        <v>434</v>
      </c>
      <c r="G2410" s="8"/>
      <c r="H2410" s="8"/>
      <c r="I2410" s="9" t="s">
        <v>11</v>
      </c>
      <c r="J2410" s="9" t="s">
        <v>11</v>
      </c>
      <c r="K2410" s="9" t="s">
        <v>82</v>
      </c>
      <c r="L2410" s="9" t="s">
        <v>171</v>
      </c>
      <c r="M2410" s="9" t="s">
        <v>114</v>
      </c>
      <c r="N2410" s="9" t="s">
        <v>861</v>
      </c>
      <c r="O2410" s="9" t="s">
        <v>1369</v>
      </c>
      <c r="P2410" s="9" t="s">
        <v>1370</v>
      </c>
      <c r="Q2410" s="11"/>
      <c r="R2410" s="11"/>
      <c r="S2410" s="11"/>
      <c r="T2410" s="9"/>
      <c r="U2410" s="14" t="s">
        <v>77</v>
      </c>
      <c r="V2410" s="9"/>
      <c r="W2410" s="12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>
        <f t="shared" si="230"/>
        <v>0</v>
      </c>
      <c r="AK2410" s="12"/>
      <c r="AL2410" s="13"/>
      <c r="AM2410" s="9"/>
      <c r="AN2410" s="9"/>
      <c r="AO2410" s="9"/>
      <c r="AP2410" s="14"/>
    </row>
    <row r="2411" spans="1:42" s="45" customFormat="1" ht="22" customHeight="1">
      <c r="A2411" s="14" t="s">
        <v>17</v>
      </c>
      <c r="B2411" s="8">
        <v>2024</v>
      </c>
      <c r="C2411" s="8" t="s">
        <v>24</v>
      </c>
      <c r="D2411" s="9" t="s">
        <v>185</v>
      </c>
      <c r="E2411" s="9" t="s">
        <v>115</v>
      </c>
      <c r="F2411" s="9" t="s">
        <v>434</v>
      </c>
      <c r="G2411" s="8"/>
      <c r="H2411" s="8"/>
      <c r="I2411" s="9" t="s">
        <v>11</v>
      </c>
      <c r="J2411" s="9" t="s">
        <v>11</v>
      </c>
      <c r="K2411" s="9" t="s">
        <v>82</v>
      </c>
      <c r="L2411" s="9" t="s">
        <v>171</v>
      </c>
      <c r="M2411" s="9" t="s">
        <v>114</v>
      </c>
      <c r="N2411" s="9" t="s">
        <v>861</v>
      </c>
      <c r="O2411" s="9" t="s">
        <v>1369</v>
      </c>
      <c r="P2411" s="9" t="s">
        <v>1371</v>
      </c>
      <c r="Q2411" s="11"/>
      <c r="R2411" s="11"/>
      <c r="S2411" s="11"/>
      <c r="T2411" s="9"/>
      <c r="U2411" s="14" t="s">
        <v>77</v>
      </c>
      <c r="V2411" s="9"/>
      <c r="W2411" s="12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3"/>
      <c r="AJ2411" s="13">
        <f t="shared" si="230"/>
        <v>0</v>
      </c>
      <c r="AK2411" s="12"/>
      <c r="AL2411" s="13"/>
      <c r="AM2411" s="9"/>
      <c r="AN2411" s="9"/>
      <c r="AO2411" s="9"/>
      <c r="AP2411" s="14"/>
    </row>
    <row r="2412" spans="1:42" s="45" customFormat="1" ht="22" customHeight="1">
      <c r="A2412" s="14" t="s">
        <v>17</v>
      </c>
      <c r="B2412" s="8">
        <v>2024</v>
      </c>
      <c r="C2412" s="8" t="s">
        <v>24</v>
      </c>
      <c r="D2412" s="9" t="s">
        <v>185</v>
      </c>
      <c r="E2412" s="9" t="s">
        <v>115</v>
      </c>
      <c r="F2412" s="9" t="s">
        <v>434</v>
      </c>
      <c r="G2412" s="8"/>
      <c r="H2412" s="8"/>
      <c r="I2412" s="9" t="s">
        <v>11</v>
      </c>
      <c r="J2412" s="9" t="s">
        <v>11</v>
      </c>
      <c r="K2412" s="9" t="s">
        <v>82</v>
      </c>
      <c r="L2412" s="9" t="s">
        <v>171</v>
      </c>
      <c r="M2412" s="9" t="s">
        <v>114</v>
      </c>
      <c r="N2412" s="9" t="s">
        <v>861</v>
      </c>
      <c r="O2412" s="9" t="s">
        <v>1369</v>
      </c>
      <c r="P2412" s="9" t="s">
        <v>1372</v>
      </c>
      <c r="Q2412" s="11"/>
      <c r="R2412" s="11"/>
      <c r="S2412" s="11"/>
      <c r="T2412" s="9"/>
      <c r="U2412" s="14" t="s">
        <v>77</v>
      </c>
      <c r="V2412" s="9"/>
      <c r="W2412" s="12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>
        <f t="shared" si="230"/>
        <v>0</v>
      </c>
      <c r="AK2412" s="12"/>
      <c r="AL2412" s="13"/>
      <c r="AM2412" s="9"/>
      <c r="AN2412" s="9"/>
      <c r="AO2412" s="9"/>
      <c r="AP2412" s="14"/>
    </row>
    <row r="2413" spans="1:42" s="45" customFormat="1" ht="22" customHeight="1">
      <c r="A2413" s="14" t="s">
        <v>17</v>
      </c>
      <c r="B2413" s="8">
        <v>2024</v>
      </c>
      <c r="C2413" s="8" t="s">
        <v>24</v>
      </c>
      <c r="D2413" s="9" t="s">
        <v>185</v>
      </c>
      <c r="E2413" s="9" t="s">
        <v>115</v>
      </c>
      <c r="F2413" s="9" t="s">
        <v>434</v>
      </c>
      <c r="G2413" s="8"/>
      <c r="H2413" s="8"/>
      <c r="I2413" s="9" t="s">
        <v>11</v>
      </c>
      <c r="J2413" s="9" t="s">
        <v>11</v>
      </c>
      <c r="K2413" s="9" t="s">
        <v>82</v>
      </c>
      <c r="L2413" s="9" t="s">
        <v>171</v>
      </c>
      <c r="M2413" s="9" t="s">
        <v>114</v>
      </c>
      <c r="N2413" s="9" t="s">
        <v>861</v>
      </c>
      <c r="O2413" s="9" t="s">
        <v>1369</v>
      </c>
      <c r="P2413" s="9" t="s">
        <v>1373</v>
      </c>
      <c r="Q2413" s="11"/>
      <c r="R2413" s="11"/>
      <c r="S2413" s="11"/>
      <c r="T2413" s="9"/>
      <c r="U2413" s="14" t="s">
        <v>77</v>
      </c>
      <c r="V2413" s="9"/>
      <c r="W2413" s="12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3"/>
      <c r="AJ2413" s="13">
        <f t="shared" si="230"/>
        <v>0</v>
      </c>
      <c r="AK2413" s="12"/>
      <c r="AL2413" s="13"/>
      <c r="AM2413" s="9"/>
      <c r="AN2413" s="9"/>
      <c r="AO2413" s="9"/>
      <c r="AP2413" s="14"/>
    </row>
    <row r="2414" spans="1:42" s="45" customFormat="1" ht="22" customHeight="1">
      <c r="A2414" s="14" t="s">
        <v>17</v>
      </c>
      <c r="B2414" s="8">
        <v>2024</v>
      </c>
      <c r="C2414" s="8" t="s">
        <v>24</v>
      </c>
      <c r="D2414" s="9" t="s">
        <v>185</v>
      </c>
      <c r="E2414" s="9" t="s">
        <v>115</v>
      </c>
      <c r="F2414" s="9" t="s">
        <v>434</v>
      </c>
      <c r="G2414" s="8"/>
      <c r="H2414" s="8"/>
      <c r="I2414" s="9" t="s">
        <v>11</v>
      </c>
      <c r="J2414" s="9" t="s">
        <v>11</v>
      </c>
      <c r="K2414" s="9" t="s">
        <v>82</v>
      </c>
      <c r="L2414" s="9" t="s">
        <v>171</v>
      </c>
      <c r="M2414" s="9" t="s">
        <v>114</v>
      </c>
      <c r="N2414" s="9" t="s">
        <v>861</v>
      </c>
      <c r="O2414" s="9" t="s">
        <v>1369</v>
      </c>
      <c r="P2414" s="9" t="s">
        <v>1374</v>
      </c>
      <c r="Q2414" s="11"/>
      <c r="R2414" s="11"/>
      <c r="S2414" s="11"/>
      <c r="T2414" s="9"/>
      <c r="U2414" s="14" t="s">
        <v>77</v>
      </c>
      <c r="V2414" s="9"/>
      <c r="W2414" s="12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3"/>
      <c r="AJ2414" s="13">
        <f t="shared" ref="AJ2414:AJ2477" si="231">SUBTOTAL(9,X2414:AI2414)</f>
        <v>0</v>
      </c>
      <c r="AK2414" s="12"/>
      <c r="AL2414" s="13"/>
      <c r="AM2414" s="9"/>
      <c r="AN2414" s="9"/>
      <c r="AO2414" s="9"/>
      <c r="AP2414" s="14"/>
    </row>
    <row r="2415" spans="1:42" s="45" customFormat="1" ht="22" customHeight="1">
      <c r="A2415" s="14" t="s">
        <v>17</v>
      </c>
      <c r="B2415" s="8">
        <v>2024</v>
      </c>
      <c r="C2415" s="8" t="s">
        <v>24</v>
      </c>
      <c r="D2415" s="9" t="s">
        <v>185</v>
      </c>
      <c r="E2415" s="9" t="s">
        <v>115</v>
      </c>
      <c r="F2415" s="9" t="s">
        <v>434</v>
      </c>
      <c r="G2415" s="8"/>
      <c r="H2415" s="8"/>
      <c r="I2415" s="9" t="s">
        <v>11</v>
      </c>
      <c r="J2415" s="9" t="s">
        <v>11</v>
      </c>
      <c r="K2415" s="9" t="s">
        <v>82</v>
      </c>
      <c r="L2415" s="9" t="s">
        <v>171</v>
      </c>
      <c r="M2415" s="9" t="s">
        <v>114</v>
      </c>
      <c r="N2415" s="9" t="s">
        <v>861</v>
      </c>
      <c r="O2415" s="9" t="s">
        <v>1369</v>
      </c>
      <c r="P2415" s="9" t="s">
        <v>1375</v>
      </c>
      <c r="Q2415" s="11"/>
      <c r="R2415" s="11"/>
      <c r="S2415" s="11"/>
      <c r="T2415" s="9"/>
      <c r="U2415" s="14" t="s">
        <v>77</v>
      </c>
      <c r="V2415" s="9"/>
      <c r="W2415" s="12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>
        <f t="shared" si="231"/>
        <v>0</v>
      </c>
      <c r="AK2415" s="12"/>
      <c r="AL2415" s="13"/>
      <c r="AM2415" s="9"/>
      <c r="AN2415" s="9"/>
      <c r="AO2415" s="9"/>
      <c r="AP2415" s="14"/>
    </row>
    <row r="2416" spans="1:42" s="45" customFormat="1" ht="22" customHeight="1">
      <c r="A2416" s="14" t="s">
        <v>17</v>
      </c>
      <c r="B2416" s="8">
        <v>2024</v>
      </c>
      <c r="C2416" s="8" t="s">
        <v>24</v>
      </c>
      <c r="D2416" s="9" t="s">
        <v>185</v>
      </c>
      <c r="E2416" s="9" t="s">
        <v>115</v>
      </c>
      <c r="F2416" s="9" t="s">
        <v>434</v>
      </c>
      <c r="G2416" s="8"/>
      <c r="H2416" s="8"/>
      <c r="I2416" s="9" t="s">
        <v>11</v>
      </c>
      <c r="J2416" s="9" t="s">
        <v>11</v>
      </c>
      <c r="K2416" s="9" t="s">
        <v>82</v>
      </c>
      <c r="L2416" s="9" t="s">
        <v>171</v>
      </c>
      <c r="M2416" s="9" t="s">
        <v>114</v>
      </c>
      <c r="N2416" s="9" t="s">
        <v>861</v>
      </c>
      <c r="O2416" s="9" t="s">
        <v>1369</v>
      </c>
      <c r="P2416" s="9" t="s">
        <v>1376</v>
      </c>
      <c r="Q2416" s="11"/>
      <c r="R2416" s="11"/>
      <c r="S2416" s="11"/>
      <c r="T2416" s="9"/>
      <c r="U2416" s="14" t="s">
        <v>77</v>
      </c>
      <c r="V2416" s="9"/>
      <c r="W2416" s="12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>
        <f t="shared" si="231"/>
        <v>0</v>
      </c>
      <c r="AK2416" s="12"/>
      <c r="AL2416" s="13"/>
      <c r="AM2416" s="9"/>
      <c r="AN2416" s="9"/>
      <c r="AO2416" s="9"/>
      <c r="AP2416" s="14"/>
    </row>
    <row r="2417" spans="1:42" s="45" customFormat="1" ht="22" customHeight="1">
      <c r="A2417" s="14" t="s">
        <v>17</v>
      </c>
      <c r="B2417" s="8">
        <v>2024</v>
      </c>
      <c r="C2417" s="8" t="s">
        <v>24</v>
      </c>
      <c r="D2417" s="9" t="s">
        <v>185</v>
      </c>
      <c r="E2417" s="9" t="s">
        <v>115</v>
      </c>
      <c r="F2417" s="9" t="s">
        <v>434</v>
      </c>
      <c r="G2417" s="8"/>
      <c r="H2417" s="8"/>
      <c r="I2417" s="9" t="s">
        <v>11</v>
      </c>
      <c r="J2417" s="9" t="s">
        <v>11</v>
      </c>
      <c r="K2417" s="9" t="s">
        <v>82</v>
      </c>
      <c r="L2417" s="9" t="s">
        <v>171</v>
      </c>
      <c r="M2417" s="9" t="s">
        <v>114</v>
      </c>
      <c r="N2417" s="9" t="s">
        <v>861</v>
      </c>
      <c r="O2417" s="9" t="s">
        <v>1377</v>
      </c>
      <c r="P2417" s="9" t="s">
        <v>1378</v>
      </c>
      <c r="Q2417" s="11"/>
      <c r="R2417" s="11"/>
      <c r="S2417" s="11"/>
      <c r="T2417" s="9"/>
      <c r="U2417" s="14" t="s">
        <v>77</v>
      </c>
      <c r="V2417" s="9"/>
      <c r="W2417" s="12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>
        <f t="shared" si="231"/>
        <v>0</v>
      </c>
      <c r="AK2417" s="12"/>
      <c r="AL2417" s="13"/>
      <c r="AM2417" s="9"/>
      <c r="AN2417" s="9"/>
      <c r="AO2417" s="9"/>
      <c r="AP2417" s="14"/>
    </row>
    <row r="2418" spans="1:42" s="45" customFormat="1" ht="22" customHeight="1">
      <c r="A2418" s="14" t="s">
        <v>17</v>
      </c>
      <c r="B2418" s="8">
        <v>2024</v>
      </c>
      <c r="C2418" s="8" t="s">
        <v>24</v>
      </c>
      <c r="D2418" s="9" t="s">
        <v>185</v>
      </c>
      <c r="E2418" s="9" t="s">
        <v>115</v>
      </c>
      <c r="F2418" s="9" t="s">
        <v>434</v>
      </c>
      <c r="G2418" s="8"/>
      <c r="H2418" s="8"/>
      <c r="I2418" s="9" t="s">
        <v>11</v>
      </c>
      <c r="J2418" s="9" t="s">
        <v>11</v>
      </c>
      <c r="K2418" s="9" t="s">
        <v>82</v>
      </c>
      <c r="L2418" s="9" t="s">
        <v>171</v>
      </c>
      <c r="M2418" s="9" t="s">
        <v>114</v>
      </c>
      <c r="N2418" s="9" t="s">
        <v>861</v>
      </c>
      <c r="O2418" s="9" t="s">
        <v>1377</v>
      </c>
      <c r="P2418" s="9" t="s">
        <v>1379</v>
      </c>
      <c r="Q2418" s="11"/>
      <c r="R2418" s="11"/>
      <c r="S2418" s="11"/>
      <c r="T2418" s="9"/>
      <c r="U2418" s="14" t="s">
        <v>77</v>
      </c>
      <c r="V2418" s="9"/>
      <c r="W2418" s="12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>
        <f t="shared" si="231"/>
        <v>0</v>
      </c>
      <c r="AK2418" s="12"/>
      <c r="AL2418" s="13"/>
      <c r="AM2418" s="9"/>
      <c r="AN2418" s="9"/>
      <c r="AO2418" s="9"/>
      <c r="AP2418" s="14"/>
    </row>
    <row r="2419" spans="1:42" s="45" customFormat="1" ht="22" customHeight="1">
      <c r="A2419" s="14" t="s">
        <v>17</v>
      </c>
      <c r="B2419" s="8">
        <v>2024</v>
      </c>
      <c r="C2419" s="8" t="s">
        <v>24</v>
      </c>
      <c r="D2419" s="9" t="s">
        <v>185</v>
      </c>
      <c r="E2419" s="9" t="s">
        <v>115</v>
      </c>
      <c r="F2419" s="9" t="s">
        <v>434</v>
      </c>
      <c r="G2419" s="8"/>
      <c r="H2419" s="8"/>
      <c r="I2419" s="9" t="s">
        <v>11</v>
      </c>
      <c r="J2419" s="9" t="s">
        <v>11</v>
      </c>
      <c r="K2419" s="9" t="s">
        <v>82</v>
      </c>
      <c r="L2419" s="9" t="s">
        <v>171</v>
      </c>
      <c r="M2419" s="9" t="s">
        <v>114</v>
      </c>
      <c r="N2419" s="9" t="s">
        <v>861</v>
      </c>
      <c r="O2419" s="9" t="s">
        <v>1377</v>
      </c>
      <c r="P2419" s="9" t="s">
        <v>1380</v>
      </c>
      <c r="Q2419" s="11"/>
      <c r="R2419" s="11"/>
      <c r="S2419" s="11"/>
      <c r="T2419" s="9"/>
      <c r="U2419" s="14" t="s">
        <v>77</v>
      </c>
      <c r="V2419" s="9"/>
      <c r="W2419" s="12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>
        <f t="shared" si="231"/>
        <v>0</v>
      </c>
      <c r="AK2419" s="12"/>
      <c r="AL2419" s="13"/>
      <c r="AM2419" s="9"/>
      <c r="AN2419" s="9"/>
      <c r="AO2419" s="9"/>
      <c r="AP2419" s="14"/>
    </row>
    <row r="2420" spans="1:42" s="45" customFormat="1" ht="22" customHeight="1">
      <c r="A2420" s="14" t="s">
        <v>17</v>
      </c>
      <c r="B2420" s="8">
        <v>2024</v>
      </c>
      <c r="C2420" s="8" t="s">
        <v>24</v>
      </c>
      <c r="D2420" s="9" t="s">
        <v>185</v>
      </c>
      <c r="E2420" s="9" t="s">
        <v>115</v>
      </c>
      <c r="F2420" s="9" t="s">
        <v>434</v>
      </c>
      <c r="G2420" s="8"/>
      <c r="H2420" s="8"/>
      <c r="I2420" s="9" t="s">
        <v>11</v>
      </c>
      <c r="J2420" s="9" t="s">
        <v>11</v>
      </c>
      <c r="K2420" s="9" t="s">
        <v>82</v>
      </c>
      <c r="L2420" s="9" t="s">
        <v>171</v>
      </c>
      <c r="M2420" s="9" t="s">
        <v>114</v>
      </c>
      <c r="N2420" s="9" t="s">
        <v>861</v>
      </c>
      <c r="O2420" s="9" t="s">
        <v>1377</v>
      </c>
      <c r="P2420" s="9" t="s">
        <v>1381</v>
      </c>
      <c r="Q2420" s="11"/>
      <c r="R2420" s="11"/>
      <c r="S2420" s="11"/>
      <c r="T2420" s="9"/>
      <c r="U2420" s="14" t="s">
        <v>77</v>
      </c>
      <c r="V2420" s="9"/>
      <c r="W2420" s="12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>
        <f t="shared" si="231"/>
        <v>0</v>
      </c>
      <c r="AK2420" s="12"/>
      <c r="AL2420" s="13"/>
      <c r="AM2420" s="9"/>
      <c r="AN2420" s="9"/>
      <c r="AO2420" s="9"/>
      <c r="AP2420" s="14"/>
    </row>
    <row r="2421" spans="1:42" s="45" customFormat="1" ht="22" customHeight="1">
      <c r="A2421" s="14" t="s">
        <v>17</v>
      </c>
      <c r="B2421" s="8">
        <v>2024</v>
      </c>
      <c r="C2421" s="8" t="s">
        <v>24</v>
      </c>
      <c r="D2421" s="9" t="s">
        <v>185</v>
      </c>
      <c r="E2421" s="9" t="s">
        <v>115</v>
      </c>
      <c r="F2421" s="9" t="s">
        <v>434</v>
      </c>
      <c r="G2421" s="8"/>
      <c r="H2421" s="8"/>
      <c r="I2421" s="9" t="s">
        <v>11</v>
      </c>
      <c r="J2421" s="9" t="s">
        <v>11</v>
      </c>
      <c r="K2421" s="9" t="s">
        <v>82</v>
      </c>
      <c r="L2421" s="9" t="s">
        <v>171</v>
      </c>
      <c r="M2421" s="9" t="s">
        <v>114</v>
      </c>
      <c r="N2421" s="9" t="s">
        <v>861</v>
      </c>
      <c r="O2421" s="9" t="s">
        <v>1377</v>
      </c>
      <c r="P2421" s="9" t="s">
        <v>1382</v>
      </c>
      <c r="Q2421" s="11"/>
      <c r="R2421" s="11"/>
      <c r="S2421" s="11"/>
      <c r="T2421" s="9"/>
      <c r="U2421" s="14" t="s">
        <v>77</v>
      </c>
      <c r="V2421" s="9"/>
      <c r="W2421" s="12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>
        <f t="shared" si="231"/>
        <v>0</v>
      </c>
      <c r="AK2421" s="12"/>
      <c r="AL2421" s="13"/>
      <c r="AM2421" s="9"/>
      <c r="AN2421" s="9"/>
      <c r="AO2421" s="9"/>
      <c r="AP2421" s="14"/>
    </row>
    <row r="2422" spans="1:42" s="45" customFormat="1" ht="22" customHeight="1">
      <c r="A2422" s="14" t="s">
        <v>17</v>
      </c>
      <c r="B2422" s="8">
        <v>2024</v>
      </c>
      <c r="C2422" s="8" t="s">
        <v>24</v>
      </c>
      <c r="D2422" s="9" t="s">
        <v>185</v>
      </c>
      <c r="E2422" s="9" t="s">
        <v>115</v>
      </c>
      <c r="F2422" s="9" t="s">
        <v>434</v>
      </c>
      <c r="G2422" s="8"/>
      <c r="H2422" s="8"/>
      <c r="I2422" s="9" t="s">
        <v>11</v>
      </c>
      <c r="J2422" s="9" t="s">
        <v>11</v>
      </c>
      <c r="K2422" s="9" t="s">
        <v>82</v>
      </c>
      <c r="L2422" s="9" t="s">
        <v>171</v>
      </c>
      <c r="M2422" s="9" t="s">
        <v>114</v>
      </c>
      <c r="N2422" s="9" t="s">
        <v>861</v>
      </c>
      <c r="O2422" s="9" t="s">
        <v>1377</v>
      </c>
      <c r="P2422" s="9" t="s">
        <v>1383</v>
      </c>
      <c r="Q2422" s="11"/>
      <c r="R2422" s="11"/>
      <c r="S2422" s="11"/>
      <c r="T2422" s="9"/>
      <c r="U2422" s="14" t="s">
        <v>77</v>
      </c>
      <c r="V2422" s="9"/>
      <c r="W2422" s="12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>
        <f t="shared" si="231"/>
        <v>0</v>
      </c>
      <c r="AK2422" s="12"/>
      <c r="AL2422" s="13"/>
      <c r="AM2422" s="9"/>
      <c r="AN2422" s="9"/>
      <c r="AO2422" s="9"/>
      <c r="AP2422" s="14"/>
    </row>
    <row r="2423" spans="1:42" s="45" customFormat="1" ht="22" customHeight="1">
      <c r="A2423" s="14" t="s">
        <v>17</v>
      </c>
      <c r="B2423" s="8">
        <v>2024</v>
      </c>
      <c r="C2423" s="8" t="s">
        <v>24</v>
      </c>
      <c r="D2423" s="9" t="s">
        <v>185</v>
      </c>
      <c r="E2423" s="9" t="s">
        <v>115</v>
      </c>
      <c r="F2423" s="9" t="s">
        <v>434</v>
      </c>
      <c r="G2423" s="8"/>
      <c r="H2423" s="8"/>
      <c r="I2423" s="9" t="s">
        <v>11</v>
      </c>
      <c r="J2423" s="9" t="s">
        <v>11</v>
      </c>
      <c r="K2423" s="9" t="s">
        <v>82</v>
      </c>
      <c r="L2423" s="9" t="s">
        <v>171</v>
      </c>
      <c r="M2423" s="9" t="s">
        <v>114</v>
      </c>
      <c r="N2423" s="9" t="s">
        <v>861</v>
      </c>
      <c r="O2423" s="9" t="s">
        <v>1377</v>
      </c>
      <c r="P2423" s="9" t="s">
        <v>1377</v>
      </c>
      <c r="Q2423" s="11"/>
      <c r="R2423" s="11"/>
      <c r="S2423" s="11"/>
      <c r="T2423" s="9"/>
      <c r="U2423" s="14" t="s">
        <v>77</v>
      </c>
      <c r="V2423" s="9"/>
      <c r="W2423" s="12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>
        <f t="shared" si="231"/>
        <v>0</v>
      </c>
      <c r="AK2423" s="12"/>
      <c r="AL2423" s="13"/>
      <c r="AM2423" s="9"/>
      <c r="AN2423" s="9"/>
      <c r="AO2423" s="9"/>
      <c r="AP2423" s="14"/>
    </row>
    <row r="2424" spans="1:42" s="45" customFormat="1" ht="22" customHeight="1">
      <c r="A2424" s="14" t="s">
        <v>17</v>
      </c>
      <c r="B2424" s="8">
        <v>2024</v>
      </c>
      <c r="C2424" s="8" t="s">
        <v>24</v>
      </c>
      <c r="D2424" s="9" t="s">
        <v>185</v>
      </c>
      <c r="E2424" s="9" t="s">
        <v>115</v>
      </c>
      <c r="F2424" s="9" t="s">
        <v>434</v>
      </c>
      <c r="G2424" s="8"/>
      <c r="H2424" s="8"/>
      <c r="I2424" s="9" t="s">
        <v>11</v>
      </c>
      <c r="J2424" s="9" t="s">
        <v>11</v>
      </c>
      <c r="K2424" s="9" t="s">
        <v>82</v>
      </c>
      <c r="L2424" s="9" t="s">
        <v>171</v>
      </c>
      <c r="M2424" s="9" t="s">
        <v>114</v>
      </c>
      <c r="N2424" s="9" t="s">
        <v>861</v>
      </c>
      <c r="O2424" s="9" t="s">
        <v>1377</v>
      </c>
      <c r="P2424" s="9" t="s">
        <v>1384</v>
      </c>
      <c r="Q2424" s="11"/>
      <c r="R2424" s="11"/>
      <c r="S2424" s="11"/>
      <c r="T2424" s="9"/>
      <c r="U2424" s="14" t="s">
        <v>77</v>
      </c>
      <c r="V2424" s="9"/>
      <c r="W2424" s="12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>
        <f t="shared" si="231"/>
        <v>0</v>
      </c>
      <c r="AK2424" s="12"/>
      <c r="AL2424" s="13"/>
      <c r="AM2424" s="9"/>
      <c r="AN2424" s="9"/>
      <c r="AO2424" s="9"/>
      <c r="AP2424" s="14"/>
    </row>
    <row r="2425" spans="1:42" s="45" customFormat="1" ht="22" customHeight="1">
      <c r="A2425" s="14" t="s">
        <v>17</v>
      </c>
      <c r="B2425" s="8">
        <v>2024</v>
      </c>
      <c r="C2425" s="8" t="s">
        <v>24</v>
      </c>
      <c r="D2425" s="9" t="s">
        <v>185</v>
      </c>
      <c r="E2425" s="9" t="s">
        <v>115</v>
      </c>
      <c r="F2425" s="9" t="s">
        <v>434</v>
      </c>
      <c r="G2425" s="8"/>
      <c r="H2425" s="8"/>
      <c r="I2425" s="9" t="s">
        <v>11</v>
      </c>
      <c r="J2425" s="9" t="s">
        <v>11</v>
      </c>
      <c r="K2425" s="9" t="s">
        <v>82</v>
      </c>
      <c r="L2425" s="9" t="s">
        <v>171</v>
      </c>
      <c r="M2425" s="9" t="s">
        <v>114</v>
      </c>
      <c r="N2425" s="9" t="s">
        <v>861</v>
      </c>
      <c r="O2425" s="9" t="s">
        <v>1377</v>
      </c>
      <c r="P2425" s="9" t="s">
        <v>1385</v>
      </c>
      <c r="Q2425" s="11"/>
      <c r="R2425" s="11"/>
      <c r="S2425" s="11"/>
      <c r="T2425" s="9"/>
      <c r="U2425" s="14" t="s">
        <v>77</v>
      </c>
      <c r="V2425" s="9"/>
      <c r="W2425" s="12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3"/>
      <c r="AJ2425" s="13">
        <f t="shared" si="231"/>
        <v>0</v>
      </c>
      <c r="AK2425" s="12"/>
      <c r="AL2425" s="13"/>
      <c r="AM2425" s="9"/>
      <c r="AN2425" s="9"/>
      <c r="AO2425" s="9"/>
      <c r="AP2425" s="14"/>
    </row>
    <row r="2426" spans="1:42" s="45" customFormat="1" ht="22" customHeight="1">
      <c r="A2426" s="14" t="s">
        <v>17</v>
      </c>
      <c r="B2426" s="8">
        <v>2024</v>
      </c>
      <c r="C2426" s="8" t="s">
        <v>24</v>
      </c>
      <c r="D2426" s="9" t="s">
        <v>185</v>
      </c>
      <c r="E2426" s="9" t="s">
        <v>115</v>
      </c>
      <c r="F2426" s="9" t="s">
        <v>434</v>
      </c>
      <c r="G2426" s="8"/>
      <c r="H2426" s="8"/>
      <c r="I2426" s="9" t="s">
        <v>11</v>
      </c>
      <c r="J2426" s="9" t="s">
        <v>11</v>
      </c>
      <c r="K2426" s="9" t="s">
        <v>82</v>
      </c>
      <c r="L2426" s="9" t="s">
        <v>171</v>
      </c>
      <c r="M2426" s="9" t="s">
        <v>114</v>
      </c>
      <c r="N2426" s="9" t="s">
        <v>861</v>
      </c>
      <c r="O2426" s="9" t="s">
        <v>1377</v>
      </c>
      <c r="P2426" s="9" t="s">
        <v>1386</v>
      </c>
      <c r="Q2426" s="11"/>
      <c r="R2426" s="11"/>
      <c r="S2426" s="11"/>
      <c r="T2426" s="9"/>
      <c r="U2426" s="14" t="s">
        <v>77</v>
      </c>
      <c r="V2426" s="9"/>
      <c r="W2426" s="12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3"/>
      <c r="AJ2426" s="13">
        <f t="shared" si="231"/>
        <v>0</v>
      </c>
      <c r="AK2426" s="12"/>
      <c r="AL2426" s="13"/>
      <c r="AM2426" s="9"/>
      <c r="AN2426" s="9"/>
      <c r="AO2426" s="9"/>
      <c r="AP2426" s="14"/>
    </row>
    <row r="2427" spans="1:42" s="45" customFormat="1" ht="22" customHeight="1">
      <c r="A2427" s="14" t="s">
        <v>17</v>
      </c>
      <c r="B2427" s="8">
        <v>2024</v>
      </c>
      <c r="C2427" s="8" t="s">
        <v>24</v>
      </c>
      <c r="D2427" s="9" t="s">
        <v>185</v>
      </c>
      <c r="E2427" s="9" t="s">
        <v>115</v>
      </c>
      <c r="F2427" s="9" t="s">
        <v>434</v>
      </c>
      <c r="G2427" s="8"/>
      <c r="H2427" s="8"/>
      <c r="I2427" s="9" t="s">
        <v>11</v>
      </c>
      <c r="J2427" s="9" t="s">
        <v>11</v>
      </c>
      <c r="K2427" s="9" t="s">
        <v>82</v>
      </c>
      <c r="L2427" s="9" t="s">
        <v>171</v>
      </c>
      <c r="M2427" s="9" t="s">
        <v>114</v>
      </c>
      <c r="N2427" s="9" t="s">
        <v>861</v>
      </c>
      <c r="O2427" s="9" t="s">
        <v>1387</v>
      </c>
      <c r="P2427" s="9" t="s">
        <v>1388</v>
      </c>
      <c r="Q2427" s="11"/>
      <c r="R2427" s="11"/>
      <c r="S2427" s="11"/>
      <c r="T2427" s="9"/>
      <c r="U2427" s="14" t="s">
        <v>77</v>
      </c>
      <c r="V2427" s="9"/>
      <c r="W2427" s="12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3"/>
      <c r="AJ2427" s="13">
        <f t="shared" si="231"/>
        <v>0</v>
      </c>
      <c r="AK2427" s="12"/>
      <c r="AL2427" s="13"/>
      <c r="AM2427" s="9"/>
      <c r="AN2427" s="9"/>
      <c r="AO2427" s="9"/>
      <c r="AP2427" s="14"/>
    </row>
    <row r="2428" spans="1:42" s="45" customFormat="1" ht="22" customHeight="1">
      <c r="A2428" s="14" t="s">
        <v>17</v>
      </c>
      <c r="B2428" s="8">
        <v>2024</v>
      </c>
      <c r="C2428" s="8" t="s">
        <v>24</v>
      </c>
      <c r="D2428" s="9" t="s">
        <v>185</v>
      </c>
      <c r="E2428" s="9" t="s">
        <v>115</v>
      </c>
      <c r="F2428" s="9" t="s">
        <v>434</v>
      </c>
      <c r="G2428" s="8"/>
      <c r="H2428" s="8"/>
      <c r="I2428" s="9" t="s">
        <v>11</v>
      </c>
      <c r="J2428" s="9" t="s">
        <v>11</v>
      </c>
      <c r="K2428" s="9" t="s">
        <v>82</v>
      </c>
      <c r="L2428" s="9" t="s">
        <v>171</v>
      </c>
      <c r="M2428" s="9" t="s">
        <v>114</v>
      </c>
      <c r="N2428" s="9" t="s">
        <v>861</v>
      </c>
      <c r="O2428" s="9" t="s">
        <v>1387</v>
      </c>
      <c r="P2428" s="9" t="s">
        <v>1389</v>
      </c>
      <c r="Q2428" s="11"/>
      <c r="R2428" s="11"/>
      <c r="S2428" s="11"/>
      <c r="T2428" s="9"/>
      <c r="U2428" s="14" t="s">
        <v>77</v>
      </c>
      <c r="V2428" s="9"/>
      <c r="W2428" s="12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>
        <f t="shared" si="231"/>
        <v>0</v>
      </c>
      <c r="AK2428" s="12"/>
      <c r="AL2428" s="13"/>
      <c r="AM2428" s="9"/>
      <c r="AN2428" s="9"/>
      <c r="AO2428" s="9"/>
      <c r="AP2428" s="14"/>
    </row>
    <row r="2429" spans="1:42" s="45" customFormat="1" ht="22" customHeight="1">
      <c r="A2429" s="14" t="s">
        <v>17</v>
      </c>
      <c r="B2429" s="8">
        <v>2024</v>
      </c>
      <c r="C2429" s="8" t="s">
        <v>24</v>
      </c>
      <c r="D2429" s="9" t="s">
        <v>185</v>
      </c>
      <c r="E2429" s="9" t="s">
        <v>115</v>
      </c>
      <c r="F2429" s="9" t="s">
        <v>434</v>
      </c>
      <c r="G2429" s="8"/>
      <c r="H2429" s="8"/>
      <c r="I2429" s="9" t="s">
        <v>11</v>
      </c>
      <c r="J2429" s="9" t="s">
        <v>11</v>
      </c>
      <c r="K2429" s="9" t="s">
        <v>82</v>
      </c>
      <c r="L2429" s="9" t="s">
        <v>171</v>
      </c>
      <c r="M2429" s="9" t="s">
        <v>114</v>
      </c>
      <c r="N2429" s="9" t="s">
        <v>861</v>
      </c>
      <c r="O2429" s="9" t="s">
        <v>1387</v>
      </c>
      <c r="P2429" s="9" t="s">
        <v>1390</v>
      </c>
      <c r="Q2429" s="11"/>
      <c r="R2429" s="11"/>
      <c r="S2429" s="11"/>
      <c r="T2429" s="9"/>
      <c r="U2429" s="14" t="s">
        <v>77</v>
      </c>
      <c r="V2429" s="9"/>
      <c r="W2429" s="12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>
        <f t="shared" si="231"/>
        <v>0</v>
      </c>
      <c r="AK2429" s="12"/>
      <c r="AL2429" s="13"/>
      <c r="AM2429" s="9"/>
      <c r="AN2429" s="9"/>
      <c r="AO2429" s="9"/>
      <c r="AP2429" s="14"/>
    </row>
    <row r="2430" spans="1:42" s="45" customFormat="1" ht="22" customHeight="1">
      <c r="A2430" s="14" t="s">
        <v>17</v>
      </c>
      <c r="B2430" s="8">
        <v>2024</v>
      </c>
      <c r="C2430" s="8" t="s">
        <v>24</v>
      </c>
      <c r="D2430" s="9" t="s">
        <v>185</v>
      </c>
      <c r="E2430" s="9" t="s">
        <v>115</v>
      </c>
      <c r="F2430" s="9" t="s">
        <v>434</v>
      </c>
      <c r="G2430" s="8"/>
      <c r="H2430" s="8"/>
      <c r="I2430" s="9" t="s">
        <v>11</v>
      </c>
      <c r="J2430" s="9" t="s">
        <v>11</v>
      </c>
      <c r="K2430" s="9" t="s">
        <v>82</v>
      </c>
      <c r="L2430" s="9" t="s">
        <v>171</v>
      </c>
      <c r="M2430" s="9" t="s">
        <v>114</v>
      </c>
      <c r="N2430" s="9" t="s">
        <v>861</v>
      </c>
      <c r="O2430" s="9" t="s">
        <v>1387</v>
      </c>
      <c r="P2430" s="9" t="s">
        <v>388</v>
      </c>
      <c r="Q2430" s="11"/>
      <c r="R2430" s="11"/>
      <c r="S2430" s="11"/>
      <c r="T2430" s="9"/>
      <c r="U2430" s="14" t="s">
        <v>77</v>
      </c>
      <c r="V2430" s="9"/>
      <c r="W2430" s="12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>
        <f t="shared" si="231"/>
        <v>0</v>
      </c>
      <c r="AK2430" s="12"/>
      <c r="AL2430" s="13"/>
      <c r="AM2430" s="9"/>
      <c r="AN2430" s="9"/>
      <c r="AO2430" s="9"/>
      <c r="AP2430" s="14"/>
    </row>
    <row r="2431" spans="1:42" s="45" customFormat="1" ht="22" customHeight="1">
      <c r="A2431" s="14" t="s">
        <v>17</v>
      </c>
      <c r="B2431" s="8">
        <v>2024</v>
      </c>
      <c r="C2431" s="8" t="s">
        <v>24</v>
      </c>
      <c r="D2431" s="9" t="s">
        <v>185</v>
      </c>
      <c r="E2431" s="9" t="s">
        <v>115</v>
      </c>
      <c r="F2431" s="9" t="s">
        <v>434</v>
      </c>
      <c r="G2431" s="8"/>
      <c r="H2431" s="8"/>
      <c r="I2431" s="9" t="s">
        <v>11</v>
      </c>
      <c r="J2431" s="9" t="s">
        <v>11</v>
      </c>
      <c r="K2431" s="9" t="s">
        <v>82</v>
      </c>
      <c r="L2431" s="9" t="s">
        <v>171</v>
      </c>
      <c r="M2431" s="9" t="s">
        <v>114</v>
      </c>
      <c r="N2431" s="9" t="s">
        <v>861</v>
      </c>
      <c r="O2431" s="9" t="s">
        <v>1387</v>
      </c>
      <c r="P2431" s="9" t="s">
        <v>1391</v>
      </c>
      <c r="Q2431" s="11"/>
      <c r="R2431" s="11"/>
      <c r="S2431" s="11"/>
      <c r="T2431" s="9"/>
      <c r="U2431" s="14" t="s">
        <v>77</v>
      </c>
      <c r="V2431" s="9"/>
      <c r="W2431" s="12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>
        <f t="shared" si="231"/>
        <v>0</v>
      </c>
      <c r="AK2431" s="12"/>
      <c r="AL2431" s="13"/>
      <c r="AM2431" s="9"/>
      <c r="AN2431" s="9"/>
      <c r="AO2431" s="9"/>
      <c r="AP2431" s="14"/>
    </row>
    <row r="2432" spans="1:42" s="45" customFormat="1" ht="22" customHeight="1">
      <c r="A2432" s="14" t="s">
        <v>17</v>
      </c>
      <c r="B2432" s="8">
        <v>2024</v>
      </c>
      <c r="C2432" s="8" t="s">
        <v>24</v>
      </c>
      <c r="D2432" s="9" t="s">
        <v>185</v>
      </c>
      <c r="E2432" s="9" t="s">
        <v>115</v>
      </c>
      <c r="F2432" s="9" t="s">
        <v>434</v>
      </c>
      <c r="G2432" s="8"/>
      <c r="H2432" s="8"/>
      <c r="I2432" s="9" t="s">
        <v>11</v>
      </c>
      <c r="J2432" s="9" t="s">
        <v>11</v>
      </c>
      <c r="K2432" s="9" t="s">
        <v>82</v>
      </c>
      <c r="L2432" s="9" t="s">
        <v>171</v>
      </c>
      <c r="M2432" s="9" t="s">
        <v>114</v>
      </c>
      <c r="N2432" s="9" t="s">
        <v>861</v>
      </c>
      <c r="O2432" s="9" t="s">
        <v>1387</v>
      </c>
      <c r="P2432" s="9" t="s">
        <v>1392</v>
      </c>
      <c r="Q2432" s="11"/>
      <c r="R2432" s="11"/>
      <c r="S2432" s="11"/>
      <c r="T2432" s="9"/>
      <c r="U2432" s="14" t="s">
        <v>77</v>
      </c>
      <c r="V2432" s="9"/>
      <c r="W2432" s="12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>
        <f t="shared" si="231"/>
        <v>0</v>
      </c>
      <c r="AK2432" s="12"/>
      <c r="AL2432" s="13"/>
      <c r="AM2432" s="9"/>
      <c r="AN2432" s="9"/>
      <c r="AO2432" s="9"/>
      <c r="AP2432" s="14"/>
    </row>
    <row r="2433" spans="1:42" s="45" customFormat="1" ht="22" customHeight="1">
      <c r="A2433" s="14" t="s">
        <v>17</v>
      </c>
      <c r="B2433" s="8">
        <v>2024</v>
      </c>
      <c r="C2433" s="8" t="s">
        <v>24</v>
      </c>
      <c r="D2433" s="9" t="s">
        <v>185</v>
      </c>
      <c r="E2433" s="9" t="s">
        <v>115</v>
      </c>
      <c r="F2433" s="9" t="s">
        <v>434</v>
      </c>
      <c r="G2433" s="8"/>
      <c r="H2433" s="8"/>
      <c r="I2433" s="9" t="s">
        <v>11</v>
      </c>
      <c r="J2433" s="9" t="s">
        <v>11</v>
      </c>
      <c r="K2433" s="9" t="s">
        <v>82</v>
      </c>
      <c r="L2433" s="9" t="s">
        <v>171</v>
      </c>
      <c r="M2433" s="9" t="s">
        <v>114</v>
      </c>
      <c r="N2433" s="9" t="s">
        <v>861</v>
      </c>
      <c r="O2433" s="9" t="s">
        <v>1387</v>
      </c>
      <c r="P2433" s="9" t="s">
        <v>1393</v>
      </c>
      <c r="Q2433" s="11"/>
      <c r="R2433" s="11"/>
      <c r="S2433" s="11"/>
      <c r="T2433" s="9"/>
      <c r="U2433" s="14" t="s">
        <v>77</v>
      </c>
      <c r="V2433" s="9"/>
      <c r="W2433" s="12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>
        <f t="shared" si="231"/>
        <v>0</v>
      </c>
      <c r="AK2433" s="12"/>
      <c r="AL2433" s="13"/>
      <c r="AM2433" s="9"/>
      <c r="AN2433" s="9"/>
      <c r="AO2433" s="9"/>
      <c r="AP2433" s="14"/>
    </row>
    <row r="2434" spans="1:42" s="45" customFormat="1" ht="22" customHeight="1">
      <c r="A2434" s="14" t="s">
        <v>17</v>
      </c>
      <c r="B2434" s="8">
        <v>2024</v>
      </c>
      <c r="C2434" s="8" t="s">
        <v>24</v>
      </c>
      <c r="D2434" s="9" t="s">
        <v>185</v>
      </c>
      <c r="E2434" s="9" t="s">
        <v>115</v>
      </c>
      <c r="F2434" s="9" t="s">
        <v>434</v>
      </c>
      <c r="G2434" s="8"/>
      <c r="H2434" s="8"/>
      <c r="I2434" s="9" t="s">
        <v>11</v>
      </c>
      <c r="J2434" s="9" t="s">
        <v>11</v>
      </c>
      <c r="K2434" s="9" t="s">
        <v>82</v>
      </c>
      <c r="L2434" s="9" t="s">
        <v>171</v>
      </c>
      <c r="M2434" s="9" t="s">
        <v>114</v>
      </c>
      <c r="N2434" s="9" t="s">
        <v>861</v>
      </c>
      <c r="O2434" s="9" t="s">
        <v>1387</v>
      </c>
      <c r="P2434" s="9" t="s">
        <v>1394</v>
      </c>
      <c r="Q2434" s="11"/>
      <c r="R2434" s="11"/>
      <c r="S2434" s="11"/>
      <c r="T2434" s="9"/>
      <c r="U2434" s="14" t="s">
        <v>77</v>
      </c>
      <c r="V2434" s="9"/>
      <c r="W2434" s="12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>
        <f t="shared" si="231"/>
        <v>0</v>
      </c>
      <c r="AK2434" s="12"/>
      <c r="AL2434" s="13"/>
      <c r="AM2434" s="9"/>
      <c r="AN2434" s="9"/>
      <c r="AO2434" s="9"/>
      <c r="AP2434" s="14"/>
    </row>
    <row r="2435" spans="1:42" s="45" customFormat="1" ht="22" customHeight="1">
      <c r="A2435" s="14" t="s">
        <v>17</v>
      </c>
      <c r="B2435" s="8">
        <v>2024</v>
      </c>
      <c r="C2435" s="8" t="s">
        <v>24</v>
      </c>
      <c r="D2435" s="9" t="s">
        <v>185</v>
      </c>
      <c r="E2435" s="9" t="s">
        <v>115</v>
      </c>
      <c r="F2435" s="9" t="s">
        <v>434</v>
      </c>
      <c r="G2435" s="8"/>
      <c r="H2435" s="8"/>
      <c r="I2435" s="9" t="s">
        <v>11</v>
      </c>
      <c r="J2435" s="9" t="s">
        <v>11</v>
      </c>
      <c r="K2435" s="9" t="s">
        <v>82</v>
      </c>
      <c r="L2435" s="9" t="s">
        <v>171</v>
      </c>
      <c r="M2435" s="9" t="s">
        <v>114</v>
      </c>
      <c r="N2435" s="9" t="s">
        <v>861</v>
      </c>
      <c r="O2435" s="9" t="s">
        <v>1387</v>
      </c>
      <c r="P2435" s="9" t="s">
        <v>1395</v>
      </c>
      <c r="Q2435" s="11"/>
      <c r="R2435" s="11"/>
      <c r="S2435" s="11"/>
      <c r="T2435" s="9"/>
      <c r="U2435" s="14" t="s">
        <v>77</v>
      </c>
      <c r="V2435" s="9"/>
      <c r="W2435" s="12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>
        <f t="shared" si="231"/>
        <v>0</v>
      </c>
      <c r="AK2435" s="12"/>
      <c r="AL2435" s="13"/>
      <c r="AM2435" s="9"/>
      <c r="AN2435" s="9"/>
      <c r="AO2435" s="9"/>
      <c r="AP2435" s="14"/>
    </row>
    <row r="2436" spans="1:42" s="45" customFormat="1" ht="22" customHeight="1">
      <c r="A2436" s="14" t="s">
        <v>17</v>
      </c>
      <c r="B2436" s="8">
        <v>2024</v>
      </c>
      <c r="C2436" s="8" t="s">
        <v>24</v>
      </c>
      <c r="D2436" s="9" t="s">
        <v>185</v>
      </c>
      <c r="E2436" s="9" t="s">
        <v>115</v>
      </c>
      <c r="F2436" s="9" t="s">
        <v>434</v>
      </c>
      <c r="G2436" s="8"/>
      <c r="H2436" s="8"/>
      <c r="I2436" s="9" t="s">
        <v>11</v>
      </c>
      <c r="J2436" s="9" t="s">
        <v>11</v>
      </c>
      <c r="K2436" s="9" t="s">
        <v>82</v>
      </c>
      <c r="L2436" s="9" t="s">
        <v>171</v>
      </c>
      <c r="M2436" s="9" t="s">
        <v>114</v>
      </c>
      <c r="N2436" s="9" t="s">
        <v>861</v>
      </c>
      <c r="O2436" s="9" t="s">
        <v>1387</v>
      </c>
      <c r="P2436" s="9" t="s">
        <v>1396</v>
      </c>
      <c r="Q2436" s="11"/>
      <c r="R2436" s="11"/>
      <c r="S2436" s="11"/>
      <c r="T2436" s="9"/>
      <c r="U2436" s="14" t="s">
        <v>77</v>
      </c>
      <c r="V2436" s="9"/>
      <c r="W2436" s="12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3"/>
      <c r="AJ2436" s="13">
        <f t="shared" si="231"/>
        <v>0</v>
      </c>
      <c r="AK2436" s="12"/>
      <c r="AL2436" s="13"/>
      <c r="AM2436" s="9"/>
      <c r="AN2436" s="9"/>
      <c r="AO2436" s="9"/>
      <c r="AP2436" s="14"/>
    </row>
    <row r="2437" spans="1:42" s="45" customFormat="1" ht="22" customHeight="1">
      <c r="A2437" s="14" t="s">
        <v>17</v>
      </c>
      <c r="B2437" s="8">
        <v>2024</v>
      </c>
      <c r="C2437" s="8" t="s">
        <v>24</v>
      </c>
      <c r="D2437" s="9" t="s">
        <v>185</v>
      </c>
      <c r="E2437" s="9" t="s">
        <v>115</v>
      </c>
      <c r="F2437" s="9" t="s">
        <v>434</v>
      </c>
      <c r="G2437" s="8"/>
      <c r="H2437" s="8"/>
      <c r="I2437" s="9" t="s">
        <v>11</v>
      </c>
      <c r="J2437" s="9" t="s">
        <v>11</v>
      </c>
      <c r="K2437" s="9" t="s">
        <v>82</v>
      </c>
      <c r="L2437" s="9" t="s">
        <v>171</v>
      </c>
      <c r="M2437" s="9" t="s">
        <v>114</v>
      </c>
      <c r="N2437" s="9" t="s">
        <v>861</v>
      </c>
      <c r="O2437" s="9" t="s">
        <v>114</v>
      </c>
      <c r="P2437" s="9" t="s">
        <v>1397</v>
      </c>
      <c r="Q2437" s="11"/>
      <c r="R2437" s="11"/>
      <c r="S2437" s="11"/>
      <c r="T2437" s="9"/>
      <c r="U2437" s="14" t="s">
        <v>77</v>
      </c>
      <c r="V2437" s="9"/>
      <c r="W2437" s="12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>
        <f t="shared" si="231"/>
        <v>0</v>
      </c>
      <c r="AK2437" s="12"/>
      <c r="AL2437" s="13"/>
      <c r="AM2437" s="9"/>
      <c r="AN2437" s="9"/>
      <c r="AO2437" s="9"/>
      <c r="AP2437" s="14"/>
    </row>
    <row r="2438" spans="1:42" s="45" customFormat="1" ht="22" customHeight="1">
      <c r="A2438" s="14" t="s">
        <v>17</v>
      </c>
      <c r="B2438" s="8">
        <v>2024</v>
      </c>
      <c r="C2438" s="8" t="s">
        <v>24</v>
      </c>
      <c r="D2438" s="9" t="s">
        <v>185</v>
      </c>
      <c r="E2438" s="9" t="s">
        <v>115</v>
      </c>
      <c r="F2438" s="9" t="s">
        <v>434</v>
      </c>
      <c r="G2438" s="8"/>
      <c r="H2438" s="8"/>
      <c r="I2438" s="9" t="s">
        <v>11</v>
      </c>
      <c r="J2438" s="9" t="s">
        <v>11</v>
      </c>
      <c r="K2438" s="9" t="s">
        <v>82</v>
      </c>
      <c r="L2438" s="9" t="s">
        <v>171</v>
      </c>
      <c r="M2438" s="9" t="s">
        <v>114</v>
      </c>
      <c r="N2438" s="9" t="s">
        <v>861</v>
      </c>
      <c r="O2438" s="9" t="s">
        <v>114</v>
      </c>
      <c r="P2438" s="9" t="s">
        <v>1398</v>
      </c>
      <c r="Q2438" s="11"/>
      <c r="R2438" s="11"/>
      <c r="S2438" s="11"/>
      <c r="T2438" s="9"/>
      <c r="U2438" s="14" t="s">
        <v>77</v>
      </c>
      <c r="V2438" s="9"/>
      <c r="W2438" s="12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3"/>
      <c r="AJ2438" s="13">
        <f t="shared" si="231"/>
        <v>0</v>
      </c>
      <c r="AK2438" s="12"/>
      <c r="AL2438" s="13"/>
      <c r="AM2438" s="9"/>
      <c r="AN2438" s="9"/>
      <c r="AO2438" s="9"/>
      <c r="AP2438" s="14"/>
    </row>
    <row r="2439" spans="1:42" s="45" customFormat="1" ht="22" customHeight="1">
      <c r="A2439" s="14" t="s">
        <v>17</v>
      </c>
      <c r="B2439" s="8">
        <v>2024</v>
      </c>
      <c r="C2439" s="8" t="s">
        <v>24</v>
      </c>
      <c r="D2439" s="9" t="s">
        <v>185</v>
      </c>
      <c r="E2439" s="9" t="s">
        <v>115</v>
      </c>
      <c r="F2439" s="9" t="s">
        <v>434</v>
      </c>
      <c r="G2439" s="8"/>
      <c r="H2439" s="8"/>
      <c r="I2439" s="9" t="s">
        <v>11</v>
      </c>
      <c r="J2439" s="9" t="s">
        <v>11</v>
      </c>
      <c r="K2439" s="9" t="s">
        <v>82</v>
      </c>
      <c r="L2439" s="9" t="s">
        <v>171</v>
      </c>
      <c r="M2439" s="9" t="s">
        <v>114</v>
      </c>
      <c r="N2439" s="9" t="s">
        <v>861</v>
      </c>
      <c r="O2439" s="9" t="s">
        <v>114</v>
      </c>
      <c r="P2439" s="9" t="s">
        <v>1399</v>
      </c>
      <c r="Q2439" s="11"/>
      <c r="R2439" s="11"/>
      <c r="S2439" s="11"/>
      <c r="T2439" s="9"/>
      <c r="U2439" s="14" t="s">
        <v>77</v>
      </c>
      <c r="V2439" s="9"/>
      <c r="W2439" s="12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>
        <f t="shared" si="231"/>
        <v>0</v>
      </c>
      <c r="AK2439" s="12"/>
      <c r="AL2439" s="13"/>
      <c r="AM2439" s="9"/>
      <c r="AN2439" s="9"/>
      <c r="AO2439" s="9"/>
      <c r="AP2439" s="14"/>
    </row>
    <row r="2440" spans="1:42" s="45" customFormat="1" ht="22" customHeight="1">
      <c r="A2440" s="14" t="s">
        <v>17</v>
      </c>
      <c r="B2440" s="8">
        <v>2024</v>
      </c>
      <c r="C2440" s="8" t="s">
        <v>24</v>
      </c>
      <c r="D2440" s="9" t="s">
        <v>185</v>
      </c>
      <c r="E2440" s="9" t="s">
        <v>115</v>
      </c>
      <c r="F2440" s="9" t="s">
        <v>434</v>
      </c>
      <c r="G2440" s="8"/>
      <c r="H2440" s="8"/>
      <c r="I2440" s="9" t="s">
        <v>11</v>
      </c>
      <c r="J2440" s="9" t="s">
        <v>11</v>
      </c>
      <c r="K2440" s="9" t="s">
        <v>82</v>
      </c>
      <c r="L2440" s="9" t="s">
        <v>171</v>
      </c>
      <c r="M2440" s="9" t="s">
        <v>114</v>
      </c>
      <c r="N2440" s="9" t="s">
        <v>861</v>
      </c>
      <c r="O2440" s="9" t="s">
        <v>114</v>
      </c>
      <c r="P2440" s="9" t="s">
        <v>1400</v>
      </c>
      <c r="Q2440" s="11"/>
      <c r="R2440" s="11"/>
      <c r="S2440" s="11"/>
      <c r="T2440" s="9"/>
      <c r="U2440" s="14" t="s">
        <v>77</v>
      </c>
      <c r="V2440" s="9"/>
      <c r="W2440" s="12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>
        <f t="shared" si="231"/>
        <v>0</v>
      </c>
      <c r="AK2440" s="12"/>
      <c r="AL2440" s="13"/>
      <c r="AM2440" s="9"/>
      <c r="AN2440" s="9"/>
      <c r="AO2440" s="9"/>
      <c r="AP2440" s="14"/>
    </row>
    <row r="2441" spans="1:42" s="45" customFormat="1" ht="22" customHeight="1">
      <c r="A2441" s="14" t="s">
        <v>17</v>
      </c>
      <c r="B2441" s="8">
        <v>2024</v>
      </c>
      <c r="C2441" s="8" t="s">
        <v>24</v>
      </c>
      <c r="D2441" s="9" t="s">
        <v>185</v>
      </c>
      <c r="E2441" s="9" t="s">
        <v>115</v>
      </c>
      <c r="F2441" s="9" t="s">
        <v>434</v>
      </c>
      <c r="G2441" s="8"/>
      <c r="H2441" s="8"/>
      <c r="I2441" s="9" t="s">
        <v>11</v>
      </c>
      <c r="J2441" s="9" t="s">
        <v>11</v>
      </c>
      <c r="K2441" s="9" t="s">
        <v>82</v>
      </c>
      <c r="L2441" s="9" t="s">
        <v>171</v>
      </c>
      <c r="M2441" s="9" t="s">
        <v>114</v>
      </c>
      <c r="N2441" s="9" t="s">
        <v>861</v>
      </c>
      <c r="O2441" s="9" t="s">
        <v>114</v>
      </c>
      <c r="P2441" s="9" t="s">
        <v>1401</v>
      </c>
      <c r="Q2441" s="11"/>
      <c r="R2441" s="11"/>
      <c r="S2441" s="11"/>
      <c r="T2441" s="9"/>
      <c r="U2441" s="14" t="s">
        <v>77</v>
      </c>
      <c r="V2441" s="9"/>
      <c r="W2441" s="12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>
        <f t="shared" si="231"/>
        <v>0</v>
      </c>
      <c r="AK2441" s="12"/>
      <c r="AL2441" s="13"/>
      <c r="AM2441" s="9"/>
      <c r="AN2441" s="9"/>
      <c r="AO2441" s="9"/>
      <c r="AP2441" s="14"/>
    </row>
    <row r="2442" spans="1:42" s="45" customFormat="1" ht="22" customHeight="1">
      <c r="A2442" s="14" t="s">
        <v>17</v>
      </c>
      <c r="B2442" s="8">
        <v>2024</v>
      </c>
      <c r="C2442" s="8" t="s">
        <v>24</v>
      </c>
      <c r="D2442" s="9" t="s">
        <v>185</v>
      </c>
      <c r="E2442" s="9" t="s">
        <v>115</v>
      </c>
      <c r="F2442" s="9" t="s">
        <v>434</v>
      </c>
      <c r="G2442" s="8"/>
      <c r="H2442" s="8"/>
      <c r="I2442" s="9" t="s">
        <v>11</v>
      </c>
      <c r="J2442" s="9" t="s">
        <v>11</v>
      </c>
      <c r="K2442" s="9" t="s">
        <v>82</v>
      </c>
      <c r="L2442" s="9" t="s">
        <v>171</v>
      </c>
      <c r="M2442" s="9" t="s">
        <v>114</v>
      </c>
      <c r="N2442" s="9" t="s">
        <v>861</v>
      </c>
      <c r="O2442" s="9" t="s">
        <v>114</v>
      </c>
      <c r="P2442" s="9" t="s">
        <v>1402</v>
      </c>
      <c r="Q2442" s="11"/>
      <c r="R2442" s="11"/>
      <c r="S2442" s="11"/>
      <c r="T2442" s="9"/>
      <c r="U2442" s="14" t="s">
        <v>77</v>
      </c>
      <c r="V2442" s="9"/>
      <c r="W2442" s="12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>
        <f t="shared" si="231"/>
        <v>0</v>
      </c>
      <c r="AK2442" s="12"/>
      <c r="AL2442" s="13"/>
      <c r="AM2442" s="9"/>
      <c r="AN2442" s="9"/>
      <c r="AO2442" s="9"/>
      <c r="AP2442" s="14"/>
    </row>
    <row r="2443" spans="1:42" s="45" customFormat="1" ht="22" customHeight="1">
      <c r="A2443" s="14" t="s">
        <v>17</v>
      </c>
      <c r="B2443" s="8">
        <v>2024</v>
      </c>
      <c r="C2443" s="8" t="s">
        <v>24</v>
      </c>
      <c r="D2443" s="9" t="s">
        <v>185</v>
      </c>
      <c r="E2443" s="9" t="s">
        <v>115</v>
      </c>
      <c r="F2443" s="9" t="s">
        <v>434</v>
      </c>
      <c r="G2443" s="8"/>
      <c r="H2443" s="8"/>
      <c r="I2443" s="9" t="s">
        <v>11</v>
      </c>
      <c r="J2443" s="9" t="s">
        <v>11</v>
      </c>
      <c r="K2443" s="9" t="s">
        <v>82</v>
      </c>
      <c r="L2443" s="9" t="s">
        <v>171</v>
      </c>
      <c r="M2443" s="9" t="s">
        <v>114</v>
      </c>
      <c r="N2443" s="9" t="s">
        <v>861</v>
      </c>
      <c r="O2443" s="9" t="s">
        <v>114</v>
      </c>
      <c r="P2443" s="9" t="s">
        <v>1403</v>
      </c>
      <c r="Q2443" s="11"/>
      <c r="R2443" s="11"/>
      <c r="S2443" s="11"/>
      <c r="T2443" s="9"/>
      <c r="U2443" s="14" t="s">
        <v>77</v>
      </c>
      <c r="V2443" s="9"/>
      <c r="W2443" s="12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3"/>
      <c r="AJ2443" s="13">
        <f t="shared" si="231"/>
        <v>0</v>
      </c>
      <c r="AK2443" s="12"/>
      <c r="AL2443" s="13"/>
      <c r="AM2443" s="9"/>
      <c r="AN2443" s="9"/>
      <c r="AO2443" s="9"/>
      <c r="AP2443" s="14"/>
    </row>
    <row r="2444" spans="1:42" s="45" customFormat="1" ht="22" customHeight="1">
      <c r="A2444" s="14" t="s">
        <v>17</v>
      </c>
      <c r="B2444" s="8">
        <v>2024</v>
      </c>
      <c r="C2444" s="8" t="s">
        <v>24</v>
      </c>
      <c r="D2444" s="9" t="s">
        <v>185</v>
      </c>
      <c r="E2444" s="9" t="s">
        <v>115</v>
      </c>
      <c r="F2444" s="9" t="s">
        <v>434</v>
      </c>
      <c r="G2444" s="8"/>
      <c r="H2444" s="8"/>
      <c r="I2444" s="9" t="s">
        <v>11</v>
      </c>
      <c r="J2444" s="9" t="s">
        <v>11</v>
      </c>
      <c r="K2444" s="9" t="s">
        <v>82</v>
      </c>
      <c r="L2444" s="9" t="s">
        <v>171</v>
      </c>
      <c r="M2444" s="9" t="s">
        <v>114</v>
      </c>
      <c r="N2444" s="9" t="s">
        <v>861</v>
      </c>
      <c r="O2444" s="9" t="s">
        <v>114</v>
      </c>
      <c r="P2444" s="9" t="s">
        <v>1404</v>
      </c>
      <c r="Q2444" s="11"/>
      <c r="R2444" s="11"/>
      <c r="S2444" s="11"/>
      <c r="T2444" s="9"/>
      <c r="U2444" s="14" t="s">
        <v>77</v>
      </c>
      <c r="V2444" s="9"/>
      <c r="W2444" s="12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3"/>
      <c r="AJ2444" s="13">
        <f t="shared" si="231"/>
        <v>0</v>
      </c>
      <c r="AK2444" s="12"/>
      <c r="AL2444" s="13"/>
      <c r="AM2444" s="9"/>
      <c r="AN2444" s="9"/>
      <c r="AO2444" s="9"/>
      <c r="AP2444" s="14"/>
    </row>
    <row r="2445" spans="1:42" s="45" customFormat="1" ht="22" customHeight="1">
      <c r="A2445" s="14" t="s">
        <v>17</v>
      </c>
      <c r="B2445" s="8">
        <v>2024</v>
      </c>
      <c r="C2445" s="8" t="s">
        <v>24</v>
      </c>
      <c r="D2445" s="9" t="s">
        <v>185</v>
      </c>
      <c r="E2445" s="9" t="s">
        <v>115</v>
      </c>
      <c r="F2445" s="9" t="s">
        <v>434</v>
      </c>
      <c r="G2445" s="8"/>
      <c r="H2445" s="8"/>
      <c r="I2445" s="9" t="s">
        <v>11</v>
      </c>
      <c r="J2445" s="9" t="s">
        <v>11</v>
      </c>
      <c r="K2445" s="9" t="s">
        <v>82</v>
      </c>
      <c r="L2445" s="9" t="s">
        <v>171</v>
      </c>
      <c r="M2445" s="9" t="s">
        <v>114</v>
      </c>
      <c r="N2445" s="9" t="s">
        <v>861</v>
      </c>
      <c r="O2445" s="9" t="s">
        <v>114</v>
      </c>
      <c r="P2445" s="9" t="s">
        <v>1405</v>
      </c>
      <c r="Q2445" s="11"/>
      <c r="R2445" s="11"/>
      <c r="S2445" s="11"/>
      <c r="T2445" s="9"/>
      <c r="U2445" s="14" t="s">
        <v>77</v>
      </c>
      <c r="V2445" s="9"/>
      <c r="W2445" s="12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3"/>
      <c r="AJ2445" s="13">
        <f t="shared" si="231"/>
        <v>0</v>
      </c>
      <c r="AK2445" s="12"/>
      <c r="AL2445" s="13"/>
      <c r="AM2445" s="9"/>
      <c r="AN2445" s="9"/>
      <c r="AO2445" s="9"/>
      <c r="AP2445" s="14"/>
    </row>
    <row r="2446" spans="1:42" s="45" customFormat="1" ht="22" customHeight="1">
      <c r="A2446" s="14" t="s">
        <v>17</v>
      </c>
      <c r="B2446" s="8">
        <v>2024</v>
      </c>
      <c r="C2446" s="8" t="s">
        <v>24</v>
      </c>
      <c r="D2446" s="9" t="s">
        <v>185</v>
      </c>
      <c r="E2446" s="9" t="s">
        <v>115</v>
      </c>
      <c r="F2446" s="9" t="s">
        <v>434</v>
      </c>
      <c r="G2446" s="8"/>
      <c r="H2446" s="8"/>
      <c r="I2446" s="9" t="s">
        <v>11</v>
      </c>
      <c r="J2446" s="9" t="s">
        <v>11</v>
      </c>
      <c r="K2446" s="9" t="s">
        <v>82</v>
      </c>
      <c r="L2446" s="9" t="s">
        <v>171</v>
      </c>
      <c r="M2446" s="9" t="s">
        <v>114</v>
      </c>
      <c r="N2446" s="9" t="s">
        <v>861</v>
      </c>
      <c r="O2446" s="9" t="s">
        <v>114</v>
      </c>
      <c r="P2446" s="9" t="s">
        <v>649</v>
      </c>
      <c r="Q2446" s="11"/>
      <c r="R2446" s="11"/>
      <c r="S2446" s="11"/>
      <c r="T2446" s="9"/>
      <c r="U2446" s="14" t="s">
        <v>77</v>
      </c>
      <c r="V2446" s="9"/>
      <c r="W2446" s="12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>
        <f t="shared" si="231"/>
        <v>0</v>
      </c>
      <c r="AK2446" s="12"/>
      <c r="AL2446" s="13"/>
      <c r="AM2446" s="9"/>
      <c r="AN2446" s="9"/>
      <c r="AO2446" s="9"/>
      <c r="AP2446" s="14"/>
    </row>
    <row r="2447" spans="1:42" s="45" customFormat="1" ht="22" customHeight="1">
      <c r="A2447" s="14" t="s">
        <v>17</v>
      </c>
      <c r="B2447" s="8">
        <v>2024</v>
      </c>
      <c r="C2447" s="8" t="s">
        <v>24</v>
      </c>
      <c r="D2447" s="9" t="s">
        <v>185</v>
      </c>
      <c r="E2447" s="9" t="s">
        <v>115</v>
      </c>
      <c r="F2447" s="9" t="s">
        <v>434</v>
      </c>
      <c r="G2447" s="8"/>
      <c r="H2447" s="8"/>
      <c r="I2447" s="9" t="s">
        <v>11</v>
      </c>
      <c r="J2447" s="9" t="s">
        <v>11</v>
      </c>
      <c r="K2447" s="9" t="s">
        <v>82</v>
      </c>
      <c r="L2447" s="9" t="s">
        <v>171</v>
      </c>
      <c r="M2447" s="9" t="s">
        <v>114</v>
      </c>
      <c r="N2447" s="9" t="s">
        <v>861</v>
      </c>
      <c r="O2447" s="9" t="s">
        <v>114</v>
      </c>
      <c r="P2447" s="9" t="s">
        <v>1406</v>
      </c>
      <c r="Q2447" s="11"/>
      <c r="R2447" s="11"/>
      <c r="S2447" s="11"/>
      <c r="T2447" s="9"/>
      <c r="U2447" s="14" t="s">
        <v>77</v>
      </c>
      <c r="V2447" s="9"/>
      <c r="W2447" s="12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>
        <f t="shared" si="231"/>
        <v>0</v>
      </c>
      <c r="AK2447" s="12"/>
      <c r="AL2447" s="13"/>
      <c r="AM2447" s="9"/>
      <c r="AN2447" s="9"/>
      <c r="AO2447" s="9"/>
      <c r="AP2447" s="14"/>
    </row>
    <row r="2448" spans="1:42" s="45" customFormat="1" ht="22" customHeight="1">
      <c r="A2448" s="14" t="s">
        <v>17</v>
      </c>
      <c r="B2448" s="8">
        <v>2024</v>
      </c>
      <c r="C2448" s="8" t="s">
        <v>24</v>
      </c>
      <c r="D2448" s="9" t="s">
        <v>185</v>
      </c>
      <c r="E2448" s="9" t="s">
        <v>115</v>
      </c>
      <c r="F2448" s="9" t="s">
        <v>434</v>
      </c>
      <c r="G2448" s="8"/>
      <c r="H2448" s="8"/>
      <c r="I2448" s="9" t="s">
        <v>11</v>
      </c>
      <c r="J2448" s="9" t="s">
        <v>11</v>
      </c>
      <c r="K2448" s="9" t="s">
        <v>82</v>
      </c>
      <c r="L2448" s="9" t="s">
        <v>171</v>
      </c>
      <c r="M2448" s="9" t="s">
        <v>114</v>
      </c>
      <c r="N2448" s="9" t="s">
        <v>861</v>
      </c>
      <c r="O2448" s="9" t="s">
        <v>114</v>
      </c>
      <c r="P2448" s="9" t="s">
        <v>1407</v>
      </c>
      <c r="Q2448" s="11"/>
      <c r="R2448" s="11"/>
      <c r="S2448" s="11"/>
      <c r="T2448" s="9"/>
      <c r="U2448" s="14" t="s">
        <v>77</v>
      </c>
      <c r="V2448" s="9"/>
      <c r="W2448" s="12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>
        <f t="shared" si="231"/>
        <v>0</v>
      </c>
      <c r="AK2448" s="12"/>
      <c r="AL2448" s="13"/>
      <c r="AM2448" s="9"/>
      <c r="AN2448" s="9"/>
      <c r="AO2448" s="9"/>
      <c r="AP2448" s="14"/>
    </row>
    <row r="2449" spans="1:42" s="45" customFormat="1" ht="22" customHeight="1">
      <c r="A2449" s="14" t="s">
        <v>17</v>
      </c>
      <c r="B2449" s="8">
        <v>2024</v>
      </c>
      <c r="C2449" s="8" t="s">
        <v>24</v>
      </c>
      <c r="D2449" s="9" t="s">
        <v>185</v>
      </c>
      <c r="E2449" s="9" t="s">
        <v>115</v>
      </c>
      <c r="F2449" s="9" t="s">
        <v>434</v>
      </c>
      <c r="G2449" s="8"/>
      <c r="H2449" s="8"/>
      <c r="I2449" s="9" t="s">
        <v>11</v>
      </c>
      <c r="J2449" s="9" t="s">
        <v>11</v>
      </c>
      <c r="K2449" s="9" t="s">
        <v>82</v>
      </c>
      <c r="L2449" s="9" t="s">
        <v>171</v>
      </c>
      <c r="M2449" s="9" t="s">
        <v>114</v>
      </c>
      <c r="N2449" s="9" t="s">
        <v>861</v>
      </c>
      <c r="O2449" s="9" t="s">
        <v>114</v>
      </c>
      <c r="P2449" s="9" t="s">
        <v>1408</v>
      </c>
      <c r="Q2449" s="11"/>
      <c r="R2449" s="11"/>
      <c r="S2449" s="11"/>
      <c r="T2449" s="9"/>
      <c r="U2449" s="14" t="s">
        <v>77</v>
      </c>
      <c r="V2449" s="9"/>
      <c r="W2449" s="12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>
        <f t="shared" si="231"/>
        <v>0</v>
      </c>
      <c r="AK2449" s="12"/>
      <c r="AL2449" s="13"/>
      <c r="AM2449" s="9"/>
      <c r="AN2449" s="9"/>
      <c r="AO2449" s="9"/>
      <c r="AP2449" s="14"/>
    </row>
    <row r="2450" spans="1:42" s="45" customFormat="1" ht="22" customHeight="1">
      <c r="A2450" s="14" t="s">
        <v>17</v>
      </c>
      <c r="B2450" s="8">
        <v>2024</v>
      </c>
      <c r="C2450" s="8" t="s">
        <v>24</v>
      </c>
      <c r="D2450" s="9" t="s">
        <v>185</v>
      </c>
      <c r="E2450" s="9" t="s">
        <v>115</v>
      </c>
      <c r="F2450" s="9" t="s">
        <v>434</v>
      </c>
      <c r="G2450" s="8"/>
      <c r="H2450" s="8"/>
      <c r="I2450" s="9" t="s">
        <v>11</v>
      </c>
      <c r="J2450" s="9" t="s">
        <v>11</v>
      </c>
      <c r="K2450" s="9" t="s">
        <v>82</v>
      </c>
      <c r="L2450" s="9" t="s">
        <v>171</v>
      </c>
      <c r="M2450" s="9" t="s">
        <v>114</v>
      </c>
      <c r="N2450" s="9" t="s">
        <v>861</v>
      </c>
      <c r="O2450" s="9" t="s">
        <v>114</v>
      </c>
      <c r="P2450" s="9" t="s">
        <v>1409</v>
      </c>
      <c r="Q2450" s="11"/>
      <c r="R2450" s="11"/>
      <c r="S2450" s="11"/>
      <c r="T2450" s="9"/>
      <c r="U2450" s="14" t="s">
        <v>77</v>
      </c>
      <c r="V2450" s="9"/>
      <c r="W2450" s="12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3"/>
      <c r="AJ2450" s="13">
        <f t="shared" si="231"/>
        <v>0</v>
      </c>
      <c r="AK2450" s="12"/>
      <c r="AL2450" s="13"/>
      <c r="AM2450" s="9"/>
      <c r="AN2450" s="9"/>
      <c r="AO2450" s="9"/>
      <c r="AP2450" s="14"/>
    </row>
    <row r="2451" spans="1:42" s="45" customFormat="1" ht="22" customHeight="1">
      <c r="A2451" s="14" t="s">
        <v>17</v>
      </c>
      <c r="B2451" s="8">
        <v>2024</v>
      </c>
      <c r="C2451" s="8" t="s">
        <v>24</v>
      </c>
      <c r="D2451" s="9" t="s">
        <v>185</v>
      </c>
      <c r="E2451" s="9" t="s">
        <v>115</v>
      </c>
      <c r="F2451" s="9" t="s">
        <v>434</v>
      </c>
      <c r="G2451" s="8"/>
      <c r="H2451" s="8"/>
      <c r="I2451" s="9" t="s">
        <v>11</v>
      </c>
      <c r="J2451" s="9" t="s">
        <v>11</v>
      </c>
      <c r="K2451" s="9" t="s">
        <v>82</v>
      </c>
      <c r="L2451" s="9" t="s">
        <v>171</v>
      </c>
      <c r="M2451" s="9" t="s">
        <v>114</v>
      </c>
      <c r="N2451" s="9" t="s">
        <v>861</v>
      </c>
      <c r="O2451" s="9" t="s">
        <v>114</v>
      </c>
      <c r="P2451" s="9" t="s">
        <v>1410</v>
      </c>
      <c r="Q2451" s="11"/>
      <c r="R2451" s="11"/>
      <c r="S2451" s="11"/>
      <c r="T2451" s="9"/>
      <c r="U2451" s="14" t="s">
        <v>77</v>
      </c>
      <c r="V2451" s="9"/>
      <c r="W2451" s="12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>
        <f t="shared" si="231"/>
        <v>0</v>
      </c>
      <c r="AK2451" s="12"/>
      <c r="AL2451" s="13"/>
      <c r="AM2451" s="9"/>
      <c r="AN2451" s="9"/>
      <c r="AO2451" s="9"/>
      <c r="AP2451" s="14"/>
    </row>
    <row r="2452" spans="1:42" s="45" customFormat="1" ht="22" customHeight="1">
      <c r="A2452" s="14" t="s">
        <v>17</v>
      </c>
      <c r="B2452" s="8">
        <v>2024</v>
      </c>
      <c r="C2452" s="8" t="s">
        <v>24</v>
      </c>
      <c r="D2452" s="9" t="s">
        <v>185</v>
      </c>
      <c r="E2452" s="9" t="s">
        <v>115</v>
      </c>
      <c r="F2452" s="9" t="s">
        <v>434</v>
      </c>
      <c r="G2452" s="8"/>
      <c r="H2452" s="8"/>
      <c r="I2452" s="9" t="s">
        <v>11</v>
      </c>
      <c r="J2452" s="9" t="s">
        <v>11</v>
      </c>
      <c r="K2452" s="9" t="s">
        <v>82</v>
      </c>
      <c r="L2452" s="9" t="s">
        <v>171</v>
      </c>
      <c r="M2452" s="9" t="s">
        <v>114</v>
      </c>
      <c r="N2452" s="9" t="s">
        <v>861</v>
      </c>
      <c r="O2452" s="9" t="s">
        <v>114</v>
      </c>
      <c r="P2452" s="9" t="s">
        <v>1411</v>
      </c>
      <c r="Q2452" s="11"/>
      <c r="R2452" s="11"/>
      <c r="S2452" s="11"/>
      <c r="T2452" s="9"/>
      <c r="U2452" s="14" t="s">
        <v>77</v>
      </c>
      <c r="V2452" s="9"/>
      <c r="W2452" s="12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>
        <f t="shared" si="231"/>
        <v>0</v>
      </c>
      <c r="AK2452" s="12"/>
      <c r="AL2452" s="13"/>
      <c r="AM2452" s="9"/>
      <c r="AN2452" s="9"/>
      <c r="AO2452" s="9"/>
      <c r="AP2452" s="14"/>
    </row>
    <row r="2453" spans="1:42" s="45" customFormat="1" ht="22" customHeight="1">
      <c r="A2453" s="14" t="s">
        <v>17</v>
      </c>
      <c r="B2453" s="8">
        <v>2024</v>
      </c>
      <c r="C2453" s="8" t="s">
        <v>24</v>
      </c>
      <c r="D2453" s="9" t="s">
        <v>185</v>
      </c>
      <c r="E2453" s="9" t="s">
        <v>115</v>
      </c>
      <c r="F2453" s="9" t="s">
        <v>434</v>
      </c>
      <c r="G2453" s="8"/>
      <c r="H2453" s="8"/>
      <c r="I2453" s="9" t="s">
        <v>11</v>
      </c>
      <c r="J2453" s="9" t="s">
        <v>11</v>
      </c>
      <c r="K2453" s="9" t="s">
        <v>82</v>
      </c>
      <c r="L2453" s="9" t="s">
        <v>171</v>
      </c>
      <c r="M2453" s="9" t="s">
        <v>114</v>
      </c>
      <c r="N2453" s="9" t="s">
        <v>861</v>
      </c>
      <c r="O2453" s="9" t="s">
        <v>1412</v>
      </c>
      <c r="P2453" s="9" t="s">
        <v>1413</v>
      </c>
      <c r="Q2453" s="11"/>
      <c r="R2453" s="11"/>
      <c r="S2453" s="11"/>
      <c r="T2453" s="9"/>
      <c r="U2453" s="14" t="s">
        <v>77</v>
      </c>
      <c r="V2453" s="9"/>
      <c r="W2453" s="12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>
        <f t="shared" si="231"/>
        <v>0</v>
      </c>
      <c r="AK2453" s="12"/>
      <c r="AL2453" s="13"/>
      <c r="AM2453" s="9"/>
      <c r="AN2453" s="9"/>
      <c r="AO2453" s="9"/>
      <c r="AP2453" s="14"/>
    </row>
    <row r="2454" spans="1:42" s="45" customFormat="1" ht="22" customHeight="1">
      <c r="A2454" s="14" t="s">
        <v>17</v>
      </c>
      <c r="B2454" s="8">
        <v>2024</v>
      </c>
      <c r="C2454" s="8" t="s">
        <v>24</v>
      </c>
      <c r="D2454" s="9" t="s">
        <v>185</v>
      </c>
      <c r="E2454" s="9" t="s">
        <v>115</v>
      </c>
      <c r="F2454" s="9" t="s">
        <v>434</v>
      </c>
      <c r="G2454" s="8"/>
      <c r="H2454" s="8"/>
      <c r="I2454" s="9" t="s">
        <v>11</v>
      </c>
      <c r="J2454" s="9" t="s">
        <v>11</v>
      </c>
      <c r="K2454" s="9" t="s">
        <v>82</v>
      </c>
      <c r="L2454" s="9" t="s">
        <v>171</v>
      </c>
      <c r="M2454" s="9" t="s">
        <v>114</v>
      </c>
      <c r="N2454" s="9" t="s">
        <v>861</v>
      </c>
      <c r="O2454" s="9" t="s">
        <v>1412</v>
      </c>
      <c r="P2454" s="9" t="s">
        <v>1414</v>
      </c>
      <c r="Q2454" s="11"/>
      <c r="R2454" s="11"/>
      <c r="S2454" s="11"/>
      <c r="T2454" s="9"/>
      <c r="U2454" s="14" t="s">
        <v>77</v>
      </c>
      <c r="V2454" s="9"/>
      <c r="W2454" s="12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>
        <f t="shared" si="231"/>
        <v>0</v>
      </c>
      <c r="AK2454" s="12"/>
      <c r="AL2454" s="13"/>
      <c r="AM2454" s="9"/>
      <c r="AN2454" s="9"/>
      <c r="AO2454" s="9"/>
      <c r="AP2454" s="14"/>
    </row>
    <row r="2455" spans="1:42" s="45" customFormat="1" ht="22" customHeight="1">
      <c r="A2455" s="14" t="s">
        <v>17</v>
      </c>
      <c r="B2455" s="8">
        <v>2024</v>
      </c>
      <c r="C2455" s="8" t="s">
        <v>24</v>
      </c>
      <c r="D2455" s="9" t="s">
        <v>185</v>
      </c>
      <c r="E2455" s="9" t="s">
        <v>115</v>
      </c>
      <c r="F2455" s="9" t="s">
        <v>434</v>
      </c>
      <c r="G2455" s="8"/>
      <c r="H2455" s="8"/>
      <c r="I2455" s="9" t="s">
        <v>11</v>
      </c>
      <c r="J2455" s="9" t="s">
        <v>11</v>
      </c>
      <c r="K2455" s="9" t="s">
        <v>82</v>
      </c>
      <c r="L2455" s="9" t="s">
        <v>171</v>
      </c>
      <c r="M2455" s="9" t="s">
        <v>114</v>
      </c>
      <c r="N2455" s="9" t="s">
        <v>861</v>
      </c>
      <c r="O2455" s="9" t="s">
        <v>1412</v>
      </c>
      <c r="P2455" s="9" t="s">
        <v>1415</v>
      </c>
      <c r="Q2455" s="11"/>
      <c r="R2455" s="11"/>
      <c r="S2455" s="11"/>
      <c r="T2455" s="9"/>
      <c r="U2455" s="14" t="s">
        <v>77</v>
      </c>
      <c r="V2455" s="9"/>
      <c r="W2455" s="12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3"/>
      <c r="AJ2455" s="13">
        <f t="shared" si="231"/>
        <v>0</v>
      </c>
      <c r="AK2455" s="12"/>
      <c r="AL2455" s="13"/>
      <c r="AM2455" s="9"/>
      <c r="AN2455" s="9"/>
      <c r="AO2455" s="9"/>
      <c r="AP2455" s="14"/>
    </row>
    <row r="2456" spans="1:42" s="45" customFormat="1" ht="22" customHeight="1">
      <c r="A2456" s="14" t="s">
        <v>17</v>
      </c>
      <c r="B2456" s="8">
        <v>2024</v>
      </c>
      <c r="C2456" s="8" t="s">
        <v>24</v>
      </c>
      <c r="D2456" s="9" t="s">
        <v>185</v>
      </c>
      <c r="E2456" s="9" t="s">
        <v>115</v>
      </c>
      <c r="F2456" s="9" t="s">
        <v>434</v>
      </c>
      <c r="G2456" s="8"/>
      <c r="H2456" s="8"/>
      <c r="I2456" s="9" t="s">
        <v>11</v>
      </c>
      <c r="J2456" s="9" t="s">
        <v>11</v>
      </c>
      <c r="K2456" s="9" t="s">
        <v>82</v>
      </c>
      <c r="L2456" s="9" t="s">
        <v>171</v>
      </c>
      <c r="M2456" s="9" t="s">
        <v>114</v>
      </c>
      <c r="N2456" s="9" t="s">
        <v>861</v>
      </c>
      <c r="O2456" s="9" t="s">
        <v>1412</v>
      </c>
      <c r="P2456" s="9" t="s">
        <v>1416</v>
      </c>
      <c r="Q2456" s="11"/>
      <c r="R2456" s="11"/>
      <c r="S2456" s="11"/>
      <c r="T2456" s="9"/>
      <c r="U2456" s="14" t="s">
        <v>77</v>
      </c>
      <c r="V2456" s="9"/>
      <c r="W2456" s="12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>
        <f t="shared" si="231"/>
        <v>0</v>
      </c>
      <c r="AK2456" s="12"/>
      <c r="AL2456" s="13"/>
      <c r="AM2456" s="9"/>
      <c r="AN2456" s="9"/>
      <c r="AO2456" s="9"/>
      <c r="AP2456" s="14"/>
    </row>
    <row r="2457" spans="1:42" s="45" customFormat="1" ht="22" customHeight="1">
      <c r="A2457" s="14" t="s">
        <v>17</v>
      </c>
      <c r="B2457" s="8">
        <v>2024</v>
      </c>
      <c r="C2457" s="8" t="s">
        <v>24</v>
      </c>
      <c r="D2457" s="9" t="s">
        <v>185</v>
      </c>
      <c r="E2457" s="9" t="s">
        <v>115</v>
      </c>
      <c r="F2457" s="9" t="s">
        <v>434</v>
      </c>
      <c r="G2457" s="8"/>
      <c r="H2457" s="8"/>
      <c r="I2457" s="9" t="s">
        <v>11</v>
      </c>
      <c r="J2457" s="9" t="s">
        <v>11</v>
      </c>
      <c r="K2457" s="9" t="s">
        <v>82</v>
      </c>
      <c r="L2457" s="9" t="s">
        <v>171</v>
      </c>
      <c r="M2457" s="9" t="s">
        <v>114</v>
      </c>
      <c r="N2457" s="9" t="s">
        <v>861</v>
      </c>
      <c r="O2457" s="9" t="s">
        <v>1412</v>
      </c>
      <c r="P2457" s="9" t="s">
        <v>1417</v>
      </c>
      <c r="Q2457" s="11"/>
      <c r="R2457" s="11"/>
      <c r="S2457" s="11"/>
      <c r="T2457" s="9"/>
      <c r="U2457" s="14" t="s">
        <v>77</v>
      </c>
      <c r="V2457" s="9"/>
      <c r="W2457" s="12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3"/>
      <c r="AJ2457" s="13">
        <f t="shared" si="231"/>
        <v>0</v>
      </c>
      <c r="AK2457" s="12"/>
      <c r="AL2457" s="13"/>
      <c r="AM2457" s="9"/>
      <c r="AN2457" s="9"/>
      <c r="AO2457" s="9"/>
      <c r="AP2457" s="14"/>
    </row>
    <row r="2458" spans="1:42" s="45" customFormat="1" ht="22" customHeight="1">
      <c r="A2458" s="14" t="s">
        <v>17</v>
      </c>
      <c r="B2458" s="8">
        <v>2024</v>
      </c>
      <c r="C2458" s="8" t="s">
        <v>24</v>
      </c>
      <c r="D2458" s="9" t="s">
        <v>185</v>
      </c>
      <c r="E2458" s="9" t="s">
        <v>115</v>
      </c>
      <c r="F2458" s="9" t="s">
        <v>434</v>
      </c>
      <c r="G2458" s="8"/>
      <c r="H2458" s="8"/>
      <c r="I2458" s="9" t="s">
        <v>11</v>
      </c>
      <c r="J2458" s="9" t="s">
        <v>11</v>
      </c>
      <c r="K2458" s="9" t="s">
        <v>82</v>
      </c>
      <c r="L2458" s="9" t="s">
        <v>171</v>
      </c>
      <c r="M2458" s="9" t="s">
        <v>114</v>
      </c>
      <c r="N2458" s="9" t="s">
        <v>861</v>
      </c>
      <c r="O2458" s="9" t="s">
        <v>1412</v>
      </c>
      <c r="P2458" s="9" t="s">
        <v>1418</v>
      </c>
      <c r="Q2458" s="11"/>
      <c r="R2458" s="11"/>
      <c r="S2458" s="11"/>
      <c r="T2458" s="9"/>
      <c r="U2458" s="14" t="s">
        <v>77</v>
      </c>
      <c r="V2458" s="9"/>
      <c r="W2458" s="12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3"/>
      <c r="AJ2458" s="13">
        <f t="shared" si="231"/>
        <v>0</v>
      </c>
      <c r="AK2458" s="12"/>
      <c r="AL2458" s="13"/>
      <c r="AM2458" s="9"/>
      <c r="AN2458" s="9"/>
      <c r="AO2458" s="9"/>
      <c r="AP2458" s="14"/>
    </row>
    <row r="2459" spans="1:42" s="45" customFormat="1" ht="22" customHeight="1">
      <c r="A2459" s="14" t="s">
        <v>17</v>
      </c>
      <c r="B2459" s="8">
        <v>2024</v>
      </c>
      <c r="C2459" s="8" t="s">
        <v>24</v>
      </c>
      <c r="D2459" s="9" t="s">
        <v>185</v>
      </c>
      <c r="E2459" s="9" t="s">
        <v>115</v>
      </c>
      <c r="F2459" s="9" t="s">
        <v>434</v>
      </c>
      <c r="G2459" s="8"/>
      <c r="H2459" s="8"/>
      <c r="I2459" s="9" t="s">
        <v>11</v>
      </c>
      <c r="J2459" s="9" t="s">
        <v>11</v>
      </c>
      <c r="K2459" s="9" t="s">
        <v>82</v>
      </c>
      <c r="L2459" s="9" t="s">
        <v>171</v>
      </c>
      <c r="M2459" s="9" t="s">
        <v>114</v>
      </c>
      <c r="N2459" s="9" t="s">
        <v>861</v>
      </c>
      <c r="O2459" s="9" t="s">
        <v>1412</v>
      </c>
      <c r="P2459" s="9" t="s">
        <v>1419</v>
      </c>
      <c r="Q2459" s="11"/>
      <c r="R2459" s="11"/>
      <c r="S2459" s="11"/>
      <c r="T2459" s="9"/>
      <c r="U2459" s="14" t="s">
        <v>77</v>
      </c>
      <c r="V2459" s="9"/>
      <c r="W2459" s="12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>
        <f t="shared" si="231"/>
        <v>0</v>
      </c>
      <c r="AK2459" s="12"/>
      <c r="AL2459" s="13"/>
      <c r="AM2459" s="9"/>
      <c r="AN2459" s="9"/>
      <c r="AO2459" s="9"/>
      <c r="AP2459" s="14"/>
    </row>
    <row r="2460" spans="1:42" s="45" customFormat="1" ht="22" customHeight="1">
      <c r="A2460" s="14" t="s">
        <v>17</v>
      </c>
      <c r="B2460" s="8">
        <v>2024</v>
      </c>
      <c r="C2460" s="8" t="s">
        <v>24</v>
      </c>
      <c r="D2460" s="9" t="s">
        <v>185</v>
      </c>
      <c r="E2460" s="9" t="s">
        <v>115</v>
      </c>
      <c r="F2460" s="9" t="s">
        <v>434</v>
      </c>
      <c r="G2460" s="8"/>
      <c r="H2460" s="8"/>
      <c r="I2460" s="9" t="s">
        <v>11</v>
      </c>
      <c r="J2460" s="9" t="s">
        <v>11</v>
      </c>
      <c r="K2460" s="9" t="s">
        <v>82</v>
      </c>
      <c r="L2460" s="9" t="s">
        <v>171</v>
      </c>
      <c r="M2460" s="9" t="s">
        <v>114</v>
      </c>
      <c r="N2460" s="9" t="s">
        <v>861</v>
      </c>
      <c r="O2460" s="9" t="s">
        <v>1412</v>
      </c>
      <c r="P2460" s="9" t="s">
        <v>1420</v>
      </c>
      <c r="Q2460" s="11"/>
      <c r="R2460" s="11"/>
      <c r="S2460" s="11"/>
      <c r="T2460" s="9"/>
      <c r="U2460" s="14" t="s">
        <v>77</v>
      </c>
      <c r="V2460" s="9"/>
      <c r="W2460" s="12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3"/>
      <c r="AJ2460" s="13">
        <f t="shared" si="231"/>
        <v>0</v>
      </c>
      <c r="AK2460" s="12"/>
      <c r="AL2460" s="13"/>
      <c r="AM2460" s="9"/>
      <c r="AN2460" s="9"/>
      <c r="AO2460" s="9"/>
      <c r="AP2460" s="14"/>
    </row>
    <row r="2461" spans="1:42" s="45" customFormat="1" ht="22" customHeight="1">
      <c r="A2461" s="14" t="s">
        <v>17</v>
      </c>
      <c r="B2461" s="8">
        <v>2024</v>
      </c>
      <c r="C2461" s="8" t="s">
        <v>24</v>
      </c>
      <c r="D2461" s="9" t="s">
        <v>185</v>
      </c>
      <c r="E2461" s="9" t="s">
        <v>115</v>
      </c>
      <c r="F2461" s="9" t="s">
        <v>434</v>
      </c>
      <c r="G2461" s="8"/>
      <c r="H2461" s="8"/>
      <c r="I2461" s="9" t="s">
        <v>11</v>
      </c>
      <c r="J2461" s="9" t="s">
        <v>11</v>
      </c>
      <c r="K2461" s="9" t="s">
        <v>82</v>
      </c>
      <c r="L2461" s="9" t="s">
        <v>171</v>
      </c>
      <c r="M2461" s="9" t="s">
        <v>114</v>
      </c>
      <c r="N2461" s="9" t="s">
        <v>861</v>
      </c>
      <c r="O2461" s="9" t="s">
        <v>1412</v>
      </c>
      <c r="P2461" s="9" t="s">
        <v>1421</v>
      </c>
      <c r="Q2461" s="11"/>
      <c r="R2461" s="11"/>
      <c r="S2461" s="11"/>
      <c r="T2461" s="9"/>
      <c r="U2461" s="14" t="s">
        <v>77</v>
      </c>
      <c r="V2461" s="9"/>
      <c r="W2461" s="12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3"/>
      <c r="AJ2461" s="13">
        <f t="shared" si="231"/>
        <v>0</v>
      </c>
      <c r="AK2461" s="12"/>
      <c r="AL2461" s="13"/>
      <c r="AM2461" s="9"/>
      <c r="AN2461" s="9"/>
      <c r="AO2461" s="9"/>
      <c r="AP2461" s="14"/>
    </row>
    <row r="2462" spans="1:42" s="45" customFormat="1" ht="22" customHeight="1">
      <c r="A2462" s="14" t="s">
        <v>17</v>
      </c>
      <c r="B2462" s="8">
        <v>2024</v>
      </c>
      <c r="C2462" s="8" t="s">
        <v>24</v>
      </c>
      <c r="D2462" s="9" t="s">
        <v>185</v>
      </c>
      <c r="E2462" s="9" t="s">
        <v>115</v>
      </c>
      <c r="F2462" s="9" t="s">
        <v>434</v>
      </c>
      <c r="G2462" s="8"/>
      <c r="H2462" s="8"/>
      <c r="I2462" s="9" t="s">
        <v>11</v>
      </c>
      <c r="J2462" s="9" t="s">
        <v>11</v>
      </c>
      <c r="K2462" s="9" t="s">
        <v>82</v>
      </c>
      <c r="L2462" s="9" t="s">
        <v>171</v>
      </c>
      <c r="M2462" s="9" t="s">
        <v>114</v>
      </c>
      <c r="N2462" s="9" t="s">
        <v>861</v>
      </c>
      <c r="O2462" s="9" t="s">
        <v>1412</v>
      </c>
      <c r="P2462" s="9" t="s">
        <v>1422</v>
      </c>
      <c r="Q2462" s="11"/>
      <c r="R2462" s="11"/>
      <c r="S2462" s="11"/>
      <c r="T2462" s="9"/>
      <c r="U2462" s="14" t="s">
        <v>77</v>
      </c>
      <c r="V2462" s="9"/>
      <c r="W2462" s="12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>
        <f t="shared" si="231"/>
        <v>0</v>
      </c>
      <c r="AK2462" s="12"/>
      <c r="AL2462" s="13"/>
      <c r="AM2462" s="9"/>
      <c r="AN2462" s="9"/>
      <c r="AO2462" s="9"/>
      <c r="AP2462" s="14"/>
    </row>
    <row r="2463" spans="1:42" s="45" customFormat="1" ht="22" customHeight="1">
      <c r="A2463" s="14" t="s">
        <v>17</v>
      </c>
      <c r="B2463" s="8">
        <v>2024</v>
      </c>
      <c r="C2463" s="8" t="s">
        <v>24</v>
      </c>
      <c r="D2463" s="9" t="s">
        <v>185</v>
      </c>
      <c r="E2463" s="9" t="s">
        <v>115</v>
      </c>
      <c r="F2463" s="9" t="s">
        <v>434</v>
      </c>
      <c r="G2463" s="8"/>
      <c r="H2463" s="8"/>
      <c r="I2463" s="9" t="s">
        <v>11</v>
      </c>
      <c r="J2463" s="9" t="s">
        <v>11</v>
      </c>
      <c r="K2463" s="9" t="s">
        <v>82</v>
      </c>
      <c r="L2463" s="9" t="s">
        <v>171</v>
      </c>
      <c r="M2463" s="9" t="s">
        <v>114</v>
      </c>
      <c r="N2463" s="9" t="s">
        <v>861</v>
      </c>
      <c r="O2463" s="9" t="s">
        <v>1412</v>
      </c>
      <c r="P2463" s="9" t="s">
        <v>1423</v>
      </c>
      <c r="Q2463" s="11"/>
      <c r="R2463" s="11"/>
      <c r="S2463" s="11"/>
      <c r="T2463" s="9"/>
      <c r="U2463" s="14" t="s">
        <v>77</v>
      </c>
      <c r="V2463" s="9"/>
      <c r="W2463" s="12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>
        <f t="shared" si="231"/>
        <v>0</v>
      </c>
      <c r="AK2463" s="12"/>
      <c r="AL2463" s="13"/>
      <c r="AM2463" s="9"/>
      <c r="AN2463" s="9"/>
      <c r="AO2463" s="9"/>
      <c r="AP2463" s="14"/>
    </row>
    <row r="2464" spans="1:42" s="45" customFormat="1" ht="22" customHeight="1">
      <c r="A2464" s="14" t="s">
        <v>17</v>
      </c>
      <c r="B2464" s="8">
        <v>2024</v>
      </c>
      <c r="C2464" s="8" t="s">
        <v>24</v>
      </c>
      <c r="D2464" s="9" t="s">
        <v>185</v>
      </c>
      <c r="E2464" s="9" t="s">
        <v>115</v>
      </c>
      <c r="F2464" s="9" t="s">
        <v>434</v>
      </c>
      <c r="G2464" s="8"/>
      <c r="H2464" s="8"/>
      <c r="I2464" s="9" t="s">
        <v>11</v>
      </c>
      <c r="J2464" s="9" t="s">
        <v>11</v>
      </c>
      <c r="K2464" s="9" t="s">
        <v>82</v>
      </c>
      <c r="L2464" s="9" t="s">
        <v>171</v>
      </c>
      <c r="M2464" s="9" t="s">
        <v>114</v>
      </c>
      <c r="N2464" s="9" t="s">
        <v>861</v>
      </c>
      <c r="O2464" s="9" t="s">
        <v>1412</v>
      </c>
      <c r="P2464" s="9" t="s">
        <v>1381</v>
      </c>
      <c r="Q2464" s="11"/>
      <c r="R2464" s="11"/>
      <c r="S2464" s="11"/>
      <c r="T2464" s="9"/>
      <c r="U2464" s="14" t="s">
        <v>77</v>
      </c>
      <c r="V2464" s="9"/>
      <c r="W2464" s="12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3"/>
      <c r="AJ2464" s="13">
        <f t="shared" si="231"/>
        <v>0</v>
      </c>
      <c r="AK2464" s="12"/>
      <c r="AL2464" s="13"/>
      <c r="AM2464" s="9"/>
      <c r="AN2464" s="9"/>
      <c r="AO2464" s="9"/>
      <c r="AP2464" s="14"/>
    </row>
    <row r="2465" spans="1:42" s="45" customFormat="1" ht="22" customHeight="1">
      <c r="A2465" s="14" t="s">
        <v>17</v>
      </c>
      <c r="B2465" s="8">
        <v>2024</v>
      </c>
      <c r="C2465" s="8" t="s">
        <v>24</v>
      </c>
      <c r="D2465" s="9" t="s">
        <v>185</v>
      </c>
      <c r="E2465" s="9" t="s">
        <v>115</v>
      </c>
      <c r="F2465" s="9" t="s">
        <v>434</v>
      </c>
      <c r="G2465" s="8"/>
      <c r="H2465" s="8"/>
      <c r="I2465" s="9" t="s">
        <v>11</v>
      </c>
      <c r="J2465" s="9" t="s">
        <v>11</v>
      </c>
      <c r="K2465" s="9" t="s">
        <v>82</v>
      </c>
      <c r="L2465" s="9" t="s">
        <v>171</v>
      </c>
      <c r="M2465" s="9" t="s">
        <v>114</v>
      </c>
      <c r="N2465" s="9" t="s">
        <v>861</v>
      </c>
      <c r="O2465" s="9" t="s">
        <v>1412</v>
      </c>
      <c r="P2465" s="9" t="s">
        <v>1424</v>
      </c>
      <c r="Q2465" s="11"/>
      <c r="R2465" s="11"/>
      <c r="S2465" s="11"/>
      <c r="T2465" s="9"/>
      <c r="U2465" s="14" t="s">
        <v>77</v>
      </c>
      <c r="V2465" s="9"/>
      <c r="W2465" s="12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3"/>
      <c r="AJ2465" s="13">
        <f t="shared" si="231"/>
        <v>0</v>
      </c>
      <c r="AK2465" s="12"/>
      <c r="AL2465" s="13"/>
      <c r="AM2465" s="9"/>
      <c r="AN2465" s="9"/>
      <c r="AO2465" s="9"/>
      <c r="AP2465" s="14"/>
    </row>
    <row r="2466" spans="1:42" s="45" customFormat="1" ht="22" customHeight="1">
      <c r="A2466" s="14" t="s">
        <v>17</v>
      </c>
      <c r="B2466" s="8">
        <v>2024</v>
      </c>
      <c r="C2466" s="8" t="s">
        <v>24</v>
      </c>
      <c r="D2466" s="9" t="s">
        <v>185</v>
      </c>
      <c r="E2466" s="9" t="s">
        <v>115</v>
      </c>
      <c r="F2466" s="9" t="s">
        <v>434</v>
      </c>
      <c r="G2466" s="8"/>
      <c r="H2466" s="8"/>
      <c r="I2466" s="9" t="s">
        <v>11</v>
      </c>
      <c r="J2466" s="9" t="s">
        <v>11</v>
      </c>
      <c r="K2466" s="9" t="s">
        <v>82</v>
      </c>
      <c r="L2466" s="9" t="s">
        <v>171</v>
      </c>
      <c r="M2466" s="9" t="s">
        <v>114</v>
      </c>
      <c r="N2466" s="9" t="s">
        <v>861</v>
      </c>
      <c r="O2466" s="9" t="s">
        <v>1412</v>
      </c>
      <c r="P2466" s="9" t="s">
        <v>1425</v>
      </c>
      <c r="Q2466" s="11"/>
      <c r="R2466" s="11"/>
      <c r="S2466" s="11"/>
      <c r="T2466" s="9"/>
      <c r="U2466" s="14" t="s">
        <v>77</v>
      </c>
      <c r="V2466" s="9"/>
      <c r="W2466" s="12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>
        <f t="shared" si="231"/>
        <v>0</v>
      </c>
      <c r="AK2466" s="12"/>
      <c r="AL2466" s="13"/>
      <c r="AM2466" s="9"/>
      <c r="AN2466" s="9"/>
      <c r="AO2466" s="9"/>
      <c r="AP2466" s="14"/>
    </row>
    <row r="2467" spans="1:42" s="45" customFormat="1" ht="22" customHeight="1">
      <c r="A2467" s="14" t="s">
        <v>17</v>
      </c>
      <c r="B2467" s="8">
        <v>2024</v>
      </c>
      <c r="C2467" s="8" t="s">
        <v>24</v>
      </c>
      <c r="D2467" s="9" t="s">
        <v>185</v>
      </c>
      <c r="E2467" s="9" t="s">
        <v>115</v>
      </c>
      <c r="F2467" s="9" t="s">
        <v>434</v>
      </c>
      <c r="G2467" s="8"/>
      <c r="H2467" s="8"/>
      <c r="I2467" s="9" t="s">
        <v>11</v>
      </c>
      <c r="J2467" s="9" t="s">
        <v>11</v>
      </c>
      <c r="K2467" s="9" t="s">
        <v>82</v>
      </c>
      <c r="L2467" s="9" t="s">
        <v>171</v>
      </c>
      <c r="M2467" s="9" t="s">
        <v>114</v>
      </c>
      <c r="N2467" s="9" t="s">
        <v>861</v>
      </c>
      <c r="O2467" s="9" t="s">
        <v>1426</v>
      </c>
      <c r="P2467" s="9" t="s">
        <v>559</v>
      </c>
      <c r="Q2467" s="11"/>
      <c r="R2467" s="11"/>
      <c r="S2467" s="11"/>
      <c r="T2467" s="9"/>
      <c r="U2467" s="14" t="s">
        <v>77</v>
      </c>
      <c r="V2467" s="9"/>
      <c r="W2467" s="12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3"/>
      <c r="AJ2467" s="13">
        <f t="shared" si="231"/>
        <v>0</v>
      </c>
      <c r="AK2467" s="12"/>
      <c r="AL2467" s="13"/>
      <c r="AM2467" s="9"/>
      <c r="AN2467" s="9"/>
      <c r="AO2467" s="9"/>
      <c r="AP2467" s="14"/>
    </row>
    <row r="2468" spans="1:42" s="45" customFormat="1" ht="22" customHeight="1">
      <c r="A2468" s="14" t="s">
        <v>17</v>
      </c>
      <c r="B2468" s="8">
        <v>2024</v>
      </c>
      <c r="C2468" s="8" t="s">
        <v>24</v>
      </c>
      <c r="D2468" s="9" t="s">
        <v>185</v>
      </c>
      <c r="E2468" s="9" t="s">
        <v>115</v>
      </c>
      <c r="F2468" s="9" t="s">
        <v>434</v>
      </c>
      <c r="G2468" s="8"/>
      <c r="H2468" s="8"/>
      <c r="I2468" s="9" t="s">
        <v>11</v>
      </c>
      <c r="J2468" s="9" t="s">
        <v>11</v>
      </c>
      <c r="K2468" s="9" t="s">
        <v>82</v>
      </c>
      <c r="L2468" s="9" t="s">
        <v>171</v>
      </c>
      <c r="M2468" s="9" t="s">
        <v>114</v>
      </c>
      <c r="N2468" s="9" t="s">
        <v>861</v>
      </c>
      <c r="O2468" s="9" t="s">
        <v>1426</v>
      </c>
      <c r="P2468" s="9" t="s">
        <v>1427</v>
      </c>
      <c r="Q2468" s="11"/>
      <c r="R2468" s="11"/>
      <c r="S2468" s="11"/>
      <c r="T2468" s="9"/>
      <c r="U2468" s="14" t="s">
        <v>77</v>
      </c>
      <c r="V2468" s="9"/>
      <c r="W2468" s="12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>
        <f t="shared" si="231"/>
        <v>0</v>
      </c>
      <c r="AK2468" s="12"/>
      <c r="AL2468" s="13"/>
      <c r="AM2468" s="9"/>
      <c r="AN2468" s="9"/>
      <c r="AO2468" s="9"/>
      <c r="AP2468" s="14"/>
    </row>
    <row r="2469" spans="1:42" s="45" customFormat="1" ht="22" customHeight="1">
      <c r="A2469" s="14" t="s">
        <v>17</v>
      </c>
      <c r="B2469" s="8">
        <v>2024</v>
      </c>
      <c r="C2469" s="8" t="s">
        <v>24</v>
      </c>
      <c r="D2469" s="9" t="s">
        <v>185</v>
      </c>
      <c r="E2469" s="9" t="s">
        <v>115</v>
      </c>
      <c r="F2469" s="9" t="s">
        <v>434</v>
      </c>
      <c r="G2469" s="8"/>
      <c r="H2469" s="8"/>
      <c r="I2469" s="9" t="s">
        <v>11</v>
      </c>
      <c r="J2469" s="9" t="s">
        <v>11</v>
      </c>
      <c r="K2469" s="9" t="s">
        <v>82</v>
      </c>
      <c r="L2469" s="9" t="s">
        <v>171</v>
      </c>
      <c r="M2469" s="9" t="s">
        <v>114</v>
      </c>
      <c r="N2469" s="9" t="s">
        <v>861</v>
      </c>
      <c r="O2469" s="9" t="s">
        <v>1426</v>
      </c>
      <c r="P2469" s="9" t="s">
        <v>1428</v>
      </c>
      <c r="Q2469" s="11"/>
      <c r="R2469" s="11"/>
      <c r="S2469" s="11"/>
      <c r="T2469" s="9"/>
      <c r="U2469" s="14" t="s">
        <v>77</v>
      </c>
      <c r="V2469" s="9"/>
      <c r="W2469" s="12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3"/>
      <c r="AJ2469" s="13">
        <f t="shared" si="231"/>
        <v>0</v>
      </c>
      <c r="AK2469" s="12"/>
      <c r="AL2469" s="13"/>
      <c r="AM2469" s="9"/>
      <c r="AN2469" s="9"/>
      <c r="AO2469" s="9"/>
      <c r="AP2469" s="14"/>
    </row>
    <row r="2470" spans="1:42" s="45" customFormat="1" ht="22" customHeight="1">
      <c r="A2470" s="14" t="s">
        <v>17</v>
      </c>
      <c r="B2470" s="8">
        <v>2024</v>
      </c>
      <c r="C2470" s="8" t="s">
        <v>24</v>
      </c>
      <c r="D2470" s="9" t="s">
        <v>185</v>
      </c>
      <c r="E2470" s="9" t="s">
        <v>115</v>
      </c>
      <c r="F2470" s="9" t="s">
        <v>434</v>
      </c>
      <c r="G2470" s="8"/>
      <c r="H2470" s="8"/>
      <c r="I2470" s="9" t="s">
        <v>11</v>
      </c>
      <c r="J2470" s="9" t="s">
        <v>11</v>
      </c>
      <c r="K2470" s="9" t="s">
        <v>82</v>
      </c>
      <c r="L2470" s="9" t="s">
        <v>171</v>
      </c>
      <c r="M2470" s="9" t="s">
        <v>114</v>
      </c>
      <c r="N2470" s="9" t="s">
        <v>861</v>
      </c>
      <c r="O2470" s="9" t="s">
        <v>1426</v>
      </c>
      <c r="P2470" s="9" t="s">
        <v>1429</v>
      </c>
      <c r="Q2470" s="11"/>
      <c r="R2470" s="11"/>
      <c r="S2470" s="11"/>
      <c r="T2470" s="9"/>
      <c r="U2470" s="14" t="s">
        <v>77</v>
      </c>
      <c r="V2470" s="9"/>
      <c r="W2470" s="12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3"/>
      <c r="AJ2470" s="13">
        <f t="shared" si="231"/>
        <v>0</v>
      </c>
      <c r="AK2470" s="12"/>
      <c r="AL2470" s="13"/>
      <c r="AM2470" s="9"/>
      <c r="AN2470" s="9"/>
      <c r="AO2470" s="9"/>
      <c r="AP2470" s="14"/>
    </row>
    <row r="2471" spans="1:42" s="45" customFormat="1" ht="22" customHeight="1">
      <c r="A2471" s="14" t="s">
        <v>17</v>
      </c>
      <c r="B2471" s="8">
        <v>2024</v>
      </c>
      <c r="C2471" s="8" t="s">
        <v>24</v>
      </c>
      <c r="D2471" s="9" t="s">
        <v>185</v>
      </c>
      <c r="E2471" s="9" t="s">
        <v>115</v>
      </c>
      <c r="F2471" s="9" t="s">
        <v>434</v>
      </c>
      <c r="G2471" s="8"/>
      <c r="H2471" s="8"/>
      <c r="I2471" s="9" t="s">
        <v>11</v>
      </c>
      <c r="J2471" s="9" t="s">
        <v>11</v>
      </c>
      <c r="K2471" s="9" t="s">
        <v>82</v>
      </c>
      <c r="L2471" s="9" t="s">
        <v>171</v>
      </c>
      <c r="M2471" s="9" t="s">
        <v>114</v>
      </c>
      <c r="N2471" s="9" t="s">
        <v>861</v>
      </c>
      <c r="O2471" s="9" t="s">
        <v>1426</v>
      </c>
      <c r="P2471" s="9" t="s">
        <v>1430</v>
      </c>
      <c r="Q2471" s="11"/>
      <c r="R2471" s="11"/>
      <c r="S2471" s="11"/>
      <c r="T2471" s="9"/>
      <c r="U2471" s="14" t="s">
        <v>77</v>
      </c>
      <c r="V2471" s="9"/>
      <c r="W2471" s="12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3"/>
      <c r="AJ2471" s="13">
        <f t="shared" si="231"/>
        <v>0</v>
      </c>
      <c r="AK2471" s="12"/>
      <c r="AL2471" s="13"/>
      <c r="AM2471" s="9"/>
      <c r="AN2471" s="9"/>
      <c r="AO2471" s="9"/>
      <c r="AP2471" s="14"/>
    </row>
    <row r="2472" spans="1:42" s="45" customFormat="1" ht="22" customHeight="1">
      <c r="A2472" s="14" t="s">
        <v>17</v>
      </c>
      <c r="B2472" s="8">
        <v>2024</v>
      </c>
      <c r="C2472" s="8" t="s">
        <v>24</v>
      </c>
      <c r="D2472" s="9" t="s">
        <v>185</v>
      </c>
      <c r="E2472" s="9" t="s">
        <v>115</v>
      </c>
      <c r="F2472" s="9" t="s">
        <v>434</v>
      </c>
      <c r="G2472" s="8"/>
      <c r="H2472" s="8"/>
      <c r="I2472" s="9" t="s">
        <v>11</v>
      </c>
      <c r="J2472" s="9" t="s">
        <v>11</v>
      </c>
      <c r="K2472" s="9" t="s">
        <v>82</v>
      </c>
      <c r="L2472" s="9" t="s">
        <v>171</v>
      </c>
      <c r="M2472" s="9" t="s">
        <v>114</v>
      </c>
      <c r="N2472" s="9" t="s">
        <v>861</v>
      </c>
      <c r="O2472" s="9" t="s">
        <v>1426</v>
      </c>
      <c r="P2472" s="9" t="s">
        <v>1431</v>
      </c>
      <c r="Q2472" s="11"/>
      <c r="R2472" s="11"/>
      <c r="S2472" s="11"/>
      <c r="T2472" s="9"/>
      <c r="U2472" s="14" t="s">
        <v>77</v>
      </c>
      <c r="V2472" s="9"/>
      <c r="W2472" s="12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3"/>
      <c r="AJ2472" s="13">
        <f t="shared" si="231"/>
        <v>0</v>
      </c>
      <c r="AK2472" s="12"/>
      <c r="AL2472" s="13"/>
      <c r="AM2472" s="9"/>
      <c r="AN2472" s="9"/>
      <c r="AO2472" s="9"/>
      <c r="AP2472" s="14"/>
    </row>
    <row r="2473" spans="1:42" s="45" customFormat="1" ht="22" customHeight="1">
      <c r="A2473" s="14" t="s">
        <v>17</v>
      </c>
      <c r="B2473" s="8">
        <v>2024</v>
      </c>
      <c r="C2473" s="8" t="s">
        <v>24</v>
      </c>
      <c r="D2473" s="9" t="s">
        <v>185</v>
      </c>
      <c r="E2473" s="9" t="s">
        <v>115</v>
      </c>
      <c r="F2473" s="9" t="s">
        <v>434</v>
      </c>
      <c r="G2473" s="8"/>
      <c r="H2473" s="8"/>
      <c r="I2473" s="9" t="s">
        <v>11</v>
      </c>
      <c r="J2473" s="9" t="s">
        <v>11</v>
      </c>
      <c r="K2473" s="9" t="s">
        <v>82</v>
      </c>
      <c r="L2473" s="9" t="s">
        <v>171</v>
      </c>
      <c r="M2473" s="9" t="s">
        <v>114</v>
      </c>
      <c r="N2473" s="9" t="s">
        <v>861</v>
      </c>
      <c r="O2473" s="9" t="s">
        <v>1426</v>
      </c>
      <c r="P2473" s="9" t="s">
        <v>1432</v>
      </c>
      <c r="Q2473" s="11"/>
      <c r="R2473" s="11"/>
      <c r="S2473" s="11"/>
      <c r="T2473" s="9"/>
      <c r="U2473" s="14" t="s">
        <v>77</v>
      </c>
      <c r="V2473" s="9"/>
      <c r="W2473" s="12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>
        <f t="shared" si="231"/>
        <v>0</v>
      </c>
      <c r="AK2473" s="12"/>
      <c r="AL2473" s="13"/>
      <c r="AM2473" s="9"/>
      <c r="AN2473" s="9"/>
      <c r="AO2473" s="9"/>
      <c r="AP2473" s="14"/>
    </row>
    <row r="2474" spans="1:42" s="45" customFormat="1" ht="22" customHeight="1">
      <c r="A2474" s="14" t="s">
        <v>17</v>
      </c>
      <c r="B2474" s="8">
        <v>2024</v>
      </c>
      <c r="C2474" s="8" t="s">
        <v>24</v>
      </c>
      <c r="D2474" s="9" t="s">
        <v>185</v>
      </c>
      <c r="E2474" s="9" t="s">
        <v>115</v>
      </c>
      <c r="F2474" s="9" t="s">
        <v>434</v>
      </c>
      <c r="G2474" s="8"/>
      <c r="H2474" s="8"/>
      <c r="I2474" s="9" t="s">
        <v>11</v>
      </c>
      <c r="J2474" s="9" t="s">
        <v>11</v>
      </c>
      <c r="K2474" s="9" t="s">
        <v>82</v>
      </c>
      <c r="L2474" s="9" t="s">
        <v>171</v>
      </c>
      <c r="M2474" s="9" t="s">
        <v>114</v>
      </c>
      <c r="N2474" s="9" t="s">
        <v>861</v>
      </c>
      <c r="O2474" s="9" t="s">
        <v>1426</v>
      </c>
      <c r="P2474" s="9" t="s">
        <v>976</v>
      </c>
      <c r="Q2474" s="11"/>
      <c r="R2474" s="11"/>
      <c r="S2474" s="11"/>
      <c r="T2474" s="9"/>
      <c r="U2474" s="14" t="s">
        <v>77</v>
      </c>
      <c r="V2474" s="9"/>
      <c r="W2474" s="12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>
        <f t="shared" si="231"/>
        <v>0</v>
      </c>
      <c r="AK2474" s="12"/>
      <c r="AL2474" s="13"/>
      <c r="AM2474" s="9"/>
      <c r="AN2474" s="9"/>
      <c r="AO2474" s="9"/>
      <c r="AP2474" s="14"/>
    </row>
    <row r="2475" spans="1:42" s="45" customFormat="1" ht="22" customHeight="1">
      <c r="A2475" s="14" t="s">
        <v>17</v>
      </c>
      <c r="B2475" s="8">
        <v>2024</v>
      </c>
      <c r="C2475" s="8" t="s">
        <v>24</v>
      </c>
      <c r="D2475" s="9" t="s">
        <v>185</v>
      </c>
      <c r="E2475" s="9" t="s">
        <v>115</v>
      </c>
      <c r="F2475" s="9" t="s">
        <v>434</v>
      </c>
      <c r="G2475" s="8"/>
      <c r="H2475" s="8"/>
      <c r="I2475" s="9" t="s">
        <v>11</v>
      </c>
      <c r="J2475" s="9" t="s">
        <v>11</v>
      </c>
      <c r="K2475" s="9" t="s">
        <v>82</v>
      </c>
      <c r="L2475" s="9" t="s">
        <v>171</v>
      </c>
      <c r="M2475" s="9" t="s">
        <v>114</v>
      </c>
      <c r="N2475" s="9" t="s">
        <v>861</v>
      </c>
      <c r="O2475" s="9" t="s">
        <v>1433</v>
      </c>
      <c r="P2475" s="9" t="s">
        <v>1434</v>
      </c>
      <c r="Q2475" s="11"/>
      <c r="R2475" s="11"/>
      <c r="S2475" s="11"/>
      <c r="T2475" s="9"/>
      <c r="U2475" s="14" t="s">
        <v>77</v>
      </c>
      <c r="V2475" s="9"/>
      <c r="W2475" s="12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>
        <f t="shared" si="231"/>
        <v>0</v>
      </c>
      <c r="AK2475" s="12"/>
      <c r="AL2475" s="13"/>
      <c r="AM2475" s="9"/>
      <c r="AN2475" s="9"/>
      <c r="AO2475" s="9"/>
      <c r="AP2475" s="14"/>
    </row>
    <row r="2476" spans="1:42" s="45" customFormat="1" ht="22" customHeight="1">
      <c r="A2476" s="14" t="s">
        <v>17</v>
      </c>
      <c r="B2476" s="8">
        <v>2024</v>
      </c>
      <c r="C2476" s="8" t="s">
        <v>24</v>
      </c>
      <c r="D2476" s="9" t="s">
        <v>185</v>
      </c>
      <c r="E2476" s="9" t="s">
        <v>115</v>
      </c>
      <c r="F2476" s="9" t="s">
        <v>434</v>
      </c>
      <c r="G2476" s="8"/>
      <c r="H2476" s="8"/>
      <c r="I2476" s="9" t="s">
        <v>11</v>
      </c>
      <c r="J2476" s="9" t="s">
        <v>11</v>
      </c>
      <c r="K2476" s="9" t="s">
        <v>82</v>
      </c>
      <c r="L2476" s="9" t="s">
        <v>171</v>
      </c>
      <c r="M2476" s="9" t="s">
        <v>114</v>
      </c>
      <c r="N2476" s="9" t="s">
        <v>861</v>
      </c>
      <c r="O2476" s="9" t="s">
        <v>1433</v>
      </c>
      <c r="P2476" s="9" t="s">
        <v>1435</v>
      </c>
      <c r="Q2476" s="11"/>
      <c r="R2476" s="11"/>
      <c r="S2476" s="11"/>
      <c r="T2476" s="9"/>
      <c r="U2476" s="14" t="s">
        <v>77</v>
      </c>
      <c r="V2476" s="9"/>
      <c r="W2476" s="12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>
        <f t="shared" si="231"/>
        <v>0</v>
      </c>
      <c r="AK2476" s="12"/>
      <c r="AL2476" s="13"/>
      <c r="AM2476" s="9"/>
      <c r="AN2476" s="9"/>
      <c r="AO2476" s="9"/>
      <c r="AP2476" s="14"/>
    </row>
    <row r="2477" spans="1:42" s="45" customFormat="1" ht="22" customHeight="1">
      <c r="A2477" s="14" t="s">
        <v>17</v>
      </c>
      <c r="B2477" s="8">
        <v>2024</v>
      </c>
      <c r="C2477" s="8" t="s">
        <v>24</v>
      </c>
      <c r="D2477" s="9" t="s">
        <v>185</v>
      </c>
      <c r="E2477" s="9" t="s">
        <v>115</v>
      </c>
      <c r="F2477" s="9" t="s">
        <v>434</v>
      </c>
      <c r="G2477" s="8"/>
      <c r="H2477" s="8"/>
      <c r="I2477" s="9" t="s">
        <v>11</v>
      </c>
      <c r="J2477" s="9" t="s">
        <v>11</v>
      </c>
      <c r="K2477" s="9" t="s">
        <v>82</v>
      </c>
      <c r="L2477" s="9" t="s">
        <v>171</v>
      </c>
      <c r="M2477" s="9" t="s">
        <v>114</v>
      </c>
      <c r="N2477" s="9" t="s">
        <v>861</v>
      </c>
      <c r="O2477" s="9" t="s">
        <v>1433</v>
      </c>
      <c r="P2477" s="9" t="s">
        <v>1436</v>
      </c>
      <c r="Q2477" s="11"/>
      <c r="R2477" s="11"/>
      <c r="S2477" s="11"/>
      <c r="T2477" s="9"/>
      <c r="U2477" s="14" t="s">
        <v>77</v>
      </c>
      <c r="V2477" s="9"/>
      <c r="W2477" s="12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>
        <f t="shared" si="231"/>
        <v>0</v>
      </c>
      <c r="AK2477" s="12"/>
      <c r="AL2477" s="13"/>
      <c r="AM2477" s="9"/>
      <c r="AN2477" s="9"/>
      <c r="AO2477" s="9"/>
      <c r="AP2477" s="14"/>
    </row>
    <row r="2478" spans="1:42" s="45" customFormat="1" ht="22" customHeight="1">
      <c r="A2478" s="14" t="s">
        <v>17</v>
      </c>
      <c r="B2478" s="8">
        <v>2024</v>
      </c>
      <c r="C2478" s="8" t="s">
        <v>24</v>
      </c>
      <c r="D2478" s="9" t="s">
        <v>185</v>
      </c>
      <c r="E2478" s="9" t="s">
        <v>115</v>
      </c>
      <c r="F2478" s="9" t="s">
        <v>434</v>
      </c>
      <c r="G2478" s="8"/>
      <c r="H2478" s="8"/>
      <c r="I2478" s="9" t="s">
        <v>11</v>
      </c>
      <c r="J2478" s="9" t="s">
        <v>11</v>
      </c>
      <c r="K2478" s="9" t="s">
        <v>82</v>
      </c>
      <c r="L2478" s="9" t="s">
        <v>171</v>
      </c>
      <c r="M2478" s="9" t="s">
        <v>114</v>
      </c>
      <c r="N2478" s="9" t="s">
        <v>861</v>
      </c>
      <c r="O2478" s="9" t="s">
        <v>1433</v>
      </c>
      <c r="P2478" s="9" t="s">
        <v>1437</v>
      </c>
      <c r="Q2478" s="11"/>
      <c r="R2478" s="11"/>
      <c r="S2478" s="11"/>
      <c r="T2478" s="9"/>
      <c r="U2478" s="14" t="s">
        <v>77</v>
      </c>
      <c r="V2478" s="9"/>
      <c r="W2478" s="12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>
        <f t="shared" ref="AJ2478:AJ2498" si="232">SUBTOTAL(9,X2478:AI2478)</f>
        <v>0</v>
      </c>
      <c r="AK2478" s="12"/>
      <c r="AL2478" s="13"/>
      <c r="AM2478" s="9"/>
      <c r="AN2478" s="9"/>
      <c r="AO2478" s="9"/>
      <c r="AP2478" s="14"/>
    </row>
    <row r="2479" spans="1:42" s="45" customFormat="1" ht="22" customHeight="1">
      <c r="A2479" s="14" t="s">
        <v>17</v>
      </c>
      <c r="B2479" s="8">
        <v>2024</v>
      </c>
      <c r="C2479" s="8" t="s">
        <v>24</v>
      </c>
      <c r="D2479" s="9" t="s">
        <v>185</v>
      </c>
      <c r="E2479" s="9" t="s">
        <v>115</v>
      </c>
      <c r="F2479" s="9" t="s">
        <v>434</v>
      </c>
      <c r="G2479" s="8"/>
      <c r="H2479" s="8"/>
      <c r="I2479" s="9" t="s">
        <v>11</v>
      </c>
      <c r="J2479" s="9" t="s">
        <v>11</v>
      </c>
      <c r="K2479" s="9" t="s">
        <v>82</v>
      </c>
      <c r="L2479" s="9" t="s">
        <v>171</v>
      </c>
      <c r="M2479" s="9" t="s">
        <v>114</v>
      </c>
      <c r="N2479" s="9" t="s">
        <v>861</v>
      </c>
      <c r="O2479" s="9" t="s">
        <v>1438</v>
      </c>
      <c r="P2479" s="9" t="s">
        <v>1439</v>
      </c>
      <c r="Q2479" s="11"/>
      <c r="R2479" s="11"/>
      <c r="S2479" s="11"/>
      <c r="T2479" s="9"/>
      <c r="U2479" s="14" t="s">
        <v>77</v>
      </c>
      <c r="V2479" s="9"/>
      <c r="W2479" s="12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>
        <f t="shared" si="232"/>
        <v>0</v>
      </c>
      <c r="AK2479" s="12"/>
      <c r="AL2479" s="13"/>
      <c r="AM2479" s="9"/>
      <c r="AN2479" s="9"/>
      <c r="AO2479" s="9"/>
      <c r="AP2479" s="14"/>
    </row>
    <row r="2480" spans="1:42" s="45" customFormat="1" ht="22" customHeight="1">
      <c r="A2480" s="14" t="s">
        <v>17</v>
      </c>
      <c r="B2480" s="8">
        <v>2024</v>
      </c>
      <c r="C2480" s="8" t="s">
        <v>24</v>
      </c>
      <c r="D2480" s="9" t="s">
        <v>185</v>
      </c>
      <c r="E2480" s="9" t="s">
        <v>115</v>
      </c>
      <c r="F2480" s="9" t="s">
        <v>434</v>
      </c>
      <c r="G2480" s="8"/>
      <c r="H2480" s="8"/>
      <c r="I2480" s="9" t="s">
        <v>11</v>
      </c>
      <c r="J2480" s="9" t="s">
        <v>11</v>
      </c>
      <c r="K2480" s="9" t="s">
        <v>82</v>
      </c>
      <c r="L2480" s="9" t="s">
        <v>171</v>
      </c>
      <c r="M2480" s="9" t="s">
        <v>114</v>
      </c>
      <c r="N2480" s="9" t="s">
        <v>861</v>
      </c>
      <c r="O2480" s="9" t="s">
        <v>1438</v>
      </c>
      <c r="P2480" s="9" t="s">
        <v>1440</v>
      </c>
      <c r="Q2480" s="11"/>
      <c r="R2480" s="11"/>
      <c r="S2480" s="11"/>
      <c r="T2480" s="9"/>
      <c r="U2480" s="14" t="s">
        <v>77</v>
      </c>
      <c r="V2480" s="9"/>
      <c r="W2480" s="12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>
        <f t="shared" si="232"/>
        <v>0</v>
      </c>
      <c r="AK2480" s="12"/>
      <c r="AL2480" s="13"/>
      <c r="AM2480" s="9"/>
      <c r="AN2480" s="9"/>
      <c r="AO2480" s="9"/>
      <c r="AP2480" s="14"/>
    </row>
    <row r="2481" spans="1:42" s="45" customFormat="1" ht="22" customHeight="1">
      <c r="A2481" s="14" t="s">
        <v>17</v>
      </c>
      <c r="B2481" s="8">
        <v>2024</v>
      </c>
      <c r="C2481" s="8" t="s">
        <v>24</v>
      </c>
      <c r="D2481" s="9" t="s">
        <v>185</v>
      </c>
      <c r="E2481" s="9" t="s">
        <v>115</v>
      </c>
      <c r="F2481" s="9" t="s">
        <v>434</v>
      </c>
      <c r="G2481" s="8"/>
      <c r="H2481" s="8"/>
      <c r="I2481" s="9" t="s">
        <v>11</v>
      </c>
      <c r="J2481" s="9" t="s">
        <v>11</v>
      </c>
      <c r="K2481" s="9" t="s">
        <v>82</v>
      </c>
      <c r="L2481" s="9" t="s">
        <v>171</v>
      </c>
      <c r="M2481" s="9" t="s">
        <v>114</v>
      </c>
      <c r="N2481" s="9" t="s">
        <v>861</v>
      </c>
      <c r="O2481" s="9" t="s">
        <v>1438</v>
      </c>
      <c r="P2481" s="9" t="s">
        <v>1441</v>
      </c>
      <c r="Q2481" s="11"/>
      <c r="R2481" s="11"/>
      <c r="S2481" s="11"/>
      <c r="T2481" s="9"/>
      <c r="U2481" s="14" t="s">
        <v>77</v>
      </c>
      <c r="V2481" s="9"/>
      <c r="W2481" s="12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>
        <f t="shared" si="232"/>
        <v>0</v>
      </c>
      <c r="AK2481" s="12"/>
      <c r="AL2481" s="13"/>
      <c r="AM2481" s="9"/>
      <c r="AN2481" s="9"/>
      <c r="AO2481" s="9"/>
      <c r="AP2481" s="14"/>
    </row>
    <row r="2482" spans="1:42" s="45" customFormat="1" ht="22" customHeight="1">
      <c r="A2482" s="14" t="s">
        <v>17</v>
      </c>
      <c r="B2482" s="8">
        <v>2024</v>
      </c>
      <c r="C2482" s="8" t="s">
        <v>24</v>
      </c>
      <c r="D2482" s="9" t="s">
        <v>185</v>
      </c>
      <c r="E2482" s="9" t="s">
        <v>115</v>
      </c>
      <c r="F2482" s="9" t="s">
        <v>434</v>
      </c>
      <c r="G2482" s="8"/>
      <c r="H2482" s="8"/>
      <c r="I2482" s="9" t="s">
        <v>11</v>
      </c>
      <c r="J2482" s="9" t="s">
        <v>11</v>
      </c>
      <c r="K2482" s="9" t="s">
        <v>82</v>
      </c>
      <c r="L2482" s="9" t="s">
        <v>171</v>
      </c>
      <c r="M2482" s="9" t="s">
        <v>114</v>
      </c>
      <c r="N2482" s="9" t="s">
        <v>861</v>
      </c>
      <c r="O2482" s="9" t="s">
        <v>1438</v>
      </c>
      <c r="P2482" s="9" t="s">
        <v>1442</v>
      </c>
      <c r="Q2482" s="11"/>
      <c r="R2482" s="11"/>
      <c r="S2482" s="11"/>
      <c r="T2482" s="9"/>
      <c r="U2482" s="14" t="s">
        <v>77</v>
      </c>
      <c r="V2482" s="9"/>
      <c r="W2482" s="12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>
        <f t="shared" si="232"/>
        <v>0</v>
      </c>
      <c r="AK2482" s="12"/>
      <c r="AL2482" s="13"/>
      <c r="AM2482" s="9"/>
      <c r="AN2482" s="9"/>
      <c r="AO2482" s="9"/>
      <c r="AP2482" s="14"/>
    </row>
    <row r="2483" spans="1:42" s="45" customFormat="1" ht="22" customHeight="1">
      <c r="A2483" s="14" t="s">
        <v>17</v>
      </c>
      <c r="B2483" s="8">
        <v>2024</v>
      </c>
      <c r="C2483" s="8" t="s">
        <v>24</v>
      </c>
      <c r="D2483" s="9" t="s">
        <v>185</v>
      </c>
      <c r="E2483" s="9" t="s">
        <v>115</v>
      </c>
      <c r="F2483" s="9" t="s">
        <v>434</v>
      </c>
      <c r="G2483" s="8"/>
      <c r="H2483" s="8"/>
      <c r="I2483" s="9" t="s">
        <v>11</v>
      </c>
      <c r="J2483" s="9" t="s">
        <v>11</v>
      </c>
      <c r="K2483" s="9" t="s">
        <v>82</v>
      </c>
      <c r="L2483" s="9" t="s">
        <v>171</v>
      </c>
      <c r="M2483" s="9" t="s">
        <v>114</v>
      </c>
      <c r="N2483" s="9" t="s">
        <v>861</v>
      </c>
      <c r="O2483" s="9" t="s">
        <v>80</v>
      </c>
      <c r="P2483" s="9" t="s">
        <v>1314</v>
      </c>
      <c r="Q2483" s="11"/>
      <c r="R2483" s="11"/>
      <c r="S2483" s="11"/>
      <c r="T2483" s="9"/>
      <c r="U2483" s="14" t="s">
        <v>77</v>
      </c>
      <c r="V2483" s="9"/>
      <c r="W2483" s="12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>
        <f t="shared" si="232"/>
        <v>0</v>
      </c>
      <c r="AK2483" s="12"/>
      <c r="AL2483" s="13"/>
      <c r="AM2483" s="9"/>
      <c r="AN2483" s="9"/>
      <c r="AO2483" s="9"/>
      <c r="AP2483" s="14"/>
    </row>
    <row r="2484" spans="1:42" s="45" customFormat="1" ht="22" customHeight="1">
      <c r="A2484" s="14" t="s">
        <v>17</v>
      </c>
      <c r="B2484" s="8">
        <v>2024</v>
      </c>
      <c r="C2484" s="8" t="s">
        <v>24</v>
      </c>
      <c r="D2484" s="9" t="s">
        <v>185</v>
      </c>
      <c r="E2484" s="9" t="s">
        <v>115</v>
      </c>
      <c r="F2484" s="9" t="s">
        <v>434</v>
      </c>
      <c r="G2484" s="8"/>
      <c r="H2484" s="8"/>
      <c r="I2484" s="9" t="s">
        <v>13</v>
      </c>
      <c r="J2484" s="9" t="s">
        <v>13</v>
      </c>
      <c r="K2484" s="9"/>
      <c r="L2484" s="9" t="s">
        <v>178</v>
      </c>
      <c r="M2484" s="9" t="s">
        <v>101</v>
      </c>
      <c r="N2484" s="9" t="s">
        <v>1443</v>
      </c>
      <c r="O2484" s="9" t="s">
        <v>101</v>
      </c>
      <c r="P2484" s="9" t="s">
        <v>101</v>
      </c>
      <c r="Q2484" s="11"/>
      <c r="R2484" s="11"/>
      <c r="S2484" s="11">
        <v>750</v>
      </c>
      <c r="T2484" s="9"/>
      <c r="U2484" s="14" t="s">
        <v>77</v>
      </c>
      <c r="V2484" s="9"/>
      <c r="W2484" s="12">
        <v>90</v>
      </c>
      <c r="X2484" s="13"/>
      <c r="Y2484" s="13"/>
      <c r="Z2484" s="13"/>
      <c r="AA2484" s="13"/>
      <c r="AB2484" s="13"/>
      <c r="AC2484" s="13"/>
      <c r="AD2484" s="13"/>
      <c r="AE2484" s="13">
        <f>+S2484*W2484*100/1000000</f>
        <v>6.75</v>
      </c>
      <c r="AF2484" s="13"/>
      <c r="AG2484" s="13"/>
      <c r="AH2484" s="13"/>
      <c r="AI2484" s="13"/>
      <c r="AJ2484" s="13">
        <f t="shared" si="232"/>
        <v>6.75</v>
      </c>
      <c r="AK2484" s="12"/>
      <c r="AL2484" s="13"/>
      <c r="AM2484" s="9"/>
      <c r="AN2484" s="9"/>
      <c r="AO2484" s="9"/>
      <c r="AP2484" s="14"/>
    </row>
    <row r="2485" spans="1:42" s="45" customFormat="1" ht="22" customHeight="1">
      <c r="A2485" s="14" t="s">
        <v>17</v>
      </c>
      <c r="B2485" s="8">
        <v>2024</v>
      </c>
      <c r="C2485" s="8" t="s">
        <v>24</v>
      </c>
      <c r="D2485" s="9" t="s">
        <v>185</v>
      </c>
      <c r="E2485" s="9" t="s">
        <v>115</v>
      </c>
      <c r="F2485" s="9" t="s">
        <v>434</v>
      </c>
      <c r="G2485" s="8"/>
      <c r="H2485" s="8"/>
      <c r="I2485" s="9" t="s">
        <v>13</v>
      </c>
      <c r="J2485" s="9" t="s">
        <v>13</v>
      </c>
      <c r="K2485" s="9"/>
      <c r="L2485" s="9" t="s">
        <v>178</v>
      </c>
      <c r="M2485" s="9" t="s">
        <v>101</v>
      </c>
      <c r="N2485" s="9" t="s">
        <v>1443</v>
      </c>
      <c r="O2485" s="9" t="s">
        <v>1444</v>
      </c>
      <c r="P2485" s="9" t="s">
        <v>1444</v>
      </c>
      <c r="Q2485" s="11"/>
      <c r="R2485" s="11"/>
      <c r="S2485" s="11">
        <v>200</v>
      </c>
      <c r="T2485" s="9"/>
      <c r="U2485" s="14" t="s">
        <v>77</v>
      </c>
      <c r="V2485" s="9"/>
      <c r="W2485" s="12">
        <v>90</v>
      </c>
      <c r="X2485" s="13"/>
      <c r="Y2485" s="13"/>
      <c r="Z2485" s="13"/>
      <c r="AA2485" s="13"/>
      <c r="AB2485" s="13"/>
      <c r="AC2485" s="13"/>
      <c r="AD2485" s="13"/>
      <c r="AE2485" s="13">
        <f t="shared" ref="AE2485:AE2490" si="233">+S2485*W2485*100/1000000</f>
        <v>1.8</v>
      </c>
      <c r="AF2485" s="13"/>
      <c r="AG2485" s="13"/>
      <c r="AH2485" s="13"/>
      <c r="AI2485" s="13"/>
      <c r="AJ2485" s="13">
        <f t="shared" si="232"/>
        <v>1.8</v>
      </c>
      <c r="AK2485" s="12"/>
      <c r="AL2485" s="13"/>
      <c r="AM2485" s="9"/>
      <c r="AN2485" s="9"/>
      <c r="AO2485" s="9"/>
      <c r="AP2485" s="14"/>
    </row>
    <row r="2486" spans="1:42" s="45" customFormat="1" ht="22" customHeight="1">
      <c r="A2486" s="14" t="s">
        <v>17</v>
      </c>
      <c r="B2486" s="47">
        <v>2024</v>
      </c>
      <c r="C2486" s="47" t="s">
        <v>24</v>
      </c>
      <c r="D2486" s="9" t="s">
        <v>185</v>
      </c>
      <c r="E2486" s="9" t="s">
        <v>115</v>
      </c>
      <c r="F2486" s="9" t="s">
        <v>434</v>
      </c>
      <c r="G2486" s="8"/>
      <c r="H2486" s="8"/>
      <c r="I2486" s="9" t="s">
        <v>13</v>
      </c>
      <c r="J2486" s="9" t="s">
        <v>13</v>
      </c>
      <c r="K2486" s="9"/>
      <c r="L2486" s="9" t="s">
        <v>1445</v>
      </c>
      <c r="M2486" s="9" t="s">
        <v>93</v>
      </c>
      <c r="N2486" s="9" t="s">
        <v>1446</v>
      </c>
      <c r="O2486" s="9" t="s">
        <v>93</v>
      </c>
      <c r="P2486" s="9" t="s">
        <v>93</v>
      </c>
      <c r="Q2486" s="11"/>
      <c r="R2486" s="11"/>
      <c r="S2486" s="11">
        <v>274</v>
      </c>
      <c r="T2486" s="9"/>
      <c r="U2486" s="14" t="s">
        <v>77</v>
      </c>
      <c r="V2486" s="9"/>
      <c r="W2486" s="12">
        <v>90</v>
      </c>
      <c r="X2486" s="13"/>
      <c r="Y2486" s="13"/>
      <c r="Z2486" s="13"/>
      <c r="AA2486" s="13"/>
      <c r="AB2486" s="13"/>
      <c r="AC2486" s="13"/>
      <c r="AD2486" s="13"/>
      <c r="AE2486" s="13">
        <f t="shared" si="233"/>
        <v>2.4660000000000002</v>
      </c>
      <c r="AF2486" s="13"/>
      <c r="AG2486" s="13"/>
      <c r="AH2486" s="13"/>
      <c r="AI2486" s="13"/>
      <c r="AJ2486" s="13">
        <f t="shared" si="232"/>
        <v>2.4660000000000002</v>
      </c>
      <c r="AK2486" s="9"/>
      <c r="AL2486" s="13"/>
      <c r="AM2486" s="9"/>
      <c r="AN2486" s="9"/>
      <c r="AO2486" s="9"/>
      <c r="AP2486" s="14"/>
    </row>
    <row r="2487" spans="1:42" s="45" customFormat="1" ht="22" customHeight="1">
      <c r="A2487" s="14" t="s">
        <v>17</v>
      </c>
      <c r="B2487" s="47">
        <v>2024</v>
      </c>
      <c r="C2487" s="47" t="s">
        <v>24</v>
      </c>
      <c r="D2487" s="9" t="s">
        <v>185</v>
      </c>
      <c r="E2487" s="9" t="s">
        <v>115</v>
      </c>
      <c r="F2487" s="9" t="s">
        <v>434</v>
      </c>
      <c r="G2487" s="8"/>
      <c r="H2487" s="8"/>
      <c r="I2487" s="9" t="s">
        <v>13</v>
      </c>
      <c r="J2487" s="9" t="s">
        <v>13</v>
      </c>
      <c r="K2487" s="9"/>
      <c r="L2487" s="9" t="s">
        <v>1445</v>
      </c>
      <c r="M2487" s="9" t="s">
        <v>124</v>
      </c>
      <c r="N2487" s="9" t="s">
        <v>1446</v>
      </c>
      <c r="O2487" s="9" t="s">
        <v>124</v>
      </c>
      <c r="P2487" s="9" t="s">
        <v>124</v>
      </c>
      <c r="Q2487" s="11"/>
      <c r="R2487" s="11"/>
      <c r="S2487" s="11">
        <v>2825</v>
      </c>
      <c r="T2487" s="9"/>
      <c r="U2487" s="14" t="s">
        <v>77</v>
      </c>
      <c r="V2487" s="9"/>
      <c r="W2487" s="12">
        <v>90</v>
      </c>
      <c r="X2487" s="13"/>
      <c r="Y2487" s="13"/>
      <c r="Z2487" s="13"/>
      <c r="AA2487" s="13"/>
      <c r="AB2487" s="13"/>
      <c r="AC2487" s="13"/>
      <c r="AD2487" s="13"/>
      <c r="AE2487" s="13">
        <f t="shared" si="233"/>
        <v>25.425000000000001</v>
      </c>
      <c r="AF2487" s="13"/>
      <c r="AG2487" s="13"/>
      <c r="AH2487" s="13"/>
      <c r="AI2487" s="13"/>
      <c r="AJ2487" s="13">
        <f t="shared" si="232"/>
        <v>25.425000000000001</v>
      </c>
      <c r="AK2487" s="9"/>
      <c r="AL2487" s="13"/>
      <c r="AM2487" s="9"/>
      <c r="AN2487" s="9"/>
      <c r="AO2487" s="9"/>
      <c r="AP2487" s="14"/>
    </row>
    <row r="2488" spans="1:42" s="45" customFormat="1" ht="22" customHeight="1">
      <c r="A2488" s="14" t="s">
        <v>17</v>
      </c>
      <c r="B2488" s="47">
        <v>2024</v>
      </c>
      <c r="C2488" s="47" t="s">
        <v>24</v>
      </c>
      <c r="D2488" s="9" t="s">
        <v>185</v>
      </c>
      <c r="E2488" s="9" t="s">
        <v>115</v>
      </c>
      <c r="F2488" s="9" t="s">
        <v>434</v>
      </c>
      <c r="G2488" s="8"/>
      <c r="H2488" s="8"/>
      <c r="I2488" s="9" t="s">
        <v>13</v>
      </c>
      <c r="J2488" s="9" t="s">
        <v>13</v>
      </c>
      <c r="K2488" s="9"/>
      <c r="L2488" s="9" t="s">
        <v>1445</v>
      </c>
      <c r="M2488" s="9" t="s">
        <v>97</v>
      </c>
      <c r="N2488" s="9" t="s">
        <v>1446</v>
      </c>
      <c r="O2488" s="9" t="s">
        <v>97</v>
      </c>
      <c r="P2488" s="9" t="s">
        <v>97</v>
      </c>
      <c r="Q2488" s="11"/>
      <c r="R2488" s="11"/>
      <c r="S2488" s="11">
        <v>1321</v>
      </c>
      <c r="T2488" s="9"/>
      <c r="U2488" s="14" t="s">
        <v>77</v>
      </c>
      <c r="V2488" s="9"/>
      <c r="W2488" s="12">
        <v>90</v>
      </c>
      <c r="X2488" s="13"/>
      <c r="Y2488" s="13"/>
      <c r="Z2488" s="13"/>
      <c r="AA2488" s="13"/>
      <c r="AB2488" s="13"/>
      <c r="AC2488" s="13"/>
      <c r="AD2488" s="13"/>
      <c r="AE2488" s="13">
        <f t="shared" si="233"/>
        <v>11.888999999999999</v>
      </c>
      <c r="AF2488" s="13"/>
      <c r="AG2488" s="13"/>
      <c r="AH2488" s="13"/>
      <c r="AI2488" s="13"/>
      <c r="AJ2488" s="13">
        <f t="shared" si="232"/>
        <v>11.888999999999999</v>
      </c>
      <c r="AK2488" s="9"/>
      <c r="AL2488" s="13"/>
      <c r="AM2488" s="9"/>
      <c r="AN2488" s="9"/>
      <c r="AO2488" s="9"/>
      <c r="AP2488" s="14"/>
    </row>
    <row r="2489" spans="1:42" s="45" customFormat="1" ht="22" customHeight="1">
      <c r="A2489" s="14" t="s">
        <v>17</v>
      </c>
      <c r="B2489" s="47">
        <v>2024</v>
      </c>
      <c r="C2489" s="47" t="s">
        <v>24</v>
      </c>
      <c r="D2489" s="9" t="s">
        <v>185</v>
      </c>
      <c r="E2489" s="9" t="s">
        <v>115</v>
      </c>
      <c r="F2489" s="9" t="s">
        <v>434</v>
      </c>
      <c r="G2489" s="8"/>
      <c r="H2489" s="8"/>
      <c r="I2489" s="9" t="s">
        <v>13</v>
      </c>
      <c r="J2489" s="9" t="s">
        <v>13</v>
      </c>
      <c r="K2489" s="9"/>
      <c r="L2489" s="9" t="s">
        <v>1445</v>
      </c>
      <c r="M2489" s="9" t="s">
        <v>96</v>
      </c>
      <c r="N2489" s="9" t="s">
        <v>1446</v>
      </c>
      <c r="O2489" s="9" t="s">
        <v>96</v>
      </c>
      <c r="P2489" s="9" t="s">
        <v>96</v>
      </c>
      <c r="Q2489" s="11"/>
      <c r="R2489" s="11"/>
      <c r="S2489" s="11">
        <v>2075</v>
      </c>
      <c r="T2489" s="9"/>
      <c r="U2489" s="14" t="s">
        <v>77</v>
      </c>
      <c r="V2489" s="9"/>
      <c r="W2489" s="12">
        <v>90</v>
      </c>
      <c r="X2489" s="13"/>
      <c r="Y2489" s="13"/>
      <c r="Z2489" s="13"/>
      <c r="AA2489" s="13"/>
      <c r="AB2489" s="13"/>
      <c r="AC2489" s="13"/>
      <c r="AD2489" s="13"/>
      <c r="AE2489" s="13">
        <f t="shared" si="233"/>
        <v>18.675000000000001</v>
      </c>
      <c r="AF2489" s="13"/>
      <c r="AG2489" s="13"/>
      <c r="AH2489" s="13"/>
      <c r="AI2489" s="13"/>
      <c r="AJ2489" s="13">
        <f t="shared" si="232"/>
        <v>18.675000000000001</v>
      </c>
      <c r="AK2489" s="9"/>
      <c r="AL2489" s="13"/>
      <c r="AM2489" s="9"/>
      <c r="AN2489" s="9"/>
      <c r="AO2489" s="9"/>
      <c r="AP2489" s="14"/>
    </row>
    <row r="2490" spans="1:42" s="45" customFormat="1" ht="22" customHeight="1">
      <c r="A2490" s="14" t="s">
        <v>17</v>
      </c>
      <c r="B2490" s="47">
        <v>2024</v>
      </c>
      <c r="C2490" s="47" t="s">
        <v>24</v>
      </c>
      <c r="D2490" s="9" t="s">
        <v>185</v>
      </c>
      <c r="E2490" s="9" t="s">
        <v>115</v>
      </c>
      <c r="F2490" s="9" t="s">
        <v>434</v>
      </c>
      <c r="G2490" s="8"/>
      <c r="H2490" s="8"/>
      <c r="I2490" s="9" t="s">
        <v>13</v>
      </c>
      <c r="J2490" s="9" t="s">
        <v>13</v>
      </c>
      <c r="K2490" s="9"/>
      <c r="L2490" s="9" t="s">
        <v>1445</v>
      </c>
      <c r="M2490" s="9" t="s">
        <v>94</v>
      </c>
      <c r="N2490" s="9" t="s">
        <v>1446</v>
      </c>
      <c r="O2490" s="9" t="s">
        <v>1447</v>
      </c>
      <c r="P2490" s="9" t="s">
        <v>1447</v>
      </c>
      <c r="Q2490" s="11"/>
      <c r="R2490" s="11"/>
      <c r="S2490" s="11">
        <v>450</v>
      </c>
      <c r="T2490" s="9"/>
      <c r="U2490" s="14" t="s">
        <v>77</v>
      </c>
      <c r="V2490" s="9"/>
      <c r="W2490" s="12">
        <v>90</v>
      </c>
      <c r="X2490" s="13"/>
      <c r="Y2490" s="13"/>
      <c r="Z2490" s="13"/>
      <c r="AA2490" s="13"/>
      <c r="AB2490" s="13"/>
      <c r="AC2490" s="13"/>
      <c r="AD2490" s="13"/>
      <c r="AE2490" s="13">
        <f t="shared" si="233"/>
        <v>4.05</v>
      </c>
      <c r="AF2490" s="13"/>
      <c r="AG2490" s="13"/>
      <c r="AH2490" s="13"/>
      <c r="AI2490" s="13"/>
      <c r="AJ2490" s="13">
        <f t="shared" si="232"/>
        <v>4.05</v>
      </c>
      <c r="AK2490" s="9"/>
      <c r="AL2490" s="13"/>
      <c r="AM2490" s="9"/>
      <c r="AN2490" s="9"/>
      <c r="AO2490" s="9"/>
      <c r="AP2490" s="14"/>
    </row>
    <row r="2491" spans="1:42" s="45" customFormat="1" ht="22" customHeight="1">
      <c r="A2491" s="14" t="s">
        <v>21</v>
      </c>
      <c r="B2491" s="15">
        <v>2025</v>
      </c>
      <c r="C2491" s="8" t="s">
        <v>24</v>
      </c>
      <c r="D2491" s="9" t="s">
        <v>185</v>
      </c>
      <c r="E2491" s="9" t="s">
        <v>27</v>
      </c>
      <c r="F2491" s="9" t="s">
        <v>27</v>
      </c>
      <c r="G2491" s="8"/>
      <c r="H2491" s="8"/>
      <c r="I2491" s="9" t="s">
        <v>13</v>
      </c>
      <c r="J2491" s="9" t="s">
        <v>13</v>
      </c>
      <c r="K2491" s="10" t="s">
        <v>13</v>
      </c>
      <c r="L2491" s="9" t="s">
        <v>178</v>
      </c>
      <c r="M2491" s="10" t="s">
        <v>13</v>
      </c>
      <c r="N2491" s="9" t="s">
        <v>1448</v>
      </c>
      <c r="O2491" s="9" t="s">
        <v>13</v>
      </c>
      <c r="P2491" s="9" t="s">
        <v>13</v>
      </c>
      <c r="Q2491" s="41"/>
      <c r="R2491" s="41">
        <v>1303.6122750000002</v>
      </c>
      <c r="S2491" s="11">
        <f t="shared" ref="S2491:S2494" si="234">R2491</f>
        <v>1303.6122750000002</v>
      </c>
      <c r="T2491" s="9"/>
      <c r="U2491" s="14" t="s">
        <v>77</v>
      </c>
      <c r="V2491" s="9"/>
      <c r="W2491" s="12">
        <v>30</v>
      </c>
      <c r="X2491" s="13"/>
      <c r="Y2491" s="13"/>
      <c r="Z2491" s="13"/>
      <c r="AA2491" s="13"/>
      <c r="AB2491" s="13"/>
      <c r="AC2491" s="13">
        <f>+R2491*W2491*25/1000000</f>
        <v>0.97770920625000013</v>
      </c>
      <c r="AD2491" s="34"/>
      <c r="AE2491" s="13"/>
      <c r="AF2491" s="13">
        <f>S2491*W2491*250/1000000</f>
        <v>9.7770920625000013</v>
      </c>
      <c r="AG2491" s="13"/>
      <c r="AH2491" s="34"/>
      <c r="AI2491" s="13"/>
      <c r="AJ2491" s="13">
        <f t="shared" si="232"/>
        <v>10.754801268750001</v>
      </c>
      <c r="AK2491" s="9"/>
      <c r="AL2491" s="13"/>
      <c r="AM2491" s="9"/>
      <c r="AN2491" s="9"/>
      <c r="AO2491" s="9"/>
      <c r="AP2491" s="14"/>
    </row>
    <row r="2492" spans="1:42" s="45" customFormat="1" ht="22" customHeight="1">
      <c r="A2492" s="14" t="s">
        <v>21</v>
      </c>
      <c r="B2492" s="15">
        <v>2025</v>
      </c>
      <c r="C2492" s="8" t="s">
        <v>24</v>
      </c>
      <c r="D2492" s="9" t="s">
        <v>185</v>
      </c>
      <c r="E2492" s="9" t="s">
        <v>27</v>
      </c>
      <c r="F2492" s="9" t="s">
        <v>27</v>
      </c>
      <c r="G2492" s="8"/>
      <c r="H2492" s="8"/>
      <c r="I2492" s="9" t="s">
        <v>13</v>
      </c>
      <c r="J2492" s="14" t="s">
        <v>13</v>
      </c>
      <c r="K2492" s="10" t="s">
        <v>13</v>
      </c>
      <c r="L2492" s="9" t="s">
        <v>178</v>
      </c>
      <c r="M2492" s="10" t="s">
        <v>13</v>
      </c>
      <c r="N2492" s="9" t="s">
        <v>1448</v>
      </c>
      <c r="O2492" s="9" t="s">
        <v>1449</v>
      </c>
      <c r="P2492" s="9" t="s">
        <v>1449</v>
      </c>
      <c r="Q2492" s="41"/>
      <c r="R2492" s="41">
        <v>1252.4223000000002</v>
      </c>
      <c r="S2492" s="11">
        <f t="shared" si="234"/>
        <v>1252.4223000000002</v>
      </c>
      <c r="T2492" s="9"/>
      <c r="U2492" s="14" t="s">
        <v>77</v>
      </c>
      <c r="V2492" s="9"/>
      <c r="W2492" s="12">
        <v>30</v>
      </c>
      <c r="X2492" s="13"/>
      <c r="Y2492" s="13"/>
      <c r="Z2492" s="13"/>
      <c r="AA2492" s="13"/>
      <c r="AB2492" s="13"/>
      <c r="AC2492" s="13">
        <f t="shared" ref="AC2492:AC2494" si="235">+R2492*W2492*25/1000000</f>
        <v>0.93931672500000019</v>
      </c>
      <c r="AD2492" s="34"/>
      <c r="AE2492" s="13"/>
      <c r="AF2492" s="13">
        <f t="shared" ref="AF2492:AF2494" si="236">S2492*W2492*250/1000000</f>
        <v>9.3931672500000012</v>
      </c>
      <c r="AG2492" s="13"/>
      <c r="AH2492" s="34"/>
      <c r="AI2492" s="13"/>
      <c r="AJ2492" s="13">
        <f t="shared" si="232"/>
        <v>10.332483975000001</v>
      </c>
      <c r="AK2492" s="9"/>
      <c r="AL2492" s="13"/>
      <c r="AM2492" s="9"/>
      <c r="AN2492" s="9"/>
      <c r="AO2492" s="9"/>
      <c r="AP2492" s="14"/>
    </row>
    <row r="2493" spans="1:42" s="45" customFormat="1" ht="22" customHeight="1">
      <c r="A2493" s="14" t="s">
        <v>21</v>
      </c>
      <c r="B2493" s="15">
        <v>2025</v>
      </c>
      <c r="C2493" s="8" t="s">
        <v>24</v>
      </c>
      <c r="D2493" s="9" t="s">
        <v>185</v>
      </c>
      <c r="E2493" s="9" t="s">
        <v>27</v>
      </c>
      <c r="F2493" s="9" t="s">
        <v>27</v>
      </c>
      <c r="G2493" s="8"/>
      <c r="H2493" s="8"/>
      <c r="I2493" s="9" t="s">
        <v>28</v>
      </c>
      <c r="J2493" s="9" t="s">
        <v>11</v>
      </c>
      <c r="K2493" s="10" t="s">
        <v>82</v>
      </c>
      <c r="L2493" s="9" t="s">
        <v>166</v>
      </c>
      <c r="M2493" s="9" t="s">
        <v>28</v>
      </c>
      <c r="N2493" s="9" t="s">
        <v>1448</v>
      </c>
      <c r="O2493" s="9" t="s">
        <v>28</v>
      </c>
      <c r="P2493" s="9" t="s">
        <v>28</v>
      </c>
      <c r="Q2493" s="41"/>
      <c r="R2493" s="41">
        <v>2049</v>
      </c>
      <c r="S2493" s="11">
        <f t="shared" si="234"/>
        <v>2049</v>
      </c>
      <c r="T2493" s="9"/>
      <c r="U2493" s="14" t="s">
        <v>77</v>
      </c>
      <c r="V2493" s="9"/>
      <c r="W2493" s="12">
        <v>30</v>
      </c>
      <c r="X2493" s="13"/>
      <c r="Y2493" s="13"/>
      <c r="Z2493" s="13"/>
      <c r="AA2493" s="13"/>
      <c r="AB2493" s="13"/>
      <c r="AC2493" s="13">
        <f t="shared" si="235"/>
        <v>1.5367500000000001</v>
      </c>
      <c r="AD2493" s="34"/>
      <c r="AE2493" s="13"/>
      <c r="AF2493" s="13">
        <f t="shared" si="236"/>
        <v>15.3675</v>
      </c>
      <c r="AG2493" s="13"/>
      <c r="AH2493" s="34"/>
      <c r="AI2493" s="13"/>
      <c r="AJ2493" s="13">
        <f t="shared" si="232"/>
        <v>16.904250000000001</v>
      </c>
      <c r="AK2493" s="9"/>
      <c r="AL2493" s="13"/>
      <c r="AM2493" s="9"/>
      <c r="AN2493" s="9"/>
      <c r="AO2493" s="9"/>
      <c r="AP2493" s="14"/>
    </row>
    <row r="2494" spans="1:42" s="45" customFormat="1" ht="22" customHeight="1">
      <c r="A2494" s="14" t="s">
        <v>21</v>
      </c>
      <c r="B2494" s="15">
        <v>2025</v>
      </c>
      <c r="C2494" s="8" t="s">
        <v>24</v>
      </c>
      <c r="D2494" s="9" t="s">
        <v>185</v>
      </c>
      <c r="E2494" s="9" t="s">
        <v>27</v>
      </c>
      <c r="F2494" s="9" t="s">
        <v>27</v>
      </c>
      <c r="G2494" s="8"/>
      <c r="H2494" s="8"/>
      <c r="I2494" s="9" t="s">
        <v>28</v>
      </c>
      <c r="J2494" s="9" t="s">
        <v>11</v>
      </c>
      <c r="K2494" s="10" t="s">
        <v>82</v>
      </c>
      <c r="L2494" s="9" t="s">
        <v>166</v>
      </c>
      <c r="M2494" s="9" t="s">
        <v>1450</v>
      </c>
      <c r="N2494" s="9" t="s">
        <v>1448</v>
      </c>
      <c r="O2494" s="9" t="s">
        <v>1450</v>
      </c>
      <c r="P2494" s="9" t="s">
        <v>1450</v>
      </c>
      <c r="Q2494" s="41"/>
      <c r="R2494" s="41">
        <v>2595</v>
      </c>
      <c r="S2494" s="11">
        <f t="shared" si="234"/>
        <v>2595</v>
      </c>
      <c r="T2494" s="9"/>
      <c r="U2494" s="14" t="s">
        <v>77</v>
      </c>
      <c r="V2494" s="9"/>
      <c r="W2494" s="12">
        <v>30</v>
      </c>
      <c r="X2494" s="13"/>
      <c r="Y2494" s="13"/>
      <c r="Z2494" s="13"/>
      <c r="AA2494" s="13"/>
      <c r="AB2494" s="13"/>
      <c r="AC2494" s="13">
        <f t="shared" si="235"/>
        <v>1.94625</v>
      </c>
      <c r="AD2494" s="34"/>
      <c r="AE2494" s="13"/>
      <c r="AF2494" s="13">
        <f t="shared" si="236"/>
        <v>19.462499999999999</v>
      </c>
      <c r="AG2494" s="13"/>
      <c r="AH2494" s="34"/>
      <c r="AI2494" s="13"/>
      <c r="AJ2494" s="13">
        <f t="shared" si="232"/>
        <v>21.408749999999998</v>
      </c>
      <c r="AK2494" s="9"/>
      <c r="AL2494" s="13"/>
      <c r="AM2494" s="9"/>
      <c r="AN2494" s="9"/>
      <c r="AO2494" s="9"/>
      <c r="AP2494" s="14"/>
    </row>
    <row r="2495" spans="1:42" s="45" customFormat="1" ht="22" customHeight="1">
      <c r="A2495" s="14" t="s">
        <v>19</v>
      </c>
      <c r="B2495" s="15">
        <v>2025</v>
      </c>
      <c r="C2495" s="8" t="s">
        <v>24</v>
      </c>
      <c r="D2495" s="9" t="s">
        <v>185</v>
      </c>
      <c r="E2495" s="9" t="s">
        <v>27</v>
      </c>
      <c r="F2495" s="9" t="s">
        <v>27</v>
      </c>
      <c r="G2495" s="8"/>
      <c r="H2495" s="8"/>
      <c r="I2495" s="9" t="s">
        <v>13</v>
      </c>
      <c r="J2495" s="9" t="s">
        <v>13</v>
      </c>
      <c r="K2495" s="10" t="s">
        <v>13</v>
      </c>
      <c r="L2495" s="9" t="s">
        <v>178</v>
      </c>
      <c r="M2495" s="10" t="s">
        <v>13</v>
      </c>
      <c r="N2495" s="9" t="s">
        <v>1448</v>
      </c>
      <c r="O2495" s="9" t="s">
        <v>13</v>
      </c>
      <c r="P2495" s="9" t="s">
        <v>13</v>
      </c>
      <c r="Q2495" s="41"/>
      <c r="R2495" s="41">
        <v>1303.6122750000002</v>
      </c>
      <c r="S2495" s="11">
        <f t="shared" ref="S2495:S2498" si="237">R2495</f>
        <v>1303.6122750000002</v>
      </c>
      <c r="T2495" s="9"/>
      <c r="U2495" s="14" t="s">
        <v>77</v>
      </c>
      <c r="V2495" s="9"/>
      <c r="W2495" s="12">
        <v>30</v>
      </c>
      <c r="X2495" s="13"/>
      <c r="Y2495" s="13"/>
      <c r="Z2495" s="13"/>
      <c r="AA2495" s="13"/>
      <c r="AB2495" s="13"/>
      <c r="AC2495" s="13">
        <f>+R2495*W2495*25/1000000</f>
        <v>0.97770920625000013</v>
      </c>
      <c r="AD2495" s="34"/>
      <c r="AE2495" s="13"/>
      <c r="AF2495" s="13">
        <f>S2495*W2495*250/1000000</f>
        <v>9.7770920625000013</v>
      </c>
      <c r="AG2495" s="13"/>
      <c r="AH2495" s="34"/>
      <c r="AI2495" s="13"/>
      <c r="AJ2495" s="13">
        <f t="shared" si="232"/>
        <v>10.754801268750001</v>
      </c>
      <c r="AK2495" s="9"/>
      <c r="AL2495" s="13"/>
      <c r="AM2495" s="9"/>
      <c r="AN2495" s="9"/>
      <c r="AO2495" s="9"/>
      <c r="AP2495" s="14"/>
    </row>
    <row r="2496" spans="1:42" s="45" customFormat="1" ht="22" customHeight="1">
      <c r="A2496" s="14" t="s">
        <v>19</v>
      </c>
      <c r="B2496" s="15">
        <v>2025</v>
      </c>
      <c r="C2496" s="8" t="s">
        <v>24</v>
      </c>
      <c r="D2496" s="9" t="s">
        <v>185</v>
      </c>
      <c r="E2496" s="9" t="s">
        <v>27</v>
      </c>
      <c r="F2496" s="9" t="s">
        <v>27</v>
      </c>
      <c r="G2496" s="8"/>
      <c r="H2496" s="8"/>
      <c r="I2496" s="9" t="s">
        <v>13</v>
      </c>
      <c r="J2496" s="14" t="s">
        <v>13</v>
      </c>
      <c r="K2496" s="10" t="s">
        <v>13</v>
      </c>
      <c r="L2496" s="9" t="s">
        <v>178</v>
      </c>
      <c r="M2496" s="10" t="s">
        <v>13</v>
      </c>
      <c r="N2496" s="9" t="s">
        <v>1448</v>
      </c>
      <c r="O2496" s="9" t="s">
        <v>1449</v>
      </c>
      <c r="P2496" s="9" t="s">
        <v>1449</v>
      </c>
      <c r="Q2496" s="41"/>
      <c r="R2496" s="41">
        <v>1252.4223000000002</v>
      </c>
      <c r="S2496" s="11">
        <f t="shared" si="237"/>
        <v>1252.4223000000002</v>
      </c>
      <c r="T2496" s="9"/>
      <c r="U2496" s="14" t="s">
        <v>77</v>
      </c>
      <c r="V2496" s="9"/>
      <c r="W2496" s="12">
        <v>30</v>
      </c>
      <c r="X2496" s="13"/>
      <c r="Y2496" s="13"/>
      <c r="Z2496" s="13"/>
      <c r="AA2496" s="13"/>
      <c r="AB2496" s="13"/>
      <c r="AC2496" s="13">
        <f t="shared" ref="AC2496:AC2498" si="238">+R2496*W2496*25/1000000</f>
        <v>0.93931672500000019</v>
      </c>
      <c r="AD2496" s="34"/>
      <c r="AE2496" s="13"/>
      <c r="AF2496" s="13">
        <f t="shared" ref="AF2496:AF2498" si="239">S2496*W2496*250/1000000</f>
        <v>9.3931672500000012</v>
      </c>
      <c r="AG2496" s="13"/>
      <c r="AH2496" s="34"/>
      <c r="AI2496" s="13"/>
      <c r="AJ2496" s="13">
        <f t="shared" si="232"/>
        <v>10.332483975000001</v>
      </c>
      <c r="AK2496" s="9"/>
      <c r="AL2496" s="13"/>
      <c r="AM2496" s="9"/>
      <c r="AN2496" s="9"/>
      <c r="AO2496" s="9"/>
      <c r="AP2496" s="14"/>
    </row>
    <row r="2497" spans="1:42" s="45" customFormat="1" ht="22" customHeight="1">
      <c r="A2497" s="14" t="s">
        <v>19</v>
      </c>
      <c r="B2497" s="15">
        <v>2025</v>
      </c>
      <c r="C2497" s="8" t="s">
        <v>24</v>
      </c>
      <c r="D2497" s="9" t="s">
        <v>185</v>
      </c>
      <c r="E2497" s="9" t="s">
        <v>27</v>
      </c>
      <c r="F2497" s="9" t="s">
        <v>27</v>
      </c>
      <c r="G2497" s="8"/>
      <c r="H2497" s="8"/>
      <c r="I2497" s="9" t="s">
        <v>28</v>
      </c>
      <c r="J2497" s="9" t="s">
        <v>11</v>
      </c>
      <c r="K2497" s="10" t="s">
        <v>82</v>
      </c>
      <c r="L2497" s="9" t="s">
        <v>166</v>
      </c>
      <c r="M2497" s="9" t="s">
        <v>28</v>
      </c>
      <c r="N2497" s="9" t="s">
        <v>1448</v>
      </c>
      <c r="O2497" s="9" t="s">
        <v>28</v>
      </c>
      <c r="P2497" s="9" t="s">
        <v>28</v>
      </c>
      <c r="Q2497" s="41"/>
      <c r="R2497" s="41">
        <v>2049</v>
      </c>
      <c r="S2497" s="11">
        <f t="shared" si="237"/>
        <v>2049</v>
      </c>
      <c r="T2497" s="9"/>
      <c r="U2497" s="14" t="s">
        <v>77</v>
      </c>
      <c r="V2497" s="9"/>
      <c r="W2497" s="12">
        <v>30</v>
      </c>
      <c r="X2497" s="13"/>
      <c r="Y2497" s="13"/>
      <c r="Z2497" s="13"/>
      <c r="AA2497" s="13"/>
      <c r="AB2497" s="13"/>
      <c r="AC2497" s="13">
        <f t="shared" si="238"/>
        <v>1.5367500000000001</v>
      </c>
      <c r="AD2497" s="34"/>
      <c r="AE2497" s="13"/>
      <c r="AF2497" s="13">
        <f t="shared" si="239"/>
        <v>15.3675</v>
      </c>
      <c r="AG2497" s="13"/>
      <c r="AH2497" s="34"/>
      <c r="AI2497" s="13"/>
      <c r="AJ2497" s="13">
        <f t="shared" si="232"/>
        <v>16.904250000000001</v>
      </c>
      <c r="AK2497" s="9"/>
      <c r="AL2497" s="13"/>
      <c r="AM2497" s="9"/>
      <c r="AN2497" s="9"/>
      <c r="AO2497" s="9"/>
      <c r="AP2497" s="14"/>
    </row>
    <row r="2498" spans="1:42" s="45" customFormat="1" ht="22" customHeight="1">
      <c r="A2498" s="14" t="s">
        <v>19</v>
      </c>
      <c r="B2498" s="15">
        <v>2025</v>
      </c>
      <c r="C2498" s="8" t="s">
        <v>24</v>
      </c>
      <c r="D2498" s="9" t="s">
        <v>185</v>
      </c>
      <c r="E2498" s="9" t="s">
        <v>27</v>
      </c>
      <c r="F2498" s="9" t="s">
        <v>27</v>
      </c>
      <c r="G2498" s="8"/>
      <c r="H2498" s="8"/>
      <c r="I2498" s="9" t="s">
        <v>28</v>
      </c>
      <c r="J2498" s="9" t="s">
        <v>11</v>
      </c>
      <c r="K2498" s="10" t="s">
        <v>82</v>
      </c>
      <c r="L2498" s="9" t="s">
        <v>166</v>
      </c>
      <c r="M2498" s="9" t="s">
        <v>1450</v>
      </c>
      <c r="N2498" s="9" t="s">
        <v>1448</v>
      </c>
      <c r="O2498" s="9" t="s">
        <v>1450</v>
      </c>
      <c r="P2498" s="9" t="s">
        <v>1450</v>
      </c>
      <c r="Q2498" s="41"/>
      <c r="R2498" s="41">
        <v>2595</v>
      </c>
      <c r="S2498" s="11">
        <f t="shared" si="237"/>
        <v>2595</v>
      </c>
      <c r="T2498" s="9"/>
      <c r="U2498" s="14" t="s">
        <v>77</v>
      </c>
      <c r="V2498" s="9"/>
      <c r="W2498" s="12">
        <v>30</v>
      </c>
      <c r="X2498" s="13"/>
      <c r="Y2498" s="13"/>
      <c r="Z2498" s="13"/>
      <c r="AA2498" s="13"/>
      <c r="AB2498" s="13"/>
      <c r="AC2498" s="13">
        <f t="shared" si="238"/>
        <v>1.94625</v>
      </c>
      <c r="AD2498" s="34"/>
      <c r="AE2498" s="13"/>
      <c r="AF2498" s="13">
        <f t="shared" si="239"/>
        <v>19.462499999999999</v>
      </c>
      <c r="AG2498" s="13"/>
      <c r="AH2498" s="34"/>
      <c r="AI2498" s="13"/>
      <c r="AJ2498" s="13">
        <f t="shared" si="232"/>
        <v>21.408749999999998</v>
      </c>
      <c r="AK2498" s="9"/>
      <c r="AL2498" s="13"/>
      <c r="AM2498" s="9"/>
      <c r="AN2498" s="9"/>
      <c r="AO2498" s="9"/>
      <c r="AP2498" s="14"/>
    </row>
    <row r="2499" spans="1:42" ht="19">
      <c r="A2499" s="39" t="s">
        <v>17</v>
      </c>
      <c r="B2499" s="8">
        <v>2024</v>
      </c>
      <c r="C2499" s="8" t="s">
        <v>109</v>
      </c>
      <c r="D2499" s="9" t="s">
        <v>109</v>
      </c>
      <c r="E2499" s="9" t="s">
        <v>111</v>
      </c>
      <c r="F2499" s="9" t="s">
        <v>111</v>
      </c>
      <c r="I2499" s="9" t="s">
        <v>87</v>
      </c>
      <c r="J2499" s="9" t="s">
        <v>87</v>
      </c>
      <c r="L2499" s="9" t="s">
        <v>1451</v>
      </c>
      <c r="M2499" t="s">
        <v>117</v>
      </c>
      <c r="O2499" t="s">
        <v>1452</v>
      </c>
      <c r="P2499" t="s">
        <v>1453</v>
      </c>
      <c r="S2499">
        <v>312</v>
      </c>
      <c r="U2499" t="s">
        <v>112</v>
      </c>
      <c r="V2499" t="s">
        <v>112</v>
      </c>
      <c r="X2499" s="43">
        <v>2.4</v>
      </c>
      <c r="AA2499" s="43"/>
      <c r="AB2499" s="43">
        <v>0.15</v>
      </c>
      <c r="AC2499" s="43">
        <v>0.17100000000000001</v>
      </c>
      <c r="AK2499" s="147">
        <v>6891456</v>
      </c>
    </row>
    <row r="2500" spans="1:42" ht="19">
      <c r="A2500" s="39" t="s">
        <v>17</v>
      </c>
      <c r="B2500" s="8">
        <v>2024</v>
      </c>
      <c r="C2500" s="8" t="s">
        <v>109</v>
      </c>
      <c r="D2500" s="9" t="s">
        <v>109</v>
      </c>
      <c r="E2500" s="9" t="s">
        <v>111</v>
      </c>
      <c r="F2500" s="9" t="s">
        <v>111</v>
      </c>
      <c r="I2500" s="9" t="s">
        <v>87</v>
      </c>
      <c r="J2500" s="9" t="s">
        <v>87</v>
      </c>
      <c r="L2500" s="9" t="s">
        <v>1451</v>
      </c>
      <c r="M2500" t="s">
        <v>117</v>
      </c>
      <c r="O2500" t="s">
        <v>1452</v>
      </c>
      <c r="P2500" t="s">
        <v>1454</v>
      </c>
      <c r="S2500">
        <v>217</v>
      </c>
      <c r="U2500" t="s">
        <v>112</v>
      </c>
      <c r="V2500" t="s">
        <v>112</v>
      </c>
      <c r="X2500" s="43">
        <v>1.65</v>
      </c>
      <c r="AA2500" s="43"/>
      <c r="AB2500" s="43">
        <v>0.1</v>
      </c>
      <c r="AC2500" s="43">
        <v>0.1215</v>
      </c>
      <c r="AK2500" s="147">
        <v>4793096</v>
      </c>
    </row>
    <row r="2501" spans="1:42" ht="19">
      <c r="A2501" s="39" t="s">
        <v>17</v>
      </c>
      <c r="B2501" s="8">
        <v>2024</v>
      </c>
      <c r="C2501" s="8" t="s">
        <v>109</v>
      </c>
      <c r="D2501" s="9" t="s">
        <v>109</v>
      </c>
      <c r="E2501" s="9" t="s">
        <v>111</v>
      </c>
      <c r="F2501" s="9" t="s">
        <v>111</v>
      </c>
      <c r="I2501" s="9" t="s">
        <v>87</v>
      </c>
      <c r="J2501" s="9" t="s">
        <v>87</v>
      </c>
      <c r="L2501" s="9" t="s">
        <v>1451</v>
      </c>
      <c r="M2501" t="s">
        <v>117</v>
      </c>
      <c r="O2501" t="s">
        <v>1452</v>
      </c>
      <c r="P2501" t="s">
        <v>1455</v>
      </c>
      <c r="S2501">
        <v>470</v>
      </c>
      <c r="U2501" t="s">
        <v>112</v>
      </c>
      <c r="V2501" t="s">
        <v>112</v>
      </c>
      <c r="X2501" s="43">
        <v>3.6</v>
      </c>
      <c r="AA2501" s="43"/>
      <c r="AB2501" s="43">
        <v>0.2</v>
      </c>
      <c r="AC2501" s="43">
        <v>0.25650000000000001</v>
      </c>
      <c r="AK2501" s="147">
        <v>10381360</v>
      </c>
    </row>
    <row r="2502" spans="1:42" ht="19">
      <c r="A2502" s="39" t="s">
        <v>17</v>
      </c>
      <c r="B2502" s="8">
        <v>2024</v>
      </c>
      <c r="C2502" s="8" t="s">
        <v>109</v>
      </c>
      <c r="D2502" s="9" t="s">
        <v>109</v>
      </c>
      <c r="E2502" s="9" t="s">
        <v>111</v>
      </c>
      <c r="F2502" s="9" t="s">
        <v>111</v>
      </c>
      <c r="I2502" s="9" t="s">
        <v>87</v>
      </c>
      <c r="J2502" s="9" t="s">
        <v>87</v>
      </c>
      <c r="L2502" s="9" t="s">
        <v>1451</v>
      </c>
      <c r="M2502" t="s">
        <v>117</v>
      </c>
      <c r="O2502" t="s">
        <v>1452</v>
      </c>
      <c r="P2502" t="s">
        <v>1456</v>
      </c>
      <c r="S2502">
        <v>287</v>
      </c>
      <c r="U2502" t="s">
        <v>112</v>
      </c>
      <c r="V2502" t="s">
        <v>112</v>
      </c>
      <c r="X2502" s="43">
        <v>2.2000000000000002</v>
      </c>
      <c r="AA2502" s="43"/>
      <c r="AB2502" s="43">
        <v>0.1</v>
      </c>
      <c r="AC2502" s="43">
        <v>0.1575</v>
      </c>
      <c r="AK2502" s="147">
        <v>6339256</v>
      </c>
    </row>
    <row r="2503" spans="1:42" ht="19">
      <c r="A2503" s="39" t="s">
        <v>17</v>
      </c>
      <c r="B2503" s="8">
        <v>2024</v>
      </c>
      <c r="C2503" s="8" t="s">
        <v>109</v>
      </c>
      <c r="D2503" s="9" t="s">
        <v>109</v>
      </c>
      <c r="E2503" s="9" t="s">
        <v>111</v>
      </c>
      <c r="F2503" s="9" t="s">
        <v>111</v>
      </c>
      <c r="I2503" s="9" t="s">
        <v>87</v>
      </c>
      <c r="J2503" s="9" t="s">
        <v>87</v>
      </c>
      <c r="L2503" s="9" t="s">
        <v>1451</v>
      </c>
      <c r="M2503" t="s">
        <v>117</v>
      </c>
      <c r="O2503" t="s">
        <v>1452</v>
      </c>
      <c r="P2503" t="s">
        <v>1457</v>
      </c>
      <c r="S2503">
        <v>233</v>
      </c>
      <c r="U2503" t="s">
        <v>112</v>
      </c>
      <c r="V2503" t="s">
        <v>112</v>
      </c>
      <c r="X2503" s="43">
        <v>1.8</v>
      </c>
      <c r="AA2503" s="43"/>
      <c r="AB2503" s="43">
        <v>0.1</v>
      </c>
      <c r="AC2503" s="43">
        <v>0.126</v>
      </c>
      <c r="AK2503" s="147">
        <v>5146504</v>
      </c>
    </row>
    <row r="2504" spans="1:42" ht="19">
      <c r="A2504" s="39" t="s">
        <v>17</v>
      </c>
      <c r="B2504" s="8">
        <v>2024</v>
      </c>
      <c r="C2504" s="8" t="s">
        <v>109</v>
      </c>
      <c r="D2504" s="9" t="s">
        <v>109</v>
      </c>
      <c r="E2504" s="9" t="s">
        <v>111</v>
      </c>
      <c r="F2504" s="9" t="s">
        <v>111</v>
      </c>
      <c r="I2504" s="9" t="s">
        <v>87</v>
      </c>
      <c r="J2504" s="9" t="s">
        <v>87</v>
      </c>
      <c r="L2504" s="9" t="s">
        <v>1451</v>
      </c>
      <c r="M2504" t="s">
        <v>117</v>
      </c>
      <c r="O2504" t="s">
        <v>1458</v>
      </c>
      <c r="P2504" t="s">
        <v>1459</v>
      </c>
      <c r="S2504">
        <v>222</v>
      </c>
      <c r="U2504" t="s">
        <v>112</v>
      </c>
      <c r="V2504" t="s">
        <v>112</v>
      </c>
      <c r="X2504" s="43">
        <v>1.7</v>
      </c>
      <c r="AA2504" s="43"/>
      <c r="AB2504" s="43">
        <v>0.1</v>
      </c>
      <c r="AC2504" s="43">
        <v>0.1215</v>
      </c>
      <c r="AK2504" s="147">
        <v>4903536</v>
      </c>
    </row>
    <row r="2505" spans="1:42" ht="19">
      <c r="A2505" s="39" t="s">
        <v>17</v>
      </c>
      <c r="B2505" s="8">
        <v>2024</v>
      </c>
      <c r="C2505" s="8" t="s">
        <v>109</v>
      </c>
      <c r="D2505" s="9" t="s">
        <v>109</v>
      </c>
      <c r="E2505" s="9" t="s">
        <v>111</v>
      </c>
      <c r="F2505" s="9" t="s">
        <v>111</v>
      </c>
      <c r="I2505" s="9" t="s">
        <v>87</v>
      </c>
      <c r="J2505" s="9" t="s">
        <v>87</v>
      </c>
      <c r="L2505" s="9" t="s">
        <v>1451</v>
      </c>
      <c r="M2505" t="s">
        <v>117</v>
      </c>
      <c r="O2505" t="s">
        <v>1460</v>
      </c>
      <c r="P2505" t="s">
        <v>1461</v>
      </c>
      <c r="S2505">
        <v>77</v>
      </c>
      <c r="U2505" t="s">
        <v>112</v>
      </c>
      <c r="V2505" t="s">
        <v>112</v>
      </c>
      <c r="X2505" s="43">
        <v>0.6</v>
      </c>
      <c r="AA2505" s="43"/>
      <c r="AB2505" s="43">
        <v>0.05</v>
      </c>
      <c r="AC2505" s="43">
        <v>4.0500000000000001E-2</v>
      </c>
      <c r="AK2505" s="147">
        <v>1700776</v>
      </c>
    </row>
    <row r="2506" spans="1:42" ht="19">
      <c r="A2506" s="39" t="s">
        <v>17</v>
      </c>
      <c r="B2506" s="8">
        <v>2024</v>
      </c>
      <c r="C2506" s="8" t="s">
        <v>109</v>
      </c>
      <c r="D2506" s="9" t="s">
        <v>109</v>
      </c>
      <c r="E2506" s="9" t="s">
        <v>111</v>
      </c>
      <c r="F2506" s="9" t="s">
        <v>111</v>
      </c>
      <c r="I2506" s="9" t="s">
        <v>87</v>
      </c>
      <c r="J2506" s="9" t="s">
        <v>87</v>
      </c>
      <c r="L2506" s="9" t="s">
        <v>1451</v>
      </c>
      <c r="M2506" t="s">
        <v>117</v>
      </c>
      <c r="O2506" t="s">
        <v>1460</v>
      </c>
      <c r="P2506" t="s">
        <v>1462</v>
      </c>
      <c r="S2506">
        <v>221</v>
      </c>
      <c r="U2506" t="s">
        <v>112</v>
      </c>
      <c r="V2506" t="s">
        <v>112</v>
      </c>
      <c r="X2506" s="43">
        <v>1.7</v>
      </c>
      <c r="AA2506" s="43"/>
      <c r="AB2506" s="43">
        <v>0.1</v>
      </c>
      <c r="AC2506" s="43">
        <v>0.1215</v>
      </c>
      <c r="AK2506" s="147">
        <v>4881448</v>
      </c>
    </row>
    <row r="2507" spans="1:42" ht="19">
      <c r="A2507" s="39" t="s">
        <v>17</v>
      </c>
      <c r="B2507" s="8">
        <v>2024</v>
      </c>
      <c r="C2507" s="8" t="s">
        <v>109</v>
      </c>
      <c r="D2507" s="9" t="s">
        <v>109</v>
      </c>
      <c r="E2507" s="9" t="s">
        <v>111</v>
      </c>
      <c r="F2507" s="9" t="s">
        <v>111</v>
      </c>
      <c r="I2507" s="9" t="s">
        <v>87</v>
      </c>
      <c r="J2507" s="9" t="s">
        <v>87</v>
      </c>
      <c r="L2507" s="9" t="s">
        <v>1451</v>
      </c>
      <c r="M2507" t="s">
        <v>117</v>
      </c>
      <c r="O2507" t="s">
        <v>1460</v>
      </c>
      <c r="P2507" t="s">
        <v>1463</v>
      </c>
      <c r="S2507">
        <v>73</v>
      </c>
      <c r="U2507" t="s">
        <v>112</v>
      </c>
      <c r="V2507" t="s">
        <v>112</v>
      </c>
      <c r="X2507" s="43">
        <v>0.55000000000000004</v>
      </c>
      <c r="AA2507" s="43"/>
      <c r="AB2507" s="43">
        <v>0.05</v>
      </c>
      <c r="AC2507" s="43">
        <v>4.0500000000000001E-2</v>
      </c>
      <c r="AK2507" s="147">
        <v>1612424</v>
      </c>
    </row>
    <row r="2508" spans="1:42" ht="19">
      <c r="A2508" s="39" t="s">
        <v>17</v>
      </c>
      <c r="B2508" s="8">
        <v>2024</v>
      </c>
      <c r="C2508" s="8" t="s">
        <v>109</v>
      </c>
      <c r="D2508" s="9" t="s">
        <v>109</v>
      </c>
      <c r="E2508" s="9" t="s">
        <v>111</v>
      </c>
      <c r="F2508" s="9" t="s">
        <v>111</v>
      </c>
      <c r="I2508" s="9" t="s">
        <v>87</v>
      </c>
      <c r="J2508" s="9" t="s">
        <v>87</v>
      </c>
      <c r="L2508" s="9" t="s">
        <v>1451</v>
      </c>
      <c r="M2508" t="s">
        <v>117</v>
      </c>
      <c r="O2508" t="s">
        <v>1460</v>
      </c>
      <c r="P2508" t="s">
        <v>1464</v>
      </c>
      <c r="S2508">
        <v>99</v>
      </c>
      <c r="U2508" t="s">
        <v>112</v>
      </c>
      <c r="V2508" t="s">
        <v>112</v>
      </c>
      <c r="X2508" s="43">
        <v>0.75</v>
      </c>
      <c r="AA2508" s="43"/>
      <c r="AB2508" s="43">
        <v>0.05</v>
      </c>
      <c r="AC2508" s="43">
        <v>5.3999999999999999E-2</v>
      </c>
      <c r="AK2508" s="147">
        <v>2186712</v>
      </c>
    </row>
    <row r="2509" spans="1:42" ht="19">
      <c r="A2509" s="39" t="s">
        <v>17</v>
      </c>
      <c r="B2509" s="8">
        <v>2024</v>
      </c>
      <c r="C2509" s="8" t="s">
        <v>109</v>
      </c>
      <c r="D2509" s="9" t="s">
        <v>109</v>
      </c>
      <c r="E2509" s="9" t="s">
        <v>111</v>
      </c>
      <c r="F2509" s="9" t="s">
        <v>111</v>
      </c>
      <c r="I2509" s="9" t="s">
        <v>87</v>
      </c>
      <c r="J2509" s="9" t="s">
        <v>87</v>
      </c>
      <c r="L2509" s="9" t="s">
        <v>1451</v>
      </c>
      <c r="M2509" t="s">
        <v>117</v>
      </c>
      <c r="O2509" t="s">
        <v>1460</v>
      </c>
      <c r="P2509" t="s">
        <v>1465</v>
      </c>
      <c r="S2509">
        <v>151</v>
      </c>
      <c r="U2509" t="s">
        <v>112</v>
      </c>
      <c r="V2509" t="s">
        <v>112</v>
      </c>
      <c r="X2509" s="43">
        <v>1.1499999999999999</v>
      </c>
      <c r="AA2509" s="43"/>
      <c r="AB2509" s="43">
        <v>0.05</v>
      </c>
      <c r="AC2509" s="43">
        <v>8.1000000000000003E-2</v>
      </c>
      <c r="AK2509" s="147">
        <v>3335288</v>
      </c>
    </row>
    <row r="2510" spans="1:42" ht="19">
      <c r="A2510" s="39" t="s">
        <v>17</v>
      </c>
      <c r="B2510" s="8">
        <v>2024</v>
      </c>
      <c r="C2510" s="8" t="s">
        <v>109</v>
      </c>
      <c r="D2510" s="9" t="s">
        <v>109</v>
      </c>
      <c r="E2510" s="9" t="s">
        <v>111</v>
      </c>
      <c r="F2510" s="9" t="s">
        <v>111</v>
      </c>
      <c r="I2510" s="9" t="s">
        <v>87</v>
      </c>
      <c r="J2510" s="9" t="s">
        <v>87</v>
      </c>
      <c r="L2510" s="9" t="s">
        <v>1451</v>
      </c>
      <c r="M2510" t="s">
        <v>117</v>
      </c>
      <c r="O2510" t="s">
        <v>1460</v>
      </c>
      <c r="P2510" t="s">
        <v>1466</v>
      </c>
      <c r="S2510">
        <v>305</v>
      </c>
      <c r="U2510" t="s">
        <v>112</v>
      </c>
      <c r="V2510" t="s">
        <v>112</v>
      </c>
      <c r="X2510" s="43">
        <v>2.35</v>
      </c>
      <c r="AA2510" s="43"/>
      <c r="AB2510" s="43">
        <v>0.15</v>
      </c>
      <c r="AC2510" s="43">
        <v>0.16650000000000001</v>
      </c>
      <c r="AK2510" s="147">
        <v>6736840</v>
      </c>
    </row>
    <row r="2511" spans="1:42" ht="19">
      <c r="A2511" s="39" t="s">
        <v>17</v>
      </c>
      <c r="B2511" s="8">
        <v>2024</v>
      </c>
      <c r="C2511" s="8" t="s">
        <v>109</v>
      </c>
      <c r="D2511" s="9" t="s">
        <v>109</v>
      </c>
      <c r="E2511" s="9" t="s">
        <v>111</v>
      </c>
      <c r="F2511" s="9" t="s">
        <v>111</v>
      </c>
      <c r="I2511" s="9" t="s">
        <v>87</v>
      </c>
      <c r="J2511" s="9" t="s">
        <v>87</v>
      </c>
      <c r="L2511" s="9" t="s">
        <v>1451</v>
      </c>
      <c r="M2511" t="s">
        <v>117</v>
      </c>
      <c r="O2511" t="s">
        <v>1467</v>
      </c>
      <c r="P2511" t="s">
        <v>1468</v>
      </c>
      <c r="S2511">
        <v>451</v>
      </c>
      <c r="U2511" t="s">
        <v>112</v>
      </c>
      <c r="V2511" t="s">
        <v>112</v>
      </c>
      <c r="X2511" s="43">
        <v>3.45</v>
      </c>
      <c r="AA2511" s="43"/>
      <c r="AB2511" s="43">
        <v>0.15</v>
      </c>
      <c r="AC2511" s="43">
        <v>0.2475</v>
      </c>
      <c r="AK2511" s="147">
        <v>9961688</v>
      </c>
    </row>
    <row r="2512" spans="1:42" ht="19">
      <c r="A2512" s="39" t="s">
        <v>17</v>
      </c>
      <c r="B2512" s="8">
        <v>2024</v>
      </c>
      <c r="C2512" s="8" t="s">
        <v>109</v>
      </c>
      <c r="D2512" s="9" t="s">
        <v>109</v>
      </c>
      <c r="E2512" s="9" t="s">
        <v>111</v>
      </c>
      <c r="F2512" s="9" t="s">
        <v>111</v>
      </c>
      <c r="I2512" s="9" t="s">
        <v>87</v>
      </c>
      <c r="J2512" s="9" t="s">
        <v>87</v>
      </c>
      <c r="L2512" s="9" t="s">
        <v>1451</v>
      </c>
      <c r="M2512" t="s">
        <v>117</v>
      </c>
      <c r="O2512" t="s">
        <v>1467</v>
      </c>
      <c r="P2512" t="s">
        <v>1469</v>
      </c>
      <c r="S2512">
        <v>242</v>
      </c>
      <c r="U2512" t="s">
        <v>112</v>
      </c>
      <c r="V2512" t="s">
        <v>112</v>
      </c>
      <c r="X2512" s="43">
        <v>1.85</v>
      </c>
      <c r="AA2512" s="43"/>
      <c r="AB2512" s="43">
        <v>0.1</v>
      </c>
      <c r="AC2512" s="43">
        <v>0.13500000000000001</v>
      </c>
      <c r="AK2512" s="147">
        <v>5345296</v>
      </c>
    </row>
    <row r="2513" spans="1:37" ht="19">
      <c r="A2513" s="39" t="s">
        <v>17</v>
      </c>
      <c r="B2513" s="8">
        <v>2024</v>
      </c>
      <c r="C2513" s="8" t="s">
        <v>109</v>
      </c>
      <c r="D2513" s="9" t="s">
        <v>109</v>
      </c>
      <c r="E2513" s="9" t="s">
        <v>111</v>
      </c>
      <c r="F2513" s="9" t="s">
        <v>111</v>
      </c>
      <c r="I2513" s="9" t="s">
        <v>87</v>
      </c>
      <c r="J2513" s="9" t="s">
        <v>87</v>
      </c>
      <c r="L2513" s="9" t="s">
        <v>1451</v>
      </c>
      <c r="M2513" t="s">
        <v>117</v>
      </c>
      <c r="O2513" t="s">
        <v>1470</v>
      </c>
      <c r="P2513" t="s">
        <v>1471</v>
      </c>
      <c r="S2513">
        <v>199</v>
      </c>
      <c r="U2513" t="s">
        <v>112</v>
      </c>
      <c r="V2513" t="s">
        <v>112</v>
      </c>
      <c r="X2513" s="43">
        <v>1.55</v>
      </c>
      <c r="AA2513" s="43"/>
      <c r="AB2513" s="43">
        <v>0.1</v>
      </c>
      <c r="AC2513" s="43">
        <v>0.108</v>
      </c>
      <c r="AK2513" s="147">
        <v>4395512</v>
      </c>
    </row>
    <row r="2514" spans="1:37" ht="19">
      <c r="A2514" s="39" t="s">
        <v>17</v>
      </c>
      <c r="B2514" s="8">
        <v>2024</v>
      </c>
      <c r="C2514" s="8" t="s">
        <v>109</v>
      </c>
      <c r="D2514" s="9" t="s">
        <v>109</v>
      </c>
      <c r="E2514" s="9" t="s">
        <v>111</v>
      </c>
      <c r="F2514" s="9" t="s">
        <v>111</v>
      </c>
      <c r="I2514" s="9" t="s">
        <v>87</v>
      </c>
      <c r="J2514" s="9" t="s">
        <v>87</v>
      </c>
      <c r="L2514" s="9" t="s">
        <v>1451</v>
      </c>
      <c r="M2514" t="s">
        <v>117</v>
      </c>
      <c r="O2514" t="s">
        <v>1470</v>
      </c>
      <c r="P2514" t="s">
        <v>1472</v>
      </c>
      <c r="S2514">
        <v>223</v>
      </c>
      <c r="U2514" t="s">
        <v>112</v>
      </c>
      <c r="V2514" t="s">
        <v>112</v>
      </c>
      <c r="X2514" s="43">
        <v>1.7</v>
      </c>
      <c r="AA2514" s="43"/>
      <c r="AB2514" s="43">
        <v>0.1</v>
      </c>
      <c r="AC2514" s="43">
        <v>0.1215</v>
      </c>
      <c r="AK2514" s="147">
        <v>4925624</v>
      </c>
    </row>
    <row r="2515" spans="1:37" ht="19">
      <c r="A2515" s="39" t="s">
        <v>17</v>
      </c>
      <c r="B2515" s="8">
        <v>2024</v>
      </c>
      <c r="C2515" s="8" t="s">
        <v>109</v>
      </c>
      <c r="D2515" s="9" t="s">
        <v>109</v>
      </c>
      <c r="E2515" s="9" t="s">
        <v>111</v>
      </c>
      <c r="F2515" s="9" t="s">
        <v>111</v>
      </c>
      <c r="I2515" s="9" t="s">
        <v>87</v>
      </c>
      <c r="J2515" s="9" t="s">
        <v>87</v>
      </c>
      <c r="L2515" s="9" t="s">
        <v>1451</v>
      </c>
      <c r="M2515" t="s">
        <v>117</v>
      </c>
      <c r="O2515" t="s">
        <v>117</v>
      </c>
      <c r="P2515" t="s">
        <v>1473</v>
      </c>
      <c r="S2515">
        <v>767</v>
      </c>
      <c r="U2515" t="s">
        <v>112</v>
      </c>
      <c r="V2515" t="s">
        <v>112</v>
      </c>
      <c r="X2515" s="43">
        <v>5.9</v>
      </c>
      <c r="AA2515" s="43"/>
      <c r="AB2515" s="43">
        <v>0.3</v>
      </c>
      <c r="AC2515" s="43">
        <v>0.42299999999999999</v>
      </c>
      <c r="AK2515" s="147">
        <v>16941496</v>
      </c>
    </row>
    <row r="2516" spans="1:37" ht="19">
      <c r="A2516" s="39" t="s">
        <v>17</v>
      </c>
      <c r="B2516" s="8">
        <v>2024</v>
      </c>
      <c r="C2516" s="8" t="s">
        <v>109</v>
      </c>
      <c r="D2516" s="9" t="s">
        <v>109</v>
      </c>
      <c r="E2516" s="9" t="s">
        <v>111</v>
      </c>
      <c r="F2516" s="9" t="s">
        <v>111</v>
      </c>
      <c r="I2516" s="9" t="s">
        <v>87</v>
      </c>
      <c r="J2516" s="9" t="s">
        <v>87</v>
      </c>
      <c r="L2516" s="9" t="s">
        <v>1451</v>
      </c>
      <c r="M2516" t="s">
        <v>117</v>
      </c>
      <c r="O2516" t="s">
        <v>117</v>
      </c>
      <c r="P2516" t="s">
        <v>1474</v>
      </c>
      <c r="S2516">
        <v>157</v>
      </c>
      <c r="U2516" t="s">
        <v>112</v>
      </c>
      <c r="V2516" t="s">
        <v>112</v>
      </c>
      <c r="X2516" s="43">
        <v>1.2</v>
      </c>
      <c r="AA2516" s="43"/>
      <c r="AB2516" s="43">
        <v>0.1</v>
      </c>
      <c r="AC2516" s="43">
        <v>8.5500000000000007E-2</v>
      </c>
      <c r="AK2516" s="147">
        <v>3467816</v>
      </c>
    </row>
    <row r="2517" spans="1:37" ht="19">
      <c r="A2517" s="39" t="s">
        <v>17</v>
      </c>
      <c r="B2517" s="8">
        <v>2024</v>
      </c>
      <c r="C2517" s="8" t="s">
        <v>109</v>
      </c>
      <c r="D2517" s="9" t="s">
        <v>109</v>
      </c>
      <c r="E2517" s="9" t="s">
        <v>111</v>
      </c>
      <c r="F2517" s="9" t="s">
        <v>111</v>
      </c>
      <c r="I2517" s="9" t="s">
        <v>87</v>
      </c>
      <c r="J2517" s="9" t="s">
        <v>87</v>
      </c>
      <c r="L2517" s="9" t="s">
        <v>1451</v>
      </c>
      <c r="M2517" t="s">
        <v>117</v>
      </c>
      <c r="O2517" t="s">
        <v>117</v>
      </c>
      <c r="P2517" t="s">
        <v>1475</v>
      </c>
      <c r="S2517">
        <v>302</v>
      </c>
      <c r="U2517" t="s">
        <v>112</v>
      </c>
      <c r="V2517" t="s">
        <v>112</v>
      </c>
      <c r="X2517" s="43">
        <v>2.35</v>
      </c>
      <c r="AA2517" s="43"/>
      <c r="AB2517" s="43">
        <v>0.1</v>
      </c>
      <c r="AC2517" s="43">
        <v>0.16650000000000001</v>
      </c>
      <c r="AK2517" s="147">
        <v>6670576</v>
      </c>
    </row>
    <row r="2518" spans="1:37" ht="19">
      <c r="A2518" s="39" t="s">
        <v>17</v>
      </c>
      <c r="B2518" s="8">
        <v>2024</v>
      </c>
      <c r="C2518" s="8" t="s">
        <v>109</v>
      </c>
      <c r="D2518" s="9" t="s">
        <v>109</v>
      </c>
      <c r="E2518" s="9" t="s">
        <v>111</v>
      </c>
      <c r="F2518" s="9" t="s">
        <v>111</v>
      </c>
      <c r="I2518" s="9" t="s">
        <v>87</v>
      </c>
      <c r="J2518" s="9" t="s">
        <v>87</v>
      </c>
      <c r="L2518" s="9" t="s">
        <v>1451</v>
      </c>
      <c r="M2518" t="s">
        <v>117</v>
      </c>
      <c r="O2518" t="s">
        <v>117</v>
      </c>
      <c r="P2518" t="s">
        <v>1476</v>
      </c>
      <c r="S2518">
        <v>513</v>
      </c>
      <c r="U2518" t="s">
        <v>112</v>
      </c>
      <c r="V2518" t="s">
        <v>112</v>
      </c>
      <c r="X2518" s="43">
        <v>3.95</v>
      </c>
      <c r="AA2518" s="43"/>
      <c r="AB2518" s="43">
        <v>0.2</v>
      </c>
      <c r="AC2518" s="43">
        <v>0.28349999999999997</v>
      </c>
      <c r="AK2518" s="147">
        <v>11331144</v>
      </c>
    </row>
    <row r="2519" spans="1:37" ht="19">
      <c r="A2519" s="39" t="s">
        <v>17</v>
      </c>
      <c r="B2519" s="8">
        <v>2024</v>
      </c>
      <c r="C2519" s="8" t="s">
        <v>109</v>
      </c>
      <c r="D2519" s="9" t="s">
        <v>109</v>
      </c>
      <c r="E2519" s="9" t="s">
        <v>111</v>
      </c>
      <c r="F2519" s="9" t="s">
        <v>111</v>
      </c>
      <c r="I2519" s="9" t="s">
        <v>87</v>
      </c>
      <c r="J2519" s="9" t="s">
        <v>87</v>
      </c>
      <c r="L2519" s="9" t="s">
        <v>1477</v>
      </c>
      <c r="M2519" t="s">
        <v>120</v>
      </c>
      <c r="O2519" t="s">
        <v>1478</v>
      </c>
      <c r="P2519" t="s">
        <v>1479</v>
      </c>
      <c r="S2519">
        <v>286</v>
      </c>
      <c r="U2519" t="s">
        <v>112</v>
      </c>
      <c r="V2519" t="s">
        <v>112</v>
      </c>
      <c r="X2519" s="43">
        <v>2.2000000000000002</v>
      </c>
      <c r="AA2519" s="43"/>
      <c r="AB2519" s="43">
        <v>0.1</v>
      </c>
      <c r="AC2519" s="43">
        <v>0.1575</v>
      </c>
      <c r="AK2519" s="147">
        <v>6317168</v>
      </c>
    </row>
    <row r="2520" spans="1:37" ht="19">
      <c r="A2520" s="39" t="s">
        <v>17</v>
      </c>
      <c r="B2520" s="8">
        <v>2024</v>
      </c>
      <c r="C2520" s="8" t="s">
        <v>109</v>
      </c>
      <c r="D2520" s="9" t="s">
        <v>109</v>
      </c>
      <c r="E2520" s="9" t="s">
        <v>111</v>
      </c>
      <c r="F2520" s="9" t="s">
        <v>111</v>
      </c>
      <c r="I2520" s="9" t="s">
        <v>87</v>
      </c>
      <c r="J2520" s="9" t="s">
        <v>87</v>
      </c>
      <c r="L2520" s="9" t="s">
        <v>1477</v>
      </c>
      <c r="M2520" t="s">
        <v>120</v>
      </c>
      <c r="O2520" t="s">
        <v>1478</v>
      </c>
      <c r="P2520" t="s">
        <v>1480</v>
      </c>
      <c r="S2520">
        <v>233</v>
      </c>
      <c r="U2520" t="s">
        <v>112</v>
      </c>
      <c r="V2520" t="s">
        <v>112</v>
      </c>
      <c r="X2520" s="43">
        <v>1.8</v>
      </c>
      <c r="AA2520" s="43"/>
      <c r="AB2520" s="43">
        <v>0.1</v>
      </c>
      <c r="AC2520" s="43">
        <v>0.126</v>
      </c>
      <c r="AK2520" s="147">
        <v>5146504</v>
      </c>
    </row>
    <row r="2521" spans="1:37" ht="19">
      <c r="A2521" s="39" t="s">
        <v>17</v>
      </c>
      <c r="B2521" s="8">
        <v>2024</v>
      </c>
      <c r="C2521" s="8" t="s">
        <v>109</v>
      </c>
      <c r="D2521" s="9" t="s">
        <v>109</v>
      </c>
      <c r="E2521" s="9" t="s">
        <v>111</v>
      </c>
      <c r="F2521" s="9" t="s">
        <v>111</v>
      </c>
      <c r="I2521" s="9" t="s">
        <v>87</v>
      </c>
      <c r="J2521" s="9" t="s">
        <v>87</v>
      </c>
      <c r="L2521" s="9" t="s">
        <v>1481</v>
      </c>
      <c r="M2521" t="s">
        <v>118</v>
      </c>
      <c r="O2521" t="s">
        <v>1482</v>
      </c>
      <c r="P2521" t="s">
        <v>1483</v>
      </c>
      <c r="S2521">
        <v>161</v>
      </c>
      <c r="U2521" t="s">
        <v>112</v>
      </c>
      <c r="V2521" t="s">
        <v>1484</v>
      </c>
      <c r="X2521" s="43">
        <v>0.55000000000000004</v>
      </c>
      <c r="AA2521" s="43"/>
      <c r="AB2521" s="43">
        <v>0.05</v>
      </c>
      <c r="AC2521" s="43">
        <v>4.0500000000000001E-2</v>
      </c>
      <c r="AK2521" s="147">
        <v>3556168</v>
      </c>
    </row>
    <row r="2522" spans="1:37" ht="19">
      <c r="A2522" s="39" t="s">
        <v>17</v>
      </c>
      <c r="B2522" s="8">
        <v>2024</v>
      </c>
      <c r="C2522" s="8" t="s">
        <v>109</v>
      </c>
      <c r="D2522" s="9" t="s">
        <v>109</v>
      </c>
      <c r="E2522" s="9" t="s">
        <v>111</v>
      </c>
      <c r="F2522" s="9" t="s">
        <v>111</v>
      </c>
      <c r="I2522" s="9" t="s">
        <v>87</v>
      </c>
      <c r="J2522" s="9" t="s">
        <v>87</v>
      </c>
      <c r="L2522" s="9" t="s">
        <v>1481</v>
      </c>
      <c r="M2522" t="s">
        <v>118</v>
      </c>
      <c r="O2522" t="s">
        <v>1485</v>
      </c>
      <c r="P2522" t="s">
        <v>1486</v>
      </c>
      <c r="S2522">
        <v>463</v>
      </c>
      <c r="U2522" t="s">
        <v>112</v>
      </c>
      <c r="V2522" t="s">
        <v>1484</v>
      </c>
      <c r="X2522" s="43">
        <v>1.5</v>
      </c>
      <c r="AA2522" s="43"/>
      <c r="AB2522" s="43">
        <v>0.1</v>
      </c>
      <c r="AC2522" s="43">
        <v>0.1125</v>
      </c>
      <c r="AK2522" s="147">
        <v>10226744</v>
      </c>
    </row>
    <row r="2523" spans="1:37" ht="19">
      <c r="A2523" s="39" t="s">
        <v>17</v>
      </c>
      <c r="B2523" s="8">
        <v>2024</v>
      </c>
      <c r="C2523" s="8" t="s">
        <v>109</v>
      </c>
      <c r="D2523" s="9" t="s">
        <v>109</v>
      </c>
      <c r="E2523" s="9" t="s">
        <v>111</v>
      </c>
      <c r="F2523" s="9" t="s">
        <v>111</v>
      </c>
      <c r="I2523" s="9" t="s">
        <v>87</v>
      </c>
      <c r="J2523" s="9" t="s">
        <v>87</v>
      </c>
      <c r="L2523" s="9" t="s">
        <v>1481</v>
      </c>
      <c r="M2523" t="s">
        <v>118</v>
      </c>
      <c r="O2523" t="s">
        <v>1487</v>
      </c>
      <c r="P2523" t="s">
        <v>1488</v>
      </c>
      <c r="S2523">
        <v>353</v>
      </c>
      <c r="U2523" t="s">
        <v>112</v>
      </c>
      <c r="V2523" t="s">
        <v>1484</v>
      </c>
      <c r="X2523" s="43">
        <v>1.1499999999999999</v>
      </c>
      <c r="AA2523" s="43"/>
      <c r="AB2523" s="43">
        <v>0.05</v>
      </c>
      <c r="AC2523" s="43">
        <v>8.1000000000000003E-2</v>
      </c>
      <c r="AK2523" s="147">
        <v>7797064</v>
      </c>
    </row>
    <row r="2524" spans="1:37" ht="19">
      <c r="A2524" s="39" t="s">
        <v>17</v>
      </c>
      <c r="B2524" s="8">
        <v>2024</v>
      </c>
      <c r="C2524" s="8" t="s">
        <v>109</v>
      </c>
      <c r="D2524" s="9" t="s">
        <v>109</v>
      </c>
      <c r="E2524" s="9" t="s">
        <v>111</v>
      </c>
      <c r="F2524" s="9" t="s">
        <v>111</v>
      </c>
      <c r="I2524" s="9" t="s">
        <v>87</v>
      </c>
      <c r="J2524" s="9" t="s">
        <v>87</v>
      </c>
      <c r="L2524" s="9" t="s">
        <v>1481</v>
      </c>
      <c r="M2524" t="s">
        <v>118</v>
      </c>
      <c r="O2524" t="s">
        <v>1489</v>
      </c>
      <c r="P2524" t="s">
        <v>1490</v>
      </c>
      <c r="S2524">
        <v>171</v>
      </c>
      <c r="U2524" t="s">
        <v>112</v>
      </c>
      <c r="V2524" t="s">
        <v>1484</v>
      </c>
      <c r="X2524" s="43">
        <v>0.55000000000000004</v>
      </c>
      <c r="AA2524" s="43"/>
      <c r="AB2524" s="43">
        <v>0.05</v>
      </c>
      <c r="AC2524" s="43">
        <v>4.0500000000000001E-2</v>
      </c>
      <c r="AK2524" s="147">
        <v>3777048</v>
      </c>
    </row>
    <row r="2525" spans="1:37" ht="19">
      <c r="A2525" s="39" t="s">
        <v>17</v>
      </c>
      <c r="B2525" s="8">
        <v>2024</v>
      </c>
      <c r="C2525" s="8" t="s">
        <v>109</v>
      </c>
      <c r="D2525" s="9" t="s">
        <v>109</v>
      </c>
      <c r="E2525" s="9" t="s">
        <v>111</v>
      </c>
      <c r="F2525" s="9" t="s">
        <v>111</v>
      </c>
      <c r="I2525" s="9" t="s">
        <v>87</v>
      </c>
      <c r="J2525" s="9" t="s">
        <v>87</v>
      </c>
      <c r="L2525" s="9" t="s">
        <v>1481</v>
      </c>
      <c r="M2525" t="s">
        <v>118</v>
      </c>
      <c r="O2525" t="s">
        <v>1491</v>
      </c>
      <c r="P2525" t="s">
        <v>1492</v>
      </c>
      <c r="S2525">
        <v>243</v>
      </c>
      <c r="U2525" t="s">
        <v>112</v>
      </c>
      <c r="V2525" t="s">
        <v>1484</v>
      </c>
      <c r="X2525" s="43">
        <v>0.8</v>
      </c>
      <c r="AA2525" s="43"/>
      <c r="AB2525" s="43">
        <v>0.05</v>
      </c>
      <c r="AC2525" s="43">
        <v>5.8500000000000003E-2</v>
      </c>
      <c r="AK2525" s="147">
        <v>5367384</v>
      </c>
    </row>
    <row r="2526" spans="1:37" ht="19">
      <c r="A2526" s="39" t="s">
        <v>17</v>
      </c>
      <c r="B2526" s="8">
        <v>2024</v>
      </c>
      <c r="C2526" s="8" t="s">
        <v>109</v>
      </c>
      <c r="D2526" s="9" t="s">
        <v>109</v>
      </c>
      <c r="E2526" s="9" t="s">
        <v>111</v>
      </c>
      <c r="F2526" s="9" t="s">
        <v>111</v>
      </c>
      <c r="I2526" s="9" t="s">
        <v>87</v>
      </c>
      <c r="J2526" s="9" t="s">
        <v>87</v>
      </c>
      <c r="L2526" s="9" t="s">
        <v>1493</v>
      </c>
      <c r="M2526" t="s">
        <v>121</v>
      </c>
      <c r="O2526" t="s">
        <v>1494</v>
      </c>
      <c r="P2526" t="s">
        <v>1495</v>
      </c>
      <c r="S2526">
        <v>111</v>
      </c>
      <c r="U2526" t="s">
        <v>112</v>
      </c>
      <c r="V2526" t="s">
        <v>1484</v>
      </c>
      <c r="X2526" s="43">
        <v>0.4</v>
      </c>
      <c r="AA2526" s="43"/>
      <c r="AB2526" s="43">
        <v>0</v>
      </c>
      <c r="AC2526" s="43">
        <v>3.15E-2</v>
      </c>
      <c r="AK2526" s="147">
        <v>2451768</v>
      </c>
    </row>
    <row r="2527" spans="1:37" ht="19">
      <c r="A2527" s="39" t="s">
        <v>17</v>
      </c>
      <c r="B2527" s="8">
        <v>2024</v>
      </c>
      <c r="C2527" s="8" t="s">
        <v>109</v>
      </c>
      <c r="D2527" s="9" t="s">
        <v>109</v>
      </c>
      <c r="E2527" s="9" t="s">
        <v>111</v>
      </c>
      <c r="F2527" s="9" t="s">
        <v>111</v>
      </c>
      <c r="I2527" s="9" t="s">
        <v>87</v>
      </c>
      <c r="J2527" s="9" t="s">
        <v>87</v>
      </c>
      <c r="L2527" s="9" t="s">
        <v>1493</v>
      </c>
      <c r="M2527" t="s">
        <v>121</v>
      </c>
      <c r="O2527" t="s">
        <v>1496</v>
      </c>
      <c r="P2527" t="s">
        <v>1497</v>
      </c>
      <c r="S2527">
        <v>86</v>
      </c>
      <c r="U2527" t="s">
        <v>112</v>
      </c>
      <c r="V2527" t="s">
        <v>1484</v>
      </c>
      <c r="X2527" s="43">
        <v>0.3</v>
      </c>
      <c r="AA2527" s="43"/>
      <c r="AB2527" s="43">
        <v>0</v>
      </c>
      <c r="AC2527" s="43">
        <v>2.2499999999999999E-2</v>
      </c>
      <c r="AK2527" s="147">
        <v>1899568</v>
      </c>
    </row>
    <row r="2528" spans="1:37" ht="19">
      <c r="A2528" s="39" t="s">
        <v>17</v>
      </c>
      <c r="B2528" s="8">
        <v>2024</v>
      </c>
      <c r="C2528" s="8" t="s">
        <v>109</v>
      </c>
      <c r="D2528" s="9" t="s">
        <v>109</v>
      </c>
      <c r="E2528" s="9" t="s">
        <v>111</v>
      </c>
      <c r="F2528" s="9" t="s">
        <v>111</v>
      </c>
      <c r="I2528" s="9" t="s">
        <v>87</v>
      </c>
      <c r="J2528" s="9" t="s">
        <v>87</v>
      </c>
      <c r="L2528" s="9" t="s">
        <v>1493</v>
      </c>
      <c r="M2528" t="s">
        <v>121</v>
      </c>
      <c r="O2528" t="s">
        <v>1498</v>
      </c>
      <c r="P2528" t="s">
        <v>1499</v>
      </c>
      <c r="S2528">
        <v>322</v>
      </c>
      <c r="U2528" t="s">
        <v>112</v>
      </c>
      <c r="V2528" t="s">
        <v>1484</v>
      </c>
      <c r="X2528" s="43">
        <v>1.1000000000000001</v>
      </c>
      <c r="AA2528" s="43"/>
      <c r="AB2528" s="43">
        <v>0.05</v>
      </c>
      <c r="AC2528" s="43">
        <v>7.6499999999999999E-2</v>
      </c>
      <c r="AK2528" s="147">
        <v>7112336</v>
      </c>
    </row>
    <row r="2529" spans="1:37" ht="19">
      <c r="A2529" s="39" t="s">
        <v>17</v>
      </c>
      <c r="B2529" s="8">
        <v>2024</v>
      </c>
      <c r="C2529" s="8" t="s">
        <v>109</v>
      </c>
      <c r="D2529" s="9" t="s">
        <v>109</v>
      </c>
      <c r="E2529" s="9" t="s">
        <v>111</v>
      </c>
      <c r="F2529" s="9" t="s">
        <v>111</v>
      </c>
      <c r="I2529" s="9" t="s">
        <v>87</v>
      </c>
      <c r="J2529" s="9" t="s">
        <v>87</v>
      </c>
      <c r="L2529" s="9" t="s">
        <v>1493</v>
      </c>
      <c r="M2529" t="s">
        <v>121</v>
      </c>
      <c r="O2529" t="s">
        <v>1498</v>
      </c>
      <c r="P2529" t="s">
        <v>1500</v>
      </c>
      <c r="S2529">
        <v>164</v>
      </c>
      <c r="U2529" t="s">
        <v>112</v>
      </c>
      <c r="V2529" t="s">
        <v>1484</v>
      </c>
      <c r="X2529" s="43">
        <v>0.55000000000000004</v>
      </c>
      <c r="AA2529" s="43"/>
      <c r="AB2529" s="43">
        <v>0.05</v>
      </c>
      <c r="AC2529" s="43">
        <v>4.0500000000000001E-2</v>
      </c>
      <c r="AK2529" s="147">
        <v>3622432</v>
      </c>
    </row>
    <row r="2530" spans="1:37" ht="19">
      <c r="A2530" s="39" t="s">
        <v>17</v>
      </c>
      <c r="B2530" s="8">
        <v>2024</v>
      </c>
      <c r="C2530" s="8" t="s">
        <v>109</v>
      </c>
      <c r="D2530" s="9" t="s">
        <v>109</v>
      </c>
      <c r="E2530" s="9" t="s">
        <v>111</v>
      </c>
      <c r="F2530" s="9" t="s">
        <v>111</v>
      </c>
      <c r="I2530" s="9" t="s">
        <v>87</v>
      </c>
      <c r="J2530" s="9" t="s">
        <v>87</v>
      </c>
      <c r="L2530" s="9" t="s">
        <v>1493</v>
      </c>
      <c r="M2530" t="s">
        <v>121</v>
      </c>
      <c r="O2530" t="s">
        <v>1501</v>
      </c>
      <c r="P2530" t="s">
        <v>1502</v>
      </c>
      <c r="S2530">
        <v>176</v>
      </c>
      <c r="U2530" t="s">
        <v>112</v>
      </c>
      <c r="V2530" t="s">
        <v>1484</v>
      </c>
      <c r="X2530" s="43">
        <v>0.6</v>
      </c>
      <c r="AA2530" s="43"/>
      <c r="AB2530" s="43">
        <v>0.05</v>
      </c>
      <c r="AC2530" s="43">
        <v>4.4999999999999998E-2</v>
      </c>
      <c r="AK2530" s="147">
        <v>3887488</v>
      </c>
    </row>
    <row r="2531" spans="1:37" ht="19">
      <c r="A2531" s="39" t="s">
        <v>17</v>
      </c>
      <c r="B2531" s="8">
        <v>2024</v>
      </c>
      <c r="C2531" s="8" t="s">
        <v>109</v>
      </c>
      <c r="D2531" s="9" t="s">
        <v>109</v>
      </c>
      <c r="E2531" s="9" t="s">
        <v>111</v>
      </c>
      <c r="F2531" s="9" t="s">
        <v>111</v>
      </c>
      <c r="I2531" s="9" t="s">
        <v>87</v>
      </c>
      <c r="J2531" s="9" t="s">
        <v>87</v>
      </c>
      <c r="L2531" s="9" t="s">
        <v>1493</v>
      </c>
      <c r="M2531" t="s">
        <v>119</v>
      </c>
      <c r="O2531" t="s">
        <v>1503</v>
      </c>
      <c r="P2531" t="s">
        <v>1504</v>
      </c>
      <c r="S2531">
        <v>112</v>
      </c>
      <c r="U2531" t="s">
        <v>112</v>
      </c>
      <c r="V2531" t="s">
        <v>1484</v>
      </c>
      <c r="X2531" s="43">
        <v>0.35</v>
      </c>
      <c r="AA2531" s="43"/>
      <c r="AB2531" s="43">
        <v>0</v>
      </c>
      <c r="AC2531" s="43">
        <v>3.15E-2</v>
      </c>
      <c r="AK2531" s="147">
        <v>2473856</v>
      </c>
    </row>
    <row r="2532" spans="1:37" ht="19">
      <c r="A2532" s="39" t="s">
        <v>17</v>
      </c>
      <c r="B2532" s="8">
        <v>2024</v>
      </c>
      <c r="C2532" s="8" t="s">
        <v>109</v>
      </c>
      <c r="D2532" s="9" t="s">
        <v>109</v>
      </c>
      <c r="E2532" s="9" t="s">
        <v>111</v>
      </c>
      <c r="F2532" s="9" t="s">
        <v>111</v>
      </c>
      <c r="I2532" s="9" t="s">
        <v>87</v>
      </c>
      <c r="J2532" s="9" t="s">
        <v>87</v>
      </c>
      <c r="L2532" s="9" t="s">
        <v>1493</v>
      </c>
      <c r="M2532" t="s">
        <v>119</v>
      </c>
      <c r="O2532" t="s">
        <v>1505</v>
      </c>
      <c r="P2532" t="s">
        <v>1506</v>
      </c>
      <c r="S2532">
        <v>80</v>
      </c>
      <c r="U2532" t="s">
        <v>112</v>
      </c>
      <c r="V2532" t="s">
        <v>1484</v>
      </c>
      <c r="X2532" s="43">
        <v>0.25</v>
      </c>
      <c r="AA2532" s="43"/>
      <c r="AB2532" s="43">
        <v>0</v>
      </c>
      <c r="AC2532" s="43">
        <v>2.2499999999999999E-2</v>
      </c>
      <c r="AK2532" s="147">
        <v>1767040</v>
      </c>
    </row>
    <row r="2533" spans="1:37" ht="19">
      <c r="A2533" s="39" t="s">
        <v>17</v>
      </c>
      <c r="B2533" s="8">
        <v>2024</v>
      </c>
      <c r="C2533" s="8" t="s">
        <v>109</v>
      </c>
      <c r="D2533" s="9" t="s">
        <v>109</v>
      </c>
      <c r="E2533" s="9" t="s">
        <v>111</v>
      </c>
      <c r="F2533" s="9" t="s">
        <v>111</v>
      </c>
      <c r="I2533" s="9" t="s">
        <v>87</v>
      </c>
      <c r="J2533" s="9" t="s">
        <v>87</v>
      </c>
      <c r="L2533" s="9" t="s">
        <v>1493</v>
      </c>
      <c r="M2533" t="s">
        <v>119</v>
      </c>
      <c r="O2533" t="s">
        <v>1507</v>
      </c>
      <c r="P2533" t="s">
        <v>1508</v>
      </c>
      <c r="S2533">
        <v>256</v>
      </c>
      <c r="U2533" t="s">
        <v>112</v>
      </c>
      <c r="V2533" t="s">
        <v>1484</v>
      </c>
      <c r="X2533" s="43">
        <v>0.85</v>
      </c>
      <c r="AA2533" s="43"/>
      <c r="AB2533" s="43">
        <v>0.05</v>
      </c>
      <c r="AC2533" s="43">
        <v>5.8500000000000003E-2</v>
      </c>
      <c r="AK2533" s="147">
        <v>5654528</v>
      </c>
    </row>
    <row r="2534" spans="1:37" ht="19">
      <c r="A2534" s="39" t="s">
        <v>17</v>
      </c>
      <c r="B2534" s="8">
        <v>2024</v>
      </c>
      <c r="C2534" s="8" t="s">
        <v>109</v>
      </c>
      <c r="D2534" s="9" t="s">
        <v>109</v>
      </c>
      <c r="E2534" s="9" t="s">
        <v>111</v>
      </c>
      <c r="F2534" s="9" t="s">
        <v>111</v>
      </c>
      <c r="I2534" s="9" t="s">
        <v>28</v>
      </c>
      <c r="J2534" s="9" t="s">
        <v>11</v>
      </c>
      <c r="K2534" s="9" t="s">
        <v>82</v>
      </c>
      <c r="L2534" s="9" t="s">
        <v>166</v>
      </c>
      <c r="M2534" t="s">
        <v>1509</v>
      </c>
      <c r="O2534" t="s">
        <v>1510</v>
      </c>
      <c r="P2534" t="s">
        <v>1511</v>
      </c>
      <c r="S2534">
        <v>96</v>
      </c>
      <c r="U2534" t="s">
        <v>112</v>
      </c>
      <c r="V2534" t="s">
        <v>1484</v>
      </c>
      <c r="X2534" s="43">
        <v>0.35</v>
      </c>
      <c r="AA2534" s="43"/>
      <c r="AB2534" s="43">
        <v>0</v>
      </c>
      <c r="AC2534" s="43">
        <v>2.7E-2</v>
      </c>
      <c r="AK2534" s="147">
        <v>2120448</v>
      </c>
    </row>
    <row r="2535" spans="1:37" ht="19">
      <c r="A2535" s="39" t="s">
        <v>17</v>
      </c>
      <c r="B2535" s="8">
        <v>2024</v>
      </c>
      <c r="C2535" s="8" t="s">
        <v>109</v>
      </c>
      <c r="D2535" s="9" t="s">
        <v>109</v>
      </c>
      <c r="E2535" s="9" t="s">
        <v>111</v>
      </c>
      <c r="F2535" s="9" t="s">
        <v>111</v>
      </c>
      <c r="I2535" s="9" t="s">
        <v>28</v>
      </c>
      <c r="J2535" s="9" t="s">
        <v>11</v>
      </c>
      <c r="K2535" s="9" t="s">
        <v>82</v>
      </c>
      <c r="L2535" s="9" t="s">
        <v>166</v>
      </c>
      <c r="M2535" t="s">
        <v>1509</v>
      </c>
      <c r="O2535" t="s">
        <v>1164</v>
      </c>
      <c r="P2535" t="s">
        <v>1512</v>
      </c>
      <c r="S2535">
        <v>60</v>
      </c>
      <c r="U2535" t="s">
        <v>112</v>
      </c>
      <c r="V2535" t="s">
        <v>1484</v>
      </c>
      <c r="X2535" s="43">
        <v>0.2</v>
      </c>
      <c r="AA2535" s="43"/>
      <c r="AB2535" s="43">
        <v>0</v>
      </c>
      <c r="AC2535" s="43">
        <v>1.35E-2</v>
      </c>
      <c r="AK2535" s="147">
        <v>1325280</v>
      </c>
    </row>
    <row r="2536" spans="1:37" ht="19">
      <c r="A2536" s="39" t="s">
        <v>17</v>
      </c>
      <c r="B2536" s="8">
        <v>2024</v>
      </c>
      <c r="C2536" s="8" t="s">
        <v>109</v>
      </c>
      <c r="D2536" s="9" t="s">
        <v>109</v>
      </c>
      <c r="E2536" s="9" t="s">
        <v>111</v>
      </c>
      <c r="F2536" s="9" t="s">
        <v>111</v>
      </c>
      <c r="I2536" s="9" t="s">
        <v>28</v>
      </c>
      <c r="J2536" s="9" t="s">
        <v>11</v>
      </c>
      <c r="K2536" s="9" t="s">
        <v>82</v>
      </c>
      <c r="L2536" s="9" t="s">
        <v>166</v>
      </c>
      <c r="M2536" t="s">
        <v>1509</v>
      </c>
      <c r="O2536" t="s">
        <v>1164</v>
      </c>
      <c r="P2536" t="s">
        <v>1513</v>
      </c>
      <c r="S2536">
        <v>165</v>
      </c>
      <c r="U2536" t="s">
        <v>112</v>
      </c>
      <c r="V2536" t="s">
        <v>1484</v>
      </c>
      <c r="X2536" s="43">
        <v>0.55000000000000004</v>
      </c>
      <c r="AA2536" s="43"/>
      <c r="AB2536" s="43">
        <v>0.05</v>
      </c>
      <c r="AC2536" s="43">
        <v>4.0500000000000001E-2</v>
      </c>
      <c r="AK2536" s="147">
        <v>3644520</v>
      </c>
    </row>
    <row r="2537" spans="1:37" ht="19">
      <c r="A2537" s="39" t="s">
        <v>17</v>
      </c>
      <c r="B2537" s="8">
        <v>2024</v>
      </c>
      <c r="C2537" s="8" t="s">
        <v>109</v>
      </c>
      <c r="D2537" s="9" t="s">
        <v>109</v>
      </c>
      <c r="E2537" s="9" t="s">
        <v>111</v>
      </c>
      <c r="F2537" s="9" t="s">
        <v>111</v>
      </c>
      <c r="I2537" s="9" t="s">
        <v>28</v>
      </c>
      <c r="J2537" s="9" t="s">
        <v>11</v>
      </c>
      <c r="K2537" s="9" t="s">
        <v>82</v>
      </c>
      <c r="L2537" s="9" t="s">
        <v>166</v>
      </c>
      <c r="M2537" t="s">
        <v>1509</v>
      </c>
      <c r="O2537" t="s">
        <v>1138</v>
      </c>
      <c r="P2537" t="s">
        <v>1514</v>
      </c>
      <c r="S2537">
        <v>143</v>
      </c>
      <c r="U2537" t="s">
        <v>112</v>
      </c>
      <c r="V2537" t="s">
        <v>1484</v>
      </c>
      <c r="X2537" s="43">
        <v>0.5</v>
      </c>
      <c r="AA2537" s="43"/>
      <c r="AB2537" s="43">
        <v>0</v>
      </c>
      <c r="AC2537" s="43">
        <v>3.15E-2</v>
      </c>
      <c r="AK2537" s="147">
        <v>3158584</v>
      </c>
    </row>
    <row r="2538" spans="1:37" ht="19">
      <c r="A2538" s="39" t="s">
        <v>17</v>
      </c>
      <c r="B2538" s="8">
        <v>2024</v>
      </c>
      <c r="C2538" s="8" t="s">
        <v>109</v>
      </c>
      <c r="D2538" s="9" t="s">
        <v>109</v>
      </c>
      <c r="E2538" s="9" t="s">
        <v>111</v>
      </c>
      <c r="F2538" s="9" t="s">
        <v>111</v>
      </c>
      <c r="I2538" s="9" t="s">
        <v>28</v>
      </c>
      <c r="J2538" s="9" t="s">
        <v>11</v>
      </c>
      <c r="K2538" s="9" t="s">
        <v>82</v>
      </c>
      <c r="L2538" s="9" t="s">
        <v>166</v>
      </c>
      <c r="M2538" t="s">
        <v>1509</v>
      </c>
      <c r="O2538" t="s">
        <v>1138</v>
      </c>
      <c r="P2538" t="s">
        <v>1515</v>
      </c>
      <c r="S2538">
        <v>124</v>
      </c>
      <c r="U2538" t="s">
        <v>112</v>
      </c>
      <c r="V2538" t="s">
        <v>1484</v>
      </c>
      <c r="X2538" s="43">
        <v>0.4</v>
      </c>
      <c r="AA2538" s="43"/>
      <c r="AB2538" s="43">
        <v>0</v>
      </c>
      <c r="AC2538" s="43">
        <v>3.15E-2</v>
      </c>
      <c r="AK2538" s="147">
        <v>2738912</v>
      </c>
    </row>
    <row r="2539" spans="1:37" ht="19">
      <c r="A2539" s="39" t="s">
        <v>17</v>
      </c>
      <c r="B2539" s="8">
        <v>2024</v>
      </c>
      <c r="C2539" s="8" t="s">
        <v>109</v>
      </c>
      <c r="D2539" s="9" t="s">
        <v>109</v>
      </c>
      <c r="E2539" s="9" t="s">
        <v>111</v>
      </c>
      <c r="F2539" s="9" t="s">
        <v>111</v>
      </c>
      <c r="I2539" s="9" t="s">
        <v>28</v>
      </c>
      <c r="J2539" s="9" t="s">
        <v>11</v>
      </c>
      <c r="K2539" s="9" t="s">
        <v>82</v>
      </c>
      <c r="L2539" s="9" t="s">
        <v>166</v>
      </c>
      <c r="M2539" t="s">
        <v>1509</v>
      </c>
      <c r="O2539" t="s">
        <v>1138</v>
      </c>
      <c r="P2539" t="s">
        <v>1516</v>
      </c>
      <c r="S2539">
        <v>134</v>
      </c>
      <c r="U2539" t="s">
        <v>112</v>
      </c>
      <c r="V2539" t="s">
        <v>1484</v>
      </c>
      <c r="X2539" s="43">
        <v>0.45</v>
      </c>
      <c r="AA2539" s="43"/>
      <c r="AB2539" s="43">
        <v>0</v>
      </c>
      <c r="AC2539" s="43">
        <v>3.15E-2</v>
      </c>
      <c r="AK2539" s="147">
        <v>2959792</v>
      </c>
    </row>
    <row r="2540" spans="1:37" ht="19">
      <c r="A2540" s="39" t="s">
        <v>17</v>
      </c>
      <c r="B2540" s="8">
        <v>2024</v>
      </c>
      <c r="C2540" s="8" t="s">
        <v>109</v>
      </c>
      <c r="D2540" s="9" t="s">
        <v>109</v>
      </c>
      <c r="E2540" s="9" t="s">
        <v>111</v>
      </c>
      <c r="F2540" s="9" t="s">
        <v>111</v>
      </c>
      <c r="I2540" s="9" t="s">
        <v>28</v>
      </c>
      <c r="J2540" s="9" t="s">
        <v>11</v>
      </c>
      <c r="K2540" s="9" t="s">
        <v>82</v>
      </c>
      <c r="L2540" s="9" t="s">
        <v>166</v>
      </c>
      <c r="M2540" t="s">
        <v>1509</v>
      </c>
      <c r="O2540" t="s">
        <v>1189</v>
      </c>
      <c r="P2540" t="s">
        <v>1517</v>
      </c>
      <c r="S2540">
        <v>143</v>
      </c>
      <c r="U2540" t="s">
        <v>112</v>
      </c>
      <c r="V2540" t="s">
        <v>1484</v>
      </c>
      <c r="X2540" s="43">
        <v>0.5</v>
      </c>
      <c r="AA2540" s="43"/>
      <c r="AB2540" s="43">
        <v>0</v>
      </c>
      <c r="AC2540" s="43">
        <v>3.15E-2</v>
      </c>
      <c r="AK2540" s="147">
        <v>3158584</v>
      </c>
    </row>
    <row r="2541" spans="1:37" ht="19">
      <c r="A2541" s="39" t="s">
        <v>17</v>
      </c>
      <c r="B2541" s="8">
        <v>2024</v>
      </c>
      <c r="C2541" s="8" t="s">
        <v>109</v>
      </c>
      <c r="D2541" s="9" t="s">
        <v>109</v>
      </c>
      <c r="E2541" s="9" t="s">
        <v>111</v>
      </c>
      <c r="F2541" s="9" t="s">
        <v>111</v>
      </c>
      <c r="I2541" s="9" t="s">
        <v>28</v>
      </c>
      <c r="J2541" s="9" t="s">
        <v>11</v>
      </c>
      <c r="K2541" s="9" t="s">
        <v>82</v>
      </c>
      <c r="L2541" s="9" t="s">
        <v>166</v>
      </c>
      <c r="M2541" t="s">
        <v>1509</v>
      </c>
      <c r="O2541" t="s">
        <v>1189</v>
      </c>
      <c r="P2541" t="s">
        <v>1518</v>
      </c>
      <c r="S2541">
        <v>129</v>
      </c>
      <c r="U2541" t="s">
        <v>112</v>
      </c>
      <c r="V2541" t="s">
        <v>1484</v>
      </c>
      <c r="X2541" s="43">
        <v>0.45</v>
      </c>
      <c r="AA2541" s="43"/>
      <c r="AB2541" s="43">
        <v>0</v>
      </c>
      <c r="AC2541" s="43">
        <v>3.15E-2</v>
      </c>
      <c r="AK2541" s="147">
        <v>2849352</v>
      </c>
    </row>
    <row r="2542" spans="1:37" ht="19">
      <c r="A2542" s="39" t="s">
        <v>17</v>
      </c>
      <c r="B2542" s="8">
        <v>2024</v>
      </c>
      <c r="C2542" s="8" t="s">
        <v>109</v>
      </c>
      <c r="D2542" s="9" t="s">
        <v>109</v>
      </c>
      <c r="E2542" s="9" t="s">
        <v>111</v>
      </c>
      <c r="F2542" s="9" t="s">
        <v>111</v>
      </c>
      <c r="I2542" s="9" t="s">
        <v>28</v>
      </c>
      <c r="J2542" s="9" t="s">
        <v>11</v>
      </c>
      <c r="K2542" s="9" t="s">
        <v>82</v>
      </c>
      <c r="L2542" s="9" t="s">
        <v>166</v>
      </c>
      <c r="M2542" t="s">
        <v>1509</v>
      </c>
      <c r="O2542" t="s">
        <v>1189</v>
      </c>
      <c r="P2542" t="s">
        <v>1519</v>
      </c>
      <c r="S2542">
        <v>82</v>
      </c>
      <c r="U2542" t="s">
        <v>112</v>
      </c>
      <c r="V2542" t="s">
        <v>1484</v>
      </c>
      <c r="X2542" s="43">
        <v>0.3</v>
      </c>
      <c r="AA2542" s="43"/>
      <c r="AB2542" s="43">
        <v>0</v>
      </c>
      <c r="AC2542" s="43">
        <v>2.2499999999999999E-2</v>
      </c>
      <c r="AK2542" s="147">
        <v>1811216</v>
      </c>
    </row>
    <row r="2543" spans="1:37" ht="19">
      <c r="A2543" s="39" t="s">
        <v>17</v>
      </c>
      <c r="B2543" s="8">
        <v>2024</v>
      </c>
      <c r="C2543" s="8" t="s">
        <v>109</v>
      </c>
      <c r="D2543" s="9" t="s">
        <v>109</v>
      </c>
      <c r="E2543" s="9" t="s">
        <v>111</v>
      </c>
      <c r="F2543" s="9" t="s">
        <v>111</v>
      </c>
      <c r="I2543" s="9" t="s">
        <v>28</v>
      </c>
      <c r="J2543" s="9" t="s">
        <v>11</v>
      </c>
      <c r="K2543" s="9" t="s">
        <v>82</v>
      </c>
      <c r="L2543" s="9" t="s">
        <v>166</v>
      </c>
      <c r="M2543" t="s">
        <v>113</v>
      </c>
      <c r="O2543" t="s">
        <v>1520</v>
      </c>
      <c r="P2543" t="s">
        <v>1521</v>
      </c>
      <c r="S2543">
        <v>151</v>
      </c>
      <c r="U2543" t="s">
        <v>112</v>
      </c>
      <c r="V2543" t="s">
        <v>1484</v>
      </c>
      <c r="X2543" s="43">
        <v>0.95</v>
      </c>
      <c r="AA2543" s="43"/>
      <c r="AB2543">
        <v>0.05</v>
      </c>
      <c r="AC2543">
        <v>6.7500000000000004E-2</v>
      </c>
      <c r="AK2543" s="147">
        <v>3335288</v>
      </c>
    </row>
    <row r="2544" spans="1:37" ht="19">
      <c r="A2544" s="39" t="s">
        <v>17</v>
      </c>
      <c r="B2544" s="8">
        <v>2024</v>
      </c>
      <c r="C2544" s="8" t="s">
        <v>109</v>
      </c>
      <c r="D2544" s="9" t="s">
        <v>109</v>
      </c>
      <c r="E2544" s="9" t="s">
        <v>111</v>
      </c>
      <c r="F2544" s="9" t="s">
        <v>111</v>
      </c>
      <c r="I2544" s="9" t="s">
        <v>28</v>
      </c>
      <c r="J2544" s="9" t="s">
        <v>11</v>
      </c>
      <c r="K2544" s="9" t="s">
        <v>82</v>
      </c>
      <c r="L2544" s="9" t="s">
        <v>166</v>
      </c>
      <c r="M2544" t="s">
        <v>113</v>
      </c>
      <c r="O2544" t="s">
        <v>1522</v>
      </c>
      <c r="P2544" t="s">
        <v>1523</v>
      </c>
      <c r="S2544" t="s">
        <v>1524</v>
      </c>
      <c r="U2544" t="s">
        <v>112</v>
      </c>
      <c r="V2544" t="s">
        <v>1484</v>
      </c>
      <c r="X2544" s="43">
        <v>0</v>
      </c>
      <c r="AA2544" s="43"/>
      <c r="AB2544">
        <v>0</v>
      </c>
      <c r="AC2544">
        <v>0</v>
      </c>
    </row>
    <row r="2545" spans="1:37" ht="19">
      <c r="A2545" s="39" t="s">
        <v>17</v>
      </c>
      <c r="B2545" s="8">
        <v>2024</v>
      </c>
      <c r="C2545" s="8" t="s">
        <v>109</v>
      </c>
      <c r="D2545" s="9" t="s">
        <v>109</v>
      </c>
      <c r="E2545" s="9" t="s">
        <v>111</v>
      </c>
      <c r="F2545" s="9" t="s">
        <v>111</v>
      </c>
      <c r="I2545" s="9" t="s">
        <v>28</v>
      </c>
      <c r="J2545" s="9" t="s">
        <v>11</v>
      </c>
      <c r="K2545" s="9" t="s">
        <v>82</v>
      </c>
      <c r="L2545" s="9" t="s">
        <v>166</v>
      </c>
      <c r="M2545" t="s">
        <v>113</v>
      </c>
      <c r="O2545" t="s">
        <v>1522</v>
      </c>
      <c r="P2545" t="s">
        <v>1525</v>
      </c>
      <c r="S2545" t="s">
        <v>1524</v>
      </c>
      <c r="U2545" t="s">
        <v>112</v>
      </c>
      <c r="V2545" t="s">
        <v>1484</v>
      </c>
      <c r="X2545" s="43">
        <v>0</v>
      </c>
      <c r="AA2545" s="43"/>
      <c r="AB2545">
        <v>0</v>
      </c>
      <c r="AC2545">
        <v>0</v>
      </c>
    </row>
    <row r="2546" spans="1:37" ht="19">
      <c r="A2546" s="39" t="s">
        <v>17</v>
      </c>
      <c r="B2546" s="8">
        <v>2024</v>
      </c>
      <c r="C2546" s="8" t="s">
        <v>109</v>
      </c>
      <c r="D2546" s="9" t="s">
        <v>109</v>
      </c>
      <c r="E2546" s="9" t="s">
        <v>111</v>
      </c>
      <c r="F2546" s="9" t="s">
        <v>111</v>
      </c>
      <c r="I2546" s="9" t="s">
        <v>28</v>
      </c>
      <c r="J2546" s="9" t="s">
        <v>11</v>
      </c>
      <c r="K2546" s="9" t="s">
        <v>82</v>
      </c>
      <c r="L2546" s="9" t="s">
        <v>166</v>
      </c>
      <c r="M2546" t="s">
        <v>113</v>
      </c>
      <c r="O2546" t="s">
        <v>1522</v>
      </c>
      <c r="P2546" t="s">
        <v>1526</v>
      </c>
      <c r="S2546" t="s">
        <v>1524</v>
      </c>
      <c r="U2546" t="s">
        <v>112</v>
      </c>
      <c r="V2546" t="s">
        <v>1484</v>
      </c>
      <c r="X2546" s="43">
        <v>0</v>
      </c>
      <c r="AA2546" s="43"/>
      <c r="AB2546">
        <v>0</v>
      </c>
      <c r="AC2546">
        <v>0</v>
      </c>
    </row>
    <row r="2547" spans="1:37" ht="19">
      <c r="A2547" s="39" t="s">
        <v>17</v>
      </c>
      <c r="B2547" s="8">
        <v>2024</v>
      </c>
      <c r="C2547" s="8" t="s">
        <v>109</v>
      </c>
      <c r="D2547" s="9" t="s">
        <v>109</v>
      </c>
      <c r="E2547" s="9" t="s">
        <v>111</v>
      </c>
      <c r="F2547" s="9" t="s">
        <v>111</v>
      </c>
      <c r="I2547" s="9" t="s">
        <v>28</v>
      </c>
      <c r="J2547" s="9" t="s">
        <v>11</v>
      </c>
      <c r="K2547" s="9" t="s">
        <v>82</v>
      </c>
      <c r="L2547" s="9" t="s">
        <v>166</v>
      </c>
      <c r="M2547" t="s">
        <v>113</v>
      </c>
      <c r="O2547" t="s">
        <v>1527</v>
      </c>
      <c r="P2547" t="s">
        <v>1528</v>
      </c>
      <c r="S2547" t="s">
        <v>1524</v>
      </c>
      <c r="U2547" t="s">
        <v>112</v>
      </c>
      <c r="V2547" t="s">
        <v>1484</v>
      </c>
      <c r="X2547" s="43">
        <v>0</v>
      </c>
      <c r="AA2547" s="43"/>
      <c r="AB2547">
        <v>0</v>
      </c>
      <c r="AC2547">
        <v>0</v>
      </c>
    </row>
    <row r="2548" spans="1:37" ht="19">
      <c r="A2548" s="39" t="s">
        <v>17</v>
      </c>
      <c r="B2548" s="8">
        <v>2024</v>
      </c>
      <c r="C2548" s="8" t="s">
        <v>109</v>
      </c>
      <c r="D2548" s="9" t="s">
        <v>109</v>
      </c>
      <c r="E2548" s="9" t="s">
        <v>111</v>
      </c>
      <c r="F2548" s="9" t="s">
        <v>111</v>
      </c>
      <c r="I2548" s="9" t="s">
        <v>28</v>
      </c>
      <c r="J2548" s="9" t="s">
        <v>11</v>
      </c>
      <c r="K2548" s="9" t="s">
        <v>82</v>
      </c>
      <c r="L2548" s="9" t="s">
        <v>166</v>
      </c>
      <c r="M2548" t="s">
        <v>113</v>
      </c>
      <c r="O2548" t="s">
        <v>1522</v>
      </c>
      <c r="P2548" t="s">
        <v>1529</v>
      </c>
      <c r="S2548" t="s">
        <v>1524</v>
      </c>
      <c r="U2548" t="s">
        <v>112</v>
      </c>
      <c r="V2548" t="s">
        <v>1484</v>
      </c>
      <c r="X2548" s="43">
        <v>0</v>
      </c>
      <c r="AA2548" s="43"/>
      <c r="AB2548">
        <v>0</v>
      </c>
      <c r="AC2548">
        <v>0</v>
      </c>
    </row>
    <row r="2549" spans="1:37" ht="19">
      <c r="A2549" s="39" t="s">
        <v>17</v>
      </c>
      <c r="B2549" s="8">
        <v>2024</v>
      </c>
      <c r="C2549" s="8" t="s">
        <v>109</v>
      </c>
      <c r="D2549" s="9" t="s">
        <v>109</v>
      </c>
      <c r="E2549" s="9" t="s">
        <v>111</v>
      </c>
      <c r="F2549" s="9" t="s">
        <v>111</v>
      </c>
      <c r="I2549" s="9" t="s">
        <v>28</v>
      </c>
      <c r="J2549" s="9" t="s">
        <v>11</v>
      </c>
      <c r="K2549" s="9" t="s">
        <v>82</v>
      </c>
      <c r="L2549" s="9" t="s">
        <v>166</v>
      </c>
      <c r="M2549" t="s">
        <v>113</v>
      </c>
      <c r="O2549" t="s">
        <v>1522</v>
      </c>
      <c r="P2549" t="s">
        <v>1530</v>
      </c>
      <c r="S2549" t="s">
        <v>1524</v>
      </c>
      <c r="U2549" t="s">
        <v>112</v>
      </c>
      <c r="V2549" t="s">
        <v>1484</v>
      </c>
      <c r="X2549" s="43">
        <v>0</v>
      </c>
      <c r="AA2549" s="43"/>
      <c r="AB2549">
        <v>0</v>
      </c>
      <c r="AC2549">
        <v>0</v>
      </c>
    </row>
    <row r="2550" spans="1:37" ht="19">
      <c r="A2550" s="39" t="s">
        <v>17</v>
      </c>
      <c r="B2550" s="8">
        <v>2024</v>
      </c>
      <c r="C2550" s="8" t="s">
        <v>109</v>
      </c>
      <c r="D2550" s="9" t="s">
        <v>109</v>
      </c>
      <c r="E2550" s="9" t="s">
        <v>111</v>
      </c>
      <c r="F2550" s="9" t="s">
        <v>111</v>
      </c>
      <c r="I2550" s="9" t="s">
        <v>28</v>
      </c>
      <c r="J2550" s="9" t="s">
        <v>11</v>
      </c>
      <c r="K2550" s="9" t="s">
        <v>82</v>
      </c>
      <c r="L2550" s="9" t="s">
        <v>166</v>
      </c>
      <c r="M2550" t="s">
        <v>113</v>
      </c>
      <c r="O2550" t="s">
        <v>1527</v>
      </c>
      <c r="P2550" t="s">
        <v>1531</v>
      </c>
      <c r="S2550" t="s">
        <v>1524</v>
      </c>
      <c r="U2550" t="s">
        <v>112</v>
      </c>
      <c r="V2550" t="s">
        <v>1484</v>
      </c>
      <c r="X2550" s="43">
        <v>0</v>
      </c>
      <c r="AA2550" s="43"/>
      <c r="AB2550">
        <v>0</v>
      </c>
      <c r="AC2550">
        <v>0</v>
      </c>
    </row>
    <row r="2551" spans="1:37" ht="19">
      <c r="A2551" s="39" t="s">
        <v>17</v>
      </c>
      <c r="B2551" s="8">
        <v>2024</v>
      </c>
      <c r="C2551" s="8" t="s">
        <v>109</v>
      </c>
      <c r="D2551" s="9" t="s">
        <v>109</v>
      </c>
      <c r="E2551" s="9" t="s">
        <v>111</v>
      </c>
      <c r="F2551" s="9" t="s">
        <v>111</v>
      </c>
      <c r="I2551" s="9" t="s">
        <v>28</v>
      </c>
      <c r="J2551" s="9" t="s">
        <v>11</v>
      </c>
      <c r="K2551" s="9" t="s">
        <v>82</v>
      </c>
      <c r="L2551" s="9" t="s">
        <v>166</v>
      </c>
      <c r="M2551" t="s">
        <v>113</v>
      </c>
      <c r="O2551" t="s">
        <v>1522</v>
      </c>
      <c r="P2551" t="s">
        <v>1532</v>
      </c>
      <c r="S2551" t="s">
        <v>1524</v>
      </c>
      <c r="U2551" t="s">
        <v>112</v>
      </c>
      <c r="V2551" t="s">
        <v>1484</v>
      </c>
      <c r="X2551" s="43">
        <v>0</v>
      </c>
      <c r="AA2551" s="43"/>
      <c r="AB2551">
        <v>0</v>
      </c>
      <c r="AC2551">
        <v>0</v>
      </c>
    </row>
    <row r="2552" spans="1:37" ht="19">
      <c r="A2552" s="39" t="s">
        <v>17</v>
      </c>
      <c r="B2552" s="8">
        <v>2024</v>
      </c>
      <c r="C2552" s="8" t="s">
        <v>109</v>
      </c>
      <c r="D2552" s="9" t="s">
        <v>109</v>
      </c>
      <c r="E2552" s="9" t="s">
        <v>111</v>
      </c>
      <c r="F2552" s="9" t="s">
        <v>111</v>
      </c>
      <c r="I2552" s="9" t="s">
        <v>28</v>
      </c>
      <c r="J2552" s="9" t="s">
        <v>11</v>
      </c>
      <c r="K2552" s="9" t="s">
        <v>82</v>
      </c>
      <c r="L2552" s="9" t="s">
        <v>166</v>
      </c>
      <c r="M2552" t="s">
        <v>113</v>
      </c>
      <c r="O2552" t="s">
        <v>1527</v>
      </c>
      <c r="P2552" t="s">
        <v>1533</v>
      </c>
      <c r="S2552" t="s">
        <v>1524</v>
      </c>
      <c r="U2552" t="s">
        <v>112</v>
      </c>
      <c r="V2552" t="s">
        <v>1484</v>
      </c>
      <c r="X2552" s="43">
        <v>0</v>
      </c>
      <c r="AA2552" s="43"/>
      <c r="AB2552">
        <v>0</v>
      </c>
      <c r="AC2552">
        <v>0</v>
      </c>
    </row>
    <row r="2553" spans="1:37" ht="19">
      <c r="A2553" s="39" t="s">
        <v>17</v>
      </c>
      <c r="B2553" s="8">
        <v>2024</v>
      </c>
      <c r="C2553" s="8" t="s">
        <v>109</v>
      </c>
      <c r="D2553" s="9" t="s">
        <v>109</v>
      </c>
      <c r="E2553" s="9" t="s">
        <v>111</v>
      </c>
      <c r="F2553" s="9" t="s">
        <v>111</v>
      </c>
      <c r="I2553" s="9" t="s">
        <v>28</v>
      </c>
      <c r="J2553" s="9" t="s">
        <v>11</v>
      </c>
      <c r="K2553" s="9" t="s">
        <v>82</v>
      </c>
      <c r="L2553" s="9" t="s">
        <v>166</v>
      </c>
      <c r="M2553" t="s">
        <v>113</v>
      </c>
      <c r="O2553" t="s">
        <v>1527</v>
      </c>
      <c r="P2553" t="s">
        <v>1534</v>
      </c>
      <c r="S2553" t="s">
        <v>1524</v>
      </c>
      <c r="U2553" t="s">
        <v>112</v>
      </c>
      <c r="V2553" t="s">
        <v>1484</v>
      </c>
      <c r="X2553" s="43">
        <v>0</v>
      </c>
      <c r="AA2553" s="43"/>
      <c r="AB2553">
        <v>0</v>
      </c>
      <c r="AC2553">
        <v>0</v>
      </c>
    </row>
    <row r="2554" spans="1:37" ht="19">
      <c r="A2554" s="39" t="s">
        <v>17</v>
      </c>
      <c r="B2554" s="8">
        <v>2024</v>
      </c>
      <c r="C2554" s="8" t="s">
        <v>109</v>
      </c>
      <c r="D2554" s="9" t="s">
        <v>109</v>
      </c>
      <c r="E2554" s="9" t="s">
        <v>111</v>
      </c>
      <c r="F2554" s="9" t="s">
        <v>111</v>
      </c>
      <c r="I2554" s="9" t="s">
        <v>28</v>
      </c>
      <c r="J2554" s="9" t="s">
        <v>11</v>
      </c>
      <c r="K2554" s="9" t="s">
        <v>82</v>
      </c>
      <c r="L2554" s="9" t="s">
        <v>166</v>
      </c>
      <c r="M2554" t="s">
        <v>113</v>
      </c>
      <c r="O2554" t="s">
        <v>1527</v>
      </c>
      <c r="P2554" t="s">
        <v>1535</v>
      </c>
      <c r="S2554" t="s">
        <v>1524</v>
      </c>
      <c r="U2554" t="s">
        <v>112</v>
      </c>
      <c r="V2554" t="s">
        <v>1484</v>
      </c>
      <c r="X2554" s="43">
        <v>0</v>
      </c>
      <c r="AA2554" s="43"/>
      <c r="AB2554">
        <v>0</v>
      </c>
      <c r="AC2554">
        <v>0</v>
      </c>
    </row>
    <row r="2555" spans="1:37" ht="19">
      <c r="A2555" s="39" t="s">
        <v>17</v>
      </c>
      <c r="B2555" s="8">
        <v>2024</v>
      </c>
      <c r="C2555" s="8" t="s">
        <v>109</v>
      </c>
      <c r="D2555" s="9" t="s">
        <v>109</v>
      </c>
      <c r="E2555" s="9" t="s">
        <v>111</v>
      </c>
      <c r="F2555" s="9" t="s">
        <v>111</v>
      </c>
      <c r="I2555" s="9" t="s">
        <v>28</v>
      </c>
      <c r="J2555" s="9" t="s">
        <v>11</v>
      </c>
      <c r="K2555" s="9" t="s">
        <v>82</v>
      </c>
      <c r="L2555" s="9" t="s">
        <v>166</v>
      </c>
      <c r="M2555" t="s">
        <v>113</v>
      </c>
      <c r="O2555" t="s">
        <v>1527</v>
      </c>
      <c r="P2555" t="s">
        <v>1536</v>
      </c>
      <c r="S2555" t="s">
        <v>1524</v>
      </c>
      <c r="U2555" t="s">
        <v>112</v>
      </c>
      <c r="V2555" t="s">
        <v>1484</v>
      </c>
      <c r="X2555" s="43">
        <v>0</v>
      </c>
      <c r="AA2555" s="43"/>
      <c r="AB2555">
        <v>0</v>
      </c>
      <c r="AC2555">
        <v>0</v>
      </c>
    </row>
    <row r="2556" spans="1:37" ht="19">
      <c r="A2556" s="39" t="s">
        <v>17</v>
      </c>
      <c r="B2556" s="8">
        <v>2024</v>
      </c>
      <c r="C2556" s="8" t="s">
        <v>109</v>
      </c>
      <c r="D2556" s="9" t="s">
        <v>109</v>
      </c>
      <c r="E2556" s="9" t="s">
        <v>111</v>
      </c>
      <c r="F2556" s="9" t="s">
        <v>111</v>
      </c>
      <c r="I2556" s="9" t="s">
        <v>28</v>
      </c>
      <c r="J2556" s="9" t="s">
        <v>11</v>
      </c>
      <c r="K2556" s="9" t="s">
        <v>82</v>
      </c>
      <c r="L2556" s="9" t="s">
        <v>166</v>
      </c>
      <c r="M2556" t="s">
        <v>113</v>
      </c>
      <c r="O2556" t="s">
        <v>1527</v>
      </c>
      <c r="P2556" t="s">
        <v>1537</v>
      </c>
      <c r="S2556" t="s">
        <v>1524</v>
      </c>
      <c r="U2556" t="s">
        <v>112</v>
      </c>
      <c r="V2556" t="s">
        <v>1484</v>
      </c>
      <c r="X2556" s="43">
        <v>0</v>
      </c>
      <c r="AA2556" s="43"/>
      <c r="AB2556">
        <v>0</v>
      </c>
      <c r="AC2556">
        <v>0</v>
      </c>
    </row>
    <row r="2557" spans="1:37" ht="19">
      <c r="A2557" s="39" t="s">
        <v>17</v>
      </c>
      <c r="B2557" s="8">
        <v>2024</v>
      </c>
      <c r="C2557" s="8" t="s">
        <v>109</v>
      </c>
      <c r="D2557" s="9" t="s">
        <v>109</v>
      </c>
      <c r="E2557" s="9" t="s">
        <v>111</v>
      </c>
      <c r="F2557" s="9" t="s">
        <v>111</v>
      </c>
      <c r="I2557" s="9" t="s">
        <v>28</v>
      </c>
      <c r="J2557" s="9" t="s">
        <v>11</v>
      </c>
      <c r="K2557" s="9" t="s">
        <v>82</v>
      </c>
      <c r="L2557" s="9" t="s">
        <v>166</v>
      </c>
      <c r="M2557" t="s">
        <v>113</v>
      </c>
      <c r="O2557" t="s">
        <v>1527</v>
      </c>
      <c r="P2557" t="s">
        <v>1538</v>
      </c>
      <c r="S2557" t="s">
        <v>1524</v>
      </c>
      <c r="U2557" t="s">
        <v>112</v>
      </c>
      <c r="V2557" t="s">
        <v>1484</v>
      </c>
      <c r="X2557" s="43">
        <v>0</v>
      </c>
      <c r="AA2557" s="43"/>
      <c r="AB2557">
        <v>0</v>
      </c>
      <c r="AC2557">
        <v>0</v>
      </c>
    </row>
    <row r="2558" spans="1:37" ht="19">
      <c r="A2558" s="39" t="s">
        <v>17</v>
      </c>
      <c r="B2558" s="8">
        <v>2024</v>
      </c>
      <c r="C2558" s="8" t="s">
        <v>109</v>
      </c>
      <c r="D2558" s="9" t="s">
        <v>109</v>
      </c>
      <c r="E2558" s="9" t="s">
        <v>111</v>
      </c>
      <c r="F2558" s="9" t="s">
        <v>111</v>
      </c>
      <c r="I2558" s="9" t="s">
        <v>28</v>
      </c>
      <c r="J2558" s="9" t="s">
        <v>11</v>
      </c>
      <c r="K2558" s="9" t="s">
        <v>82</v>
      </c>
      <c r="L2558" s="9" t="s">
        <v>166</v>
      </c>
      <c r="M2558" t="s">
        <v>113</v>
      </c>
      <c r="O2558" t="s">
        <v>1539</v>
      </c>
      <c r="P2558" t="s">
        <v>1540</v>
      </c>
      <c r="S2558">
        <v>442</v>
      </c>
      <c r="U2558" t="s">
        <v>112</v>
      </c>
      <c r="V2558" t="s">
        <v>1484</v>
      </c>
      <c r="X2558" s="43">
        <v>2.7</v>
      </c>
      <c r="AA2558" s="43"/>
      <c r="AB2558">
        <v>0.15</v>
      </c>
      <c r="AC2558">
        <v>0.19350000000000001</v>
      </c>
      <c r="AK2558">
        <v>9762896</v>
      </c>
    </row>
    <row r="2559" spans="1:37" ht="19">
      <c r="A2559" s="39" t="s">
        <v>17</v>
      </c>
      <c r="B2559" s="8">
        <v>2024</v>
      </c>
      <c r="C2559" s="8" t="s">
        <v>109</v>
      </c>
      <c r="D2559" s="9" t="s">
        <v>109</v>
      </c>
      <c r="E2559" s="9" t="s">
        <v>111</v>
      </c>
      <c r="F2559" s="9" t="s">
        <v>111</v>
      </c>
      <c r="I2559" s="9" t="s">
        <v>28</v>
      </c>
      <c r="J2559" s="9" t="s">
        <v>11</v>
      </c>
      <c r="K2559" s="9" t="s">
        <v>82</v>
      </c>
      <c r="L2559" s="9" t="s">
        <v>166</v>
      </c>
      <c r="M2559" t="s">
        <v>113</v>
      </c>
      <c r="O2559" t="s">
        <v>1539</v>
      </c>
      <c r="P2559" t="s">
        <v>1541</v>
      </c>
      <c r="S2559">
        <v>535</v>
      </c>
      <c r="U2559" t="s">
        <v>112</v>
      </c>
      <c r="V2559" t="s">
        <v>1484</v>
      </c>
      <c r="X2559" s="43">
        <v>3.25</v>
      </c>
      <c r="AA2559" s="43"/>
      <c r="AB2559">
        <v>0.2</v>
      </c>
      <c r="AC2559">
        <v>0.22950000000000001</v>
      </c>
      <c r="AK2559">
        <v>11817080</v>
      </c>
    </row>
    <row r="2560" spans="1:37" ht="19">
      <c r="A2560" s="39" t="s">
        <v>17</v>
      </c>
      <c r="B2560" s="8">
        <v>2024</v>
      </c>
      <c r="C2560" s="8" t="s">
        <v>109</v>
      </c>
      <c r="D2560" s="9" t="s">
        <v>109</v>
      </c>
      <c r="E2560" s="9" t="s">
        <v>111</v>
      </c>
      <c r="F2560" s="9" t="s">
        <v>111</v>
      </c>
      <c r="I2560" s="9" t="s">
        <v>28</v>
      </c>
      <c r="J2560" s="9" t="s">
        <v>11</v>
      </c>
      <c r="K2560" s="9" t="s">
        <v>82</v>
      </c>
      <c r="L2560" s="9" t="s">
        <v>166</v>
      </c>
      <c r="M2560" t="s">
        <v>113</v>
      </c>
      <c r="O2560" t="s">
        <v>1539</v>
      </c>
      <c r="P2560" t="s">
        <v>1542</v>
      </c>
      <c r="S2560">
        <v>431</v>
      </c>
      <c r="U2560" t="s">
        <v>112</v>
      </c>
      <c r="V2560" t="s">
        <v>1484</v>
      </c>
      <c r="X2560" s="43">
        <v>2.65</v>
      </c>
      <c r="AA2560" s="43"/>
      <c r="AB2560">
        <v>0.15</v>
      </c>
      <c r="AC2560">
        <v>0.189</v>
      </c>
      <c r="AK2560">
        <v>9519928</v>
      </c>
    </row>
    <row r="2561" spans="1:37" ht="19">
      <c r="A2561" s="39" t="s">
        <v>17</v>
      </c>
      <c r="B2561" s="8">
        <v>2024</v>
      </c>
      <c r="C2561" s="8" t="s">
        <v>109</v>
      </c>
      <c r="D2561" s="9" t="s">
        <v>109</v>
      </c>
      <c r="E2561" s="9" t="s">
        <v>111</v>
      </c>
      <c r="F2561" s="9" t="s">
        <v>111</v>
      </c>
      <c r="I2561" s="9" t="s">
        <v>28</v>
      </c>
      <c r="J2561" s="9" t="s">
        <v>11</v>
      </c>
      <c r="K2561" s="9" t="s">
        <v>82</v>
      </c>
      <c r="L2561" s="9" t="s">
        <v>166</v>
      </c>
      <c r="M2561" t="s">
        <v>113</v>
      </c>
      <c r="O2561" t="s">
        <v>1539</v>
      </c>
      <c r="P2561" t="s">
        <v>1543</v>
      </c>
      <c r="S2561">
        <v>408</v>
      </c>
      <c r="U2561" t="s">
        <v>112</v>
      </c>
      <c r="V2561" t="s">
        <v>1484</v>
      </c>
      <c r="X2561" s="43">
        <v>2.5</v>
      </c>
      <c r="AA2561" s="43"/>
      <c r="AB2561">
        <v>0.15</v>
      </c>
      <c r="AC2561">
        <v>0.17549999999999999</v>
      </c>
      <c r="AK2561">
        <v>9011904</v>
      </c>
    </row>
    <row r="2562" spans="1:37" ht="19">
      <c r="A2562" s="39" t="s">
        <v>17</v>
      </c>
      <c r="B2562" s="8">
        <v>2024</v>
      </c>
      <c r="C2562" s="8" t="s">
        <v>109</v>
      </c>
      <c r="D2562" s="9" t="s">
        <v>109</v>
      </c>
      <c r="E2562" s="9" t="s">
        <v>111</v>
      </c>
      <c r="F2562" s="9" t="s">
        <v>111</v>
      </c>
      <c r="I2562" s="9" t="s">
        <v>28</v>
      </c>
      <c r="J2562" s="9" t="s">
        <v>11</v>
      </c>
      <c r="K2562" s="9" t="s">
        <v>82</v>
      </c>
      <c r="L2562" s="9" t="s">
        <v>166</v>
      </c>
      <c r="M2562" t="s">
        <v>113</v>
      </c>
      <c r="O2562" t="s">
        <v>1539</v>
      </c>
      <c r="P2562" t="s">
        <v>1544</v>
      </c>
      <c r="S2562">
        <v>328</v>
      </c>
      <c r="U2562" t="s">
        <v>112</v>
      </c>
      <c r="V2562" t="s">
        <v>1484</v>
      </c>
      <c r="X2562" s="43">
        <v>2</v>
      </c>
      <c r="AA2562" s="43"/>
      <c r="AB2562">
        <v>0.15</v>
      </c>
      <c r="AC2562">
        <v>0.14399999999999999</v>
      </c>
      <c r="AK2562">
        <v>7244864</v>
      </c>
    </row>
    <row r="2563" spans="1:37" ht="19">
      <c r="A2563" s="39" t="s">
        <v>17</v>
      </c>
      <c r="B2563" s="8">
        <v>2024</v>
      </c>
      <c r="C2563" s="8" t="s">
        <v>109</v>
      </c>
      <c r="D2563" s="9" t="s">
        <v>109</v>
      </c>
      <c r="E2563" s="9" t="s">
        <v>111</v>
      </c>
      <c r="F2563" s="9" t="s">
        <v>111</v>
      </c>
      <c r="I2563" s="9" t="s">
        <v>28</v>
      </c>
      <c r="J2563" s="9" t="s">
        <v>11</v>
      </c>
      <c r="K2563" s="9" t="s">
        <v>82</v>
      </c>
      <c r="L2563" s="9" t="s">
        <v>166</v>
      </c>
      <c r="M2563" t="s">
        <v>113</v>
      </c>
      <c r="O2563" t="s">
        <v>1539</v>
      </c>
      <c r="P2563" t="s">
        <v>1545</v>
      </c>
      <c r="S2563">
        <v>296</v>
      </c>
      <c r="U2563" t="s">
        <v>112</v>
      </c>
      <c r="V2563" t="s">
        <v>1484</v>
      </c>
      <c r="X2563" s="43">
        <v>1.8</v>
      </c>
      <c r="AA2563" s="43"/>
      <c r="AB2563">
        <v>0.1</v>
      </c>
      <c r="AC2563">
        <v>0.126</v>
      </c>
      <c r="AK2563">
        <v>6538048</v>
      </c>
    </row>
    <row r="2564" spans="1:37" ht="19">
      <c r="A2564" s="39" t="s">
        <v>17</v>
      </c>
      <c r="B2564" s="8">
        <v>2024</v>
      </c>
      <c r="C2564" s="8" t="s">
        <v>109</v>
      </c>
      <c r="D2564" s="9" t="s">
        <v>109</v>
      </c>
      <c r="E2564" s="9" t="s">
        <v>111</v>
      </c>
      <c r="F2564" s="9" t="s">
        <v>111</v>
      </c>
      <c r="I2564" s="9" t="s">
        <v>28</v>
      </c>
      <c r="J2564" s="9" t="s">
        <v>11</v>
      </c>
      <c r="K2564" s="9" t="s">
        <v>82</v>
      </c>
      <c r="L2564" s="9" t="s">
        <v>166</v>
      </c>
      <c r="M2564" t="s">
        <v>113</v>
      </c>
      <c r="O2564" t="s">
        <v>1546</v>
      </c>
      <c r="P2564" t="s">
        <v>1547</v>
      </c>
      <c r="S2564">
        <v>359</v>
      </c>
      <c r="U2564" t="s">
        <v>112</v>
      </c>
      <c r="V2564" t="s">
        <v>1484</v>
      </c>
      <c r="X2564" s="43">
        <v>2.15</v>
      </c>
      <c r="AA2564" s="43"/>
      <c r="AB2564">
        <v>0.15</v>
      </c>
      <c r="AC2564">
        <v>0.1575</v>
      </c>
      <c r="AK2564">
        <v>7929592</v>
      </c>
    </row>
    <row r="2565" spans="1:37" ht="19">
      <c r="A2565" s="39" t="s">
        <v>17</v>
      </c>
      <c r="B2565" s="8">
        <v>2024</v>
      </c>
      <c r="C2565" s="8" t="s">
        <v>109</v>
      </c>
      <c r="D2565" s="9" t="s">
        <v>109</v>
      </c>
      <c r="E2565" s="9" t="s">
        <v>111</v>
      </c>
      <c r="F2565" s="9" t="s">
        <v>111</v>
      </c>
      <c r="I2565" s="9" t="s">
        <v>28</v>
      </c>
      <c r="J2565" s="9" t="s">
        <v>11</v>
      </c>
      <c r="K2565" s="9" t="s">
        <v>82</v>
      </c>
      <c r="L2565" s="9" t="s">
        <v>166</v>
      </c>
      <c r="M2565" t="s">
        <v>113</v>
      </c>
      <c r="O2565" t="s">
        <v>1546</v>
      </c>
      <c r="P2565" t="s">
        <v>1548</v>
      </c>
      <c r="S2565">
        <v>282</v>
      </c>
      <c r="U2565" t="s">
        <v>112</v>
      </c>
      <c r="V2565" t="s">
        <v>1484</v>
      </c>
      <c r="X2565" s="43">
        <v>1.7</v>
      </c>
      <c r="AA2565" s="43"/>
      <c r="AB2565">
        <v>0.1</v>
      </c>
      <c r="AC2565">
        <v>0.1215</v>
      </c>
      <c r="AK2565">
        <v>6228816</v>
      </c>
    </row>
    <row r="2566" spans="1:37" ht="19">
      <c r="A2566" s="39" t="s">
        <v>17</v>
      </c>
      <c r="B2566" s="8">
        <v>2024</v>
      </c>
      <c r="C2566" s="8" t="s">
        <v>109</v>
      </c>
      <c r="D2566" s="9" t="s">
        <v>109</v>
      </c>
      <c r="E2566" s="9" t="s">
        <v>111</v>
      </c>
      <c r="F2566" s="9" t="s">
        <v>111</v>
      </c>
      <c r="I2566" s="9" t="s">
        <v>28</v>
      </c>
      <c r="J2566" s="9" t="s">
        <v>11</v>
      </c>
      <c r="K2566" s="9" t="s">
        <v>82</v>
      </c>
      <c r="L2566" s="9" t="s">
        <v>166</v>
      </c>
      <c r="M2566" t="s">
        <v>113</v>
      </c>
      <c r="O2566" t="s">
        <v>1546</v>
      </c>
      <c r="P2566" t="s">
        <v>1549</v>
      </c>
      <c r="S2566">
        <v>326</v>
      </c>
      <c r="U2566" t="s">
        <v>112</v>
      </c>
      <c r="V2566" t="s">
        <v>1484</v>
      </c>
      <c r="X2566" s="43">
        <v>1.95</v>
      </c>
      <c r="AA2566" s="43"/>
      <c r="AB2566">
        <v>0.15</v>
      </c>
      <c r="AC2566">
        <v>0.13950000000000001</v>
      </c>
      <c r="AK2566">
        <v>7200688</v>
      </c>
    </row>
    <row r="2567" spans="1:37" ht="19">
      <c r="A2567" s="39" t="s">
        <v>17</v>
      </c>
      <c r="B2567" s="8">
        <v>2024</v>
      </c>
      <c r="C2567" s="8" t="s">
        <v>109</v>
      </c>
      <c r="D2567" s="9" t="s">
        <v>109</v>
      </c>
      <c r="E2567" s="9" t="s">
        <v>111</v>
      </c>
      <c r="F2567" s="9" t="s">
        <v>111</v>
      </c>
      <c r="I2567" s="9" t="s">
        <v>28</v>
      </c>
      <c r="J2567" s="9" t="s">
        <v>11</v>
      </c>
      <c r="K2567" s="9" t="s">
        <v>82</v>
      </c>
      <c r="L2567" s="9" t="s">
        <v>166</v>
      </c>
      <c r="M2567" t="s">
        <v>113</v>
      </c>
      <c r="O2567" t="s">
        <v>1546</v>
      </c>
      <c r="P2567" t="s">
        <v>1550</v>
      </c>
      <c r="S2567">
        <v>318</v>
      </c>
      <c r="U2567" t="s">
        <v>112</v>
      </c>
      <c r="V2567" t="s">
        <v>1484</v>
      </c>
      <c r="X2567" s="43">
        <v>1.95</v>
      </c>
      <c r="AA2567" s="43"/>
      <c r="AB2567">
        <v>0.15</v>
      </c>
      <c r="AC2567">
        <v>0.13950000000000001</v>
      </c>
      <c r="AK2567">
        <v>7023984</v>
      </c>
    </row>
    <row r="2568" spans="1:37" ht="19">
      <c r="A2568" s="39" t="s">
        <v>17</v>
      </c>
      <c r="B2568" s="8">
        <v>2024</v>
      </c>
      <c r="C2568" s="8" t="s">
        <v>109</v>
      </c>
      <c r="D2568" s="9" t="s">
        <v>109</v>
      </c>
      <c r="E2568" s="9" t="s">
        <v>111</v>
      </c>
      <c r="F2568" s="9" t="s">
        <v>111</v>
      </c>
      <c r="I2568" s="9" t="s">
        <v>28</v>
      </c>
      <c r="J2568" s="9" t="s">
        <v>11</v>
      </c>
      <c r="K2568" s="9" t="s">
        <v>82</v>
      </c>
      <c r="L2568" s="9" t="s">
        <v>166</v>
      </c>
      <c r="M2568" t="s">
        <v>113</v>
      </c>
      <c r="O2568" t="s">
        <v>1546</v>
      </c>
      <c r="P2568" t="s">
        <v>1551</v>
      </c>
      <c r="S2568">
        <v>96</v>
      </c>
      <c r="U2568" t="s">
        <v>112</v>
      </c>
      <c r="V2568" t="s">
        <v>1484</v>
      </c>
      <c r="X2568" s="43">
        <v>0.75</v>
      </c>
      <c r="AA2568" s="43"/>
      <c r="AB2568">
        <v>0.05</v>
      </c>
      <c r="AC2568">
        <v>5.3999999999999999E-2</v>
      </c>
      <c r="AK2568">
        <v>2120448</v>
      </c>
    </row>
    <row r="2569" spans="1:37" ht="19">
      <c r="A2569" s="39" t="s">
        <v>17</v>
      </c>
      <c r="B2569" s="8">
        <v>2024</v>
      </c>
      <c r="C2569" s="8" t="s">
        <v>109</v>
      </c>
      <c r="D2569" s="9" t="s">
        <v>109</v>
      </c>
      <c r="E2569" s="9" t="s">
        <v>111</v>
      </c>
      <c r="F2569" s="9" t="s">
        <v>111</v>
      </c>
      <c r="I2569" s="9" t="s">
        <v>28</v>
      </c>
      <c r="J2569" s="9" t="s">
        <v>11</v>
      </c>
      <c r="K2569" s="9" t="s">
        <v>82</v>
      </c>
      <c r="L2569" s="9" t="s">
        <v>166</v>
      </c>
      <c r="M2569" t="s">
        <v>113</v>
      </c>
      <c r="O2569" t="s">
        <v>1546</v>
      </c>
      <c r="P2569" t="s">
        <v>1552</v>
      </c>
      <c r="S2569">
        <v>360</v>
      </c>
      <c r="U2569" t="s">
        <v>112</v>
      </c>
      <c r="V2569" t="s">
        <v>1484</v>
      </c>
      <c r="X2569" s="43">
        <v>2.2000000000000002</v>
      </c>
      <c r="AA2569" s="43"/>
      <c r="AB2569">
        <v>0.15</v>
      </c>
      <c r="AC2569">
        <v>0.1575</v>
      </c>
      <c r="AK2569">
        <v>7951680</v>
      </c>
    </row>
    <row r="2570" spans="1:37" ht="19">
      <c r="A2570" s="39" t="s">
        <v>17</v>
      </c>
      <c r="B2570" s="8">
        <v>2024</v>
      </c>
      <c r="C2570" s="8" t="s">
        <v>109</v>
      </c>
      <c r="D2570" s="9" t="s">
        <v>109</v>
      </c>
      <c r="E2570" s="9" t="s">
        <v>111</v>
      </c>
      <c r="F2570" s="9" t="s">
        <v>111</v>
      </c>
      <c r="I2570" s="9" t="s">
        <v>28</v>
      </c>
      <c r="J2570" s="9" t="s">
        <v>11</v>
      </c>
      <c r="K2570" s="9" t="s">
        <v>82</v>
      </c>
      <c r="L2570" s="9" t="s">
        <v>166</v>
      </c>
      <c r="M2570" t="s">
        <v>113</v>
      </c>
      <c r="O2570" t="s">
        <v>1546</v>
      </c>
      <c r="P2570" t="s">
        <v>1553</v>
      </c>
      <c r="S2570">
        <v>208</v>
      </c>
      <c r="U2570" t="s">
        <v>112</v>
      </c>
      <c r="V2570" t="s">
        <v>1484</v>
      </c>
      <c r="X2570" s="43">
        <v>1.3</v>
      </c>
      <c r="AA2570" s="43"/>
      <c r="AB2570">
        <v>0.1</v>
      </c>
      <c r="AC2570">
        <v>9.4500000000000001E-2</v>
      </c>
      <c r="AK2570">
        <v>4594304</v>
      </c>
    </row>
    <row r="2571" spans="1:37" ht="19">
      <c r="A2571" s="39" t="s">
        <v>17</v>
      </c>
      <c r="B2571" s="8">
        <v>2024</v>
      </c>
      <c r="C2571" s="8" t="s">
        <v>109</v>
      </c>
      <c r="D2571" s="9" t="s">
        <v>109</v>
      </c>
      <c r="E2571" s="9" t="s">
        <v>111</v>
      </c>
      <c r="F2571" s="9" t="s">
        <v>111</v>
      </c>
      <c r="I2571" s="9" t="s">
        <v>28</v>
      </c>
      <c r="J2571" s="9" t="s">
        <v>11</v>
      </c>
      <c r="K2571" s="9" t="s">
        <v>82</v>
      </c>
      <c r="L2571" s="9" t="s">
        <v>166</v>
      </c>
      <c r="M2571" t="s">
        <v>113</v>
      </c>
      <c r="O2571" t="s">
        <v>1546</v>
      </c>
      <c r="P2571" t="s">
        <v>1554</v>
      </c>
      <c r="S2571">
        <v>210</v>
      </c>
      <c r="U2571" t="s">
        <v>112</v>
      </c>
      <c r="V2571" t="s">
        <v>1484</v>
      </c>
      <c r="X2571" s="43">
        <v>1.3</v>
      </c>
      <c r="AA2571" s="43"/>
      <c r="AB2571">
        <v>0.1</v>
      </c>
      <c r="AC2571">
        <v>9.4500000000000001E-2</v>
      </c>
      <c r="AK2571">
        <v>4638480</v>
      </c>
    </row>
    <row r="2572" spans="1:37" ht="19">
      <c r="A2572" s="39" t="s">
        <v>17</v>
      </c>
      <c r="B2572" s="8">
        <v>2024</v>
      </c>
      <c r="C2572" s="8" t="s">
        <v>109</v>
      </c>
      <c r="D2572" s="9" t="s">
        <v>109</v>
      </c>
      <c r="E2572" s="9" t="s">
        <v>111</v>
      </c>
      <c r="F2572" s="9" t="s">
        <v>111</v>
      </c>
      <c r="I2572" s="9" t="s">
        <v>28</v>
      </c>
      <c r="J2572" s="9" t="s">
        <v>11</v>
      </c>
      <c r="K2572" s="9" t="s">
        <v>82</v>
      </c>
      <c r="L2572" s="9" t="s">
        <v>166</v>
      </c>
      <c r="M2572" t="s">
        <v>113</v>
      </c>
      <c r="O2572" t="s">
        <v>1555</v>
      </c>
      <c r="P2572" t="s">
        <v>1556</v>
      </c>
      <c r="S2572">
        <v>182</v>
      </c>
      <c r="U2572" t="s">
        <v>112</v>
      </c>
      <c r="V2572" t="s">
        <v>1484</v>
      </c>
      <c r="X2572" s="43">
        <v>1.1000000000000001</v>
      </c>
      <c r="AA2572" s="43"/>
      <c r="AB2572">
        <v>0.1</v>
      </c>
      <c r="AC2572">
        <v>8.1000000000000003E-2</v>
      </c>
      <c r="AK2572">
        <v>4020016</v>
      </c>
    </row>
    <row r="2573" spans="1:37" ht="19">
      <c r="A2573" s="39" t="s">
        <v>17</v>
      </c>
      <c r="B2573" s="8">
        <v>2024</v>
      </c>
      <c r="C2573" s="8" t="s">
        <v>109</v>
      </c>
      <c r="D2573" s="9" t="s">
        <v>109</v>
      </c>
      <c r="E2573" s="9" t="s">
        <v>111</v>
      </c>
      <c r="F2573" s="9" t="s">
        <v>111</v>
      </c>
      <c r="I2573" s="9" t="s">
        <v>28</v>
      </c>
      <c r="J2573" s="9" t="s">
        <v>11</v>
      </c>
      <c r="K2573" s="9" t="s">
        <v>82</v>
      </c>
      <c r="L2573" s="9" t="s">
        <v>166</v>
      </c>
      <c r="M2573" t="s">
        <v>113</v>
      </c>
      <c r="O2573" t="s">
        <v>1555</v>
      </c>
      <c r="P2573" t="s">
        <v>1519</v>
      </c>
      <c r="S2573">
        <v>145</v>
      </c>
      <c r="U2573" t="s">
        <v>112</v>
      </c>
      <c r="V2573" t="s">
        <v>1484</v>
      </c>
      <c r="X2573" s="43">
        <v>1.1000000000000001</v>
      </c>
      <c r="AA2573" s="43"/>
      <c r="AB2573">
        <v>0.05</v>
      </c>
      <c r="AC2573">
        <v>8.1000000000000003E-2</v>
      </c>
      <c r="AK2573">
        <v>3202760</v>
      </c>
    </row>
    <row r="2574" spans="1:37" ht="19">
      <c r="A2574" s="39" t="s">
        <v>17</v>
      </c>
      <c r="B2574" s="8">
        <v>2024</v>
      </c>
      <c r="C2574" s="8" t="s">
        <v>109</v>
      </c>
      <c r="D2574" s="9" t="s">
        <v>109</v>
      </c>
      <c r="E2574" s="9" t="s">
        <v>111</v>
      </c>
      <c r="F2574" s="9" t="s">
        <v>111</v>
      </c>
      <c r="I2574" s="9" t="s">
        <v>28</v>
      </c>
      <c r="J2574" s="9" t="s">
        <v>11</v>
      </c>
      <c r="K2574" s="9" t="s">
        <v>82</v>
      </c>
      <c r="L2574" s="9" t="s">
        <v>166</v>
      </c>
      <c r="M2574" t="s">
        <v>113</v>
      </c>
      <c r="O2574" t="s">
        <v>1555</v>
      </c>
      <c r="P2574" t="s">
        <v>1555</v>
      </c>
      <c r="S2574">
        <v>512</v>
      </c>
      <c r="U2574" t="s">
        <v>112</v>
      </c>
      <c r="V2574" t="s">
        <v>1484</v>
      </c>
      <c r="X2574" s="43">
        <v>3.15</v>
      </c>
      <c r="AA2574" s="43"/>
      <c r="AB2574">
        <v>0.2</v>
      </c>
      <c r="AC2574">
        <v>0.2205</v>
      </c>
      <c r="AK2574">
        <v>11309056</v>
      </c>
    </row>
    <row r="2575" spans="1:37" ht="19">
      <c r="A2575" s="39" t="s">
        <v>17</v>
      </c>
      <c r="B2575" s="8">
        <v>2024</v>
      </c>
      <c r="C2575" s="8" t="s">
        <v>109</v>
      </c>
      <c r="D2575" s="9" t="s">
        <v>109</v>
      </c>
      <c r="E2575" s="9" t="s">
        <v>111</v>
      </c>
      <c r="F2575" s="9" t="s">
        <v>111</v>
      </c>
      <c r="I2575" s="9" t="s">
        <v>28</v>
      </c>
      <c r="J2575" s="9" t="s">
        <v>11</v>
      </c>
      <c r="K2575" s="9" t="s">
        <v>82</v>
      </c>
      <c r="L2575" s="9" t="s">
        <v>166</v>
      </c>
      <c r="M2575" t="s">
        <v>113</v>
      </c>
      <c r="O2575" t="s">
        <v>1555</v>
      </c>
      <c r="P2575" t="s">
        <v>1557</v>
      </c>
      <c r="S2575">
        <v>282</v>
      </c>
      <c r="U2575" t="s">
        <v>112</v>
      </c>
      <c r="V2575" t="s">
        <v>1484</v>
      </c>
      <c r="X2575" s="43">
        <v>1.7</v>
      </c>
      <c r="AA2575" s="43"/>
      <c r="AB2575">
        <v>0.1</v>
      </c>
      <c r="AC2575">
        <v>0.1215</v>
      </c>
      <c r="AK2575">
        <v>6228816</v>
      </c>
    </row>
    <row r="2576" spans="1:37" ht="19">
      <c r="A2576" s="39" t="s">
        <v>17</v>
      </c>
      <c r="B2576" s="8">
        <v>2024</v>
      </c>
      <c r="C2576" s="8" t="s">
        <v>109</v>
      </c>
      <c r="D2576" s="9" t="s">
        <v>109</v>
      </c>
      <c r="E2576" s="9" t="s">
        <v>111</v>
      </c>
      <c r="F2576" s="9" t="s">
        <v>111</v>
      </c>
      <c r="I2576" s="9" t="s">
        <v>28</v>
      </c>
      <c r="J2576" s="9" t="s">
        <v>11</v>
      </c>
      <c r="K2576" s="9" t="s">
        <v>82</v>
      </c>
      <c r="L2576" s="9" t="s">
        <v>166</v>
      </c>
      <c r="M2576" t="s">
        <v>113</v>
      </c>
      <c r="O2576" t="s">
        <v>1555</v>
      </c>
      <c r="P2576" t="s">
        <v>1558</v>
      </c>
      <c r="S2576">
        <v>218</v>
      </c>
      <c r="U2576" t="s">
        <v>112</v>
      </c>
      <c r="V2576" t="s">
        <v>1484</v>
      </c>
      <c r="X2576" s="43">
        <v>1.35</v>
      </c>
      <c r="AA2576" s="43"/>
      <c r="AB2576">
        <v>0.1</v>
      </c>
      <c r="AC2576">
        <v>9.4500000000000001E-2</v>
      </c>
      <c r="AK2576">
        <v>4815184</v>
      </c>
    </row>
    <row r="2577" spans="1:37" ht="19">
      <c r="A2577" s="39" t="s">
        <v>17</v>
      </c>
      <c r="B2577" s="8">
        <v>2024</v>
      </c>
      <c r="C2577" s="8" t="s">
        <v>109</v>
      </c>
      <c r="D2577" s="9" t="s">
        <v>109</v>
      </c>
      <c r="E2577" s="9" t="s">
        <v>111</v>
      </c>
      <c r="F2577" s="9" t="s">
        <v>111</v>
      </c>
      <c r="I2577" s="9" t="s">
        <v>28</v>
      </c>
      <c r="J2577" s="9" t="s">
        <v>11</v>
      </c>
      <c r="K2577" s="9" t="s">
        <v>82</v>
      </c>
      <c r="L2577" s="9" t="s">
        <v>166</v>
      </c>
      <c r="M2577" t="s">
        <v>113</v>
      </c>
      <c r="O2577" t="s">
        <v>1555</v>
      </c>
      <c r="P2577" t="s">
        <v>1559</v>
      </c>
      <c r="S2577">
        <v>244</v>
      </c>
      <c r="U2577" t="s">
        <v>112</v>
      </c>
      <c r="V2577" t="s">
        <v>1484</v>
      </c>
      <c r="X2577" s="43">
        <v>1.5</v>
      </c>
      <c r="AA2577" s="43"/>
      <c r="AB2577">
        <v>0.1</v>
      </c>
      <c r="AC2577">
        <v>0.108</v>
      </c>
      <c r="AK2577">
        <v>5389472</v>
      </c>
    </row>
    <row r="2578" spans="1:37" ht="19">
      <c r="A2578" s="39" t="s">
        <v>17</v>
      </c>
      <c r="B2578" s="8">
        <v>2024</v>
      </c>
      <c r="C2578" s="8" t="s">
        <v>109</v>
      </c>
      <c r="D2578" s="9" t="s">
        <v>109</v>
      </c>
      <c r="E2578" s="9" t="s">
        <v>111</v>
      </c>
      <c r="F2578" s="9" t="s">
        <v>111</v>
      </c>
      <c r="I2578" s="9" t="s">
        <v>28</v>
      </c>
      <c r="J2578" s="9" t="s">
        <v>11</v>
      </c>
      <c r="K2578" s="9" t="s">
        <v>82</v>
      </c>
      <c r="L2578" s="9" t="s">
        <v>166</v>
      </c>
      <c r="M2578" t="s">
        <v>113</v>
      </c>
      <c r="O2578" t="s">
        <v>1555</v>
      </c>
      <c r="P2578" t="s">
        <v>1560</v>
      </c>
      <c r="S2578">
        <v>110</v>
      </c>
      <c r="U2578" t="s">
        <v>112</v>
      </c>
      <c r="V2578" t="s">
        <v>1484</v>
      </c>
      <c r="X2578" s="43">
        <v>0.85</v>
      </c>
      <c r="AA2578" s="43"/>
      <c r="AB2578">
        <v>0.05</v>
      </c>
      <c r="AC2578">
        <v>5.8500000000000003E-2</v>
      </c>
      <c r="AK2578">
        <v>2429680</v>
      </c>
    </row>
    <row r="2579" spans="1:37" ht="19">
      <c r="A2579" s="39" t="s">
        <v>17</v>
      </c>
      <c r="B2579" s="8">
        <v>2024</v>
      </c>
      <c r="C2579" s="8" t="s">
        <v>109</v>
      </c>
      <c r="D2579" s="9" t="s">
        <v>109</v>
      </c>
      <c r="E2579" s="9" t="s">
        <v>111</v>
      </c>
      <c r="F2579" s="9" t="s">
        <v>111</v>
      </c>
      <c r="I2579" s="9" t="s">
        <v>28</v>
      </c>
      <c r="J2579" s="9" t="s">
        <v>11</v>
      </c>
      <c r="K2579" s="9" t="s">
        <v>82</v>
      </c>
      <c r="L2579" s="9" t="s">
        <v>166</v>
      </c>
      <c r="M2579" t="s">
        <v>113</v>
      </c>
      <c r="O2579" t="s">
        <v>1555</v>
      </c>
      <c r="P2579" t="s">
        <v>1561</v>
      </c>
      <c r="S2579">
        <v>260</v>
      </c>
      <c r="U2579" t="s">
        <v>112</v>
      </c>
      <c r="V2579" t="s">
        <v>1484</v>
      </c>
      <c r="X2579" s="43">
        <v>1.6</v>
      </c>
      <c r="AA2579" s="43"/>
      <c r="AB2579">
        <v>0.1</v>
      </c>
      <c r="AC2579">
        <v>0.1125</v>
      </c>
      <c r="AK2579">
        <v>5742880</v>
      </c>
    </row>
    <row r="2580" spans="1:37" ht="19">
      <c r="A2580" s="39" t="s">
        <v>17</v>
      </c>
      <c r="B2580" s="8">
        <v>2024</v>
      </c>
      <c r="C2580" s="8" t="s">
        <v>109</v>
      </c>
      <c r="D2580" s="9" t="s">
        <v>109</v>
      </c>
      <c r="E2580" s="9" t="s">
        <v>111</v>
      </c>
      <c r="F2580" s="9" t="s">
        <v>111</v>
      </c>
      <c r="I2580" s="9" t="s">
        <v>28</v>
      </c>
      <c r="J2580" s="9" t="s">
        <v>11</v>
      </c>
      <c r="K2580" s="9" t="s">
        <v>82</v>
      </c>
      <c r="L2580" s="9" t="s">
        <v>166</v>
      </c>
      <c r="M2580" t="s">
        <v>113</v>
      </c>
      <c r="O2580" t="s">
        <v>1555</v>
      </c>
      <c r="P2580" t="s">
        <v>1562</v>
      </c>
      <c r="S2580">
        <v>117</v>
      </c>
      <c r="U2580" t="s">
        <v>112</v>
      </c>
      <c r="V2580" t="s">
        <v>1484</v>
      </c>
      <c r="X2580" s="43">
        <v>0.9</v>
      </c>
      <c r="AA2580" s="43"/>
      <c r="AB2580">
        <v>0.05</v>
      </c>
      <c r="AC2580">
        <v>6.3E-2</v>
      </c>
      <c r="AK2580">
        <v>2584296</v>
      </c>
    </row>
    <row r="2581" spans="1:37" ht="19">
      <c r="A2581" s="39" t="s">
        <v>17</v>
      </c>
      <c r="B2581" s="8">
        <v>2024</v>
      </c>
      <c r="C2581" s="8" t="s">
        <v>109</v>
      </c>
      <c r="D2581" s="9" t="s">
        <v>109</v>
      </c>
      <c r="E2581" s="9" t="s">
        <v>111</v>
      </c>
      <c r="F2581" s="9" t="s">
        <v>111</v>
      </c>
      <c r="I2581" s="9" t="s">
        <v>28</v>
      </c>
      <c r="J2581" s="9" t="s">
        <v>11</v>
      </c>
      <c r="K2581" s="9" t="s">
        <v>82</v>
      </c>
      <c r="L2581" s="9" t="s">
        <v>166</v>
      </c>
      <c r="M2581" t="s">
        <v>113</v>
      </c>
      <c r="O2581" t="s">
        <v>1555</v>
      </c>
      <c r="P2581" t="s">
        <v>1563</v>
      </c>
      <c r="S2581">
        <v>172</v>
      </c>
      <c r="U2581" t="s">
        <v>112</v>
      </c>
      <c r="V2581" t="s">
        <v>1484</v>
      </c>
      <c r="X2581" s="43">
        <v>1.05</v>
      </c>
      <c r="AA2581" s="43"/>
      <c r="AB2581">
        <v>0.1</v>
      </c>
      <c r="AC2581">
        <v>7.6499999999999999E-2</v>
      </c>
      <c r="AK2581">
        <v>3799136</v>
      </c>
    </row>
    <row r="2582" spans="1:37" ht="19">
      <c r="A2582" s="39" t="s">
        <v>17</v>
      </c>
      <c r="B2582" s="8">
        <v>2024</v>
      </c>
      <c r="C2582" s="8" t="s">
        <v>109</v>
      </c>
      <c r="D2582" s="9" t="s">
        <v>109</v>
      </c>
      <c r="E2582" s="9" t="s">
        <v>111</v>
      </c>
      <c r="F2582" s="9" t="s">
        <v>111</v>
      </c>
      <c r="I2582" s="9" t="s">
        <v>28</v>
      </c>
      <c r="J2582" s="9" t="s">
        <v>11</v>
      </c>
      <c r="K2582" s="9" t="s">
        <v>82</v>
      </c>
      <c r="L2582" s="9" t="s">
        <v>166</v>
      </c>
      <c r="M2582" t="s">
        <v>113</v>
      </c>
      <c r="O2582" t="s">
        <v>866</v>
      </c>
      <c r="P2582" t="s">
        <v>1564</v>
      </c>
      <c r="S2582">
        <v>287</v>
      </c>
      <c r="U2582" t="s">
        <v>112</v>
      </c>
      <c r="V2582" t="s">
        <v>1484</v>
      </c>
      <c r="X2582" s="43">
        <v>1.75</v>
      </c>
      <c r="AA2582" s="43"/>
      <c r="AB2582">
        <v>0.1</v>
      </c>
      <c r="AC2582">
        <v>0.126</v>
      </c>
      <c r="AK2582">
        <v>6339256</v>
      </c>
    </row>
    <row r="2583" spans="1:37" ht="19">
      <c r="A2583" s="39" t="s">
        <v>17</v>
      </c>
      <c r="B2583" s="8">
        <v>2024</v>
      </c>
      <c r="C2583" s="8" t="s">
        <v>109</v>
      </c>
      <c r="D2583" s="9" t="s">
        <v>109</v>
      </c>
      <c r="E2583" s="9" t="s">
        <v>111</v>
      </c>
      <c r="F2583" s="9" t="s">
        <v>111</v>
      </c>
      <c r="I2583" s="9" t="s">
        <v>28</v>
      </c>
      <c r="J2583" s="9" t="s">
        <v>11</v>
      </c>
      <c r="K2583" s="9" t="s">
        <v>82</v>
      </c>
      <c r="L2583" s="9" t="s">
        <v>166</v>
      </c>
      <c r="M2583" t="s">
        <v>113</v>
      </c>
      <c r="O2583" t="s">
        <v>866</v>
      </c>
      <c r="P2583" t="s">
        <v>1565</v>
      </c>
      <c r="S2583">
        <v>518</v>
      </c>
      <c r="U2583" t="s">
        <v>112</v>
      </c>
      <c r="V2583" t="s">
        <v>1484</v>
      </c>
      <c r="X2583" s="43">
        <v>3.15</v>
      </c>
      <c r="AA2583" s="43"/>
      <c r="AB2583">
        <v>0.2</v>
      </c>
      <c r="AC2583">
        <v>0.22500000000000001</v>
      </c>
      <c r="AK2583">
        <v>11441584</v>
      </c>
    </row>
    <row r="2584" spans="1:37" ht="19">
      <c r="A2584" s="39" t="s">
        <v>17</v>
      </c>
      <c r="B2584" s="8">
        <v>2024</v>
      </c>
      <c r="C2584" s="8" t="s">
        <v>109</v>
      </c>
      <c r="D2584" s="9" t="s">
        <v>109</v>
      </c>
      <c r="E2584" s="9" t="s">
        <v>111</v>
      </c>
      <c r="F2584" s="9" t="s">
        <v>111</v>
      </c>
      <c r="I2584" s="9" t="s">
        <v>28</v>
      </c>
      <c r="J2584" s="9" t="s">
        <v>11</v>
      </c>
      <c r="K2584" s="9" t="s">
        <v>82</v>
      </c>
      <c r="L2584" s="9" t="s">
        <v>166</v>
      </c>
      <c r="M2584" t="s">
        <v>113</v>
      </c>
      <c r="O2584" t="s">
        <v>866</v>
      </c>
      <c r="P2584" t="s">
        <v>1566</v>
      </c>
      <c r="S2584">
        <v>335</v>
      </c>
      <c r="U2584" t="s">
        <v>112</v>
      </c>
      <c r="V2584" t="s">
        <v>1484</v>
      </c>
      <c r="X2584" s="43">
        <v>2</v>
      </c>
      <c r="AA2584" s="43"/>
      <c r="AB2584">
        <v>0.15</v>
      </c>
      <c r="AC2584">
        <v>0.14849999999999999</v>
      </c>
      <c r="AK2584">
        <v>7399480</v>
      </c>
    </row>
    <row r="2585" spans="1:37" ht="19">
      <c r="A2585" s="39" t="s">
        <v>17</v>
      </c>
      <c r="B2585" s="8">
        <v>2024</v>
      </c>
      <c r="C2585" s="8" t="s">
        <v>109</v>
      </c>
      <c r="D2585" s="9" t="s">
        <v>109</v>
      </c>
      <c r="E2585" s="9" t="s">
        <v>111</v>
      </c>
      <c r="F2585" s="9" t="s">
        <v>111</v>
      </c>
      <c r="I2585" s="9" t="s">
        <v>28</v>
      </c>
      <c r="J2585" s="9" t="s">
        <v>11</v>
      </c>
      <c r="K2585" s="9" t="s">
        <v>82</v>
      </c>
      <c r="L2585" s="9" t="s">
        <v>166</v>
      </c>
      <c r="M2585" t="s">
        <v>113</v>
      </c>
      <c r="O2585" t="s">
        <v>866</v>
      </c>
      <c r="P2585" t="s">
        <v>1567</v>
      </c>
      <c r="S2585">
        <v>409</v>
      </c>
      <c r="U2585" t="s">
        <v>112</v>
      </c>
      <c r="V2585" t="s">
        <v>1484</v>
      </c>
      <c r="X2585" s="43">
        <v>2.5</v>
      </c>
      <c r="AA2585" s="43"/>
      <c r="AB2585">
        <v>0.15</v>
      </c>
      <c r="AC2585">
        <v>0.17549999999999999</v>
      </c>
      <c r="AK2585">
        <v>9033992</v>
      </c>
    </row>
    <row r="2586" spans="1:37" ht="19">
      <c r="A2586" s="39" t="s">
        <v>17</v>
      </c>
      <c r="B2586" s="8">
        <v>2024</v>
      </c>
      <c r="C2586" s="8" t="s">
        <v>109</v>
      </c>
      <c r="D2586" s="9" t="s">
        <v>109</v>
      </c>
      <c r="E2586" s="9" t="s">
        <v>111</v>
      </c>
      <c r="F2586" s="9" t="s">
        <v>111</v>
      </c>
      <c r="I2586" s="9" t="s">
        <v>28</v>
      </c>
      <c r="J2586" s="9" t="s">
        <v>11</v>
      </c>
      <c r="K2586" s="9" t="s">
        <v>82</v>
      </c>
      <c r="L2586" s="9" t="s">
        <v>166</v>
      </c>
      <c r="M2586" t="s">
        <v>113</v>
      </c>
      <c r="O2586" t="s">
        <v>866</v>
      </c>
      <c r="P2586" t="s">
        <v>1568</v>
      </c>
      <c r="S2586">
        <v>204</v>
      </c>
      <c r="U2586" t="s">
        <v>112</v>
      </c>
      <c r="V2586" t="s">
        <v>1484</v>
      </c>
      <c r="X2586" s="43">
        <v>1.25</v>
      </c>
      <c r="AA2586" s="43"/>
      <c r="AB2586">
        <v>0.1</v>
      </c>
      <c r="AC2586">
        <v>0.09</v>
      </c>
      <c r="AK2586">
        <v>4505952</v>
      </c>
    </row>
    <row r="2587" spans="1:37" ht="19">
      <c r="A2587" s="39" t="s">
        <v>17</v>
      </c>
      <c r="B2587" s="8">
        <v>2024</v>
      </c>
      <c r="C2587" s="8" t="s">
        <v>109</v>
      </c>
      <c r="D2587" s="9" t="s">
        <v>109</v>
      </c>
      <c r="E2587" s="9" t="s">
        <v>111</v>
      </c>
      <c r="F2587" s="9" t="s">
        <v>111</v>
      </c>
      <c r="I2587" s="9" t="s">
        <v>28</v>
      </c>
      <c r="J2587" s="9" t="s">
        <v>11</v>
      </c>
      <c r="K2587" s="9" t="s">
        <v>82</v>
      </c>
      <c r="L2587" s="9" t="s">
        <v>166</v>
      </c>
      <c r="M2587" t="s">
        <v>113</v>
      </c>
      <c r="O2587" t="s">
        <v>866</v>
      </c>
      <c r="P2587" t="s">
        <v>1569</v>
      </c>
      <c r="S2587">
        <v>355</v>
      </c>
      <c r="U2587" t="s">
        <v>112</v>
      </c>
      <c r="V2587" t="s">
        <v>1484</v>
      </c>
      <c r="X2587" s="43">
        <v>2.2000000000000002</v>
      </c>
      <c r="AA2587" s="43"/>
      <c r="AB2587">
        <v>0.15</v>
      </c>
      <c r="AC2587">
        <v>0.153</v>
      </c>
      <c r="AK2587">
        <v>7841240</v>
      </c>
    </row>
    <row r="2588" spans="1:37" ht="19">
      <c r="A2588" s="39" t="s">
        <v>17</v>
      </c>
      <c r="B2588" s="8">
        <v>2024</v>
      </c>
      <c r="C2588" s="8" t="s">
        <v>109</v>
      </c>
      <c r="D2588" s="9" t="s">
        <v>109</v>
      </c>
      <c r="E2588" s="9" t="s">
        <v>111</v>
      </c>
      <c r="F2588" s="9" t="s">
        <v>111</v>
      </c>
      <c r="I2588" s="9" t="s">
        <v>28</v>
      </c>
      <c r="J2588" s="9" t="s">
        <v>11</v>
      </c>
      <c r="K2588" s="9" t="s">
        <v>82</v>
      </c>
      <c r="L2588" s="9" t="s">
        <v>166</v>
      </c>
      <c r="M2588" t="s">
        <v>113</v>
      </c>
      <c r="O2588" t="s">
        <v>866</v>
      </c>
      <c r="P2588" t="s">
        <v>1570</v>
      </c>
      <c r="S2588">
        <v>459</v>
      </c>
      <c r="U2588" t="s">
        <v>112</v>
      </c>
      <c r="V2588" t="s">
        <v>1484</v>
      </c>
      <c r="X2588" s="43">
        <v>2.75</v>
      </c>
      <c r="AA2588" s="43"/>
      <c r="AB2588">
        <v>0.2</v>
      </c>
      <c r="AC2588">
        <v>0.20250000000000001</v>
      </c>
      <c r="AK2588">
        <v>10138392</v>
      </c>
    </row>
    <row r="2589" spans="1:37" ht="19">
      <c r="A2589" s="39" t="s">
        <v>17</v>
      </c>
      <c r="B2589" s="8">
        <v>2024</v>
      </c>
      <c r="C2589" s="8" t="s">
        <v>109</v>
      </c>
      <c r="D2589" s="9" t="s">
        <v>109</v>
      </c>
      <c r="E2589" s="9" t="s">
        <v>111</v>
      </c>
      <c r="F2589" s="9" t="s">
        <v>111</v>
      </c>
      <c r="I2589" s="9" t="s">
        <v>28</v>
      </c>
      <c r="J2589" s="9" t="s">
        <v>11</v>
      </c>
      <c r="K2589" s="9" t="s">
        <v>82</v>
      </c>
      <c r="L2589" s="9" t="s">
        <v>166</v>
      </c>
      <c r="M2589" t="s">
        <v>113</v>
      </c>
      <c r="O2589" t="s">
        <v>866</v>
      </c>
      <c r="P2589" t="s">
        <v>1571</v>
      </c>
      <c r="S2589">
        <v>193</v>
      </c>
      <c r="U2589" t="s">
        <v>112</v>
      </c>
      <c r="V2589" t="s">
        <v>1484</v>
      </c>
      <c r="X2589" s="43">
        <v>1.2</v>
      </c>
      <c r="AA2589" s="43"/>
      <c r="AB2589">
        <v>0.1</v>
      </c>
      <c r="AC2589">
        <v>8.5500000000000007E-2</v>
      </c>
      <c r="AK2589">
        <v>4262984</v>
      </c>
    </row>
    <row r="2590" spans="1:37" ht="19">
      <c r="A2590" s="39" t="s">
        <v>17</v>
      </c>
      <c r="B2590" s="8">
        <v>2024</v>
      </c>
      <c r="C2590" s="8" t="s">
        <v>109</v>
      </c>
      <c r="D2590" s="9" t="s">
        <v>109</v>
      </c>
      <c r="E2590" s="9" t="s">
        <v>111</v>
      </c>
      <c r="F2590" s="9" t="s">
        <v>111</v>
      </c>
      <c r="I2590" s="9" t="s">
        <v>28</v>
      </c>
      <c r="J2590" s="9" t="s">
        <v>11</v>
      </c>
      <c r="K2590" s="9" t="s">
        <v>82</v>
      </c>
      <c r="L2590" s="9" t="s">
        <v>166</v>
      </c>
      <c r="M2590" t="s">
        <v>113</v>
      </c>
      <c r="O2590" t="s">
        <v>866</v>
      </c>
      <c r="P2590" t="s">
        <v>1572</v>
      </c>
      <c r="S2590">
        <v>341</v>
      </c>
      <c r="U2590" t="s">
        <v>112</v>
      </c>
      <c r="V2590" t="s">
        <v>1484</v>
      </c>
      <c r="X2590" s="43">
        <v>2.1</v>
      </c>
      <c r="AA2590" s="43"/>
      <c r="AB2590">
        <v>0.15</v>
      </c>
      <c r="AC2590">
        <v>0.14849999999999999</v>
      </c>
      <c r="AK2590">
        <v>7532008</v>
      </c>
    </row>
    <row r="2591" spans="1:37" ht="19">
      <c r="A2591" s="39" t="s">
        <v>17</v>
      </c>
      <c r="B2591" s="8">
        <v>2024</v>
      </c>
      <c r="C2591" s="8" t="s">
        <v>109</v>
      </c>
      <c r="D2591" s="9" t="s">
        <v>109</v>
      </c>
      <c r="E2591" s="9" t="s">
        <v>111</v>
      </c>
      <c r="F2591" s="9" t="s">
        <v>111</v>
      </c>
      <c r="I2591" s="9" t="s">
        <v>28</v>
      </c>
      <c r="J2591" s="9" t="s">
        <v>11</v>
      </c>
      <c r="K2591" s="9" t="s">
        <v>82</v>
      </c>
      <c r="L2591" s="9" t="s">
        <v>166</v>
      </c>
      <c r="M2591" t="s">
        <v>113</v>
      </c>
      <c r="O2591" t="s">
        <v>866</v>
      </c>
      <c r="P2591" t="s">
        <v>1573</v>
      </c>
      <c r="S2591">
        <v>242</v>
      </c>
      <c r="U2591" t="s">
        <v>112</v>
      </c>
      <c r="V2591" t="s">
        <v>1484</v>
      </c>
      <c r="X2591" s="43">
        <v>1.5</v>
      </c>
      <c r="AA2591" s="43"/>
      <c r="AB2591">
        <v>0.1</v>
      </c>
      <c r="AC2591">
        <v>0.10349999999999999</v>
      </c>
      <c r="AK2591">
        <v>5345296</v>
      </c>
    </row>
    <row r="2592" spans="1:37" ht="19">
      <c r="A2592" s="39" t="s">
        <v>17</v>
      </c>
      <c r="B2592" s="8">
        <v>2024</v>
      </c>
      <c r="C2592" s="8" t="s">
        <v>109</v>
      </c>
      <c r="D2592" s="9" t="s">
        <v>109</v>
      </c>
      <c r="E2592" s="9" t="s">
        <v>111</v>
      </c>
      <c r="F2592" s="9" t="s">
        <v>111</v>
      </c>
      <c r="I2592" s="9" t="s">
        <v>28</v>
      </c>
      <c r="J2592" s="9" t="s">
        <v>11</v>
      </c>
      <c r="K2592" s="9" t="s">
        <v>82</v>
      </c>
      <c r="L2592" s="9" t="s">
        <v>166</v>
      </c>
      <c r="M2592" t="s">
        <v>113</v>
      </c>
      <c r="O2592" t="s">
        <v>1574</v>
      </c>
      <c r="P2592" t="s">
        <v>1575</v>
      </c>
      <c r="S2592">
        <v>161</v>
      </c>
      <c r="U2592" t="s">
        <v>112</v>
      </c>
      <c r="V2592" t="s">
        <v>1484</v>
      </c>
      <c r="X2592" s="43">
        <v>1</v>
      </c>
      <c r="AA2592" s="43"/>
      <c r="AB2592">
        <v>0.1</v>
      </c>
      <c r="AC2592">
        <v>7.1999999999999995E-2</v>
      </c>
      <c r="AK2592">
        <v>3556168</v>
      </c>
    </row>
    <row r="2593" spans="1:37" ht="19">
      <c r="A2593" s="39" t="s">
        <v>17</v>
      </c>
      <c r="B2593" s="8">
        <v>2024</v>
      </c>
      <c r="C2593" s="8" t="s">
        <v>109</v>
      </c>
      <c r="D2593" s="9" t="s">
        <v>109</v>
      </c>
      <c r="E2593" s="9" t="s">
        <v>111</v>
      </c>
      <c r="F2593" s="9" t="s">
        <v>111</v>
      </c>
      <c r="I2593" s="9" t="s">
        <v>28</v>
      </c>
      <c r="J2593" s="9" t="s">
        <v>11</v>
      </c>
      <c r="K2593" s="9" t="s">
        <v>82</v>
      </c>
      <c r="L2593" s="9" t="s">
        <v>166</v>
      </c>
      <c r="M2593" t="s">
        <v>113</v>
      </c>
      <c r="O2593" t="s">
        <v>1576</v>
      </c>
      <c r="P2593" t="s">
        <v>1577</v>
      </c>
      <c r="S2593">
        <v>302</v>
      </c>
      <c r="U2593" t="s">
        <v>112</v>
      </c>
      <c r="V2593" t="s">
        <v>1484</v>
      </c>
      <c r="X2593" s="43">
        <v>1.8</v>
      </c>
      <c r="AA2593" s="43"/>
      <c r="AB2593">
        <v>0.1</v>
      </c>
      <c r="AC2593">
        <v>0.1305</v>
      </c>
      <c r="AK2593">
        <v>6670576</v>
      </c>
    </row>
    <row r="2594" spans="1:37" ht="19">
      <c r="A2594" s="39" t="s">
        <v>17</v>
      </c>
      <c r="B2594" s="8">
        <v>2024</v>
      </c>
      <c r="C2594" s="8" t="s">
        <v>109</v>
      </c>
      <c r="D2594" s="9" t="s">
        <v>109</v>
      </c>
      <c r="E2594" s="9" t="s">
        <v>111</v>
      </c>
      <c r="F2594" s="9" t="s">
        <v>111</v>
      </c>
      <c r="I2594" s="9" t="s">
        <v>28</v>
      </c>
      <c r="J2594" s="9" t="s">
        <v>11</v>
      </c>
      <c r="K2594" s="9" t="s">
        <v>82</v>
      </c>
      <c r="L2594" s="9" t="s">
        <v>166</v>
      </c>
      <c r="M2594" t="s">
        <v>113</v>
      </c>
      <c r="O2594" t="s">
        <v>1576</v>
      </c>
      <c r="P2594" t="s">
        <v>1578</v>
      </c>
      <c r="S2594">
        <v>208</v>
      </c>
      <c r="U2594" t="s">
        <v>112</v>
      </c>
      <c r="V2594" t="s">
        <v>1484</v>
      </c>
      <c r="X2594" s="43">
        <v>1.3</v>
      </c>
      <c r="AA2594" s="43"/>
      <c r="AB2594">
        <v>0.1</v>
      </c>
      <c r="AC2594">
        <v>9.4500000000000001E-2</v>
      </c>
      <c r="AK2594">
        <v>4594304</v>
      </c>
    </row>
    <row r="2595" spans="1:37" ht="19">
      <c r="A2595" s="39" t="s">
        <v>17</v>
      </c>
      <c r="B2595" s="8">
        <v>2024</v>
      </c>
      <c r="C2595" s="8" t="s">
        <v>109</v>
      </c>
      <c r="D2595" s="9" t="s">
        <v>109</v>
      </c>
      <c r="E2595" s="9" t="s">
        <v>111</v>
      </c>
      <c r="F2595" s="9" t="s">
        <v>111</v>
      </c>
      <c r="I2595" s="9" t="s">
        <v>28</v>
      </c>
      <c r="J2595" s="9" t="s">
        <v>11</v>
      </c>
      <c r="K2595" s="9" t="s">
        <v>82</v>
      </c>
      <c r="L2595" s="9" t="s">
        <v>166</v>
      </c>
      <c r="M2595" t="s">
        <v>113</v>
      </c>
      <c r="O2595" t="s">
        <v>1576</v>
      </c>
      <c r="P2595" t="s">
        <v>1579</v>
      </c>
      <c r="S2595">
        <v>185</v>
      </c>
      <c r="U2595" t="s">
        <v>112</v>
      </c>
      <c r="V2595" t="s">
        <v>1484</v>
      </c>
      <c r="X2595" s="43">
        <v>1.1499999999999999</v>
      </c>
      <c r="AA2595" s="43"/>
      <c r="AB2595">
        <v>0.1</v>
      </c>
      <c r="AC2595">
        <v>8.1000000000000003E-2</v>
      </c>
      <c r="AK2595">
        <v>4086280</v>
      </c>
    </row>
    <row r="2596" spans="1:37" ht="19">
      <c r="A2596" s="39" t="s">
        <v>17</v>
      </c>
      <c r="B2596" s="8">
        <v>2024</v>
      </c>
      <c r="C2596" s="8" t="s">
        <v>109</v>
      </c>
      <c r="D2596" s="9" t="s">
        <v>109</v>
      </c>
      <c r="E2596" s="9" t="s">
        <v>111</v>
      </c>
      <c r="F2596" s="9" t="s">
        <v>111</v>
      </c>
      <c r="I2596" s="9" t="s">
        <v>28</v>
      </c>
      <c r="J2596" s="9" t="s">
        <v>11</v>
      </c>
      <c r="K2596" s="9" t="s">
        <v>82</v>
      </c>
      <c r="L2596" s="9" t="s">
        <v>166</v>
      </c>
      <c r="M2596" t="s">
        <v>113</v>
      </c>
      <c r="O2596" t="s">
        <v>1574</v>
      </c>
      <c r="P2596" t="s">
        <v>1580</v>
      </c>
      <c r="S2596">
        <v>148</v>
      </c>
      <c r="U2596" t="s">
        <v>112</v>
      </c>
      <c r="V2596" t="s">
        <v>1484</v>
      </c>
      <c r="X2596" s="43">
        <v>0.9</v>
      </c>
      <c r="AA2596" s="43"/>
      <c r="AB2596">
        <v>0.05</v>
      </c>
      <c r="AC2596">
        <v>6.7500000000000004E-2</v>
      </c>
      <c r="AK2596">
        <v>3269024</v>
      </c>
    </row>
    <row r="2597" spans="1:37" ht="19">
      <c r="A2597" s="39" t="s">
        <v>17</v>
      </c>
      <c r="B2597" s="8">
        <v>2024</v>
      </c>
      <c r="C2597" s="8" t="s">
        <v>109</v>
      </c>
      <c r="D2597" s="9" t="s">
        <v>109</v>
      </c>
      <c r="E2597" s="9" t="s">
        <v>111</v>
      </c>
      <c r="F2597" s="9" t="s">
        <v>111</v>
      </c>
      <c r="I2597" s="9" t="s">
        <v>28</v>
      </c>
      <c r="J2597" s="9" t="s">
        <v>11</v>
      </c>
      <c r="K2597" s="9" t="s">
        <v>82</v>
      </c>
      <c r="L2597" s="9" t="s">
        <v>166</v>
      </c>
      <c r="M2597" t="s">
        <v>113</v>
      </c>
      <c r="O2597" t="s">
        <v>1576</v>
      </c>
      <c r="P2597" t="s">
        <v>1581</v>
      </c>
      <c r="S2597">
        <v>294</v>
      </c>
      <c r="U2597" t="s">
        <v>112</v>
      </c>
      <c r="V2597" t="s">
        <v>1484</v>
      </c>
      <c r="X2597" s="43">
        <v>1.8</v>
      </c>
      <c r="AA2597" s="43"/>
      <c r="AB2597">
        <v>0.1</v>
      </c>
      <c r="AC2597">
        <v>0.1305</v>
      </c>
      <c r="AK2597">
        <v>6493872</v>
      </c>
    </row>
    <row r="2598" spans="1:37" ht="19">
      <c r="A2598" s="39" t="s">
        <v>17</v>
      </c>
      <c r="B2598" s="8">
        <v>2024</v>
      </c>
      <c r="C2598" s="8" t="s">
        <v>109</v>
      </c>
      <c r="D2598" s="9" t="s">
        <v>109</v>
      </c>
      <c r="E2598" s="9" t="s">
        <v>111</v>
      </c>
      <c r="F2598" s="9" t="s">
        <v>111</v>
      </c>
      <c r="I2598" s="9" t="s">
        <v>28</v>
      </c>
      <c r="J2598" s="9" t="s">
        <v>11</v>
      </c>
      <c r="K2598" s="9" t="s">
        <v>82</v>
      </c>
      <c r="L2598" s="9" t="s">
        <v>166</v>
      </c>
      <c r="M2598" t="s">
        <v>113</v>
      </c>
      <c r="O2598" t="s">
        <v>1576</v>
      </c>
      <c r="P2598" t="s">
        <v>1582</v>
      </c>
      <c r="S2598">
        <v>302</v>
      </c>
      <c r="U2598" t="s">
        <v>112</v>
      </c>
      <c r="V2598" t="s">
        <v>1484</v>
      </c>
      <c r="X2598" s="43">
        <v>1.8</v>
      </c>
      <c r="AA2598" s="43"/>
      <c r="AB2598">
        <v>0.1</v>
      </c>
      <c r="AC2598">
        <v>0.1305</v>
      </c>
      <c r="AK2598">
        <v>6670576</v>
      </c>
    </row>
    <row r="2599" spans="1:37" ht="19">
      <c r="A2599" s="39" t="s">
        <v>17</v>
      </c>
      <c r="B2599" s="8">
        <v>2024</v>
      </c>
      <c r="C2599" s="8" t="s">
        <v>109</v>
      </c>
      <c r="D2599" s="9" t="s">
        <v>109</v>
      </c>
      <c r="E2599" s="9" t="s">
        <v>111</v>
      </c>
      <c r="F2599" s="9" t="s">
        <v>111</v>
      </c>
      <c r="I2599" s="9" t="s">
        <v>28</v>
      </c>
      <c r="J2599" s="9" t="s">
        <v>11</v>
      </c>
      <c r="K2599" s="9" t="s">
        <v>82</v>
      </c>
      <c r="L2599" s="9" t="s">
        <v>166</v>
      </c>
      <c r="M2599" t="s">
        <v>113</v>
      </c>
      <c r="O2599" t="s">
        <v>1576</v>
      </c>
      <c r="P2599" t="s">
        <v>1583</v>
      </c>
      <c r="S2599">
        <v>218</v>
      </c>
      <c r="U2599" t="s">
        <v>112</v>
      </c>
      <c r="V2599" t="s">
        <v>1484</v>
      </c>
      <c r="X2599" s="43">
        <v>1.35</v>
      </c>
      <c r="AA2599" s="43"/>
      <c r="AB2599">
        <v>0.1</v>
      </c>
      <c r="AC2599">
        <v>9.4500000000000001E-2</v>
      </c>
      <c r="AK2599">
        <v>4815184</v>
      </c>
    </row>
    <row r="2600" spans="1:37" ht="19">
      <c r="A2600" s="39" t="s">
        <v>17</v>
      </c>
      <c r="B2600" s="8">
        <v>2024</v>
      </c>
      <c r="C2600" s="8" t="s">
        <v>109</v>
      </c>
      <c r="D2600" s="9" t="s">
        <v>109</v>
      </c>
      <c r="E2600" s="9" t="s">
        <v>111</v>
      </c>
      <c r="F2600" s="9" t="s">
        <v>111</v>
      </c>
      <c r="I2600" s="9" t="s">
        <v>28</v>
      </c>
      <c r="J2600" s="9" t="s">
        <v>11</v>
      </c>
      <c r="K2600" s="9" t="s">
        <v>82</v>
      </c>
      <c r="L2600" s="9" t="s">
        <v>166</v>
      </c>
      <c r="M2600" t="s">
        <v>113</v>
      </c>
      <c r="O2600" t="s">
        <v>1576</v>
      </c>
      <c r="P2600" t="s">
        <v>1584</v>
      </c>
      <c r="S2600">
        <v>235</v>
      </c>
      <c r="U2600" t="s">
        <v>112</v>
      </c>
      <c r="V2600" t="s">
        <v>1484</v>
      </c>
      <c r="X2600" s="43">
        <v>1.4</v>
      </c>
      <c r="AA2600" s="43"/>
      <c r="AB2600">
        <v>0.1</v>
      </c>
      <c r="AC2600">
        <v>0.10349999999999999</v>
      </c>
      <c r="AK2600">
        <v>5190680</v>
      </c>
    </row>
    <row r="2601" spans="1:37" ht="19">
      <c r="A2601" s="39" t="s">
        <v>17</v>
      </c>
      <c r="B2601" s="8">
        <v>2024</v>
      </c>
      <c r="C2601" s="8" t="s">
        <v>109</v>
      </c>
      <c r="D2601" s="9" t="s">
        <v>109</v>
      </c>
      <c r="E2601" s="9" t="s">
        <v>111</v>
      </c>
      <c r="F2601" s="9" t="s">
        <v>111</v>
      </c>
      <c r="I2601" s="9" t="s">
        <v>28</v>
      </c>
      <c r="J2601" s="9" t="s">
        <v>11</v>
      </c>
      <c r="K2601" s="9" t="s">
        <v>82</v>
      </c>
      <c r="L2601" s="9" t="s">
        <v>166</v>
      </c>
      <c r="M2601" t="s">
        <v>113</v>
      </c>
      <c r="O2601" t="s">
        <v>1576</v>
      </c>
      <c r="P2601" t="s">
        <v>1585</v>
      </c>
      <c r="S2601">
        <v>84</v>
      </c>
      <c r="U2601" t="s">
        <v>112</v>
      </c>
      <c r="V2601" t="s">
        <v>1484</v>
      </c>
      <c r="X2601" s="43">
        <v>0.65</v>
      </c>
      <c r="AA2601" s="43"/>
      <c r="AB2601">
        <v>0.05</v>
      </c>
      <c r="AC2601">
        <v>4.4999999999999998E-2</v>
      </c>
      <c r="AK2601">
        <v>1855392</v>
      </c>
    </row>
    <row r="2602" spans="1:37" ht="19">
      <c r="A2602" s="39" t="s">
        <v>17</v>
      </c>
      <c r="B2602" s="8">
        <v>2024</v>
      </c>
      <c r="C2602" s="8" t="s">
        <v>109</v>
      </c>
      <c r="D2602" s="9" t="s">
        <v>109</v>
      </c>
      <c r="E2602" s="9" t="s">
        <v>111</v>
      </c>
      <c r="F2602" s="9" t="s">
        <v>111</v>
      </c>
      <c r="I2602" s="9" t="s">
        <v>28</v>
      </c>
      <c r="J2602" s="9" t="s">
        <v>11</v>
      </c>
      <c r="K2602" s="9" t="s">
        <v>82</v>
      </c>
      <c r="L2602" s="9" t="s">
        <v>166</v>
      </c>
      <c r="M2602" t="s">
        <v>113</v>
      </c>
      <c r="O2602" t="s">
        <v>1576</v>
      </c>
      <c r="P2602" t="s">
        <v>1586</v>
      </c>
      <c r="S2602">
        <v>388</v>
      </c>
      <c r="U2602" t="s">
        <v>112</v>
      </c>
      <c r="V2602" t="s">
        <v>1484</v>
      </c>
      <c r="X2602" s="43">
        <v>2.35</v>
      </c>
      <c r="AA2602" s="43"/>
      <c r="AB2602">
        <v>0.15</v>
      </c>
      <c r="AC2602">
        <v>0.17100000000000001</v>
      </c>
      <c r="AK2602">
        <v>8570144</v>
      </c>
    </row>
    <row r="2603" spans="1:37" ht="19">
      <c r="A2603" s="39" t="s">
        <v>17</v>
      </c>
      <c r="B2603" s="8">
        <v>2024</v>
      </c>
      <c r="C2603" s="8" t="s">
        <v>109</v>
      </c>
      <c r="D2603" s="9" t="s">
        <v>109</v>
      </c>
      <c r="E2603" s="9" t="s">
        <v>111</v>
      </c>
      <c r="F2603" s="9" t="s">
        <v>111</v>
      </c>
      <c r="I2603" s="9" t="s">
        <v>28</v>
      </c>
      <c r="J2603" s="9" t="s">
        <v>11</v>
      </c>
      <c r="K2603" s="9" t="s">
        <v>82</v>
      </c>
      <c r="L2603" s="9" t="s">
        <v>166</v>
      </c>
      <c r="M2603" t="s">
        <v>113</v>
      </c>
      <c r="O2603" t="s">
        <v>1576</v>
      </c>
      <c r="P2603" t="s">
        <v>1587</v>
      </c>
      <c r="S2603">
        <v>96</v>
      </c>
      <c r="U2603" t="s">
        <v>112</v>
      </c>
      <c r="V2603" t="s">
        <v>1484</v>
      </c>
      <c r="X2603" s="43">
        <v>0.75</v>
      </c>
      <c r="AA2603" s="43"/>
      <c r="AB2603">
        <v>0.05</v>
      </c>
      <c r="AC2603">
        <v>5.3999999999999999E-2</v>
      </c>
      <c r="AK2603">
        <v>2120448</v>
      </c>
    </row>
    <row r="2604" spans="1:37" ht="19">
      <c r="A2604" s="39" t="s">
        <v>17</v>
      </c>
      <c r="B2604" s="8">
        <v>2024</v>
      </c>
      <c r="C2604" s="8" t="s">
        <v>109</v>
      </c>
      <c r="D2604" s="9" t="s">
        <v>109</v>
      </c>
      <c r="E2604" s="9" t="s">
        <v>111</v>
      </c>
      <c r="F2604" s="9" t="s">
        <v>111</v>
      </c>
      <c r="I2604" s="9" t="s">
        <v>28</v>
      </c>
      <c r="J2604" s="9" t="s">
        <v>11</v>
      </c>
      <c r="K2604" s="9" t="s">
        <v>82</v>
      </c>
      <c r="L2604" s="9" t="s">
        <v>166</v>
      </c>
      <c r="M2604" t="s">
        <v>113</v>
      </c>
      <c r="O2604" t="s">
        <v>1588</v>
      </c>
      <c r="P2604" t="s">
        <v>1589</v>
      </c>
      <c r="S2604">
        <v>370</v>
      </c>
      <c r="U2604" t="s">
        <v>112</v>
      </c>
      <c r="V2604" t="s">
        <v>1484</v>
      </c>
      <c r="X2604" s="43">
        <v>2.25</v>
      </c>
      <c r="AA2604" s="43"/>
      <c r="AB2604">
        <v>0.15</v>
      </c>
      <c r="AC2604">
        <v>0.16200000000000001</v>
      </c>
      <c r="AK2604">
        <v>8172560</v>
      </c>
    </row>
    <row r="2605" spans="1:37" ht="19">
      <c r="A2605" s="39" t="s">
        <v>17</v>
      </c>
      <c r="B2605" s="8">
        <v>2024</v>
      </c>
      <c r="C2605" s="8" t="s">
        <v>109</v>
      </c>
      <c r="D2605" s="9" t="s">
        <v>109</v>
      </c>
      <c r="E2605" s="9" t="s">
        <v>111</v>
      </c>
      <c r="F2605" s="9" t="s">
        <v>111</v>
      </c>
      <c r="I2605" s="9" t="s">
        <v>28</v>
      </c>
      <c r="J2605" s="9" t="s">
        <v>11</v>
      </c>
      <c r="K2605" s="9" t="s">
        <v>82</v>
      </c>
      <c r="L2605" s="9" t="s">
        <v>166</v>
      </c>
      <c r="M2605" t="s">
        <v>113</v>
      </c>
      <c r="O2605" t="s">
        <v>1588</v>
      </c>
      <c r="P2605" t="s">
        <v>1590</v>
      </c>
      <c r="S2605">
        <v>450</v>
      </c>
      <c r="U2605" t="s">
        <v>112</v>
      </c>
      <c r="V2605" t="s">
        <v>1484</v>
      </c>
      <c r="X2605" s="43">
        <v>2.75</v>
      </c>
      <c r="AA2605" s="43"/>
      <c r="AB2605">
        <v>0.15</v>
      </c>
      <c r="AC2605">
        <v>0.19350000000000001</v>
      </c>
      <c r="AK2605">
        <v>9939600</v>
      </c>
    </row>
    <row r="2606" spans="1:37" ht="19">
      <c r="A2606" s="39" t="s">
        <v>17</v>
      </c>
      <c r="B2606" s="8">
        <v>2024</v>
      </c>
      <c r="C2606" s="8" t="s">
        <v>109</v>
      </c>
      <c r="D2606" s="9" t="s">
        <v>109</v>
      </c>
      <c r="E2606" s="9" t="s">
        <v>111</v>
      </c>
      <c r="F2606" s="9" t="s">
        <v>111</v>
      </c>
      <c r="I2606" s="9" t="s">
        <v>28</v>
      </c>
      <c r="J2606" s="9" t="s">
        <v>11</v>
      </c>
      <c r="K2606" s="9" t="s">
        <v>82</v>
      </c>
      <c r="L2606" s="9" t="s">
        <v>166</v>
      </c>
      <c r="M2606" t="s">
        <v>113</v>
      </c>
      <c r="O2606" t="s">
        <v>1591</v>
      </c>
      <c r="P2606" t="s">
        <v>1592</v>
      </c>
      <c r="S2606">
        <v>196</v>
      </c>
      <c r="U2606" t="s">
        <v>112</v>
      </c>
      <c r="V2606" t="s">
        <v>1484</v>
      </c>
      <c r="X2606" s="43">
        <v>1.2</v>
      </c>
      <c r="AA2606" s="43"/>
      <c r="AB2606">
        <v>0.1</v>
      </c>
      <c r="AC2606">
        <v>0.09</v>
      </c>
      <c r="AK2606">
        <v>4329248</v>
      </c>
    </row>
    <row r="2607" spans="1:37" ht="19">
      <c r="A2607" s="39" t="s">
        <v>17</v>
      </c>
      <c r="B2607" s="8">
        <v>2024</v>
      </c>
      <c r="C2607" s="8" t="s">
        <v>109</v>
      </c>
      <c r="D2607" s="9" t="s">
        <v>109</v>
      </c>
      <c r="E2607" s="9" t="s">
        <v>111</v>
      </c>
      <c r="F2607" s="9" t="s">
        <v>111</v>
      </c>
      <c r="I2607" s="9" t="s">
        <v>28</v>
      </c>
      <c r="J2607" s="9" t="s">
        <v>11</v>
      </c>
      <c r="K2607" s="9" t="s">
        <v>82</v>
      </c>
      <c r="L2607" s="9" t="s">
        <v>166</v>
      </c>
      <c r="M2607" t="s">
        <v>113</v>
      </c>
      <c r="O2607" t="s">
        <v>1593</v>
      </c>
      <c r="P2607" t="s">
        <v>1594</v>
      </c>
      <c r="S2607">
        <v>240</v>
      </c>
      <c r="U2607" t="s">
        <v>112</v>
      </c>
      <c r="V2607" t="s">
        <v>1484</v>
      </c>
      <c r="X2607" s="43">
        <v>1.45</v>
      </c>
      <c r="AA2607" s="43"/>
      <c r="AB2607">
        <v>0.1</v>
      </c>
      <c r="AC2607">
        <v>0.10349999999999999</v>
      </c>
      <c r="AK2607">
        <v>5301120</v>
      </c>
    </row>
    <row r="2608" spans="1:37" ht="19">
      <c r="A2608" s="39" t="s">
        <v>17</v>
      </c>
      <c r="B2608" s="8">
        <v>2024</v>
      </c>
      <c r="C2608" s="8" t="s">
        <v>109</v>
      </c>
      <c r="D2608" s="9" t="s">
        <v>109</v>
      </c>
      <c r="E2608" s="9" t="s">
        <v>111</v>
      </c>
      <c r="F2608" s="9" t="s">
        <v>111</v>
      </c>
      <c r="I2608" s="9" t="s">
        <v>28</v>
      </c>
      <c r="J2608" s="9" t="s">
        <v>11</v>
      </c>
      <c r="K2608" s="9" t="s">
        <v>82</v>
      </c>
      <c r="L2608" s="9" t="s">
        <v>166</v>
      </c>
      <c r="M2608" t="s">
        <v>113</v>
      </c>
      <c r="O2608" t="s">
        <v>1593</v>
      </c>
      <c r="P2608" t="s">
        <v>1595</v>
      </c>
      <c r="S2608">
        <v>466</v>
      </c>
      <c r="U2608" t="s">
        <v>112</v>
      </c>
      <c r="V2608" t="s">
        <v>1484</v>
      </c>
      <c r="X2608" s="43">
        <v>2.85</v>
      </c>
      <c r="AA2608" s="43"/>
      <c r="AB2608">
        <v>0.2</v>
      </c>
      <c r="AC2608">
        <v>0.20250000000000001</v>
      </c>
      <c r="AK2608">
        <v>10293008</v>
      </c>
    </row>
    <row r="2609" spans="1:37" ht="19">
      <c r="A2609" s="39" t="s">
        <v>17</v>
      </c>
      <c r="B2609" s="8">
        <v>2024</v>
      </c>
      <c r="C2609" s="8" t="s">
        <v>109</v>
      </c>
      <c r="D2609" s="9" t="s">
        <v>109</v>
      </c>
      <c r="E2609" s="9" t="s">
        <v>111</v>
      </c>
      <c r="F2609" s="9" t="s">
        <v>111</v>
      </c>
      <c r="I2609" s="9" t="s">
        <v>28</v>
      </c>
      <c r="J2609" s="9" t="s">
        <v>11</v>
      </c>
      <c r="K2609" s="9" t="s">
        <v>82</v>
      </c>
      <c r="L2609" s="9" t="s">
        <v>166</v>
      </c>
      <c r="M2609" t="s">
        <v>113</v>
      </c>
      <c r="O2609" t="s">
        <v>1593</v>
      </c>
      <c r="P2609" t="s">
        <v>1596</v>
      </c>
      <c r="S2609">
        <v>182</v>
      </c>
      <c r="U2609" t="s">
        <v>112</v>
      </c>
      <c r="V2609" t="s">
        <v>1484</v>
      </c>
      <c r="X2609" s="43">
        <v>1.1000000000000001</v>
      </c>
      <c r="AA2609" s="43"/>
      <c r="AB2609">
        <v>0.1</v>
      </c>
      <c r="AC2609">
        <v>8.1000000000000003E-2</v>
      </c>
      <c r="AK2609">
        <v>4020016</v>
      </c>
    </row>
    <row r="2610" spans="1:37" ht="19">
      <c r="A2610" s="39" t="s">
        <v>17</v>
      </c>
      <c r="B2610" s="8">
        <v>2024</v>
      </c>
      <c r="C2610" s="8" t="s">
        <v>109</v>
      </c>
      <c r="D2610" s="9" t="s">
        <v>109</v>
      </c>
      <c r="E2610" s="9" t="s">
        <v>111</v>
      </c>
      <c r="F2610" s="9" t="s">
        <v>111</v>
      </c>
      <c r="I2610" s="9" t="s">
        <v>28</v>
      </c>
      <c r="J2610" s="9" t="s">
        <v>11</v>
      </c>
      <c r="K2610" s="9" t="s">
        <v>82</v>
      </c>
      <c r="L2610" s="9" t="s">
        <v>166</v>
      </c>
      <c r="M2610" t="s">
        <v>113</v>
      </c>
      <c r="O2610" t="s">
        <v>1593</v>
      </c>
      <c r="P2610" t="s">
        <v>1597</v>
      </c>
      <c r="S2610">
        <v>280</v>
      </c>
      <c r="U2610" t="s">
        <v>112</v>
      </c>
      <c r="V2610" t="s">
        <v>1484</v>
      </c>
      <c r="X2610" s="43">
        <v>1.7</v>
      </c>
      <c r="AA2610" s="43"/>
      <c r="AB2610">
        <v>0.1</v>
      </c>
      <c r="AC2610">
        <v>0.126</v>
      </c>
      <c r="AK2610">
        <v>6184640</v>
      </c>
    </row>
    <row r="2611" spans="1:37" ht="19">
      <c r="A2611" s="39" t="s">
        <v>17</v>
      </c>
      <c r="B2611" s="8">
        <v>2024</v>
      </c>
      <c r="C2611" s="8" t="s">
        <v>109</v>
      </c>
      <c r="D2611" s="9" t="s">
        <v>109</v>
      </c>
      <c r="E2611" s="9" t="s">
        <v>111</v>
      </c>
      <c r="F2611" s="9" t="s">
        <v>111</v>
      </c>
      <c r="I2611" s="9" t="s">
        <v>28</v>
      </c>
      <c r="J2611" s="9" t="s">
        <v>11</v>
      </c>
      <c r="K2611" s="9" t="s">
        <v>82</v>
      </c>
      <c r="L2611" s="9" t="s">
        <v>166</v>
      </c>
      <c r="M2611" t="s">
        <v>113</v>
      </c>
      <c r="O2611" t="s">
        <v>1598</v>
      </c>
      <c r="P2611" t="s">
        <v>552</v>
      </c>
      <c r="S2611">
        <v>319</v>
      </c>
      <c r="U2611" t="s">
        <v>112</v>
      </c>
      <c r="V2611" t="s">
        <v>1484</v>
      </c>
      <c r="X2611" s="43">
        <v>1.95</v>
      </c>
      <c r="AA2611" s="43"/>
      <c r="AB2611">
        <v>0.15</v>
      </c>
      <c r="AC2611">
        <v>0.13950000000000001</v>
      </c>
      <c r="AK2611">
        <v>7046072</v>
      </c>
    </row>
    <row r="2612" spans="1:37" ht="19">
      <c r="A2612" s="39" t="s">
        <v>17</v>
      </c>
      <c r="B2612" s="8">
        <v>2024</v>
      </c>
      <c r="C2612" s="8" t="s">
        <v>109</v>
      </c>
      <c r="D2612" s="9" t="s">
        <v>109</v>
      </c>
      <c r="E2612" s="9" t="s">
        <v>111</v>
      </c>
      <c r="F2612" s="9" t="s">
        <v>111</v>
      </c>
      <c r="I2612" s="9" t="s">
        <v>28</v>
      </c>
      <c r="J2612" s="9" t="s">
        <v>11</v>
      </c>
      <c r="K2612" s="9" t="s">
        <v>82</v>
      </c>
      <c r="L2612" s="9" t="s">
        <v>166</v>
      </c>
      <c r="M2612" t="s">
        <v>113</v>
      </c>
      <c r="O2612" t="s">
        <v>1598</v>
      </c>
      <c r="P2612" t="s">
        <v>1599</v>
      </c>
      <c r="S2612">
        <v>435</v>
      </c>
      <c r="U2612" t="s">
        <v>112</v>
      </c>
      <c r="V2612" t="s">
        <v>1484</v>
      </c>
      <c r="X2612" s="43">
        <v>2.65</v>
      </c>
      <c r="AA2612" s="43"/>
      <c r="AB2612">
        <v>0.15</v>
      </c>
      <c r="AC2612">
        <v>0.19350000000000001</v>
      </c>
      <c r="AK2612">
        <v>9608280</v>
      </c>
    </row>
    <row r="2613" spans="1:37" ht="19">
      <c r="A2613" s="39" t="s">
        <v>17</v>
      </c>
      <c r="B2613" s="8">
        <v>2024</v>
      </c>
      <c r="C2613" s="8" t="s">
        <v>109</v>
      </c>
      <c r="D2613" s="9" t="s">
        <v>109</v>
      </c>
      <c r="E2613" s="9" t="s">
        <v>111</v>
      </c>
      <c r="F2613" s="9" t="s">
        <v>111</v>
      </c>
      <c r="I2613" s="9" t="s">
        <v>28</v>
      </c>
      <c r="J2613" s="9" t="s">
        <v>11</v>
      </c>
      <c r="K2613" s="9" t="s">
        <v>82</v>
      </c>
      <c r="L2613" s="9" t="s">
        <v>166</v>
      </c>
      <c r="M2613" t="s">
        <v>113</v>
      </c>
      <c r="O2613" t="s">
        <v>1598</v>
      </c>
      <c r="P2613" t="s">
        <v>1600</v>
      </c>
      <c r="S2613">
        <v>221</v>
      </c>
      <c r="U2613" t="s">
        <v>112</v>
      </c>
      <c r="V2613" t="s">
        <v>1484</v>
      </c>
      <c r="X2613" s="43">
        <v>1.35</v>
      </c>
      <c r="AA2613" s="43"/>
      <c r="AB2613">
        <v>0.1</v>
      </c>
      <c r="AC2613">
        <v>9.9000000000000005E-2</v>
      </c>
      <c r="AK2613">
        <v>4881448</v>
      </c>
    </row>
    <row r="2614" spans="1:37" ht="19">
      <c r="A2614" s="39" t="s">
        <v>17</v>
      </c>
      <c r="B2614" s="8">
        <v>2024</v>
      </c>
      <c r="C2614" s="8" t="s">
        <v>109</v>
      </c>
      <c r="D2614" s="9" t="s">
        <v>109</v>
      </c>
      <c r="E2614" s="9" t="s">
        <v>111</v>
      </c>
      <c r="F2614" s="9" t="s">
        <v>111</v>
      </c>
      <c r="I2614" s="9" t="s">
        <v>28</v>
      </c>
      <c r="J2614" s="9" t="s">
        <v>11</v>
      </c>
      <c r="K2614" s="9" t="s">
        <v>82</v>
      </c>
      <c r="L2614" s="9" t="s">
        <v>166</v>
      </c>
      <c r="M2614" t="s">
        <v>113</v>
      </c>
      <c r="O2614" t="s">
        <v>1598</v>
      </c>
      <c r="P2614" t="s">
        <v>1601</v>
      </c>
      <c r="S2614">
        <v>136</v>
      </c>
      <c r="U2614" t="s">
        <v>112</v>
      </c>
      <c r="V2614" t="s">
        <v>1484</v>
      </c>
      <c r="X2614" s="43">
        <v>0.85</v>
      </c>
      <c r="AA2614" s="43"/>
      <c r="AB2614">
        <v>0.05</v>
      </c>
      <c r="AC2614">
        <v>6.3E-2</v>
      </c>
      <c r="AK2614">
        <v>3003968</v>
      </c>
    </row>
    <row r="2615" spans="1:37" ht="19">
      <c r="A2615" s="39" t="s">
        <v>17</v>
      </c>
      <c r="B2615" s="8">
        <v>2024</v>
      </c>
      <c r="C2615" s="8" t="s">
        <v>109</v>
      </c>
      <c r="D2615" s="9" t="s">
        <v>109</v>
      </c>
      <c r="E2615" s="9" t="s">
        <v>111</v>
      </c>
      <c r="F2615" s="9" t="s">
        <v>111</v>
      </c>
      <c r="I2615" s="9" t="s">
        <v>28</v>
      </c>
      <c r="J2615" s="9" t="s">
        <v>11</v>
      </c>
      <c r="K2615" s="9" t="s">
        <v>82</v>
      </c>
      <c r="L2615" s="9" t="s">
        <v>166</v>
      </c>
      <c r="M2615" t="s">
        <v>113</v>
      </c>
      <c r="O2615" t="s">
        <v>1602</v>
      </c>
      <c r="P2615" t="s">
        <v>1603</v>
      </c>
      <c r="S2615">
        <v>520</v>
      </c>
      <c r="U2615" t="s">
        <v>112</v>
      </c>
      <c r="V2615" t="s">
        <v>1484</v>
      </c>
      <c r="X2615" s="43">
        <v>3.15</v>
      </c>
      <c r="AA2615" s="43"/>
      <c r="AB2615">
        <v>0.2</v>
      </c>
      <c r="AC2615">
        <v>0.22950000000000001</v>
      </c>
      <c r="AK2615">
        <v>11485760</v>
      </c>
    </row>
    <row r="2616" spans="1:37" ht="19">
      <c r="A2616" s="39" t="s">
        <v>17</v>
      </c>
      <c r="B2616" s="8">
        <v>2024</v>
      </c>
      <c r="C2616" s="8" t="s">
        <v>109</v>
      </c>
      <c r="D2616" s="9" t="s">
        <v>109</v>
      </c>
      <c r="E2616" s="9" t="s">
        <v>111</v>
      </c>
      <c r="F2616" s="9" t="s">
        <v>111</v>
      </c>
      <c r="I2616" s="9" t="s">
        <v>28</v>
      </c>
      <c r="J2616" s="9" t="s">
        <v>11</v>
      </c>
      <c r="K2616" s="9" t="s">
        <v>82</v>
      </c>
      <c r="L2616" s="9" t="s">
        <v>166</v>
      </c>
      <c r="M2616" t="s">
        <v>113</v>
      </c>
      <c r="O2616" t="s">
        <v>1602</v>
      </c>
      <c r="P2616" t="s">
        <v>1604</v>
      </c>
      <c r="S2616">
        <v>221</v>
      </c>
      <c r="U2616" t="s">
        <v>112</v>
      </c>
      <c r="V2616" t="s">
        <v>1484</v>
      </c>
      <c r="X2616" s="43">
        <v>1.35</v>
      </c>
      <c r="AA2616" s="43"/>
      <c r="AB2616">
        <v>0.1</v>
      </c>
      <c r="AC2616">
        <v>9.9000000000000005E-2</v>
      </c>
      <c r="AK2616">
        <v>4881448</v>
      </c>
    </row>
    <row r="2617" spans="1:37" ht="19">
      <c r="A2617" s="39" t="s">
        <v>17</v>
      </c>
      <c r="B2617" s="8">
        <v>2024</v>
      </c>
      <c r="C2617" s="8" t="s">
        <v>109</v>
      </c>
      <c r="D2617" s="9" t="s">
        <v>109</v>
      </c>
      <c r="E2617" s="9" t="s">
        <v>111</v>
      </c>
      <c r="F2617" s="9" t="s">
        <v>111</v>
      </c>
      <c r="I2617" s="9" t="s">
        <v>28</v>
      </c>
      <c r="J2617" s="9" t="s">
        <v>11</v>
      </c>
      <c r="K2617" s="9" t="s">
        <v>82</v>
      </c>
      <c r="L2617" s="9" t="s">
        <v>166</v>
      </c>
      <c r="M2617" t="s">
        <v>113</v>
      </c>
      <c r="O2617" t="s">
        <v>1598</v>
      </c>
      <c r="P2617" t="s">
        <v>1605</v>
      </c>
      <c r="S2617">
        <v>196</v>
      </c>
      <c r="U2617" t="s">
        <v>112</v>
      </c>
      <c r="V2617" t="s">
        <v>1484</v>
      </c>
      <c r="X2617" s="43">
        <v>1.2</v>
      </c>
      <c r="AA2617" s="43"/>
      <c r="AB2617">
        <v>0.1</v>
      </c>
      <c r="AC2617">
        <v>0.09</v>
      </c>
      <c r="AK2617">
        <v>4329248</v>
      </c>
    </row>
    <row r="2618" spans="1:37" ht="19">
      <c r="A2618" s="39" t="s">
        <v>17</v>
      </c>
      <c r="B2618" s="8">
        <v>2024</v>
      </c>
      <c r="C2618" s="8" t="s">
        <v>109</v>
      </c>
      <c r="D2618" s="9" t="s">
        <v>109</v>
      </c>
      <c r="E2618" s="9" t="s">
        <v>111</v>
      </c>
      <c r="F2618" s="9" t="s">
        <v>111</v>
      </c>
      <c r="I2618" s="9" t="s">
        <v>28</v>
      </c>
      <c r="J2618" s="9" t="s">
        <v>11</v>
      </c>
      <c r="K2618" s="9" t="s">
        <v>82</v>
      </c>
      <c r="L2618" s="9" t="s">
        <v>166</v>
      </c>
      <c r="M2618" t="s">
        <v>113</v>
      </c>
      <c r="O2618" t="s">
        <v>1598</v>
      </c>
      <c r="P2618" t="s">
        <v>1598</v>
      </c>
      <c r="S2618">
        <v>678</v>
      </c>
      <c r="U2618" t="s">
        <v>112</v>
      </c>
      <c r="V2618" t="s">
        <v>1484</v>
      </c>
      <c r="X2618" s="43">
        <v>4.0999999999999996</v>
      </c>
      <c r="AA2618" s="43"/>
      <c r="AB2618">
        <v>0.25</v>
      </c>
      <c r="AC2618">
        <v>0.29249999999999998</v>
      </c>
      <c r="AK2618">
        <v>14975664</v>
      </c>
    </row>
    <row r="2619" spans="1:37" ht="19">
      <c r="A2619" s="39" t="s">
        <v>17</v>
      </c>
      <c r="B2619" s="8">
        <v>2024</v>
      </c>
      <c r="C2619" s="8" t="s">
        <v>109</v>
      </c>
      <c r="D2619" s="9" t="s">
        <v>109</v>
      </c>
      <c r="E2619" s="9" t="s">
        <v>111</v>
      </c>
      <c r="F2619" s="9" t="s">
        <v>111</v>
      </c>
      <c r="I2619" s="9" t="s">
        <v>28</v>
      </c>
      <c r="J2619" s="9" t="s">
        <v>11</v>
      </c>
      <c r="K2619" s="9" t="s">
        <v>82</v>
      </c>
      <c r="L2619" s="9" t="s">
        <v>166</v>
      </c>
      <c r="M2619" t="s">
        <v>113</v>
      </c>
      <c r="O2619" t="s">
        <v>1546</v>
      </c>
      <c r="P2619" t="s">
        <v>1606</v>
      </c>
      <c r="S2619">
        <v>349</v>
      </c>
      <c r="U2619" t="s">
        <v>112</v>
      </c>
      <c r="V2619" t="s">
        <v>1484</v>
      </c>
      <c r="X2619" s="43">
        <v>2.1</v>
      </c>
      <c r="AA2619" s="43"/>
      <c r="AB2619">
        <v>0.15</v>
      </c>
      <c r="AC2619">
        <v>0.153</v>
      </c>
      <c r="AK2619">
        <v>7708712</v>
      </c>
    </row>
    <row r="2620" spans="1:37" ht="19">
      <c r="A2620" s="39" t="s">
        <v>17</v>
      </c>
      <c r="B2620" s="8">
        <v>2024</v>
      </c>
      <c r="C2620" s="8" t="s">
        <v>109</v>
      </c>
      <c r="D2620" s="9" t="s">
        <v>109</v>
      </c>
      <c r="E2620" s="9" t="s">
        <v>111</v>
      </c>
      <c r="F2620" s="9" t="s">
        <v>111</v>
      </c>
      <c r="I2620" s="9" t="s">
        <v>28</v>
      </c>
      <c r="J2620" s="9" t="s">
        <v>11</v>
      </c>
      <c r="K2620" s="9" t="s">
        <v>82</v>
      </c>
      <c r="L2620" s="9" t="s">
        <v>166</v>
      </c>
      <c r="M2620" t="s">
        <v>113</v>
      </c>
      <c r="O2620" t="s">
        <v>1598</v>
      </c>
      <c r="P2620" t="s">
        <v>1607</v>
      </c>
      <c r="S2620">
        <v>223</v>
      </c>
      <c r="U2620" t="s">
        <v>112</v>
      </c>
      <c r="V2620" t="s">
        <v>1484</v>
      </c>
      <c r="X2620" s="43">
        <v>1.4</v>
      </c>
      <c r="AA2620" s="43"/>
      <c r="AB2620">
        <v>0.1</v>
      </c>
      <c r="AC2620">
        <v>9.9000000000000005E-2</v>
      </c>
      <c r="AK2620">
        <v>4925624</v>
      </c>
    </row>
    <row r="2621" spans="1:37" ht="19">
      <c r="A2621" s="39" t="s">
        <v>17</v>
      </c>
      <c r="B2621" s="8">
        <v>2024</v>
      </c>
      <c r="C2621" s="8" t="s">
        <v>109</v>
      </c>
      <c r="D2621" s="9" t="s">
        <v>109</v>
      </c>
      <c r="E2621" s="9" t="s">
        <v>111</v>
      </c>
      <c r="F2621" s="9" t="s">
        <v>111</v>
      </c>
      <c r="I2621" s="9" t="s">
        <v>28</v>
      </c>
      <c r="J2621" s="9" t="s">
        <v>11</v>
      </c>
      <c r="K2621" s="9" t="s">
        <v>82</v>
      </c>
      <c r="L2621" s="9" t="s">
        <v>166</v>
      </c>
      <c r="M2621" t="s">
        <v>113</v>
      </c>
      <c r="O2621" t="s">
        <v>1598</v>
      </c>
      <c r="P2621" t="s">
        <v>1608</v>
      </c>
      <c r="S2621">
        <v>197</v>
      </c>
      <c r="U2621" t="s">
        <v>112</v>
      </c>
      <c r="V2621" t="s">
        <v>1484</v>
      </c>
      <c r="X2621" s="43">
        <v>1.2</v>
      </c>
      <c r="AA2621" s="43"/>
      <c r="AB2621">
        <v>0.1</v>
      </c>
      <c r="AC2621">
        <v>8.5500000000000007E-2</v>
      </c>
      <c r="AK2621">
        <v>4351336</v>
      </c>
    </row>
    <row r="2622" spans="1:37" ht="19">
      <c r="A2622" s="39" t="s">
        <v>17</v>
      </c>
      <c r="B2622" s="8">
        <v>2024</v>
      </c>
      <c r="C2622" s="8" t="s">
        <v>109</v>
      </c>
      <c r="D2622" s="9" t="s">
        <v>109</v>
      </c>
      <c r="E2622" s="9" t="s">
        <v>111</v>
      </c>
      <c r="F2622" s="9" t="s">
        <v>111</v>
      </c>
      <c r="I2622" s="9" t="s">
        <v>28</v>
      </c>
      <c r="J2622" s="9" t="s">
        <v>11</v>
      </c>
      <c r="K2622" s="9" t="s">
        <v>82</v>
      </c>
      <c r="L2622" s="9" t="s">
        <v>166</v>
      </c>
      <c r="M2622" t="s">
        <v>113</v>
      </c>
      <c r="O2622" t="s">
        <v>1598</v>
      </c>
      <c r="P2622" t="s">
        <v>1609</v>
      </c>
      <c r="S2622">
        <v>147</v>
      </c>
      <c r="U2622" t="s">
        <v>112</v>
      </c>
      <c r="V2622" t="s">
        <v>1484</v>
      </c>
      <c r="X2622" s="43">
        <v>0.9</v>
      </c>
      <c r="AA2622" s="43"/>
      <c r="AB2622">
        <v>0.05</v>
      </c>
      <c r="AC2622">
        <v>6.7500000000000004E-2</v>
      </c>
      <c r="AK2622">
        <v>3246936</v>
      </c>
    </row>
    <row r="2623" spans="1:37" ht="19">
      <c r="A2623" s="39" t="s">
        <v>17</v>
      </c>
      <c r="B2623" s="8">
        <v>2024</v>
      </c>
      <c r="C2623" s="8" t="s">
        <v>109</v>
      </c>
      <c r="D2623" s="9" t="s">
        <v>109</v>
      </c>
      <c r="E2623" s="9" t="s">
        <v>111</v>
      </c>
      <c r="F2623" s="9" t="s">
        <v>111</v>
      </c>
      <c r="I2623" s="9" t="s">
        <v>28</v>
      </c>
      <c r="J2623" s="9" t="s">
        <v>11</v>
      </c>
      <c r="K2623" s="9" t="s">
        <v>82</v>
      </c>
      <c r="L2623" s="9" t="s">
        <v>166</v>
      </c>
      <c r="M2623" t="s">
        <v>113</v>
      </c>
      <c r="O2623" t="s">
        <v>1598</v>
      </c>
      <c r="P2623" t="s">
        <v>1610</v>
      </c>
      <c r="S2623">
        <v>114</v>
      </c>
      <c r="U2623" t="s">
        <v>112</v>
      </c>
      <c r="V2623" t="s">
        <v>1484</v>
      </c>
      <c r="X2623" s="43">
        <v>0.9</v>
      </c>
      <c r="AA2623" s="43"/>
      <c r="AB2623">
        <v>0.05</v>
      </c>
      <c r="AC2623">
        <v>6.3E-2</v>
      </c>
      <c r="AK2623">
        <v>2518032</v>
      </c>
    </row>
    <row r="2624" spans="1:37" ht="19">
      <c r="A2624" s="39" t="s">
        <v>17</v>
      </c>
      <c r="B2624" s="8">
        <v>2024</v>
      </c>
      <c r="C2624" s="8" t="s">
        <v>109</v>
      </c>
      <c r="D2624" s="9" t="s">
        <v>109</v>
      </c>
      <c r="E2624" s="9" t="s">
        <v>111</v>
      </c>
      <c r="F2624" s="9" t="s">
        <v>111</v>
      </c>
      <c r="I2624" s="9" t="s">
        <v>28</v>
      </c>
      <c r="J2624" s="9" t="s">
        <v>11</v>
      </c>
      <c r="K2624" s="9" t="s">
        <v>82</v>
      </c>
      <c r="L2624" s="9" t="s">
        <v>166</v>
      </c>
      <c r="M2624" t="s">
        <v>113</v>
      </c>
      <c r="O2624" t="s">
        <v>1598</v>
      </c>
      <c r="P2624" t="s">
        <v>1611</v>
      </c>
      <c r="S2624">
        <v>147</v>
      </c>
      <c r="U2624" t="s">
        <v>112</v>
      </c>
      <c r="V2624" t="s">
        <v>1484</v>
      </c>
      <c r="X2624" s="43">
        <v>0.9</v>
      </c>
      <c r="AA2624" s="43"/>
      <c r="AB2624">
        <v>0.05</v>
      </c>
      <c r="AC2624">
        <v>6.7500000000000004E-2</v>
      </c>
      <c r="AK2624">
        <v>3246936</v>
      </c>
    </row>
    <row r="2625" spans="1:37" ht="19">
      <c r="A2625" s="39" t="s">
        <v>17</v>
      </c>
      <c r="B2625" s="8">
        <v>2024</v>
      </c>
      <c r="C2625" s="8" t="s">
        <v>109</v>
      </c>
      <c r="D2625" s="9" t="s">
        <v>109</v>
      </c>
      <c r="E2625" s="9" t="s">
        <v>111</v>
      </c>
      <c r="F2625" s="9" t="s">
        <v>111</v>
      </c>
      <c r="I2625" s="9" t="s">
        <v>28</v>
      </c>
      <c r="J2625" s="9" t="s">
        <v>11</v>
      </c>
      <c r="K2625" s="9" t="s">
        <v>82</v>
      </c>
      <c r="L2625" s="9" t="s">
        <v>166</v>
      </c>
      <c r="M2625" t="s">
        <v>113</v>
      </c>
      <c r="O2625" t="s">
        <v>1612</v>
      </c>
      <c r="P2625" t="s">
        <v>1613</v>
      </c>
      <c r="S2625">
        <v>260</v>
      </c>
      <c r="U2625" t="s">
        <v>112</v>
      </c>
      <c r="V2625" t="s">
        <v>1484</v>
      </c>
      <c r="X2625" s="43">
        <v>1.6</v>
      </c>
      <c r="AA2625" s="43"/>
      <c r="AB2625">
        <v>0.1</v>
      </c>
      <c r="AC2625">
        <v>0.1125</v>
      </c>
      <c r="AK2625">
        <v>5742880</v>
      </c>
    </row>
    <row r="2626" spans="1:37" ht="19">
      <c r="A2626" s="39" t="s">
        <v>17</v>
      </c>
      <c r="B2626" s="8">
        <v>2024</v>
      </c>
      <c r="C2626" s="8" t="s">
        <v>109</v>
      </c>
      <c r="D2626" s="9" t="s">
        <v>109</v>
      </c>
      <c r="E2626" s="9" t="s">
        <v>111</v>
      </c>
      <c r="F2626" s="9" t="s">
        <v>111</v>
      </c>
      <c r="I2626" s="9" t="s">
        <v>28</v>
      </c>
      <c r="J2626" s="9" t="s">
        <v>11</v>
      </c>
      <c r="K2626" s="9" t="s">
        <v>82</v>
      </c>
      <c r="L2626" s="9" t="s">
        <v>166</v>
      </c>
      <c r="M2626" t="s">
        <v>113</v>
      </c>
      <c r="O2626" t="s">
        <v>1612</v>
      </c>
      <c r="P2626" t="s">
        <v>1578</v>
      </c>
      <c r="S2626">
        <v>432</v>
      </c>
      <c r="U2626" t="s">
        <v>112</v>
      </c>
      <c r="V2626" t="s">
        <v>1484</v>
      </c>
      <c r="X2626" s="43">
        <v>2.65</v>
      </c>
      <c r="AA2626" s="43"/>
      <c r="AB2626">
        <v>0.15</v>
      </c>
      <c r="AC2626">
        <v>0.189</v>
      </c>
      <c r="AK2626">
        <v>9542016</v>
      </c>
    </row>
    <row r="2627" spans="1:37" ht="19">
      <c r="A2627" s="39" t="s">
        <v>17</v>
      </c>
      <c r="B2627" s="8">
        <v>2024</v>
      </c>
      <c r="C2627" s="8" t="s">
        <v>109</v>
      </c>
      <c r="D2627" s="9" t="s">
        <v>109</v>
      </c>
      <c r="E2627" s="9" t="s">
        <v>111</v>
      </c>
      <c r="F2627" s="9" t="s">
        <v>111</v>
      </c>
      <c r="I2627" s="9" t="s">
        <v>28</v>
      </c>
      <c r="J2627" s="9" t="s">
        <v>11</v>
      </c>
      <c r="K2627" s="9" t="s">
        <v>82</v>
      </c>
      <c r="L2627" s="9" t="s">
        <v>166</v>
      </c>
      <c r="M2627" t="s">
        <v>113</v>
      </c>
      <c r="O2627" t="s">
        <v>1612</v>
      </c>
      <c r="P2627" t="s">
        <v>1614</v>
      </c>
      <c r="S2627">
        <v>194</v>
      </c>
      <c r="U2627" t="s">
        <v>112</v>
      </c>
      <c r="V2627" t="s">
        <v>1484</v>
      </c>
      <c r="X2627" s="43">
        <v>1.2</v>
      </c>
      <c r="AA2627" s="43"/>
      <c r="AB2627">
        <v>0.1</v>
      </c>
      <c r="AC2627">
        <v>8.5500000000000007E-2</v>
      </c>
      <c r="AK2627">
        <v>4285072</v>
      </c>
    </row>
    <row r="2628" spans="1:37" ht="19">
      <c r="A2628" s="39" t="s">
        <v>17</v>
      </c>
      <c r="B2628" s="8">
        <v>2024</v>
      </c>
      <c r="C2628" s="8" t="s">
        <v>109</v>
      </c>
      <c r="D2628" s="9" t="s">
        <v>109</v>
      </c>
      <c r="E2628" s="9" t="s">
        <v>111</v>
      </c>
      <c r="F2628" s="9" t="s">
        <v>111</v>
      </c>
      <c r="I2628" s="9" t="s">
        <v>28</v>
      </c>
      <c r="J2628" s="9" t="s">
        <v>11</v>
      </c>
      <c r="K2628" s="9" t="s">
        <v>82</v>
      </c>
      <c r="L2628" s="9" t="s">
        <v>166</v>
      </c>
      <c r="M2628" t="s">
        <v>113</v>
      </c>
      <c r="O2628" t="s">
        <v>1615</v>
      </c>
      <c r="P2628" t="s">
        <v>1616</v>
      </c>
      <c r="S2628">
        <v>258</v>
      </c>
      <c r="U2628" t="s">
        <v>112</v>
      </c>
      <c r="V2628" t="s">
        <v>1484</v>
      </c>
      <c r="X2628" s="43">
        <v>1.55</v>
      </c>
      <c r="AA2628" s="43"/>
      <c r="AB2628">
        <v>0.1</v>
      </c>
      <c r="AC2628">
        <v>0.1125</v>
      </c>
      <c r="AK2628">
        <v>5698704</v>
      </c>
    </row>
    <row r="2629" spans="1:37" ht="19">
      <c r="A2629" s="39" t="s">
        <v>17</v>
      </c>
      <c r="B2629" s="8">
        <v>2024</v>
      </c>
      <c r="C2629" s="8" t="s">
        <v>109</v>
      </c>
      <c r="D2629" s="9" t="s">
        <v>109</v>
      </c>
      <c r="E2629" s="9" t="s">
        <v>111</v>
      </c>
      <c r="F2629" s="9" t="s">
        <v>111</v>
      </c>
      <c r="I2629" s="9" t="s">
        <v>28</v>
      </c>
      <c r="J2629" s="9" t="s">
        <v>11</v>
      </c>
      <c r="K2629" s="9" t="s">
        <v>82</v>
      </c>
      <c r="L2629" s="9" t="s">
        <v>166</v>
      </c>
      <c r="M2629" t="s">
        <v>113</v>
      </c>
      <c r="O2629" t="s">
        <v>1615</v>
      </c>
      <c r="P2629" t="s">
        <v>1617</v>
      </c>
      <c r="S2629">
        <v>477</v>
      </c>
      <c r="U2629" t="s">
        <v>112</v>
      </c>
      <c r="V2629" t="s">
        <v>1484</v>
      </c>
      <c r="X2629" s="43">
        <v>2.9</v>
      </c>
      <c r="AA2629" s="43"/>
      <c r="AB2629">
        <v>0.2</v>
      </c>
      <c r="AC2629">
        <v>0.21149999999999999</v>
      </c>
      <c r="AK2629">
        <v>10535976</v>
      </c>
    </row>
    <row r="2630" spans="1:37" ht="19">
      <c r="A2630" s="39" t="s">
        <v>17</v>
      </c>
      <c r="B2630" s="8">
        <v>2024</v>
      </c>
      <c r="C2630" s="8" t="s">
        <v>109</v>
      </c>
      <c r="D2630" s="9" t="s">
        <v>109</v>
      </c>
      <c r="E2630" s="9" t="s">
        <v>111</v>
      </c>
      <c r="F2630" s="9" t="s">
        <v>111</v>
      </c>
      <c r="I2630" s="9" t="s">
        <v>28</v>
      </c>
      <c r="J2630" s="9" t="s">
        <v>11</v>
      </c>
      <c r="K2630" s="9" t="s">
        <v>82</v>
      </c>
      <c r="L2630" s="9" t="s">
        <v>166</v>
      </c>
      <c r="M2630" t="s">
        <v>113</v>
      </c>
      <c r="O2630" t="s">
        <v>1615</v>
      </c>
      <c r="P2630" t="s">
        <v>1618</v>
      </c>
      <c r="S2630">
        <v>308</v>
      </c>
      <c r="U2630" t="s">
        <v>112</v>
      </c>
      <c r="V2630" t="s">
        <v>1484</v>
      </c>
      <c r="X2630" s="43">
        <v>1.9</v>
      </c>
      <c r="AA2630" s="43"/>
      <c r="AB2630">
        <v>0.15</v>
      </c>
      <c r="AC2630">
        <v>0.13500000000000001</v>
      </c>
      <c r="AK2630">
        <v>6803104</v>
      </c>
    </row>
    <row r="2631" spans="1:37" ht="19">
      <c r="A2631" s="39" t="s">
        <v>17</v>
      </c>
      <c r="B2631" s="8">
        <v>2024</v>
      </c>
      <c r="C2631" s="8" t="s">
        <v>109</v>
      </c>
      <c r="D2631" s="9" t="s">
        <v>109</v>
      </c>
      <c r="E2631" s="9" t="s">
        <v>111</v>
      </c>
      <c r="F2631" s="9" t="s">
        <v>111</v>
      </c>
      <c r="I2631" s="9" t="s">
        <v>28</v>
      </c>
      <c r="J2631" s="9" t="s">
        <v>11</v>
      </c>
      <c r="K2631" s="9" t="s">
        <v>82</v>
      </c>
      <c r="L2631" s="9" t="s">
        <v>166</v>
      </c>
      <c r="M2631" t="s">
        <v>113</v>
      </c>
      <c r="O2631" t="s">
        <v>1615</v>
      </c>
      <c r="P2631" t="s">
        <v>1619</v>
      </c>
      <c r="S2631">
        <v>542</v>
      </c>
      <c r="U2631" t="s">
        <v>112</v>
      </c>
      <c r="V2631" t="s">
        <v>1484</v>
      </c>
      <c r="X2631" s="43">
        <v>3.3</v>
      </c>
      <c r="AA2631" s="43"/>
      <c r="AB2631">
        <v>0.2</v>
      </c>
      <c r="AC2631">
        <v>0.23400000000000001</v>
      </c>
      <c r="AK2631">
        <v>11971696</v>
      </c>
    </row>
    <row r="2632" spans="1:37" ht="19">
      <c r="A2632" s="39" t="s">
        <v>17</v>
      </c>
      <c r="B2632" s="8">
        <v>2024</v>
      </c>
      <c r="C2632" s="8" t="s">
        <v>109</v>
      </c>
      <c r="D2632" s="9" t="s">
        <v>109</v>
      </c>
      <c r="E2632" s="9" t="s">
        <v>111</v>
      </c>
      <c r="F2632" s="9" t="s">
        <v>111</v>
      </c>
      <c r="I2632" s="9" t="s">
        <v>28</v>
      </c>
      <c r="J2632" s="9" t="s">
        <v>11</v>
      </c>
      <c r="K2632" s="9" t="s">
        <v>82</v>
      </c>
      <c r="L2632" s="9" t="s">
        <v>166</v>
      </c>
      <c r="M2632" t="s">
        <v>113</v>
      </c>
      <c r="O2632" t="s">
        <v>1615</v>
      </c>
      <c r="P2632" t="s">
        <v>1620</v>
      </c>
      <c r="S2632">
        <v>519</v>
      </c>
      <c r="U2632" t="s">
        <v>112</v>
      </c>
      <c r="V2632" t="s">
        <v>1484</v>
      </c>
      <c r="X2632" s="43">
        <v>3.15</v>
      </c>
      <c r="AA2632" s="43"/>
      <c r="AB2632">
        <v>0.2</v>
      </c>
      <c r="AC2632">
        <v>0.22950000000000001</v>
      </c>
      <c r="AK2632">
        <v>11463672</v>
      </c>
    </row>
    <row r="2633" spans="1:37" ht="19">
      <c r="A2633" s="39" t="s">
        <v>17</v>
      </c>
      <c r="B2633" s="8">
        <v>2024</v>
      </c>
      <c r="C2633" s="8" t="s">
        <v>109</v>
      </c>
      <c r="D2633" s="9" t="s">
        <v>109</v>
      </c>
      <c r="E2633" s="9" t="s">
        <v>111</v>
      </c>
      <c r="F2633" s="9" t="s">
        <v>111</v>
      </c>
      <c r="I2633" s="9" t="s">
        <v>28</v>
      </c>
      <c r="J2633" s="9" t="s">
        <v>11</v>
      </c>
      <c r="K2633" s="9" t="s">
        <v>82</v>
      </c>
      <c r="L2633" s="9" t="s">
        <v>166</v>
      </c>
      <c r="M2633" t="s">
        <v>113</v>
      </c>
      <c r="O2633" t="s">
        <v>1621</v>
      </c>
      <c r="P2633" t="s">
        <v>1622</v>
      </c>
      <c r="S2633">
        <v>305</v>
      </c>
      <c r="U2633" t="s">
        <v>112</v>
      </c>
      <c r="V2633" t="s">
        <v>1484</v>
      </c>
      <c r="X2633" s="43">
        <v>1.85</v>
      </c>
      <c r="AA2633" s="43"/>
      <c r="AB2633">
        <v>0.15</v>
      </c>
      <c r="AC2633">
        <v>0.13500000000000001</v>
      </c>
      <c r="AK2633">
        <v>6736840</v>
      </c>
    </row>
    <row r="2634" spans="1:37" ht="19">
      <c r="A2634" s="39" t="s">
        <v>17</v>
      </c>
      <c r="B2634" s="8">
        <v>2024</v>
      </c>
      <c r="C2634" s="8" t="s">
        <v>109</v>
      </c>
      <c r="D2634" s="9" t="s">
        <v>109</v>
      </c>
      <c r="E2634" s="9" t="s">
        <v>111</v>
      </c>
      <c r="F2634" s="9" t="s">
        <v>111</v>
      </c>
      <c r="I2634" s="9" t="s">
        <v>28</v>
      </c>
      <c r="J2634" s="9" t="s">
        <v>11</v>
      </c>
      <c r="K2634" s="9" t="s">
        <v>82</v>
      </c>
      <c r="L2634" s="9" t="s">
        <v>166</v>
      </c>
      <c r="M2634" t="s">
        <v>113</v>
      </c>
      <c r="O2634" t="s">
        <v>1621</v>
      </c>
      <c r="P2634" t="s">
        <v>1623</v>
      </c>
      <c r="S2634">
        <v>509</v>
      </c>
      <c r="U2634" t="s">
        <v>112</v>
      </c>
      <c r="V2634" t="s">
        <v>1484</v>
      </c>
      <c r="X2634" s="43">
        <v>3.1</v>
      </c>
      <c r="AA2634" s="43"/>
      <c r="AB2634">
        <v>0.2</v>
      </c>
      <c r="AC2634">
        <v>0.2205</v>
      </c>
      <c r="AK2634">
        <v>11242792</v>
      </c>
    </row>
    <row r="2635" spans="1:37" ht="19">
      <c r="A2635" s="39" t="s">
        <v>17</v>
      </c>
      <c r="B2635" s="8">
        <v>2024</v>
      </c>
      <c r="C2635" s="8" t="s">
        <v>109</v>
      </c>
      <c r="D2635" s="9" t="s">
        <v>109</v>
      </c>
      <c r="E2635" s="9" t="s">
        <v>111</v>
      </c>
      <c r="F2635" s="9" t="s">
        <v>111</v>
      </c>
      <c r="I2635" s="9" t="s">
        <v>28</v>
      </c>
      <c r="J2635" s="9" t="s">
        <v>11</v>
      </c>
      <c r="K2635" s="9" t="s">
        <v>82</v>
      </c>
      <c r="L2635" s="9" t="s">
        <v>166</v>
      </c>
      <c r="M2635" t="s">
        <v>113</v>
      </c>
      <c r="O2635" t="s">
        <v>1624</v>
      </c>
      <c r="P2635" t="s">
        <v>1625</v>
      </c>
      <c r="S2635">
        <v>894</v>
      </c>
      <c r="U2635" t="s">
        <v>112</v>
      </c>
      <c r="V2635" t="s">
        <v>1484</v>
      </c>
      <c r="X2635" s="43">
        <v>5.4</v>
      </c>
      <c r="AA2635" s="43"/>
      <c r="AB2635">
        <v>0.3</v>
      </c>
      <c r="AC2635">
        <v>0.38700000000000001</v>
      </c>
      <c r="AK2635">
        <v>19746672</v>
      </c>
    </row>
    <row r="2636" spans="1:37" ht="19">
      <c r="A2636" s="39" t="s">
        <v>17</v>
      </c>
      <c r="B2636" s="8">
        <v>2024</v>
      </c>
      <c r="C2636" s="8" t="s">
        <v>109</v>
      </c>
      <c r="D2636" s="9" t="s">
        <v>109</v>
      </c>
      <c r="E2636" s="9" t="s">
        <v>111</v>
      </c>
      <c r="F2636" s="9" t="s">
        <v>111</v>
      </c>
      <c r="I2636" s="9" t="s">
        <v>28</v>
      </c>
      <c r="J2636" s="9" t="s">
        <v>11</v>
      </c>
      <c r="K2636" s="9" t="s">
        <v>82</v>
      </c>
      <c r="L2636" s="9" t="s">
        <v>166</v>
      </c>
      <c r="M2636" t="s">
        <v>113</v>
      </c>
      <c r="O2636" t="s">
        <v>1621</v>
      </c>
      <c r="P2636" t="s">
        <v>1626</v>
      </c>
      <c r="S2636">
        <v>688</v>
      </c>
      <c r="U2636" t="s">
        <v>112</v>
      </c>
      <c r="V2636" t="s">
        <v>1484</v>
      </c>
      <c r="X2636" s="43">
        <v>4.1500000000000004</v>
      </c>
      <c r="AA2636" s="43"/>
      <c r="AB2636">
        <v>0.25</v>
      </c>
      <c r="AC2636">
        <v>0.30149999999999999</v>
      </c>
      <c r="AK2636">
        <v>15196544</v>
      </c>
    </row>
    <row r="2637" spans="1:37" ht="19">
      <c r="A2637" s="39" t="s">
        <v>17</v>
      </c>
      <c r="B2637" s="8">
        <v>2024</v>
      </c>
      <c r="C2637" s="8" t="s">
        <v>109</v>
      </c>
      <c r="D2637" s="9" t="s">
        <v>109</v>
      </c>
      <c r="E2637" s="9" t="s">
        <v>111</v>
      </c>
      <c r="F2637" s="9" t="s">
        <v>111</v>
      </c>
      <c r="I2637" s="9" t="s">
        <v>28</v>
      </c>
      <c r="J2637" s="9" t="s">
        <v>11</v>
      </c>
      <c r="K2637" s="9" t="s">
        <v>82</v>
      </c>
      <c r="L2637" s="9" t="s">
        <v>166</v>
      </c>
      <c r="M2637" t="s">
        <v>113</v>
      </c>
      <c r="O2637" t="s">
        <v>1624</v>
      </c>
      <c r="P2637" t="s">
        <v>1627</v>
      </c>
      <c r="S2637">
        <v>308</v>
      </c>
      <c r="U2637" t="s">
        <v>112</v>
      </c>
      <c r="V2637" t="s">
        <v>1484</v>
      </c>
      <c r="X2637" s="43">
        <v>1.9</v>
      </c>
      <c r="AA2637" s="43"/>
      <c r="AB2637">
        <v>0.15</v>
      </c>
      <c r="AC2637">
        <v>0.13500000000000001</v>
      </c>
      <c r="AK2637">
        <v>6803104</v>
      </c>
    </row>
    <row r="2638" spans="1:37" ht="19">
      <c r="A2638" s="39" t="s">
        <v>17</v>
      </c>
      <c r="B2638" s="8">
        <v>2024</v>
      </c>
      <c r="C2638" s="8" t="s">
        <v>109</v>
      </c>
      <c r="D2638" s="9" t="s">
        <v>109</v>
      </c>
      <c r="E2638" s="9" t="s">
        <v>111</v>
      </c>
      <c r="F2638" s="9" t="s">
        <v>111</v>
      </c>
      <c r="I2638" s="9" t="s">
        <v>28</v>
      </c>
      <c r="J2638" s="9" t="s">
        <v>11</v>
      </c>
      <c r="K2638" s="9" t="s">
        <v>82</v>
      </c>
      <c r="L2638" s="9" t="s">
        <v>166</v>
      </c>
      <c r="M2638" t="s">
        <v>113</v>
      </c>
      <c r="O2638" t="s">
        <v>1628</v>
      </c>
      <c r="P2638" t="s">
        <v>1629</v>
      </c>
      <c r="S2638">
        <v>327</v>
      </c>
      <c r="U2638" t="s">
        <v>112</v>
      </c>
      <c r="V2638" t="s">
        <v>1484</v>
      </c>
      <c r="X2638" s="43">
        <v>2</v>
      </c>
      <c r="AA2638" s="43"/>
      <c r="AB2638">
        <v>0.15</v>
      </c>
      <c r="AC2638">
        <v>0.14399999999999999</v>
      </c>
      <c r="AK2638">
        <v>7222776</v>
      </c>
    </row>
    <row r="2639" spans="1:37" ht="19">
      <c r="A2639" s="39" t="s">
        <v>17</v>
      </c>
      <c r="B2639" s="8">
        <v>2024</v>
      </c>
      <c r="C2639" s="8" t="s">
        <v>109</v>
      </c>
      <c r="D2639" s="9" t="s">
        <v>109</v>
      </c>
      <c r="E2639" s="9" t="s">
        <v>111</v>
      </c>
      <c r="F2639" s="9" t="s">
        <v>111</v>
      </c>
      <c r="I2639" s="9" t="s">
        <v>28</v>
      </c>
      <c r="J2639" s="9" t="s">
        <v>11</v>
      </c>
      <c r="K2639" s="9" t="s">
        <v>82</v>
      </c>
      <c r="L2639" s="9" t="s">
        <v>166</v>
      </c>
      <c r="M2639" t="s">
        <v>113</v>
      </c>
      <c r="O2639" t="s">
        <v>1621</v>
      </c>
      <c r="P2639" t="s">
        <v>1569</v>
      </c>
      <c r="S2639">
        <v>1425</v>
      </c>
      <c r="U2639" t="s">
        <v>112</v>
      </c>
      <c r="V2639" t="s">
        <v>1484</v>
      </c>
      <c r="X2639" s="43">
        <v>8.6</v>
      </c>
      <c r="AA2639" s="43"/>
      <c r="AB2639">
        <v>0.5</v>
      </c>
      <c r="AC2639">
        <v>0.61650000000000005</v>
      </c>
      <c r="AK2639">
        <v>31475400</v>
      </c>
    </row>
    <row r="2640" spans="1:37" ht="19">
      <c r="A2640" s="39" t="s">
        <v>17</v>
      </c>
      <c r="B2640" s="8">
        <v>2024</v>
      </c>
      <c r="C2640" s="8" t="s">
        <v>109</v>
      </c>
      <c r="D2640" s="9" t="s">
        <v>109</v>
      </c>
      <c r="E2640" s="9" t="s">
        <v>111</v>
      </c>
      <c r="F2640" s="9" t="s">
        <v>111</v>
      </c>
      <c r="I2640" s="9" t="s">
        <v>28</v>
      </c>
      <c r="J2640" s="9" t="s">
        <v>11</v>
      </c>
      <c r="K2640" s="9" t="s">
        <v>82</v>
      </c>
      <c r="L2640" s="9" t="s">
        <v>166</v>
      </c>
      <c r="M2640" t="s">
        <v>113</v>
      </c>
      <c r="O2640" t="s">
        <v>1621</v>
      </c>
      <c r="P2640" t="s">
        <v>1630</v>
      </c>
      <c r="S2640">
        <v>337</v>
      </c>
      <c r="U2640" t="s">
        <v>112</v>
      </c>
      <c r="V2640" t="s">
        <v>1484</v>
      </c>
      <c r="X2640" s="43">
        <v>2.0499999999999998</v>
      </c>
      <c r="AA2640" s="43"/>
      <c r="AB2640">
        <v>0.15</v>
      </c>
      <c r="AC2640">
        <v>0.14849999999999999</v>
      </c>
      <c r="AK2640">
        <v>7443656</v>
      </c>
    </row>
    <row r="2641" spans="1:37" ht="19">
      <c r="A2641" s="39" t="s">
        <v>17</v>
      </c>
      <c r="B2641" s="8">
        <v>2024</v>
      </c>
      <c r="C2641" s="8" t="s">
        <v>109</v>
      </c>
      <c r="D2641" s="9" t="s">
        <v>109</v>
      </c>
      <c r="E2641" s="9" t="s">
        <v>111</v>
      </c>
      <c r="F2641" s="9" t="s">
        <v>111</v>
      </c>
      <c r="I2641" s="9" t="s">
        <v>28</v>
      </c>
      <c r="J2641" s="9" t="s">
        <v>11</v>
      </c>
      <c r="K2641" s="9" t="s">
        <v>82</v>
      </c>
      <c r="L2641" s="9" t="s">
        <v>166</v>
      </c>
      <c r="M2641" t="s">
        <v>113</v>
      </c>
      <c r="O2641" t="s">
        <v>1631</v>
      </c>
      <c r="P2641" t="s">
        <v>1632</v>
      </c>
      <c r="S2641">
        <v>410</v>
      </c>
      <c r="U2641" t="s">
        <v>112</v>
      </c>
      <c r="V2641" t="s">
        <v>1484</v>
      </c>
      <c r="X2641" s="43">
        <v>2.5</v>
      </c>
      <c r="AA2641" s="43"/>
      <c r="AB2641">
        <v>0.15</v>
      </c>
      <c r="AC2641">
        <v>0.17549999999999999</v>
      </c>
      <c r="AK2641">
        <v>9056080</v>
      </c>
    </row>
    <row r="2642" spans="1:37" ht="19">
      <c r="A2642" s="39" t="s">
        <v>17</v>
      </c>
      <c r="B2642" s="8">
        <v>2024</v>
      </c>
      <c r="C2642" s="8" t="s">
        <v>109</v>
      </c>
      <c r="D2642" s="9" t="s">
        <v>109</v>
      </c>
      <c r="E2642" s="9" t="s">
        <v>111</v>
      </c>
      <c r="F2642" s="9" t="s">
        <v>111</v>
      </c>
      <c r="I2642" s="9" t="s">
        <v>28</v>
      </c>
      <c r="J2642" s="9" t="s">
        <v>11</v>
      </c>
      <c r="K2642" s="9" t="s">
        <v>82</v>
      </c>
      <c r="L2642" s="9" t="s">
        <v>166</v>
      </c>
      <c r="M2642" t="s">
        <v>113</v>
      </c>
      <c r="O2642" t="s">
        <v>1631</v>
      </c>
      <c r="P2642" t="s">
        <v>1633</v>
      </c>
      <c r="S2642">
        <v>228</v>
      </c>
      <c r="U2642" t="s">
        <v>112</v>
      </c>
      <c r="V2642" t="s">
        <v>1484</v>
      </c>
      <c r="X2642" s="43">
        <v>1.4</v>
      </c>
      <c r="AA2642" s="43"/>
      <c r="AB2642">
        <v>0.1</v>
      </c>
      <c r="AC2642">
        <v>9.9000000000000005E-2</v>
      </c>
      <c r="AK2642">
        <v>5036064</v>
      </c>
    </row>
    <row r="2643" spans="1:37" ht="19">
      <c r="A2643" s="39" t="s">
        <v>17</v>
      </c>
      <c r="B2643" s="8">
        <v>2024</v>
      </c>
      <c r="C2643" s="8" t="s">
        <v>109</v>
      </c>
      <c r="D2643" s="9" t="s">
        <v>109</v>
      </c>
      <c r="E2643" s="9" t="s">
        <v>111</v>
      </c>
      <c r="F2643" s="9" t="s">
        <v>111</v>
      </c>
      <c r="I2643" s="9" t="s">
        <v>28</v>
      </c>
      <c r="J2643" s="9" t="s">
        <v>11</v>
      </c>
      <c r="K2643" s="9" t="s">
        <v>82</v>
      </c>
      <c r="L2643" s="9" t="s">
        <v>166</v>
      </c>
      <c r="M2643" t="s">
        <v>113</v>
      </c>
      <c r="O2643" t="s">
        <v>1631</v>
      </c>
      <c r="P2643" t="s">
        <v>1634</v>
      </c>
      <c r="S2643">
        <v>538</v>
      </c>
      <c r="U2643" t="s">
        <v>112</v>
      </c>
      <c r="V2643" t="s">
        <v>1484</v>
      </c>
      <c r="X2643" s="43">
        <v>3.25</v>
      </c>
      <c r="AA2643" s="43"/>
      <c r="AB2643">
        <v>0.2</v>
      </c>
      <c r="AC2643">
        <v>0.23400000000000001</v>
      </c>
      <c r="AK2643">
        <v>11883344</v>
      </c>
    </row>
    <row r="2644" spans="1:37" ht="19">
      <c r="A2644" s="39" t="s">
        <v>17</v>
      </c>
      <c r="B2644" s="8">
        <v>2024</v>
      </c>
      <c r="C2644" s="8" t="s">
        <v>109</v>
      </c>
      <c r="D2644" s="9" t="s">
        <v>109</v>
      </c>
      <c r="E2644" s="9" t="s">
        <v>111</v>
      </c>
      <c r="F2644" s="9" t="s">
        <v>111</v>
      </c>
      <c r="I2644" s="9" t="s">
        <v>28</v>
      </c>
      <c r="J2644" s="9" t="s">
        <v>11</v>
      </c>
      <c r="K2644" s="9" t="s">
        <v>82</v>
      </c>
      <c r="L2644" s="9" t="s">
        <v>166</v>
      </c>
      <c r="M2644" t="s">
        <v>113</v>
      </c>
      <c r="O2644" t="s">
        <v>1631</v>
      </c>
      <c r="P2644" t="s">
        <v>1635</v>
      </c>
      <c r="S2644">
        <v>300</v>
      </c>
      <c r="U2644" t="s">
        <v>112</v>
      </c>
      <c r="V2644" t="s">
        <v>1484</v>
      </c>
      <c r="X2644" s="43">
        <v>1.85</v>
      </c>
      <c r="AA2644" s="43"/>
      <c r="AB2644">
        <v>0.1</v>
      </c>
      <c r="AC2644">
        <v>0.1305</v>
      </c>
      <c r="AK2644">
        <v>6626400</v>
      </c>
    </row>
    <row r="2645" spans="1:37" ht="19">
      <c r="A2645" s="39" t="s">
        <v>17</v>
      </c>
      <c r="B2645" s="8">
        <v>2024</v>
      </c>
      <c r="C2645" s="8" t="s">
        <v>109</v>
      </c>
      <c r="D2645" s="9" t="s">
        <v>109</v>
      </c>
      <c r="E2645" s="9" t="s">
        <v>111</v>
      </c>
      <c r="F2645" s="9" t="s">
        <v>111</v>
      </c>
      <c r="I2645" s="9" t="s">
        <v>28</v>
      </c>
      <c r="J2645" s="9" t="s">
        <v>11</v>
      </c>
      <c r="K2645" s="9" t="s">
        <v>82</v>
      </c>
      <c r="L2645" s="9" t="s">
        <v>166</v>
      </c>
      <c r="M2645" t="s">
        <v>113</v>
      </c>
      <c r="O2645" t="s">
        <v>1631</v>
      </c>
      <c r="P2645" t="s">
        <v>1636</v>
      </c>
      <c r="S2645">
        <v>253</v>
      </c>
      <c r="U2645" t="s">
        <v>112</v>
      </c>
      <c r="V2645" t="s">
        <v>1484</v>
      </c>
      <c r="X2645" s="43">
        <v>1.55</v>
      </c>
      <c r="AA2645" s="43"/>
      <c r="AB2645">
        <v>0.1</v>
      </c>
      <c r="AC2645">
        <v>0.1125</v>
      </c>
      <c r="AK2645">
        <v>5588264</v>
      </c>
    </row>
    <row r="2646" spans="1:37" ht="19">
      <c r="A2646" s="39" t="s">
        <v>17</v>
      </c>
      <c r="B2646" s="8">
        <v>2024</v>
      </c>
      <c r="C2646" s="8" t="s">
        <v>109</v>
      </c>
      <c r="D2646" s="9" t="s">
        <v>109</v>
      </c>
      <c r="E2646" s="9" t="s">
        <v>111</v>
      </c>
      <c r="F2646" s="9" t="s">
        <v>111</v>
      </c>
      <c r="I2646" s="9" t="s">
        <v>28</v>
      </c>
      <c r="J2646" s="9" t="s">
        <v>11</v>
      </c>
      <c r="K2646" s="9" t="s">
        <v>82</v>
      </c>
      <c r="L2646" s="9" t="s">
        <v>166</v>
      </c>
      <c r="M2646" t="s">
        <v>113</v>
      </c>
      <c r="O2646" t="s">
        <v>1637</v>
      </c>
      <c r="P2646" t="s">
        <v>1638</v>
      </c>
      <c r="S2646" t="s">
        <v>1524</v>
      </c>
      <c r="U2646" t="s">
        <v>112</v>
      </c>
      <c r="V2646" t="s">
        <v>1484</v>
      </c>
      <c r="X2646" s="43">
        <v>0</v>
      </c>
      <c r="AA2646" s="43"/>
      <c r="AB2646" s="43">
        <v>0</v>
      </c>
      <c r="AC2646" s="43">
        <v>0</v>
      </c>
    </row>
    <row r="2647" spans="1:37" ht="19">
      <c r="A2647" s="39" t="s">
        <v>17</v>
      </c>
      <c r="B2647" s="8">
        <v>2024</v>
      </c>
      <c r="C2647" s="8" t="s">
        <v>109</v>
      </c>
      <c r="D2647" s="9" t="s">
        <v>109</v>
      </c>
      <c r="E2647" s="9" t="s">
        <v>111</v>
      </c>
      <c r="F2647" s="9" t="s">
        <v>111</v>
      </c>
      <c r="I2647" s="9" t="s">
        <v>28</v>
      </c>
      <c r="J2647" s="9" t="s">
        <v>11</v>
      </c>
      <c r="K2647" s="9" t="s">
        <v>82</v>
      </c>
      <c r="L2647" s="9" t="s">
        <v>166</v>
      </c>
      <c r="M2647" t="s">
        <v>113</v>
      </c>
      <c r="O2647" t="s">
        <v>1637</v>
      </c>
      <c r="P2647" t="s">
        <v>1639</v>
      </c>
      <c r="S2647" t="s">
        <v>1524</v>
      </c>
      <c r="U2647" t="s">
        <v>112</v>
      </c>
      <c r="V2647" t="s">
        <v>1484</v>
      </c>
      <c r="X2647" s="43">
        <v>0</v>
      </c>
      <c r="AA2647" s="43"/>
      <c r="AB2647" s="43">
        <v>0</v>
      </c>
      <c r="AC2647" s="43">
        <v>0</v>
      </c>
    </row>
    <row r="2648" spans="1:37" ht="19">
      <c r="A2648" s="39" t="s">
        <v>17</v>
      </c>
      <c r="B2648" s="8">
        <v>2024</v>
      </c>
      <c r="C2648" s="8" t="s">
        <v>109</v>
      </c>
      <c r="D2648" s="9" t="s">
        <v>109</v>
      </c>
      <c r="E2648" s="9" t="s">
        <v>111</v>
      </c>
      <c r="F2648" s="9" t="s">
        <v>111</v>
      </c>
      <c r="I2648" s="9" t="s">
        <v>28</v>
      </c>
      <c r="J2648" s="9" t="s">
        <v>11</v>
      </c>
      <c r="K2648" s="9" t="s">
        <v>82</v>
      </c>
      <c r="L2648" s="9" t="s">
        <v>166</v>
      </c>
      <c r="M2648" t="s">
        <v>113</v>
      </c>
      <c r="O2648" t="s">
        <v>1164</v>
      </c>
      <c r="P2648" t="s">
        <v>1640</v>
      </c>
      <c r="S2648" t="s">
        <v>1524</v>
      </c>
      <c r="U2648" t="s">
        <v>112</v>
      </c>
      <c r="V2648" t="s">
        <v>1484</v>
      </c>
      <c r="X2648" s="43">
        <v>0</v>
      </c>
      <c r="AA2648" s="43"/>
      <c r="AB2648" s="43">
        <v>0</v>
      </c>
      <c r="AC2648" s="43">
        <v>0</v>
      </c>
    </row>
    <row r="2649" spans="1:37" ht="19">
      <c r="A2649" s="39" t="s">
        <v>17</v>
      </c>
      <c r="B2649" s="8">
        <v>2024</v>
      </c>
      <c r="C2649" s="8" t="s">
        <v>109</v>
      </c>
      <c r="D2649" s="9" t="s">
        <v>109</v>
      </c>
      <c r="E2649" s="9" t="s">
        <v>111</v>
      </c>
      <c r="F2649" s="9" t="s">
        <v>111</v>
      </c>
      <c r="I2649" s="9" t="s">
        <v>28</v>
      </c>
      <c r="J2649" s="9" t="s">
        <v>11</v>
      </c>
      <c r="K2649" s="9" t="s">
        <v>82</v>
      </c>
      <c r="L2649" s="9" t="s">
        <v>166</v>
      </c>
      <c r="M2649" t="s">
        <v>113</v>
      </c>
      <c r="O2649" t="s">
        <v>1522</v>
      </c>
      <c r="P2649" t="s">
        <v>1641</v>
      </c>
      <c r="S2649" t="s">
        <v>1524</v>
      </c>
      <c r="U2649" t="s">
        <v>112</v>
      </c>
      <c r="V2649" t="s">
        <v>1484</v>
      </c>
      <c r="X2649" s="43">
        <v>0</v>
      </c>
      <c r="AA2649" s="43"/>
      <c r="AB2649" s="43">
        <v>0</v>
      </c>
      <c r="AC2649" s="43">
        <v>0</v>
      </c>
    </row>
    <row r="2650" spans="1:37" ht="19">
      <c r="A2650" s="39" t="s">
        <v>17</v>
      </c>
      <c r="B2650" s="8">
        <v>2024</v>
      </c>
      <c r="C2650" s="8" t="s">
        <v>109</v>
      </c>
      <c r="D2650" s="9" t="s">
        <v>109</v>
      </c>
      <c r="E2650" s="9" t="s">
        <v>111</v>
      </c>
      <c r="F2650" s="9" t="s">
        <v>111</v>
      </c>
      <c r="I2650" s="9" t="s">
        <v>28</v>
      </c>
      <c r="J2650" s="9" t="s">
        <v>11</v>
      </c>
      <c r="K2650" s="9" t="s">
        <v>82</v>
      </c>
      <c r="L2650" s="9" t="s">
        <v>166</v>
      </c>
      <c r="M2650" t="s">
        <v>113</v>
      </c>
      <c r="O2650" t="s">
        <v>1522</v>
      </c>
      <c r="P2650" t="s">
        <v>1642</v>
      </c>
      <c r="S2650" t="s">
        <v>1524</v>
      </c>
      <c r="U2650" t="s">
        <v>112</v>
      </c>
      <c r="V2650" t="s">
        <v>1484</v>
      </c>
      <c r="X2650" s="43">
        <v>0</v>
      </c>
      <c r="AA2650" s="43"/>
      <c r="AB2650" s="43">
        <v>0</v>
      </c>
      <c r="AC2650" s="43">
        <v>0</v>
      </c>
    </row>
    <row r="2651" spans="1:37" ht="19">
      <c r="A2651" s="39" t="s">
        <v>17</v>
      </c>
      <c r="B2651" s="8">
        <v>2024</v>
      </c>
      <c r="C2651" s="8" t="s">
        <v>109</v>
      </c>
      <c r="D2651" s="9" t="s">
        <v>109</v>
      </c>
      <c r="E2651" s="9" t="s">
        <v>111</v>
      </c>
      <c r="F2651" s="9" t="s">
        <v>111</v>
      </c>
      <c r="I2651" s="9" t="s">
        <v>28</v>
      </c>
      <c r="J2651" s="9" t="s">
        <v>11</v>
      </c>
      <c r="K2651" s="9" t="s">
        <v>82</v>
      </c>
      <c r="L2651" s="9" t="s">
        <v>166</v>
      </c>
      <c r="M2651" t="s">
        <v>110</v>
      </c>
      <c r="O2651" t="s">
        <v>1643</v>
      </c>
      <c r="P2651" t="s">
        <v>1644</v>
      </c>
      <c r="S2651">
        <v>325</v>
      </c>
      <c r="U2651" t="s">
        <v>112</v>
      </c>
      <c r="V2651" t="s">
        <v>1484</v>
      </c>
      <c r="X2651" s="43">
        <v>2.25</v>
      </c>
      <c r="AA2651" s="43"/>
      <c r="AB2651" s="43">
        <v>0.15</v>
      </c>
      <c r="AC2651" s="43">
        <v>0.16200000000000001</v>
      </c>
      <c r="AK2651">
        <v>7178600</v>
      </c>
    </row>
    <row r="2652" spans="1:37" ht="19">
      <c r="A2652" s="39" t="s">
        <v>17</v>
      </c>
      <c r="B2652" s="8">
        <v>2024</v>
      </c>
      <c r="C2652" s="8" t="s">
        <v>109</v>
      </c>
      <c r="D2652" s="9" t="s">
        <v>109</v>
      </c>
      <c r="E2652" s="9" t="s">
        <v>111</v>
      </c>
      <c r="F2652" s="9" t="s">
        <v>111</v>
      </c>
      <c r="I2652" s="9" t="s">
        <v>28</v>
      </c>
      <c r="J2652" s="9" t="s">
        <v>11</v>
      </c>
      <c r="K2652" s="9" t="s">
        <v>82</v>
      </c>
      <c r="L2652" s="9" t="s">
        <v>166</v>
      </c>
      <c r="M2652" t="s">
        <v>110</v>
      </c>
      <c r="O2652" t="s">
        <v>863</v>
      </c>
      <c r="P2652" t="s">
        <v>1645</v>
      </c>
      <c r="S2652">
        <v>361</v>
      </c>
      <c r="U2652" t="s">
        <v>112</v>
      </c>
      <c r="V2652" t="s">
        <v>1484</v>
      </c>
      <c r="X2652" s="43">
        <v>2.5</v>
      </c>
      <c r="AA2652" s="43"/>
      <c r="AB2652" s="43">
        <v>0.15</v>
      </c>
      <c r="AC2652" s="43">
        <v>0.18</v>
      </c>
      <c r="AK2652">
        <v>7973768</v>
      </c>
    </row>
    <row r="2653" spans="1:37" ht="19">
      <c r="A2653" s="39" t="s">
        <v>17</v>
      </c>
      <c r="B2653" s="8">
        <v>2024</v>
      </c>
      <c r="C2653" s="8" t="s">
        <v>109</v>
      </c>
      <c r="D2653" s="9" t="s">
        <v>109</v>
      </c>
      <c r="E2653" s="9" t="s">
        <v>111</v>
      </c>
      <c r="F2653" s="9" t="s">
        <v>111</v>
      </c>
      <c r="I2653" s="9" t="s">
        <v>28</v>
      </c>
      <c r="J2653" s="9" t="s">
        <v>11</v>
      </c>
      <c r="K2653" s="9" t="s">
        <v>82</v>
      </c>
      <c r="L2653" s="9" t="s">
        <v>166</v>
      </c>
      <c r="M2653" t="s">
        <v>110</v>
      </c>
      <c r="O2653" t="s">
        <v>1646</v>
      </c>
      <c r="P2653" t="s">
        <v>1610</v>
      </c>
      <c r="S2653">
        <v>701</v>
      </c>
      <c r="U2653" t="s">
        <v>112</v>
      </c>
      <c r="V2653" t="s">
        <v>1484</v>
      </c>
      <c r="X2653" s="43">
        <v>4.8499999999999996</v>
      </c>
      <c r="AA2653" s="43"/>
      <c r="AB2653" s="43">
        <v>0.25</v>
      </c>
      <c r="AC2653" s="43">
        <v>0.34649999999999997</v>
      </c>
      <c r="AK2653">
        <v>15483688</v>
      </c>
    </row>
    <row r="2654" spans="1:37" ht="19">
      <c r="A2654" s="39" t="s">
        <v>17</v>
      </c>
      <c r="B2654" s="8">
        <v>2024</v>
      </c>
      <c r="C2654" s="8" t="s">
        <v>109</v>
      </c>
      <c r="D2654" s="9" t="s">
        <v>109</v>
      </c>
      <c r="E2654" s="9" t="s">
        <v>111</v>
      </c>
      <c r="F2654" s="9" t="s">
        <v>111</v>
      </c>
      <c r="I2654" s="9" t="s">
        <v>28</v>
      </c>
      <c r="J2654" s="9" t="s">
        <v>11</v>
      </c>
      <c r="K2654" s="9" t="s">
        <v>82</v>
      </c>
      <c r="L2654" s="9" t="s">
        <v>166</v>
      </c>
      <c r="M2654" t="s">
        <v>110</v>
      </c>
      <c r="O2654" t="s">
        <v>863</v>
      </c>
      <c r="P2654" t="s">
        <v>1647</v>
      </c>
      <c r="S2654">
        <v>719</v>
      </c>
      <c r="U2654" t="s">
        <v>112</v>
      </c>
      <c r="V2654" t="s">
        <v>1484</v>
      </c>
      <c r="X2654" s="43">
        <v>4.95</v>
      </c>
      <c r="AA2654" s="43"/>
      <c r="AB2654" s="43">
        <v>0.25</v>
      </c>
      <c r="AC2654" s="43">
        <v>0.35099999999999998</v>
      </c>
      <c r="AK2654">
        <v>15881272</v>
      </c>
    </row>
    <row r="2655" spans="1:37" ht="19">
      <c r="A2655" s="39" t="s">
        <v>17</v>
      </c>
      <c r="B2655" s="8">
        <v>2024</v>
      </c>
      <c r="C2655" s="8" t="s">
        <v>109</v>
      </c>
      <c r="D2655" s="9" t="s">
        <v>109</v>
      </c>
      <c r="E2655" s="9" t="s">
        <v>111</v>
      </c>
      <c r="F2655" s="9" t="s">
        <v>111</v>
      </c>
      <c r="I2655" s="9" t="s">
        <v>28</v>
      </c>
      <c r="J2655" s="9" t="s">
        <v>11</v>
      </c>
      <c r="K2655" s="9" t="s">
        <v>82</v>
      </c>
      <c r="L2655" s="9" t="s">
        <v>166</v>
      </c>
      <c r="M2655" t="s">
        <v>110</v>
      </c>
      <c r="O2655" t="s">
        <v>863</v>
      </c>
      <c r="P2655" t="s">
        <v>1648</v>
      </c>
      <c r="S2655">
        <v>337</v>
      </c>
      <c r="U2655" t="s">
        <v>112</v>
      </c>
      <c r="V2655" t="s">
        <v>1484</v>
      </c>
      <c r="X2655" s="43">
        <v>2.2999999999999998</v>
      </c>
      <c r="AA2655" s="43"/>
      <c r="AB2655" s="43">
        <v>0.15</v>
      </c>
      <c r="AC2655" s="43">
        <v>0.17100000000000001</v>
      </c>
      <c r="AK2655">
        <v>7443656</v>
      </c>
    </row>
    <row r="2656" spans="1:37" ht="19">
      <c r="A2656" s="39" t="s">
        <v>17</v>
      </c>
      <c r="B2656" s="8">
        <v>2024</v>
      </c>
      <c r="C2656" s="8" t="s">
        <v>109</v>
      </c>
      <c r="D2656" s="9" t="s">
        <v>109</v>
      </c>
      <c r="E2656" s="9" t="s">
        <v>111</v>
      </c>
      <c r="F2656" s="9" t="s">
        <v>111</v>
      </c>
      <c r="I2656" s="9" t="s">
        <v>28</v>
      </c>
      <c r="J2656" s="9" t="s">
        <v>11</v>
      </c>
      <c r="K2656" s="9" t="s">
        <v>82</v>
      </c>
      <c r="L2656" s="9" t="s">
        <v>166</v>
      </c>
      <c r="M2656" t="s">
        <v>110</v>
      </c>
      <c r="O2656" t="s">
        <v>863</v>
      </c>
      <c r="P2656" t="s">
        <v>1649</v>
      </c>
      <c r="S2656">
        <v>291</v>
      </c>
      <c r="U2656" t="s">
        <v>112</v>
      </c>
      <c r="V2656" t="s">
        <v>1484</v>
      </c>
      <c r="X2656" s="43">
        <v>2</v>
      </c>
      <c r="AA2656" s="43"/>
      <c r="AB2656" s="43">
        <v>0.1</v>
      </c>
      <c r="AC2656" s="43">
        <v>0.14399999999999999</v>
      </c>
      <c r="AK2656">
        <v>6427608</v>
      </c>
    </row>
    <row r="2657" spans="1:37" ht="19">
      <c r="A2657" s="39" t="s">
        <v>17</v>
      </c>
      <c r="B2657" s="8">
        <v>2024</v>
      </c>
      <c r="C2657" s="8" t="s">
        <v>109</v>
      </c>
      <c r="D2657" s="9" t="s">
        <v>109</v>
      </c>
      <c r="E2657" s="9" t="s">
        <v>111</v>
      </c>
      <c r="F2657" s="9" t="s">
        <v>111</v>
      </c>
      <c r="I2657" s="9" t="s">
        <v>28</v>
      </c>
      <c r="J2657" s="9" t="s">
        <v>11</v>
      </c>
      <c r="K2657" s="9" t="s">
        <v>82</v>
      </c>
      <c r="L2657" s="9" t="s">
        <v>166</v>
      </c>
      <c r="M2657" t="s">
        <v>110</v>
      </c>
      <c r="O2657" t="s">
        <v>863</v>
      </c>
      <c r="P2657" t="s">
        <v>1650</v>
      </c>
      <c r="S2657">
        <v>386</v>
      </c>
      <c r="U2657" t="s">
        <v>112</v>
      </c>
      <c r="V2657" t="s">
        <v>1484</v>
      </c>
      <c r="X2657" s="43">
        <v>2.7</v>
      </c>
      <c r="AA2657" s="43"/>
      <c r="AB2657" s="43">
        <v>0.15</v>
      </c>
      <c r="AC2657" s="43">
        <v>0.189</v>
      </c>
      <c r="AK2657">
        <v>8525968</v>
      </c>
    </row>
    <row r="2658" spans="1:37" ht="19">
      <c r="A2658" s="39" t="s">
        <v>17</v>
      </c>
      <c r="B2658" s="8">
        <v>2024</v>
      </c>
      <c r="C2658" s="8" t="s">
        <v>109</v>
      </c>
      <c r="D2658" s="9" t="s">
        <v>109</v>
      </c>
      <c r="E2658" s="9" t="s">
        <v>111</v>
      </c>
      <c r="F2658" s="9" t="s">
        <v>111</v>
      </c>
      <c r="I2658" s="9" t="s">
        <v>28</v>
      </c>
      <c r="J2658" s="9" t="s">
        <v>11</v>
      </c>
      <c r="K2658" s="9" t="s">
        <v>82</v>
      </c>
      <c r="L2658" s="9" t="s">
        <v>166</v>
      </c>
      <c r="M2658" t="s">
        <v>110</v>
      </c>
      <c r="O2658" t="s">
        <v>863</v>
      </c>
      <c r="P2658" t="s">
        <v>1651</v>
      </c>
      <c r="S2658">
        <v>1107</v>
      </c>
      <c r="U2658" t="s">
        <v>112</v>
      </c>
      <c r="V2658" t="s">
        <v>1484</v>
      </c>
      <c r="X2658" s="43">
        <v>7.6</v>
      </c>
      <c r="AA2658" s="43"/>
      <c r="AB2658" s="43">
        <v>0.4</v>
      </c>
      <c r="AC2658" s="43">
        <v>0.54449999999999998</v>
      </c>
      <c r="AK2658">
        <v>24451416</v>
      </c>
    </row>
    <row r="2659" spans="1:37" ht="19">
      <c r="A2659" s="39" t="s">
        <v>17</v>
      </c>
      <c r="B2659" s="8">
        <v>2024</v>
      </c>
      <c r="C2659" s="8" t="s">
        <v>109</v>
      </c>
      <c r="D2659" s="9" t="s">
        <v>109</v>
      </c>
      <c r="E2659" s="9" t="s">
        <v>111</v>
      </c>
      <c r="F2659" s="9" t="s">
        <v>111</v>
      </c>
      <c r="I2659" s="9" t="s">
        <v>28</v>
      </c>
      <c r="J2659" s="9" t="s">
        <v>11</v>
      </c>
      <c r="K2659" s="9" t="s">
        <v>82</v>
      </c>
      <c r="L2659" s="9" t="s">
        <v>166</v>
      </c>
      <c r="M2659" t="s">
        <v>110</v>
      </c>
      <c r="O2659" t="s">
        <v>1646</v>
      </c>
      <c r="P2659" t="s">
        <v>1652</v>
      </c>
      <c r="S2659">
        <v>165</v>
      </c>
      <c r="U2659" t="s">
        <v>112</v>
      </c>
      <c r="V2659" t="s">
        <v>1484</v>
      </c>
      <c r="X2659" s="43">
        <v>1.25</v>
      </c>
      <c r="AA2659" s="43"/>
      <c r="AB2659" s="43">
        <v>0.1</v>
      </c>
      <c r="AC2659" s="43">
        <v>0.09</v>
      </c>
      <c r="AK2659">
        <v>3644520</v>
      </c>
    </row>
    <row r="2660" spans="1:37" ht="19">
      <c r="A2660" s="39" t="s">
        <v>17</v>
      </c>
      <c r="B2660" s="8">
        <v>2024</v>
      </c>
      <c r="C2660" s="8" t="s">
        <v>109</v>
      </c>
      <c r="D2660" s="9" t="s">
        <v>109</v>
      </c>
      <c r="E2660" s="9" t="s">
        <v>111</v>
      </c>
      <c r="F2660" s="9" t="s">
        <v>111</v>
      </c>
      <c r="I2660" s="9" t="s">
        <v>28</v>
      </c>
      <c r="J2660" s="9" t="s">
        <v>11</v>
      </c>
      <c r="K2660" s="9" t="s">
        <v>82</v>
      </c>
      <c r="L2660" s="9" t="s">
        <v>166</v>
      </c>
      <c r="M2660" t="s">
        <v>110</v>
      </c>
      <c r="O2660" t="s">
        <v>863</v>
      </c>
      <c r="P2660" t="s">
        <v>1653</v>
      </c>
      <c r="S2660">
        <v>573</v>
      </c>
      <c r="U2660" t="s">
        <v>112</v>
      </c>
      <c r="V2660" t="s">
        <v>1484</v>
      </c>
      <c r="X2660" s="43">
        <v>3.95</v>
      </c>
      <c r="AA2660" s="43"/>
      <c r="AB2660" s="43">
        <v>0.2</v>
      </c>
      <c r="AC2660" s="43">
        <v>0.28349999999999997</v>
      </c>
      <c r="AK2660">
        <v>12656424</v>
      </c>
    </row>
    <row r="2661" spans="1:37" ht="19">
      <c r="A2661" s="39" t="s">
        <v>17</v>
      </c>
      <c r="B2661" s="8">
        <v>2024</v>
      </c>
      <c r="C2661" s="8" t="s">
        <v>109</v>
      </c>
      <c r="D2661" s="9" t="s">
        <v>109</v>
      </c>
      <c r="E2661" s="9" t="s">
        <v>111</v>
      </c>
      <c r="F2661" s="9" t="s">
        <v>111</v>
      </c>
      <c r="I2661" s="9" t="s">
        <v>28</v>
      </c>
      <c r="J2661" s="9" t="s">
        <v>11</v>
      </c>
      <c r="K2661" s="9" t="s">
        <v>82</v>
      </c>
      <c r="L2661" s="9" t="s">
        <v>166</v>
      </c>
      <c r="M2661" t="s">
        <v>110</v>
      </c>
      <c r="O2661" t="s">
        <v>863</v>
      </c>
      <c r="P2661" t="s">
        <v>1654</v>
      </c>
      <c r="S2661">
        <v>621</v>
      </c>
      <c r="U2661" t="s">
        <v>112</v>
      </c>
      <c r="V2661" t="s">
        <v>1484</v>
      </c>
      <c r="X2661" s="43">
        <v>4.3</v>
      </c>
      <c r="AA2661" s="43"/>
      <c r="AB2661" s="43">
        <v>0.25</v>
      </c>
      <c r="AC2661" s="43">
        <v>0.30599999999999999</v>
      </c>
      <c r="AK2661">
        <v>13716648</v>
      </c>
    </row>
    <row r="2662" spans="1:37" ht="19">
      <c r="A2662" s="39" t="s">
        <v>17</v>
      </c>
      <c r="B2662" s="8">
        <v>2024</v>
      </c>
      <c r="C2662" s="8" t="s">
        <v>109</v>
      </c>
      <c r="D2662" s="9" t="s">
        <v>109</v>
      </c>
      <c r="E2662" s="9" t="s">
        <v>111</v>
      </c>
      <c r="F2662" s="9" t="s">
        <v>111</v>
      </c>
      <c r="I2662" s="9" t="s">
        <v>28</v>
      </c>
      <c r="J2662" s="9" t="s">
        <v>11</v>
      </c>
      <c r="K2662" s="9" t="s">
        <v>82</v>
      </c>
      <c r="L2662" s="9" t="s">
        <v>166</v>
      </c>
      <c r="M2662" t="s">
        <v>110</v>
      </c>
      <c r="O2662" t="s">
        <v>863</v>
      </c>
      <c r="P2662" t="s">
        <v>1655</v>
      </c>
      <c r="S2662">
        <v>382</v>
      </c>
      <c r="U2662" t="s">
        <v>112</v>
      </c>
      <c r="V2662" t="s">
        <v>1484</v>
      </c>
      <c r="X2662" s="43">
        <v>2.65</v>
      </c>
      <c r="AA2662" s="43"/>
      <c r="AB2662" s="43">
        <v>0.15</v>
      </c>
      <c r="AC2662" s="43">
        <v>0.189</v>
      </c>
      <c r="AK2662">
        <v>8437616</v>
      </c>
    </row>
    <row r="2663" spans="1:37" ht="19">
      <c r="A2663" s="39" t="s">
        <v>17</v>
      </c>
      <c r="B2663" s="8">
        <v>2024</v>
      </c>
      <c r="C2663" s="8" t="s">
        <v>109</v>
      </c>
      <c r="D2663" s="9" t="s">
        <v>109</v>
      </c>
      <c r="E2663" s="9" t="s">
        <v>111</v>
      </c>
      <c r="F2663" s="9" t="s">
        <v>111</v>
      </c>
      <c r="I2663" s="9" t="s">
        <v>28</v>
      </c>
      <c r="J2663" s="9" t="s">
        <v>11</v>
      </c>
      <c r="K2663" s="9" t="s">
        <v>82</v>
      </c>
      <c r="L2663" s="9" t="s">
        <v>166</v>
      </c>
      <c r="M2663" t="s">
        <v>110</v>
      </c>
      <c r="O2663" t="s">
        <v>1646</v>
      </c>
      <c r="P2663" t="s">
        <v>1656</v>
      </c>
      <c r="S2663">
        <v>266</v>
      </c>
      <c r="U2663" t="s">
        <v>112</v>
      </c>
      <c r="V2663" t="s">
        <v>1484</v>
      </c>
      <c r="X2663" s="43">
        <v>2.0499999999999998</v>
      </c>
      <c r="AA2663" s="43"/>
      <c r="AB2663" s="43">
        <v>0.1</v>
      </c>
      <c r="AC2663" s="43">
        <v>0.14849999999999999</v>
      </c>
      <c r="AK2663">
        <v>5875408</v>
      </c>
    </row>
    <row r="2664" spans="1:37" ht="19">
      <c r="A2664" s="39" t="s">
        <v>17</v>
      </c>
      <c r="B2664" s="8">
        <v>2024</v>
      </c>
      <c r="C2664" s="8" t="s">
        <v>109</v>
      </c>
      <c r="D2664" s="9" t="s">
        <v>109</v>
      </c>
      <c r="E2664" s="9" t="s">
        <v>111</v>
      </c>
      <c r="F2664" s="9" t="s">
        <v>111</v>
      </c>
      <c r="I2664" s="9" t="s">
        <v>28</v>
      </c>
      <c r="J2664" s="9" t="s">
        <v>11</v>
      </c>
      <c r="K2664" s="9" t="s">
        <v>82</v>
      </c>
      <c r="L2664" s="9" t="s">
        <v>166</v>
      </c>
      <c r="M2664" t="s">
        <v>110</v>
      </c>
      <c r="O2664" t="s">
        <v>1646</v>
      </c>
      <c r="P2664" t="s">
        <v>1657</v>
      </c>
      <c r="S2664">
        <v>237</v>
      </c>
      <c r="U2664" t="s">
        <v>112</v>
      </c>
      <c r="V2664" t="s">
        <v>1484</v>
      </c>
      <c r="X2664" s="43">
        <v>1.8</v>
      </c>
      <c r="AA2664" s="43"/>
      <c r="AB2664" s="43">
        <v>0.1</v>
      </c>
      <c r="AC2664" s="43">
        <v>0.1305</v>
      </c>
      <c r="AK2664">
        <v>5234856</v>
      </c>
    </row>
    <row r="2665" spans="1:37" ht="19">
      <c r="A2665" s="39" t="s">
        <v>17</v>
      </c>
      <c r="B2665" s="8">
        <v>2024</v>
      </c>
      <c r="C2665" s="8" t="s">
        <v>109</v>
      </c>
      <c r="D2665" s="9" t="s">
        <v>109</v>
      </c>
      <c r="E2665" s="9" t="s">
        <v>111</v>
      </c>
      <c r="F2665" s="9" t="s">
        <v>111</v>
      </c>
      <c r="I2665" s="9" t="s">
        <v>28</v>
      </c>
      <c r="J2665" s="9" t="s">
        <v>11</v>
      </c>
      <c r="K2665" s="9" t="s">
        <v>82</v>
      </c>
      <c r="L2665" s="9" t="s">
        <v>166</v>
      </c>
      <c r="M2665" t="s">
        <v>110</v>
      </c>
      <c r="O2665" t="s">
        <v>1658</v>
      </c>
      <c r="P2665" t="s">
        <v>1659</v>
      </c>
      <c r="S2665">
        <v>545</v>
      </c>
      <c r="U2665" t="s">
        <v>112</v>
      </c>
      <c r="V2665" t="s">
        <v>1484</v>
      </c>
      <c r="X2665" s="43">
        <v>3.8</v>
      </c>
      <c r="AA2665" s="43"/>
      <c r="AB2665" s="43">
        <v>0.2</v>
      </c>
      <c r="AC2665" s="43">
        <v>0.27</v>
      </c>
      <c r="AK2665">
        <v>12037960</v>
      </c>
    </row>
    <row r="2666" spans="1:37" ht="19">
      <c r="A2666" s="39" t="s">
        <v>17</v>
      </c>
      <c r="B2666" s="8">
        <v>2024</v>
      </c>
      <c r="C2666" s="8" t="s">
        <v>109</v>
      </c>
      <c r="D2666" s="9" t="s">
        <v>109</v>
      </c>
      <c r="E2666" s="9" t="s">
        <v>111</v>
      </c>
      <c r="F2666" s="9" t="s">
        <v>111</v>
      </c>
      <c r="I2666" s="9" t="s">
        <v>28</v>
      </c>
      <c r="J2666" s="9" t="s">
        <v>11</v>
      </c>
      <c r="K2666" s="9" t="s">
        <v>82</v>
      </c>
      <c r="L2666" s="9" t="s">
        <v>166</v>
      </c>
      <c r="M2666" t="s">
        <v>110</v>
      </c>
      <c r="O2666" t="s">
        <v>1660</v>
      </c>
      <c r="P2666" t="s">
        <v>1661</v>
      </c>
      <c r="S2666">
        <v>581</v>
      </c>
      <c r="U2666" t="s">
        <v>112</v>
      </c>
      <c r="V2666" t="s">
        <v>1484</v>
      </c>
      <c r="X2666" s="43">
        <v>4</v>
      </c>
      <c r="AA2666" s="43"/>
      <c r="AB2666" s="43">
        <v>0.2</v>
      </c>
      <c r="AC2666" s="43">
        <v>0.28799999999999998</v>
      </c>
      <c r="AK2666">
        <v>12833128</v>
      </c>
    </row>
    <row r="2667" spans="1:37" ht="19">
      <c r="A2667" s="39" t="s">
        <v>17</v>
      </c>
      <c r="B2667" s="8">
        <v>2024</v>
      </c>
      <c r="C2667" s="8" t="s">
        <v>109</v>
      </c>
      <c r="D2667" s="9" t="s">
        <v>109</v>
      </c>
      <c r="E2667" s="9" t="s">
        <v>111</v>
      </c>
      <c r="F2667" s="9" t="s">
        <v>111</v>
      </c>
      <c r="I2667" s="9" t="s">
        <v>28</v>
      </c>
      <c r="J2667" s="9" t="s">
        <v>11</v>
      </c>
      <c r="K2667" s="9" t="s">
        <v>82</v>
      </c>
      <c r="L2667" s="9" t="s">
        <v>166</v>
      </c>
      <c r="M2667" t="s">
        <v>110</v>
      </c>
      <c r="O2667" t="s">
        <v>1658</v>
      </c>
      <c r="P2667" t="s">
        <v>1662</v>
      </c>
      <c r="S2667">
        <v>423</v>
      </c>
      <c r="U2667" t="s">
        <v>112</v>
      </c>
      <c r="V2667" t="s">
        <v>1484</v>
      </c>
      <c r="X2667" s="43">
        <v>2.95</v>
      </c>
      <c r="AA2667" s="43"/>
      <c r="AB2667" s="43">
        <v>0.15</v>
      </c>
      <c r="AC2667" s="43">
        <v>0.20699999999999999</v>
      </c>
      <c r="AK2667">
        <v>9343224</v>
      </c>
    </row>
    <row r="2668" spans="1:37" ht="19">
      <c r="A2668" s="39" t="s">
        <v>17</v>
      </c>
      <c r="B2668" s="8">
        <v>2024</v>
      </c>
      <c r="C2668" s="8" t="s">
        <v>109</v>
      </c>
      <c r="D2668" s="9" t="s">
        <v>109</v>
      </c>
      <c r="E2668" s="9" t="s">
        <v>111</v>
      </c>
      <c r="F2668" s="9" t="s">
        <v>111</v>
      </c>
      <c r="I2668" s="9" t="s">
        <v>28</v>
      </c>
      <c r="J2668" s="9" t="s">
        <v>11</v>
      </c>
      <c r="K2668" s="9" t="s">
        <v>82</v>
      </c>
      <c r="L2668" s="9" t="s">
        <v>166</v>
      </c>
      <c r="M2668" t="s">
        <v>110</v>
      </c>
      <c r="O2668" t="s">
        <v>1658</v>
      </c>
      <c r="P2668" t="s">
        <v>1663</v>
      </c>
      <c r="S2668">
        <v>713</v>
      </c>
      <c r="U2668" t="s">
        <v>112</v>
      </c>
      <c r="V2668" t="s">
        <v>1484</v>
      </c>
      <c r="X2668" s="43">
        <v>4.95</v>
      </c>
      <c r="AA2668" s="43"/>
      <c r="AB2668" s="43">
        <v>0.25</v>
      </c>
      <c r="AC2668" s="43">
        <v>0.35099999999999998</v>
      </c>
      <c r="AK2668">
        <v>15748744</v>
      </c>
    </row>
    <row r="2669" spans="1:37" ht="19">
      <c r="A2669" s="39" t="s">
        <v>17</v>
      </c>
      <c r="B2669" s="8">
        <v>2024</v>
      </c>
      <c r="C2669" s="8" t="s">
        <v>109</v>
      </c>
      <c r="D2669" s="9" t="s">
        <v>109</v>
      </c>
      <c r="E2669" s="9" t="s">
        <v>111</v>
      </c>
      <c r="F2669" s="9" t="s">
        <v>111</v>
      </c>
      <c r="I2669" s="9" t="s">
        <v>28</v>
      </c>
      <c r="J2669" s="9" t="s">
        <v>11</v>
      </c>
      <c r="K2669" s="9" t="s">
        <v>82</v>
      </c>
      <c r="L2669" s="9" t="s">
        <v>166</v>
      </c>
      <c r="M2669" t="s">
        <v>110</v>
      </c>
      <c r="O2669" t="s">
        <v>1658</v>
      </c>
      <c r="P2669" t="s">
        <v>1664</v>
      </c>
      <c r="S2669">
        <v>296</v>
      </c>
      <c r="U2669" t="s">
        <v>112</v>
      </c>
      <c r="V2669" t="s">
        <v>1484</v>
      </c>
      <c r="X2669" s="43">
        <v>2.0499999999999998</v>
      </c>
      <c r="AA2669" s="43"/>
      <c r="AB2669" s="43">
        <v>0.1</v>
      </c>
      <c r="AC2669" s="43">
        <v>0.14399999999999999</v>
      </c>
      <c r="AK2669">
        <v>6538048</v>
      </c>
    </row>
    <row r="2670" spans="1:37" ht="19">
      <c r="A2670" s="39" t="s">
        <v>17</v>
      </c>
      <c r="B2670" s="8">
        <v>2024</v>
      </c>
      <c r="C2670" s="8" t="s">
        <v>109</v>
      </c>
      <c r="D2670" s="9" t="s">
        <v>109</v>
      </c>
      <c r="E2670" s="9" t="s">
        <v>111</v>
      </c>
      <c r="F2670" s="9" t="s">
        <v>111</v>
      </c>
      <c r="I2670" s="9" t="s">
        <v>28</v>
      </c>
      <c r="J2670" s="9" t="s">
        <v>11</v>
      </c>
      <c r="K2670" s="9" t="s">
        <v>82</v>
      </c>
      <c r="L2670" s="9" t="s">
        <v>166</v>
      </c>
      <c r="M2670" t="s">
        <v>110</v>
      </c>
      <c r="O2670" t="s">
        <v>1658</v>
      </c>
      <c r="P2670" t="s">
        <v>1665</v>
      </c>
      <c r="S2670">
        <v>504</v>
      </c>
      <c r="U2670" t="s">
        <v>112</v>
      </c>
      <c r="V2670" t="s">
        <v>1484</v>
      </c>
      <c r="X2670" s="43">
        <v>3.45</v>
      </c>
      <c r="AA2670" s="43"/>
      <c r="AB2670" s="43">
        <v>0.2</v>
      </c>
      <c r="AC2670" s="43">
        <v>0.252</v>
      </c>
      <c r="AK2670">
        <v>11132352</v>
      </c>
    </row>
    <row r="2671" spans="1:37" ht="19">
      <c r="A2671" s="39" t="s">
        <v>17</v>
      </c>
      <c r="B2671" s="8">
        <v>2024</v>
      </c>
      <c r="C2671" s="8" t="s">
        <v>109</v>
      </c>
      <c r="D2671" s="9" t="s">
        <v>109</v>
      </c>
      <c r="E2671" s="9" t="s">
        <v>111</v>
      </c>
      <c r="F2671" s="9" t="s">
        <v>111</v>
      </c>
      <c r="I2671" s="9" t="s">
        <v>28</v>
      </c>
      <c r="J2671" s="9" t="s">
        <v>11</v>
      </c>
      <c r="K2671" s="9" t="s">
        <v>82</v>
      </c>
      <c r="L2671" s="9" t="s">
        <v>166</v>
      </c>
      <c r="M2671" t="s">
        <v>110</v>
      </c>
      <c r="O2671" t="s">
        <v>1658</v>
      </c>
      <c r="P2671" t="s">
        <v>1666</v>
      </c>
      <c r="S2671">
        <v>526</v>
      </c>
      <c r="U2671" t="s">
        <v>112</v>
      </c>
      <c r="V2671" t="s">
        <v>1484</v>
      </c>
      <c r="X2671" s="43">
        <v>3.6</v>
      </c>
      <c r="AA2671" s="43"/>
      <c r="AB2671" s="43">
        <v>0.2</v>
      </c>
      <c r="AC2671" s="43">
        <v>0.26100000000000001</v>
      </c>
      <c r="AK2671">
        <v>11618288</v>
      </c>
    </row>
    <row r="2672" spans="1:37" ht="19">
      <c r="A2672" s="39" t="s">
        <v>17</v>
      </c>
      <c r="B2672" s="8">
        <v>2024</v>
      </c>
      <c r="C2672" s="8" t="s">
        <v>109</v>
      </c>
      <c r="D2672" s="9" t="s">
        <v>109</v>
      </c>
      <c r="E2672" s="9" t="s">
        <v>111</v>
      </c>
      <c r="F2672" s="9" t="s">
        <v>111</v>
      </c>
      <c r="I2672" s="9" t="s">
        <v>28</v>
      </c>
      <c r="J2672" s="9" t="s">
        <v>11</v>
      </c>
      <c r="K2672" s="9" t="s">
        <v>82</v>
      </c>
      <c r="L2672" s="9" t="s">
        <v>166</v>
      </c>
      <c r="M2672" t="s">
        <v>110</v>
      </c>
      <c r="O2672" t="s">
        <v>1658</v>
      </c>
      <c r="P2672" t="s">
        <v>1667</v>
      </c>
      <c r="S2672">
        <v>461</v>
      </c>
      <c r="U2672" t="s">
        <v>112</v>
      </c>
      <c r="V2672" t="s">
        <v>1484</v>
      </c>
      <c r="X2672" s="43">
        <v>3.2</v>
      </c>
      <c r="AA2672" s="43"/>
      <c r="AB2672" s="43">
        <v>0.2</v>
      </c>
      <c r="AC2672" s="43">
        <v>0.22950000000000001</v>
      </c>
      <c r="AK2672">
        <v>10182568</v>
      </c>
    </row>
    <row r="2673" spans="1:37" ht="19">
      <c r="A2673" s="39" t="s">
        <v>17</v>
      </c>
      <c r="B2673" s="8">
        <v>2024</v>
      </c>
      <c r="C2673" s="8" t="s">
        <v>109</v>
      </c>
      <c r="D2673" s="9" t="s">
        <v>109</v>
      </c>
      <c r="E2673" s="9" t="s">
        <v>111</v>
      </c>
      <c r="F2673" s="9" t="s">
        <v>111</v>
      </c>
      <c r="I2673" s="9" t="s">
        <v>28</v>
      </c>
      <c r="J2673" s="9" t="s">
        <v>11</v>
      </c>
      <c r="K2673" s="9" t="s">
        <v>82</v>
      </c>
      <c r="L2673" s="9" t="s">
        <v>166</v>
      </c>
      <c r="M2673" t="s">
        <v>110</v>
      </c>
      <c r="O2673" t="s">
        <v>1660</v>
      </c>
      <c r="P2673" t="s">
        <v>1668</v>
      </c>
      <c r="S2673">
        <v>255</v>
      </c>
      <c r="U2673" t="s">
        <v>112</v>
      </c>
      <c r="V2673" t="s">
        <v>1484</v>
      </c>
      <c r="X2673" s="43">
        <v>1.95</v>
      </c>
      <c r="AA2673" s="43"/>
      <c r="AB2673" s="43">
        <v>0.1</v>
      </c>
      <c r="AC2673" s="43">
        <v>0.13950000000000001</v>
      </c>
      <c r="AK2673">
        <v>5632440</v>
      </c>
    </row>
    <row r="2674" spans="1:37" ht="19">
      <c r="A2674" s="39" t="s">
        <v>17</v>
      </c>
      <c r="B2674" s="8">
        <v>2024</v>
      </c>
      <c r="C2674" s="8" t="s">
        <v>109</v>
      </c>
      <c r="D2674" s="9" t="s">
        <v>109</v>
      </c>
      <c r="E2674" s="9" t="s">
        <v>111</v>
      </c>
      <c r="F2674" s="9" t="s">
        <v>111</v>
      </c>
      <c r="I2674" s="9" t="s">
        <v>28</v>
      </c>
      <c r="J2674" s="9" t="s">
        <v>11</v>
      </c>
      <c r="K2674" s="9" t="s">
        <v>82</v>
      </c>
      <c r="L2674" s="9" t="s">
        <v>166</v>
      </c>
      <c r="M2674" t="s">
        <v>110</v>
      </c>
      <c r="O2674" t="s">
        <v>1658</v>
      </c>
      <c r="P2674" t="s">
        <v>1669</v>
      </c>
      <c r="S2674">
        <v>519</v>
      </c>
      <c r="U2674" t="s">
        <v>112</v>
      </c>
      <c r="V2674" t="s">
        <v>1484</v>
      </c>
      <c r="X2674" s="43">
        <v>3.6</v>
      </c>
      <c r="AA2674" s="43"/>
      <c r="AB2674" s="43">
        <v>0.2</v>
      </c>
      <c r="AC2674" s="43">
        <v>0.25650000000000001</v>
      </c>
      <c r="AK2674">
        <v>11463672</v>
      </c>
    </row>
    <row r="2675" spans="1:37" ht="19">
      <c r="A2675" s="39" t="s">
        <v>17</v>
      </c>
      <c r="B2675" s="8">
        <v>2024</v>
      </c>
      <c r="C2675" s="8" t="s">
        <v>109</v>
      </c>
      <c r="D2675" s="9" t="s">
        <v>109</v>
      </c>
      <c r="E2675" s="9" t="s">
        <v>111</v>
      </c>
      <c r="F2675" s="9" t="s">
        <v>111</v>
      </c>
      <c r="I2675" s="9" t="s">
        <v>28</v>
      </c>
      <c r="J2675" s="9" t="s">
        <v>11</v>
      </c>
      <c r="K2675" s="9" t="s">
        <v>82</v>
      </c>
      <c r="L2675" s="9" t="s">
        <v>166</v>
      </c>
      <c r="M2675" t="s">
        <v>110</v>
      </c>
      <c r="O2675" t="s">
        <v>1658</v>
      </c>
      <c r="P2675" t="s">
        <v>1670</v>
      </c>
      <c r="S2675">
        <v>200</v>
      </c>
      <c r="U2675" t="s">
        <v>112</v>
      </c>
      <c r="V2675" t="s">
        <v>1484</v>
      </c>
      <c r="X2675" s="43">
        <v>1.55</v>
      </c>
      <c r="AA2675" s="43"/>
      <c r="AB2675" s="43">
        <v>0.1</v>
      </c>
      <c r="AC2675" s="43">
        <v>0.108</v>
      </c>
      <c r="AK2675">
        <v>4417600</v>
      </c>
    </row>
    <row r="2676" spans="1:37" ht="19">
      <c r="A2676" s="39" t="s">
        <v>17</v>
      </c>
      <c r="B2676" s="8">
        <v>2024</v>
      </c>
      <c r="C2676" s="8" t="s">
        <v>109</v>
      </c>
      <c r="D2676" s="9" t="s">
        <v>109</v>
      </c>
      <c r="E2676" s="9" t="s">
        <v>111</v>
      </c>
      <c r="F2676" s="9" t="s">
        <v>111</v>
      </c>
      <c r="I2676" s="9" t="s">
        <v>28</v>
      </c>
      <c r="J2676" s="9" t="s">
        <v>11</v>
      </c>
      <c r="K2676" s="9" t="s">
        <v>82</v>
      </c>
      <c r="L2676" s="9" t="s">
        <v>166</v>
      </c>
      <c r="M2676" t="s">
        <v>110</v>
      </c>
      <c r="O2676" t="s">
        <v>1658</v>
      </c>
      <c r="P2676" t="s">
        <v>1671</v>
      </c>
      <c r="S2676">
        <v>130</v>
      </c>
      <c r="U2676" t="s">
        <v>112</v>
      </c>
      <c r="V2676" t="s">
        <v>1484</v>
      </c>
      <c r="X2676" s="43">
        <v>1</v>
      </c>
      <c r="AA2676" s="43"/>
      <c r="AB2676" s="43">
        <v>0.05</v>
      </c>
      <c r="AC2676" s="43">
        <v>7.1999999999999995E-2</v>
      </c>
      <c r="AK2676">
        <v>2871440</v>
      </c>
    </row>
    <row r="2677" spans="1:37" ht="19">
      <c r="A2677" s="39" t="s">
        <v>17</v>
      </c>
      <c r="B2677" s="8">
        <v>2024</v>
      </c>
      <c r="C2677" s="8" t="s">
        <v>109</v>
      </c>
      <c r="D2677" s="9" t="s">
        <v>109</v>
      </c>
      <c r="E2677" s="9" t="s">
        <v>111</v>
      </c>
      <c r="F2677" s="9" t="s">
        <v>111</v>
      </c>
      <c r="I2677" s="9" t="s">
        <v>28</v>
      </c>
      <c r="J2677" s="9" t="s">
        <v>11</v>
      </c>
      <c r="K2677" s="9" t="s">
        <v>82</v>
      </c>
      <c r="L2677" s="9" t="s">
        <v>166</v>
      </c>
      <c r="M2677" t="s">
        <v>110</v>
      </c>
      <c r="O2677" t="s">
        <v>1658</v>
      </c>
      <c r="P2677" t="s">
        <v>1672</v>
      </c>
      <c r="S2677">
        <v>213</v>
      </c>
      <c r="U2677" t="s">
        <v>112</v>
      </c>
      <c r="V2677" t="s">
        <v>1484</v>
      </c>
      <c r="X2677" s="43">
        <v>1.65</v>
      </c>
      <c r="AA2677" s="43"/>
      <c r="AB2677" s="43">
        <v>0.1</v>
      </c>
      <c r="AC2677" s="43">
        <v>0.11700000000000001</v>
      </c>
      <c r="AK2677">
        <v>4704744</v>
      </c>
    </row>
    <row r="2678" spans="1:37" ht="19">
      <c r="A2678" s="39" t="s">
        <v>17</v>
      </c>
      <c r="B2678" s="8">
        <v>2024</v>
      </c>
      <c r="C2678" s="8" t="s">
        <v>109</v>
      </c>
      <c r="D2678" s="9" t="s">
        <v>109</v>
      </c>
      <c r="E2678" s="9" t="s">
        <v>111</v>
      </c>
      <c r="F2678" s="9" t="s">
        <v>111</v>
      </c>
      <c r="I2678" s="9" t="s">
        <v>28</v>
      </c>
      <c r="J2678" s="9" t="s">
        <v>11</v>
      </c>
      <c r="K2678" s="9" t="s">
        <v>82</v>
      </c>
      <c r="L2678" s="9" t="s">
        <v>166</v>
      </c>
      <c r="M2678" t="s">
        <v>110</v>
      </c>
      <c r="O2678" t="s">
        <v>1084</v>
      </c>
      <c r="P2678" t="s">
        <v>1673</v>
      </c>
      <c r="S2678">
        <v>476</v>
      </c>
      <c r="U2678" t="s">
        <v>112</v>
      </c>
      <c r="V2678" t="s">
        <v>1484</v>
      </c>
      <c r="X2678" s="43">
        <v>3.3</v>
      </c>
      <c r="AA2678" s="43"/>
      <c r="AB2678" s="43">
        <v>0.2</v>
      </c>
      <c r="AC2678" s="43">
        <v>0.23849999999999999</v>
      </c>
      <c r="AK2678">
        <v>10513888</v>
      </c>
    </row>
    <row r="2679" spans="1:37" ht="19">
      <c r="A2679" s="39" t="s">
        <v>17</v>
      </c>
      <c r="B2679" s="8">
        <v>2024</v>
      </c>
      <c r="C2679" s="8" t="s">
        <v>109</v>
      </c>
      <c r="D2679" s="9" t="s">
        <v>109</v>
      </c>
      <c r="E2679" s="9" t="s">
        <v>111</v>
      </c>
      <c r="F2679" s="9" t="s">
        <v>111</v>
      </c>
      <c r="I2679" s="9" t="s">
        <v>28</v>
      </c>
      <c r="J2679" s="9" t="s">
        <v>11</v>
      </c>
      <c r="K2679" s="9" t="s">
        <v>82</v>
      </c>
      <c r="L2679" s="9" t="s">
        <v>166</v>
      </c>
      <c r="M2679" t="s">
        <v>110</v>
      </c>
      <c r="O2679" t="s">
        <v>1092</v>
      </c>
      <c r="P2679" t="s">
        <v>1674</v>
      </c>
      <c r="S2679">
        <v>223</v>
      </c>
      <c r="U2679" t="s">
        <v>112</v>
      </c>
      <c r="V2679" t="s">
        <v>1484</v>
      </c>
      <c r="X2679" s="43">
        <v>1.7</v>
      </c>
      <c r="AA2679" s="43"/>
      <c r="AB2679" s="43">
        <v>0.1</v>
      </c>
      <c r="AC2679" s="43">
        <v>0.1215</v>
      </c>
      <c r="AK2679">
        <v>4925624</v>
      </c>
    </row>
    <row r="2680" spans="1:37" ht="19">
      <c r="A2680" s="39" t="s">
        <v>17</v>
      </c>
      <c r="B2680" s="8">
        <v>2024</v>
      </c>
      <c r="C2680" s="8" t="s">
        <v>109</v>
      </c>
      <c r="D2680" s="9" t="s">
        <v>109</v>
      </c>
      <c r="E2680" s="9" t="s">
        <v>111</v>
      </c>
      <c r="F2680" s="9" t="s">
        <v>111</v>
      </c>
      <c r="I2680" s="9" t="s">
        <v>28</v>
      </c>
      <c r="J2680" s="9" t="s">
        <v>11</v>
      </c>
      <c r="K2680" s="9" t="s">
        <v>82</v>
      </c>
      <c r="L2680" s="9" t="s">
        <v>166</v>
      </c>
      <c r="M2680" t="s">
        <v>110</v>
      </c>
      <c r="O2680" t="s">
        <v>1101</v>
      </c>
      <c r="P2680" t="s">
        <v>1675</v>
      </c>
      <c r="S2680">
        <v>213</v>
      </c>
      <c r="U2680" t="s">
        <v>112</v>
      </c>
      <c r="V2680" t="s">
        <v>1484</v>
      </c>
      <c r="X2680" s="43">
        <v>1.65</v>
      </c>
      <c r="AA2680" s="43"/>
      <c r="AB2680" s="43">
        <v>0.1</v>
      </c>
      <c r="AC2680" s="43">
        <v>0.11700000000000001</v>
      </c>
      <c r="AK2680">
        <v>4704744</v>
      </c>
    </row>
    <row r="2681" spans="1:37" ht="19">
      <c r="A2681" s="39" t="s">
        <v>17</v>
      </c>
      <c r="B2681" s="8">
        <v>2024</v>
      </c>
      <c r="C2681" s="8" t="s">
        <v>109</v>
      </c>
      <c r="D2681" s="9" t="s">
        <v>109</v>
      </c>
      <c r="E2681" s="9" t="s">
        <v>111</v>
      </c>
      <c r="F2681" s="9" t="s">
        <v>111</v>
      </c>
      <c r="I2681" s="9" t="s">
        <v>28</v>
      </c>
      <c r="J2681" s="9" t="s">
        <v>11</v>
      </c>
      <c r="K2681" s="9" t="s">
        <v>82</v>
      </c>
      <c r="L2681" s="9" t="s">
        <v>166</v>
      </c>
      <c r="M2681" t="s">
        <v>110</v>
      </c>
      <c r="O2681" t="s">
        <v>1101</v>
      </c>
      <c r="P2681" t="s">
        <v>1676</v>
      </c>
      <c r="S2681">
        <v>464</v>
      </c>
      <c r="U2681" t="s">
        <v>112</v>
      </c>
      <c r="V2681" t="s">
        <v>1484</v>
      </c>
      <c r="X2681" s="43">
        <v>3.2</v>
      </c>
      <c r="AA2681" s="43"/>
      <c r="AB2681" s="43">
        <v>0.2</v>
      </c>
      <c r="AC2681" s="43">
        <v>0.23400000000000001</v>
      </c>
      <c r="AK2681">
        <v>10248832</v>
      </c>
    </row>
    <row r="2682" spans="1:37" ht="19">
      <c r="A2682" s="39" t="s">
        <v>17</v>
      </c>
      <c r="B2682" s="8">
        <v>2024</v>
      </c>
      <c r="C2682" s="8" t="s">
        <v>109</v>
      </c>
      <c r="D2682" s="9" t="s">
        <v>109</v>
      </c>
      <c r="E2682" s="9" t="s">
        <v>111</v>
      </c>
      <c r="F2682" s="9" t="s">
        <v>111</v>
      </c>
      <c r="I2682" s="9" t="s">
        <v>28</v>
      </c>
      <c r="J2682" s="9" t="s">
        <v>11</v>
      </c>
      <c r="K2682" s="9" t="s">
        <v>82</v>
      </c>
      <c r="L2682" s="9" t="s">
        <v>166</v>
      </c>
      <c r="M2682" t="s">
        <v>110</v>
      </c>
      <c r="O2682" t="s">
        <v>1677</v>
      </c>
      <c r="P2682" t="s">
        <v>359</v>
      </c>
      <c r="S2682">
        <v>600</v>
      </c>
      <c r="U2682" t="s">
        <v>112</v>
      </c>
      <c r="V2682" t="s">
        <v>1484</v>
      </c>
      <c r="X2682" s="43">
        <v>4.1500000000000004</v>
      </c>
      <c r="AA2682" s="43"/>
      <c r="AB2682" s="43">
        <v>0.2</v>
      </c>
      <c r="AC2682" s="43">
        <v>0.29699999999999999</v>
      </c>
      <c r="AK2682">
        <v>13252800</v>
      </c>
    </row>
    <row r="2683" spans="1:37" ht="19">
      <c r="A2683" s="39" t="s">
        <v>17</v>
      </c>
      <c r="B2683" s="8">
        <v>2024</v>
      </c>
      <c r="C2683" s="8" t="s">
        <v>109</v>
      </c>
      <c r="D2683" s="9" t="s">
        <v>109</v>
      </c>
      <c r="E2683" s="9" t="s">
        <v>111</v>
      </c>
      <c r="F2683" s="9" t="s">
        <v>111</v>
      </c>
      <c r="I2683" s="9" t="s">
        <v>28</v>
      </c>
      <c r="J2683" s="9" t="s">
        <v>11</v>
      </c>
      <c r="K2683" s="9" t="s">
        <v>82</v>
      </c>
      <c r="L2683" s="9" t="s">
        <v>166</v>
      </c>
      <c r="M2683" t="s">
        <v>110</v>
      </c>
      <c r="O2683" t="s">
        <v>1677</v>
      </c>
      <c r="P2683" t="s">
        <v>1678</v>
      </c>
      <c r="S2683">
        <v>334</v>
      </c>
      <c r="U2683" t="s">
        <v>112</v>
      </c>
      <c r="V2683" t="s">
        <v>1484</v>
      </c>
      <c r="X2683" s="43">
        <v>2.35</v>
      </c>
      <c r="AA2683" s="43"/>
      <c r="AB2683" s="43">
        <v>0.15</v>
      </c>
      <c r="AC2683" s="43">
        <v>0.16650000000000001</v>
      </c>
      <c r="AK2683">
        <v>7377392</v>
      </c>
    </row>
    <row r="2684" spans="1:37" ht="19">
      <c r="A2684" s="39" t="s">
        <v>17</v>
      </c>
      <c r="B2684" s="8">
        <v>2024</v>
      </c>
      <c r="C2684" s="8" t="s">
        <v>109</v>
      </c>
      <c r="D2684" s="9" t="s">
        <v>109</v>
      </c>
      <c r="E2684" s="9" t="s">
        <v>111</v>
      </c>
      <c r="F2684" s="9" t="s">
        <v>111</v>
      </c>
      <c r="I2684" s="9" t="s">
        <v>28</v>
      </c>
      <c r="J2684" s="9" t="s">
        <v>11</v>
      </c>
      <c r="K2684" s="9" t="s">
        <v>82</v>
      </c>
      <c r="L2684" s="9" t="s">
        <v>166</v>
      </c>
      <c r="M2684" t="s">
        <v>110</v>
      </c>
      <c r="O2684" t="s">
        <v>1679</v>
      </c>
      <c r="P2684" t="s">
        <v>1680</v>
      </c>
      <c r="S2684">
        <v>471</v>
      </c>
      <c r="U2684" t="s">
        <v>112</v>
      </c>
      <c r="V2684" t="s">
        <v>1484</v>
      </c>
      <c r="X2684" s="43">
        <v>3.25</v>
      </c>
      <c r="AA2684" s="43"/>
      <c r="AB2684" s="43">
        <v>0.2</v>
      </c>
      <c r="AC2684" s="43">
        <v>0.23400000000000001</v>
      </c>
      <c r="AK2684">
        <v>10403448</v>
      </c>
    </row>
    <row r="2685" spans="1:37" ht="19">
      <c r="A2685" s="39" t="s">
        <v>17</v>
      </c>
      <c r="B2685" s="8">
        <v>2024</v>
      </c>
      <c r="C2685" s="8" t="s">
        <v>109</v>
      </c>
      <c r="D2685" s="9" t="s">
        <v>109</v>
      </c>
      <c r="E2685" s="9" t="s">
        <v>111</v>
      </c>
      <c r="F2685" s="9" t="s">
        <v>111</v>
      </c>
      <c r="I2685" s="9" t="s">
        <v>28</v>
      </c>
      <c r="J2685" s="9" t="s">
        <v>11</v>
      </c>
      <c r="K2685" s="9" t="s">
        <v>82</v>
      </c>
      <c r="L2685" s="9" t="s">
        <v>166</v>
      </c>
      <c r="M2685" t="s">
        <v>110</v>
      </c>
      <c r="O2685" t="s">
        <v>1677</v>
      </c>
      <c r="P2685" t="s">
        <v>362</v>
      </c>
      <c r="S2685">
        <v>610</v>
      </c>
      <c r="U2685" t="s">
        <v>112</v>
      </c>
      <c r="V2685" t="s">
        <v>1484</v>
      </c>
      <c r="X2685" s="43">
        <v>4.2</v>
      </c>
      <c r="AA2685" s="43"/>
      <c r="AB2685" s="43">
        <v>0.25</v>
      </c>
      <c r="AC2685" s="43">
        <v>0.30149999999999999</v>
      </c>
      <c r="AK2685">
        <v>13473680</v>
      </c>
    </row>
    <row r="2686" spans="1:37" ht="19">
      <c r="A2686" s="39" t="s">
        <v>17</v>
      </c>
      <c r="B2686" s="8">
        <v>2024</v>
      </c>
      <c r="C2686" s="8" t="s">
        <v>109</v>
      </c>
      <c r="D2686" s="9" t="s">
        <v>109</v>
      </c>
      <c r="E2686" s="9" t="s">
        <v>111</v>
      </c>
      <c r="F2686" s="9" t="s">
        <v>111</v>
      </c>
      <c r="I2686" s="9" t="s">
        <v>28</v>
      </c>
      <c r="J2686" s="9" t="s">
        <v>11</v>
      </c>
      <c r="K2686" s="9" t="s">
        <v>82</v>
      </c>
      <c r="L2686" s="9" t="s">
        <v>166</v>
      </c>
      <c r="M2686" t="s">
        <v>110</v>
      </c>
      <c r="O2686" t="s">
        <v>1679</v>
      </c>
      <c r="P2686" t="s">
        <v>520</v>
      </c>
      <c r="S2686">
        <v>344</v>
      </c>
      <c r="U2686" t="s">
        <v>112</v>
      </c>
      <c r="V2686" t="s">
        <v>1484</v>
      </c>
      <c r="X2686" s="43">
        <v>2.4</v>
      </c>
      <c r="AA2686" s="43"/>
      <c r="AB2686" s="43">
        <v>0.15</v>
      </c>
      <c r="AC2686" s="43">
        <v>0.17100000000000001</v>
      </c>
      <c r="AK2686">
        <v>7598272</v>
      </c>
    </row>
    <row r="2687" spans="1:37" ht="19">
      <c r="A2687" s="39" t="s">
        <v>17</v>
      </c>
      <c r="B2687" s="8">
        <v>2024</v>
      </c>
      <c r="C2687" s="8" t="s">
        <v>109</v>
      </c>
      <c r="D2687" s="9" t="s">
        <v>109</v>
      </c>
      <c r="E2687" s="9" t="s">
        <v>111</v>
      </c>
      <c r="F2687" s="9" t="s">
        <v>111</v>
      </c>
      <c r="I2687" s="9" t="s">
        <v>28</v>
      </c>
      <c r="J2687" s="9" t="s">
        <v>11</v>
      </c>
      <c r="K2687" s="9" t="s">
        <v>82</v>
      </c>
      <c r="L2687" s="9" t="s">
        <v>166</v>
      </c>
      <c r="M2687" t="s">
        <v>110</v>
      </c>
      <c r="O2687" t="s">
        <v>1677</v>
      </c>
      <c r="P2687" t="s">
        <v>169</v>
      </c>
      <c r="S2687">
        <v>420</v>
      </c>
      <c r="U2687" t="s">
        <v>112</v>
      </c>
      <c r="V2687" t="s">
        <v>1484</v>
      </c>
      <c r="X2687" s="43">
        <v>2.9</v>
      </c>
      <c r="AA2687" s="43"/>
      <c r="AB2687" s="43">
        <v>0.15</v>
      </c>
      <c r="AC2687" s="43">
        <v>0.21149999999999999</v>
      </c>
      <c r="AK2687">
        <v>9276960</v>
      </c>
    </row>
    <row r="2688" spans="1:37" ht="19">
      <c r="A2688" s="39" t="s">
        <v>17</v>
      </c>
      <c r="B2688" s="8">
        <v>2024</v>
      </c>
      <c r="C2688" s="8" t="s">
        <v>109</v>
      </c>
      <c r="D2688" s="9" t="s">
        <v>109</v>
      </c>
      <c r="E2688" s="9" t="s">
        <v>111</v>
      </c>
      <c r="F2688" s="9" t="s">
        <v>111</v>
      </c>
      <c r="I2688" s="9" t="s">
        <v>28</v>
      </c>
      <c r="J2688" s="9" t="s">
        <v>11</v>
      </c>
      <c r="K2688" s="9" t="s">
        <v>82</v>
      </c>
      <c r="L2688" s="9" t="s">
        <v>166</v>
      </c>
      <c r="M2688" t="s">
        <v>110</v>
      </c>
      <c r="O2688" t="s">
        <v>1679</v>
      </c>
      <c r="P2688" t="s">
        <v>364</v>
      </c>
      <c r="S2688">
        <v>657</v>
      </c>
      <c r="U2688" t="s">
        <v>112</v>
      </c>
      <c r="V2688" t="s">
        <v>1484</v>
      </c>
      <c r="X2688" s="43">
        <v>4.55</v>
      </c>
      <c r="AA2688" s="43"/>
      <c r="AB2688" s="43">
        <v>0.25</v>
      </c>
      <c r="AC2688" s="43">
        <v>0.32400000000000001</v>
      </c>
      <c r="AK2688">
        <v>14511816</v>
      </c>
    </row>
    <row r="2689" spans="1:37" ht="19">
      <c r="A2689" s="39" t="s">
        <v>17</v>
      </c>
      <c r="B2689" s="8">
        <v>2024</v>
      </c>
      <c r="C2689" s="8" t="s">
        <v>109</v>
      </c>
      <c r="D2689" s="9" t="s">
        <v>109</v>
      </c>
      <c r="E2689" s="9" t="s">
        <v>111</v>
      </c>
      <c r="F2689" s="9" t="s">
        <v>111</v>
      </c>
      <c r="I2689" s="9" t="s">
        <v>28</v>
      </c>
      <c r="J2689" s="9" t="s">
        <v>11</v>
      </c>
      <c r="K2689" s="9" t="s">
        <v>82</v>
      </c>
      <c r="L2689" s="9" t="s">
        <v>166</v>
      </c>
      <c r="M2689" t="s">
        <v>110</v>
      </c>
      <c r="O2689" t="s">
        <v>1101</v>
      </c>
      <c r="P2689" t="s">
        <v>1533</v>
      </c>
      <c r="S2689">
        <v>232</v>
      </c>
      <c r="U2689" t="s">
        <v>112</v>
      </c>
      <c r="V2689" t="s">
        <v>1484</v>
      </c>
      <c r="X2689" s="43">
        <v>1.8</v>
      </c>
      <c r="AA2689" s="43"/>
      <c r="AB2689" s="43">
        <v>0.1</v>
      </c>
      <c r="AC2689" s="43">
        <v>0.126</v>
      </c>
      <c r="AK2689">
        <v>5124416</v>
      </c>
    </row>
    <row r="2690" spans="1:37" ht="19">
      <c r="A2690" s="39" t="s">
        <v>17</v>
      </c>
      <c r="B2690" s="8">
        <v>2024</v>
      </c>
      <c r="C2690" s="8" t="s">
        <v>109</v>
      </c>
      <c r="D2690" s="9" t="s">
        <v>109</v>
      </c>
      <c r="E2690" s="9" t="s">
        <v>111</v>
      </c>
      <c r="F2690" s="9" t="s">
        <v>111</v>
      </c>
      <c r="I2690" s="9" t="s">
        <v>28</v>
      </c>
      <c r="J2690" s="9" t="s">
        <v>11</v>
      </c>
      <c r="K2690" s="9" t="s">
        <v>82</v>
      </c>
      <c r="L2690" s="9" t="s">
        <v>166</v>
      </c>
      <c r="M2690" t="s">
        <v>110</v>
      </c>
      <c r="O2690" t="s">
        <v>1677</v>
      </c>
      <c r="P2690" t="s">
        <v>1681</v>
      </c>
      <c r="S2690">
        <v>509</v>
      </c>
      <c r="U2690" t="s">
        <v>112</v>
      </c>
      <c r="V2690" t="s">
        <v>1484</v>
      </c>
      <c r="X2690" s="43">
        <v>3.5</v>
      </c>
      <c r="AA2690" s="43"/>
      <c r="AB2690" s="43">
        <v>0.2</v>
      </c>
      <c r="AC2690" s="43">
        <v>0.252</v>
      </c>
      <c r="AK2690">
        <v>11242792</v>
      </c>
    </row>
    <row r="2691" spans="1:37" ht="19">
      <c r="A2691" s="39" t="s">
        <v>17</v>
      </c>
      <c r="B2691" s="8">
        <v>2024</v>
      </c>
      <c r="C2691" s="8" t="s">
        <v>109</v>
      </c>
      <c r="D2691" s="9" t="s">
        <v>109</v>
      </c>
      <c r="E2691" s="9" t="s">
        <v>111</v>
      </c>
      <c r="F2691" s="9" t="s">
        <v>111</v>
      </c>
      <c r="I2691" s="9" t="s">
        <v>28</v>
      </c>
      <c r="J2691" s="9" t="s">
        <v>11</v>
      </c>
      <c r="K2691" s="9" t="s">
        <v>82</v>
      </c>
      <c r="L2691" s="9" t="s">
        <v>166</v>
      </c>
      <c r="M2691" t="s">
        <v>110</v>
      </c>
      <c r="O2691" t="s">
        <v>1101</v>
      </c>
      <c r="P2691" t="s">
        <v>1682</v>
      </c>
      <c r="S2691">
        <v>427</v>
      </c>
      <c r="U2691" t="s">
        <v>112</v>
      </c>
      <c r="V2691" t="s">
        <v>1484</v>
      </c>
      <c r="X2691" s="43">
        <v>2.95</v>
      </c>
      <c r="AA2691" s="43"/>
      <c r="AB2691" s="43">
        <v>0.15</v>
      </c>
      <c r="AC2691" s="43">
        <v>0.21149999999999999</v>
      </c>
      <c r="AK2691">
        <v>9431576</v>
      </c>
    </row>
    <row r="2692" spans="1:37" ht="19">
      <c r="A2692" s="39" t="s">
        <v>17</v>
      </c>
      <c r="B2692" s="8">
        <v>2024</v>
      </c>
      <c r="C2692" s="8" t="s">
        <v>109</v>
      </c>
      <c r="D2692" s="9" t="s">
        <v>109</v>
      </c>
      <c r="E2692" s="9" t="s">
        <v>111</v>
      </c>
      <c r="F2692" s="9" t="s">
        <v>111</v>
      </c>
      <c r="I2692" s="9" t="s">
        <v>28</v>
      </c>
      <c r="J2692" s="9" t="s">
        <v>11</v>
      </c>
      <c r="K2692" s="9" t="s">
        <v>82</v>
      </c>
      <c r="L2692" s="9" t="s">
        <v>166</v>
      </c>
      <c r="M2692" t="s">
        <v>110</v>
      </c>
      <c r="O2692" t="s">
        <v>1677</v>
      </c>
      <c r="P2692" t="s">
        <v>1112</v>
      </c>
      <c r="S2692">
        <v>337</v>
      </c>
      <c r="U2692" t="s">
        <v>112</v>
      </c>
      <c r="V2692" t="s">
        <v>1484</v>
      </c>
      <c r="X2692" s="43">
        <v>2.2999999999999998</v>
      </c>
      <c r="AA2692" s="43"/>
      <c r="AB2692" s="43">
        <v>0.15</v>
      </c>
      <c r="AC2692" s="43">
        <v>0.17100000000000001</v>
      </c>
      <c r="AK2692">
        <v>7443656</v>
      </c>
    </row>
    <row r="2693" spans="1:37" ht="19">
      <c r="A2693" s="39" t="s">
        <v>17</v>
      </c>
      <c r="B2693" s="8">
        <v>2024</v>
      </c>
      <c r="C2693" s="8" t="s">
        <v>109</v>
      </c>
      <c r="D2693" s="9" t="s">
        <v>109</v>
      </c>
      <c r="E2693" s="9" t="s">
        <v>111</v>
      </c>
      <c r="F2693" s="9" t="s">
        <v>111</v>
      </c>
      <c r="I2693" s="9" t="s">
        <v>28</v>
      </c>
      <c r="J2693" s="9" t="s">
        <v>11</v>
      </c>
      <c r="K2693" s="9" t="s">
        <v>82</v>
      </c>
      <c r="L2693" s="9" t="s">
        <v>166</v>
      </c>
      <c r="M2693" t="s">
        <v>110</v>
      </c>
      <c r="O2693" t="s">
        <v>1677</v>
      </c>
      <c r="P2693" t="s">
        <v>1683</v>
      </c>
      <c r="S2693">
        <v>400</v>
      </c>
      <c r="U2693" t="s">
        <v>112</v>
      </c>
      <c r="V2693" t="s">
        <v>1484</v>
      </c>
      <c r="X2693" s="43">
        <v>2.8</v>
      </c>
      <c r="AA2693" s="43"/>
      <c r="AB2693" s="43">
        <v>0.15</v>
      </c>
      <c r="AC2693" s="43">
        <v>0.19800000000000001</v>
      </c>
      <c r="AK2693">
        <v>8835200</v>
      </c>
    </row>
    <row r="2694" spans="1:37" ht="19">
      <c r="A2694" s="39" t="s">
        <v>17</v>
      </c>
      <c r="B2694" s="8">
        <v>2024</v>
      </c>
      <c r="C2694" s="8" t="s">
        <v>109</v>
      </c>
      <c r="D2694" s="9" t="s">
        <v>109</v>
      </c>
      <c r="E2694" s="9" t="s">
        <v>111</v>
      </c>
      <c r="F2694" s="9" t="s">
        <v>111</v>
      </c>
      <c r="I2694" s="9" t="s">
        <v>28</v>
      </c>
      <c r="J2694" s="9" t="s">
        <v>11</v>
      </c>
      <c r="K2694" s="9" t="s">
        <v>82</v>
      </c>
      <c r="L2694" s="9" t="s">
        <v>166</v>
      </c>
      <c r="M2694" t="s">
        <v>110</v>
      </c>
      <c r="O2694" t="s">
        <v>1677</v>
      </c>
      <c r="P2694" t="s">
        <v>1684</v>
      </c>
      <c r="S2694">
        <v>318</v>
      </c>
      <c r="U2694" t="s">
        <v>112</v>
      </c>
      <c r="V2694" t="s">
        <v>1484</v>
      </c>
      <c r="X2694" s="43">
        <v>2.2000000000000002</v>
      </c>
      <c r="AA2694" s="43"/>
      <c r="AB2694" s="43">
        <v>0.15</v>
      </c>
      <c r="AC2694" s="43">
        <v>0.1575</v>
      </c>
      <c r="AK2694">
        <v>7023984</v>
      </c>
    </row>
    <row r="2695" spans="1:37" ht="19">
      <c r="A2695" s="39" t="s">
        <v>17</v>
      </c>
      <c r="B2695" s="8">
        <v>2024</v>
      </c>
      <c r="C2695" s="8" t="s">
        <v>109</v>
      </c>
      <c r="D2695" s="9" t="s">
        <v>109</v>
      </c>
      <c r="E2695" s="9" t="s">
        <v>111</v>
      </c>
      <c r="F2695" s="9" t="s">
        <v>111</v>
      </c>
      <c r="I2695" s="9" t="s">
        <v>28</v>
      </c>
      <c r="J2695" s="9" t="s">
        <v>11</v>
      </c>
      <c r="K2695" s="9" t="s">
        <v>82</v>
      </c>
      <c r="L2695" s="9" t="s">
        <v>166</v>
      </c>
      <c r="M2695" t="s">
        <v>110</v>
      </c>
      <c r="O2695" t="s">
        <v>1677</v>
      </c>
      <c r="P2695" t="s">
        <v>1685</v>
      </c>
      <c r="S2695">
        <v>158</v>
      </c>
      <c r="U2695" t="s">
        <v>112</v>
      </c>
      <c r="V2695" t="s">
        <v>1484</v>
      </c>
      <c r="X2695" s="43">
        <v>1.2</v>
      </c>
      <c r="AA2695" s="43"/>
      <c r="AB2695" s="43">
        <v>0.1</v>
      </c>
      <c r="AC2695" s="43">
        <v>8.5500000000000007E-2</v>
      </c>
      <c r="AK2695">
        <v>3489904</v>
      </c>
    </row>
    <row r="2696" spans="1:37" ht="19">
      <c r="A2696" s="39" t="s">
        <v>17</v>
      </c>
      <c r="B2696" s="8">
        <v>2024</v>
      </c>
      <c r="C2696" s="8" t="s">
        <v>109</v>
      </c>
      <c r="D2696" s="9" t="s">
        <v>109</v>
      </c>
      <c r="E2696" s="9" t="s">
        <v>111</v>
      </c>
      <c r="F2696" s="9" t="s">
        <v>111</v>
      </c>
      <c r="I2696" s="9" t="s">
        <v>28</v>
      </c>
      <c r="J2696" s="9" t="s">
        <v>11</v>
      </c>
      <c r="K2696" s="9" t="s">
        <v>82</v>
      </c>
      <c r="L2696" s="9" t="s">
        <v>166</v>
      </c>
      <c r="M2696" t="s">
        <v>110</v>
      </c>
      <c r="O2696" t="s">
        <v>1677</v>
      </c>
      <c r="P2696" t="s">
        <v>1686</v>
      </c>
      <c r="S2696">
        <v>200</v>
      </c>
      <c r="U2696" t="s">
        <v>112</v>
      </c>
      <c r="V2696" t="s">
        <v>1484</v>
      </c>
      <c r="X2696" s="43">
        <v>1.55</v>
      </c>
      <c r="AA2696" s="43"/>
      <c r="AB2696" s="43">
        <v>0.1</v>
      </c>
      <c r="AC2696" s="43">
        <v>0.108</v>
      </c>
      <c r="AK2696">
        <v>4417600</v>
      </c>
    </row>
    <row r="2697" spans="1:37" ht="19">
      <c r="A2697" s="39" t="s">
        <v>17</v>
      </c>
      <c r="B2697" s="8">
        <v>2024</v>
      </c>
      <c r="C2697" s="8" t="s">
        <v>109</v>
      </c>
      <c r="D2697" s="9" t="s">
        <v>109</v>
      </c>
      <c r="E2697" s="9" t="s">
        <v>111</v>
      </c>
      <c r="F2697" s="9" t="s">
        <v>111</v>
      </c>
      <c r="I2697" s="9" t="s">
        <v>28</v>
      </c>
      <c r="J2697" s="9" t="s">
        <v>11</v>
      </c>
      <c r="K2697" s="9" t="s">
        <v>82</v>
      </c>
      <c r="L2697" s="9" t="s">
        <v>166</v>
      </c>
      <c r="M2697" t="s">
        <v>110</v>
      </c>
      <c r="O2697" t="s">
        <v>1677</v>
      </c>
      <c r="P2697" t="s">
        <v>1687</v>
      </c>
      <c r="S2697">
        <v>278</v>
      </c>
      <c r="U2697" t="s">
        <v>112</v>
      </c>
      <c r="V2697" t="s">
        <v>1484</v>
      </c>
      <c r="X2697" s="43">
        <v>1.95</v>
      </c>
      <c r="AA2697" s="43"/>
      <c r="AB2697" s="43">
        <v>0.1</v>
      </c>
      <c r="AC2697" s="43">
        <v>0.13950000000000001</v>
      </c>
      <c r="AK2697">
        <v>6140464</v>
      </c>
    </row>
    <row r="2698" spans="1:37" ht="19">
      <c r="A2698" s="39" t="s">
        <v>17</v>
      </c>
      <c r="B2698" s="8">
        <v>2024</v>
      </c>
      <c r="C2698" s="8" t="s">
        <v>109</v>
      </c>
      <c r="D2698" s="9" t="s">
        <v>109</v>
      </c>
      <c r="E2698" s="9" t="s">
        <v>111</v>
      </c>
      <c r="F2698" s="9" t="s">
        <v>111</v>
      </c>
      <c r="I2698" s="9" t="s">
        <v>28</v>
      </c>
      <c r="J2698" s="9" t="s">
        <v>11</v>
      </c>
      <c r="K2698" s="9" t="s">
        <v>82</v>
      </c>
      <c r="L2698" s="9" t="s">
        <v>166</v>
      </c>
      <c r="M2698" t="s">
        <v>110</v>
      </c>
      <c r="O2698" t="s">
        <v>1677</v>
      </c>
      <c r="P2698" t="s">
        <v>1688</v>
      </c>
      <c r="S2698">
        <v>318</v>
      </c>
      <c r="U2698" t="s">
        <v>112</v>
      </c>
      <c r="V2698" t="s">
        <v>1484</v>
      </c>
      <c r="X2698" s="43">
        <v>2.2000000000000002</v>
      </c>
      <c r="AA2698" s="43"/>
      <c r="AB2698" s="43">
        <v>0.15</v>
      </c>
      <c r="AC2698" s="43">
        <v>0.1575</v>
      </c>
      <c r="AK2698">
        <v>7023984</v>
      </c>
    </row>
    <row r="2699" spans="1:37" ht="19">
      <c r="A2699" s="39" t="s">
        <v>17</v>
      </c>
      <c r="B2699" s="8">
        <v>2024</v>
      </c>
      <c r="C2699" s="8" t="s">
        <v>109</v>
      </c>
      <c r="D2699" s="9" t="s">
        <v>109</v>
      </c>
      <c r="E2699" s="9" t="s">
        <v>111</v>
      </c>
      <c r="F2699" s="9" t="s">
        <v>111</v>
      </c>
      <c r="I2699" s="9" t="s">
        <v>28</v>
      </c>
      <c r="J2699" s="9" t="s">
        <v>11</v>
      </c>
      <c r="K2699" s="9" t="s">
        <v>82</v>
      </c>
      <c r="L2699" s="9" t="s">
        <v>166</v>
      </c>
      <c r="M2699" t="s">
        <v>110</v>
      </c>
      <c r="O2699" t="s">
        <v>1094</v>
      </c>
      <c r="P2699" t="s">
        <v>1689</v>
      </c>
      <c r="S2699">
        <v>335</v>
      </c>
      <c r="U2699" t="s">
        <v>112</v>
      </c>
      <c r="V2699" t="s">
        <v>1484</v>
      </c>
      <c r="X2699" s="43">
        <v>2.2999999999999998</v>
      </c>
      <c r="AA2699" s="43"/>
      <c r="AB2699" s="43">
        <v>0.15</v>
      </c>
      <c r="AC2699" s="43">
        <v>0.16650000000000001</v>
      </c>
      <c r="AK2699">
        <v>7399480</v>
      </c>
    </row>
    <row r="2700" spans="1:37" ht="19">
      <c r="A2700" s="39" t="s">
        <v>17</v>
      </c>
      <c r="B2700" s="8">
        <v>2024</v>
      </c>
      <c r="C2700" s="8" t="s">
        <v>109</v>
      </c>
      <c r="D2700" s="9" t="s">
        <v>109</v>
      </c>
      <c r="E2700" s="9" t="s">
        <v>111</v>
      </c>
      <c r="F2700" s="9" t="s">
        <v>111</v>
      </c>
      <c r="I2700" s="9" t="s">
        <v>28</v>
      </c>
      <c r="J2700" s="9" t="s">
        <v>11</v>
      </c>
      <c r="K2700" s="9" t="s">
        <v>82</v>
      </c>
      <c r="L2700" s="9" t="s">
        <v>166</v>
      </c>
      <c r="M2700" t="s">
        <v>110</v>
      </c>
      <c r="O2700" t="s">
        <v>1094</v>
      </c>
      <c r="P2700" t="s">
        <v>1690</v>
      </c>
      <c r="S2700">
        <v>530</v>
      </c>
      <c r="U2700" t="s">
        <v>112</v>
      </c>
      <c r="V2700" t="s">
        <v>1484</v>
      </c>
      <c r="X2700" s="43">
        <v>3.65</v>
      </c>
      <c r="AA2700" s="43"/>
      <c r="AB2700" s="43">
        <v>0.2</v>
      </c>
      <c r="AC2700" s="43">
        <v>0.26100000000000001</v>
      </c>
      <c r="AK2700">
        <v>11706640</v>
      </c>
    </row>
    <row r="2701" spans="1:37" ht="19">
      <c r="A2701" s="39" t="s">
        <v>17</v>
      </c>
      <c r="B2701" s="8">
        <v>2024</v>
      </c>
      <c r="C2701" s="8" t="s">
        <v>109</v>
      </c>
      <c r="D2701" s="9" t="s">
        <v>109</v>
      </c>
      <c r="E2701" s="9" t="s">
        <v>111</v>
      </c>
      <c r="F2701" s="9" t="s">
        <v>111</v>
      </c>
      <c r="I2701" s="9" t="s">
        <v>28</v>
      </c>
      <c r="J2701" s="9" t="s">
        <v>11</v>
      </c>
      <c r="K2701" s="9" t="s">
        <v>82</v>
      </c>
      <c r="L2701" s="9" t="s">
        <v>166</v>
      </c>
      <c r="M2701" t="s">
        <v>110</v>
      </c>
      <c r="O2701" t="s">
        <v>1094</v>
      </c>
      <c r="P2701" t="s">
        <v>388</v>
      </c>
      <c r="S2701">
        <v>125</v>
      </c>
      <c r="U2701" t="s">
        <v>112</v>
      </c>
      <c r="V2701" t="s">
        <v>1484</v>
      </c>
      <c r="X2701" s="43">
        <v>0.95</v>
      </c>
      <c r="AA2701" s="43"/>
      <c r="AB2701" s="43">
        <v>0.05</v>
      </c>
      <c r="AC2701" s="43">
        <v>6.7500000000000004E-2</v>
      </c>
      <c r="AK2701">
        <v>2761000</v>
      </c>
    </row>
    <row r="2702" spans="1:37" ht="19">
      <c r="A2702" s="39" t="s">
        <v>17</v>
      </c>
      <c r="B2702" s="8">
        <v>2024</v>
      </c>
      <c r="C2702" s="8" t="s">
        <v>109</v>
      </c>
      <c r="D2702" s="9" t="s">
        <v>109</v>
      </c>
      <c r="E2702" s="9" t="s">
        <v>111</v>
      </c>
      <c r="F2702" s="9" t="s">
        <v>111</v>
      </c>
      <c r="I2702" s="9" t="s">
        <v>28</v>
      </c>
      <c r="J2702" s="9" t="s">
        <v>11</v>
      </c>
      <c r="K2702" s="9" t="s">
        <v>82</v>
      </c>
      <c r="L2702" s="9" t="s">
        <v>166</v>
      </c>
      <c r="M2702" t="s">
        <v>110</v>
      </c>
      <c r="O2702" t="s">
        <v>365</v>
      </c>
      <c r="P2702" t="s">
        <v>1691</v>
      </c>
      <c r="S2702">
        <v>644</v>
      </c>
      <c r="U2702" t="s">
        <v>112</v>
      </c>
      <c r="V2702" t="s">
        <v>1484</v>
      </c>
      <c r="X2702" s="43">
        <v>4.45</v>
      </c>
      <c r="AA2702" s="43"/>
      <c r="AB2702" s="43">
        <v>0.25</v>
      </c>
      <c r="AC2702" s="43">
        <v>0.31950000000000001</v>
      </c>
      <c r="AK2702">
        <v>14224672</v>
      </c>
    </row>
    <row r="2703" spans="1:37" ht="19">
      <c r="A2703" s="39" t="s">
        <v>17</v>
      </c>
      <c r="B2703" s="8">
        <v>2024</v>
      </c>
      <c r="C2703" s="8" t="s">
        <v>109</v>
      </c>
      <c r="D2703" s="9" t="s">
        <v>109</v>
      </c>
      <c r="E2703" s="9" t="s">
        <v>111</v>
      </c>
      <c r="F2703" s="9" t="s">
        <v>111</v>
      </c>
      <c r="I2703" s="9" t="s">
        <v>28</v>
      </c>
      <c r="J2703" s="9" t="s">
        <v>11</v>
      </c>
      <c r="K2703" s="9" t="s">
        <v>82</v>
      </c>
      <c r="L2703" s="9" t="s">
        <v>166</v>
      </c>
      <c r="M2703" t="s">
        <v>110</v>
      </c>
      <c r="O2703" t="s">
        <v>365</v>
      </c>
      <c r="P2703" t="s">
        <v>1692</v>
      </c>
      <c r="S2703">
        <v>455</v>
      </c>
      <c r="U2703" t="s">
        <v>112</v>
      </c>
      <c r="V2703" t="s">
        <v>1484</v>
      </c>
      <c r="X2703" s="43">
        <v>3.15</v>
      </c>
      <c r="AA2703" s="43"/>
      <c r="AB2703" s="43">
        <v>0.2</v>
      </c>
      <c r="AC2703" s="43">
        <v>0.22500000000000001</v>
      </c>
      <c r="AK2703">
        <v>10050040</v>
      </c>
    </row>
    <row r="2704" spans="1:37" ht="19">
      <c r="A2704" s="39" t="s">
        <v>17</v>
      </c>
      <c r="B2704" s="8">
        <v>2024</v>
      </c>
      <c r="C2704" s="8" t="s">
        <v>109</v>
      </c>
      <c r="D2704" s="9" t="s">
        <v>109</v>
      </c>
      <c r="E2704" s="9" t="s">
        <v>111</v>
      </c>
      <c r="F2704" s="9" t="s">
        <v>111</v>
      </c>
      <c r="I2704" s="9" t="s">
        <v>28</v>
      </c>
      <c r="J2704" s="9" t="s">
        <v>11</v>
      </c>
      <c r="K2704" s="9" t="s">
        <v>82</v>
      </c>
      <c r="L2704" s="9" t="s">
        <v>166</v>
      </c>
      <c r="M2704" t="s">
        <v>110</v>
      </c>
      <c r="O2704" t="s">
        <v>365</v>
      </c>
      <c r="P2704" t="s">
        <v>1693</v>
      </c>
      <c r="S2704">
        <v>368</v>
      </c>
      <c r="U2704" t="s">
        <v>112</v>
      </c>
      <c r="V2704" t="s">
        <v>1484</v>
      </c>
      <c r="X2704" s="43">
        <v>2.5499999999999998</v>
      </c>
      <c r="AA2704" s="43"/>
      <c r="AB2704" s="43">
        <v>0.15</v>
      </c>
      <c r="AC2704" s="43">
        <v>0.18</v>
      </c>
      <c r="AK2704">
        <v>8128384</v>
      </c>
    </row>
    <row r="2705" spans="1:37" ht="19">
      <c r="A2705" s="39" t="s">
        <v>17</v>
      </c>
      <c r="B2705" s="8">
        <v>2024</v>
      </c>
      <c r="C2705" s="8" t="s">
        <v>109</v>
      </c>
      <c r="D2705" s="9" t="s">
        <v>109</v>
      </c>
      <c r="E2705" s="9" t="s">
        <v>111</v>
      </c>
      <c r="F2705" s="9" t="s">
        <v>111</v>
      </c>
      <c r="I2705" s="9" t="s">
        <v>28</v>
      </c>
      <c r="J2705" s="9" t="s">
        <v>11</v>
      </c>
      <c r="K2705" s="9" t="s">
        <v>82</v>
      </c>
      <c r="L2705" s="9" t="s">
        <v>166</v>
      </c>
      <c r="M2705" t="s">
        <v>110</v>
      </c>
      <c r="O2705" t="s">
        <v>365</v>
      </c>
      <c r="P2705" t="s">
        <v>1694</v>
      </c>
      <c r="S2705">
        <v>735</v>
      </c>
      <c r="U2705" t="s">
        <v>112</v>
      </c>
      <c r="V2705" t="s">
        <v>1484</v>
      </c>
      <c r="X2705" s="43">
        <v>5.0999999999999996</v>
      </c>
      <c r="AA2705" s="43"/>
      <c r="AB2705" s="43">
        <v>0.25</v>
      </c>
      <c r="AC2705" s="43">
        <v>0.36</v>
      </c>
      <c r="AK2705">
        <v>16234680</v>
      </c>
    </row>
    <row r="2706" spans="1:37" ht="19">
      <c r="A2706" s="39" t="s">
        <v>17</v>
      </c>
      <c r="B2706" s="8">
        <v>2024</v>
      </c>
      <c r="C2706" s="8" t="s">
        <v>109</v>
      </c>
      <c r="D2706" s="9" t="s">
        <v>109</v>
      </c>
      <c r="E2706" s="9" t="s">
        <v>111</v>
      </c>
      <c r="F2706" s="9" t="s">
        <v>111</v>
      </c>
      <c r="I2706" s="9" t="s">
        <v>28</v>
      </c>
      <c r="J2706" s="9" t="s">
        <v>11</v>
      </c>
      <c r="K2706" s="9" t="s">
        <v>82</v>
      </c>
      <c r="L2706" s="9" t="s">
        <v>166</v>
      </c>
      <c r="M2706" t="s">
        <v>110</v>
      </c>
      <c r="O2706" t="s">
        <v>365</v>
      </c>
      <c r="P2706" t="s">
        <v>1695</v>
      </c>
      <c r="S2706">
        <v>397</v>
      </c>
      <c r="U2706" t="s">
        <v>112</v>
      </c>
      <c r="V2706" t="s">
        <v>1484</v>
      </c>
      <c r="X2706" s="43">
        <v>2.75</v>
      </c>
      <c r="AA2706" s="43"/>
      <c r="AB2706" s="43">
        <v>0.15</v>
      </c>
      <c r="AC2706" s="43">
        <v>0.19350000000000001</v>
      </c>
      <c r="AK2706">
        <v>8768936</v>
      </c>
    </row>
    <row r="2707" spans="1:37" ht="19">
      <c r="A2707" s="39" t="s">
        <v>17</v>
      </c>
      <c r="B2707" s="8">
        <v>2024</v>
      </c>
      <c r="C2707" s="8" t="s">
        <v>109</v>
      </c>
      <c r="D2707" s="9" t="s">
        <v>109</v>
      </c>
      <c r="E2707" s="9" t="s">
        <v>111</v>
      </c>
      <c r="F2707" s="9" t="s">
        <v>111</v>
      </c>
      <c r="I2707" s="9" t="s">
        <v>28</v>
      </c>
      <c r="J2707" s="9" t="s">
        <v>11</v>
      </c>
      <c r="K2707" s="9" t="s">
        <v>82</v>
      </c>
      <c r="L2707" s="9" t="s">
        <v>166</v>
      </c>
      <c r="M2707" t="s">
        <v>110</v>
      </c>
      <c r="O2707" t="s">
        <v>355</v>
      </c>
      <c r="P2707" t="s">
        <v>1696</v>
      </c>
      <c r="S2707">
        <v>366</v>
      </c>
      <c r="U2707" t="s">
        <v>112</v>
      </c>
      <c r="V2707" t="s">
        <v>1484</v>
      </c>
      <c r="X2707" s="43">
        <v>2.5499999999999998</v>
      </c>
      <c r="AA2707" s="43"/>
      <c r="AB2707" s="43">
        <v>0.15</v>
      </c>
      <c r="AC2707" s="43">
        <v>0.18</v>
      </c>
      <c r="AK2707">
        <v>8084208</v>
      </c>
    </row>
    <row r="2708" spans="1:37" ht="19">
      <c r="A2708" s="39" t="s">
        <v>17</v>
      </c>
      <c r="B2708" s="8">
        <v>2024</v>
      </c>
      <c r="C2708" s="8" t="s">
        <v>109</v>
      </c>
      <c r="D2708" s="9" t="s">
        <v>109</v>
      </c>
      <c r="E2708" s="9" t="s">
        <v>111</v>
      </c>
      <c r="F2708" s="9" t="s">
        <v>111</v>
      </c>
      <c r="I2708" s="9" t="s">
        <v>28</v>
      </c>
      <c r="J2708" s="9" t="s">
        <v>11</v>
      </c>
      <c r="K2708" s="9" t="s">
        <v>82</v>
      </c>
      <c r="L2708" s="9" t="s">
        <v>166</v>
      </c>
      <c r="M2708" t="s">
        <v>110</v>
      </c>
      <c r="O2708" t="s">
        <v>355</v>
      </c>
      <c r="P2708" t="s">
        <v>1697</v>
      </c>
      <c r="S2708">
        <v>679</v>
      </c>
      <c r="U2708" t="s">
        <v>112</v>
      </c>
      <c r="V2708" t="s">
        <v>1484</v>
      </c>
      <c r="X2708" s="43">
        <v>4.7</v>
      </c>
      <c r="AA2708" s="43"/>
      <c r="AB2708" s="43">
        <v>0.25</v>
      </c>
      <c r="AC2708" s="43">
        <v>0.33300000000000002</v>
      </c>
      <c r="AK2708">
        <v>14997752</v>
      </c>
    </row>
    <row r="2709" spans="1:37" ht="19">
      <c r="A2709" s="39" t="s">
        <v>17</v>
      </c>
      <c r="B2709" s="8">
        <v>2024</v>
      </c>
      <c r="C2709" s="8" t="s">
        <v>109</v>
      </c>
      <c r="D2709" s="9" t="s">
        <v>109</v>
      </c>
      <c r="E2709" s="9" t="s">
        <v>111</v>
      </c>
      <c r="F2709" s="9" t="s">
        <v>111</v>
      </c>
      <c r="I2709" s="9" t="s">
        <v>28</v>
      </c>
      <c r="J2709" s="9" t="s">
        <v>11</v>
      </c>
      <c r="K2709" s="9" t="s">
        <v>82</v>
      </c>
      <c r="L2709" s="9" t="s">
        <v>166</v>
      </c>
      <c r="M2709" t="s">
        <v>110</v>
      </c>
      <c r="O2709" t="s">
        <v>355</v>
      </c>
      <c r="P2709" t="s">
        <v>1698</v>
      </c>
      <c r="S2709">
        <v>294</v>
      </c>
      <c r="U2709" t="s">
        <v>112</v>
      </c>
      <c r="V2709" t="s">
        <v>1484</v>
      </c>
      <c r="X2709" s="43">
        <v>2.0499999999999998</v>
      </c>
      <c r="AA2709" s="43"/>
      <c r="AB2709" s="43">
        <v>0.1</v>
      </c>
      <c r="AC2709" s="43">
        <v>0.14849999999999999</v>
      </c>
      <c r="AK2709">
        <v>6493872</v>
      </c>
    </row>
    <row r="2710" spans="1:37" ht="19">
      <c r="A2710" s="39" t="s">
        <v>17</v>
      </c>
      <c r="B2710" s="8">
        <v>2024</v>
      </c>
      <c r="C2710" s="8" t="s">
        <v>109</v>
      </c>
      <c r="D2710" s="9" t="s">
        <v>109</v>
      </c>
      <c r="E2710" s="9" t="s">
        <v>111</v>
      </c>
      <c r="F2710" s="9" t="s">
        <v>111</v>
      </c>
      <c r="I2710" s="9" t="s">
        <v>28</v>
      </c>
      <c r="J2710" s="9" t="s">
        <v>11</v>
      </c>
      <c r="K2710" s="9" t="s">
        <v>82</v>
      </c>
      <c r="L2710" s="9" t="s">
        <v>166</v>
      </c>
      <c r="M2710" t="s">
        <v>110</v>
      </c>
      <c r="O2710" t="s">
        <v>355</v>
      </c>
      <c r="P2710" t="s">
        <v>1699</v>
      </c>
      <c r="S2710">
        <v>251</v>
      </c>
      <c r="U2710" t="s">
        <v>112</v>
      </c>
      <c r="V2710" t="s">
        <v>1484</v>
      </c>
      <c r="X2710" s="43">
        <v>1.95</v>
      </c>
      <c r="AA2710" s="43"/>
      <c r="AB2710" s="43">
        <v>0.1</v>
      </c>
      <c r="AC2710" s="43">
        <v>0.13950000000000001</v>
      </c>
      <c r="AK2710">
        <v>5544088</v>
      </c>
    </row>
    <row r="2711" spans="1:37" ht="19">
      <c r="A2711" s="39" t="s">
        <v>17</v>
      </c>
      <c r="B2711" s="8">
        <v>2024</v>
      </c>
      <c r="C2711" s="8" t="s">
        <v>109</v>
      </c>
      <c r="D2711" s="9" t="s">
        <v>109</v>
      </c>
      <c r="E2711" s="9" t="s">
        <v>111</v>
      </c>
      <c r="F2711" s="9" t="s">
        <v>111</v>
      </c>
      <c r="I2711" s="9" t="s">
        <v>28</v>
      </c>
      <c r="J2711" s="9" t="s">
        <v>11</v>
      </c>
      <c r="K2711" s="9" t="s">
        <v>82</v>
      </c>
      <c r="L2711" s="9" t="s">
        <v>166</v>
      </c>
      <c r="M2711" t="s">
        <v>110</v>
      </c>
      <c r="O2711" t="s">
        <v>355</v>
      </c>
      <c r="P2711" t="s">
        <v>1700</v>
      </c>
      <c r="S2711">
        <v>293</v>
      </c>
      <c r="U2711" t="s">
        <v>112</v>
      </c>
      <c r="V2711" t="s">
        <v>1484</v>
      </c>
      <c r="X2711" s="43">
        <v>2</v>
      </c>
      <c r="AA2711" s="43"/>
      <c r="AB2711" s="43">
        <v>0.1</v>
      </c>
      <c r="AC2711" s="43">
        <v>0.14849999999999999</v>
      </c>
      <c r="AK2711">
        <v>6471784</v>
      </c>
    </row>
    <row r="2712" spans="1:37" ht="19">
      <c r="A2712" s="39" t="s">
        <v>17</v>
      </c>
      <c r="B2712" s="8">
        <v>2024</v>
      </c>
      <c r="C2712" s="8" t="s">
        <v>109</v>
      </c>
      <c r="D2712" s="9" t="s">
        <v>109</v>
      </c>
      <c r="E2712" s="9" t="s">
        <v>111</v>
      </c>
      <c r="F2712" s="9" t="s">
        <v>111</v>
      </c>
      <c r="I2712" s="9" t="s">
        <v>28</v>
      </c>
      <c r="J2712" s="9" t="s">
        <v>11</v>
      </c>
      <c r="K2712" s="9" t="s">
        <v>82</v>
      </c>
      <c r="L2712" s="9" t="s">
        <v>166</v>
      </c>
      <c r="M2712" t="s">
        <v>110</v>
      </c>
      <c r="O2712" t="s">
        <v>1097</v>
      </c>
      <c r="P2712" t="s">
        <v>1701</v>
      </c>
      <c r="S2712">
        <v>254</v>
      </c>
      <c r="U2712" t="s">
        <v>112</v>
      </c>
      <c r="V2712" t="s">
        <v>1484</v>
      </c>
      <c r="X2712" s="43">
        <v>1.95</v>
      </c>
      <c r="AA2712" s="43"/>
      <c r="AB2712" s="43">
        <v>0.1</v>
      </c>
      <c r="AC2712" s="43">
        <v>0.13950000000000001</v>
      </c>
      <c r="AK2712">
        <v>5610352</v>
      </c>
    </row>
    <row r="2713" spans="1:37" ht="19">
      <c r="A2713" s="39" t="s">
        <v>17</v>
      </c>
      <c r="B2713" s="8">
        <v>2024</v>
      </c>
      <c r="C2713" s="8" t="s">
        <v>109</v>
      </c>
      <c r="D2713" s="9" t="s">
        <v>109</v>
      </c>
      <c r="E2713" s="9" t="s">
        <v>111</v>
      </c>
      <c r="F2713" s="9" t="s">
        <v>111</v>
      </c>
      <c r="I2713" s="9" t="s">
        <v>28</v>
      </c>
      <c r="J2713" s="9" t="s">
        <v>11</v>
      </c>
      <c r="K2713" s="9" t="s">
        <v>82</v>
      </c>
      <c r="L2713" s="9" t="s">
        <v>166</v>
      </c>
      <c r="M2713" t="s">
        <v>110</v>
      </c>
      <c r="O2713" t="s">
        <v>1097</v>
      </c>
      <c r="P2713" t="s">
        <v>1098</v>
      </c>
      <c r="S2713">
        <v>331</v>
      </c>
      <c r="U2713" t="s">
        <v>112</v>
      </c>
      <c r="V2713" t="s">
        <v>1484</v>
      </c>
      <c r="X2713" s="43">
        <v>2.2999999999999998</v>
      </c>
      <c r="AA2713" s="43"/>
      <c r="AB2713" s="43">
        <v>0.15</v>
      </c>
      <c r="AC2713" s="43">
        <v>0.16650000000000001</v>
      </c>
      <c r="AK2713">
        <v>7311128</v>
      </c>
    </row>
    <row r="2714" spans="1:37" ht="19">
      <c r="A2714" s="39" t="s">
        <v>17</v>
      </c>
      <c r="B2714" s="8">
        <v>2024</v>
      </c>
      <c r="C2714" s="8" t="s">
        <v>109</v>
      </c>
      <c r="D2714" s="9" t="s">
        <v>109</v>
      </c>
      <c r="E2714" s="9" t="s">
        <v>111</v>
      </c>
      <c r="F2714" s="9" t="s">
        <v>111</v>
      </c>
      <c r="I2714" s="9" t="s">
        <v>28</v>
      </c>
      <c r="J2714" s="9" t="s">
        <v>11</v>
      </c>
      <c r="K2714" s="9" t="s">
        <v>82</v>
      </c>
      <c r="L2714" s="9" t="s">
        <v>166</v>
      </c>
      <c r="M2714" t="s">
        <v>110</v>
      </c>
      <c r="O2714" t="s">
        <v>1097</v>
      </c>
      <c r="P2714" t="s">
        <v>1702</v>
      </c>
      <c r="S2714">
        <v>270</v>
      </c>
      <c r="U2714" t="s">
        <v>112</v>
      </c>
      <c r="V2714" t="s">
        <v>1484</v>
      </c>
      <c r="X2714" s="43">
        <v>1.85</v>
      </c>
      <c r="AA2714" s="43"/>
      <c r="AB2714" s="43">
        <v>0.1</v>
      </c>
      <c r="AC2714" s="43">
        <v>0.13500000000000001</v>
      </c>
      <c r="AK2714">
        <v>5963760</v>
      </c>
    </row>
    <row r="2715" spans="1:37" ht="19">
      <c r="A2715" s="39" t="s">
        <v>17</v>
      </c>
      <c r="B2715" s="8">
        <v>2024</v>
      </c>
      <c r="C2715" s="8" t="s">
        <v>109</v>
      </c>
      <c r="D2715" s="9" t="s">
        <v>109</v>
      </c>
      <c r="E2715" s="9" t="s">
        <v>111</v>
      </c>
      <c r="F2715" s="9" t="s">
        <v>111</v>
      </c>
      <c r="I2715" s="9" t="s">
        <v>28</v>
      </c>
      <c r="J2715" s="9" t="s">
        <v>11</v>
      </c>
      <c r="K2715" s="9" t="s">
        <v>82</v>
      </c>
      <c r="L2715" s="9" t="s">
        <v>166</v>
      </c>
      <c r="M2715" t="s">
        <v>110</v>
      </c>
      <c r="O2715" t="s">
        <v>1097</v>
      </c>
      <c r="P2715" t="s">
        <v>1703</v>
      </c>
      <c r="S2715">
        <v>690</v>
      </c>
      <c r="U2715" t="s">
        <v>112</v>
      </c>
      <c r="V2715" t="s">
        <v>1484</v>
      </c>
      <c r="X2715" s="43">
        <v>4.75</v>
      </c>
      <c r="AA2715" s="43"/>
      <c r="AB2715" s="43">
        <v>0.25</v>
      </c>
      <c r="AC2715" s="43">
        <v>0.33750000000000002</v>
      </c>
      <c r="AK2715">
        <v>15240720</v>
      </c>
    </row>
    <row r="2716" spans="1:37" ht="19">
      <c r="A2716" s="39" t="s">
        <v>17</v>
      </c>
      <c r="B2716" s="8">
        <v>2024</v>
      </c>
      <c r="C2716" s="8" t="s">
        <v>109</v>
      </c>
      <c r="D2716" s="9" t="s">
        <v>109</v>
      </c>
      <c r="E2716" s="9" t="s">
        <v>111</v>
      </c>
      <c r="F2716" s="9" t="s">
        <v>111</v>
      </c>
      <c r="I2716" s="9" t="s">
        <v>28</v>
      </c>
      <c r="J2716" s="9" t="s">
        <v>11</v>
      </c>
      <c r="K2716" s="9" t="s">
        <v>82</v>
      </c>
      <c r="L2716" s="9" t="s">
        <v>166</v>
      </c>
      <c r="M2716" t="s">
        <v>110</v>
      </c>
      <c r="O2716" t="s">
        <v>1097</v>
      </c>
      <c r="P2716" t="s">
        <v>1704</v>
      </c>
      <c r="S2716">
        <v>142</v>
      </c>
      <c r="U2716" t="s">
        <v>112</v>
      </c>
      <c r="V2716" t="s">
        <v>1484</v>
      </c>
      <c r="X2716" s="43">
        <v>1.1000000000000001</v>
      </c>
      <c r="AA2716" s="43"/>
      <c r="AB2716" s="43">
        <v>0.05</v>
      </c>
      <c r="AC2716" s="43">
        <v>7.6499999999999999E-2</v>
      </c>
      <c r="AK2716">
        <v>3136496</v>
      </c>
    </row>
    <row r="2717" spans="1:37" ht="19">
      <c r="A2717" s="39" t="s">
        <v>17</v>
      </c>
      <c r="B2717" s="8">
        <v>2024</v>
      </c>
      <c r="C2717" s="8" t="s">
        <v>109</v>
      </c>
      <c r="D2717" s="9" t="s">
        <v>109</v>
      </c>
      <c r="E2717" s="9" t="s">
        <v>111</v>
      </c>
      <c r="F2717" s="9" t="s">
        <v>111</v>
      </c>
      <c r="I2717" s="9" t="s">
        <v>28</v>
      </c>
      <c r="J2717" s="9" t="s">
        <v>11</v>
      </c>
      <c r="K2717" s="9" t="s">
        <v>82</v>
      </c>
      <c r="L2717" s="9" t="s">
        <v>166</v>
      </c>
      <c r="M2717" t="s">
        <v>110</v>
      </c>
      <c r="O2717" t="s">
        <v>324</v>
      </c>
      <c r="P2717" t="s">
        <v>1427</v>
      </c>
      <c r="S2717">
        <v>492</v>
      </c>
      <c r="U2717" t="s">
        <v>112</v>
      </c>
      <c r="V2717" t="s">
        <v>1484</v>
      </c>
      <c r="X2717" s="43">
        <v>3.4</v>
      </c>
      <c r="AA2717" s="43"/>
      <c r="AB2717" s="43">
        <v>0.2</v>
      </c>
      <c r="AC2717" s="43">
        <v>0.2475</v>
      </c>
      <c r="AK2717">
        <v>10867296</v>
      </c>
    </row>
    <row r="2718" spans="1:37" ht="19">
      <c r="A2718" s="39" t="s">
        <v>17</v>
      </c>
      <c r="B2718" s="8">
        <v>2024</v>
      </c>
      <c r="C2718" s="8" t="s">
        <v>109</v>
      </c>
      <c r="D2718" s="9" t="s">
        <v>109</v>
      </c>
      <c r="E2718" s="9" t="s">
        <v>111</v>
      </c>
      <c r="F2718" s="9" t="s">
        <v>111</v>
      </c>
      <c r="I2718" s="9" t="s">
        <v>28</v>
      </c>
      <c r="J2718" s="9" t="s">
        <v>11</v>
      </c>
      <c r="K2718" s="9" t="s">
        <v>82</v>
      </c>
      <c r="L2718" s="9" t="s">
        <v>166</v>
      </c>
      <c r="M2718" t="s">
        <v>110</v>
      </c>
      <c r="O2718" t="s">
        <v>324</v>
      </c>
      <c r="P2718" t="s">
        <v>1705</v>
      </c>
      <c r="S2718">
        <v>210</v>
      </c>
      <c r="U2718" t="s">
        <v>112</v>
      </c>
      <c r="V2718" t="s">
        <v>1484</v>
      </c>
      <c r="X2718" s="43">
        <v>1.6</v>
      </c>
      <c r="AA2718" s="43"/>
      <c r="AB2718" s="43">
        <v>0.1</v>
      </c>
      <c r="AC2718" s="43">
        <v>0.11700000000000001</v>
      </c>
      <c r="AK2718">
        <v>4638480</v>
      </c>
    </row>
    <row r="2719" spans="1:37" ht="19">
      <c r="A2719" s="39" t="s">
        <v>17</v>
      </c>
      <c r="B2719" s="8">
        <v>2024</v>
      </c>
      <c r="C2719" s="8" t="s">
        <v>109</v>
      </c>
      <c r="D2719" s="9" t="s">
        <v>109</v>
      </c>
      <c r="E2719" s="9" t="s">
        <v>111</v>
      </c>
      <c r="F2719" s="9" t="s">
        <v>111</v>
      </c>
      <c r="I2719" s="9" t="s">
        <v>28</v>
      </c>
      <c r="J2719" s="9" t="s">
        <v>11</v>
      </c>
      <c r="K2719" s="9" t="s">
        <v>82</v>
      </c>
      <c r="L2719" s="9" t="s">
        <v>166</v>
      </c>
      <c r="M2719" t="s">
        <v>110</v>
      </c>
      <c r="O2719" t="s">
        <v>324</v>
      </c>
      <c r="P2719" t="s">
        <v>1706</v>
      </c>
      <c r="S2719">
        <v>407</v>
      </c>
      <c r="U2719" t="s">
        <v>112</v>
      </c>
      <c r="V2719" t="s">
        <v>1484</v>
      </c>
      <c r="X2719" s="43">
        <v>2.8</v>
      </c>
      <c r="AA2719" s="43"/>
      <c r="AB2719" s="43">
        <v>0.15</v>
      </c>
      <c r="AC2719" s="43">
        <v>0.20250000000000001</v>
      </c>
      <c r="AK2719">
        <v>8989816</v>
      </c>
    </row>
    <row r="2720" spans="1:37" ht="19">
      <c r="A2720" s="39" t="s">
        <v>17</v>
      </c>
      <c r="B2720" s="8">
        <v>2024</v>
      </c>
      <c r="C2720" s="8" t="s">
        <v>109</v>
      </c>
      <c r="D2720" s="9" t="s">
        <v>109</v>
      </c>
      <c r="E2720" s="9" t="s">
        <v>111</v>
      </c>
      <c r="F2720" s="9" t="s">
        <v>111</v>
      </c>
      <c r="I2720" s="9" t="s">
        <v>28</v>
      </c>
      <c r="J2720" s="9" t="s">
        <v>11</v>
      </c>
      <c r="K2720" s="9" t="s">
        <v>82</v>
      </c>
      <c r="L2720" s="9" t="s">
        <v>166</v>
      </c>
      <c r="M2720" t="s">
        <v>110</v>
      </c>
      <c r="O2720" t="s">
        <v>324</v>
      </c>
      <c r="P2720" t="s">
        <v>1074</v>
      </c>
      <c r="S2720">
        <v>1375</v>
      </c>
      <c r="U2720" t="s">
        <v>112</v>
      </c>
      <c r="V2720" t="s">
        <v>1484</v>
      </c>
      <c r="X2720" s="43">
        <v>9.4499999999999993</v>
      </c>
      <c r="AA2720" s="43"/>
      <c r="AB2720" s="43">
        <v>0.5</v>
      </c>
      <c r="AC2720" s="43">
        <v>0.67949999999999999</v>
      </c>
      <c r="AK2720">
        <v>30371000</v>
      </c>
    </row>
    <row r="2721" spans="1:37" ht="19">
      <c r="A2721" s="39" t="s">
        <v>17</v>
      </c>
      <c r="B2721" s="8">
        <v>2024</v>
      </c>
      <c r="C2721" s="8" t="s">
        <v>109</v>
      </c>
      <c r="D2721" s="9" t="s">
        <v>109</v>
      </c>
      <c r="E2721" s="9" t="s">
        <v>111</v>
      </c>
      <c r="F2721" s="9" t="s">
        <v>111</v>
      </c>
      <c r="I2721" s="9" t="s">
        <v>28</v>
      </c>
      <c r="J2721" s="9" t="s">
        <v>11</v>
      </c>
      <c r="K2721" s="9" t="s">
        <v>82</v>
      </c>
      <c r="L2721" s="9" t="s">
        <v>166</v>
      </c>
      <c r="M2721" t="s">
        <v>110</v>
      </c>
      <c r="O2721" t="s">
        <v>1102</v>
      </c>
      <c r="P2721" t="s">
        <v>247</v>
      </c>
      <c r="S2721">
        <v>347</v>
      </c>
      <c r="U2721" t="s">
        <v>112</v>
      </c>
      <c r="V2721" t="s">
        <v>1484</v>
      </c>
      <c r="X2721" s="43">
        <v>2.4</v>
      </c>
      <c r="AA2721" s="43"/>
      <c r="AB2721" s="43">
        <v>0.15</v>
      </c>
      <c r="AC2721" s="43">
        <v>0.17100000000000001</v>
      </c>
      <c r="AK2721">
        <v>7664536</v>
      </c>
    </row>
    <row r="2722" spans="1:37" ht="19">
      <c r="A2722" s="39" t="s">
        <v>17</v>
      </c>
      <c r="B2722" s="8">
        <v>2024</v>
      </c>
      <c r="C2722" s="8" t="s">
        <v>109</v>
      </c>
      <c r="D2722" s="9" t="s">
        <v>109</v>
      </c>
      <c r="E2722" s="9" t="s">
        <v>111</v>
      </c>
      <c r="F2722" s="9" t="s">
        <v>111</v>
      </c>
      <c r="I2722" s="9" t="s">
        <v>28</v>
      </c>
      <c r="J2722" s="9" t="s">
        <v>11</v>
      </c>
      <c r="K2722" s="9" t="s">
        <v>82</v>
      </c>
      <c r="L2722" s="9" t="s">
        <v>166</v>
      </c>
      <c r="M2722" t="s">
        <v>110</v>
      </c>
      <c r="O2722" t="s">
        <v>1087</v>
      </c>
      <c r="P2722" t="s">
        <v>1707</v>
      </c>
      <c r="S2722">
        <v>106</v>
      </c>
      <c r="U2722" t="s">
        <v>112</v>
      </c>
      <c r="V2722" t="s">
        <v>1484</v>
      </c>
      <c r="X2722" s="43">
        <v>0.8</v>
      </c>
      <c r="AA2722" s="43"/>
      <c r="AB2722" s="43">
        <v>0.05</v>
      </c>
      <c r="AC2722" s="43">
        <v>5.8500000000000003E-2</v>
      </c>
      <c r="AK2722">
        <v>2341328</v>
      </c>
    </row>
    <row r="2723" spans="1:37" ht="19">
      <c r="A2723" s="39" t="s">
        <v>17</v>
      </c>
      <c r="B2723" s="8">
        <v>2024</v>
      </c>
      <c r="C2723" s="8" t="s">
        <v>109</v>
      </c>
      <c r="D2723" s="9" t="s">
        <v>109</v>
      </c>
      <c r="E2723" s="9" t="s">
        <v>111</v>
      </c>
      <c r="F2723" s="9" t="s">
        <v>111</v>
      </c>
      <c r="I2723" s="9" t="s">
        <v>28</v>
      </c>
      <c r="J2723" s="9" t="s">
        <v>11</v>
      </c>
      <c r="K2723" s="9" t="s">
        <v>82</v>
      </c>
      <c r="L2723" s="9" t="s">
        <v>166</v>
      </c>
      <c r="M2723" t="s">
        <v>110</v>
      </c>
      <c r="O2723" t="s">
        <v>1087</v>
      </c>
      <c r="P2723" t="s">
        <v>1708</v>
      </c>
      <c r="S2723">
        <v>188</v>
      </c>
      <c r="U2723" t="s">
        <v>112</v>
      </c>
      <c r="V2723" t="s">
        <v>1484</v>
      </c>
      <c r="X2723" s="43">
        <v>1.45</v>
      </c>
      <c r="AA2723" s="43"/>
      <c r="AB2723" s="43">
        <v>0.1</v>
      </c>
      <c r="AC2723" s="43">
        <v>0.10349999999999999</v>
      </c>
      <c r="AK2723">
        <v>4152544</v>
      </c>
    </row>
    <row r="2724" spans="1:37" ht="19">
      <c r="A2724" s="39" t="s">
        <v>17</v>
      </c>
      <c r="B2724" s="8">
        <v>2024</v>
      </c>
      <c r="C2724" s="8" t="s">
        <v>109</v>
      </c>
      <c r="D2724" s="9" t="s">
        <v>109</v>
      </c>
      <c r="E2724" s="9" t="s">
        <v>111</v>
      </c>
      <c r="F2724" s="9" t="s">
        <v>111</v>
      </c>
      <c r="I2724" s="9" t="s">
        <v>28</v>
      </c>
      <c r="J2724" s="9" t="s">
        <v>11</v>
      </c>
      <c r="K2724" s="9" t="s">
        <v>82</v>
      </c>
      <c r="L2724" s="9" t="s">
        <v>166</v>
      </c>
      <c r="M2724" t="s">
        <v>110</v>
      </c>
      <c r="O2724" t="s">
        <v>1087</v>
      </c>
      <c r="P2724" t="s">
        <v>1709</v>
      </c>
      <c r="S2724">
        <v>371</v>
      </c>
      <c r="U2724" t="s">
        <v>112</v>
      </c>
      <c r="V2724" t="s">
        <v>1484</v>
      </c>
      <c r="X2724" s="43">
        <v>2.5499999999999998</v>
      </c>
      <c r="AA2724" s="43"/>
      <c r="AB2724" s="43">
        <v>0.15</v>
      </c>
      <c r="AC2724" s="43">
        <v>0.1845</v>
      </c>
      <c r="AK2724">
        <v>8194648</v>
      </c>
    </row>
    <row r="2725" spans="1:37" ht="19">
      <c r="A2725" s="39" t="s">
        <v>17</v>
      </c>
      <c r="B2725" s="8">
        <v>2024</v>
      </c>
      <c r="C2725" s="8" t="s">
        <v>109</v>
      </c>
      <c r="D2725" s="9" t="s">
        <v>109</v>
      </c>
      <c r="E2725" s="9" t="s">
        <v>111</v>
      </c>
      <c r="F2725" s="9" t="s">
        <v>111</v>
      </c>
      <c r="I2725" s="9" t="s">
        <v>28</v>
      </c>
      <c r="J2725" s="9" t="s">
        <v>11</v>
      </c>
      <c r="K2725" s="9" t="s">
        <v>82</v>
      </c>
      <c r="L2725" s="9" t="s">
        <v>166</v>
      </c>
      <c r="M2725" t="s">
        <v>110</v>
      </c>
      <c r="O2725" t="s">
        <v>355</v>
      </c>
      <c r="P2725" t="s">
        <v>1710</v>
      </c>
      <c r="S2725">
        <v>213</v>
      </c>
      <c r="U2725" t="s">
        <v>112</v>
      </c>
      <c r="V2725" t="s">
        <v>1484</v>
      </c>
      <c r="X2725" s="43">
        <v>1.65</v>
      </c>
      <c r="AA2725" s="43"/>
      <c r="AB2725" s="43">
        <v>0.1</v>
      </c>
      <c r="AC2725" s="43">
        <v>0.11700000000000001</v>
      </c>
      <c r="AK2725">
        <v>4704744</v>
      </c>
    </row>
    <row r="2726" spans="1:37" ht="19">
      <c r="A2726" s="39" t="s">
        <v>17</v>
      </c>
      <c r="B2726" s="8">
        <v>2024</v>
      </c>
      <c r="C2726" s="8" t="s">
        <v>109</v>
      </c>
      <c r="D2726" s="9" t="s">
        <v>109</v>
      </c>
      <c r="E2726" s="9" t="s">
        <v>111</v>
      </c>
      <c r="F2726" s="9" t="s">
        <v>111</v>
      </c>
      <c r="I2726" s="9" t="s">
        <v>28</v>
      </c>
      <c r="J2726" s="9" t="s">
        <v>11</v>
      </c>
      <c r="K2726" s="9" t="s">
        <v>82</v>
      </c>
      <c r="L2726" s="9" t="s">
        <v>166</v>
      </c>
      <c r="M2726" t="s">
        <v>110</v>
      </c>
      <c r="O2726" t="s">
        <v>355</v>
      </c>
      <c r="P2726" t="s">
        <v>1711</v>
      </c>
      <c r="S2726">
        <v>225</v>
      </c>
      <c r="U2726" t="s">
        <v>112</v>
      </c>
      <c r="V2726" t="s">
        <v>1484</v>
      </c>
      <c r="X2726" s="43">
        <v>1.75</v>
      </c>
      <c r="AA2726" s="43"/>
      <c r="AB2726" s="43">
        <v>0.1</v>
      </c>
      <c r="AC2726" s="43">
        <v>0.126</v>
      </c>
      <c r="AK2726">
        <v>4969800</v>
      </c>
    </row>
    <row r="2727" spans="1:37" ht="19">
      <c r="A2727" s="39" t="s">
        <v>17</v>
      </c>
      <c r="B2727" s="8">
        <v>2024</v>
      </c>
      <c r="C2727" s="8" t="s">
        <v>109</v>
      </c>
      <c r="D2727" s="9" t="s">
        <v>109</v>
      </c>
      <c r="E2727" s="9" t="s">
        <v>111</v>
      </c>
      <c r="F2727" s="9" t="s">
        <v>111</v>
      </c>
      <c r="I2727" s="9" t="s">
        <v>28</v>
      </c>
      <c r="J2727" s="9" t="s">
        <v>11</v>
      </c>
      <c r="K2727" s="9" t="s">
        <v>82</v>
      </c>
      <c r="L2727" s="9" t="s">
        <v>166</v>
      </c>
      <c r="M2727" t="s">
        <v>110</v>
      </c>
      <c r="O2727" t="s">
        <v>355</v>
      </c>
      <c r="P2727" t="s">
        <v>1712</v>
      </c>
      <c r="S2727">
        <v>265</v>
      </c>
      <c r="U2727" t="s">
        <v>112</v>
      </c>
      <c r="V2727" t="s">
        <v>1484</v>
      </c>
      <c r="X2727" s="43">
        <v>2.0499999999999998</v>
      </c>
      <c r="AA2727" s="43"/>
      <c r="AB2727" s="43">
        <v>0.1</v>
      </c>
      <c r="AC2727" s="43">
        <v>0.14399999999999999</v>
      </c>
      <c r="AK2727">
        <v>5853320</v>
      </c>
    </row>
    <row r="2728" spans="1:37" ht="19">
      <c r="A2728" s="39" t="s">
        <v>17</v>
      </c>
      <c r="B2728" s="8">
        <v>2024</v>
      </c>
      <c r="C2728" s="8" t="s">
        <v>109</v>
      </c>
      <c r="D2728" s="9" t="s">
        <v>109</v>
      </c>
      <c r="E2728" s="9" t="s">
        <v>111</v>
      </c>
      <c r="F2728" s="9" t="s">
        <v>111</v>
      </c>
      <c r="I2728" s="9" t="s">
        <v>28</v>
      </c>
      <c r="J2728" s="9" t="s">
        <v>11</v>
      </c>
      <c r="K2728" s="9" t="s">
        <v>82</v>
      </c>
      <c r="L2728" s="9" t="s">
        <v>166</v>
      </c>
      <c r="M2728" t="s">
        <v>110</v>
      </c>
      <c r="O2728" t="s">
        <v>355</v>
      </c>
      <c r="P2728" t="s">
        <v>1713</v>
      </c>
      <c r="S2728">
        <v>212</v>
      </c>
      <c r="U2728" t="s">
        <v>112</v>
      </c>
      <c r="V2728" t="s">
        <v>1484</v>
      </c>
      <c r="X2728" s="43">
        <v>1.65</v>
      </c>
      <c r="AA2728" s="43"/>
      <c r="AB2728" s="43">
        <v>0.1</v>
      </c>
      <c r="AC2728" s="43">
        <v>0.11700000000000001</v>
      </c>
      <c r="AK2728">
        <v>4682656</v>
      </c>
    </row>
    <row r="2729" spans="1:37" ht="19">
      <c r="A2729" s="39" t="s">
        <v>17</v>
      </c>
      <c r="B2729" s="8">
        <v>2024</v>
      </c>
      <c r="C2729" s="8" t="s">
        <v>109</v>
      </c>
      <c r="D2729" s="9" t="s">
        <v>109</v>
      </c>
      <c r="E2729" s="9" t="s">
        <v>111</v>
      </c>
      <c r="F2729" s="9" t="s">
        <v>111</v>
      </c>
      <c r="I2729" s="9" t="s">
        <v>28</v>
      </c>
      <c r="J2729" s="9" t="s">
        <v>11</v>
      </c>
      <c r="K2729" s="9" t="s">
        <v>82</v>
      </c>
      <c r="L2729" s="9" t="s">
        <v>166</v>
      </c>
      <c r="M2729" t="s">
        <v>110</v>
      </c>
      <c r="O2729" t="s">
        <v>355</v>
      </c>
      <c r="P2729" t="s">
        <v>1714</v>
      </c>
      <c r="S2729">
        <v>218</v>
      </c>
      <c r="U2729" t="s">
        <v>112</v>
      </c>
      <c r="V2729" t="s">
        <v>1484</v>
      </c>
      <c r="X2729" s="43">
        <v>1.7</v>
      </c>
      <c r="AA2729" s="43"/>
      <c r="AB2729" s="43">
        <v>0.1</v>
      </c>
      <c r="AC2729" s="43">
        <v>0.1215</v>
      </c>
      <c r="AK2729">
        <v>4815184</v>
      </c>
    </row>
    <row r="2730" spans="1:37" ht="19">
      <c r="A2730" s="39" t="s">
        <v>17</v>
      </c>
      <c r="B2730" s="8">
        <v>2024</v>
      </c>
      <c r="C2730" s="8" t="s">
        <v>109</v>
      </c>
      <c r="D2730" s="9" t="s">
        <v>109</v>
      </c>
      <c r="E2730" s="9" t="s">
        <v>111</v>
      </c>
      <c r="F2730" s="9" t="s">
        <v>111</v>
      </c>
      <c r="I2730" s="9" t="s">
        <v>28</v>
      </c>
      <c r="J2730" s="9" t="s">
        <v>11</v>
      </c>
      <c r="K2730" s="9" t="s">
        <v>82</v>
      </c>
      <c r="L2730" s="9" t="s">
        <v>166</v>
      </c>
      <c r="M2730" t="s">
        <v>110</v>
      </c>
      <c r="O2730" t="s">
        <v>1101</v>
      </c>
      <c r="P2730" t="s">
        <v>1715</v>
      </c>
      <c r="S2730">
        <v>203</v>
      </c>
      <c r="U2730" t="s">
        <v>112</v>
      </c>
      <c r="V2730" t="s">
        <v>1484</v>
      </c>
      <c r="X2730" s="43">
        <v>1.55</v>
      </c>
      <c r="AA2730" s="43"/>
      <c r="AB2730" s="43">
        <v>0.1</v>
      </c>
      <c r="AC2730" s="43">
        <v>0.1125</v>
      </c>
      <c r="AK2730">
        <v>4483864</v>
      </c>
    </row>
    <row r="2731" spans="1:37" ht="19">
      <c r="A2731" s="39" t="s">
        <v>17</v>
      </c>
      <c r="B2731" s="8">
        <v>2024</v>
      </c>
      <c r="C2731" s="8" t="s">
        <v>109</v>
      </c>
      <c r="D2731" s="9" t="s">
        <v>109</v>
      </c>
      <c r="E2731" s="9" t="s">
        <v>111</v>
      </c>
      <c r="F2731" s="9" t="s">
        <v>111</v>
      </c>
      <c r="I2731" s="9" t="s">
        <v>28</v>
      </c>
      <c r="J2731" s="9" t="s">
        <v>11</v>
      </c>
      <c r="K2731" s="9" t="s">
        <v>82</v>
      </c>
      <c r="L2731" s="9" t="s">
        <v>166</v>
      </c>
      <c r="M2731" t="s">
        <v>110</v>
      </c>
      <c r="O2731" t="s">
        <v>1101</v>
      </c>
      <c r="P2731" t="s">
        <v>1716</v>
      </c>
      <c r="S2731">
        <v>273</v>
      </c>
      <c r="U2731" t="s">
        <v>112</v>
      </c>
      <c r="V2731" t="s">
        <v>1484</v>
      </c>
      <c r="X2731" s="43">
        <v>1.9</v>
      </c>
      <c r="AA2731" s="43"/>
      <c r="AB2731" s="43">
        <v>0.1</v>
      </c>
      <c r="AC2731" s="43">
        <v>0.13500000000000001</v>
      </c>
      <c r="AK2731">
        <v>6030024</v>
      </c>
    </row>
    <row r="2732" spans="1:37" ht="19">
      <c r="A2732" s="39" t="s">
        <v>17</v>
      </c>
      <c r="B2732" s="8">
        <v>2024</v>
      </c>
      <c r="C2732" s="8" t="s">
        <v>109</v>
      </c>
      <c r="D2732" s="9" t="s">
        <v>109</v>
      </c>
      <c r="E2732" s="9" t="s">
        <v>111</v>
      </c>
      <c r="F2732" s="9" t="s">
        <v>111</v>
      </c>
      <c r="I2732" s="9" t="s">
        <v>28</v>
      </c>
      <c r="J2732" s="9" t="s">
        <v>11</v>
      </c>
      <c r="K2732" s="9" t="s">
        <v>82</v>
      </c>
      <c r="L2732" s="9" t="s">
        <v>166</v>
      </c>
      <c r="M2732" t="s">
        <v>110</v>
      </c>
      <c r="O2732" t="s">
        <v>1101</v>
      </c>
      <c r="P2732" t="s">
        <v>1717</v>
      </c>
      <c r="S2732">
        <v>145</v>
      </c>
      <c r="U2732" t="s">
        <v>112</v>
      </c>
      <c r="V2732" t="s">
        <v>1484</v>
      </c>
      <c r="X2732" s="43">
        <v>1.1000000000000001</v>
      </c>
      <c r="AA2732" s="43"/>
      <c r="AB2732" s="43">
        <v>0.05</v>
      </c>
      <c r="AC2732" s="43">
        <v>8.1000000000000003E-2</v>
      </c>
      <c r="AK2732">
        <v>3202760</v>
      </c>
    </row>
    <row r="2733" spans="1:37" ht="19">
      <c r="A2733" s="39" t="s">
        <v>17</v>
      </c>
      <c r="B2733" s="8">
        <v>2024</v>
      </c>
      <c r="C2733" s="8" t="s">
        <v>109</v>
      </c>
      <c r="D2733" s="9" t="s">
        <v>109</v>
      </c>
      <c r="E2733" s="9" t="s">
        <v>111</v>
      </c>
      <c r="F2733" s="9" t="s">
        <v>111</v>
      </c>
      <c r="I2733" s="9" t="s">
        <v>28</v>
      </c>
      <c r="J2733" s="9" t="s">
        <v>11</v>
      </c>
      <c r="K2733" s="9" t="s">
        <v>82</v>
      </c>
      <c r="L2733" s="9" t="s">
        <v>166</v>
      </c>
      <c r="M2733" t="s">
        <v>110</v>
      </c>
      <c r="O2733" t="s">
        <v>1101</v>
      </c>
      <c r="P2733" t="s">
        <v>1718</v>
      </c>
      <c r="S2733">
        <v>142</v>
      </c>
      <c r="U2733" t="s">
        <v>112</v>
      </c>
      <c r="V2733" t="s">
        <v>1484</v>
      </c>
      <c r="X2733" s="43">
        <v>1.1000000000000001</v>
      </c>
      <c r="AA2733" s="43"/>
      <c r="AB2733" s="43">
        <v>0.05</v>
      </c>
      <c r="AC2733" s="43">
        <v>7.6499999999999999E-2</v>
      </c>
      <c r="AK2733">
        <v>3136496</v>
      </c>
    </row>
    <row r="2734" spans="1:37" ht="19">
      <c r="A2734" s="39" t="s">
        <v>17</v>
      </c>
      <c r="B2734" s="8">
        <v>2024</v>
      </c>
      <c r="C2734" s="8" t="s">
        <v>109</v>
      </c>
      <c r="D2734" s="9" t="s">
        <v>109</v>
      </c>
      <c r="E2734" s="9" t="s">
        <v>111</v>
      </c>
      <c r="F2734" s="9" t="s">
        <v>111</v>
      </c>
      <c r="I2734" s="9" t="s">
        <v>11</v>
      </c>
      <c r="J2734" s="9" t="s">
        <v>11</v>
      </c>
      <c r="K2734" s="9" t="s">
        <v>82</v>
      </c>
      <c r="L2734" s="9" t="s">
        <v>171</v>
      </c>
      <c r="M2734" t="s">
        <v>860</v>
      </c>
      <c r="O2734" t="s">
        <v>1719</v>
      </c>
      <c r="P2734" t="s">
        <v>1719</v>
      </c>
      <c r="S2734">
        <v>602</v>
      </c>
      <c r="U2734" s="14" t="s">
        <v>77</v>
      </c>
      <c r="V2734" t="s">
        <v>1720</v>
      </c>
      <c r="X2734" s="43">
        <v>4.0999999999999996</v>
      </c>
      <c r="Y2734" s="159"/>
      <c r="AA2734" s="43"/>
      <c r="AB2734">
        <v>0.85</v>
      </c>
      <c r="AC2734">
        <v>0.29249999999999998</v>
      </c>
      <c r="AJ2734" s="13">
        <f>SUBTOTAL(9,X2734:AI2734)</f>
        <v>5.2424999999999997</v>
      </c>
      <c r="AK2734">
        <v>0</v>
      </c>
    </row>
    <row r="2735" spans="1:37" ht="19">
      <c r="A2735" s="39" t="s">
        <v>17</v>
      </c>
      <c r="B2735" s="8">
        <v>2024</v>
      </c>
      <c r="C2735" s="8" t="s">
        <v>109</v>
      </c>
      <c r="D2735" s="9" t="s">
        <v>109</v>
      </c>
      <c r="E2735" s="9" t="s">
        <v>111</v>
      </c>
      <c r="F2735" s="9" t="s">
        <v>111</v>
      </c>
      <c r="I2735" s="9" t="s">
        <v>11</v>
      </c>
      <c r="J2735" s="9" t="s">
        <v>11</v>
      </c>
      <c r="K2735" s="9" t="s">
        <v>82</v>
      </c>
      <c r="L2735" s="9" t="s">
        <v>171</v>
      </c>
      <c r="M2735" t="s">
        <v>860</v>
      </c>
      <c r="O2735" t="s">
        <v>1719</v>
      </c>
      <c r="P2735" t="s">
        <v>1721</v>
      </c>
      <c r="S2735">
        <v>322</v>
      </c>
      <c r="U2735" t="s">
        <v>1722</v>
      </c>
      <c r="V2735" t="s">
        <v>1484</v>
      </c>
      <c r="X2735" s="43">
        <v>2.2000000000000002</v>
      </c>
      <c r="Y2735" s="159"/>
      <c r="AA2735" s="43"/>
      <c r="AB2735">
        <v>0.15</v>
      </c>
      <c r="AC2735">
        <v>0.1575</v>
      </c>
      <c r="AK2735">
        <v>7112336</v>
      </c>
    </row>
    <row r="2736" spans="1:37" ht="19">
      <c r="A2736" s="39" t="s">
        <v>17</v>
      </c>
      <c r="B2736" s="8">
        <v>2024</v>
      </c>
      <c r="C2736" s="8" t="s">
        <v>109</v>
      </c>
      <c r="D2736" s="9" t="s">
        <v>109</v>
      </c>
      <c r="E2736" s="9" t="s">
        <v>111</v>
      </c>
      <c r="F2736" s="9" t="s">
        <v>111</v>
      </c>
      <c r="I2736" s="9" t="s">
        <v>11</v>
      </c>
      <c r="J2736" s="9" t="s">
        <v>11</v>
      </c>
      <c r="K2736" s="9" t="s">
        <v>82</v>
      </c>
      <c r="L2736" s="9" t="s">
        <v>171</v>
      </c>
      <c r="M2736" t="s">
        <v>860</v>
      </c>
      <c r="O2736" t="s">
        <v>1719</v>
      </c>
      <c r="P2736" t="s">
        <v>1723</v>
      </c>
      <c r="S2736">
        <v>510</v>
      </c>
      <c r="U2736" s="14" t="s">
        <v>77</v>
      </c>
      <c r="V2736" t="s">
        <v>1720</v>
      </c>
      <c r="X2736" s="43">
        <v>3.45</v>
      </c>
      <c r="Y2736" s="159"/>
      <c r="AA2736" s="43"/>
      <c r="AB2736">
        <v>0.75</v>
      </c>
      <c r="AC2736">
        <v>0.2475</v>
      </c>
      <c r="AJ2736" s="13">
        <f t="shared" ref="AJ2736:AJ2737" si="240">SUBTOTAL(9,X2736:AI2736)</f>
        <v>4.4474999999999998</v>
      </c>
      <c r="AK2736">
        <v>0</v>
      </c>
    </row>
    <row r="2737" spans="1:37" ht="19">
      <c r="A2737" s="39" t="s">
        <v>17</v>
      </c>
      <c r="B2737" s="8">
        <v>2024</v>
      </c>
      <c r="C2737" s="8" t="s">
        <v>109</v>
      </c>
      <c r="D2737" s="9" t="s">
        <v>109</v>
      </c>
      <c r="E2737" s="9" t="s">
        <v>111</v>
      </c>
      <c r="F2737" s="9" t="s">
        <v>111</v>
      </c>
      <c r="I2737" s="9" t="s">
        <v>11</v>
      </c>
      <c r="J2737" s="9" t="s">
        <v>11</v>
      </c>
      <c r="K2737" s="9" t="s">
        <v>82</v>
      </c>
      <c r="L2737" s="9" t="s">
        <v>171</v>
      </c>
      <c r="M2737" t="s">
        <v>860</v>
      </c>
      <c r="O2737" t="s">
        <v>1719</v>
      </c>
      <c r="P2737" t="s">
        <v>1724</v>
      </c>
      <c r="S2737">
        <v>199</v>
      </c>
      <c r="U2737" s="14" t="s">
        <v>77</v>
      </c>
      <c r="V2737" t="s">
        <v>1720</v>
      </c>
      <c r="X2737" s="43">
        <v>1.55</v>
      </c>
      <c r="Y2737" s="159"/>
      <c r="AA2737" s="43"/>
      <c r="AB2737">
        <v>0.35</v>
      </c>
      <c r="AC2737">
        <v>0.108</v>
      </c>
      <c r="AJ2737" s="13">
        <f t="shared" si="240"/>
        <v>2.008</v>
      </c>
      <c r="AK2737">
        <v>0</v>
      </c>
    </row>
    <row r="2738" spans="1:37" ht="19">
      <c r="A2738" s="39" t="s">
        <v>17</v>
      </c>
      <c r="B2738" s="8">
        <v>2024</v>
      </c>
      <c r="C2738" s="8" t="s">
        <v>109</v>
      </c>
      <c r="D2738" s="9" t="s">
        <v>109</v>
      </c>
      <c r="E2738" s="9" t="s">
        <v>111</v>
      </c>
      <c r="F2738" s="9" t="s">
        <v>111</v>
      </c>
      <c r="I2738" s="9" t="s">
        <v>11</v>
      </c>
      <c r="J2738" s="9" t="s">
        <v>11</v>
      </c>
      <c r="K2738" s="9" t="s">
        <v>82</v>
      </c>
      <c r="L2738" s="9" t="s">
        <v>171</v>
      </c>
      <c r="M2738" t="s">
        <v>860</v>
      </c>
      <c r="O2738" t="s">
        <v>1719</v>
      </c>
      <c r="P2738" t="s">
        <v>1725</v>
      </c>
      <c r="S2738">
        <v>198</v>
      </c>
      <c r="U2738" t="s">
        <v>1722</v>
      </c>
      <c r="V2738" t="s">
        <v>1484</v>
      </c>
      <c r="X2738" s="43">
        <v>1.5</v>
      </c>
      <c r="Y2738" s="159"/>
      <c r="AA2738" s="43"/>
      <c r="AB2738">
        <v>0.1</v>
      </c>
      <c r="AC2738">
        <v>0.108</v>
      </c>
      <c r="AK2738">
        <v>4373424</v>
      </c>
    </row>
    <row r="2739" spans="1:37" ht="19">
      <c r="A2739" s="39" t="s">
        <v>17</v>
      </c>
      <c r="B2739" s="8">
        <v>2024</v>
      </c>
      <c r="C2739" s="8" t="s">
        <v>109</v>
      </c>
      <c r="D2739" s="9" t="s">
        <v>109</v>
      </c>
      <c r="E2739" s="9" t="s">
        <v>111</v>
      </c>
      <c r="F2739" s="9" t="s">
        <v>111</v>
      </c>
      <c r="I2739" s="9" t="s">
        <v>11</v>
      </c>
      <c r="J2739" s="9" t="s">
        <v>11</v>
      </c>
      <c r="K2739" s="9" t="s">
        <v>82</v>
      </c>
      <c r="L2739" s="9" t="s">
        <v>171</v>
      </c>
      <c r="M2739" t="s">
        <v>860</v>
      </c>
      <c r="O2739" t="s">
        <v>1719</v>
      </c>
      <c r="P2739" t="s">
        <v>1726</v>
      </c>
      <c r="S2739">
        <v>267</v>
      </c>
      <c r="U2739" s="14" t="s">
        <v>77</v>
      </c>
      <c r="V2739" t="s">
        <v>1720</v>
      </c>
      <c r="X2739" s="43">
        <v>1.85</v>
      </c>
      <c r="Y2739" s="159"/>
      <c r="AA2739" s="43"/>
      <c r="AB2739">
        <v>0.35</v>
      </c>
      <c r="AC2739">
        <v>0.1305</v>
      </c>
      <c r="AJ2739" s="13">
        <f t="shared" ref="AJ2739:AJ2740" si="241">SUBTOTAL(9,X2739:AI2739)</f>
        <v>2.3305000000000002</v>
      </c>
      <c r="AK2739">
        <v>0</v>
      </c>
    </row>
    <row r="2740" spans="1:37" ht="19">
      <c r="A2740" s="39" t="s">
        <v>17</v>
      </c>
      <c r="B2740" s="8">
        <v>2024</v>
      </c>
      <c r="C2740" s="8" t="s">
        <v>109</v>
      </c>
      <c r="D2740" s="9" t="s">
        <v>109</v>
      </c>
      <c r="E2740" s="9" t="s">
        <v>111</v>
      </c>
      <c r="F2740" s="9" t="s">
        <v>111</v>
      </c>
      <c r="I2740" s="9" t="s">
        <v>11</v>
      </c>
      <c r="J2740" s="9" t="s">
        <v>11</v>
      </c>
      <c r="K2740" s="9" t="s">
        <v>82</v>
      </c>
      <c r="L2740" s="9" t="s">
        <v>171</v>
      </c>
      <c r="M2740" t="s">
        <v>860</v>
      </c>
      <c r="O2740" t="s">
        <v>1719</v>
      </c>
      <c r="P2740" t="s">
        <v>988</v>
      </c>
      <c r="S2740">
        <v>186</v>
      </c>
      <c r="U2740" s="14" t="s">
        <v>77</v>
      </c>
      <c r="V2740" t="s">
        <v>1720</v>
      </c>
      <c r="X2740" s="43">
        <v>1.45</v>
      </c>
      <c r="Y2740" s="159"/>
      <c r="AA2740" s="43"/>
      <c r="AB2740">
        <v>0.35</v>
      </c>
      <c r="AC2740">
        <v>0.10349999999999999</v>
      </c>
      <c r="AJ2740" s="13">
        <f t="shared" si="241"/>
        <v>1.9034999999999997</v>
      </c>
      <c r="AK2740">
        <v>0</v>
      </c>
    </row>
    <row r="2741" spans="1:37" ht="19">
      <c r="A2741" s="39" t="s">
        <v>17</v>
      </c>
      <c r="B2741" s="8">
        <v>2024</v>
      </c>
      <c r="C2741" s="8" t="s">
        <v>109</v>
      </c>
      <c r="D2741" s="9" t="s">
        <v>109</v>
      </c>
      <c r="E2741" s="9" t="s">
        <v>111</v>
      </c>
      <c r="F2741" s="9" t="s">
        <v>111</v>
      </c>
      <c r="I2741" s="9" t="s">
        <v>11</v>
      </c>
      <c r="J2741" s="9" t="s">
        <v>11</v>
      </c>
      <c r="K2741" s="9" t="s">
        <v>82</v>
      </c>
      <c r="L2741" s="9" t="s">
        <v>171</v>
      </c>
      <c r="M2741" t="s">
        <v>860</v>
      </c>
      <c r="O2741" t="s">
        <v>1719</v>
      </c>
      <c r="P2741" t="s">
        <v>1727</v>
      </c>
      <c r="S2741">
        <v>321</v>
      </c>
      <c r="U2741" t="s">
        <v>1722</v>
      </c>
      <c r="V2741" t="s">
        <v>1484</v>
      </c>
      <c r="X2741" s="43">
        <v>2.2000000000000002</v>
      </c>
      <c r="Y2741" s="159"/>
      <c r="AA2741" s="43"/>
      <c r="AB2741">
        <v>0.15</v>
      </c>
      <c r="AC2741">
        <v>0.1575</v>
      </c>
      <c r="AK2741">
        <v>7090248</v>
      </c>
    </row>
    <row r="2742" spans="1:37" ht="19">
      <c r="A2742" s="39" t="s">
        <v>17</v>
      </c>
      <c r="B2742" s="8">
        <v>2024</v>
      </c>
      <c r="C2742" s="8" t="s">
        <v>109</v>
      </c>
      <c r="D2742" s="9" t="s">
        <v>109</v>
      </c>
      <c r="E2742" s="9" t="s">
        <v>111</v>
      </c>
      <c r="F2742" s="9" t="s">
        <v>111</v>
      </c>
      <c r="I2742" s="9" t="s">
        <v>11</v>
      </c>
      <c r="J2742" s="9" t="s">
        <v>11</v>
      </c>
      <c r="K2742" s="9" t="s">
        <v>82</v>
      </c>
      <c r="L2742" s="9" t="s">
        <v>171</v>
      </c>
      <c r="M2742" t="s">
        <v>860</v>
      </c>
      <c r="O2742" t="s">
        <v>895</v>
      </c>
      <c r="P2742" t="s">
        <v>895</v>
      </c>
      <c r="S2742">
        <v>349</v>
      </c>
      <c r="U2742" t="s">
        <v>1722</v>
      </c>
      <c r="V2742" t="s">
        <v>1484</v>
      </c>
      <c r="X2742" s="43">
        <v>2.7</v>
      </c>
      <c r="Y2742" s="159"/>
      <c r="AA2742" s="43"/>
      <c r="AB2742">
        <v>0.15</v>
      </c>
      <c r="AC2742">
        <v>0.17100000000000001</v>
      </c>
      <c r="AK2742">
        <v>7708712</v>
      </c>
    </row>
    <row r="2743" spans="1:37" ht="19">
      <c r="A2743" s="39" t="s">
        <v>17</v>
      </c>
      <c r="B2743" s="8">
        <v>2024</v>
      </c>
      <c r="C2743" s="8" t="s">
        <v>109</v>
      </c>
      <c r="D2743" s="9" t="s">
        <v>109</v>
      </c>
      <c r="E2743" s="9" t="s">
        <v>111</v>
      </c>
      <c r="F2743" s="9" t="s">
        <v>111</v>
      </c>
      <c r="I2743" s="9" t="s">
        <v>11</v>
      </c>
      <c r="J2743" s="9" t="s">
        <v>11</v>
      </c>
      <c r="K2743" s="9" t="s">
        <v>82</v>
      </c>
      <c r="L2743" s="9" t="s">
        <v>171</v>
      </c>
      <c r="M2743" t="s">
        <v>860</v>
      </c>
      <c r="O2743" t="s">
        <v>895</v>
      </c>
      <c r="P2743" t="s">
        <v>1728</v>
      </c>
      <c r="S2743">
        <v>559</v>
      </c>
      <c r="U2743" s="14" t="s">
        <v>77</v>
      </c>
      <c r="V2743" t="s">
        <v>1720</v>
      </c>
      <c r="X2743" s="43">
        <v>3.75</v>
      </c>
      <c r="Y2743" s="159"/>
      <c r="AA2743" s="43"/>
      <c r="AB2743">
        <v>0.8</v>
      </c>
      <c r="AC2743">
        <v>0.27</v>
      </c>
      <c r="AJ2743" s="13">
        <f t="shared" ref="AJ2743:AJ2744" si="242">SUBTOTAL(9,X2743:AI2743)</f>
        <v>4.82</v>
      </c>
      <c r="AK2743">
        <v>0</v>
      </c>
    </row>
    <row r="2744" spans="1:37" ht="19">
      <c r="A2744" s="39" t="s">
        <v>17</v>
      </c>
      <c r="B2744" s="8">
        <v>2024</v>
      </c>
      <c r="C2744" s="8" t="s">
        <v>109</v>
      </c>
      <c r="D2744" s="9" t="s">
        <v>109</v>
      </c>
      <c r="E2744" s="9" t="s">
        <v>111</v>
      </c>
      <c r="F2744" s="9" t="s">
        <v>111</v>
      </c>
      <c r="I2744" s="9" t="s">
        <v>11</v>
      </c>
      <c r="J2744" s="9" t="s">
        <v>11</v>
      </c>
      <c r="K2744" s="9" t="s">
        <v>82</v>
      </c>
      <c r="L2744" s="9" t="s">
        <v>171</v>
      </c>
      <c r="M2744" t="s">
        <v>860</v>
      </c>
      <c r="O2744" t="s">
        <v>895</v>
      </c>
      <c r="P2744" t="s">
        <v>1729</v>
      </c>
      <c r="S2744">
        <v>342</v>
      </c>
      <c r="U2744" s="14" t="s">
        <v>77</v>
      </c>
      <c r="V2744" t="s">
        <v>1720</v>
      </c>
      <c r="X2744" s="43">
        <v>2.65</v>
      </c>
      <c r="Y2744" s="159"/>
      <c r="AA2744" s="43"/>
      <c r="AB2744">
        <v>0.5</v>
      </c>
      <c r="AC2744">
        <v>0.16650000000000001</v>
      </c>
      <c r="AJ2744" s="13">
        <f t="shared" si="242"/>
        <v>3.3165</v>
      </c>
      <c r="AK2744">
        <v>0</v>
      </c>
    </row>
    <row r="2745" spans="1:37" ht="19">
      <c r="A2745" s="39" t="s">
        <v>17</v>
      </c>
      <c r="B2745" s="8">
        <v>2024</v>
      </c>
      <c r="C2745" s="8" t="s">
        <v>109</v>
      </c>
      <c r="D2745" s="9" t="s">
        <v>109</v>
      </c>
      <c r="E2745" s="9" t="s">
        <v>111</v>
      </c>
      <c r="F2745" s="9" t="s">
        <v>111</v>
      </c>
      <c r="I2745" s="9" t="s">
        <v>11</v>
      </c>
      <c r="J2745" s="9" t="s">
        <v>11</v>
      </c>
      <c r="K2745" s="9" t="s">
        <v>82</v>
      </c>
      <c r="L2745" s="9" t="s">
        <v>171</v>
      </c>
      <c r="M2745" t="s">
        <v>860</v>
      </c>
      <c r="O2745" t="s">
        <v>895</v>
      </c>
      <c r="P2745" t="s">
        <v>1730</v>
      </c>
      <c r="S2745">
        <v>721</v>
      </c>
      <c r="U2745" t="s">
        <v>1722</v>
      </c>
      <c r="V2745" t="s">
        <v>1484</v>
      </c>
      <c r="X2745" s="43">
        <v>4.9000000000000004</v>
      </c>
      <c r="Y2745" s="159"/>
      <c r="AA2745" s="43"/>
      <c r="AB2745">
        <v>0.25</v>
      </c>
      <c r="AC2745">
        <v>0.34649999999999997</v>
      </c>
      <c r="AK2745">
        <v>15925448</v>
      </c>
    </row>
    <row r="2746" spans="1:37" ht="19">
      <c r="A2746" s="39" t="s">
        <v>17</v>
      </c>
      <c r="B2746" s="8">
        <v>2024</v>
      </c>
      <c r="C2746" s="8" t="s">
        <v>109</v>
      </c>
      <c r="D2746" s="9" t="s">
        <v>109</v>
      </c>
      <c r="E2746" s="9" t="s">
        <v>111</v>
      </c>
      <c r="F2746" s="9" t="s">
        <v>111</v>
      </c>
      <c r="I2746" s="9" t="s">
        <v>11</v>
      </c>
      <c r="J2746" s="9" t="s">
        <v>11</v>
      </c>
      <c r="K2746" s="9" t="s">
        <v>82</v>
      </c>
      <c r="L2746" s="9" t="s">
        <v>171</v>
      </c>
      <c r="M2746" t="s">
        <v>860</v>
      </c>
      <c r="O2746" t="s">
        <v>895</v>
      </c>
      <c r="P2746" t="s">
        <v>1731</v>
      </c>
      <c r="S2746">
        <v>337</v>
      </c>
      <c r="U2746" s="14" t="s">
        <v>77</v>
      </c>
      <c r="V2746" t="s">
        <v>1720</v>
      </c>
      <c r="X2746" s="43">
        <v>2.25</v>
      </c>
      <c r="Y2746" s="159"/>
      <c r="AA2746" s="43"/>
      <c r="AB2746">
        <v>0.5</v>
      </c>
      <c r="AC2746">
        <v>0.16650000000000001</v>
      </c>
      <c r="AJ2746" s="13">
        <f t="shared" ref="AJ2746:AJ2751" si="243">SUBTOTAL(9,X2746:AI2746)</f>
        <v>2.9165000000000001</v>
      </c>
      <c r="AK2746">
        <v>0</v>
      </c>
    </row>
    <row r="2747" spans="1:37" ht="19">
      <c r="A2747" s="39" t="s">
        <v>17</v>
      </c>
      <c r="B2747" s="8">
        <v>2024</v>
      </c>
      <c r="C2747" s="8" t="s">
        <v>109</v>
      </c>
      <c r="D2747" s="9" t="s">
        <v>109</v>
      </c>
      <c r="E2747" s="9" t="s">
        <v>111</v>
      </c>
      <c r="F2747" s="9" t="s">
        <v>111</v>
      </c>
      <c r="I2747" s="9" t="s">
        <v>11</v>
      </c>
      <c r="J2747" s="9" t="s">
        <v>11</v>
      </c>
      <c r="K2747" s="9" t="s">
        <v>82</v>
      </c>
      <c r="L2747" s="9" t="s">
        <v>171</v>
      </c>
      <c r="M2747" t="s">
        <v>860</v>
      </c>
      <c r="O2747" t="s">
        <v>895</v>
      </c>
      <c r="P2747" t="s">
        <v>1732</v>
      </c>
      <c r="S2747">
        <v>517</v>
      </c>
      <c r="U2747" s="14" t="s">
        <v>77</v>
      </c>
      <c r="V2747" t="s">
        <v>1720</v>
      </c>
      <c r="X2747" s="43">
        <v>4</v>
      </c>
      <c r="Y2747" s="159"/>
      <c r="AA2747" s="43"/>
      <c r="AB2747">
        <v>0.9</v>
      </c>
      <c r="AC2747">
        <v>0.28349999999999997</v>
      </c>
      <c r="AJ2747" s="13">
        <f t="shared" si="243"/>
        <v>5.1835000000000004</v>
      </c>
      <c r="AK2747">
        <v>0</v>
      </c>
    </row>
    <row r="2748" spans="1:37" ht="19">
      <c r="A2748" s="39" t="s">
        <v>17</v>
      </c>
      <c r="B2748" s="8">
        <v>2024</v>
      </c>
      <c r="C2748" s="8" t="s">
        <v>109</v>
      </c>
      <c r="D2748" s="9" t="s">
        <v>109</v>
      </c>
      <c r="E2748" s="9" t="s">
        <v>111</v>
      </c>
      <c r="F2748" s="9" t="s">
        <v>111</v>
      </c>
      <c r="I2748" s="9" t="s">
        <v>11</v>
      </c>
      <c r="J2748" s="9" t="s">
        <v>11</v>
      </c>
      <c r="K2748" s="9" t="s">
        <v>82</v>
      </c>
      <c r="L2748" s="9" t="s">
        <v>171</v>
      </c>
      <c r="M2748" t="s">
        <v>860</v>
      </c>
      <c r="O2748" t="s">
        <v>895</v>
      </c>
      <c r="P2748" t="s">
        <v>1733</v>
      </c>
      <c r="S2748">
        <v>320</v>
      </c>
      <c r="U2748" s="14" t="s">
        <v>77</v>
      </c>
      <c r="V2748" t="s">
        <v>1720</v>
      </c>
      <c r="X2748" s="43">
        <v>2.4500000000000002</v>
      </c>
      <c r="Y2748" s="159"/>
      <c r="AA2748" s="43"/>
      <c r="AB2748">
        <v>0.55000000000000004</v>
      </c>
      <c r="AC2748">
        <v>0.17549999999999999</v>
      </c>
      <c r="AJ2748" s="13">
        <f t="shared" si="243"/>
        <v>3.1755</v>
      </c>
      <c r="AK2748">
        <v>0</v>
      </c>
    </row>
    <row r="2749" spans="1:37" ht="19">
      <c r="A2749" s="39" t="s">
        <v>17</v>
      </c>
      <c r="B2749" s="8">
        <v>2024</v>
      </c>
      <c r="C2749" s="8" t="s">
        <v>109</v>
      </c>
      <c r="D2749" s="9" t="s">
        <v>109</v>
      </c>
      <c r="E2749" s="9" t="s">
        <v>111</v>
      </c>
      <c r="F2749" s="9" t="s">
        <v>111</v>
      </c>
      <c r="I2749" s="9" t="s">
        <v>11</v>
      </c>
      <c r="J2749" s="9" t="s">
        <v>11</v>
      </c>
      <c r="K2749" s="9" t="s">
        <v>82</v>
      </c>
      <c r="L2749" s="9" t="s">
        <v>171</v>
      </c>
      <c r="M2749" t="s">
        <v>860</v>
      </c>
      <c r="O2749" t="s">
        <v>895</v>
      </c>
      <c r="P2749" t="s">
        <v>1734</v>
      </c>
      <c r="S2749">
        <v>0</v>
      </c>
      <c r="U2749" s="14" t="s">
        <v>77</v>
      </c>
      <c r="V2749" t="s">
        <v>1720</v>
      </c>
      <c r="X2749" s="43">
        <v>0</v>
      </c>
      <c r="Y2749" s="159"/>
      <c r="AA2749" s="43"/>
      <c r="AB2749">
        <v>0</v>
      </c>
      <c r="AC2749">
        <v>0</v>
      </c>
      <c r="AJ2749" s="13">
        <f t="shared" si="243"/>
        <v>0</v>
      </c>
      <c r="AK2749">
        <v>0</v>
      </c>
    </row>
    <row r="2750" spans="1:37" ht="19">
      <c r="A2750" s="39" t="s">
        <v>17</v>
      </c>
      <c r="B2750" s="8">
        <v>2024</v>
      </c>
      <c r="C2750" s="8" t="s">
        <v>109</v>
      </c>
      <c r="D2750" s="9" t="s">
        <v>109</v>
      </c>
      <c r="E2750" s="9" t="s">
        <v>111</v>
      </c>
      <c r="F2750" s="9" t="s">
        <v>111</v>
      </c>
      <c r="I2750" s="9" t="s">
        <v>11</v>
      </c>
      <c r="J2750" s="9" t="s">
        <v>11</v>
      </c>
      <c r="K2750" s="9" t="s">
        <v>82</v>
      </c>
      <c r="L2750" s="9" t="s">
        <v>171</v>
      </c>
      <c r="M2750" t="s">
        <v>860</v>
      </c>
      <c r="O2750" t="s">
        <v>895</v>
      </c>
      <c r="P2750" t="s">
        <v>1735</v>
      </c>
      <c r="S2750">
        <v>320</v>
      </c>
      <c r="U2750" s="14" t="s">
        <v>77</v>
      </c>
      <c r="V2750" t="s">
        <v>1720</v>
      </c>
      <c r="X2750" s="43">
        <v>2.2000000000000002</v>
      </c>
      <c r="Y2750" s="159"/>
      <c r="AA2750" s="43"/>
      <c r="AB2750">
        <v>0.45</v>
      </c>
      <c r="AC2750">
        <v>0.1575</v>
      </c>
      <c r="AJ2750" s="13">
        <f t="shared" si="243"/>
        <v>2.8075000000000006</v>
      </c>
      <c r="AK2750">
        <v>0</v>
      </c>
    </row>
    <row r="2751" spans="1:37" ht="19">
      <c r="A2751" s="39" t="s">
        <v>17</v>
      </c>
      <c r="B2751" s="8">
        <v>2024</v>
      </c>
      <c r="C2751" s="8" t="s">
        <v>109</v>
      </c>
      <c r="D2751" s="9" t="s">
        <v>109</v>
      </c>
      <c r="E2751" s="9" t="s">
        <v>111</v>
      </c>
      <c r="F2751" s="9" t="s">
        <v>111</v>
      </c>
      <c r="I2751" s="9" t="s">
        <v>11</v>
      </c>
      <c r="J2751" s="9" t="s">
        <v>11</v>
      </c>
      <c r="K2751" s="9" t="s">
        <v>82</v>
      </c>
      <c r="L2751" s="9" t="s">
        <v>171</v>
      </c>
      <c r="M2751" t="s">
        <v>860</v>
      </c>
      <c r="O2751" t="s">
        <v>1054</v>
      </c>
      <c r="P2751" t="s">
        <v>1736</v>
      </c>
      <c r="S2751">
        <v>217</v>
      </c>
      <c r="U2751" s="14" t="s">
        <v>77</v>
      </c>
      <c r="V2751" t="s">
        <v>1720</v>
      </c>
      <c r="X2751" s="43">
        <v>1.65</v>
      </c>
      <c r="Y2751" s="159"/>
      <c r="AA2751" s="43"/>
      <c r="AB2751">
        <v>0.4</v>
      </c>
      <c r="AC2751">
        <v>0.1215</v>
      </c>
      <c r="AJ2751" s="13">
        <f t="shared" si="243"/>
        <v>2.1715</v>
      </c>
      <c r="AK2751">
        <v>0</v>
      </c>
    </row>
    <row r="2752" spans="1:37" ht="19">
      <c r="A2752" s="39" t="s">
        <v>17</v>
      </c>
      <c r="B2752" s="8">
        <v>2024</v>
      </c>
      <c r="C2752" s="8" t="s">
        <v>109</v>
      </c>
      <c r="D2752" s="9" t="s">
        <v>109</v>
      </c>
      <c r="E2752" s="9" t="s">
        <v>111</v>
      </c>
      <c r="F2752" s="9" t="s">
        <v>111</v>
      </c>
      <c r="I2752" s="9" t="s">
        <v>11</v>
      </c>
      <c r="J2752" s="9" t="s">
        <v>11</v>
      </c>
      <c r="K2752" s="9" t="s">
        <v>82</v>
      </c>
      <c r="L2752" s="9" t="s">
        <v>171</v>
      </c>
      <c r="M2752" t="s">
        <v>860</v>
      </c>
      <c r="O2752" t="s">
        <v>1054</v>
      </c>
      <c r="P2752" t="s">
        <v>1737</v>
      </c>
      <c r="S2752">
        <v>327</v>
      </c>
      <c r="U2752" t="s">
        <v>1722</v>
      </c>
      <c r="V2752" t="s">
        <v>1484</v>
      </c>
      <c r="X2752" s="43">
        <v>2.2000000000000002</v>
      </c>
      <c r="Y2752" s="159"/>
      <c r="AA2752" s="43"/>
      <c r="AB2752">
        <v>0.15</v>
      </c>
      <c r="AC2752">
        <v>0.1575</v>
      </c>
      <c r="AK2752">
        <v>7222776</v>
      </c>
    </row>
    <row r="2753" spans="1:37" ht="19">
      <c r="A2753" s="39" t="s">
        <v>17</v>
      </c>
      <c r="B2753" s="8">
        <v>2024</v>
      </c>
      <c r="C2753" s="8" t="s">
        <v>109</v>
      </c>
      <c r="D2753" s="9" t="s">
        <v>109</v>
      </c>
      <c r="E2753" s="9" t="s">
        <v>111</v>
      </c>
      <c r="F2753" s="9" t="s">
        <v>111</v>
      </c>
      <c r="I2753" s="9" t="s">
        <v>11</v>
      </c>
      <c r="J2753" s="9" t="s">
        <v>11</v>
      </c>
      <c r="K2753" s="9" t="s">
        <v>82</v>
      </c>
      <c r="L2753" s="9" t="s">
        <v>171</v>
      </c>
      <c r="M2753" t="s">
        <v>860</v>
      </c>
      <c r="O2753" t="s">
        <v>1164</v>
      </c>
      <c r="P2753" t="s">
        <v>1738</v>
      </c>
      <c r="S2753">
        <v>227</v>
      </c>
      <c r="U2753" s="14" t="s">
        <v>77</v>
      </c>
      <c r="V2753" t="s">
        <v>1720</v>
      </c>
      <c r="X2753" s="43">
        <v>1.55</v>
      </c>
      <c r="Y2753" s="159"/>
      <c r="AA2753" s="43"/>
      <c r="AB2753">
        <v>0.3</v>
      </c>
      <c r="AC2753">
        <v>0.108</v>
      </c>
      <c r="AJ2753" s="13">
        <f t="shared" ref="AJ2753:AJ2754" si="244">SUBTOTAL(9,X2753:AI2753)</f>
        <v>1.9580000000000002</v>
      </c>
      <c r="AK2753">
        <v>0</v>
      </c>
    </row>
    <row r="2754" spans="1:37" ht="19">
      <c r="A2754" s="39" t="s">
        <v>17</v>
      </c>
      <c r="B2754" s="8">
        <v>2024</v>
      </c>
      <c r="C2754" s="8" t="s">
        <v>109</v>
      </c>
      <c r="D2754" s="9" t="s">
        <v>109</v>
      </c>
      <c r="E2754" s="9" t="s">
        <v>111</v>
      </c>
      <c r="F2754" s="9" t="s">
        <v>111</v>
      </c>
      <c r="I2754" s="9" t="s">
        <v>11</v>
      </c>
      <c r="J2754" s="9" t="s">
        <v>11</v>
      </c>
      <c r="K2754" s="9" t="s">
        <v>82</v>
      </c>
      <c r="L2754" s="9" t="s">
        <v>171</v>
      </c>
      <c r="M2754" t="s">
        <v>860</v>
      </c>
      <c r="O2754" t="s">
        <v>1054</v>
      </c>
      <c r="P2754" t="s">
        <v>1739</v>
      </c>
      <c r="S2754">
        <v>320</v>
      </c>
      <c r="U2754" s="14" t="s">
        <v>77</v>
      </c>
      <c r="V2754" t="s">
        <v>1720</v>
      </c>
      <c r="X2754" s="43">
        <v>2.2000000000000002</v>
      </c>
      <c r="Y2754" s="159"/>
      <c r="AA2754" s="43"/>
      <c r="AB2754">
        <v>0.45</v>
      </c>
      <c r="AC2754">
        <v>0.1575</v>
      </c>
      <c r="AJ2754" s="13">
        <f t="shared" si="244"/>
        <v>2.8075000000000006</v>
      </c>
      <c r="AK2754">
        <v>0</v>
      </c>
    </row>
    <row r="2755" spans="1:37" ht="19">
      <c r="A2755" s="39" t="s">
        <v>17</v>
      </c>
      <c r="B2755" s="8">
        <v>2024</v>
      </c>
      <c r="C2755" s="8" t="s">
        <v>109</v>
      </c>
      <c r="D2755" s="9" t="s">
        <v>109</v>
      </c>
      <c r="E2755" s="9" t="s">
        <v>111</v>
      </c>
      <c r="F2755" s="9" t="s">
        <v>111</v>
      </c>
      <c r="I2755" s="9" t="s">
        <v>11</v>
      </c>
      <c r="J2755" s="9" t="s">
        <v>11</v>
      </c>
      <c r="K2755" s="9" t="s">
        <v>82</v>
      </c>
      <c r="L2755" s="9" t="s">
        <v>171</v>
      </c>
      <c r="M2755" t="s">
        <v>860</v>
      </c>
      <c r="O2755" t="s">
        <v>1054</v>
      </c>
      <c r="P2755" t="s">
        <v>1740</v>
      </c>
      <c r="S2755">
        <v>277</v>
      </c>
      <c r="U2755" t="s">
        <v>1722</v>
      </c>
      <c r="V2755" t="s">
        <v>1484</v>
      </c>
      <c r="X2755" s="43">
        <v>1.9</v>
      </c>
      <c r="Y2755" s="159"/>
      <c r="AA2755" s="43"/>
      <c r="AB2755">
        <v>0.1</v>
      </c>
      <c r="AC2755">
        <v>0.13500000000000001</v>
      </c>
      <c r="AK2755">
        <v>6118376</v>
      </c>
    </row>
    <row r="2756" spans="1:37" ht="19">
      <c r="A2756" s="39" t="s">
        <v>17</v>
      </c>
      <c r="B2756" s="8">
        <v>2024</v>
      </c>
      <c r="C2756" s="8" t="s">
        <v>109</v>
      </c>
      <c r="D2756" s="9" t="s">
        <v>109</v>
      </c>
      <c r="E2756" s="9" t="s">
        <v>111</v>
      </c>
      <c r="F2756" s="9" t="s">
        <v>111</v>
      </c>
      <c r="I2756" s="9" t="s">
        <v>11</v>
      </c>
      <c r="J2756" s="9" t="s">
        <v>11</v>
      </c>
      <c r="K2756" s="9" t="s">
        <v>82</v>
      </c>
      <c r="L2756" s="9" t="s">
        <v>171</v>
      </c>
      <c r="M2756" t="s">
        <v>860</v>
      </c>
      <c r="O2756" t="s">
        <v>1054</v>
      </c>
      <c r="P2756" t="s">
        <v>1741</v>
      </c>
      <c r="S2756">
        <v>440</v>
      </c>
      <c r="U2756" s="14" t="s">
        <v>77</v>
      </c>
      <c r="V2756" t="s">
        <v>1720</v>
      </c>
      <c r="X2756" s="43">
        <v>3</v>
      </c>
      <c r="Y2756" s="159"/>
      <c r="AA2756" s="43"/>
      <c r="AB2756">
        <v>0.65</v>
      </c>
      <c r="AC2756">
        <v>0.21149999999999999</v>
      </c>
      <c r="AJ2756" s="13">
        <f t="shared" ref="AJ2756:AJ2758" si="245">SUBTOTAL(9,X2756:AI2756)</f>
        <v>3.8614999999999999</v>
      </c>
      <c r="AK2756">
        <v>0</v>
      </c>
    </row>
    <row r="2757" spans="1:37" ht="19">
      <c r="A2757" s="39" t="s">
        <v>17</v>
      </c>
      <c r="B2757" s="8">
        <v>2024</v>
      </c>
      <c r="C2757" s="8" t="s">
        <v>109</v>
      </c>
      <c r="D2757" s="9" t="s">
        <v>109</v>
      </c>
      <c r="E2757" s="9" t="s">
        <v>111</v>
      </c>
      <c r="F2757" s="9" t="s">
        <v>111</v>
      </c>
      <c r="I2757" s="9" t="s">
        <v>11</v>
      </c>
      <c r="J2757" s="9" t="s">
        <v>11</v>
      </c>
      <c r="K2757" s="9" t="s">
        <v>82</v>
      </c>
      <c r="L2757" s="9" t="s">
        <v>171</v>
      </c>
      <c r="M2757" t="s">
        <v>860</v>
      </c>
      <c r="O2757" t="s">
        <v>1054</v>
      </c>
      <c r="P2757" t="s">
        <v>1742</v>
      </c>
      <c r="S2757">
        <v>344</v>
      </c>
      <c r="U2757" s="14" t="s">
        <v>77</v>
      </c>
      <c r="V2757" t="s">
        <v>1720</v>
      </c>
      <c r="X2757" s="43">
        <v>2.35</v>
      </c>
      <c r="Y2757" s="159"/>
      <c r="AA2757" s="43"/>
      <c r="AB2757">
        <v>0.5</v>
      </c>
      <c r="AC2757">
        <v>0.16650000000000001</v>
      </c>
      <c r="AJ2757" s="13">
        <f t="shared" si="245"/>
        <v>3.0165000000000002</v>
      </c>
      <c r="AK2757">
        <v>0</v>
      </c>
    </row>
    <row r="2758" spans="1:37" ht="19">
      <c r="A2758" s="39" t="s">
        <v>17</v>
      </c>
      <c r="B2758" s="8">
        <v>2024</v>
      </c>
      <c r="C2758" s="8" t="s">
        <v>109</v>
      </c>
      <c r="D2758" s="9" t="s">
        <v>109</v>
      </c>
      <c r="E2758" s="9" t="s">
        <v>111</v>
      </c>
      <c r="F2758" s="9" t="s">
        <v>111</v>
      </c>
      <c r="I2758" s="9" t="s">
        <v>11</v>
      </c>
      <c r="J2758" s="9" t="s">
        <v>11</v>
      </c>
      <c r="K2758" s="9" t="s">
        <v>82</v>
      </c>
      <c r="L2758" s="9" t="s">
        <v>171</v>
      </c>
      <c r="M2758" t="s">
        <v>860</v>
      </c>
      <c r="O2758" t="s">
        <v>1054</v>
      </c>
      <c r="P2758" t="s">
        <v>866</v>
      </c>
      <c r="S2758">
        <v>215</v>
      </c>
      <c r="U2758" s="14" t="s">
        <v>77</v>
      </c>
      <c r="V2758" t="s">
        <v>1720</v>
      </c>
      <c r="X2758" s="43">
        <v>1.65</v>
      </c>
      <c r="Y2758" s="159"/>
      <c r="AA2758" s="43"/>
      <c r="AB2758">
        <v>0.4</v>
      </c>
      <c r="AC2758">
        <v>0.11700000000000001</v>
      </c>
      <c r="AJ2758" s="13">
        <f t="shared" si="245"/>
        <v>2.1669999999999998</v>
      </c>
      <c r="AK2758">
        <v>0</v>
      </c>
    </row>
    <row r="2759" spans="1:37" ht="19">
      <c r="A2759" s="39" t="s">
        <v>17</v>
      </c>
      <c r="B2759" s="8">
        <v>2024</v>
      </c>
      <c r="C2759" s="8" t="s">
        <v>109</v>
      </c>
      <c r="D2759" s="9" t="s">
        <v>109</v>
      </c>
      <c r="E2759" s="9" t="s">
        <v>111</v>
      </c>
      <c r="F2759" s="9" t="s">
        <v>111</v>
      </c>
      <c r="I2759" s="9" t="s">
        <v>11</v>
      </c>
      <c r="J2759" s="9" t="s">
        <v>11</v>
      </c>
      <c r="K2759" s="9" t="s">
        <v>82</v>
      </c>
      <c r="L2759" s="9" t="s">
        <v>171</v>
      </c>
      <c r="M2759" t="s">
        <v>860</v>
      </c>
      <c r="O2759" t="s">
        <v>1054</v>
      </c>
      <c r="P2759" t="s">
        <v>1743</v>
      </c>
      <c r="S2759">
        <v>167</v>
      </c>
      <c r="U2759" t="s">
        <v>1722</v>
      </c>
      <c r="V2759" t="s">
        <v>1484</v>
      </c>
      <c r="X2759" s="43">
        <v>1.3</v>
      </c>
      <c r="Y2759" s="159"/>
      <c r="AA2759" s="43"/>
      <c r="AB2759">
        <v>0.1</v>
      </c>
      <c r="AC2759">
        <v>0.09</v>
      </c>
      <c r="AK2759">
        <v>3688696</v>
      </c>
    </row>
    <row r="2760" spans="1:37" ht="19">
      <c r="A2760" s="39" t="s">
        <v>17</v>
      </c>
      <c r="B2760" s="8">
        <v>2024</v>
      </c>
      <c r="C2760" s="8" t="s">
        <v>109</v>
      </c>
      <c r="D2760" s="9" t="s">
        <v>109</v>
      </c>
      <c r="E2760" s="9" t="s">
        <v>111</v>
      </c>
      <c r="F2760" s="9" t="s">
        <v>111</v>
      </c>
      <c r="I2760" s="9" t="s">
        <v>11</v>
      </c>
      <c r="J2760" s="9" t="s">
        <v>11</v>
      </c>
      <c r="K2760" s="9" t="s">
        <v>82</v>
      </c>
      <c r="L2760" s="9" t="s">
        <v>171</v>
      </c>
      <c r="M2760" t="s">
        <v>860</v>
      </c>
      <c r="O2760" t="s">
        <v>1054</v>
      </c>
      <c r="P2760" t="s">
        <v>1744</v>
      </c>
      <c r="S2760">
        <v>260</v>
      </c>
      <c r="U2760" s="14" t="s">
        <v>77</v>
      </c>
      <c r="V2760" t="s">
        <v>1720</v>
      </c>
      <c r="X2760" s="43">
        <v>1.75</v>
      </c>
      <c r="Y2760" s="159"/>
      <c r="AA2760" s="43"/>
      <c r="AB2760">
        <v>0.4</v>
      </c>
      <c r="AC2760">
        <v>0.126</v>
      </c>
      <c r="AJ2760" s="13">
        <f t="shared" ref="AJ2760:AJ2763" si="246">SUBTOTAL(9,X2760:AI2760)</f>
        <v>2.2759999999999998</v>
      </c>
      <c r="AK2760">
        <v>0</v>
      </c>
    </row>
    <row r="2761" spans="1:37" ht="19">
      <c r="A2761" s="39" t="s">
        <v>17</v>
      </c>
      <c r="B2761" s="8">
        <v>2024</v>
      </c>
      <c r="C2761" s="8" t="s">
        <v>109</v>
      </c>
      <c r="D2761" s="9" t="s">
        <v>109</v>
      </c>
      <c r="E2761" s="9" t="s">
        <v>111</v>
      </c>
      <c r="F2761" s="9" t="s">
        <v>111</v>
      </c>
      <c r="I2761" s="9" t="s">
        <v>11</v>
      </c>
      <c r="J2761" s="9" t="s">
        <v>11</v>
      </c>
      <c r="K2761" s="9" t="s">
        <v>82</v>
      </c>
      <c r="L2761" s="9" t="s">
        <v>171</v>
      </c>
      <c r="M2761" t="s">
        <v>860</v>
      </c>
      <c r="O2761" t="s">
        <v>1054</v>
      </c>
      <c r="P2761" t="s">
        <v>1745</v>
      </c>
      <c r="S2761">
        <v>287</v>
      </c>
      <c r="U2761" s="14" t="s">
        <v>77</v>
      </c>
      <c r="V2761" t="s">
        <v>1720</v>
      </c>
      <c r="X2761" s="43">
        <v>1.95</v>
      </c>
      <c r="Y2761" s="159"/>
      <c r="AA2761" s="43"/>
      <c r="AB2761">
        <v>0.4</v>
      </c>
      <c r="AC2761">
        <v>0.13950000000000001</v>
      </c>
      <c r="AJ2761" s="13">
        <f t="shared" si="246"/>
        <v>2.4895</v>
      </c>
      <c r="AK2761">
        <v>0</v>
      </c>
    </row>
    <row r="2762" spans="1:37" ht="19">
      <c r="A2762" s="39" t="s">
        <v>17</v>
      </c>
      <c r="B2762" s="8">
        <v>2024</v>
      </c>
      <c r="C2762" s="8" t="s">
        <v>109</v>
      </c>
      <c r="D2762" s="9" t="s">
        <v>109</v>
      </c>
      <c r="E2762" s="9" t="s">
        <v>111</v>
      </c>
      <c r="F2762" s="9" t="s">
        <v>111</v>
      </c>
      <c r="I2762" s="9" t="s">
        <v>11</v>
      </c>
      <c r="J2762" s="9" t="s">
        <v>11</v>
      </c>
      <c r="K2762" s="9" t="s">
        <v>82</v>
      </c>
      <c r="L2762" s="9" t="s">
        <v>171</v>
      </c>
      <c r="M2762" t="s">
        <v>860</v>
      </c>
      <c r="O2762" t="s">
        <v>1054</v>
      </c>
      <c r="P2762" t="s">
        <v>1746</v>
      </c>
      <c r="S2762">
        <v>226</v>
      </c>
      <c r="U2762" s="14" t="s">
        <v>77</v>
      </c>
      <c r="V2762" t="s">
        <v>1720</v>
      </c>
      <c r="X2762" s="43">
        <v>1.55</v>
      </c>
      <c r="Y2762" s="159"/>
      <c r="AA2762" s="43"/>
      <c r="AB2762">
        <v>0.3</v>
      </c>
      <c r="AC2762">
        <v>0.108</v>
      </c>
      <c r="AJ2762" s="13">
        <f t="shared" si="246"/>
        <v>1.9580000000000002</v>
      </c>
      <c r="AK2762">
        <v>0</v>
      </c>
    </row>
    <row r="2763" spans="1:37" ht="19">
      <c r="A2763" s="39" t="s">
        <v>17</v>
      </c>
      <c r="B2763" s="8">
        <v>2024</v>
      </c>
      <c r="C2763" s="8" t="s">
        <v>109</v>
      </c>
      <c r="D2763" s="9" t="s">
        <v>109</v>
      </c>
      <c r="E2763" s="9" t="s">
        <v>111</v>
      </c>
      <c r="F2763" s="9" t="s">
        <v>111</v>
      </c>
      <c r="I2763" s="9" t="s">
        <v>11</v>
      </c>
      <c r="J2763" s="9" t="s">
        <v>11</v>
      </c>
      <c r="K2763" s="9" t="s">
        <v>82</v>
      </c>
      <c r="L2763" s="9" t="s">
        <v>171</v>
      </c>
      <c r="M2763" t="s">
        <v>860</v>
      </c>
      <c r="O2763" t="s">
        <v>1054</v>
      </c>
      <c r="P2763" t="s">
        <v>1747</v>
      </c>
      <c r="S2763">
        <v>273</v>
      </c>
      <c r="U2763" s="14" t="s">
        <v>77</v>
      </c>
      <c r="V2763" t="s">
        <v>1720</v>
      </c>
      <c r="X2763" s="43">
        <v>1.85</v>
      </c>
      <c r="Y2763" s="159"/>
      <c r="AA2763" s="43"/>
      <c r="AB2763">
        <v>0.4</v>
      </c>
      <c r="AC2763">
        <v>0.13500000000000001</v>
      </c>
      <c r="AJ2763" s="13">
        <f t="shared" si="246"/>
        <v>2.3849999999999998</v>
      </c>
      <c r="AK2763">
        <v>0</v>
      </c>
    </row>
    <row r="2764" spans="1:37" ht="19">
      <c r="A2764" s="39" t="s">
        <v>17</v>
      </c>
      <c r="B2764" s="8">
        <v>2024</v>
      </c>
      <c r="C2764" s="8" t="s">
        <v>109</v>
      </c>
      <c r="D2764" s="9" t="s">
        <v>109</v>
      </c>
      <c r="E2764" s="9" t="s">
        <v>111</v>
      </c>
      <c r="F2764" s="9" t="s">
        <v>111</v>
      </c>
      <c r="I2764" s="9" t="s">
        <v>11</v>
      </c>
      <c r="J2764" s="9" t="s">
        <v>11</v>
      </c>
      <c r="K2764" s="9" t="s">
        <v>82</v>
      </c>
      <c r="L2764" s="9" t="s">
        <v>171</v>
      </c>
      <c r="M2764" t="s">
        <v>860</v>
      </c>
      <c r="O2764" t="s">
        <v>1054</v>
      </c>
      <c r="P2764" t="s">
        <v>1748</v>
      </c>
      <c r="S2764">
        <v>164</v>
      </c>
      <c r="U2764" t="s">
        <v>1722</v>
      </c>
      <c r="V2764" t="s">
        <v>1484</v>
      </c>
      <c r="X2764" s="43">
        <v>1.25</v>
      </c>
      <c r="Y2764" s="159"/>
      <c r="AA2764" s="43"/>
      <c r="AB2764">
        <v>0.1</v>
      </c>
      <c r="AC2764">
        <v>0.09</v>
      </c>
      <c r="AK2764">
        <v>3622432</v>
      </c>
    </row>
    <row r="2765" spans="1:37" ht="19">
      <c r="A2765" s="39" t="s">
        <v>17</v>
      </c>
      <c r="B2765" s="8">
        <v>2024</v>
      </c>
      <c r="C2765" s="8" t="s">
        <v>109</v>
      </c>
      <c r="D2765" s="9" t="s">
        <v>109</v>
      </c>
      <c r="E2765" s="9" t="s">
        <v>111</v>
      </c>
      <c r="F2765" s="9" t="s">
        <v>111</v>
      </c>
      <c r="I2765" s="9" t="s">
        <v>11</v>
      </c>
      <c r="J2765" s="9" t="s">
        <v>11</v>
      </c>
      <c r="K2765" s="9" t="s">
        <v>82</v>
      </c>
      <c r="L2765" s="9" t="s">
        <v>171</v>
      </c>
      <c r="M2765" t="s">
        <v>860</v>
      </c>
      <c r="O2765" t="s">
        <v>1054</v>
      </c>
      <c r="P2765" t="s">
        <v>1749</v>
      </c>
      <c r="S2765">
        <v>246</v>
      </c>
      <c r="U2765" t="s">
        <v>1722</v>
      </c>
      <c r="V2765" t="s">
        <v>1484</v>
      </c>
      <c r="X2765" s="43">
        <v>1.65</v>
      </c>
      <c r="Y2765" s="159"/>
      <c r="AA2765" s="43"/>
      <c r="AB2765">
        <v>0.1</v>
      </c>
      <c r="AC2765">
        <v>0.1215</v>
      </c>
      <c r="AK2765">
        <v>5433648</v>
      </c>
    </row>
    <row r="2766" spans="1:37" ht="19">
      <c r="A2766" s="39" t="s">
        <v>17</v>
      </c>
      <c r="B2766" s="8">
        <v>2024</v>
      </c>
      <c r="C2766" s="8" t="s">
        <v>109</v>
      </c>
      <c r="D2766" s="9" t="s">
        <v>109</v>
      </c>
      <c r="E2766" s="9" t="s">
        <v>111</v>
      </c>
      <c r="F2766" s="9" t="s">
        <v>111</v>
      </c>
      <c r="I2766" s="9" t="s">
        <v>11</v>
      </c>
      <c r="J2766" s="9" t="s">
        <v>11</v>
      </c>
      <c r="K2766" s="9" t="s">
        <v>82</v>
      </c>
      <c r="L2766" s="9" t="s">
        <v>171</v>
      </c>
      <c r="M2766" t="s">
        <v>860</v>
      </c>
      <c r="O2766" t="s">
        <v>900</v>
      </c>
      <c r="P2766" t="s">
        <v>1750</v>
      </c>
      <c r="S2766">
        <v>161</v>
      </c>
      <c r="U2766" s="14" t="s">
        <v>77</v>
      </c>
      <c r="V2766" t="s">
        <v>1720</v>
      </c>
      <c r="X2766" s="43">
        <v>1.25</v>
      </c>
      <c r="Y2766" s="159"/>
      <c r="AA2766" s="43"/>
      <c r="AB2766">
        <v>0.3</v>
      </c>
      <c r="AC2766">
        <v>0.09</v>
      </c>
      <c r="AJ2766" s="13">
        <f t="shared" ref="AJ2766:AJ2770" si="247">SUBTOTAL(9,X2766:AI2766)</f>
        <v>1.6400000000000001</v>
      </c>
      <c r="AK2766">
        <v>0</v>
      </c>
    </row>
    <row r="2767" spans="1:37" ht="19">
      <c r="A2767" s="39" t="s">
        <v>17</v>
      </c>
      <c r="B2767" s="8">
        <v>2024</v>
      </c>
      <c r="C2767" s="8" t="s">
        <v>109</v>
      </c>
      <c r="D2767" s="9" t="s">
        <v>109</v>
      </c>
      <c r="E2767" s="9" t="s">
        <v>111</v>
      </c>
      <c r="F2767" s="9" t="s">
        <v>111</v>
      </c>
      <c r="I2767" s="9" t="s">
        <v>11</v>
      </c>
      <c r="J2767" s="9" t="s">
        <v>11</v>
      </c>
      <c r="K2767" s="9" t="s">
        <v>82</v>
      </c>
      <c r="L2767" s="9" t="s">
        <v>171</v>
      </c>
      <c r="M2767" t="s">
        <v>860</v>
      </c>
      <c r="O2767" t="s">
        <v>900</v>
      </c>
      <c r="P2767" t="s">
        <v>900</v>
      </c>
      <c r="S2767">
        <v>639</v>
      </c>
      <c r="U2767" s="14" t="s">
        <v>77</v>
      </c>
      <c r="V2767" t="s">
        <v>1720</v>
      </c>
      <c r="X2767" s="43">
        <v>4.3</v>
      </c>
      <c r="Y2767" s="159"/>
      <c r="AA2767" s="43"/>
      <c r="AB2767">
        <v>0.9</v>
      </c>
      <c r="AC2767">
        <v>0.3105</v>
      </c>
      <c r="AJ2767" s="13">
        <f t="shared" si="247"/>
        <v>5.5105000000000004</v>
      </c>
      <c r="AK2767">
        <v>0</v>
      </c>
    </row>
    <row r="2768" spans="1:37" ht="19">
      <c r="A2768" s="39" t="s">
        <v>17</v>
      </c>
      <c r="B2768" s="8">
        <v>2024</v>
      </c>
      <c r="C2768" s="8" t="s">
        <v>109</v>
      </c>
      <c r="D2768" s="9" t="s">
        <v>109</v>
      </c>
      <c r="E2768" s="9" t="s">
        <v>111</v>
      </c>
      <c r="F2768" s="9" t="s">
        <v>111</v>
      </c>
      <c r="I2768" s="9" t="s">
        <v>11</v>
      </c>
      <c r="J2768" s="9" t="s">
        <v>11</v>
      </c>
      <c r="K2768" s="9" t="s">
        <v>82</v>
      </c>
      <c r="L2768" s="9" t="s">
        <v>171</v>
      </c>
      <c r="M2768" t="s">
        <v>860</v>
      </c>
      <c r="O2768" t="s">
        <v>900</v>
      </c>
      <c r="P2768" t="s">
        <v>1751</v>
      </c>
      <c r="S2768">
        <v>333</v>
      </c>
      <c r="U2768" s="14" t="s">
        <v>77</v>
      </c>
      <c r="V2768" t="s">
        <v>1720</v>
      </c>
      <c r="X2768" s="43">
        <v>2.2999999999999998</v>
      </c>
      <c r="Y2768" s="159"/>
      <c r="AA2768" s="43"/>
      <c r="AB2768">
        <v>0.45</v>
      </c>
      <c r="AC2768">
        <v>0.16200000000000001</v>
      </c>
      <c r="AJ2768" s="13">
        <f t="shared" si="247"/>
        <v>2.9119999999999999</v>
      </c>
      <c r="AK2768">
        <v>0</v>
      </c>
    </row>
    <row r="2769" spans="1:37" ht="19">
      <c r="A2769" s="39" t="s">
        <v>17</v>
      </c>
      <c r="B2769" s="8">
        <v>2024</v>
      </c>
      <c r="C2769" s="8" t="s">
        <v>109</v>
      </c>
      <c r="D2769" s="9" t="s">
        <v>109</v>
      </c>
      <c r="E2769" s="9" t="s">
        <v>111</v>
      </c>
      <c r="F2769" s="9" t="s">
        <v>111</v>
      </c>
      <c r="I2769" s="9" t="s">
        <v>11</v>
      </c>
      <c r="J2769" s="9" t="s">
        <v>11</v>
      </c>
      <c r="K2769" s="9" t="s">
        <v>82</v>
      </c>
      <c r="L2769" s="9" t="s">
        <v>171</v>
      </c>
      <c r="M2769" t="s">
        <v>860</v>
      </c>
      <c r="O2769" t="s">
        <v>900</v>
      </c>
      <c r="P2769" t="s">
        <v>1752</v>
      </c>
      <c r="S2769">
        <v>241</v>
      </c>
      <c r="U2769" s="14" t="s">
        <v>77</v>
      </c>
      <c r="V2769" t="s">
        <v>1720</v>
      </c>
      <c r="X2769" s="43">
        <v>1.85</v>
      </c>
      <c r="Y2769" s="159"/>
      <c r="AA2769" s="43"/>
      <c r="AB2769">
        <v>0.4</v>
      </c>
      <c r="AC2769">
        <v>0.1305</v>
      </c>
      <c r="AJ2769" s="13">
        <f t="shared" si="247"/>
        <v>2.3805000000000001</v>
      </c>
      <c r="AK2769">
        <v>0</v>
      </c>
    </row>
    <row r="2770" spans="1:37" ht="19">
      <c r="A2770" s="39" t="s">
        <v>17</v>
      </c>
      <c r="B2770" s="8">
        <v>2024</v>
      </c>
      <c r="C2770" s="8" t="s">
        <v>109</v>
      </c>
      <c r="D2770" s="9" t="s">
        <v>109</v>
      </c>
      <c r="E2770" s="9" t="s">
        <v>111</v>
      </c>
      <c r="F2770" s="9" t="s">
        <v>111</v>
      </c>
      <c r="I2770" s="9" t="s">
        <v>11</v>
      </c>
      <c r="J2770" s="9" t="s">
        <v>11</v>
      </c>
      <c r="K2770" s="9" t="s">
        <v>82</v>
      </c>
      <c r="L2770" s="9" t="s">
        <v>171</v>
      </c>
      <c r="M2770" t="s">
        <v>860</v>
      </c>
      <c r="O2770" t="s">
        <v>900</v>
      </c>
      <c r="P2770" t="s">
        <v>1027</v>
      </c>
      <c r="S2770">
        <v>156</v>
      </c>
      <c r="U2770" s="14" t="s">
        <v>77</v>
      </c>
      <c r="V2770" t="s">
        <v>1720</v>
      </c>
      <c r="X2770" s="43">
        <v>1.2</v>
      </c>
      <c r="Y2770" s="159"/>
      <c r="AA2770" s="43"/>
      <c r="AB2770">
        <v>0.3</v>
      </c>
      <c r="AC2770">
        <v>8.5500000000000007E-2</v>
      </c>
      <c r="AJ2770" s="13">
        <f t="shared" si="247"/>
        <v>1.5854999999999999</v>
      </c>
      <c r="AK2770">
        <v>0</v>
      </c>
    </row>
    <row r="2771" spans="1:37" ht="19">
      <c r="A2771" s="39" t="s">
        <v>17</v>
      </c>
      <c r="B2771" s="8">
        <v>2024</v>
      </c>
      <c r="C2771" s="8" t="s">
        <v>109</v>
      </c>
      <c r="D2771" s="9" t="s">
        <v>109</v>
      </c>
      <c r="E2771" s="9" t="s">
        <v>111</v>
      </c>
      <c r="F2771" s="9" t="s">
        <v>111</v>
      </c>
      <c r="I2771" s="9" t="s">
        <v>11</v>
      </c>
      <c r="J2771" s="9" t="s">
        <v>11</v>
      </c>
      <c r="K2771" s="9" t="s">
        <v>82</v>
      </c>
      <c r="L2771" s="9" t="s">
        <v>171</v>
      </c>
      <c r="M2771" t="s">
        <v>860</v>
      </c>
      <c r="O2771" t="s">
        <v>900</v>
      </c>
      <c r="P2771" t="s">
        <v>1753</v>
      </c>
      <c r="S2771">
        <v>182</v>
      </c>
      <c r="U2771" t="s">
        <v>1722</v>
      </c>
      <c r="V2771" t="s">
        <v>1484</v>
      </c>
      <c r="X2771" s="43">
        <v>1.4</v>
      </c>
      <c r="Y2771" s="159"/>
      <c r="AA2771" s="43"/>
      <c r="AB2771">
        <v>0.1</v>
      </c>
      <c r="AC2771">
        <v>9.9000000000000005E-2</v>
      </c>
      <c r="AK2771">
        <v>4020016</v>
      </c>
    </row>
    <row r="2772" spans="1:37" ht="19">
      <c r="A2772" s="39" t="s">
        <v>17</v>
      </c>
      <c r="B2772" s="8">
        <v>2024</v>
      </c>
      <c r="C2772" s="8" t="s">
        <v>109</v>
      </c>
      <c r="D2772" s="9" t="s">
        <v>109</v>
      </c>
      <c r="E2772" s="9" t="s">
        <v>111</v>
      </c>
      <c r="F2772" s="9" t="s">
        <v>111</v>
      </c>
      <c r="I2772" s="9" t="s">
        <v>11</v>
      </c>
      <c r="J2772" s="9" t="s">
        <v>11</v>
      </c>
      <c r="K2772" s="9" t="s">
        <v>82</v>
      </c>
      <c r="L2772" s="9" t="s">
        <v>171</v>
      </c>
      <c r="M2772" t="s">
        <v>860</v>
      </c>
      <c r="O2772" t="s">
        <v>990</v>
      </c>
      <c r="P2772" t="s">
        <v>1754</v>
      </c>
      <c r="S2772">
        <v>420</v>
      </c>
      <c r="U2772" t="s">
        <v>1722</v>
      </c>
      <c r="V2772" t="s">
        <v>1484</v>
      </c>
      <c r="X2772" s="43">
        <v>2.85</v>
      </c>
      <c r="Y2772" s="159"/>
      <c r="AA2772" s="43"/>
      <c r="AB2772">
        <v>0.15</v>
      </c>
      <c r="AC2772">
        <v>0.20699999999999999</v>
      </c>
      <c r="AK2772">
        <v>9276960</v>
      </c>
    </row>
    <row r="2773" spans="1:37" ht="19">
      <c r="A2773" s="39" t="s">
        <v>17</v>
      </c>
      <c r="B2773" s="8">
        <v>2024</v>
      </c>
      <c r="C2773" s="8" t="s">
        <v>109</v>
      </c>
      <c r="D2773" s="9" t="s">
        <v>109</v>
      </c>
      <c r="E2773" s="9" t="s">
        <v>111</v>
      </c>
      <c r="F2773" s="9" t="s">
        <v>111</v>
      </c>
      <c r="I2773" s="9" t="s">
        <v>11</v>
      </c>
      <c r="J2773" s="9" t="s">
        <v>11</v>
      </c>
      <c r="K2773" s="9" t="s">
        <v>82</v>
      </c>
      <c r="L2773" s="9" t="s">
        <v>171</v>
      </c>
      <c r="M2773" t="s">
        <v>860</v>
      </c>
      <c r="O2773" t="s">
        <v>990</v>
      </c>
      <c r="P2773" t="s">
        <v>1755</v>
      </c>
      <c r="S2773">
        <v>727</v>
      </c>
      <c r="U2773" t="s">
        <v>1722</v>
      </c>
      <c r="V2773" t="s">
        <v>1484</v>
      </c>
      <c r="X2773" s="43">
        <v>4.9000000000000004</v>
      </c>
      <c r="Y2773" s="159"/>
      <c r="AA2773" s="43"/>
      <c r="AB2773">
        <v>0.25</v>
      </c>
      <c r="AC2773">
        <v>0.35099999999999998</v>
      </c>
      <c r="AK2773">
        <v>16057976</v>
      </c>
    </row>
    <row r="2774" spans="1:37" ht="19">
      <c r="A2774" s="39" t="s">
        <v>17</v>
      </c>
      <c r="B2774" s="8">
        <v>2024</v>
      </c>
      <c r="C2774" s="8" t="s">
        <v>109</v>
      </c>
      <c r="D2774" s="9" t="s">
        <v>109</v>
      </c>
      <c r="E2774" s="9" t="s">
        <v>111</v>
      </c>
      <c r="F2774" s="9" t="s">
        <v>111</v>
      </c>
      <c r="I2774" s="9" t="s">
        <v>11</v>
      </c>
      <c r="J2774" s="9" t="s">
        <v>11</v>
      </c>
      <c r="K2774" s="9" t="s">
        <v>82</v>
      </c>
      <c r="L2774" s="9" t="s">
        <v>171</v>
      </c>
      <c r="M2774" t="s">
        <v>860</v>
      </c>
      <c r="O2774" t="s">
        <v>990</v>
      </c>
      <c r="P2774" t="s">
        <v>1756</v>
      </c>
      <c r="S2774">
        <v>250</v>
      </c>
      <c r="U2774" s="14" t="s">
        <v>77</v>
      </c>
      <c r="V2774" t="s">
        <v>1720</v>
      </c>
      <c r="X2774" s="43">
        <v>1.7</v>
      </c>
      <c r="Y2774" s="159"/>
      <c r="AA2774" s="43"/>
      <c r="AB2774">
        <v>0.35</v>
      </c>
      <c r="AC2774">
        <v>0.1215</v>
      </c>
      <c r="AJ2774" s="13">
        <f>SUBTOTAL(9,X2774:AI2774)</f>
        <v>2.1715</v>
      </c>
      <c r="AK2774">
        <v>0</v>
      </c>
    </row>
    <row r="2775" spans="1:37" ht="19">
      <c r="A2775" s="39" t="s">
        <v>17</v>
      </c>
      <c r="B2775" s="8">
        <v>2024</v>
      </c>
      <c r="C2775" s="8" t="s">
        <v>109</v>
      </c>
      <c r="D2775" s="9" t="s">
        <v>109</v>
      </c>
      <c r="E2775" s="9" t="s">
        <v>111</v>
      </c>
      <c r="F2775" s="9" t="s">
        <v>111</v>
      </c>
      <c r="I2775" s="9" t="s">
        <v>11</v>
      </c>
      <c r="J2775" s="9" t="s">
        <v>11</v>
      </c>
      <c r="K2775" s="9" t="s">
        <v>82</v>
      </c>
      <c r="L2775" s="9" t="s">
        <v>171</v>
      </c>
      <c r="M2775" t="s">
        <v>860</v>
      </c>
      <c r="O2775" t="s">
        <v>990</v>
      </c>
      <c r="P2775" t="s">
        <v>1757</v>
      </c>
      <c r="S2775">
        <v>304</v>
      </c>
      <c r="U2775" t="s">
        <v>1722</v>
      </c>
      <c r="V2775" t="s">
        <v>1484</v>
      </c>
      <c r="X2775" s="43">
        <v>2.0499999999999998</v>
      </c>
      <c r="Y2775" s="159"/>
      <c r="AA2775" s="43"/>
      <c r="AB2775">
        <v>0.15</v>
      </c>
      <c r="AC2775">
        <v>0.14849999999999999</v>
      </c>
      <c r="AK2775">
        <v>6714752</v>
      </c>
    </row>
    <row r="2776" spans="1:37" ht="19">
      <c r="A2776" s="39" t="s">
        <v>17</v>
      </c>
      <c r="B2776" s="8">
        <v>2024</v>
      </c>
      <c r="C2776" s="8" t="s">
        <v>109</v>
      </c>
      <c r="D2776" s="9" t="s">
        <v>109</v>
      </c>
      <c r="E2776" s="9" t="s">
        <v>111</v>
      </c>
      <c r="F2776" s="9" t="s">
        <v>111</v>
      </c>
      <c r="I2776" s="9" t="s">
        <v>11</v>
      </c>
      <c r="J2776" s="9" t="s">
        <v>11</v>
      </c>
      <c r="K2776" s="9" t="s">
        <v>82</v>
      </c>
      <c r="L2776" s="9" t="s">
        <v>171</v>
      </c>
      <c r="M2776" t="s">
        <v>860</v>
      </c>
      <c r="O2776" t="s">
        <v>990</v>
      </c>
      <c r="P2776" t="s">
        <v>1758</v>
      </c>
      <c r="S2776">
        <v>215</v>
      </c>
      <c r="U2776" s="14" t="s">
        <v>77</v>
      </c>
      <c r="V2776" t="s">
        <v>1720</v>
      </c>
      <c r="X2776" s="43">
        <v>1.65</v>
      </c>
      <c r="Y2776" s="159"/>
      <c r="AA2776" s="43"/>
      <c r="AB2776">
        <v>0.4</v>
      </c>
      <c r="AC2776">
        <v>0.11700000000000001</v>
      </c>
      <c r="AJ2776" s="13">
        <f t="shared" ref="AJ2776:AJ2778" si="248">SUBTOTAL(9,X2776:AI2776)</f>
        <v>2.1669999999999998</v>
      </c>
      <c r="AK2776">
        <v>0</v>
      </c>
    </row>
    <row r="2777" spans="1:37" ht="19">
      <c r="A2777" s="39" t="s">
        <v>17</v>
      </c>
      <c r="B2777" s="8">
        <v>2024</v>
      </c>
      <c r="C2777" s="8" t="s">
        <v>109</v>
      </c>
      <c r="D2777" s="9" t="s">
        <v>109</v>
      </c>
      <c r="E2777" s="9" t="s">
        <v>111</v>
      </c>
      <c r="F2777" s="9" t="s">
        <v>111</v>
      </c>
      <c r="I2777" s="9" t="s">
        <v>11</v>
      </c>
      <c r="J2777" s="9" t="s">
        <v>11</v>
      </c>
      <c r="K2777" s="9" t="s">
        <v>82</v>
      </c>
      <c r="L2777" s="9" t="s">
        <v>171</v>
      </c>
      <c r="M2777" t="s">
        <v>860</v>
      </c>
      <c r="O2777" t="s">
        <v>990</v>
      </c>
      <c r="P2777" t="s">
        <v>1759</v>
      </c>
      <c r="S2777">
        <v>333</v>
      </c>
      <c r="U2777" s="14" t="s">
        <v>77</v>
      </c>
      <c r="V2777" t="s">
        <v>1720</v>
      </c>
      <c r="X2777" s="43">
        <v>2.2999999999999998</v>
      </c>
      <c r="Y2777" s="159"/>
      <c r="AA2777" s="43"/>
      <c r="AB2777">
        <v>0.45</v>
      </c>
      <c r="AC2777">
        <v>0.16200000000000001</v>
      </c>
      <c r="AJ2777" s="13">
        <f t="shared" si="248"/>
        <v>2.9119999999999999</v>
      </c>
      <c r="AK2777">
        <v>0</v>
      </c>
    </row>
    <row r="2778" spans="1:37" ht="19">
      <c r="A2778" s="39" t="s">
        <v>17</v>
      </c>
      <c r="B2778" s="8">
        <v>2024</v>
      </c>
      <c r="C2778" s="8" t="s">
        <v>109</v>
      </c>
      <c r="D2778" s="9" t="s">
        <v>109</v>
      </c>
      <c r="E2778" s="9" t="s">
        <v>111</v>
      </c>
      <c r="F2778" s="9" t="s">
        <v>111</v>
      </c>
      <c r="I2778" s="9" t="s">
        <v>11</v>
      </c>
      <c r="J2778" s="9" t="s">
        <v>11</v>
      </c>
      <c r="K2778" s="9" t="s">
        <v>82</v>
      </c>
      <c r="L2778" s="9" t="s">
        <v>171</v>
      </c>
      <c r="M2778" t="s">
        <v>860</v>
      </c>
      <c r="O2778" t="s">
        <v>990</v>
      </c>
      <c r="P2778" t="s">
        <v>1760</v>
      </c>
      <c r="S2778">
        <v>453</v>
      </c>
      <c r="U2778" s="14" t="s">
        <v>77</v>
      </c>
      <c r="V2778" t="s">
        <v>1720</v>
      </c>
      <c r="X2778" s="43">
        <v>3.05</v>
      </c>
      <c r="Y2778" s="159"/>
      <c r="AA2778" s="43"/>
      <c r="AB2778">
        <v>0.65</v>
      </c>
      <c r="AC2778">
        <v>0.2205</v>
      </c>
      <c r="AJ2778" s="13">
        <f t="shared" si="248"/>
        <v>3.9204999999999997</v>
      </c>
      <c r="AK2778">
        <v>0</v>
      </c>
    </row>
    <row r="2779" spans="1:37" ht="19">
      <c r="A2779" s="39" t="s">
        <v>17</v>
      </c>
      <c r="B2779" s="8">
        <v>2024</v>
      </c>
      <c r="C2779" s="8" t="s">
        <v>109</v>
      </c>
      <c r="D2779" s="9" t="s">
        <v>109</v>
      </c>
      <c r="E2779" s="9" t="s">
        <v>111</v>
      </c>
      <c r="F2779" s="9" t="s">
        <v>111</v>
      </c>
      <c r="I2779" s="9" t="s">
        <v>11</v>
      </c>
      <c r="J2779" s="9" t="s">
        <v>11</v>
      </c>
      <c r="K2779" s="9" t="s">
        <v>82</v>
      </c>
      <c r="L2779" s="9" t="s">
        <v>171</v>
      </c>
      <c r="M2779" t="s">
        <v>860</v>
      </c>
      <c r="O2779" t="s">
        <v>990</v>
      </c>
      <c r="P2779" t="s">
        <v>1761</v>
      </c>
      <c r="S2779">
        <v>355</v>
      </c>
      <c r="U2779" t="s">
        <v>1722</v>
      </c>
      <c r="V2779" t="s">
        <v>1484</v>
      </c>
      <c r="X2779" s="43">
        <v>2.4500000000000002</v>
      </c>
      <c r="Y2779" s="159"/>
      <c r="AA2779" s="43"/>
      <c r="AB2779">
        <v>0.15</v>
      </c>
      <c r="AC2779">
        <v>0.17100000000000001</v>
      </c>
      <c r="AK2779">
        <v>7841240</v>
      </c>
    </row>
    <row r="2780" spans="1:37" ht="19">
      <c r="A2780" s="39" t="s">
        <v>17</v>
      </c>
      <c r="B2780" s="8">
        <v>2024</v>
      </c>
      <c r="C2780" s="8" t="s">
        <v>109</v>
      </c>
      <c r="D2780" s="9" t="s">
        <v>109</v>
      </c>
      <c r="E2780" s="9" t="s">
        <v>111</v>
      </c>
      <c r="F2780" s="9" t="s">
        <v>111</v>
      </c>
      <c r="I2780" s="9" t="s">
        <v>11</v>
      </c>
      <c r="J2780" s="9" t="s">
        <v>11</v>
      </c>
      <c r="K2780" s="9" t="s">
        <v>82</v>
      </c>
      <c r="L2780" s="9" t="s">
        <v>171</v>
      </c>
      <c r="M2780" t="s">
        <v>860</v>
      </c>
      <c r="O2780" t="s">
        <v>990</v>
      </c>
      <c r="P2780" t="s">
        <v>1762</v>
      </c>
      <c r="S2780">
        <v>421</v>
      </c>
      <c r="U2780" s="14" t="s">
        <v>77</v>
      </c>
      <c r="V2780" t="s">
        <v>1720</v>
      </c>
      <c r="X2780" s="43">
        <v>2.85</v>
      </c>
      <c r="Y2780" s="159"/>
      <c r="AA2780" s="43"/>
      <c r="AB2780">
        <v>0.6</v>
      </c>
      <c r="AC2780">
        <v>0.20699999999999999</v>
      </c>
      <c r="AJ2780" s="13">
        <f t="shared" ref="AJ2780:AJ2782" si="249">SUBTOTAL(9,X2780:AI2780)</f>
        <v>3.657</v>
      </c>
      <c r="AK2780">
        <v>0</v>
      </c>
    </row>
    <row r="2781" spans="1:37" ht="19">
      <c r="A2781" s="39" t="s">
        <v>17</v>
      </c>
      <c r="B2781" s="8">
        <v>2024</v>
      </c>
      <c r="C2781" s="8" t="s">
        <v>109</v>
      </c>
      <c r="D2781" s="9" t="s">
        <v>109</v>
      </c>
      <c r="E2781" s="9" t="s">
        <v>111</v>
      </c>
      <c r="F2781" s="9" t="s">
        <v>111</v>
      </c>
      <c r="I2781" s="9" t="s">
        <v>11</v>
      </c>
      <c r="J2781" s="9" t="s">
        <v>11</v>
      </c>
      <c r="K2781" s="9" t="s">
        <v>82</v>
      </c>
      <c r="L2781" s="9" t="s">
        <v>171</v>
      </c>
      <c r="M2781" t="s">
        <v>860</v>
      </c>
      <c r="O2781" t="s">
        <v>990</v>
      </c>
      <c r="P2781" t="s">
        <v>1763</v>
      </c>
      <c r="S2781">
        <v>227</v>
      </c>
      <c r="U2781" s="14" t="s">
        <v>77</v>
      </c>
      <c r="V2781" t="s">
        <v>1720</v>
      </c>
      <c r="X2781" s="43">
        <v>1.55</v>
      </c>
      <c r="Y2781" s="159"/>
      <c r="AA2781" s="43"/>
      <c r="AB2781">
        <v>0.3</v>
      </c>
      <c r="AC2781">
        <v>0.108</v>
      </c>
      <c r="AJ2781" s="13">
        <f t="shared" si="249"/>
        <v>1.9580000000000002</v>
      </c>
      <c r="AK2781">
        <v>0</v>
      </c>
    </row>
    <row r="2782" spans="1:37" ht="19">
      <c r="A2782" s="39" t="s">
        <v>17</v>
      </c>
      <c r="B2782" s="8">
        <v>2024</v>
      </c>
      <c r="C2782" s="8" t="s">
        <v>109</v>
      </c>
      <c r="D2782" s="9" t="s">
        <v>109</v>
      </c>
      <c r="E2782" s="9" t="s">
        <v>111</v>
      </c>
      <c r="F2782" s="9" t="s">
        <v>111</v>
      </c>
      <c r="I2782" s="9" t="s">
        <v>11</v>
      </c>
      <c r="J2782" s="9" t="s">
        <v>11</v>
      </c>
      <c r="K2782" s="9" t="s">
        <v>82</v>
      </c>
      <c r="L2782" s="9" t="s">
        <v>171</v>
      </c>
      <c r="M2782" t="s">
        <v>860</v>
      </c>
      <c r="O2782" t="s">
        <v>990</v>
      </c>
      <c r="P2782" t="s">
        <v>1764</v>
      </c>
      <c r="S2782">
        <v>192</v>
      </c>
      <c r="U2782" s="14" t="s">
        <v>77</v>
      </c>
      <c r="V2782" t="s">
        <v>1720</v>
      </c>
      <c r="X2782" s="43">
        <v>1.5</v>
      </c>
      <c r="Y2782" s="159"/>
      <c r="AA2782" s="43"/>
      <c r="AB2782">
        <v>0.35</v>
      </c>
      <c r="AC2782">
        <v>0.10349999999999999</v>
      </c>
      <c r="AJ2782" s="13">
        <f t="shared" si="249"/>
        <v>1.9535</v>
      </c>
      <c r="AK2782">
        <v>0</v>
      </c>
    </row>
    <row r="2783" spans="1:37" ht="19">
      <c r="A2783" s="39" t="s">
        <v>17</v>
      </c>
      <c r="B2783" s="8">
        <v>2024</v>
      </c>
      <c r="C2783" s="8" t="s">
        <v>109</v>
      </c>
      <c r="D2783" s="9" t="s">
        <v>109</v>
      </c>
      <c r="E2783" s="9" t="s">
        <v>111</v>
      </c>
      <c r="F2783" s="9" t="s">
        <v>111</v>
      </c>
      <c r="I2783" s="9" t="s">
        <v>11</v>
      </c>
      <c r="J2783" s="9" t="s">
        <v>11</v>
      </c>
      <c r="K2783" s="9" t="s">
        <v>82</v>
      </c>
      <c r="L2783" s="9" t="s">
        <v>171</v>
      </c>
      <c r="M2783" t="s">
        <v>860</v>
      </c>
      <c r="O2783" t="s">
        <v>990</v>
      </c>
      <c r="P2783" t="s">
        <v>1765</v>
      </c>
      <c r="S2783">
        <v>298</v>
      </c>
      <c r="U2783" t="s">
        <v>1722</v>
      </c>
      <c r="V2783" t="s">
        <v>1484</v>
      </c>
      <c r="X2783" s="43">
        <v>2.0499999999999998</v>
      </c>
      <c r="Y2783" s="159"/>
      <c r="AA2783" s="43"/>
      <c r="AB2783">
        <v>0.1</v>
      </c>
      <c r="AC2783">
        <v>0.14399999999999999</v>
      </c>
      <c r="AK2783">
        <v>6582224</v>
      </c>
    </row>
    <row r="2784" spans="1:37" ht="19">
      <c r="A2784" s="39" t="s">
        <v>17</v>
      </c>
      <c r="B2784" s="8">
        <v>2024</v>
      </c>
      <c r="C2784" s="8" t="s">
        <v>109</v>
      </c>
      <c r="D2784" s="9" t="s">
        <v>109</v>
      </c>
      <c r="E2784" s="9" t="s">
        <v>111</v>
      </c>
      <c r="F2784" s="9" t="s">
        <v>111</v>
      </c>
      <c r="I2784" s="9" t="s">
        <v>11</v>
      </c>
      <c r="J2784" s="9" t="s">
        <v>11</v>
      </c>
      <c r="K2784" s="9" t="s">
        <v>82</v>
      </c>
      <c r="L2784" s="9" t="s">
        <v>171</v>
      </c>
      <c r="M2784" t="s">
        <v>860</v>
      </c>
      <c r="O2784" t="s">
        <v>990</v>
      </c>
      <c r="P2784" t="s">
        <v>1766</v>
      </c>
      <c r="S2784">
        <v>337</v>
      </c>
      <c r="U2784" s="14" t="s">
        <v>77</v>
      </c>
      <c r="V2784" t="s">
        <v>1720</v>
      </c>
      <c r="X2784" s="43">
        <v>2.25</v>
      </c>
      <c r="Y2784" s="159"/>
      <c r="AA2784" s="43"/>
      <c r="AB2784">
        <v>0.5</v>
      </c>
      <c r="AC2784">
        <v>0.16650000000000001</v>
      </c>
      <c r="AJ2784" s="13">
        <f>SUBTOTAL(9,X2784:AI2784)</f>
        <v>2.9165000000000001</v>
      </c>
      <c r="AK2784">
        <v>0</v>
      </c>
    </row>
    <row r="2785" spans="1:37" ht="19">
      <c r="A2785" s="39" t="s">
        <v>17</v>
      </c>
      <c r="B2785" s="8">
        <v>2024</v>
      </c>
      <c r="C2785" s="8" t="s">
        <v>109</v>
      </c>
      <c r="D2785" s="9" t="s">
        <v>109</v>
      </c>
      <c r="E2785" s="9" t="s">
        <v>111</v>
      </c>
      <c r="F2785" s="9" t="s">
        <v>111</v>
      </c>
      <c r="I2785" s="9" t="s">
        <v>11</v>
      </c>
      <c r="J2785" s="9" t="s">
        <v>11</v>
      </c>
      <c r="K2785" s="9" t="s">
        <v>82</v>
      </c>
      <c r="L2785" s="9" t="s">
        <v>171</v>
      </c>
      <c r="M2785" t="s">
        <v>860</v>
      </c>
      <c r="O2785" t="s">
        <v>1767</v>
      </c>
      <c r="P2785" t="s">
        <v>1768</v>
      </c>
      <c r="S2785">
        <v>221</v>
      </c>
      <c r="U2785" t="s">
        <v>1722</v>
      </c>
      <c r="V2785" t="s">
        <v>1484</v>
      </c>
      <c r="X2785" s="43">
        <v>1.7</v>
      </c>
      <c r="Y2785" s="159"/>
      <c r="AA2785" s="43"/>
      <c r="AB2785">
        <v>0.1</v>
      </c>
      <c r="AC2785">
        <v>0.1215</v>
      </c>
      <c r="AK2785">
        <v>4881448</v>
      </c>
    </row>
    <row r="2786" spans="1:37" ht="19">
      <c r="A2786" s="39" t="s">
        <v>17</v>
      </c>
      <c r="B2786" s="8">
        <v>2024</v>
      </c>
      <c r="C2786" s="8" t="s">
        <v>109</v>
      </c>
      <c r="D2786" s="9" t="s">
        <v>109</v>
      </c>
      <c r="E2786" s="9" t="s">
        <v>111</v>
      </c>
      <c r="F2786" s="9" t="s">
        <v>111</v>
      </c>
      <c r="I2786" s="9" t="s">
        <v>11</v>
      </c>
      <c r="J2786" s="9" t="s">
        <v>11</v>
      </c>
      <c r="K2786" s="9" t="s">
        <v>82</v>
      </c>
      <c r="L2786" s="9" t="s">
        <v>171</v>
      </c>
      <c r="M2786" t="s">
        <v>860</v>
      </c>
      <c r="O2786" t="s">
        <v>1767</v>
      </c>
      <c r="P2786" t="s">
        <v>1769</v>
      </c>
      <c r="S2786">
        <v>442</v>
      </c>
      <c r="U2786" t="s">
        <v>1722</v>
      </c>
      <c r="V2786" t="s">
        <v>1484</v>
      </c>
      <c r="X2786" s="43">
        <v>3</v>
      </c>
      <c r="Y2786" s="159"/>
      <c r="AA2786" s="43"/>
      <c r="AB2786">
        <v>0.15</v>
      </c>
      <c r="AC2786">
        <v>0.216</v>
      </c>
      <c r="AK2786">
        <v>9762896</v>
      </c>
    </row>
    <row r="2787" spans="1:37" ht="19">
      <c r="A2787" s="39" t="s">
        <v>17</v>
      </c>
      <c r="B2787" s="8">
        <v>2024</v>
      </c>
      <c r="C2787" s="8" t="s">
        <v>109</v>
      </c>
      <c r="D2787" s="9" t="s">
        <v>109</v>
      </c>
      <c r="E2787" s="9" t="s">
        <v>111</v>
      </c>
      <c r="F2787" s="9" t="s">
        <v>111</v>
      </c>
      <c r="I2787" s="9" t="s">
        <v>11</v>
      </c>
      <c r="J2787" s="9" t="s">
        <v>11</v>
      </c>
      <c r="K2787" s="9" t="s">
        <v>82</v>
      </c>
      <c r="L2787" s="9" t="s">
        <v>171</v>
      </c>
      <c r="M2787" t="s">
        <v>860</v>
      </c>
      <c r="O2787" t="s">
        <v>1767</v>
      </c>
      <c r="P2787" t="s">
        <v>1770</v>
      </c>
      <c r="S2787">
        <v>451</v>
      </c>
      <c r="U2787" t="s">
        <v>1722</v>
      </c>
      <c r="V2787" t="s">
        <v>1484</v>
      </c>
      <c r="X2787" s="43">
        <v>3.05</v>
      </c>
      <c r="Y2787" s="159"/>
      <c r="AA2787" s="43"/>
      <c r="AB2787">
        <v>0.15</v>
      </c>
      <c r="AC2787">
        <v>0.216</v>
      </c>
      <c r="AK2787">
        <v>9961688</v>
      </c>
    </row>
    <row r="2788" spans="1:37" ht="19">
      <c r="A2788" s="39" t="s">
        <v>17</v>
      </c>
      <c r="B2788" s="8">
        <v>2024</v>
      </c>
      <c r="C2788" s="8" t="s">
        <v>109</v>
      </c>
      <c r="D2788" s="9" t="s">
        <v>109</v>
      </c>
      <c r="E2788" s="9" t="s">
        <v>111</v>
      </c>
      <c r="F2788" s="9" t="s">
        <v>111</v>
      </c>
      <c r="I2788" s="9" t="s">
        <v>11</v>
      </c>
      <c r="J2788" s="9" t="s">
        <v>11</v>
      </c>
      <c r="K2788" s="9" t="s">
        <v>82</v>
      </c>
      <c r="L2788" s="9" t="s">
        <v>171</v>
      </c>
      <c r="M2788" t="s">
        <v>860</v>
      </c>
      <c r="O2788" t="s">
        <v>1767</v>
      </c>
      <c r="P2788" t="s">
        <v>1565</v>
      </c>
      <c r="S2788">
        <v>382</v>
      </c>
      <c r="U2788" t="s">
        <v>1722</v>
      </c>
      <c r="V2788" t="s">
        <v>1484</v>
      </c>
      <c r="X2788" s="43">
        <v>2.6</v>
      </c>
      <c r="Y2788" s="159"/>
      <c r="AA2788" s="43"/>
      <c r="AB2788">
        <v>0.15</v>
      </c>
      <c r="AC2788">
        <v>0.1845</v>
      </c>
      <c r="AK2788">
        <v>8437616</v>
      </c>
    </row>
    <row r="2789" spans="1:37" ht="19">
      <c r="A2789" s="39" t="s">
        <v>17</v>
      </c>
      <c r="B2789" s="8">
        <v>2024</v>
      </c>
      <c r="C2789" s="8" t="s">
        <v>109</v>
      </c>
      <c r="D2789" s="9" t="s">
        <v>109</v>
      </c>
      <c r="E2789" s="9" t="s">
        <v>111</v>
      </c>
      <c r="F2789" s="9" t="s">
        <v>111</v>
      </c>
      <c r="I2789" s="9" t="s">
        <v>11</v>
      </c>
      <c r="J2789" s="9" t="s">
        <v>11</v>
      </c>
      <c r="K2789" s="9" t="s">
        <v>82</v>
      </c>
      <c r="L2789" s="9" t="s">
        <v>171</v>
      </c>
      <c r="M2789" t="s">
        <v>860</v>
      </c>
      <c r="O2789" t="s">
        <v>1767</v>
      </c>
      <c r="P2789" t="s">
        <v>868</v>
      </c>
      <c r="S2789">
        <v>927</v>
      </c>
      <c r="U2789" s="14" t="s">
        <v>77</v>
      </c>
      <c r="V2789" t="s">
        <v>1720</v>
      </c>
      <c r="X2789" s="43">
        <v>5.25</v>
      </c>
      <c r="Y2789" s="159"/>
      <c r="AA2789" s="43"/>
      <c r="AB2789">
        <v>1.35</v>
      </c>
      <c r="AC2789">
        <v>0.45</v>
      </c>
      <c r="AJ2789" s="13">
        <f t="shared" ref="AJ2789:AJ2790" si="250">SUBTOTAL(9,X2789:AI2789)</f>
        <v>7.05</v>
      </c>
      <c r="AK2789">
        <v>0</v>
      </c>
    </row>
    <row r="2790" spans="1:37" ht="19">
      <c r="A2790" s="39" t="s">
        <v>17</v>
      </c>
      <c r="B2790" s="8">
        <v>2024</v>
      </c>
      <c r="C2790" s="8" t="s">
        <v>109</v>
      </c>
      <c r="D2790" s="9" t="s">
        <v>109</v>
      </c>
      <c r="E2790" s="9" t="s">
        <v>111</v>
      </c>
      <c r="F2790" s="9" t="s">
        <v>111</v>
      </c>
      <c r="I2790" s="9" t="s">
        <v>11</v>
      </c>
      <c r="J2790" s="9" t="s">
        <v>11</v>
      </c>
      <c r="K2790" s="9" t="s">
        <v>82</v>
      </c>
      <c r="L2790" s="9" t="s">
        <v>171</v>
      </c>
      <c r="M2790" t="s">
        <v>860</v>
      </c>
      <c r="O2790" t="s">
        <v>1771</v>
      </c>
      <c r="P2790" t="s">
        <v>1772</v>
      </c>
      <c r="S2790">
        <v>295</v>
      </c>
      <c r="U2790" s="14" t="s">
        <v>77</v>
      </c>
      <c r="V2790" t="s">
        <v>1720</v>
      </c>
      <c r="X2790" s="43">
        <v>2</v>
      </c>
      <c r="Y2790" s="159"/>
      <c r="AA2790" s="43"/>
      <c r="AB2790">
        <v>0.45</v>
      </c>
      <c r="AC2790">
        <v>0.14399999999999999</v>
      </c>
      <c r="AJ2790" s="13">
        <f t="shared" si="250"/>
        <v>2.5940000000000003</v>
      </c>
      <c r="AK2790">
        <v>0</v>
      </c>
    </row>
    <row r="2791" spans="1:37" ht="19">
      <c r="A2791" s="39" t="s">
        <v>17</v>
      </c>
      <c r="B2791" s="8">
        <v>2024</v>
      </c>
      <c r="C2791" s="8" t="s">
        <v>109</v>
      </c>
      <c r="D2791" s="9" t="s">
        <v>109</v>
      </c>
      <c r="E2791" s="9" t="s">
        <v>111</v>
      </c>
      <c r="F2791" s="9" t="s">
        <v>111</v>
      </c>
      <c r="I2791" s="9" t="s">
        <v>11</v>
      </c>
      <c r="J2791" s="9" t="s">
        <v>11</v>
      </c>
      <c r="K2791" s="9" t="s">
        <v>82</v>
      </c>
      <c r="L2791" s="9" t="s">
        <v>171</v>
      </c>
      <c r="M2791" t="s">
        <v>860</v>
      </c>
      <c r="O2791" t="s">
        <v>1771</v>
      </c>
      <c r="P2791" t="s">
        <v>1773</v>
      </c>
      <c r="S2791">
        <v>276</v>
      </c>
      <c r="U2791" t="s">
        <v>1722</v>
      </c>
      <c r="V2791" t="s">
        <v>1484</v>
      </c>
      <c r="X2791" s="43">
        <v>1.9</v>
      </c>
      <c r="Y2791" s="159"/>
      <c r="AA2791" s="43"/>
      <c r="AB2791">
        <v>0.1</v>
      </c>
      <c r="AC2791">
        <v>0.13500000000000001</v>
      </c>
      <c r="AK2791">
        <v>6096288</v>
      </c>
    </row>
    <row r="2792" spans="1:37" ht="19">
      <c r="A2792" s="39" t="s">
        <v>17</v>
      </c>
      <c r="B2792" s="8">
        <v>2024</v>
      </c>
      <c r="C2792" s="8" t="s">
        <v>109</v>
      </c>
      <c r="D2792" s="9" t="s">
        <v>109</v>
      </c>
      <c r="E2792" s="9" t="s">
        <v>111</v>
      </c>
      <c r="F2792" s="9" t="s">
        <v>111</v>
      </c>
      <c r="I2792" s="9" t="s">
        <v>11</v>
      </c>
      <c r="J2792" s="9" t="s">
        <v>11</v>
      </c>
      <c r="K2792" s="9" t="s">
        <v>82</v>
      </c>
      <c r="L2792" s="9" t="s">
        <v>171</v>
      </c>
      <c r="M2792" t="s">
        <v>860</v>
      </c>
      <c r="O2792" t="s">
        <v>1771</v>
      </c>
      <c r="P2792" t="s">
        <v>1774</v>
      </c>
      <c r="S2792">
        <v>302</v>
      </c>
      <c r="U2792" s="14" t="s">
        <v>77</v>
      </c>
      <c r="V2792" t="s">
        <v>1720</v>
      </c>
      <c r="X2792" s="43">
        <v>2.0499999999999998</v>
      </c>
      <c r="Y2792" s="159"/>
      <c r="AA2792" s="43"/>
      <c r="AB2792">
        <v>0.45</v>
      </c>
      <c r="AC2792">
        <v>0.14849999999999999</v>
      </c>
      <c r="AJ2792" s="13">
        <f>SUBTOTAL(9,X2792:AI2792)</f>
        <v>2.6484999999999999</v>
      </c>
      <c r="AK2792">
        <v>0</v>
      </c>
    </row>
    <row r="2793" spans="1:37" ht="19">
      <c r="A2793" s="39" t="s">
        <v>17</v>
      </c>
      <c r="B2793" s="8">
        <v>2024</v>
      </c>
      <c r="C2793" s="8" t="s">
        <v>109</v>
      </c>
      <c r="D2793" s="9" t="s">
        <v>109</v>
      </c>
      <c r="E2793" s="9" t="s">
        <v>111</v>
      </c>
      <c r="F2793" s="9" t="s">
        <v>111</v>
      </c>
      <c r="I2793" s="9" t="s">
        <v>11</v>
      </c>
      <c r="J2793" s="9" t="s">
        <v>11</v>
      </c>
      <c r="K2793" s="9" t="s">
        <v>82</v>
      </c>
      <c r="L2793" s="9" t="s">
        <v>171</v>
      </c>
      <c r="M2793" t="s">
        <v>860</v>
      </c>
      <c r="O2793" t="s">
        <v>1771</v>
      </c>
      <c r="P2793" t="s">
        <v>1775</v>
      </c>
      <c r="S2793">
        <v>477</v>
      </c>
      <c r="U2793" t="s">
        <v>1722</v>
      </c>
      <c r="V2793" t="s">
        <v>1484</v>
      </c>
      <c r="X2793" s="43">
        <v>3.25</v>
      </c>
      <c r="Y2793" s="159"/>
      <c r="AA2793" s="43"/>
      <c r="AB2793">
        <v>0.2</v>
      </c>
      <c r="AC2793">
        <v>0.23400000000000001</v>
      </c>
      <c r="AK2793">
        <v>10535976</v>
      </c>
    </row>
    <row r="2794" spans="1:37" ht="19">
      <c r="A2794" s="39" t="s">
        <v>17</v>
      </c>
      <c r="B2794" s="8">
        <v>2024</v>
      </c>
      <c r="C2794" s="8" t="s">
        <v>109</v>
      </c>
      <c r="D2794" s="9" t="s">
        <v>109</v>
      </c>
      <c r="E2794" s="9" t="s">
        <v>111</v>
      </c>
      <c r="F2794" s="9" t="s">
        <v>111</v>
      </c>
      <c r="I2794" s="9" t="s">
        <v>11</v>
      </c>
      <c r="J2794" s="9" t="s">
        <v>11</v>
      </c>
      <c r="K2794" s="9" t="s">
        <v>82</v>
      </c>
      <c r="L2794" s="9" t="s">
        <v>171</v>
      </c>
      <c r="M2794" t="s">
        <v>860</v>
      </c>
      <c r="O2794" t="s">
        <v>1771</v>
      </c>
      <c r="P2794" t="s">
        <v>1776</v>
      </c>
      <c r="S2794">
        <v>608</v>
      </c>
      <c r="U2794" t="s">
        <v>1722</v>
      </c>
      <c r="V2794" t="s">
        <v>1484</v>
      </c>
      <c r="X2794" s="43">
        <v>4.0999999999999996</v>
      </c>
      <c r="Y2794" s="159"/>
      <c r="AA2794" s="43"/>
      <c r="AB2794">
        <v>0.25</v>
      </c>
      <c r="AC2794">
        <v>0.29249999999999998</v>
      </c>
      <c r="AK2794">
        <v>13429504</v>
      </c>
    </row>
    <row r="2795" spans="1:37" ht="19">
      <c r="A2795" s="39" t="s">
        <v>17</v>
      </c>
      <c r="B2795" s="8">
        <v>2024</v>
      </c>
      <c r="C2795" s="8" t="s">
        <v>109</v>
      </c>
      <c r="D2795" s="9" t="s">
        <v>109</v>
      </c>
      <c r="E2795" s="9" t="s">
        <v>111</v>
      </c>
      <c r="F2795" s="9" t="s">
        <v>111</v>
      </c>
      <c r="I2795" s="9" t="s">
        <v>11</v>
      </c>
      <c r="J2795" s="9" t="s">
        <v>11</v>
      </c>
      <c r="K2795" s="9" t="s">
        <v>82</v>
      </c>
      <c r="L2795" s="9" t="s">
        <v>171</v>
      </c>
      <c r="M2795" t="s">
        <v>860</v>
      </c>
      <c r="O2795" t="s">
        <v>1767</v>
      </c>
      <c r="P2795" t="s">
        <v>1777</v>
      </c>
      <c r="S2795">
        <v>392</v>
      </c>
      <c r="U2795" t="s">
        <v>1722</v>
      </c>
      <c r="V2795" t="s">
        <v>1484</v>
      </c>
      <c r="X2795" s="43">
        <v>2.65</v>
      </c>
      <c r="Y2795" s="159"/>
      <c r="AA2795" s="43"/>
      <c r="AB2795">
        <v>0.15</v>
      </c>
      <c r="AC2795">
        <v>0.19350000000000001</v>
      </c>
      <c r="AK2795">
        <v>8658496</v>
      </c>
    </row>
    <row r="2796" spans="1:37" ht="19">
      <c r="A2796" s="39" t="s">
        <v>17</v>
      </c>
      <c r="B2796" s="8">
        <v>2024</v>
      </c>
      <c r="C2796" s="8" t="s">
        <v>109</v>
      </c>
      <c r="D2796" s="9" t="s">
        <v>109</v>
      </c>
      <c r="E2796" s="9" t="s">
        <v>111</v>
      </c>
      <c r="F2796" s="9" t="s">
        <v>111</v>
      </c>
      <c r="I2796" s="9" t="s">
        <v>11</v>
      </c>
      <c r="J2796" s="9" t="s">
        <v>11</v>
      </c>
      <c r="K2796" s="9" t="s">
        <v>82</v>
      </c>
      <c r="L2796" s="9" t="s">
        <v>171</v>
      </c>
      <c r="M2796" t="s">
        <v>860</v>
      </c>
      <c r="O2796" t="s">
        <v>1767</v>
      </c>
      <c r="P2796" t="s">
        <v>1778</v>
      </c>
      <c r="S2796">
        <v>624</v>
      </c>
      <c r="U2796" s="14" t="s">
        <v>77</v>
      </c>
      <c r="V2796" t="s">
        <v>1720</v>
      </c>
      <c r="X2796" s="43">
        <v>4.25</v>
      </c>
      <c r="Y2796" s="159"/>
      <c r="AA2796" s="43"/>
      <c r="AB2796">
        <v>1.05</v>
      </c>
      <c r="AC2796">
        <v>0.30149999999999999</v>
      </c>
      <c r="AJ2796" s="13">
        <f>SUBTOTAL(9,X2796:AI2796)</f>
        <v>5.6014999999999997</v>
      </c>
      <c r="AK2796">
        <v>0</v>
      </c>
    </row>
    <row r="2797" spans="1:37" ht="19">
      <c r="A2797" s="39" t="s">
        <v>17</v>
      </c>
      <c r="B2797" s="8">
        <v>2024</v>
      </c>
      <c r="C2797" s="8" t="s">
        <v>109</v>
      </c>
      <c r="D2797" s="9" t="s">
        <v>109</v>
      </c>
      <c r="E2797" s="9" t="s">
        <v>111</v>
      </c>
      <c r="F2797" s="9" t="s">
        <v>111</v>
      </c>
      <c r="I2797" s="9" t="s">
        <v>11</v>
      </c>
      <c r="J2797" s="9" t="s">
        <v>11</v>
      </c>
      <c r="K2797" s="9" t="s">
        <v>82</v>
      </c>
      <c r="L2797" s="9" t="s">
        <v>171</v>
      </c>
      <c r="M2797" t="s">
        <v>860</v>
      </c>
      <c r="O2797" t="s">
        <v>1767</v>
      </c>
      <c r="P2797" t="s">
        <v>1779</v>
      </c>
      <c r="S2797">
        <v>613</v>
      </c>
      <c r="U2797" t="s">
        <v>1722</v>
      </c>
      <c r="V2797" t="s">
        <v>1484</v>
      </c>
      <c r="X2797" s="43">
        <v>4.7</v>
      </c>
      <c r="Y2797" s="159"/>
      <c r="AA2797" s="43"/>
      <c r="AB2797">
        <v>0.25</v>
      </c>
      <c r="AC2797">
        <v>0.33750000000000002</v>
      </c>
      <c r="AK2797">
        <v>13539944</v>
      </c>
    </row>
    <row r="2798" spans="1:37" ht="19">
      <c r="A2798" s="39" t="s">
        <v>17</v>
      </c>
      <c r="B2798" s="8">
        <v>2024</v>
      </c>
      <c r="C2798" s="8" t="s">
        <v>109</v>
      </c>
      <c r="D2798" s="9" t="s">
        <v>109</v>
      </c>
      <c r="E2798" s="9" t="s">
        <v>111</v>
      </c>
      <c r="F2798" s="9" t="s">
        <v>111</v>
      </c>
      <c r="I2798" s="9" t="s">
        <v>11</v>
      </c>
      <c r="J2798" s="9" t="s">
        <v>11</v>
      </c>
      <c r="K2798" s="9" t="s">
        <v>82</v>
      </c>
      <c r="L2798" s="9" t="s">
        <v>171</v>
      </c>
      <c r="M2798" t="s">
        <v>860</v>
      </c>
      <c r="O2798" t="s">
        <v>1771</v>
      </c>
      <c r="P2798" t="s">
        <v>1780</v>
      </c>
      <c r="S2798">
        <v>551</v>
      </c>
      <c r="U2798" t="s">
        <v>1722</v>
      </c>
      <c r="V2798" t="s">
        <v>1484</v>
      </c>
      <c r="X2798" s="43">
        <v>3.7</v>
      </c>
      <c r="Y2798" s="159"/>
      <c r="AA2798" s="43"/>
      <c r="AB2798">
        <v>0.2</v>
      </c>
      <c r="AC2798">
        <v>0.26550000000000001</v>
      </c>
      <c r="AK2798">
        <v>12170488</v>
      </c>
    </row>
    <row r="2799" spans="1:37" ht="19">
      <c r="A2799" s="39" t="s">
        <v>17</v>
      </c>
      <c r="B2799" s="8">
        <v>2024</v>
      </c>
      <c r="C2799" s="8" t="s">
        <v>109</v>
      </c>
      <c r="D2799" s="9" t="s">
        <v>109</v>
      </c>
      <c r="E2799" s="9" t="s">
        <v>111</v>
      </c>
      <c r="F2799" s="9" t="s">
        <v>111</v>
      </c>
      <c r="I2799" s="9" t="s">
        <v>11</v>
      </c>
      <c r="J2799" s="9" t="s">
        <v>11</v>
      </c>
      <c r="K2799" s="9" t="s">
        <v>82</v>
      </c>
      <c r="L2799" s="9" t="s">
        <v>171</v>
      </c>
      <c r="M2799" t="s">
        <v>860</v>
      </c>
      <c r="O2799" t="s">
        <v>1767</v>
      </c>
      <c r="P2799" t="s">
        <v>1489</v>
      </c>
      <c r="S2799">
        <v>948</v>
      </c>
      <c r="U2799" s="14" t="s">
        <v>77</v>
      </c>
      <c r="V2799" t="s">
        <v>1720</v>
      </c>
      <c r="X2799" s="43">
        <v>6.3</v>
      </c>
      <c r="Y2799" s="159"/>
      <c r="AA2799" s="43"/>
      <c r="AB2799">
        <v>1.35</v>
      </c>
      <c r="AC2799">
        <v>0.45900000000000002</v>
      </c>
      <c r="AJ2799" s="13">
        <f>SUBTOTAL(9,X2799:AI2799)</f>
        <v>8.109</v>
      </c>
      <c r="AK2799">
        <v>0</v>
      </c>
    </row>
    <row r="2800" spans="1:37" ht="19">
      <c r="A2800" s="39" t="s">
        <v>17</v>
      </c>
      <c r="B2800" s="8">
        <v>2024</v>
      </c>
      <c r="C2800" s="8" t="s">
        <v>109</v>
      </c>
      <c r="D2800" s="9" t="s">
        <v>109</v>
      </c>
      <c r="E2800" s="9" t="s">
        <v>111</v>
      </c>
      <c r="F2800" s="9" t="s">
        <v>111</v>
      </c>
      <c r="I2800" s="9" t="s">
        <v>11</v>
      </c>
      <c r="J2800" s="9" t="s">
        <v>11</v>
      </c>
      <c r="K2800" s="9" t="s">
        <v>82</v>
      </c>
      <c r="L2800" s="9" t="s">
        <v>171</v>
      </c>
      <c r="M2800" t="s">
        <v>860</v>
      </c>
      <c r="O2800" t="s">
        <v>1771</v>
      </c>
      <c r="P2800" t="s">
        <v>1781</v>
      </c>
      <c r="S2800">
        <v>210</v>
      </c>
      <c r="U2800" t="s">
        <v>1722</v>
      </c>
      <c r="V2800" t="s">
        <v>1484</v>
      </c>
      <c r="X2800" s="43">
        <v>1.6</v>
      </c>
      <c r="Y2800" s="159"/>
      <c r="AA2800" s="43"/>
      <c r="AB2800">
        <v>0.1</v>
      </c>
      <c r="AC2800">
        <v>0.11700000000000001</v>
      </c>
      <c r="AK2800">
        <v>4638480</v>
      </c>
    </row>
    <row r="2801" spans="1:37" ht="19">
      <c r="A2801" s="39" t="s">
        <v>17</v>
      </c>
      <c r="B2801" s="8">
        <v>2024</v>
      </c>
      <c r="C2801" s="8" t="s">
        <v>109</v>
      </c>
      <c r="D2801" s="9" t="s">
        <v>109</v>
      </c>
      <c r="E2801" s="9" t="s">
        <v>111</v>
      </c>
      <c r="F2801" s="9" t="s">
        <v>111</v>
      </c>
      <c r="I2801" s="9" t="s">
        <v>11</v>
      </c>
      <c r="J2801" s="9" t="s">
        <v>11</v>
      </c>
      <c r="K2801" s="9" t="s">
        <v>82</v>
      </c>
      <c r="L2801" s="9" t="s">
        <v>171</v>
      </c>
      <c r="M2801" t="s">
        <v>860</v>
      </c>
      <c r="O2801" t="s">
        <v>1767</v>
      </c>
      <c r="P2801" t="s">
        <v>1782</v>
      </c>
      <c r="S2801">
        <v>721</v>
      </c>
      <c r="U2801" t="s">
        <v>1722</v>
      </c>
      <c r="V2801" t="s">
        <v>1484</v>
      </c>
      <c r="X2801" s="43">
        <v>4.9000000000000004</v>
      </c>
      <c r="Y2801" s="159"/>
      <c r="AA2801" s="43"/>
      <c r="AB2801">
        <v>0.25</v>
      </c>
      <c r="AC2801">
        <v>0.34649999999999997</v>
      </c>
      <c r="AK2801">
        <v>15925448</v>
      </c>
    </row>
    <row r="2802" spans="1:37" ht="19">
      <c r="A2802" s="39" t="s">
        <v>17</v>
      </c>
      <c r="B2802" s="8">
        <v>2024</v>
      </c>
      <c r="C2802" s="8" t="s">
        <v>109</v>
      </c>
      <c r="D2802" s="9" t="s">
        <v>109</v>
      </c>
      <c r="E2802" s="9" t="s">
        <v>111</v>
      </c>
      <c r="F2802" s="9" t="s">
        <v>111</v>
      </c>
      <c r="I2802" s="9" t="s">
        <v>11</v>
      </c>
      <c r="J2802" s="9" t="s">
        <v>11</v>
      </c>
      <c r="K2802" s="9" t="s">
        <v>82</v>
      </c>
      <c r="L2802" s="9" t="s">
        <v>171</v>
      </c>
      <c r="M2802" t="s">
        <v>860</v>
      </c>
      <c r="O2802" t="s">
        <v>1767</v>
      </c>
      <c r="P2802" t="s">
        <v>1783</v>
      </c>
      <c r="S2802">
        <v>359</v>
      </c>
      <c r="U2802" t="s">
        <v>1722</v>
      </c>
      <c r="V2802" t="s">
        <v>1484</v>
      </c>
      <c r="X2802" s="43">
        <v>2.4</v>
      </c>
      <c r="Y2802" s="159"/>
      <c r="AA2802" s="43"/>
      <c r="AB2802">
        <v>0.15</v>
      </c>
      <c r="AC2802">
        <v>0.17549999999999999</v>
      </c>
      <c r="AK2802">
        <v>7929592</v>
      </c>
    </row>
    <row r="2803" spans="1:37" ht="19">
      <c r="A2803" s="39" t="s">
        <v>17</v>
      </c>
      <c r="B2803" s="8">
        <v>2024</v>
      </c>
      <c r="C2803" s="8" t="s">
        <v>109</v>
      </c>
      <c r="D2803" s="9" t="s">
        <v>109</v>
      </c>
      <c r="E2803" s="9" t="s">
        <v>111</v>
      </c>
      <c r="F2803" s="9" t="s">
        <v>111</v>
      </c>
      <c r="I2803" s="9" t="s">
        <v>11</v>
      </c>
      <c r="J2803" s="9" t="s">
        <v>11</v>
      </c>
      <c r="K2803" s="9" t="s">
        <v>82</v>
      </c>
      <c r="L2803" s="9" t="s">
        <v>171</v>
      </c>
      <c r="M2803" t="s">
        <v>860</v>
      </c>
      <c r="O2803" t="s">
        <v>1771</v>
      </c>
      <c r="P2803" t="s">
        <v>1784</v>
      </c>
      <c r="S2803">
        <v>276</v>
      </c>
      <c r="U2803" s="14" t="s">
        <v>77</v>
      </c>
      <c r="V2803" t="s">
        <v>1720</v>
      </c>
      <c r="X2803" s="43">
        <v>1.9</v>
      </c>
      <c r="Y2803" s="159"/>
      <c r="AA2803" s="43"/>
      <c r="AB2803">
        <v>0.4</v>
      </c>
      <c r="AC2803">
        <v>0.13500000000000001</v>
      </c>
      <c r="AJ2803" s="13">
        <f>SUBTOTAL(9,X2803:AI2803)</f>
        <v>2.4349999999999996</v>
      </c>
      <c r="AK2803">
        <v>0</v>
      </c>
    </row>
    <row r="2804" spans="1:37" ht="19">
      <c r="A2804" s="39" t="s">
        <v>17</v>
      </c>
      <c r="B2804" s="8">
        <v>2024</v>
      </c>
      <c r="C2804" s="8" t="s">
        <v>109</v>
      </c>
      <c r="D2804" s="9" t="s">
        <v>109</v>
      </c>
      <c r="E2804" s="9" t="s">
        <v>111</v>
      </c>
      <c r="F2804" s="9" t="s">
        <v>111</v>
      </c>
      <c r="I2804" s="9" t="s">
        <v>11</v>
      </c>
      <c r="J2804" s="9" t="s">
        <v>11</v>
      </c>
      <c r="K2804" s="9" t="s">
        <v>82</v>
      </c>
      <c r="L2804" s="9" t="s">
        <v>171</v>
      </c>
      <c r="M2804" t="s">
        <v>860</v>
      </c>
      <c r="O2804" t="s">
        <v>1771</v>
      </c>
      <c r="P2804" t="s">
        <v>1785</v>
      </c>
      <c r="S2804">
        <v>239</v>
      </c>
      <c r="U2804" t="s">
        <v>1722</v>
      </c>
      <c r="V2804" t="s">
        <v>1484</v>
      </c>
      <c r="X2804" s="43">
        <v>1.65</v>
      </c>
      <c r="Y2804" s="159"/>
      <c r="AA2804" s="43"/>
      <c r="AB2804">
        <v>0.1</v>
      </c>
      <c r="AC2804">
        <v>0.11700000000000001</v>
      </c>
      <c r="AK2804">
        <v>5279032</v>
      </c>
    </row>
    <row r="2805" spans="1:37" ht="19">
      <c r="A2805" s="39" t="s">
        <v>17</v>
      </c>
      <c r="B2805" s="8">
        <v>2024</v>
      </c>
      <c r="C2805" s="8" t="s">
        <v>109</v>
      </c>
      <c r="D2805" s="9" t="s">
        <v>109</v>
      </c>
      <c r="E2805" s="9" t="s">
        <v>111</v>
      </c>
      <c r="F2805" s="9" t="s">
        <v>111</v>
      </c>
      <c r="I2805" s="9" t="s">
        <v>11</v>
      </c>
      <c r="J2805" s="9" t="s">
        <v>11</v>
      </c>
      <c r="K2805" s="9" t="s">
        <v>82</v>
      </c>
      <c r="L2805" s="9" t="s">
        <v>171</v>
      </c>
      <c r="M2805" t="s">
        <v>860</v>
      </c>
      <c r="O2805" t="s">
        <v>1771</v>
      </c>
      <c r="P2805" t="s">
        <v>1274</v>
      </c>
      <c r="S2805">
        <v>382</v>
      </c>
      <c r="U2805" s="14" t="s">
        <v>77</v>
      </c>
      <c r="V2805" t="s">
        <v>1720</v>
      </c>
      <c r="X2805" s="43">
        <v>2.6</v>
      </c>
      <c r="Y2805" s="159"/>
      <c r="AA2805" s="43"/>
      <c r="AB2805">
        <v>0.55000000000000004</v>
      </c>
      <c r="AC2805">
        <v>0.1845</v>
      </c>
      <c r="AJ2805" s="13">
        <f>SUBTOTAL(9,X2805:AI2805)</f>
        <v>3.3345000000000002</v>
      </c>
      <c r="AK2805">
        <v>0</v>
      </c>
    </row>
    <row r="2806" spans="1:37" ht="19">
      <c r="A2806" s="39" t="s">
        <v>17</v>
      </c>
      <c r="B2806" s="8">
        <v>2024</v>
      </c>
      <c r="C2806" s="8" t="s">
        <v>109</v>
      </c>
      <c r="D2806" s="9" t="s">
        <v>109</v>
      </c>
      <c r="E2806" s="9" t="s">
        <v>111</v>
      </c>
      <c r="F2806" s="9" t="s">
        <v>111</v>
      </c>
      <c r="I2806" s="9" t="s">
        <v>11</v>
      </c>
      <c r="J2806" s="9" t="s">
        <v>11</v>
      </c>
      <c r="K2806" s="9" t="s">
        <v>82</v>
      </c>
      <c r="L2806" s="9" t="s">
        <v>171</v>
      </c>
      <c r="M2806" t="s">
        <v>860</v>
      </c>
      <c r="O2806" t="s">
        <v>1767</v>
      </c>
      <c r="P2806" t="s">
        <v>1786</v>
      </c>
      <c r="S2806">
        <v>974</v>
      </c>
      <c r="U2806" t="s">
        <v>1722</v>
      </c>
      <c r="V2806" t="s">
        <v>1484</v>
      </c>
      <c r="X2806" s="43">
        <v>6.55</v>
      </c>
      <c r="Y2806" s="159"/>
      <c r="AA2806" s="43"/>
      <c r="AB2806">
        <v>0.35</v>
      </c>
      <c r="AC2806">
        <v>0.46800000000000003</v>
      </c>
      <c r="AK2806">
        <v>21513712</v>
      </c>
    </row>
    <row r="2807" spans="1:37" ht="19">
      <c r="A2807" s="39" t="s">
        <v>17</v>
      </c>
      <c r="B2807" s="8">
        <v>2024</v>
      </c>
      <c r="C2807" s="8" t="s">
        <v>109</v>
      </c>
      <c r="D2807" s="9" t="s">
        <v>109</v>
      </c>
      <c r="E2807" s="9" t="s">
        <v>111</v>
      </c>
      <c r="F2807" s="9" t="s">
        <v>111</v>
      </c>
      <c r="I2807" s="9" t="s">
        <v>11</v>
      </c>
      <c r="J2807" s="9" t="s">
        <v>11</v>
      </c>
      <c r="K2807" s="9" t="s">
        <v>82</v>
      </c>
      <c r="L2807" s="9" t="s">
        <v>171</v>
      </c>
      <c r="M2807" t="s">
        <v>860</v>
      </c>
      <c r="O2807" t="s">
        <v>1022</v>
      </c>
      <c r="P2807" t="s">
        <v>1787</v>
      </c>
      <c r="S2807">
        <v>511</v>
      </c>
      <c r="U2807" t="s">
        <v>1722</v>
      </c>
      <c r="V2807" t="s">
        <v>1484</v>
      </c>
      <c r="X2807" s="43">
        <v>3.45</v>
      </c>
      <c r="Y2807" s="159"/>
      <c r="AA2807" s="43"/>
      <c r="AB2807">
        <v>0.2</v>
      </c>
      <c r="AC2807">
        <v>0.2475</v>
      </c>
      <c r="AK2807">
        <v>11286968</v>
      </c>
    </row>
    <row r="2808" spans="1:37" ht="19">
      <c r="A2808" s="39" t="s">
        <v>17</v>
      </c>
      <c r="B2808" s="8">
        <v>2024</v>
      </c>
      <c r="C2808" s="8" t="s">
        <v>109</v>
      </c>
      <c r="D2808" s="9" t="s">
        <v>109</v>
      </c>
      <c r="E2808" s="9" t="s">
        <v>111</v>
      </c>
      <c r="F2808" s="9" t="s">
        <v>111</v>
      </c>
      <c r="I2808" s="9" t="s">
        <v>11</v>
      </c>
      <c r="J2808" s="9" t="s">
        <v>11</v>
      </c>
      <c r="K2808" s="9" t="s">
        <v>82</v>
      </c>
      <c r="L2808" s="9" t="s">
        <v>171</v>
      </c>
      <c r="M2808" t="s">
        <v>860</v>
      </c>
      <c r="O2808" t="s">
        <v>1022</v>
      </c>
      <c r="P2808" t="s">
        <v>1788</v>
      </c>
      <c r="S2808">
        <v>382</v>
      </c>
      <c r="U2808" t="s">
        <v>1722</v>
      </c>
      <c r="V2808" t="s">
        <v>1484</v>
      </c>
      <c r="X2808" s="43">
        <v>2.6</v>
      </c>
      <c r="Y2808" s="159"/>
      <c r="AA2808" s="43"/>
      <c r="AB2808">
        <v>0.15</v>
      </c>
      <c r="AC2808">
        <v>0.1845</v>
      </c>
      <c r="AK2808">
        <v>8437616</v>
      </c>
    </row>
    <row r="2809" spans="1:37" ht="19">
      <c r="A2809" s="39" t="s">
        <v>17</v>
      </c>
      <c r="B2809" s="8">
        <v>2024</v>
      </c>
      <c r="C2809" s="8" t="s">
        <v>109</v>
      </c>
      <c r="D2809" s="9" t="s">
        <v>109</v>
      </c>
      <c r="E2809" s="9" t="s">
        <v>111</v>
      </c>
      <c r="F2809" s="9" t="s">
        <v>111</v>
      </c>
      <c r="I2809" s="9" t="s">
        <v>11</v>
      </c>
      <c r="J2809" s="9" t="s">
        <v>11</v>
      </c>
      <c r="K2809" s="9" t="s">
        <v>82</v>
      </c>
      <c r="L2809" s="9" t="s">
        <v>171</v>
      </c>
      <c r="M2809" t="s">
        <v>860</v>
      </c>
      <c r="O2809" t="s">
        <v>1022</v>
      </c>
      <c r="P2809" t="s">
        <v>1789</v>
      </c>
      <c r="S2809">
        <v>133</v>
      </c>
      <c r="U2809" t="s">
        <v>1722</v>
      </c>
      <c r="V2809" t="s">
        <v>1484</v>
      </c>
      <c r="X2809" s="43">
        <v>1</v>
      </c>
      <c r="Y2809" s="159"/>
      <c r="AA2809" s="43"/>
      <c r="AB2809">
        <v>0.05</v>
      </c>
      <c r="AC2809">
        <v>7.1999999999999995E-2</v>
      </c>
      <c r="AK2809">
        <v>2937704</v>
      </c>
    </row>
    <row r="2810" spans="1:37" ht="19">
      <c r="A2810" s="39" t="s">
        <v>17</v>
      </c>
      <c r="B2810" s="8">
        <v>2024</v>
      </c>
      <c r="C2810" s="8" t="s">
        <v>109</v>
      </c>
      <c r="D2810" s="9" t="s">
        <v>109</v>
      </c>
      <c r="E2810" s="9" t="s">
        <v>111</v>
      </c>
      <c r="F2810" s="9" t="s">
        <v>111</v>
      </c>
      <c r="I2810" s="9" t="s">
        <v>11</v>
      </c>
      <c r="J2810" s="9" t="s">
        <v>11</v>
      </c>
      <c r="K2810" s="9" t="s">
        <v>82</v>
      </c>
      <c r="L2810" s="9" t="s">
        <v>171</v>
      </c>
      <c r="M2810" t="s">
        <v>860</v>
      </c>
      <c r="O2810" t="s">
        <v>1022</v>
      </c>
      <c r="P2810" t="s">
        <v>1790</v>
      </c>
      <c r="S2810">
        <v>256</v>
      </c>
      <c r="U2810" t="s">
        <v>1722</v>
      </c>
      <c r="V2810" t="s">
        <v>1484</v>
      </c>
      <c r="X2810" s="43">
        <v>1.75</v>
      </c>
      <c r="Y2810" s="159"/>
      <c r="AA2810" s="43"/>
      <c r="AB2810">
        <v>0.1</v>
      </c>
      <c r="AC2810">
        <v>0.126</v>
      </c>
      <c r="AK2810">
        <v>5654528</v>
      </c>
    </row>
    <row r="2811" spans="1:37" ht="19">
      <c r="A2811" s="39" t="s">
        <v>17</v>
      </c>
      <c r="B2811" s="8">
        <v>2024</v>
      </c>
      <c r="C2811" s="8" t="s">
        <v>109</v>
      </c>
      <c r="D2811" s="9" t="s">
        <v>109</v>
      </c>
      <c r="E2811" s="9" t="s">
        <v>111</v>
      </c>
      <c r="F2811" s="9" t="s">
        <v>111</v>
      </c>
      <c r="I2811" s="9" t="s">
        <v>11</v>
      </c>
      <c r="J2811" s="9" t="s">
        <v>11</v>
      </c>
      <c r="K2811" s="9" t="s">
        <v>82</v>
      </c>
      <c r="L2811" s="9" t="s">
        <v>171</v>
      </c>
      <c r="M2811" t="s">
        <v>860</v>
      </c>
      <c r="O2811" t="s">
        <v>1022</v>
      </c>
      <c r="P2811" t="s">
        <v>1791</v>
      </c>
      <c r="S2811">
        <v>138</v>
      </c>
      <c r="U2811" t="s">
        <v>1722</v>
      </c>
      <c r="V2811" t="s">
        <v>1484</v>
      </c>
      <c r="X2811" s="43">
        <v>1.05</v>
      </c>
      <c r="Y2811" s="159"/>
      <c r="AA2811" s="43"/>
      <c r="AB2811">
        <v>0.05</v>
      </c>
      <c r="AC2811">
        <v>7.6499999999999999E-2</v>
      </c>
      <c r="AK2811">
        <v>3048144</v>
      </c>
    </row>
    <row r="2812" spans="1:37" ht="19">
      <c r="A2812" s="39" t="s">
        <v>17</v>
      </c>
      <c r="B2812" s="8">
        <v>2024</v>
      </c>
      <c r="C2812" s="8" t="s">
        <v>109</v>
      </c>
      <c r="D2812" s="9" t="s">
        <v>109</v>
      </c>
      <c r="E2812" s="9" t="s">
        <v>111</v>
      </c>
      <c r="F2812" s="9" t="s">
        <v>111</v>
      </c>
      <c r="I2812" s="9" t="s">
        <v>11</v>
      </c>
      <c r="J2812" s="9" t="s">
        <v>11</v>
      </c>
      <c r="K2812" s="9" t="s">
        <v>82</v>
      </c>
      <c r="L2812" s="9" t="s">
        <v>171</v>
      </c>
      <c r="M2812" t="s">
        <v>860</v>
      </c>
      <c r="O2812" t="s">
        <v>1028</v>
      </c>
      <c r="P2812" t="s">
        <v>1792</v>
      </c>
      <c r="S2812">
        <v>346</v>
      </c>
      <c r="U2812" t="s">
        <v>1722</v>
      </c>
      <c r="V2812" t="s">
        <v>1484</v>
      </c>
      <c r="X2812" s="43">
        <v>2.35</v>
      </c>
      <c r="Y2812" s="159"/>
      <c r="AA2812" s="43"/>
      <c r="AB2812">
        <v>0.15</v>
      </c>
      <c r="AC2812">
        <v>0.17100000000000001</v>
      </c>
      <c r="AK2812">
        <v>7642448</v>
      </c>
    </row>
    <row r="2813" spans="1:37" ht="19">
      <c r="A2813" s="39" t="s">
        <v>17</v>
      </c>
      <c r="B2813" s="8">
        <v>2024</v>
      </c>
      <c r="C2813" s="8" t="s">
        <v>109</v>
      </c>
      <c r="D2813" s="9" t="s">
        <v>109</v>
      </c>
      <c r="E2813" s="9" t="s">
        <v>111</v>
      </c>
      <c r="F2813" s="9" t="s">
        <v>111</v>
      </c>
      <c r="I2813" s="9" t="s">
        <v>11</v>
      </c>
      <c r="J2813" s="9" t="s">
        <v>11</v>
      </c>
      <c r="K2813" s="9" t="s">
        <v>82</v>
      </c>
      <c r="L2813" s="9" t="s">
        <v>171</v>
      </c>
      <c r="M2813" t="s">
        <v>860</v>
      </c>
      <c r="O2813" t="s">
        <v>1028</v>
      </c>
      <c r="P2813" t="s">
        <v>1028</v>
      </c>
      <c r="S2813">
        <v>607</v>
      </c>
      <c r="U2813" t="s">
        <v>1722</v>
      </c>
      <c r="V2813" t="s">
        <v>1484</v>
      </c>
      <c r="X2813" s="43">
        <v>4.0999999999999996</v>
      </c>
      <c r="Y2813" s="159"/>
      <c r="AA2813" s="43"/>
      <c r="AB2813">
        <v>0.25</v>
      </c>
      <c r="AC2813">
        <v>0.29249999999999998</v>
      </c>
      <c r="AK2813">
        <v>13407416</v>
      </c>
    </row>
    <row r="2814" spans="1:37" ht="19">
      <c r="A2814" s="39" t="s">
        <v>17</v>
      </c>
      <c r="B2814" s="8">
        <v>2024</v>
      </c>
      <c r="C2814" s="8" t="s">
        <v>109</v>
      </c>
      <c r="D2814" s="9" t="s">
        <v>109</v>
      </c>
      <c r="E2814" s="9" t="s">
        <v>111</v>
      </c>
      <c r="F2814" s="9" t="s">
        <v>111</v>
      </c>
      <c r="I2814" s="9" t="s">
        <v>11</v>
      </c>
      <c r="J2814" s="9" t="s">
        <v>11</v>
      </c>
      <c r="K2814" s="9" t="s">
        <v>82</v>
      </c>
      <c r="L2814" s="9" t="s">
        <v>171</v>
      </c>
      <c r="M2814" t="s">
        <v>860</v>
      </c>
      <c r="O2814" t="s">
        <v>1028</v>
      </c>
      <c r="P2814" t="s">
        <v>1793</v>
      </c>
      <c r="S2814">
        <v>221</v>
      </c>
      <c r="U2814" s="14" t="s">
        <v>77</v>
      </c>
      <c r="V2814" t="s">
        <v>1720</v>
      </c>
      <c r="X2814" s="43">
        <v>1.7</v>
      </c>
      <c r="Y2814" s="159"/>
      <c r="AA2814" s="43"/>
      <c r="AB2814">
        <v>0.4</v>
      </c>
      <c r="AC2814">
        <v>0.1215</v>
      </c>
      <c r="AJ2814" s="13">
        <f t="shared" ref="AJ2814:AJ2817" si="251">SUBTOTAL(9,X2814:AI2814)</f>
        <v>2.2215000000000003</v>
      </c>
      <c r="AK2814">
        <v>0</v>
      </c>
    </row>
    <row r="2815" spans="1:37" ht="19">
      <c r="A2815" s="39" t="s">
        <v>17</v>
      </c>
      <c r="B2815" s="8">
        <v>2024</v>
      </c>
      <c r="C2815" s="8" t="s">
        <v>109</v>
      </c>
      <c r="D2815" s="9" t="s">
        <v>109</v>
      </c>
      <c r="E2815" s="9" t="s">
        <v>111</v>
      </c>
      <c r="F2815" s="9" t="s">
        <v>111</v>
      </c>
      <c r="I2815" s="9" t="s">
        <v>11</v>
      </c>
      <c r="J2815" s="9" t="s">
        <v>11</v>
      </c>
      <c r="K2815" s="9" t="s">
        <v>82</v>
      </c>
      <c r="L2815" s="9" t="s">
        <v>171</v>
      </c>
      <c r="M2815" t="s">
        <v>860</v>
      </c>
      <c r="O2815" t="s">
        <v>1028</v>
      </c>
      <c r="P2815" t="s">
        <v>1794</v>
      </c>
      <c r="S2815">
        <v>354</v>
      </c>
      <c r="U2815" s="14" t="s">
        <v>77</v>
      </c>
      <c r="V2815" t="s">
        <v>1720</v>
      </c>
      <c r="X2815" s="43">
        <v>2.4</v>
      </c>
      <c r="Y2815" s="159"/>
      <c r="AA2815" s="43"/>
      <c r="AB2815">
        <v>0.5</v>
      </c>
      <c r="AC2815">
        <v>0.17100000000000001</v>
      </c>
      <c r="AJ2815" s="13">
        <f t="shared" si="251"/>
        <v>3.0709999999999997</v>
      </c>
      <c r="AK2815">
        <v>0</v>
      </c>
    </row>
    <row r="2816" spans="1:37" ht="19">
      <c r="A2816" s="39" t="s">
        <v>17</v>
      </c>
      <c r="B2816" s="8">
        <v>2024</v>
      </c>
      <c r="C2816" s="8" t="s">
        <v>109</v>
      </c>
      <c r="D2816" s="9" t="s">
        <v>109</v>
      </c>
      <c r="E2816" s="9" t="s">
        <v>111</v>
      </c>
      <c r="F2816" s="9" t="s">
        <v>111</v>
      </c>
      <c r="I2816" s="9" t="s">
        <v>11</v>
      </c>
      <c r="J2816" s="9" t="s">
        <v>11</v>
      </c>
      <c r="K2816" s="9" t="s">
        <v>82</v>
      </c>
      <c r="L2816" s="9" t="s">
        <v>171</v>
      </c>
      <c r="M2816" t="s">
        <v>860</v>
      </c>
      <c r="O2816" t="s">
        <v>1028</v>
      </c>
      <c r="P2816" t="s">
        <v>1795</v>
      </c>
      <c r="S2816">
        <v>333</v>
      </c>
      <c r="U2816" s="14" t="s">
        <v>77</v>
      </c>
      <c r="V2816" t="s">
        <v>1720</v>
      </c>
      <c r="X2816" s="43">
        <v>2.2999999999999998</v>
      </c>
      <c r="Y2816" s="159"/>
      <c r="AA2816" s="43"/>
      <c r="AB2816">
        <v>0.45</v>
      </c>
      <c r="AC2816">
        <v>0.16200000000000001</v>
      </c>
      <c r="AJ2816" s="13">
        <f t="shared" si="251"/>
        <v>2.9119999999999999</v>
      </c>
      <c r="AK2816">
        <v>0</v>
      </c>
    </row>
    <row r="2817" spans="1:37" ht="19">
      <c r="A2817" s="39" t="s">
        <v>17</v>
      </c>
      <c r="B2817" s="8">
        <v>2024</v>
      </c>
      <c r="C2817" s="8" t="s">
        <v>109</v>
      </c>
      <c r="D2817" s="9" t="s">
        <v>109</v>
      </c>
      <c r="E2817" s="9" t="s">
        <v>111</v>
      </c>
      <c r="F2817" s="9" t="s">
        <v>111</v>
      </c>
      <c r="I2817" s="9" t="s">
        <v>11</v>
      </c>
      <c r="J2817" s="9" t="s">
        <v>11</v>
      </c>
      <c r="K2817" s="9" t="s">
        <v>82</v>
      </c>
      <c r="L2817" s="9" t="s">
        <v>171</v>
      </c>
      <c r="M2817" t="s">
        <v>860</v>
      </c>
      <c r="O2817" t="s">
        <v>1028</v>
      </c>
      <c r="P2817" t="s">
        <v>1796</v>
      </c>
      <c r="S2817">
        <v>274</v>
      </c>
      <c r="U2817" s="14" t="s">
        <v>77</v>
      </c>
      <c r="V2817" t="s">
        <v>1720</v>
      </c>
      <c r="X2817" s="43">
        <v>1.85</v>
      </c>
      <c r="Y2817" s="159"/>
      <c r="AA2817" s="43"/>
      <c r="AB2817">
        <v>0.4</v>
      </c>
      <c r="AC2817">
        <v>0.13500000000000001</v>
      </c>
      <c r="AJ2817" s="13">
        <f t="shared" si="251"/>
        <v>2.3849999999999998</v>
      </c>
      <c r="AK2817">
        <v>0</v>
      </c>
    </row>
    <row r="2818" spans="1:37" ht="19">
      <c r="A2818" s="39" t="s">
        <v>17</v>
      </c>
      <c r="B2818" s="8">
        <v>2024</v>
      </c>
      <c r="C2818" s="8" t="s">
        <v>109</v>
      </c>
      <c r="D2818" s="9" t="s">
        <v>109</v>
      </c>
      <c r="E2818" s="9" t="s">
        <v>111</v>
      </c>
      <c r="F2818" s="9" t="s">
        <v>111</v>
      </c>
      <c r="I2818" s="9" t="s">
        <v>11</v>
      </c>
      <c r="J2818" s="9" t="s">
        <v>11</v>
      </c>
      <c r="K2818" s="9" t="s">
        <v>82</v>
      </c>
      <c r="L2818" s="9" t="s">
        <v>171</v>
      </c>
      <c r="M2818" t="s">
        <v>860</v>
      </c>
      <c r="O2818" t="s">
        <v>1028</v>
      </c>
      <c r="P2818" t="s">
        <v>1797</v>
      </c>
      <c r="S2818">
        <v>234</v>
      </c>
      <c r="U2818" t="s">
        <v>1722</v>
      </c>
      <c r="V2818" t="s">
        <v>1484</v>
      </c>
      <c r="X2818" s="43">
        <v>1.2</v>
      </c>
      <c r="Y2818" s="159"/>
      <c r="AA2818" s="43"/>
      <c r="AB2818">
        <v>0.05</v>
      </c>
      <c r="AC2818">
        <v>0.10349999999999999</v>
      </c>
      <c r="AK2818">
        <v>5168592</v>
      </c>
    </row>
    <row r="2819" spans="1:37" ht="19">
      <c r="A2819" s="39" t="s">
        <v>17</v>
      </c>
      <c r="B2819" s="8">
        <v>2024</v>
      </c>
      <c r="C2819" s="8" t="s">
        <v>109</v>
      </c>
      <c r="D2819" s="9" t="s">
        <v>109</v>
      </c>
      <c r="E2819" s="9" t="s">
        <v>111</v>
      </c>
      <c r="F2819" s="9" t="s">
        <v>111</v>
      </c>
      <c r="I2819" s="9" t="s">
        <v>11</v>
      </c>
      <c r="J2819" s="9" t="s">
        <v>11</v>
      </c>
      <c r="K2819" s="9" t="s">
        <v>82</v>
      </c>
      <c r="L2819" s="9" t="s">
        <v>171</v>
      </c>
      <c r="M2819" t="s">
        <v>860</v>
      </c>
      <c r="O2819" t="s">
        <v>1028</v>
      </c>
      <c r="P2819" t="s">
        <v>1721</v>
      </c>
      <c r="S2819">
        <v>194</v>
      </c>
      <c r="U2819" t="s">
        <v>1722</v>
      </c>
      <c r="V2819" t="s">
        <v>1484</v>
      </c>
      <c r="X2819" s="43">
        <v>1.5</v>
      </c>
      <c r="Y2819" s="159"/>
      <c r="AA2819" s="43"/>
      <c r="AB2819">
        <v>0.1</v>
      </c>
      <c r="AC2819">
        <v>0.108</v>
      </c>
      <c r="AK2819">
        <v>4285072</v>
      </c>
    </row>
    <row r="2820" spans="1:37" ht="19">
      <c r="A2820" s="39" t="s">
        <v>17</v>
      </c>
      <c r="B2820" s="8">
        <v>2024</v>
      </c>
      <c r="C2820" s="8" t="s">
        <v>109</v>
      </c>
      <c r="D2820" s="9" t="s">
        <v>109</v>
      </c>
      <c r="E2820" s="9" t="s">
        <v>111</v>
      </c>
      <c r="F2820" s="9" t="s">
        <v>111</v>
      </c>
      <c r="I2820" s="9" t="s">
        <v>11</v>
      </c>
      <c r="J2820" s="9" t="s">
        <v>11</v>
      </c>
      <c r="K2820" s="9" t="s">
        <v>82</v>
      </c>
      <c r="L2820" s="9" t="s">
        <v>171</v>
      </c>
      <c r="M2820" t="s">
        <v>860</v>
      </c>
      <c r="O2820" t="s">
        <v>1798</v>
      </c>
      <c r="P2820" t="s">
        <v>1799</v>
      </c>
      <c r="S2820">
        <v>503</v>
      </c>
      <c r="U2820" s="14" t="s">
        <v>77</v>
      </c>
      <c r="V2820" t="s">
        <v>1720</v>
      </c>
      <c r="X2820" s="43">
        <v>3.4</v>
      </c>
      <c r="Y2820" s="159"/>
      <c r="AA2820" s="43"/>
      <c r="AB2820">
        <v>0.75</v>
      </c>
      <c r="AC2820">
        <v>0.24299999999999999</v>
      </c>
      <c r="AJ2820" s="13">
        <f>SUBTOTAL(9,X2820:AI2820)</f>
        <v>4.3930000000000007</v>
      </c>
      <c r="AK2820">
        <v>0</v>
      </c>
    </row>
    <row r="2821" spans="1:37" ht="19">
      <c r="A2821" s="39" t="s">
        <v>17</v>
      </c>
      <c r="B2821" s="8">
        <v>2024</v>
      </c>
      <c r="C2821" s="8" t="s">
        <v>109</v>
      </c>
      <c r="D2821" s="9" t="s">
        <v>109</v>
      </c>
      <c r="E2821" s="9" t="s">
        <v>111</v>
      </c>
      <c r="F2821" s="9" t="s">
        <v>111</v>
      </c>
      <c r="I2821" s="9" t="s">
        <v>11</v>
      </c>
      <c r="J2821" s="9" t="s">
        <v>11</v>
      </c>
      <c r="K2821" s="9" t="s">
        <v>82</v>
      </c>
      <c r="L2821" s="9" t="s">
        <v>171</v>
      </c>
      <c r="M2821" t="s">
        <v>860</v>
      </c>
      <c r="O2821" t="s">
        <v>1798</v>
      </c>
      <c r="P2821" t="s">
        <v>1800</v>
      </c>
      <c r="S2821">
        <v>500</v>
      </c>
      <c r="U2821" t="s">
        <v>1722</v>
      </c>
      <c r="V2821" t="s">
        <v>1484</v>
      </c>
      <c r="X2821" s="43">
        <v>3.4</v>
      </c>
      <c r="Y2821" s="159"/>
      <c r="AA2821" s="43"/>
      <c r="AB2821">
        <v>0.2</v>
      </c>
      <c r="AC2821">
        <v>0.24299999999999999</v>
      </c>
      <c r="AK2821">
        <v>11044000</v>
      </c>
    </row>
    <row r="2822" spans="1:37" ht="19">
      <c r="A2822" s="39" t="s">
        <v>17</v>
      </c>
      <c r="B2822" s="8">
        <v>2024</v>
      </c>
      <c r="C2822" s="8" t="s">
        <v>109</v>
      </c>
      <c r="D2822" s="9" t="s">
        <v>109</v>
      </c>
      <c r="E2822" s="9" t="s">
        <v>111</v>
      </c>
      <c r="F2822" s="9" t="s">
        <v>111</v>
      </c>
      <c r="I2822" s="9" t="s">
        <v>11</v>
      </c>
      <c r="J2822" s="9" t="s">
        <v>11</v>
      </c>
      <c r="K2822" s="9" t="s">
        <v>82</v>
      </c>
      <c r="L2822" s="9" t="s">
        <v>171</v>
      </c>
      <c r="M2822" t="s">
        <v>860</v>
      </c>
      <c r="O2822" t="s">
        <v>1798</v>
      </c>
      <c r="P2822" t="s">
        <v>1801</v>
      </c>
      <c r="S2822">
        <v>545</v>
      </c>
      <c r="U2822" s="14" t="s">
        <v>77</v>
      </c>
      <c r="V2822" t="s">
        <v>1720</v>
      </c>
      <c r="X2822" s="43">
        <v>3.7</v>
      </c>
      <c r="Y2822" s="159"/>
      <c r="AA2822" s="43"/>
      <c r="AB2822">
        <v>0.8</v>
      </c>
      <c r="AC2822">
        <v>0.26550000000000001</v>
      </c>
      <c r="AJ2822" s="13">
        <f t="shared" ref="AJ2822:AJ2823" si="252">SUBTOTAL(9,X2822:AI2822)</f>
        <v>4.7655000000000003</v>
      </c>
      <c r="AK2822">
        <v>0</v>
      </c>
    </row>
    <row r="2823" spans="1:37" ht="19">
      <c r="A2823" s="39" t="s">
        <v>17</v>
      </c>
      <c r="B2823" s="8">
        <v>2024</v>
      </c>
      <c r="C2823" s="8" t="s">
        <v>109</v>
      </c>
      <c r="D2823" s="9" t="s">
        <v>109</v>
      </c>
      <c r="E2823" s="9" t="s">
        <v>111</v>
      </c>
      <c r="F2823" s="9" t="s">
        <v>111</v>
      </c>
      <c r="I2823" s="9" t="s">
        <v>11</v>
      </c>
      <c r="J2823" s="9" t="s">
        <v>11</v>
      </c>
      <c r="K2823" s="9" t="s">
        <v>82</v>
      </c>
      <c r="L2823" s="9" t="s">
        <v>171</v>
      </c>
      <c r="M2823" t="s">
        <v>860</v>
      </c>
      <c r="O2823" t="s">
        <v>1798</v>
      </c>
      <c r="P2823" t="s">
        <v>1802</v>
      </c>
      <c r="S2823">
        <v>662</v>
      </c>
      <c r="U2823" s="14" t="s">
        <v>77</v>
      </c>
      <c r="V2823" t="s">
        <v>1720</v>
      </c>
      <c r="X2823" s="43">
        <v>4.45</v>
      </c>
      <c r="Y2823" s="159"/>
      <c r="AA2823" s="43"/>
      <c r="AB2823">
        <v>0.95</v>
      </c>
      <c r="AC2823">
        <v>0.31950000000000001</v>
      </c>
      <c r="AJ2823" s="13">
        <f t="shared" si="252"/>
        <v>5.7195</v>
      </c>
      <c r="AK2823">
        <v>0</v>
      </c>
    </row>
    <row r="2824" spans="1:37" ht="19">
      <c r="A2824" s="39" t="s">
        <v>17</v>
      </c>
      <c r="B2824" s="8">
        <v>2024</v>
      </c>
      <c r="C2824" s="8" t="s">
        <v>109</v>
      </c>
      <c r="D2824" s="9" t="s">
        <v>109</v>
      </c>
      <c r="E2824" s="9" t="s">
        <v>111</v>
      </c>
      <c r="F2824" s="9" t="s">
        <v>111</v>
      </c>
      <c r="I2824" s="9" t="s">
        <v>11</v>
      </c>
      <c r="J2824" s="9" t="s">
        <v>11</v>
      </c>
      <c r="K2824" s="9" t="s">
        <v>82</v>
      </c>
      <c r="L2824" s="9" t="s">
        <v>171</v>
      </c>
      <c r="M2824" t="s">
        <v>860</v>
      </c>
      <c r="O2824" t="s">
        <v>1798</v>
      </c>
      <c r="P2824" t="s">
        <v>1798</v>
      </c>
      <c r="S2824">
        <v>724</v>
      </c>
      <c r="U2824" t="s">
        <v>1722</v>
      </c>
      <c r="V2824" t="s">
        <v>1484</v>
      </c>
      <c r="X2824" s="43">
        <v>4.9000000000000004</v>
      </c>
      <c r="Y2824" s="159"/>
      <c r="AA2824" s="43"/>
      <c r="AB2824">
        <v>0.25</v>
      </c>
      <c r="AC2824">
        <v>0.35099999999999998</v>
      </c>
      <c r="AK2824">
        <v>15991712</v>
      </c>
    </row>
    <row r="2825" spans="1:37" ht="19">
      <c r="A2825" s="39" t="s">
        <v>17</v>
      </c>
      <c r="B2825" s="8">
        <v>2024</v>
      </c>
      <c r="C2825" s="8" t="s">
        <v>109</v>
      </c>
      <c r="D2825" s="9" t="s">
        <v>109</v>
      </c>
      <c r="E2825" s="9" t="s">
        <v>111</v>
      </c>
      <c r="F2825" s="9" t="s">
        <v>111</v>
      </c>
      <c r="I2825" s="9" t="s">
        <v>11</v>
      </c>
      <c r="J2825" s="9" t="s">
        <v>11</v>
      </c>
      <c r="K2825" s="9" t="s">
        <v>82</v>
      </c>
      <c r="L2825" s="9" t="s">
        <v>171</v>
      </c>
      <c r="M2825" t="s">
        <v>860</v>
      </c>
      <c r="O2825" t="s">
        <v>1798</v>
      </c>
      <c r="P2825" t="s">
        <v>1803</v>
      </c>
      <c r="S2825">
        <v>491</v>
      </c>
      <c r="U2825" t="s">
        <v>1722</v>
      </c>
      <c r="V2825" t="s">
        <v>1484</v>
      </c>
      <c r="X2825" s="43">
        <v>3.35</v>
      </c>
      <c r="Y2825" s="159"/>
      <c r="AA2825" s="43"/>
      <c r="AB2825">
        <v>0.2</v>
      </c>
      <c r="AC2825">
        <v>0.23849999999999999</v>
      </c>
      <c r="AK2825">
        <v>10845208</v>
      </c>
    </row>
    <row r="2826" spans="1:37" ht="19">
      <c r="A2826" s="39" t="s">
        <v>17</v>
      </c>
      <c r="B2826" s="8">
        <v>2024</v>
      </c>
      <c r="C2826" s="8" t="s">
        <v>109</v>
      </c>
      <c r="D2826" s="9" t="s">
        <v>109</v>
      </c>
      <c r="E2826" s="9" t="s">
        <v>111</v>
      </c>
      <c r="F2826" s="9" t="s">
        <v>111</v>
      </c>
      <c r="I2826" s="9" t="s">
        <v>11</v>
      </c>
      <c r="J2826" s="9" t="s">
        <v>11</v>
      </c>
      <c r="K2826" s="9" t="s">
        <v>82</v>
      </c>
      <c r="L2826" s="9" t="s">
        <v>171</v>
      </c>
      <c r="M2826" t="s">
        <v>860</v>
      </c>
      <c r="O2826" t="s">
        <v>1798</v>
      </c>
      <c r="P2826" t="s">
        <v>1804</v>
      </c>
      <c r="S2826">
        <v>558</v>
      </c>
      <c r="U2826" s="14" t="s">
        <v>77</v>
      </c>
      <c r="V2826" t="s">
        <v>1720</v>
      </c>
      <c r="X2826" s="43">
        <v>3.8</v>
      </c>
      <c r="Y2826" s="159"/>
      <c r="AA2826" s="43"/>
      <c r="AB2826">
        <v>0.8</v>
      </c>
      <c r="AC2826">
        <v>0.27</v>
      </c>
      <c r="AJ2826" s="13">
        <f>SUBTOTAL(9,X2826:AI2826)</f>
        <v>4.8699999999999992</v>
      </c>
      <c r="AK2826">
        <v>0</v>
      </c>
    </row>
    <row r="2827" spans="1:37" ht="19">
      <c r="A2827" s="39" t="s">
        <v>17</v>
      </c>
      <c r="B2827" s="8">
        <v>2024</v>
      </c>
      <c r="C2827" s="8" t="s">
        <v>109</v>
      </c>
      <c r="D2827" s="9" t="s">
        <v>109</v>
      </c>
      <c r="E2827" s="9" t="s">
        <v>111</v>
      </c>
      <c r="F2827" s="9" t="s">
        <v>111</v>
      </c>
      <c r="I2827" s="9" t="s">
        <v>11</v>
      </c>
      <c r="J2827" s="9" t="s">
        <v>11</v>
      </c>
      <c r="K2827" s="9" t="s">
        <v>82</v>
      </c>
      <c r="L2827" s="9" t="s">
        <v>171</v>
      </c>
      <c r="M2827" t="s">
        <v>860</v>
      </c>
      <c r="O2827" t="s">
        <v>1798</v>
      </c>
      <c r="P2827" t="s">
        <v>1805</v>
      </c>
      <c r="S2827">
        <v>429</v>
      </c>
      <c r="U2827" t="s">
        <v>1722</v>
      </c>
      <c r="V2827" t="s">
        <v>1484</v>
      </c>
      <c r="X2827" s="43">
        <v>2.9</v>
      </c>
      <c r="Y2827" s="159"/>
      <c r="AA2827" s="43"/>
      <c r="AB2827">
        <v>0.15</v>
      </c>
      <c r="AC2827">
        <v>0.20699999999999999</v>
      </c>
      <c r="AK2827">
        <v>9475752</v>
      </c>
    </row>
    <row r="2828" spans="1:37" ht="19">
      <c r="A2828" s="39" t="s">
        <v>17</v>
      </c>
      <c r="B2828" s="8">
        <v>2024</v>
      </c>
      <c r="C2828" s="8" t="s">
        <v>109</v>
      </c>
      <c r="D2828" s="9" t="s">
        <v>109</v>
      </c>
      <c r="E2828" s="9" t="s">
        <v>111</v>
      </c>
      <c r="F2828" s="9" t="s">
        <v>111</v>
      </c>
      <c r="I2828" s="9" t="s">
        <v>11</v>
      </c>
      <c r="J2828" s="9" t="s">
        <v>11</v>
      </c>
      <c r="K2828" s="9" t="s">
        <v>82</v>
      </c>
      <c r="L2828" s="9" t="s">
        <v>171</v>
      </c>
      <c r="M2828" t="s">
        <v>860</v>
      </c>
      <c r="O2828" t="s">
        <v>1798</v>
      </c>
      <c r="P2828" t="s">
        <v>1806</v>
      </c>
      <c r="S2828">
        <v>558</v>
      </c>
      <c r="U2828" t="s">
        <v>1722</v>
      </c>
      <c r="V2828" t="s">
        <v>1484</v>
      </c>
      <c r="X2828" s="43">
        <v>3.8</v>
      </c>
      <c r="Y2828" s="159"/>
      <c r="AA2828" s="43"/>
      <c r="AB2828">
        <v>0.2</v>
      </c>
      <c r="AC2828">
        <v>0.27</v>
      </c>
      <c r="AK2828">
        <v>12325104</v>
      </c>
    </row>
    <row r="2829" spans="1:37" ht="19">
      <c r="A2829" s="39" t="s">
        <v>17</v>
      </c>
      <c r="B2829" s="8">
        <v>2024</v>
      </c>
      <c r="C2829" s="8" t="s">
        <v>109</v>
      </c>
      <c r="D2829" s="9" t="s">
        <v>109</v>
      </c>
      <c r="E2829" s="9" t="s">
        <v>111</v>
      </c>
      <c r="F2829" s="9" t="s">
        <v>111</v>
      </c>
      <c r="I2829" s="9" t="s">
        <v>11</v>
      </c>
      <c r="J2829" s="9" t="s">
        <v>11</v>
      </c>
      <c r="K2829" s="9" t="s">
        <v>82</v>
      </c>
      <c r="L2829" s="9" t="s">
        <v>171</v>
      </c>
      <c r="M2829" t="s">
        <v>860</v>
      </c>
      <c r="O2829" t="s">
        <v>1798</v>
      </c>
      <c r="P2829" t="s">
        <v>1807</v>
      </c>
      <c r="S2829">
        <v>398</v>
      </c>
      <c r="U2829" t="s">
        <v>1722</v>
      </c>
      <c r="V2829" t="s">
        <v>1484</v>
      </c>
      <c r="X2829" s="43">
        <v>2.7</v>
      </c>
      <c r="Y2829" s="159"/>
      <c r="AA2829" s="43"/>
      <c r="AB2829">
        <v>0.15</v>
      </c>
      <c r="AC2829">
        <v>0.19350000000000001</v>
      </c>
      <c r="AK2829">
        <v>8791024</v>
      </c>
    </row>
    <row r="2830" spans="1:37" ht="19">
      <c r="A2830" s="39" t="s">
        <v>17</v>
      </c>
      <c r="B2830" s="8">
        <v>2024</v>
      </c>
      <c r="C2830" s="8" t="s">
        <v>109</v>
      </c>
      <c r="D2830" s="9" t="s">
        <v>109</v>
      </c>
      <c r="E2830" s="9" t="s">
        <v>111</v>
      </c>
      <c r="F2830" s="9" t="s">
        <v>111</v>
      </c>
      <c r="I2830" s="9" t="s">
        <v>11</v>
      </c>
      <c r="J2830" s="9" t="s">
        <v>11</v>
      </c>
      <c r="K2830" s="9" t="s">
        <v>82</v>
      </c>
      <c r="L2830" s="9" t="s">
        <v>171</v>
      </c>
      <c r="M2830" t="s">
        <v>860</v>
      </c>
      <c r="O2830" t="s">
        <v>1808</v>
      </c>
      <c r="P2830" t="s">
        <v>1809</v>
      </c>
      <c r="S2830">
        <v>754</v>
      </c>
      <c r="U2830" t="s">
        <v>1722</v>
      </c>
      <c r="V2830" t="s">
        <v>1484</v>
      </c>
      <c r="X2830" s="43">
        <v>5.0999999999999996</v>
      </c>
      <c r="Y2830" s="159"/>
      <c r="AA2830" s="43"/>
      <c r="AB2830">
        <v>0.25</v>
      </c>
      <c r="AC2830">
        <v>0.36449999999999999</v>
      </c>
      <c r="AK2830">
        <v>16654352</v>
      </c>
    </row>
    <row r="2831" spans="1:37" ht="19">
      <c r="A2831" s="39" t="s">
        <v>17</v>
      </c>
      <c r="B2831" s="8">
        <v>2024</v>
      </c>
      <c r="C2831" s="8" t="s">
        <v>109</v>
      </c>
      <c r="D2831" s="9" t="s">
        <v>109</v>
      </c>
      <c r="E2831" s="9" t="s">
        <v>111</v>
      </c>
      <c r="F2831" s="9" t="s">
        <v>111</v>
      </c>
      <c r="I2831" s="9" t="s">
        <v>11</v>
      </c>
      <c r="J2831" s="9" t="s">
        <v>11</v>
      </c>
      <c r="K2831" s="9" t="s">
        <v>82</v>
      </c>
      <c r="L2831" s="9" t="s">
        <v>171</v>
      </c>
      <c r="M2831" t="s">
        <v>860</v>
      </c>
      <c r="O2831" t="s">
        <v>1810</v>
      </c>
      <c r="P2831" t="s">
        <v>1811</v>
      </c>
      <c r="S2831">
        <v>267</v>
      </c>
      <c r="U2831" t="s">
        <v>1722</v>
      </c>
      <c r="V2831" t="s">
        <v>1484</v>
      </c>
      <c r="X2831" s="43">
        <v>1.85</v>
      </c>
      <c r="Y2831" s="159"/>
      <c r="AA2831" s="43"/>
      <c r="AB2831">
        <v>0.1</v>
      </c>
      <c r="AC2831">
        <v>0.1305</v>
      </c>
      <c r="AK2831">
        <v>5897496</v>
      </c>
    </row>
    <row r="2832" spans="1:37" ht="19">
      <c r="A2832" s="39" t="s">
        <v>17</v>
      </c>
      <c r="B2832" s="8">
        <v>2024</v>
      </c>
      <c r="C2832" s="8" t="s">
        <v>109</v>
      </c>
      <c r="D2832" s="9" t="s">
        <v>109</v>
      </c>
      <c r="E2832" s="9" t="s">
        <v>111</v>
      </c>
      <c r="F2832" s="9" t="s">
        <v>111</v>
      </c>
      <c r="I2832" s="9" t="s">
        <v>11</v>
      </c>
      <c r="J2832" s="9" t="s">
        <v>11</v>
      </c>
      <c r="K2832" s="9" t="s">
        <v>82</v>
      </c>
      <c r="L2832" s="9" t="s">
        <v>171</v>
      </c>
      <c r="M2832" t="s">
        <v>860</v>
      </c>
      <c r="O2832" t="s">
        <v>759</v>
      </c>
      <c r="P2832" t="s">
        <v>1812</v>
      </c>
      <c r="S2832">
        <v>337</v>
      </c>
      <c r="U2832" s="14" t="s">
        <v>77</v>
      </c>
      <c r="V2832" t="s">
        <v>1720</v>
      </c>
      <c r="X2832" s="43">
        <v>2.25</v>
      </c>
      <c r="Y2832" s="159"/>
      <c r="AA2832" s="43"/>
      <c r="AB2832">
        <v>0.5</v>
      </c>
      <c r="AC2832">
        <v>0.16650000000000001</v>
      </c>
      <c r="AJ2832" s="13">
        <f t="shared" ref="AJ2832:AJ2833" si="253">SUBTOTAL(9,X2832:AI2832)</f>
        <v>2.9165000000000001</v>
      </c>
      <c r="AK2832">
        <v>0</v>
      </c>
    </row>
    <row r="2833" spans="1:37" ht="19">
      <c r="A2833" s="39" t="s">
        <v>17</v>
      </c>
      <c r="B2833" s="8">
        <v>2024</v>
      </c>
      <c r="C2833" s="8" t="s">
        <v>109</v>
      </c>
      <c r="D2833" s="9" t="s">
        <v>109</v>
      </c>
      <c r="E2833" s="9" t="s">
        <v>111</v>
      </c>
      <c r="F2833" s="9" t="s">
        <v>111</v>
      </c>
      <c r="I2833" s="9" t="s">
        <v>11</v>
      </c>
      <c r="J2833" s="9" t="s">
        <v>11</v>
      </c>
      <c r="K2833" s="9" t="s">
        <v>82</v>
      </c>
      <c r="L2833" s="9" t="s">
        <v>171</v>
      </c>
      <c r="M2833" t="s">
        <v>860</v>
      </c>
      <c r="O2833" t="s">
        <v>759</v>
      </c>
      <c r="P2833" t="s">
        <v>1813</v>
      </c>
      <c r="S2833">
        <v>411</v>
      </c>
      <c r="U2833" s="14" t="s">
        <v>77</v>
      </c>
      <c r="V2833" t="s">
        <v>1720</v>
      </c>
      <c r="X2833" s="43">
        <v>2.8</v>
      </c>
      <c r="Y2833" s="159"/>
      <c r="AA2833" s="43"/>
      <c r="AB2833">
        <v>0.6</v>
      </c>
      <c r="AC2833">
        <v>0.19800000000000001</v>
      </c>
      <c r="AJ2833" s="13">
        <f t="shared" si="253"/>
        <v>3.5979999999999999</v>
      </c>
      <c r="AK2833">
        <v>0</v>
      </c>
    </row>
    <row r="2834" spans="1:37" ht="19">
      <c r="A2834" s="39" t="s">
        <v>17</v>
      </c>
      <c r="B2834" s="8">
        <v>2024</v>
      </c>
      <c r="C2834" s="8" t="s">
        <v>109</v>
      </c>
      <c r="D2834" s="9" t="s">
        <v>109</v>
      </c>
      <c r="E2834" s="9" t="s">
        <v>111</v>
      </c>
      <c r="F2834" s="9" t="s">
        <v>111</v>
      </c>
      <c r="I2834" s="9" t="s">
        <v>11</v>
      </c>
      <c r="J2834" s="9" t="s">
        <v>11</v>
      </c>
      <c r="K2834" s="9" t="s">
        <v>82</v>
      </c>
      <c r="L2834" s="9" t="s">
        <v>171</v>
      </c>
      <c r="M2834" t="s">
        <v>860</v>
      </c>
      <c r="O2834" t="s">
        <v>1814</v>
      </c>
      <c r="P2834" t="s">
        <v>1815</v>
      </c>
      <c r="S2834">
        <v>1001</v>
      </c>
      <c r="U2834" t="s">
        <v>1722</v>
      </c>
      <c r="V2834" t="s">
        <v>1484</v>
      </c>
      <c r="X2834" s="43">
        <v>7.45</v>
      </c>
      <c r="Y2834" s="159"/>
      <c r="AA2834" s="43"/>
      <c r="AB2834">
        <v>0.35</v>
      </c>
      <c r="AC2834">
        <v>0.54900000000000004</v>
      </c>
      <c r="AK2834">
        <v>22110088</v>
      </c>
    </row>
    <row r="2835" spans="1:37" ht="19">
      <c r="A2835" s="39" t="s">
        <v>17</v>
      </c>
      <c r="B2835" s="8">
        <v>2024</v>
      </c>
      <c r="C2835" s="8" t="s">
        <v>109</v>
      </c>
      <c r="D2835" s="9" t="s">
        <v>109</v>
      </c>
      <c r="E2835" s="9" t="s">
        <v>111</v>
      </c>
      <c r="F2835" s="9" t="s">
        <v>111</v>
      </c>
      <c r="I2835" s="9" t="s">
        <v>11</v>
      </c>
      <c r="J2835" s="9" t="s">
        <v>11</v>
      </c>
      <c r="K2835" s="9" t="s">
        <v>82</v>
      </c>
      <c r="L2835" s="9" t="s">
        <v>171</v>
      </c>
      <c r="M2835" t="s">
        <v>860</v>
      </c>
      <c r="O2835" t="s">
        <v>1810</v>
      </c>
      <c r="P2835" t="s">
        <v>1816</v>
      </c>
      <c r="S2835">
        <v>234</v>
      </c>
      <c r="U2835" t="s">
        <v>1722</v>
      </c>
      <c r="V2835" t="s">
        <v>1484</v>
      </c>
      <c r="X2835" s="43">
        <v>1.8</v>
      </c>
      <c r="Y2835" s="159"/>
      <c r="AA2835" s="43"/>
      <c r="AB2835">
        <v>0.1</v>
      </c>
      <c r="AC2835">
        <v>0.1305</v>
      </c>
      <c r="AK2835">
        <v>5168592</v>
      </c>
    </row>
    <row r="2836" spans="1:37" ht="19">
      <c r="A2836" s="39" t="s">
        <v>17</v>
      </c>
      <c r="B2836" s="8">
        <v>2024</v>
      </c>
      <c r="C2836" s="8" t="s">
        <v>109</v>
      </c>
      <c r="D2836" s="9" t="s">
        <v>109</v>
      </c>
      <c r="E2836" s="9" t="s">
        <v>111</v>
      </c>
      <c r="F2836" s="9" t="s">
        <v>111</v>
      </c>
      <c r="I2836" s="9" t="s">
        <v>11</v>
      </c>
      <c r="J2836" s="9" t="s">
        <v>11</v>
      </c>
      <c r="K2836" s="9" t="s">
        <v>82</v>
      </c>
      <c r="L2836" s="9" t="s">
        <v>171</v>
      </c>
      <c r="M2836" t="s">
        <v>860</v>
      </c>
      <c r="O2836" t="s">
        <v>759</v>
      </c>
      <c r="P2836" t="s">
        <v>1817</v>
      </c>
      <c r="S2836">
        <v>255</v>
      </c>
      <c r="U2836" t="s">
        <v>1722</v>
      </c>
      <c r="V2836" t="s">
        <v>1484</v>
      </c>
      <c r="X2836" s="43">
        <v>1.75</v>
      </c>
      <c r="Y2836" s="159"/>
      <c r="AA2836" s="43"/>
      <c r="AB2836">
        <v>0.1</v>
      </c>
      <c r="AC2836">
        <v>0.1215</v>
      </c>
      <c r="AK2836">
        <v>5632440</v>
      </c>
    </row>
    <row r="2837" spans="1:37" ht="19">
      <c r="A2837" s="39" t="s">
        <v>17</v>
      </c>
      <c r="B2837" s="8">
        <v>2024</v>
      </c>
      <c r="C2837" s="8" t="s">
        <v>109</v>
      </c>
      <c r="D2837" s="9" t="s">
        <v>109</v>
      </c>
      <c r="E2837" s="9" t="s">
        <v>111</v>
      </c>
      <c r="F2837" s="9" t="s">
        <v>111</v>
      </c>
      <c r="I2837" s="9" t="s">
        <v>11</v>
      </c>
      <c r="J2837" s="9" t="s">
        <v>11</v>
      </c>
      <c r="K2837" s="9" t="s">
        <v>82</v>
      </c>
      <c r="L2837" s="9" t="s">
        <v>171</v>
      </c>
      <c r="M2837" t="s">
        <v>860</v>
      </c>
      <c r="O2837" t="s">
        <v>1810</v>
      </c>
      <c r="P2837" t="s">
        <v>1818</v>
      </c>
      <c r="S2837">
        <v>190</v>
      </c>
      <c r="U2837" t="s">
        <v>1722</v>
      </c>
      <c r="V2837" t="s">
        <v>1484</v>
      </c>
      <c r="X2837" s="43">
        <v>1.45</v>
      </c>
      <c r="Y2837" s="159"/>
      <c r="AA2837" s="43"/>
      <c r="AB2837">
        <v>0.1</v>
      </c>
      <c r="AC2837">
        <v>0.10349999999999999</v>
      </c>
      <c r="AK2837">
        <v>4196720</v>
      </c>
    </row>
    <row r="2838" spans="1:37" ht="19">
      <c r="A2838" s="39" t="s">
        <v>17</v>
      </c>
      <c r="B2838" s="8">
        <v>2024</v>
      </c>
      <c r="C2838" s="8" t="s">
        <v>109</v>
      </c>
      <c r="D2838" s="9" t="s">
        <v>109</v>
      </c>
      <c r="E2838" s="9" t="s">
        <v>111</v>
      </c>
      <c r="F2838" s="9" t="s">
        <v>111</v>
      </c>
      <c r="I2838" s="9" t="s">
        <v>11</v>
      </c>
      <c r="J2838" s="9" t="s">
        <v>11</v>
      </c>
      <c r="K2838" s="9" t="s">
        <v>82</v>
      </c>
      <c r="L2838" s="9" t="s">
        <v>171</v>
      </c>
      <c r="M2838" t="s">
        <v>860</v>
      </c>
      <c r="O2838" t="s">
        <v>1810</v>
      </c>
      <c r="P2838" t="s">
        <v>1819</v>
      </c>
      <c r="S2838">
        <v>191</v>
      </c>
      <c r="U2838" t="s">
        <v>1722</v>
      </c>
      <c r="V2838" t="s">
        <v>1484</v>
      </c>
      <c r="X2838" s="43">
        <v>1.45</v>
      </c>
      <c r="Y2838" s="159"/>
      <c r="AA2838" s="43"/>
      <c r="AB2838">
        <v>0.1</v>
      </c>
      <c r="AC2838">
        <v>0.10349999999999999</v>
      </c>
      <c r="AK2838">
        <v>4218808</v>
      </c>
    </row>
    <row r="2839" spans="1:37" ht="19">
      <c r="A2839" s="39" t="s">
        <v>17</v>
      </c>
      <c r="B2839" s="8">
        <v>2024</v>
      </c>
      <c r="C2839" s="8" t="s">
        <v>109</v>
      </c>
      <c r="D2839" s="9" t="s">
        <v>109</v>
      </c>
      <c r="E2839" s="9" t="s">
        <v>111</v>
      </c>
      <c r="F2839" s="9" t="s">
        <v>111</v>
      </c>
      <c r="I2839" s="9" t="s">
        <v>11</v>
      </c>
      <c r="J2839" s="9" t="s">
        <v>11</v>
      </c>
      <c r="K2839" s="9" t="s">
        <v>82</v>
      </c>
      <c r="L2839" s="9" t="s">
        <v>171</v>
      </c>
      <c r="M2839" t="s">
        <v>860</v>
      </c>
      <c r="O2839" t="s">
        <v>904</v>
      </c>
      <c r="P2839" t="s">
        <v>1820</v>
      </c>
      <c r="S2839">
        <v>212</v>
      </c>
      <c r="U2839" s="14" t="s">
        <v>77</v>
      </c>
      <c r="V2839" t="s">
        <v>1720</v>
      </c>
      <c r="X2839" s="43">
        <v>1.65</v>
      </c>
      <c r="Y2839" s="159"/>
      <c r="AA2839" s="43"/>
      <c r="AB2839">
        <v>0.35</v>
      </c>
      <c r="AC2839">
        <v>0.11700000000000001</v>
      </c>
      <c r="AJ2839" s="13">
        <f t="shared" ref="AJ2839:AJ2846" si="254">SUBTOTAL(9,X2839:AI2839)</f>
        <v>2.117</v>
      </c>
      <c r="AK2839">
        <v>0</v>
      </c>
    </row>
    <row r="2840" spans="1:37" ht="19">
      <c r="A2840" s="39" t="s">
        <v>17</v>
      </c>
      <c r="B2840" s="8">
        <v>2024</v>
      </c>
      <c r="C2840" s="8" t="s">
        <v>109</v>
      </c>
      <c r="D2840" s="9" t="s">
        <v>109</v>
      </c>
      <c r="E2840" s="9" t="s">
        <v>111</v>
      </c>
      <c r="F2840" s="9" t="s">
        <v>111</v>
      </c>
      <c r="I2840" s="9" t="s">
        <v>11</v>
      </c>
      <c r="J2840" s="9" t="s">
        <v>11</v>
      </c>
      <c r="K2840" s="9" t="s">
        <v>82</v>
      </c>
      <c r="L2840" s="9" t="s">
        <v>171</v>
      </c>
      <c r="M2840" t="s">
        <v>860</v>
      </c>
      <c r="O2840" t="s">
        <v>904</v>
      </c>
      <c r="P2840" t="s">
        <v>1821</v>
      </c>
      <c r="S2840">
        <v>737</v>
      </c>
      <c r="U2840" s="14" t="s">
        <v>77</v>
      </c>
      <c r="V2840" t="s">
        <v>1720</v>
      </c>
      <c r="X2840" s="43">
        <v>4.95</v>
      </c>
      <c r="Y2840" s="159"/>
      <c r="AA2840" s="43"/>
      <c r="AB2840">
        <v>1.05</v>
      </c>
      <c r="AC2840">
        <v>0.35549999999999998</v>
      </c>
      <c r="AJ2840" s="13">
        <f t="shared" si="254"/>
        <v>6.3555000000000001</v>
      </c>
      <c r="AK2840">
        <v>0</v>
      </c>
    </row>
    <row r="2841" spans="1:37" ht="19">
      <c r="A2841" s="39" t="s">
        <v>17</v>
      </c>
      <c r="B2841" s="8">
        <v>2024</v>
      </c>
      <c r="C2841" s="8" t="s">
        <v>109</v>
      </c>
      <c r="D2841" s="9" t="s">
        <v>109</v>
      </c>
      <c r="E2841" s="9" t="s">
        <v>111</v>
      </c>
      <c r="F2841" s="9" t="s">
        <v>111</v>
      </c>
      <c r="I2841" s="9" t="s">
        <v>11</v>
      </c>
      <c r="J2841" s="9" t="s">
        <v>11</v>
      </c>
      <c r="K2841" s="9" t="s">
        <v>82</v>
      </c>
      <c r="L2841" s="9" t="s">
        <v>171</v>
      </c>
      <c r="M2841" t="s">
        <v>860</v>
      </c>
      <c r="O2841" t="s">
        <v>904</v>
      </c>
      <c r="P2841" t="s">
        <v>841</v>
      </c>
      <c r="S2841">
        <v>490</v>
      </c>
      <c r="U2841" s="14" t="s">
        <v>77</v>
      </c>
      <c r="V2841" t="s">
        <v>1720</v>
      </c>
      <c r="X2841" s="43">
        <v>3.35</v>
      </c>
      <c r="Y2841" s="159"/>
      <c r="AA2841" s="43"/>
      <c r="AB2841">
        <v>0.7</v>
      </c>
      <c r="AC2841">
        <v>0.23849999999999999</v>
      </c>
      <c r="AJ2841" s="13">
        <f t="shared" si="254"/>
        <v>4.2885</v>
      </c>
      <c r="AK2841">
        <v>0</v>
      </c>
    </row>
    <row r="2842" spans="1:37" ht="19">
      <c r="A2842" s="39" t="s">
        <v>17</v>
      </c>
      <c r="B2842" s="8">
        <v>2024</v>
      </c>
      <c r="C2842" s="8" t="s">
        <v>109</v>
      </c>
      <c r="D2842" s="9" t="s">
        <v>109</v>
      </c>
      <c r="E2842" s="9" t="s">
        <v>111</v>
      </c>
      <c r="F2842" s="9" t="s">
        <v>111</v>
      </c>
      <c r="I2842" s="9" t="s">
        <v>11</v>
      </c>
      <c r="J2842" s="9" t="s">
        <v>11</v>
      </c>
      <c r="K2842" s="9" t="s">
        <v>82</v>
      </c>
      <c r="L2842" s="9" t="s">
        <v>171</v>
      </c>
      <c r="M2842" t="s">
        <v>860</v>
      </c>
      <c r="O2842" t="s">
        <v>904</v>
      </c>
      <c r="P2842" t="s">
        <v>1822</v>
      </c>
      <c r="S2842">
        <v>411</v>
      </c>
      <c r="U2842" s="14" t="s">
        <v>77</v>
      </c>
      <c r="V2842" t="s">
        <v>1720</v>
      </c>
      <c r="X2842" s="43">
        <v>2.8</v>
      </c>
      <c r="Y2842" s="159"/>
      <c r="AA2842" s="43"/>
      <c r="AB2842">
        <v>0.6</v>
      </c>
      <c r="AC2842">
        <v>0.19800000000000001</v>
      </c>
      <c r="AJ2842" s="13">
        <f t="shared" si="254"/>
        <v>3.5979999999999999</v>
      </c>
      <c r="AK2842">
        <v>0</v>
      </c>
    </row>
    <row r="2843" spans="1:37" ht="19">
      <c r="A2843" s="39" t="s">
        <v>17</v>
      </c>
      <c r="B2843" s="8">
        <v>2024</v>
      </c>
      <c r="C2843" s="8" t="s">
        <v>109</v>
      </c>
      <c r="D2843" s="9" t="s">
        <v>109</v>
      </c>
      <c r="E2843" s="9" t="s">
        <v>111</v>
      </c>
      <c r="F2843" s="9" t="s">
        <v>111</v>
      </c>
      <c r="I2843" s="9" t="s">
        <v>11</v>
      </c>
      <c r="J2843" s="9" t="s">
        <v>11</v>
      </c>
      <c r="K2843" s="9" t="s">
        <v>82</v>
      </c>
      <c r="L2843" s="9" t="s">
        <v>171</v>
      </c>
      <c r="M2843" t="s">
        <v>860</v>
      </c>
      <c r="O2843" t="s">
        <v>904</v>
      </c>
      <c r="P2843" t="s">
        <v>904</v>
      </c>
      <c r="S2843">
        <v>712</v>
      </c>
      <c r="U2843" s="14" t="s">
        <v>77</v>
      </c>
      <c r="V2843" t="s">
        <v>1720</v>
      </c>
      <c r="X2843" s="43">
        <v>4.8</v>
      </c>
      <c r="Y2843" s="159"/>
      <c r="AA2843" s="43"/>
      <c r="AB2843">
        <v>1.05</v>
      </c>
      <c r="AC2843">
        <v>0.34649999999999997</v>
      </c>
      <c r="AJ2843" s="13">
        <f t="shared" si="254"/>
        <v>6.1964999999999995</v>
      </c>
      <c r="AK2843">
        <v>0</v>
      </c>
    </row>
    <row r="2844" spans="1:37" ht="19">
      <c r="A2844" s="39" t="s">
        <v>17</v>
      </c>
      <c r="B2844" s="8">
        <v>2024</v>
      </c>
      <c r="C2844" s="8" t="s">
        <v>109</v>
      </c>
      <c r="D2844" s="9" t="s">
        <v>109</v>
      </c>
      <c r="E2844" s="9" t="s">
        <v>111</v>
      </c>
      <c r="F2844" s="9" t="s">
        <v>111</v>
      </c>
      <c r="I2844" s="9" t="s">
        <v>11</v>
      </c>
      <c r="J2844" s="9" t="s">
        <v>11</v>
      </c>
      <c r="K2844" s="9" t="s">
        <v>82</v>
      </c>
      <c r="L2844" s="9" t="s">
        <v>171</v>
      </c>
      <c r="M2844" t="s">
        <v>860</v>
      </c>
      <c r="O2844" t="s">
        <v>904</v>
      </c>
      <c r="P2844" t="s">
        <v>1823</v>
      </c>
      <c r="S2844">
        <v>291</v>
      </c>
      <c r="U2844" s="14" t="s">
        <v>77</v>
      </c>
      <c r="V2844" t="s">
        <v>1720</v>
      </c>
      <c r="X2844" s="43">
        <v>1.95</v>
      </c>
      <c r="Y2844" s="159"/>
      <c r="AA2844" s="43"/>
      <c r="AB2844">
        <v>0.4</v>
      </c>
      <c r="AC2844">
        <v>0.14399999999999999</v>
      </c>
      <c r="AJ2844" s="13">
        <f t="shared" si="254"/>
        <v>2.4940000000000002</v>
      </c>
      <c r="AK2844">
        <v>0</v>
      </c>
    </row>
    <row r="2845" spans="1:37" ht="19">
      <c r="A2845" s="39" t="s">
        <v>17</v>
      </c>
      <c r="B2845" s="8">
        <v>2024</v>
      </c>
      <c r="C2845" s="8" t="s">
        <v>109</v>
      </c>
      <c r="D2845" s="9" t="s">
        <v>109</v>
      </c>
      <c r="E2845" s="9" t="s">
        <v>111</v>
      </c>
      <c r="F2845" s="9" t="s">
        <v>111</v>
      </c>
      <c r="I2845" s="9" t="s">
        <v>11</v>
      </c>
      <c r="J2845" s="9" t="s">
        <v>11</v>
      </c>
      <c r="K2845" s="9" t="s">
        <v>82</v>
      </c>
      <c r="L2845" s="9" t="s">
        <v>171</v>
      </c>
      <c r="M2845" t="s">
        <v>860</v>
      </c>
      <c r="O2845" t="s">
        <v>904</v>
      </c>
      <c r="P2845" t="s">
        <v>1824</v>
      </c>
      <c r="S2845">
        <v>280</v>
      </c>
      <c r="U2845" s="14" t="s">
        <v>77</v>
      </c>
      <c r="V2845" t="s">
        <v>1720</v>
      </c>
      <c r="X2845" s="43">
        <v>1.9</v>
      </c>
      <c r="Y2845" s="159"/>
      <c r="AA2845" s="43"/>
      <c r="AB2845">
        <v>0</v>
      </c>
      <c r="AC2845">
        <v>0.13950000000000001</v>
      </c>
      <c r="AJ2845" s="13">
        <f t="shared" si="254"/>
        <v>2.0394999999999999</v>
      </c>
      <c r="AK2845">
        <v>0</v>
      </c>
    </row>
    <row r="2846" spans="1:37" ht="19">
      <c r="A2846" s="39" t="s">
        <v>17</v>
      </c>
      <c r="B2846" s="8">
        <v>2024</v>
      </c>
      <c r="C2846" s="8" t="s">
        <v>109</v>
      </c>
      <c r="D2846" s="9" t="s">
        <v>109</v>
      </c>
      <c r="E2846" s="9" t="s">
        <v>111</v>
      </c>
      <c r="F2846" s="9" t="s">
        <v>111</v>
      </c>
      <c r="I2846" s="9" t="s">
        <v>11</v>
      </c>
      <c r="J2846" s="9" t="s">
        <v>11</v>
      </c>
      <c r="K2846" s="9" t="s">
        <v>82</v>
      </c>
      <c r="L2846" s="9" t="s">
        <v>171</v>
      </c>
      <c r="M2846" t="s">
        <v>860</v>
      </c>
      <c r="O2846" t="s">
        <v>904</v>
      </c>
      <c r="P2846" t="s">
        <v>1825</v>
      </c>
      <c r="S2846">
        <v>200</v>
      </c>
      <c r="U2846" s="14" t="s">
        <v>77</v>
      </c>
      <c r="V2846" t="s">
        <v>1720</v>
      </c>
      <c r="X2846" s="43">
        <v>1.55</v>
      </c>
      <c r="Y2846" s="159"/>
      <c r="AA2846" s="43"/>
      <c r="AB2846">
        <v>0.35</v>
      </c>
      <c r="AC2846">
        <v>0.108</v>
      </c>
      <c r="AJ2846" s="13">
        <f t="shared" si="254"/>
        <v>2.008</v>
      </c>
      <c r="AK2846">
        <v>0</v>
      </c>
    </row>
    <row r="2847" spans="1:37" ht="19">
      <c r="A2847" s="39" t="s">
        <v>17</v>
      </c>
      <c r="B2847" s="8">
        <v>2024</v>
      </c>
      <c r="C2847" s="8" t="s">
        <v>109</v>
      </c>
      <c r="D2847" s="9" t="s">
        <v>109</v>
      </c>
      <c r="E2847" s="9" t="s">
        <v>111</v>
      </c>
      <c r="F2847" s="9" t="s">
        <v>111</v>
      </c>
      <c r="I2847" s="9" t="s">
        <v>11</v>
      </c>
      <c r="J2847" s="9" t="s">
        <v>11</v>
      </c>
      <c r="K2847" s="9" t="s">
        <v>82</v>
      </c>
      <c r="L2847" s="9" t="s">
        <v>171</v>
      </c>
      <c r="M2847" t="s">
        <v>860</v>
      </c>
      <c r="O2847" t="s">
        <v>1015</v>
      </c>
      <c r="P2847" t="s">
        <v>1826</v>
      </c>
      <c r="S2847" t="s">
        <v>1524</v>
      </c>
      <c r="U2847" t="s">
        <v>1722</v>
      </c>
      <c r="V2847" t="s">
        <v>1484</v>
      </c>
      <c r="X2847" s="43">
        <v>0</v>
      </c>
      <c r="Y2847" s="159"/>
      <c r="AA2847" s="43"/>
      <c r="AB2847">
        <v>0</v>
      </c>
      <c r="AC2847">
        <v>0</v>
      </c>
      <c r="AK2847">
        <v>0</v>
      </c>
    </row>
    <row r="2848" spans="1:37" ht="19">
      <c r="A2848" s="39" t="s">
        <v>17</v>
      </c>
      <c r="B2848" s="8">
        <v>2024</v>
      </c>
      <c r="C2848" s="8" t="s">
        <v>109</v>
      </c>
      <c r="D2848" s="9" t="s">
        <v>109</v>
      </c>
      <c r="E2848" s="9" t="s">
        <v>111</v>
      </c>
      <c r="F2848" s="9" t="s">
        <v>111</v>
      </c>
      <c r="I2848" s="9" t="s">
        <v>11</v>
      </c>
      <c r="J2848" s="9" t="s">
        <v>11</v>
      </c>
      <c r="K2848" s="9" t="s">
        <v>82</v>
      </c>
      <c r="L2848" s="9" t="s">
        <v>171</v>
      </c>
      <c r="M2848" t="s">
        <v>860</v>
      </c>
      <c r="O2848" t="s">
        <v>1006</v>
      </c>
      <c r="P2848" t="s">
        <v>1827</v>
      </c>
      <c r="S2848">
        <v>312</v>
      </c>
      <c r="U2848" t="s">
        <v>1722</v>
      </c>
      <c r="V2848" t="s">
        <v>1484</v>
      </c>
      <c r="X2848" s="43">
        <v>2.15</v>
      </c>
      <c r="Y2848" s="159"/>
      <c r="AA2848" s="43"/>
      <c r="AB2848">
        <v>0.15</v>
      </c>
      <c r="AC2848">
        <v>0.14849999999999999</v>
      </c>
      <c r="AK2848">
        <v>6891456</v>
      </c>
    </row>
    <row r="2849" spans="1:37" ht="19">
      <c r="A2849" s="39" t="s">
        <v>17</v>
      </c>
      <c r="B2849" s="8">
        <v>2024</v>
      </c>
      <c r="C2849" s="8" t="s">
        <v>109</v>
      </c>
      <c r="D2849" s="9" t="s">
        <v>109</v>
      </c>
      <c r="E2849" s="9" t="s">
        <v>111</v>
      </c>
      <c r="F2849" s="9" t="s">
        <v>111</v>
      </c>
      <c r="I2849" s="9" t="s">
        <v>11</v>
      </c>
      <c r="J2849" s="9" t="s">
        <v>11</v>
      </c>
      <c r="K2849" s="9" t="s">
        <v>82</v>
      </c>
      <c r="L2849" s="9" t="s">
        <v>171</v>
      </c>
      <c r="M2849" t="s">
        <v>860</v>
      </c>
      <c r="O2849" t="s">
        <v>1006</v>
      </c>
      <c r="P2849" t="s">
        <v>1828</v>
      </c>
      <c r="S2849">
        <v>249</v>
      </c>
      <c r="U2849" t="s">
        <v>1722</v>
      </c>
      <c r="V2849" t="s">
        <v>1484</v>
      </c>
      <c r="X2849" s="43">
        <v>1.7</v>
      </c>
      <c r="Y2849" s="159"/>
      <c r="AA2849" s="43"/>
      <c r="AB2849">
        <v>0.1</v>
      </c>
      <c r="AC2849">
        <v>0.1215</v>
      </c>
      <c r="AK2849">
        <v>5499912</v>
      </c>
    </row>
    <row r="2850" spans="1:37" ht="19">
      <c r="A2850" s="39" t="s">
        <v>17</v>
      </c>
      <c r="B2850" s="8">
        <v>2024</v>
      </c>
      <c r="C2850" s="8" t="s">
        <v>109</v>
      </c>
      <c r="D2850" s="9" t="s">
        <v>109</v>
      </c>
      <c r="E2850" s="9" t="s">
        <v>111</v>
      </c>
      <c r="F2850" s="9" t="s">
        <v>111</v>
      </c>
      <c r="I2850" s="9" t="s">
        <v>11</v>
      </c>
      <c r="J2850" s="9" t="s">
        <v>11</v>
      </c>
      <c r="K2850" s="9" t="s">
        <v>82</v>
      </c>
      <c r="L2850" s="9" t="s">
        <v>171</v>
      </c>
      <c r="M2850" t="s">
        <v>860</v>
      </c>
      <c r="O2850" t="s">
        <v>1006</v>
      </c>
      <c r="P2850" t="s">
        <v>1561</v>
      </c>
      <c r="S2850">
        <v>228</v>
      </c>
      <c r="U2850" t="s">
        <v>1722</v>
      </c>
      <c r="V2850" t="s">
        <v>1484</v>
      </c>
      <c r="X2850" s="43">
        <v>1.55</v>
      </c>
      <c r="Y2850" s="159"/>
      <c r="AA2850" s="43"/>
      <c r="AB2850">
        <v>0.1</v>
      </c>
      <c r="AC2850">
        <v>0.1125</v>
      </c>
      <c r="AK2850">
        <v>5036064</v>
      </c>
    </row>
    <row r="2851" spans="1:37" ht="19">
      <c r="A2851" s="39" t="s">
        <v>17</v>
      </c>
      <c r="B2851" s="8">
        <v>2024</v>
      </c>
      <c r="C2851" s="8" t="s">
        <v>109</v>
      </c>
      <c r="D2851" s="9" t="s">
        <v>109</v>
      </c>
      <c r="E2851" s="9" t="s">
        <v>111</v>
      </c>
      <c r="F2851" s="9" t="s">
        <v>111</v>
      </c>
      <c r="I2851" s="9" t="s">
        <v>11</v>
      </c>
      <c r="J2851" s="9" t="s">
        <v>11</v>
      </c>
      <c r="K2851" s="9" t="s">
        <v>82</v>
      </c>
      <c r="L2851" s="9" t="s">
        <v>171</v>
      </c>
      <c r="M2851" t="s">
        <v>860</v>
      </c>
      <c r="O2851" t="s">
        <v>1061</v>
      </c>
      <c r="P2851" t="s">
        <v>1829</v>
      </c>
      <c r="S2851">
        <v>183</v>
      </c>
      <c r="U2851" s="14" t="s">
        <v>77</v>
      </c>
      <c r="V2851" t="s">
        <v>1720</v>
      </c>
      <c r="X2851" s="43">
        <v>1.4</v>
      </c>
      <c r="Y2851" s="159"/>
      <c r="AA2851" s="43"/>
      <c r="AB2851">
        <v>0.35</v>
      </c>
      <c r="AC2851">
        <v>9.9000000000000005E-2</v>
      </c>
      <c r="AJ2851" s="13">
        <f t="shared" ref="AJ2851:AJ2852" si="255">SUBTOTAL(9,X2851:AI2851)</f>
        <v>1.849</v>
      </c>
      <c r="AK2851">
        <v>0</v>
      </c>
    </row>
    <row r="2852" spans="1:37" ht="19">
      <c r="A2852" s="39" t="s">
        <v>17</v>
      </c>
      <c r="B2852" s="8">
        <v>2024</v>
      </c>
      <c r="C2852" s="8" t="s">
        <v>109</v>
      </c>
      <c r="D2852" s="9" t="s">
        <v>109</v>
      </c>
      <c r="E2852" s="9" t="s">
        <v>111</v>
      </c>
      <c r="F2852" s="9" t="s">
        <v>111</v>
      </c>
      <c r="I2852" s="9" t="s">
        <v>11</v>
      </c>
      <c r="J2852" s="9" t="s">
        <v>11</v>
      </c>
      <c r="K2852" s="9" t="s">
        <v>82</v>
      </c>
      <c r="L2852" s="9" t="s">
        <v>171</v>
      </c>
      <c r="M2852" t="s">
        <v>860</v>
      </c>
      <c r="O2852" t="s">
        <v>1061</v>
      </c>
      <c r="P2852" t="s">
        <v>1012</v>
      </c>
      <c r="S2852">
        <v>480</v>
      </c>
      <c r="U2852" s="14" t="s">
        <v>77</v>
      </c>
      <c r="V2852" t="s">
        <v>1720</v>
      </c>
      <c r="X2852" s="43">
        <v>3.25</v>
      </c>
      <c r="Y2852" s="159"/>
      <c r="AA2852" s="43"/>
      <c r="AB2852">
        <v>0.7</v>
      </c>
      <c r="AC2852">
        <v>0.22950000000000001</v>
      </c>
      <c r="AJ2852" s="13">
        <f t="shared" si="255"/>
        <v>4.1795</v>
      </c>
      <c r="AK2852">
        <v>0</v>
      </c>
    </row>
    <row r="2853" spans="1:37" ht="19">
      <c r="A2853" s="39" t="s">
        <v>17</v>
      </c>
      <c r="B2853" s="8">
        <v>2024</v>
      </c>
      <c r="C2853" s="8" t="s">
        <v>109</v>
      </c>
      <c r="D2853" s="9" t="s">
        <v>109</v>
      </c>
      <c r="E2853" s="9" t="s">
        <v>111</v>
      </c>
      <c r="F2853" s="9" t="s">
        <v>111</v>
      </c>
      <c r="I2853" s="9" t="s">
        <v>11</v>
      </c>
      <c r="J2853" s="9" t="s">
        <v>11</v>
      </c>
      <c r="K2853" s="9" t="s">
        <v>82</v>
      </c>
      <c r="L2853" s="9" t="s">
        <v>171</v>
      </c>
      <c r="M2853" t="s">
        <v>860</v>
      </c>
      <c r="O2853" t="s">
        <v>1006</v>
      </c>
      <c r="P2853" t="s">
        <v>1830</v>
      </c>
      <c r="S2853">
        <v>423</v>
      </c>
      <c r="U2853" t="s">
        <v>1722</v>
      </c>
      <c r="V2853" t="s">
        <v>1484</v>
      </c>
      <c r="X2853" s="43">
        <v>2.9</v>
      </c>
      <c r="Y2853" s="159"/>
      <c r="AA2853" s="43"/>
      <c r="AB2853">
        <v>0.15</v>
      </c>
      <c r="AC2853">
        <v>0.20250000000000001</v>
      </c>
      <c r="AK2853">
        <v>9343224</v>
      </c>
    </row>
    <row r="2854" spans="1:37" ht="19">
      <c r="A2854" s="39" t="s">
        <v>17</v>
      </c>
      <c r="B2854" s="8">
        <v>2024</v>
      </c>
      <c r="C2854" s="8" t="s">
        <v>109</v>
      </c>
      <c r="D2854" s="9" t="s">
        <v>109</v>
      </c>
      <c r="E2854" s="9" t="s">
        <v>111</v>
      </c>
      <c r="F2854" s="9" t="s">
        <v>111</v>
      </c>
      <c r="I2854" s="9" t="s">
        <v>11</v>
      </c>
      <c r="J2854" s="9" t="s">
        <v>11</v>
      </c>
      <c r="K2854" s="9" t="s">
        <v>82</v>
      </c>
      <c r="L2854" s="9" t="s">
        <v>171</v>
      </c>
      <c r="M2854" t="s">
        <v>860</v>
      </c>
      <c r="O2854" t="s">
        <v>1006</v>
      </c>
      <c r="P2854" t="s">
        <v>1006</v>
      </c>
      <c r="S2854">
        <v>483</v>
      </c>
      <c r="U2854" t="s">
        <v>1722</v>
      </c>
      <c r="V2854" t="s">
        <v>1484</v>
      </c>
      <c r="X2854" s="43">
        <v>3.25</v>
      </c>
      <c r="Y2854" s="159"/>
      <c r="AA2854" s="43"/>
      <c r="AB2854">
        <v>0.2</v>
      </c>
      <c r="AC2854">
        <v>0.23400000000000001</v>
      </c>
      <c r="AK2854">
        <v>10668504</v>
      </c>
    </row>
    <row r="2855" spans="1:37" ht="19">
      <c r="A2855" s="39" t="s">
        <v>17</v>
      </c>
      <c r="B2855" s="8">
        <v>2024</v>
      </c>
      <c r="C2855" s="8" t="s">
        <v>109</v>
      </c>
      <c r="D2855" s="9" t="s">
        <v>109</v>
      </c>
      <c r="E2855" s="9" t="s">
        <v>111</v>
      </c>
      <c r="F2855" s="9" t="s">
        <v>111</v>
      </c>
      <c r="I2855" s="9" t="s">
        <v>11</v>
      </c>
      <c r="J2855" s="9" t="s">
        <v>11</v>
      </c>
      <c r="K2855" s="9" t="s">
        <v>82</v>
      </c>
      <c r="L2855" s="9" t="s">
        <v>171</v>
      </c>
      <c r="M2855" t="s">
        <v>860</v>
      </c>
      <c r="O2855" t="s">
        <v>1006</v>
      </c>
      <c r="P2855" t="s">
        <v>1831</v>
      </c>
      <c r="S2855">
        <v>256</v>
      </c>
      <c r="U2855" s="14" t="s">
        <v>77</v>
      </c>
      <c r="V2855" t="s">
        <v>1720</v>
      </c>
      <c r="X2855" s="43">
        <v>1.75</v>
      </c>
      <c r="Y2855" s="159"/>
      <c r="AA2855" s="43"/>
      <c r="AB2855">
        <v>0.4</v>
      </c>
      <c r="AC2855">
        <v>0.126</v>
      </c>
      <c r="AJ2855" s="13">
        <f>SUBTOTAL(9,X2855:AI2855)</f>
        <v>2.2759999999999998</v>
      </c>
      <c r="AK2855">
        <v>0</v>
      </c>
    </row>
    <row r="2856" spans="1:37" ht="19">
      <c r="A2856" s="39" t="s">
        <v>17</v>
      </c>
      <c r="B2856" s="8">
        <v>2024</v>
      </c>
      <c r="C2856" s="8" t="s">
        <v>109</v>
      </c>
      <c r="D2856" s="9" t="s">
        <v>109</v>
      </c>
      <c r="E2856" s="9" t="s">
        <v>111</v>
      </c>
      <c r="F2856" s="9" t="s">
        <v>111</v>
      </c>
      <c r="I2856" s="9" t="s">
        <v>11</v>
      </c>
      <c r="J2856" s="9" t="s">
        <v>11</v>
      </c>
      <c r="K2856" s="9" t="s">
        <v>82</v>
      </c>
      <c r="L2856" s="9" t="s">
        <v>171</v>
      </c>
      <c r="M2856" t="s">
        <v>860</v>
      </c>
      <c r="O2856" t="s">
        <v>1061</v>
      </c>
      <c r="P2856" t="s">
        <v>1832</v>
      </c>
      <c r="S2856">
        <v>328</v>
      </c>
      <c r="U2856" t="s">
        <v>1722</v>
      </c>
      <c r="V2856" t="s">
        <v>1484</v>
      </c>
      <c r="X2856" s="43">
        <v>2.2000000000000002</v>
      </c>
      <c r="Y2856" s="159"/>
      <c r="AA2856" s="43"/>
      <c r="AB2856">
        <v>0.15</v>
      </c>
      <c r="AC2856">
        <v>0.1575</v>
      </c>
      <c r="AK2856">
        <v>7244864</v>
      </c>
    </row>
    <row r="2857" spans="1:37" ht="19">
      <c r="A2857" s="39" t="s">
        <v>17</v>
      </c>
      <c r="B2857" s="8">
        <v>2024</v>
      </c>
      <c r="C2857" s="8" t="s">
        <v>109</v>
      </c>
      <c r="D2857" s="9" t="s">
        <v>109</v>
      </c>
      <c r="E2857" s="9" t="s">
        <v>111</v>
      </c>
      <c r="F2857" s="9" t="s">
        <v>111</v>
      </c>
      <c r="I2857" s="9" t="s">
        <v>11</v>
      </c>
      <c r="J2857" s="9" t="s">
        <v>11</v>
      </c>
      <c r="K2857" s="9" t="s">
        <v>82</v>
      </c>
      <c r="L2857" s="9" t="s">
        <v>171</v>
      </c>
      <c r="M2857" t="s">
        <v>860</v>
      </c>
      <c r="O2857" t="s">
        <v>1061</v>
      </c>
      <c r="P2857" t="s">
        <v>1833</v>
      </c>
      <c r="S2857">
        <v>354</v>
      </c>
      <c r="U2857" t="s">
        <v>1722</v>
      </c>
      <c r="V2857" t="s">
        <v>1484</v>
      </c>
      <c r="X2857" s="43">
        <v>2.4</v>
      </c>
      <c r="Y2857" s="159"/>
      <c r="AA2857" s="43"/>
      <c r="AB2857">
        <v>0.15</v>
      </c>
      <c r="AC2857">
        <v>0.17100000000000001</v>
      </c>
      <c r="AK2857">
        <v>7819152</v>
      </c>
    </row>
    <row r="2858" spans="1:37" ht="19">
      <c r="A2858" s="39" t="s">
        <v>17</v>
      </c>
      <c r="B2858" s="8">
        <v>2024</v>
      </c>
      <c r="C2858" s="8" t="s">
        <v>109</v>
      </c>
      <c r="D2858" s="9" t="s">
        <v>109</v>
      </c>
      <c r="E2858" s="9" t="s">
        <v>111</v>
      </c>
      <c r="F2858" s="9" t="s">
        <v>111</v>
      </c>
      <c r="I2858" s="9" t="s">
        <v>11</v>
      </c>
      <c r="J2858" s="9" t="s">
        <v>11</v>
      </c>
      <c r="K2858" s="9" t="s">
        <v>82</v>
      </c>
      <c r="L2858" s="9" t="s">
        <v>171</v>
      </c>
      <c r="M2858" t="s">
        <v>860</v>
      </c>
      <c r="O2858" t="s">
        <v>1006</v>
      </c>
      <c r="P2858" t="s">
        <v>1834</v>
      </c>
      <c r="S2858">
        <v>262</v>
      </c>
      <c r="U2858" t="s">
        <v>1722</v>
      </c>
      <c r="V2858" t="s">
        <v>1484</v>
      </c>
      <c r="X2858" s="43">
        <v>1.8</v>
      </c>
      <c r="Y2858" s="159"/>
      <c r="AA2858" s="43"/>
      <c r="AB2858">
        <v>0.1</v>
      </c>
      <c r="AC2858">
        <v>0.1305</v>
      </c>
      <c r="AK2858">
        <v>5787056</v>
      </c>
    </row>
    <row r="2859" spans="1:37" ht="19">
      <c r="A2859" s="39" t="s">
        <v>17</v>
      </c>
      <c r="B2859" s="8">
        <v>2024</v>
      </c>
      <c r="C2859" s="8" t="s">
        <v>109</v>
      </c>
      <c r="D2859" s="9" t="s">
        <v>109</v>
      </c>
      <c r="E2859" s="9" t="s">
        <v>111</v>
      </c>
      <c r="F2859" s="9" t="s">
        <v>111</v>
      </c>
      <c r="I2859" s="9" t="s">
        <v>11</v>
      </c>
      <c r="J2859" s="9" t="s">
        <v>11</v>
      </c>
      <c r="K2859" s="9" t="s">
        <v>82</v>
      </c>
      <c r="L2859" s="9" t="s">
        <v>171</v>
      </c>
      <c r="M2859" t="s">
        <v>860</v>
      </c>
      <c r="O2859" t="s">
        <v>1006</v>
      </c>
      <c r="P2859" t="s">
        <v>1835</v>
      </c>
      <c r="S2859">
        <v>313</v>
      </c>
      <c r="U2859" t="s">
        <v>1722</v>
      </c>
      <c r="V2859" t="s">
        <v>1484</v>
      </c>
      <c r="X2859" s="43">
        <v>2.1</v>
      </c>
      <c r="Y2859" s="159"/>
      <c r="AA2859" s="43"/>
      <c r="AB2859">
        <v>0.15</v>
      </c>
      <c r="AC2859">
        <v>0.153</v>
      </c>
      <c r="AK2859">
        <v>6913544</v>
      </c>
    </row>
    <row r="2860" spans="1:37" ht="19">
      <c r="A2860" s="39" t="s">
        <v>17</v>
      </c>
      <c r="B2860" s="8">
        <v>2024</v>
      </c>
      <c r="C2860" s="8" t="s">
        <v>109</v>
      </c>
      <c r="D2860" s="9" t="s">
        <v>109</v>
      </c>
      <c r="E2860" s="9" t="s">
        <v>111</v>
      </c>
      <c r="F2860" s="9" t="s">
        <v>111</v>
      </c>
      <c r="I2860" s="9" t="s">
        <v>11</v>
      </c>
      <c r="J2860" s="9" t="s">
        <v>11</v>
      </c>
      <c r="K2860" s="9" t="s">
        <v>82</v>
      </c>
      <c r="L2860" s="9" t="s">
        <v>171</v>
      </c>
      <c r="M2860" t="s">
        <v>860</v>
      </c>
      <c r="O2860" t="s">
        <v>1061</v>
      </c>
      <c r="P2860" t="s">
        <v>1836</v>
      </c>
      <c r="S2860">
        <v>324</v>
      </c>
      <c r="U2860" s="14" t="s">
        <v>77</v>
      </c>
      <c r="V2860" t="s">
        <v>1720</v>
      </c>
      <c r="X2860" s="43">
        <v>2.2000000000000002</v>
      </c>
      <c r="Y2860" s="159"/>
      <c r="AA2860" s="43"/>
      <c r="AB2860">
        <v>0.45</v>
      </c>
      <c r="AC2860">
        <v>0.1575</v>
      </c>
      <c r="AJ2860" s="13">
        <f>SUBTOTAL(9,X2860:AI2860)</f>
        <v>2.8075000000000006</v>
      </c>
      <c r="AK2860">
        <v>0</v>
      </c>
    </row>
    <row r="2861" spans="1:37" ht="19">
      <c r="A2861" s="39" t="s">
        <v>17</v>
      </c>
      <c r="B2861" s="8">
        <v>2024</v>
      </c>
      <c r="C2861" s="8" t="s">
        <v>109</v>
      </c>
      <c r="D2861" s="9" t="s">
        <v>109</v>
      </c>
      <c r="E2861" s="9" t="s">
        <v>111</v>
      </c>
      <c r="F2861" s="9" t="s">
        <v>111</v>
      </c>
      <c r="I2861" s="9" t="s">
        <v>11</v>
      </c>
      <c r="J2861" s="9" t="s">
        <v>11</v>
      </c>
      <c r="K2861" s="9" t="s">
        <v>82</v>
      </c>
      <c r="L2861" s="9" t="s">
        <v>171</v>
      </c>
      <c r="M2861" t="s">
        <v>860</v>
      </c>
      <c r="O2861" t="s">
        <v>1006</v>
      </c>
      <c r="P2861" t="s">
        <v>1837</v>
      </c>
      <c r="S2861">
        <v>307</v>
      </c>
      <c r="U2861" t="s">
        <v>1722</v>
      </c>
      <c r="V2861" t="s">
        <v>1484</v>
      </c>
      <c r="X2861" s="43">
        <v>2.1</v>
      </c>
      <c r="Y2861" s="159"/>
      <c r="AA2861" s="43"/>
      <c r="AB2861">
        <v>0.15</v>
      </c>
      <c r="AC2861">
        <v>0.153</v>
      </c>
      <c r="AK2861">
        <v>6781016</v>
      </c>
    </row>
    <row r="2862" spans="1:37" ht="19">
      <c r="A2862" s="39" t="s">
        <v>17</v>
      </c>
      <c r="B2862" s="8">
        <v>2024</v>
      </c>
      <c r="C2862" s="8" t="s">
        <v>109</v>
      </c>
      <c r="D2862" s="9" t="s">
        <v>109</v>
      </c>
      <c r="E2862" s="9" t="s">
        <v>111</v>
      </c>
      <c r="F2862" s="9" t="s">
        <v>111</v>
      </c>
      <c r="I2862" s="9" t="s">
        <v>11</v>
      </c>
      <c r="J2862" s="9" t="s">
        <v>11</v>
      </c>
      <c r="K2862" s="9" t="s">
        <v>82</v>
      </c>
      <c r="L2862" s="9" t="s">
        <v>171</v>
      </c>
      <c r="M2862" t="s">
        <v>860</v>
      </c>
      <c r="O2862" t="s">
        <v>1061</v>
      </c>
      <c r="P2862" t="s">
        <v>1838</v>
      </c>
      <c r="S2862">
        <v>193</v>
      </c>
      <c r="U2862" t="s">
        <v>1722</v>
      </c>
      <c r="V2862" t="s">
        <v>1484</v>
      </c>
      <c r="X2862" s="43">
        <v>1.5</v>
      </c>
      <c r="Y2862" s="159"/>
      <c r="AA2862" s="43"/>
      <c r="AB2862">
        <v>0.1</v>
      </c>
      <c r="AC2862">
        <v>0.108</v>
      </c>
      <c r="AK2862">
        <v>4262984</v>
      </c>
    </row>
    <row r="2863" spans="1:37" ht="19">
      <c r="A2863" s="39" t="s">
        <v>17</v>
      </c>
      <c r="B2863" s="8">
        <v>2024</v>
      </c>
      <c r="C2863" s="8" t="s">
        <v>109</v>
      </c>
      <c r="D2863" s="9" t="s">
        <v>109</v>
      </c>
      <c r="E2863" s="9" t="s">
        <v>111</v>
      </c>
      <c r="F2863" s="9" t="s">
        <v>111</v>
      </c>
      <c r="I2863" s="9" t="s">
        <v>11</v>
      </c>
      <c r="J2863" s="9" t="s">
        <v>11</v>
      </c>
      <c r="K2863" s="9" t="s">
        <v>82</v>
      </c>
      <c r="L2863" s="9" t="s">
        <v>171</v>
      </c>
      <c r="M2863" t="s">
        <v>860</v>
      </c>
      <c r="O2863" t="s">
        <v>1006</v>
      </c>
      <c r="P2863" t="s">
        <v>1839</v>
      </c>
      <c r="S2863">
        <v>170</v>
      </c>
      <c r="U2863" t="s">
        <v>1722</v>
      </c>
      <c r="V2863" t="s">
        <v>1484</v>
      </c>
      <c r="X2863" s="43">
        <v>1.3</v>
      </c>
      <c r="Y2863" s="159"/>
      <c r="AA2863" s="43"/>
      <c r="AB2863">
        <v>0.1</v>
      </c>
      <c r="AC2863">
        <v>9.4500000000000001E-2</v>
      </c>
      <c r="AK2863">
        <v>3754960</v>
      </c>
    </row>
    <row r="2864" spans="1:37" ht="19">
      <c r="A2864" s="39" t="s">
        <v>17</v>
      </c>
      <c r="B2864" s="8">
        <v>2024</v>
      </c>
      <c r="C2864" s="8" t="s">
        <v>109</v>
      </c>
      <c r="D2864" s="9" t="s">
        <v>109</v>
      </c>
      <c r="E2864" s="9" t="s">
        <v>111</v>
      </c>
      <c r="F2864" s="9" t="s">
        <v>111</v>
      </c>
      <c r="I2864" s="9" t="s">
        <v>11</v>
      </c>
      <c r="J2864" s="9" t="s">
        <v>11</v>
      </c>
      <c r="K2864" s="9" t="s">
        <v>82</v>
      </c>
      <c r="L2864" s="9" t="s">
        <v>171</v>
      </c>
      <c r="M2864" t="s">
        <v>860</v>
      </c>
      <c r="O2864" t="s">
        <v>1061</v>
      </c>
      <c r="P2864" t="s">
        <v>1840</v>
      </c>
      <c r="S2864">
        <v>191</v>
      </c>
      <c r="U2864" t="s">
        <v>1722</v>
      </c>
      <c r="V2864" t="s">
        <v>1484</v>
      </c>
      <c r="X2864" s="43">
        <v>1.45</v>
      </c>
      <c r="Y2864" s="159"/>
      <c r="AA2864" s="43"/>
      <c r="AB2864">
        <v>0.1</v>
      </c>
      <c r="AC2864">
        <v>0.10349999999999999</v>
      </c>
      <c r="AK2864">
        <v>4218808</v>
      </c>
    </row>
    <row r="2865" spans="1:37" ht="19">
      <c r="A2865" s="39" t="s">
        <v>17</v>
      </c>
      <c r="B2865" s="8">
        <v>2024</v>
      </c>
      <c r="C2865" s="8" t="s">
        <v>109</v>
      </c>
      <c r="D2865" s="9" t="s">
        <v>109</v>
      </c>
      <c r="E2865" s="9" t="s">
        <v>111</v>
      </c>
      <c r="F2865" s="9" t="s">
        <v>111</v>
      </c>
      <c r="I2865" s="9" t="s">
        <v>11</v>
      </c>
      <c r="J2865" s="9" t="s">
        <v>11</v>
      </c>
      <c r="K2865" s="9" t="s">
        <v>82</v>
      </c>
      <c r="L2865" s="9" t="s">
        <v>171</v>
      </c>
      <c r="M2865" t="s">
        <v>860</v>
      </c>
      <c r="O2865" t="s">
        <v>919</v>
      </c>
      <c r="P2865" t="s">
        <v>1841</v>
      </c>
      <c r="S2865">
        <v>444</v>
      </c>
      <c r="U2865" s="14" t="s">
        <v>77</v>
      </c>
      <c r="V2865" t="s">
        <v>1720</v>
      </c>
      <c r="X2865" s="43">
        <v>3</v>
      </c>
      <c r="Y2865" s="159"/>
      <c r="AA2865" s="43"/>
      <c r="AB2865">
        <v>0.65</v>
      </c>
      <c r="AC2865">
        <v>0.216</v>
      </c>
      <c r="AJ2865" s="13">
        <f t="shared" ref="AJ2865:AJ2867" si="256">SUBTOTAL(9,X2865:AI2865)</f>
        <v>3.8660000000000001</v>
      </c>
      <c r="AK2865">
        <v>0</v>
      </c>
    </row>
    <row r="2866" spans="1:37" ht="19">
      <c r="A2866" s="39" t="s">
        <v>17</v>
      </c>
      <c r="B2866" s="8">
        <v>2024</v>
      </c>
      <c r="C2866" s="8" t="s">
        <v>109</v>
      </c>
      <c r="D2866" s="9" t="s">
        <v>109</v>
      </c>
      <c r="E2866" s="9" t="s">
        <v>111</v>
      </c>
      <c r="F2866" s="9" t="s">
        <v>111</v>
      </c>
      <c r="I2866" s="9" t="s">
        <v>11</v>
      </c>
      <c r="J2866" s="9" t="s">
        <v>11</v>
      </c>
      <c r="K2866" s="9" t="s">
        <v>82</v>
      </c>
      <c r="L2866" s="9" t="s">
        <v>171</v>
      </c>
      <c r="M2866" t="s">
        <v>860</v>
      </c>
      <c r="O2866" t="s">
        <v>919</v>
      </c>
      <c r="P2866" t="s">
        <v>1842</v>
      </c>
      <c r="S2866">
        <v>641</v>
      </c>
      <c r="U2866" s="14" t="s">
        <v>77</v>
      </c>
      <c r="V2866" t="s">
        <v>1720</v>
      </c>
      <c r="X2866" s="43">
        <v>4.95</v>
      </c>
      <c r="Y2866" s="159"/>
      <c r="AA2866" s="43"/>
      <c r="AB2866">
        <v>1.1000000000000001</v>
      </c>
      <c r="AC2866">
        <v>0.35099999999999998</v>
      </c>
      <c r="AJ2866" s="13">
        <f t="shared" si="256"/>
        <v>6.4010000000000007</v>
      </c>
      <c r="AK2866">
        <v>0</v>
      </c>
    </row>
    <row r="2867" spans="1:37" ht="19">
      <c r="A2867" s="39" t="s">
        <v>17</v>
      </c>
      <c r="B2867" s="8">
        <v>2024</v>
      </c>
      <c r="C2867" s="8" t="s">
        <v>109</v>
      </c>
      <c r="D2867" s="9" t="s">
        <v>109</v>
      </c>
      <c r="E2867" s="9" t="s">
        <v>111</v>
      </c>
      <c r="F2867" s="9" t="s">
        <v>111</v>
      </c>
      <c r="I2867" s="9" t="s">
        <v>11</v>
      </c>
      <c r="J2867" s="9" t="s">
        <v>11</v>
      </c>
      <c r="K2867" s="9" t="s">
        <v>82</v>
      </c>
      <c r="L2867" s="9" t="s">
        <v>171</v>
      </c>
      <c r="M2867" t="s">
        <v>860</v>
      </c>
      <c r="O2867" t="s">
        <v>919</v>
      </c>
      <c r="P2867" t="s">
        <v>673</v>
      </c>
      <c r="S2867">
        <v>374</v>
      </c>
      <c r="U2867" s="14" t="s">
        <v>77</v>
      </c>
      <c r="V2867" t="s">
        <v>1720</v>
      </c>
      <c r="X2867" s="43">
        <v>2.5499999999999998</v>
      </c>
      <c r="Y2867" s="159"/>
      <c r="AA2867" s="43"/>
      <c r="AB2867">
        <v>0.5</v>
      </c>
      <c r="AC2867">
        <v>0.18</v>
      </c>
      <c r="AJ2867" s="13">
        <f t="shared" si="256"/>
        <v>3.23</v>
      </c>
      <c r="AK2867">
        <v>0</v>
      </c>
    </row>
    <row r="2868" spans="1:37" ht="19">
      <c r="A2868" s="39" t="s">
        <v>17</v>
      </c>
      <c r="B2868" s="8">
        <v>2024</v>
      </c>
      <c r="C2868" s="8" t="s">
        <v>109</v>
      </c>
      <c r="D2868" s="9" t="s">
        <v>109</v>
      </c>
      <c r="E2868" s="9" t="s">
        <v>111</v>
      </c>
      <c r="F2868" s="9" t="s">
        <v>111</v>
      </c>
      <c r="I2868" s="9" t="s">
        <v>11</v>
      </c>
      <c r="J2868" s="9" t="s">
        <v>11</v>
      </c>
      <c r="K2868" s="9" t="s">
        <v>82</v>
      </c>
      <c r="L2868" s="9" t="s">
        <v>171</v>
      </c>
      <c r="M2868" t="s">
        <v>860</v>
      </c>
      <c r="O2868" t="s">
        <v>919</v>
      </c>
      <c r="P2868" t="s">
        <v>1843</v>
      </c>
      <c r="S2868">
        <v>438</v>
      </c>
      <c r="U2868" t="s">
        <v>1722</v>
      </c>
      <c r="V2868" t="s">
        <v>1484</v>
      </c>
      <c r="X2868" s="43">
        <v>2.95</v>
      </c>
      <c r="Y2868" s="159"/>
      <c r="AA2868" s="43"/>
      <c r="AB2868">
        <v>0.15</v>
      </c>
      <c r="AC2868">
        <v>0.21149999999999999</v>
      </c>
      <c r="AK2868">
        <v>9674544</v>
      </c>
    </row>
    <row r="2869" spans="1:37" ht="19">
      <c r="A2869" s="39" t="s">
        <v>17</v>
      </c>
      <c r="B2869" s="8">
        <v>2024</v>
      </c>
      <c r="C2869" s="8" t="s">
        <v>109</v>
      </c>
      <c r="D2869" s="9" t="s">
        <v>109</v>
      </c>
      <c r="E2869" s="9" t="s">
        <v>111</v>
      </c>
      <c r="F2869" s="9" t="s">
        <v>111</v>
      </c>
      <c r="I2869" s="9" t="s">
        <v>11</v>
      </c>
      <c r="J2869" s="9" t="s">
        <v>11</v>
      </c>
      <c r="K2869" s="9" t="s">
        <v>82</v>
      </c>
      <c r="L2869" s="9" t="s">
        <v>171</v>
      </c>
      <c r="M2869" t="s">
        <v>860</v>
      </c>
      <c r="O2869" t="s">
        <v>919</v>
      </c>
      <c r="P2869" t="s">
        <v>1844</v>
      </c>
      <c r="S2869">
        <v>425</v>
      </c>
      <c r="U2869" s="14" t="s">
        <v>77</v>
      </c>
      <c r="V2869" t="s">
        <v>1720</v>
      </c>
      <c r="X2869" s="43">
        <v>2.85</v>
      </c>
      <c r="Y2869" s="159"/>
      <c r="AA2869" s="43"/>
      <c r="AB2869">
        <v>0.6</v>
      </c>
      <c r="AC2869">
        <v>0.20699999999999999</v>
      </c>
      <c r="AJ2869" s="13">
        <f t="shared" ref="AJ2869:AJ2880" si="257">SUBTOTAL(9,X2869:AI2869)</f>
        <v>3.657</v>
      </c>
      <c r="AK2869">
        <v>0</v>
      </c>
    </row>
    <row r="2870" spans="1:37" ht="19">
      <c r="A2870" s="39" t="s">
        <v>17</v>
      </c>
      <c r="B2870" s="8">
        <v>2024</v>
      </c>
      <c r="C2870" s="8" t="s">
        <v>109</v>
      </c>
      <c r="D2870" s="9" t="s">
        <v>109</v>
      </c>
      <c r="E2870" s="9" t="s">
        <v>111</v>
      </c>
      <c r="F2870" s="9" t="s">
        <v>111</v>
      </c>
      <c r="I2870" s="9" t="s">
        <v>11</v>
      </c>
      <c r="J2870" s="9" t="s">
        <v>11</v>
      </c>
      <c r="K2870" s="9" t="s">
        <v>82</v>
      </c>
      <c r="L2870" s="9" t="s">
        <v>171</v>
      </c>
      <c r="M2870" t="s">
        <v>860</v>
      </c>
      <c r="O2870" t="s">
        <v>919</v>
      </c>
      <c r="P2870" t="s">
        <v>1845</v>
      </c>
      <c r="S2870">
        <v>522</v>
      </c>
      <c r="U2870" s="14" t="s">
        <v>77</v>
      </c>
      <c r="V2870" t="s">
        <v>1720</v>
      </c>
      <c r="X2870" s="43">
        <v>3.55</v>
      </c>
      <c r="Y2870" s="159"/>
      <c r="AA2870" s="43"/>
      <c r="AB2870">
        <v>0.75</v>
      </c>
      <c r="AC2870">
        <v>0.252</v>
      </c>
      <c r="AJ2870" s="13">
        <f t="shared" si="257"/>
        <v>4.5519999999999996</v>
      </c>
      <c r="AK2870">
        <v>0</v>
      </c>
    </row>
    <row r="2871" spans="1:37" ht="19">
      <c r="A2871" s="39" t="s">
        <v>17</v>
      </c>
      <c r="B2871" s="8">
        <v>2024</v>
      </c>
      <c r="C2871" s="8" t="s">
        <v>109</v>
      </c>
      <c r="D2871" s="9" t="s">
        <v>109</v>
      </c>
      <c r="E2871" s="9" t="s">
        <v>111</v>
      </c>
      <c r="F2871" s="9" t="s">
        <v>111</v>
      </c>
      <c r="I2871" s="9" t="s">
        <v>11</v>
      </c>
      <c r="J2871" s="9" t="s">
        <v>11</v>
      </c>
      <c r="K2871" s="9" t="s">
        <v>82</v>
      </c>
      <c r="L2871" s="9" t="s">
        <v>171</v>
      </c>
      <c r="M2871" t="s">
        <v>860</v>
      </c>
      <c r="O2871" t="s">
        <v>919</v>
      </c>
      <c r="P2871" t="s">
        <v>1846</v>
      </c>
      <c r="S2871">
        <v>1042</v>
      </c>
      <c r="U2871" s="14" t="s">
        <v>77</v>
      </c>
      <c r="V2871" t="s">
        <v>1720</v>
      </c>
      <c r="X2871" s="43">
        <v>6.95</v>
      </c>
      <c r="Y2871" s="159"/>
      <c r="AA2871" s="43"/>
      <c r="AB2871">
        <v>1.55</v>
      </c>
      <c r="AC2871">
        <v>0.47699999999999998</v>
      </c>
      <c r="AJ2871" s="13">
        <f t="shared" si="257"/>
        <v>8.9770000000000003</v>
      </c>
      <c r="AK2871">
        <v>0</v>
      </c>
    </row>
    <row r="2872" spans="1:37" ht="19">
      <c r="A2872" s="39" t="s">
        <v>17</v>
      </c>
      <c r="B2872" s="8">
        <v>2024</v>
      </c>
      <c r="C2872" s="8" t="s">
        <v>109</v>
      </c>
      <c r="D2872" s="9" t="s">
        <v>109</v>
      </c>
      <c r="E2872" s="9" t="s">
        <v>111</v>
      </c>
      <c r="F2872" s="9" t="s">
        <v>111</v>
      </c>
      <c r="I2872" s="9" t="s">
        <v>11</v>
      </c>
      <c r="J2872" s="9" t="s">
        <v>11</v>
      </c>
      <c r="K2872" s="9" t="s">
        <v>82</v>
      </c>
      <c r="L2872" s="9" t="s">
        <v>171</v>
      </c>
      <c r="M2872" t="s">
        <v>860</v>
      </c>
      <c r="O2872" t="s">
        <v>919</v>
      </c>
      <c r="P2872" t="s">
        <v>1847</v>
      </c>
      <c r="S2872">
        <v>526</v>
      </c>
      <c r="U2872" s="14" t="s">
        <v>77</v>
      </c>
      <c r="V2872" t="s">
        <v>1720</v>
      </c>
      <c r="X2872" s="43">
        <v>4.05</v>
      </c>
      <c r="Y2872" s="159"/>
      <c r="AA2872" s="43"/>
      <c r="AB2872">
        <v>0.9</v>
      </c>
      <c r="AC2872">
        <v>0.28799999999999998</v>
      </c>
      <c r="AJ2872" s="13">
        <f t="shared" si="257"/>
        <v>5.2380000000000004</v>
      </c>
      <c r="AK2872">
        <v>0</v>
      </c>
    </row>
    <row r="2873" spans="1:37" ht="19">
      <c r="A2873" s="39" t="s">
        <v>17</v>
      </c>
      <c r="B2873" s="8">
        <v>2024</v>
      </c>
      <c r="C2873" s="8" t="s">
        <v>109</v>
      </c>
      <c r="D2873" s="9" t="s">
        <v>109</v>
      </c>
      <c r="E2873" s="9" t="s">
        <v>111</v>
      </c>
      <c r="F2873" s="9" t="s">
        <v>111</v>
      </c>
      <c r="I2873" s="9" t="s">
        <v>11</v>
      </c>
      <c r="J2873" s="9" t="s">
        <v>11</v>
      </c>
      <c r="K2873" s="9" t="s">
        <v>82</v>
      </c>
      <c r="L2873" s="9" t="s">
        <v>171</v>
      </c>
      <c r="M2873" t="s">
        <v>860</v>
      </c>
      <c r="O2873" t="s">
        <v>929</v>
      </c>
      <c r="P2873" t="s">
        <v>1643</v>
      </c>
      <c r="S2873">
        <v>812</v>
      </c>
      <c r="U2873" s="14" t="s">
        <v>77</v>
      </c>
      <c r="V2873" t="s">
        <v>1720</v>
      </c>
      <c r="X2873" s="43">
        <v>5.55</v>
      </c>
      <c r="Y2873" s="159"/>
      <c r="AA2873" s="43"/>
      <c r="AB2873">
        <v>1.2</v>
      </c>
      <c r="AC2873">
        <v>0.36899999999999999</v>
      </c>
      <c r="AJ2873" s="13">
        <f t="shared" si="257"/>
        <v>7.1189999999999998</v>
      </c>
      <c r="AK2873">
        <v>0</v>
      </c>
    </row>
    <row r="2874" spans="1:37" ht="19">
      <c r="A2874" s="39" t="s">
        <v>17</v>
      </c>
      <c r="B2874" s="8">
        <v>2024</v>
      </c>
      <c r="C2874" s="8" t="s">
        <v>109</v>
      </c>
      <c r="D2874" s="9" t="s">
        <v>109</v>
      </c>
      <c r="E2874" s="9" t="s">
        <v>111</v>
      </c>
      <c r="F2874" s="9" t="s">
        <v>111</v>
      </c>
      <c r="I2874" s="9" t="s">
        <v>11</v>
      </c>
      <c r="J2874" s="9" t="s">
        <v>11</v>
      </c>
      <c r="K2874" s="9" t="s">
        <v>82</v>
      </c>
      <c r="L2874" s="9" t="s">
        <v>171</v>
      </c>
      <c r="M2874" t="s">
        <v>860</v>
      </c>
      <c r="O2874" t="s">
        <v>929</v>
      </c>
      <c r="P2874" t="s">
        <v>1848</v>
      </c>
      <c r="S2874">
        <v>807</v>
      </c>
      <c r="U2874" s="14" t="s">
        <v>77</v>
      </c>
      <c r="V2874" t="s">
        <v>1720</v>
      </c>
      <c r="X2874" s="43">
        <v>5.45</v>
      </c>
      <c r="Y2874" s="159"/>
      <c r="AA2874" s="43"/>
      <c r="AB2874">
        <v>1.1499999999999999</v>
      </c>
      <c r="AC2874">
        <v>0.38700000000000001</v>
      </c>
      <c r="AJ2874" s="13">
        <f t="shared" si="257"/>
        <v>6.9870000000000001</v>
      </c>
      <c r="AK2874">
        <v>0</v>
      </c>
    </row>
    <row r="2875" spans="1:37" ht="19">
      <c r="A2875" s="39" t="s">
        <v>17</v>
      </c>
      <c r="B2875" s="8">
        <v>2024</v>
      </c>
      <c r="C2875" s="8" t="s">
        <v>109</v>
      </c>
      <c r="D2875" s="9" t="s">
        <v>109</v>
      </c>
      <c r="E2875" s="9" t="s">
        <v>111</v>
      </c>
      <c r="F2875" s="9" t="s">
        <v>111</v>
      </c>
      <c r="I2875" s="9" t="s">
        <v>11</v>
      </c>
      <c r="J2875" s="9" t="s">
        <v>11</v>
      </c>
      <c r="K2875" s="9" t="s">
        <v>82</v>
      </c>
      <c r="L2875" s="9" t="s">
        <v>171</v>
      </c>
      <c r="M2875" t="s">
        <v>860</v>
      </c>
      <c r="O2875" t="s">
        <v>929</v>
      </c>
      <c r="P2875" t="s">
        <v>1849</v>
      </c>
      <c r="S2875">
        <v>858</v>
      </c>
      <c r="U2875" s="14" t="s">
        <v>77</v>
      </c>
      <c r="V2875" t="s">
        <v>1720</v>
      </c>
      <c r="X2875" s="43">
        <v>5.8</v>
      </c>
      <c r="Y2875" s="159"/>
      <c r="AA2875" s="43"/>
      <c r="AB2875">
        <v>1.25</v>
      </c>
      <c r="AC2875">
        <v>0.41399999999999998</v>
      </c>
      <c r="AJ2875" s="13">
        <f t="shared" si="257"/>
        <v>7.4639999999999995</v>
      </c>
      <c r="AK2875">
        <v>0</v>
      </c>
    </row>
    <row r="2876" spans="1:37" ht="19">
      <c r="A2876" s="39" t="s">
        <v>17</v>
      </c>
      <c r="B2876" s="8">
        <v>2024</v>
      </c>
      <c r="C2876" s="8" t="s">
        <v>109</v>
      </c>
      <c r="D2876" s="9" t="s">
        <v>109</v>
      </c>
      <c r="E2876" s="9" t="s">
        <v>111</v>
      </c>
      <c r="F2876" s="9" t="s">
        <v>111</v>
      </c>
      <c r="I2876" s="9" t="s">
        <v>11</v>
      </c>
      <c r="J2876" s="9" t="s">
        <v>11</v>
      </c>
      <c r="K2876" s="9" t="s">
        <v>82</v>
      </c>
      <c r="L2876" s="9" t="s">
        <v>171</v>
      </c>
      <c r="M2876" t="s">
        <v>860</v>
      </c>
      <c r="O2876" t="s">
        <v>929</v>
      </c>
      <c r="P2876" t="s">
        <v>1850</v>
      </c>
      <c r="S2876">
        <v>650</v>
      </c>
      <c r="U2876" s="14" t="s">
        <v>77</v>
      </c>
      <c r="V2876" t="s">
        <v>1720</v>
      </c>
      <c r="X2876" s="43">
        <v>5</v>
      </c>
      <c r="Y2876" s="159"/>
      <c r="AA2876" s="43"/>
      <c r="AB2876">
        <v>1.1000000000000001</v>
      </c>
      <c r="AC2876">
        <v>0.35549999999999998</v>
      </c>
      <c r="AJ2876" s="13">
        <f t="shared" si="257"/>
        <v>6.4554999999999998</v>
      </c>
      <c r="AK2876">
        <v>0</v>
      </c>
    </row>
    <row r="2877" spans="1:37" ht="19">
      <c r="A2877" s="39" t="s">
        <v>17</v>
      </c>
      <c r="B2877" s="8">
        <v>2024</v>
      </c>
      <c r="C2877" s="8" t="s">
        <v>109</v>
      </c>
      <c r="D2877" s="9" t="s">
        <v>109</v>
      </c>
      <c r="E2877" s="9" t="s">
        <v>111</v>
      </c>
      <c r="F2877" s="9" t="s">
        <v>111</v>
      </c>
      <c r="I2877" s="9" t="s">
        <v>11</v>
      </c>
      <c r="J2877" s="9" t="s">
        <v>11</v>
      </c>
      <c r="K2877" s="9" t="s">
        <v>82</v>
      </c>
      <c r="L2877" s="9" t="s">
        <v>171</v>
      </c>
      <c r="M2877" t="s">
        <v>860</v>
      </c>
      <c r="O2877" t="s">
        <v>929</v>
      </c>
      <c r="P2877" t="s">
        <v>1851</v>
      </c>
      <c r="S2877">
        <v>609</v>
      </c>
      <c r="U2877" s="14" t="s">
        <v>77</v>
      </c>
      <c r="V2877" t="s">
        <v>1720</v>
      </c>
      <c r="X2877" s="43">
        <v>4.7</v>
      </c>
      <c r="Y2877" s="159"/>
      <c r="AA2877" s="43"/>
      <c r="AB2877">
        <v>1.05</v>
      </c>
      <c r="AC2877">
        <v>0.33300000000000002</v>
      </c>
      <c r="AJ2877" s="13">
        <f t="shared" si="257"/>
        <v>6.0830000000000002</v>
      </c>
      <c r="AK2877">
        <v>0</v>
      </c>
    </row>
    <row r="2878" spans="1:37" ht="19">
      <c r="A2878" s="39" t="s">
        <v>17</v>
      </c>
      <c r="B2878" s="8">
        <v>2024</v>
      </c>
      <c r="C2878" s="8" t="s">
        <v>109</v>
      </c>
      <c r="D2878" s="9" t="s">
        <v>109</v>
      </c>
      <c r="E2878" s="9" t="s">
        <v>111</v>
      </c>
      <c r="F2878" s="9" t="s">
        <v>111</v>
      </c>
      <c r="I2878" s="9" t="s">
        <v>11</v>
      </c>
      <c r="J2878" s="9" t="s">
        <v>11</v>
      </c>
      <c r="K2878" s="9" t="s">
        <v>82</v>
      </c>
      <c r="L2878" s="9" t="s">
        <v>171</v>
      </c>
      <c r="M2878" t="s">
        <v>860</v>
      </c>
      <c r="O2878" t="s">
        <v>929</v>
      </c>
      <c r="P2878" t="s">
        <v>1852</v>
      </c>
      <c r="S2878">
        <v>601</v>
      </c>
      <c r="U2878" s="14" t="s">
        <v>77</v>
      </c>
      <c r="V2878" t="s">
        <v>1720</v>
      </c>
      <c r="X2878" s="43">
        <v>4.0999999999999996</v>
      </c>
      <c r="Y2878" s="159"/>
      <c r="AA2878" s="43"/>
      <c r="AB2878">
        <v>0.85</v>
      </c>
      <c r="AC2878">
        <v>0.29249999999999998</v>
      </c>
      <c r="AJ2878" s="13">
        <f t="shared" si="257"/>
        <v>5.2424999999999997</v>
      </c>
      <c r="AK2878">
        <v>0</v>
      </c>
    </row>
    <row r="2879" spans="1:37" ht="19">
      <c r="A2879" s="39" t="s">
        <v>17</v>
      </c>
      <c r="B2879" s="8">
        <v>2024</v>
      </c>
      <c r="C2879" s="8" t="s">
        <v>109</v>
      </c>
      <c r="D2879" s="9" t="s">
        <v>109</v>
      </c>
      <c r="E2879" s="9" t="s">
        <v>111</v>
      </c>
      <c r="F2879" s="9" t="s">
        <v>111</v>
      </c>
      <c r="I2879" s="9" t="s">
        <v>11</v>
      </c>
      <c r="J2879" s="9" t="s">
        <v>11</v>
      </c>
      <c r="K2879" s="9" t="s">
        <v>82</v>
      </c>
      <c r="L2879" s="9" t="s">
        <v>171</v>
      </c>
      <c r="M2879" t="s">
        <v>860</v>
      </c>
      <c r="O2879" t="s">
        <v>929</v>
      </c>
      <c r="P2879" t="s">
        <v>1853</v>
      </c>
      <c r="S2879">
        <v>340</v>
      </c>
      <c r="U2879" s="14" t="s">
        <v>77</v>
      </c>
      <c r="V2879" t="s">
        <v>1720</v>
      </c>
      <c r="X2879" s="43">
        <v>2.6</v>
      </c>
      <c r="Y2879" s="159"/>
      <c r="AA2879" s="43"/>
      <c r="AB2879">
        <v>0.6</v>
      </c>
      <c r="AC2879">
        <v>0.189</v>
      </c>
      <c r="AJ2879" s="13">
        <f t="shared" si="257"/>
        <v>3.3890000000000002</v>
      </c>
      <c r="AK2879">
        <v>0</v>
      </c>
    </row>
    <row r="2880" spans="1:37" ht="19">
      <c r="A2880" s="39" t="s">
        <v>17</v>
      </c>
      <c r="B2880" s="8">
        <v>2024</v>
      </c>
      <c r="C2880" s="8" t="s">
        <v>109</v>
      </c>
      <c r="D2880" s="9" t="s">
        <v>109</v>
      </c>
      <c r="E2880" s="9" t="s">
        <v>111</v>
      </c>
      <c r="F2880" s="9" t="s">
        <v>111</v>
      </c>
      <c r="I2880" s="9" t="s">
        <v>11</v>
      </c>
      <c r="J2880" s="9" t="s">
        <v>11</v>
      </c>
      <c r="K2880" s="9" t="s">
        <v>82</v>
      </c>
      <c r="L2880" s="9" t="s">
        <v>171</v>
      </c>
      <c r="M2880" t="s">
        <v>860</v>
      </c>
      <c r="O2880" t="s">
        <v>929</v>
      </c>
      <c r="P2880" t="s">
        <v>1854</v>
      </c>
      <c r="S2880">
        <v>454</v>
      </c>
      <c r="U2880" s="14" t="s">
        <v>77</v>
      </c>
      <c r="V2880" t="s">
        <v>1720</v>
      </c>
      <c r="X2880" s="43">
        <v>3.1</v>
      </c>
      <c r="Y2880" s="159"/>
      <c r="AA2880" s="43"/>
      <c r="AB2880">
        <v>0.65</v>
      </c>
      <c r="AC2880">
        <v>0.2205</v>
      </c>
      <c r="AJ2880" s="13">
        <f t="shared" si="257"/>
        <v>3.9704999999999999</v>
      </c>
      <c r="AK2880">
        <v>0</v>
      </c>
    </row>
    <row r="2881" spans="1:37" ht="19">
      <c r="A2881" s="39" t="s">
        <v>17</v>
      </c>
      <c r="B2881" s="8">
        <v>2024</v>
      </c>
      <c r="C2881" s="8" t="s">
        <v>109</v>
      </c>
      <c r="D2881" s="9" t="s">
        <v>109</v>
      </c>
      <c r="E2881" s="9" t="s">
        <v>111</v>
      </c>
      <c r="F2881" s="9" t="s">
        <v>111</v>
      </c>
      <c r="I2881" s="9" t="s">
        <v>11</v>
      </c>
      <c r="J2881" s="9" t="s">
        <v>11</v>
      </c>
      <c r="K2881" s="9" t="s">
        <v>82</v>
      </c>
      <c r="L2881" s="9" t="s">
        <v>171</v>
      </c>
      <c r="M2881" t="s">
        <v>860</v>
      </c>
      <c r="O2881" t="s">
        <v>929</v>
      </c>
      <c r="P2881" t="s">
        <v>1855</v>
      </c>
      <c r="S2881">
        <v>172</v>
      </c>
      <c r="U2881" t="s">
        <v>1722</v>
      </c>
      <c r="V2881" t="s">
        <v>1484</v>
      </c>
      <c r="X2881" s="43">
        <v>1.3</v>
      </c>
      <c r="Y2881" s="159"/>
      <c r="AA2881" s="43"/>
      <c r="AB2881">
        <v>0.1</v>
      </c>
      <c r="AC2881">
        <v>9.4500000000000001E-2</v>
      </c>
      <c r="AK2881">
        <v>3799136</v>
      </c>
    </row>
    <row r="2882" spans="1:37" ht="19">
      <c r="A2882" s="39" t="s">
        <v>17</v>
      </c>
      <c r="B2882" s="8">
        <v>2024</v>
      </c>
      <c r="C2882" s="8" t="s">
        <v>109</v>
      </c>
      <c r="D2882" s="9" t="s">
        <v>109</v>
      </c>
      <c r="E2882" s="9" t="s">
        <v>111</v>
      </c>
      <c r="F2882" s="9" t="s">
        <v>111</v>
      </c>
      <c r="I2882" s="9" t="s">
        <v>11</v>
      </c>
      <c r="J2882" s="9" t="s">
        <v>11</v>
      </c>
      <c r="K2882" s="9" t="s">
        <v>82</v>
      </c>
      <c r="L2882" s="9" t="s">
        <v>171</v>
      </c>
      <c r="M2882" t="s">
        <v>860</v>
      </c>
      <c r="O2882" t="s">
        <v>1039</v>
      </c>
      <c r="P2882" t="s">
        <v>1856</v>
      </c>
      <c r="S2882">
        <v>374</v>
      </c>
      <c r="U2882" t="s">
        <v>1722</v>
      </c>
      <c r="V2882" t="s">
        <v>1484</v>
      </c>
      <c r="X2882" s="43">
        <v>2.5499999999999998</v>
      </c>
      <c r="Y2882" s="159"/>
      <c r="AA2882" s="43"/>
      <c r="AB2882">
        <v>0.15</v>
      </c>
      <c r="AC2882">
        <v>0.18</v>
      </c>
      <c r="AK2882">
        <v>8260912</v>
      </c>
    </row>
    <row r="2883" spans="1:37" ht="19">
      <c r="A2883" s="39" t="s">
        <v>17</v>
      </c>
      <c r="B2883" s="8">
        <v>2024</v>
      </c>
      <c r="C2883" s="8" t="s">
        <v>109</v>
      </c>
      <c r="D2883" s="9" t="s">
        <v>109</v>
      </c>
      <c r="E2883" s="9" t="s">
        <v>111</v>
      </c>
      <c r="F2883" s="9" t="s">
        <v>111</v>
      </c>
      <c r="I2883" s="9" t="s">
        <v>11</v>
      </c>
      <c r="J2883" s="9" t="s">
        <v>11</v>
      </c>
      <c r="K2883" s="9" t="s">
        <v>82</v>
      </c>
      <c r="L2883" s="9" t="s">
        <v>171</v>
      </c>
      <c r="M2883" t="s">
        <v>860</v>
      </c>
      <c r="O2883" t="s">
        <v>1039</v>
      </c>
      <c r="P2883" t="s">
        <v>1039</v>
      </c>
      <c r="S2883">
        <v>539</v>
      </c>
      <c r="U2883" s="14" t="s">
        <v>77</v>
      </c>
      <c r="V2883" t="s">
        <v>1720</v>
      </c>
      <c r="X2883" s="43">
        <v>3.65</v>
      </c>
      <c r="Y2883" s="159"/>
      <c r="AA2883" s="43"/>
      <c r="AB2883">
        <v>0.75</v>
      </c>
      <c r="AC2883">
        <v>0.26100000000000001</v>
      </c>
      <c r="AJ2883" s="13">
        <f t="shared" ref="AJ2883:AJ2884" si="258">SUBTOTAL(9,X2883:AI2883)</f>
        <v>4.6610000000000005</v>
      </c>
      <c r="AK2883">
        <v>0</v>
      </c>
    </row>
    <row r="2884" spans="1:37" ht="19">
      <c r="A2884" s="39" t="s">
        <v>17</v>
      </c>
      <c r="B2884" s="8">
        <v>2024</v>
      </c>
      <c r="C2884" s="8" t="s">
        <v>109</v>
      </c>
      <c r="D2884" s="9" t="s">
        <v>109</v>
      </c>
      <c r="E2884" s="9" t="s">
        <v>111</v>
      </c>
      <c r="F2884" s="9" t="s">
        <v>111</v>
      </c>
      <c r="I2884" s="9" t="s">
        <v>11</v>
      </c>
      <c r="J2884" s="9" t="s">
        <v>11</v>
      </c>
      <c r="K2884" s="9" t="s">
        <v>82</v>
      </c>
      <c r="L2884" s="9" t="s">
        <v>171</v>
      </c>
      <c r="M2884" t="s">
        <v>860</v>
      </c>
      <c r="O2884" t="s">
        <v>1039</v>
      </c>
      <c r="P2884" t="s">
        <v>1857</v>
      </c>
      <c r="S2884">
        <v>348</v>
      </c>
      <c r="U2884" s="14" t="s">
        <v>77</v>
      </c>
      <c r="V2884" t="s">
        <v>1720</v>
      </c>
      <c r="X2884" s="43">
        <v>2.35</v>
      </c>
      <c r="Y2884" s="159"/>
      <c r="AA2884" s="43"/>
      <c r="AB2884">
        <v>0.5</v>
      </c>
      <c r="AC2884">
        <v>0.17100000000000001</v>
      </c>
      <c r="AJ2884" s="13">
        <f t="shared" si="258"/>
        <v>3.0209999999999999</v>
      </c>
      <c r="AK2884">
        <v>0</v>
      </c>
    </row>
    <row r="2885" spans="1:37" ht="19">
      <c r="A2885" s="39" t="s">
        <v>17</v>
      </c>
      <c r="B2885" s="8">
        <v>2024</v>
      </c>
      <c r="C2885" s="8" t="s">
        <v>109</v>
      </c>
      <c r="D2885" s="9" t="s">
        <v>109</v>
      </c>
      <c r="E2885" s="9" t="s">
        <v>111</v>
      </c>
      <c r="F2885" s="9" t="s">
        <v>111</v>
      </c>
      <c r="I2885" s="9" t="s">
        <v>11</v>
      </c>
      <c r="J2885" s="9" t="s">
        <v>11</v>
      </c>
      <c r="K2885" s="9" t="s">
        <v>82</v>
      </c>
      <c r="L2885" s="9" t="s">
        <v>171</v>
      </c>
      <c r="M2885" t="s">
        <v>860</v>
      </c>
      <c r="O2885" t="s">
        <v>1039</v>
      </c>
      <c r="P2885" t="s">
        <v>1858</v>
      </c>
      <c r="S2885">
        <v>280</v>
      </c>
      <c r="U2885" t="s">
        <v>1722</v>
      </c>
      <c r="V2885" t="s">
        <v>1484</v>
      </c>
      <c r="X2885" s="43">
        <v>1.9</v>
      </c>
      <c r="Y2885" s="159"/>
      <c r="AA2885" s="43"/>
      <c r="AB2885">
        <v>0.1</v>
      </c>
      <c r="AC2885">
        <v>0.13950000000000001</v>
      </c>
      <c r="AK2885">
        <v>6184640</v>
      </c>
    </row>
    <row r="2886" spans="1:37" ht="19">
      <c r="A2886" s="39" t="s">
        <v>17</v>
      </c>
      <c r="B2886" s="8">
        <v>2024</v>
      </c>
      <c r="C2886" s="8" t="s">
        <v>109</v>
      </c>
      <c r="D2886" s="9" t="s">
        <v>109</v>
      </c>
      <c r="E2886" s="9" t="s">
        <v>111</v>
      </c>
      <c r="F2886" s="9" t="s">
        <v>111</v>
      </c>
      <c r="I2886" s="9" t="s">
        <v>11</v>
      </c>
      <c r="J2886" s="9" t="s">
        <v>11</v>
      </c>
      <c r="K2886" s="9" t="s">
        <v>82</v>
      </c>
      <c r="L2886" s="9" t="s">
        <v>171</v>
      </c>
      <c r="M2886" t="s">
        <v>860</v>
      </c>
      <c r="O2886" t="s">
        <v>336</v>
      </c>
      <c r="P2886" t="s">
        <v>1859</v>
      </c>
      <c r="S2886">
        <v>447</v>
      </c>
      <c r="U2886" t="s">
        <v>1722</v>
      </c>
      <c r="V2886" t="s">
        <v>1484</v>
      </c>
      <c r="X2886" s="43">
        <v>3</v>
      </c>
      <c r="Y2886" s="159"/>
      <c r="AA2886" s="43"/>
      <c r="AB2886">
        <v>0.15</v>
      </c>
      <c r="AC2886">
        <v>0.216</v>
      </c>
      <c r="AK2886">
        <v>9873336</v>
      </c>
    </row>
    <row r="2887" spans="1:37" ht="19">
      <c r="A2887" s="39" t="s">
        <v>17</v>
      </c>
      <c r="B2887" s="8">
        <v>2024</v>
      </c>
      <c r="C2887" s="8" t="s">
        <v>109</v>
      </c>
      <c r="D2887" s="9" t="s">
        <v>109</v>
      </c>
      <c r="E2887" s="9" t="s">
        <v>111</v>
      </c>
      <c r="F2887" s="9" t="s">
        <v>111</v>
      </c>
      <c r="I2887" s="9" t="s">
        <v>11</v>
      </c>
      <c r="J2887" s="9" t="s">
        <v>11</v>
      </c>
      <c r="K2887" s="9" t="s">
        <v>82</v>
      </c>
      <c r="L2887" s="9" t="s">
        <v>171</v>
      </c>
      <c r="M2887" t="s">
        <v>860</v>
      </c>
      <c r="O2887" t="s">
        <v>336</v>
      </c>
      <c r="P2887" t="s">
        <v>1860</v>
      </c>
      <c r="S2887">
        <v>225</v>
      </c>
      <c r="U2887" t="s">
        <v>1722</v>
      </c>
      <c r="V2887" t="s">
        <v>1484</v>
      </c>
      <c r="X2887" s="43">
        <v>1.5</v>
      </c>
      <c r="Y2887" s="159"/>
      <c r="AA2887" s="43"/>
      <c r="AB2887">
        <v>0.1</v>
      </c>
      <c r="AC2887">
        <v>0.108</v>
      </c>
      <c r="AK2887">
        <v>4969800</v>
      </c>
    </row>
    <row r="2888" spans="1:37" ht="19">
      <c r="A2888" s="39" t="s">
        <v>17</v>
      </c>
      <c r="B2888" s="8">
        <v>2024</v>
      </c>
      <c r="C2888" s="8" t="s">
        <v>109</v>
      </c>
      <c r="D2888" s="9" t="s">
        <v>109</v>
      </c>
      <c r="E2888" s="9" t="s">
        <v>111</v>
      </c>
      <c r="F2888" s="9" t="s">
        <v>111</v>
      </c>
      <c r="I2888" s="9" t="s">
        <v>11</v>
      </c>
      <c r="J2888" s="9" t="s">
        <v>11</v>
      </c>
      <c r="K2888" s="9" t="s">
        <v>82</v>
      </c>
      <c r="L2888" s="9" t="s">
        <v>171</v>
      </c>
      <c r="M2888" t="s">
        <v>860</v>
      </c>
      <c r="O2888" t="s">
        <v>336</v>
      </c>
      <c r="P2888" t="s">
        <v>1861</v>
      </c>
      <c r="S2888">
        <v>209</v>
      </c>
      <c r="U2888" t="s">
        <v>1722</v>
      </c>
      <c r="V2888" t="s">
        <v>1484</v>
      </c>
      <c r="X2888" s="43">
        <v>1.6</v>
      </c>
      <c r="Y2888" s="159"/>
      <c r="AA2888" s="43"/>
      <c r="AB2888">
        <v>0.1</v>
      </c>
      <c r="AC2888">
        <v>0.11700000000000001</v>
      </c>
      <c r="AK2888">
        <v>4616392</v>
      </c>
    </row>
    <row r="2889" spans="1:37" ht="19">
      <c r="A2889" s="39" t="s">
        <v>17</v>
      </c>
      <c r="B2889" s="8">
        <v>2024</v>
      </c>
      <c r="C2889" s="8" t="s">
        <v>109</v>
      </c>
      <c r="D2889" s="9" t="s">
        <v>109</v>
      </c>
      <c r="E2889" s="9" t="s">
        <v>111</v>
      </c>
      <c r="F2889" s="9" t="s">
        <v>111</v>
      </c>
      <c r="I2889" s="9" t="s">
        <v>11</v>
      </c>
      <c r="J2889" s="9" t="s">
        <v>11</v>
      </c>
      <c r="K2889" s="9" t="s">
        <v>82</v>
      </c>
      <c r="L2889" s="9" t="s">
        <v>171</v>
      </c>
      <c r="M2889" t="s">
        <v>860</v>
      </c>
      <c r="O2889" t="s">
        <v>336</v>
      </c>
      <c r="P2889" t="s">
        <v>1862</v>
      </c>
      <c r="S2889">
        <v>252</v>
      </c>
      <c r="U2889" s="14" t="s">
        <v>77</v>
      </c>
      <c r="V2889" t="s">
        <v>1720</v>
      </c>
      <c r="X2889" s="43">
        <v>1.7</v>
      </c>
      <c r="Y2889" s="159"/>
      <c r="AA2889" s="43"/>
      <c r="AB2889">
        <v>0.4</v>
      </c>
      <c r="AC2889">
        <v>0.126</v>
      </c>
      <c r="AJ2889" s="13">
        <f t="shared" ref="AJ2889:AJ2891" si="259">SUBTOTAL(9,X2889:AI2889)</f>
        <v>2.226</v>
      </c>
      <c r="AK2889">
        <v>0</v>
      </c>
    </row>
    <row r="2890" spans="1:37" ht="19">
      <c r="A2890" s="39" t="s">
        <v>17</v>
      </c>
      <c r="B2890" s="8">
        <v>2024</v>
      </c>
      <c r="C2890" s="8" t="s">
        <v>109</v>
      </c>
      <c r="D2890" s="9" t="s">
        <v>109</v>
      </c>
      <c r="E2890" s="9" t="s">
        <v>111</v>
      </c>
      <c r="F2890" s="9" t="s">
        <v>111</v>
      </c>
      <c r="I2890" s="9" t="s">
        <v>11</v>
      </c>
      <c r="J2890" s="9" t="s">
        <v>11</v>
      </c>
      <c r="K2890" s="9" t="s">
        <v>82</v>
      </c>
      <c r="L2890" s="9" t="s">
        <v>171</v>
      </c>
      <c r="M2890" t="s">
        <v>860</v>
      </c>
      <c r="O2890" t="s">
        <v>336</v>
      </c>
      <c r="P2890" t="s">
        <v>1863</v>
      </c>
      <c r="S2890">
        <v>308</v>
      </c>
      <c r="U2890" s="14" t="s">
        <v>77</v>
      </c>
      <c r="V2890" t="s">
        <v>1720</v>
      </c>
      <c r="X2890" s="43">
        <v>2.1</v>
      </c>
      <c r="Y2890" s="159"/>
      <c r="AA2890" s="43"/>
      <c r="AB2890">
        <v>0</v>
      </c>
      <c r="AC2890">
        <v>0.153</v>
      </c>
      <c r="AJ2890" s="13">
        <f t="shared" si="259"/>
        <v>2.2530000000000001</v>
      </c>
      <c r="AK2890">
        <v>0</v>
      </c>
    </row>
    <row r="2891" spans="1:37" ht="19">
      <c r="A2891" s="39" t="s">
        <v>17</v>
      </c>
      <c r="B2891" s="8">
        <v>2024</v>
      </c>
      <c r="C2891" s="8" t="s">
        <v>109</v>
      </c>
      <c r="D2891" s="9" t="s">
        <v>109</v>
      </c>
      <c r="E2891" s="9" t="s">
        <v>111</v>
      </c>
      <c r="F2891" s="9" t="s">
        <v>111</v>
      </c>
      <c r="I2891" s="9" t="s">
        <v>11</v>
      </c>
      <c r="J2891" s="9" t="s">
        <v>11</v>
      </c>
      <c r="K2891" s="9" t="s">
        <v>82</v>
      </c>
      <c r="L2891" s="9" t="s">
        <v>171</v>
      </c>
      <c r="M2891" t="s">
        <v>860</v>
      </c>
      <c r="O2891" t="s">
        <v>336</v>
      </c>
      <c r="P2891" t="s">
        <v>1864</v>
      </c>
      <c r="S2891">
        <v>383</v>
      </c>
      <c r="U2891" s="14" t="s">
        <v>77</v>
      </c>
      <c r="V2891" t="s">
        <v>1720</v>
      </c>
      <c r="X2891" s="43">
        <v>2.6</v>
      </c>
      <c r="Y2891" s="159"/>
      <c r="AA2891" s="43"/>
      <c r="AB2891">
        <v>0.55000000000000004</v>
      </c>
      <c r="AC2891">
        <v>0.1845</v>
      </c>
      <c r="AJ2891" s="13">
        <f t="shared" si="259"/>
        <v>3.3345000000000002</v>
      </c>
      <c r="AK2891">
        <v>0</v>
      </c>
    </row>
    <row r="2892" spans="1:37" ht="19">
      <c r="A2892" s="39" t="s">
        <v>17</v>
      </c>
      <c r="B2892" s="8">
        <v>2024</v>
      </c>
      <c r="C2892" s="8" t="s">
        <v>109</v>
      </c>
      <c r="D2892" s="9" t="s">
        <v>109</v>
      </c>
      <c r="E2892" s="9" t="s">
        <v>111</v>
      </c>
      <c r="F2892" s="9" t="s">
        <v>111</v>
      </c>
      <c r="I2892" s="9" t="s">
        <v>11</v>
      </c>
      <c r="J2892" s="9" t="s">
        <v>11</v>
      </c>
      <c r="K2892" s="9" t="s">
        <v>82</v>
      </c>
      <c r="L2892" s="9" t="s">
        <v>171</v>
      </c>
      <c r="M2892" t="s">
        <v>860</v>
      </c>
      <c r="O2892" t="s">
        <v>336</v>
      </c>
      <c r="P2892" t="s">
        <v>1865</v>
      </c>
      <c r="S2892">
        <v>323</v>
      </c>
      <c r="U2892" t="s">
        <v>1722</v>
      </c>
      <c r="V2892" t="s">
        <v>1484</v>
      </c>
      <c r="X2892" s="43">
        <v>2.2000000000000002</v>
      </c>
      <c r="Y2892" s="159"/>
      <c r="AA2892" s="43"/>
      <c r="AB2892">
        <v>0.15</v>
      </c>
      <c r="AC2892">
        <v>0.1575</v>
      </c>
      <c r="AK2892">
        <v>7134424</v>
      </c>
    </row>
    <row r="2893" spans="1:37" ht="19">
      <c r="A2893" s="39" t="s">
        <v>17</v>
      </c>
      <c r="B2893" s="8">
        <v>2024</v>
      </c>
      <c r="C2893" s="8" t="s">
        <v>109</v>
      </c>
      <c r="D2893" s="9" t="s">
        <v>109</v>
      </c>
      <c r="E2893" s="9" t="s">
        <v>111</v>
      </c>
      <c r="F2893" s="9" t="s">
        <v>111</v>
      </c>
      <c r="I2893" s="9" t="s">
        <v>11</v>
      </c>
      <c r="J2893" s="9" t="s">
        <v>11</v>
      </c>
      <c r="K2893" s="9" t="s">
        <v>82</v>
      </c>
      <c r="L2893" s="9" t="s">
        <v>171</v>
      </c>
      <c r="M2893" t="s">
        <v>860</v>
      </c>
      <c r="O2893" t="s">
        <v>336</v>
      </c>
      <c r="P2893" t="s">
        <v>1176</v>
      </c>
      <c r="S2893">
        <v>186</v>
      </c>
      <c r="U2893" s="14" t="s">
        <v>77</v>
      </c>
      <c r="V2893" t="s">
        <v>1720</v>
      </c>
      <c r="X2893" s="43">
        <v>1.45</v>
      </c>
      <c r="Y2893" s="159"/>
      <c r="AA2893" s="43"/>
      <c r="AB2893">
        <v>0.35</v>
      </c>
      <c r="AC2893">
        <v>0.10349999999999999</v>
      </c>
      <c r="AJ2893" s="13">
        <f>SUBTOTAL(9,X2893:AI2893)</f>
        <v>1.9034999999999997</v>
      </c>
      <c r="AK2893">
        <v>0</v>
      </c>
    </row>
    <row r="2894" spans="1:37" ht="19">
      <c r="A2894" s="39" t="s">
        <v>17</v>
      </c>
      <c r="B2894" s="8">
        <v>2024</v>
      </c>
      <c r="C2894" s="8" t="s">
        <v>109</v>
      </c>
      <c r="D2894" s="9" t="s">
        <v>109</v>
      </c>
      <c r="E2894" s="9" t="s">
        <v>111</v>
      </c>
      <c r="F2894" s="9" t="s">
        <v>111</v>
      </c>
      <c r="I2894" s="9" t="s">
        <v>11</v>
      </c>
      <c r="J2894" s="9" t="s">
        <v>11</v>
      </c>
      <c r="K2894" s="9" t="s">
        <v>82</v>
      </c>
      <c r="L2894" s="9" t="s">
        <v>171</v>
      </c>
      <c r="M2894" t="s">
        <v>860</v>
      </c>
      <c r="O2894" t="s">
        <v>336</v>
      </c>
      <c r="P2894" t="s">
        <v>1866</v>
      </c>
      <c r="S2894">
        <v>250</v>
      </c>
      <c r="U2894" t="s">
        <v>1722</v>
      </c>
      <c r="V2894" t="s">
        <v>1484</v>
      </c>
      <c r="X2894" s="43">
        <v>1.7</v>
      </c>
      <c r="Y2894" s="159"/>
      <c r="AA2894" s="43"/>
      <c r="AB2894">
        <v>0.1</v>
      </c>
      <c r="AC2894">
        <v>0.1215</v>
      </c>
      <c r="AK2894">
        <v>5522000</v>
      </c>
    </row>
    <row r="2895" spans="1:37" ht="19">
      <c r="A2895" s="39" t="s">
        <v>17</v>
      </c>
      <c r="B2895" s="8">
        <v>2024</v>
      </c>
      <c r="C2895" s="8" t="s">
        <v>109</v>
      </c>
      <c r="D2895" s="9" t="s">
        <v>109</v>
      </c>
      <c r="E2895" s="9" t="s">
        <v>111</v>
      </c>
      <c r="F2895" s="9" t="s">
        <v>111</v>
      </c>
      <c r="I2895" s="9" t="s">
        <v>11</v>
      </c>
      <c r="J2895" s="9" t="s">
        <v>11</v>
      </c>
      <c r="K2895" s="9" t="s">
        <v>82</v>
      </c>
      <c r="L2895" s="9" t="s">
        <v>171</v>
      </c>
      <c r="M2895" t="s">
        <v>860</v>
      </c>
      <c r="O2895" t="s">
        <v>336</v>
      </c>
      <c r="P2895" t="s">
        <v>1867</v>
      </c>
      <c r="S2895">
        <v>253</v>
      </c>
      <c r="U2895" t="s">
        <v>1722</v>
      </c>
      <c r="V2895" t="s">
        <v>1484</v>
      </c>
      <c r="X2895" s="43">
        <v>1.75</v>
      </c>
      <c r="Y2895" s="159"/>
      <c r="AA2895" s="43"/>
      <c r="AB2895">
        <v>0.1</v>
      </c>
      <c r="AC2895">
        <v>0.126</v>
      </c>
      <c r="AK2895">
        <v>5588264</v>
      </c>
    </row>
    <row r="2896" spans="1:37" ht="19">
      <c r="A2896" s="39" t="s">
        <v>17</v>
      </c>
      <c r="B2896" s="8">
        <v>2024</v>
      </c>
      <c r="C2896" s="8" t="s">
        <v>109</v>
      </c>
      <c r="D2896" s="9" t="s">
        <v>109</v>
      </c>
      <c r="E2896" s="9" t="s">
        <v>111</v>
      </c>
      <c r="F2896" s="9" t="s">
        <v>111</v>
      </c>
      <c r="I2896" s="9" t="s">
        <v>11</v>
      </c>
      <c r="J2896" s="9" t="s">
        <v>11</v>
      </c>
      <c r="K2896" s="9" t="s">
        <v>82</v>
      </c>
      <c r="L2896" s="9" t="s">
        <v>171</v>
      </c>
      <c r="M2896" t="s">
        <v>860</v>
      </c>
      <c r="O2896" t="s">
        <v>336</v>
      </c>
      <c r="P2896" t="s">
        <v>326</v>
      </c>
      <c r="S2896">
        <v>368</v>
      </c>
      <c r="U2896" s="14" t="s">
        <v>77</v>
      </c>
      <c r="V2896" t="s">
        <v>1720</v>
      </c>
      <c r="X2896" s="43">
        <v>2.5</v>
      </c>
      <c r="Y2896" s="159"/>
      <c r="AA2896" s="43"/>
      <c r="AB2896">
        <v>0.5</v>
      </c>
      <c r="AC2896">
        <v>0.17549999999999999</v>
      </c>
      <c r="AJ2896" s="13">
        <f t="shared" ref="AJ2896:AJ2898" si="260">SUBTOTAL(9,X2896:AI2896)</f>
        <v>3.1755</v>
      </c>
      <c r="AK2896">
        <v>0</v>
      </c>
    </row>
    <row r="2897" spans="1:37" ht="19">
      <c r="A2897" s="39" t="s">
        <v>17</v>
      </c>
      <c r="B2897" s="8">
        <v>2024</v>
      </c>
      <c r="C2897" s="8" t="s">
        <v>109</v>
      </c>
      <c r="D2897" s="9" t="s">
        <v>109</v>
      </c>
      <c r="E2897" s="9" t="s">
        <v>111</v>
      </c>
      <c r="F2897" s="9" t="s">
        <v>111</v>
      </c>
      <c r="I2897" s="9" t="s">
        <v>11</v>
      </c>
      <c r="J2897" s="9" t="s">
        <v>11</v>
      </c>
      <c r="K2897" s="9" t="s">
        <v>82</v>
      </c>
      <c r="L2897" s="9" t="s">
        <v>171</v>
      </c>
      <c r="M2897" t="s">
        <v>860</v>
      </c>
      <c r="O2897" t="s">
        <v>336</v>
      </c>
      <c r="P2897" t="s">
        <v>338</v>
      </c>
      <c r="S2897">
        <v>275</v>
      </c>
      <c r="U2897" s="14" t="s">
        <v>77</v>
      </c>
      <c r="V2897" t="s">
        <v>1720</v>
      </c>
      <c r="X2897" s="43">
        <v>1.9</v>
      </c>
      <c r="Y2897" s="159"/>
      <c r="AA2897" s="43"/>
      <c r="AB2897">
        <v>0.4</v>
      </c>
      <c r="AC2897">
        <v>0.13500000000000001</v>
      </c>
      <c r="AJ2897" s="13">
        <f t="shared" si="260"/>
        <v>2.4349999999999996</v>
      </c>
      <c r="AK2897">
        <v>0</v>
      </c>
    </row>
    <row r="2898" spans="1:37" ht="19">
      <c r="A2898" s="39" t="s">
        <v>17</v>
      </c>
      <c r="B2898" s="8">
        <v>2024</v>
      </c>
      <c r="C2898" s="8" t="s">
        <v>109</v>
      </c>
      <c r="D2898" s="9" t="s">
        <v>109</v>
      </c>
      <c r="E2898" s="9" t="s">
        <v>111</v>
      </c>
      <c r="F2898" s="9" t="s">
        <v>111</v>
      </c>
      <c r="I2898" s="9" t="s">
        <v>11</v>
      </c>
      <c r="J2898" s="9" t="s">
        <v>11</v>
      </c>
      <c r="K2898" s="9" t="s">
        <v>82</v>
      </c>
      <c r="L2898" s="9" t="s">
        <v>171</v>
      </c>
      <c r="M2898" t="s">
        <v>860</v>
      </c>
      <c r="O2898" t="s">
        <v>336</v>
      </c>
      <c r="P2898" t="s">
        <v>339</v>
      </c>
      <c r="S2898">
        <v>409</v>
      </c>
      <c r="U2898" s="14" t="s">
        <v>77</v>
      </c>
      <c r="V2898" t="s">
        <v>1720</v>
      </c>
      <c r="X2898" s="43">
        <v>2.8</v>
      </c>
      <c r="Y2898" s="159"/>
      <c r="AA2898" s="43"/>
      <c r="AB2898">
        <v>0.6</v>
      </c>
      <c r="AC2898">
        <v>0.19800000000000001</v>
      </c>
      <c r="AJ2898" s="13">
        <f t="shared" si="260"/>
        <v>3.5979999999999999</v>
      </c>
      <c r="AK2898">
        <v>0</v>
      </c>
    </row>
    <row r="2899" spans="1:37" ht="19">
      <c r="A2899" s="39" t="s">
        <v>17</v>
      </c>
      <c r="B2899" s="8">
        <v>2024</v>
      </c>
      <c r="C2899" s="8" t="s">
        <v>109</v>
      </c>
      <c r="D2899" s="9" t="s">
        <v>109</v>
      </c>
      <c r="E2899" s="9" t="s">
        <v>111</v>
      </c>
      <c r="F2899" s="9" t="s">
        <v>111</v>
      </c>
      <c r="I2899" s="9" t="s">
        <v>11</v>
      </c>
      <c r="J2899" s="9" t="s">
        <v>11</v>
      </c>
      <c r="K2899" s="9" t="s">
        <v>82</v>
      </c>
      <c r="L2899" s="9" t="s">
        <v>171</v>
      </c>
      <c r="M2899" t="s">
        <v>860</v>
      </c>
      <c r="O2899" t="s">
        <v>336</v>
      </c>
      <c r="P2899" t="s">
        <v>1868</v>
      </c>
      <c r="S2899">
        <v>353</v>
      </c>
      <c r="U2899" t="s">
        <v>1722</v>
      </c>
      <c r="V2899" t="s">
        <v>1484</v>
      </c>
      <c r="X2899" s="43">
        <v>2.4</v>
      </c>
      <c r="Y2899" s="159"/>
      <c r="AA2899" s="43"/>
      <c r="AB2899">
        <v>0.15</v>
      </c>
      <c r="AC2899">
        <v>0.17100000000000001</v>
      </c>
      <c r="AK2899">
        <v>7797064</v>
      </c>
    </row>
    <row r="2900" spans="1:37" ht="19">
      <c r="A2900" s="39" t="s">
        <v>17</v>
      </c>
      <c r="B2900" s="8">
        <v>2024</v>
      </c>
      <c r="C2900" s="8" t="s">
        <v>109</v>
      </c>
      <c r="D2900" s="9" t="s">
        <v>109</v>
      </c>
      <c r="E2900" s="9" t="s">
        <v>111</v>
      </c>
      <c r="F2900" s="9" t="s">
        <v>111</v>
      </c>
      <c r="I2900" s="9" t="s">
        <v>11</v>
      </c>
      <c r="J2900" s="9" t="s">
        <v>11</v>
      </c>
      <c r="K2900" s="9" t="s">
        <v>82</v>
      </c>
      <c r="L2900" s="9" t="s">
        <v>171</v>
      </c>
      <c r="M2900" t="s">
        <v>860</v>
      </c>
      <c r="O2900" t="s">
        <v>336</v>
      </c>
      <c r="P2900" t="s">
        <v>1869</v>
      </c>
      <c r="S2900">
        <v>162</v>
      </c>
      <c r="U2900" s="14" t="s">
        <v>77</v>
      </c>
      <c r="V2900" t="s">
        <v>1720</v>
      </c>
      <c r="X2900" s="43">
        <v>1.25</v>
      </c>
      <c r="Y2900" s="159"/>
      <c r="AA2900" s="43"/>
      <c r="AB2900">
        <v>0.3</v>
      </c>
      <c r="AC2900">
        <v>0.09</v>
      </c>
      <c r="AJ2900" s="13">
        <f>SUBTOTAL(9,X2900:AI2900)</f>
        <v>1.6400000000000001</v>
      </c>
      <c r="AK2900">
        <v>0</v>
      </c>
    </row>
    <row r="2901" spans="1:37" ht="19">
      <c r="A2901" s="39" t="s">
        <v>17</v>
      </c>
      <c r="B2901" s="8">
        <v>2024</v>
      </c>
      <c r="C2901" s="8" t="s">
        <v>109</v>
      </c>
      <c r="D2901" s="9" t="s">
        <v>109</v>
      </c>
      <c r="E2901" s="9" t="s">
        <v>111</v>
      </c>
      <c r="F2901" s="9" t="s">
        <v>111</v>
      </c>
      <c r="I2901" s="9" t="s">
        <v>11</v>
      </c>
      <c r="J2901" s="9" t="s">
        <v>11</v>
      </c>
      <c r="K2901" s="9" t="s">
        <v>82</v>
      </c>
      <c r="L2901" s="9" t="s">
        <v>171</v>
      </c>
      <c r="M2901" t="s">
        <v>860</v>
      </c>
      <c r="O2901" t="s">
        <v>336</v>
      </c>
      <c r="P2901" t="s">
        <v>1870</v>
      </c>
      <c r="S2901">
        <v>120</v>
      </c>
      <c r="U2901" t="s">
        <v>1722</v>
      </c>
      <c r="V2901" t="s">
        <v>1484</v>
      </c>
      <c r="X2901" s="43">
        <v>0.9</v>
      </c>
      <c r="Y2901" s="159"/>
      <c r="AA2901" s="43"/>
      <c r="AB2901">
        <v>0.05</v>
      </c>
      <c r="AC2901">
        <v>6.7500000000000004E-2</v>
      </c>
      <c r="AK2901">
        <v>2650560</v>
      </c>
    </row>
    <row r="2902" spans="1:37" ht="19">
      <c r="A2902" s="39" t="s">
        <v>17</v>
      </c>
      <c r="B2902" s="8">
        <v>2024</v>
      </c>
      <c r="C2902" s="8" t="s">
        <v>109</v>
      </c>
      <c r="D2902" s="9" t="s">
        <v>109</v>
      </c>
      <c r="E2902" s="9" t="s">
        <v>111</v>
      </c>
      <c r="F2902" s="9" t="s">
        <v>111</v>
      </c>
      <c r="I2902" s="9" t="s">
        <v>11</v>
      </c>
      <c r="J2902" s="9" t="s">
        <v>11</v>
      </c>
      <c r="K2902" s="9" t="s">
        <v>82</v>
      </c>
      <c r="L2902" s="9" t="s">
        <v>171</v>
      </c>
      <c r="M2902" t="s">
        <v>860</v>
      </c>
      <c r="O2902" t="s">
        <v>1871</v>
      </c>
      <c r="P2902" t="s">
        <v>1872</v>
      </c>
      <c r="S2902">
        <v>221</v>
      </c>
      <c r="U2902" s="14" t="s">
        <v>77</v>
      </c>
      <c r="V2902" t="s">
        <v>1720</v>
      </c>
      <c r="X2902" s="43">
        <v>1.7</v>
      </c>
      <c r="Y2902" s="159"/>
      <c r="AA2902" s="43"/>
      <c r="AB2902">
        <v>0.4</v>
      </c>
      <c r="AC2902">
        <v>0.1215</v>
      </c>
      <c r="AJ2902" s="13">
        <f t="shared" ref="AJ2902:AJ2905" si="261">SUBTOTAL(9,X2902:AI2902)</f>
        <v>2.2215000000000003</v>
      </c>
      <c r="AK2902">
        <v>0</v>
      </c>
    </row>
    <row r="2903" spans="1:37" ht="19">
      <c r="A2903" s="39" t="s">
        <v>17</v>
      </c>
      <c r="B2903" s="8">
        <v>2024</v>
      </c>
      <c r="C2903" s="8" t="s">
        <v>109</v>
      </c>
      <c r="D2903" s="9" t="s">
        <v>109</v>
      </c>
      <c r="E2903" s="9" t="s">
        <v>111</v>
      </c>
      <c r="F2903" s="9" t="s">
        <v>111</v>
      </c>
      <c r="I2903" s="9" t="s">
        <v>11</v>
      </c>
      <c r="J2903" s="9" t="s">
        <v>11</v>
      </c>
      <c r="K2903" s="9" t="s">
        <v>82</v>
      </c>
      <c r="L2903" s="9" t="s">
        <v>171</v>
      </c>
      <c r="M2903" t="s">
        <v>860</v>
      </c>
      <c r="O2903" t="s">
        <v>1871</v>
      </c>
      <c r="P2903" t="s">
        <v>1873</v>
      </c>
      <c r="S2903">
        <v>520</v>
      </c>
      <c r="U2903" s="14" t="s">
        <v>77</v>
      </c>
      <c r="V2903" t="s">
        <v>1720</v>
      </c>
      <c r="X2903" s="43">
        <v>3.5</v>
      </c>
      <c r="Y2903" s="159"/>
      <c r="AA2903" s="43"/>
      <c r="AB2903">
        <v>0.75</v>
      </c>
      <c r="AC2903">
        <v>0.252</v>
      </c>
      <c r="AJ2903" s="13">
        <f t="shared" si="261"/>
        <v>4.5019999999999998</v>
      </c>
      <c r="AK2903">
        <v>0</v>
      </c>
    </row>
    <row r="2904" spans="1:37" ht="19">
      <c r="A2904" s="39" t="s">
        <v>17</v>
      </c>
      <c r="B2904" s="8">
        <v>2024</v>
      </c>
      <c r="C2904" s="8" t="s">
        <v>109</v>
      </c>
      <c r="D2904" s="9" t="s">
        <v>109</v>
      </c>
      <c r="E2904" s="9" t="s">
        <v>111</v>
      </c>
      <c r="F2904" s="9" t="s">
        <v>111</v>
      </c>
      <c r="I2904" s="9" t="s">
        <v>11</v>
      </c>
      <c r="J2904" s="9" t="s">
        <v>11</v>
      </c>
      <c r="K2904" s="9" t="s">
        <v>82</v>
      </c>
      <c r="L2904" s="9" t="s">
        <v>171</v>
      </c>
      <c r="M2904" t="s">
        <v>860</v>
      </c>
      <c r="O2904" t="s">
        <v>1871</v>
      </c>
      <c r="P2904" t="s">
        <v>1874</v>
      </c>
      <c r="S2904">
        <v>364</v>
      </c>
      <c r="U2904" s="14" t="s">
        <v>77</v>
      </c>
      <c r="V2904" t="s">
        <v>1720</v>
      </c>
      <c r="X2904" s="43">
        <v>2.5</v>
      </c>
      <c r="Y2904" s="159"/>
      <c r="AA2904" s="43"/>
      <c r="AB2904">
        <v>0.55000000000000004</v>
      </c>
      <c r="AC2904">
        <v>0.18</v>
      </c>
      <c r="AJ2904" s="13">
        <f t="shared" si="261"/>
        <v>3.23</v>
      </c>
      <c r="AK2904">
        <v>0</v>
      </c>
    </row>
    <row r="2905" spans="1:37" ht="19">
      <c r="A2905" s="39" t="s">
        <v>17</v>
      </c>
      <c r="B2905" s="8">
        <v>2024</v>
      </c>
      <c r="C2905" s="8" t="s">
        <v>109</v>
      </c>
      <c r="D2905" s="9" t="s">
        <v>109</v>
      </c>
      <c r="E2905" s="9" t="s">
        <v>111</v>
      </c>
      <c r="F2905" s="9" t="s">
        <v>111</v>
      </c>
      <c r="I2905" s="9" t="s">
        <v>11</v>
      </c>
      <c r="J2905" s="9" t="s">
        <v>11</v>
      </c>
      <c r="K2905" s="9" t="s">
        <v>82</v>
      </c>
      <c r="L2905" s="9" t="s">
        <v>171</v>
      </c>
      <c r="M2905" t="s">
        <v>860</v>
      </c>
      <c r="O2905" t="s">
        <v>1871</v>
      </c>
      <c r="P2905" t="s">
        <v>1875</v>
      </c>
      <c r="S2905">
        <v>398</v>
      </c>
      <c r="U2905" s="14" t="s">
        <v>77</v>
      </c>
      <c r="V2905" t="s">
        <v>1720</v>
      </c>
      <c r="X2905" s="43">
        <v>2.7</v>
      </c>
      <c r="Y2905" s="159"/>
      <c r="AA2905" s="43"/>
      <c r="AB2905">
        <v>0.6</v>
      </c>
      <c r="AC2905">
        <v>0.19350000000000001</v>
      </c>
      <c r="AJ2905" s="13">
        <f t="shared" si="261"/>
        <v>3.4935</v>
      </c>
      <c r="AK2905">
        <v>0</v>
      </c>
    </row>
    <row r="2906" spans="1:37" ht="19">
      <c r="A2906" s="39" t="s">
        <v>17</v>
      </c>
      <c r="B2906" s="8">
        <v>2024</v>
      </c>
      <c r="C2906" s="8" t="s">
        <v>109</v>
      </c>
      <c r="D2906" s="9" t="s">
        <v>109</v>
      </c>
      <c r="E2906" s="9" t="s">
        <v>111</v>
      </c>
      <c r="F2906" s="9" t="s">
        <v>111</v>
      </c>
      <c r="I2906" s="9" t="s">
        <v>11</v>
      </c>
      <c r="J2906" s="9" t="s">
        <v>11</v>
      </c>
      <c r="K2906" s="9" t="s">
        <v>82</v>
      </c>
      <c r="L2906" s="9" t="s">
        <v>171</v>
      </c>
      <c r="M2906" t="s">
        <v>860</v>
      </c>
      <c r="O2906" t="s">
        <v>1871</v>
      </c>
      <c r="P2906" t="s">
        <v>1807</v>
      </c>
      <c r="S2906">
        <v>274</v>
      </c>
      <c r="U2906" t="s">
        <v>1722</v>
      </c>
      <c r="V2906" t="s">
        <v>1484</v>
      </c>
      <c r="X2906" s="43">
        <v>1.85</v>
      </c>
      <c r="Y2906" s="159"/>
      <c r="AA2906" s="43"/>
      <c r="AB2906">
        <v>0.1</v>
      </c>
      <c r="AC2906">
        <v>0.13500000000000001</v>
      </c>
      <c r="AK2906">
        <v>6052112</v>
      </c>
    </row>
    <row r="2907" spans="1:37" ht="19">
      <c r="A2907" s="39" t="s">
        <v>17</v>
      </c>
      <c r="B2907" s="8">
        <v>2024</v>
      </c>
      <c r="C2907" s="8" t="s">
        <v>109</v>
      </c>
      <c r="D2907" s="9" t="s">
        <v>109</v>
      </c>
      <c r="E2907" s="9" t="s">
        <v>111</v>
      </c>
      <c r="F2907" s="9" t="s">
        <v>111</v>
      </c>
      <c r="I2907" s="9" t="s">
        <v>11</v>
      </c>
      <c r="J2907" s="9" t="s">
        <v>11</v>
      </c>
      <c r="K2907" s="9" t="s">
        <v>82</v>
      </c>
      <c r="L2907" s="9" t="s">
        <v>171</v>
      </c>
      <c r="M2907" t="s">
        <v>860</v>
      </c>
      <c r="O2907" t="s">
        <v>1871</v>
      </c>
      <c r="P2907" t="s">
        <v>1876</v>
      </c>
      <c r="S2907">
        <v>298</v>
      </c>
      <c r="U2907" s="14" t="s">
        <v>77</v>
      </c>
      <c r="V2907" t="s">
        <v>1720</v>
      </c>
      <c r="X2907" s="43">
        <v>2.0499999999999998</v>
      </c>
      <c r="Y2907" s="159"/>
      <c r="AA2907" s="43"/>
      <c r="AB2907">
        <v>0.45</v>
      </c>
      <c r="AC2907">
        <v>0.14399999999999999</v>
      </c>
      <c r="AJ2907" s="13">
        <f>SUBTOTAL(9,X2907:AI2907)</f>
        <v>2.6440000000000001</v>
      </c>
      <c r="AK2907">
        <v>0</v>
      </c>
    </row>
    <row r="2908" spans="1:37" ht="19">
      <c r="A2908" s="39" t="s">
        <v>17</v>
      </c>
      <c r="B2908" s="8">
        <v>2024</v>
      </c>
      <c r="C2908" s="8" t="s">
        <v>109</v>
      </c>
      <c r="D2908" s="9" t="s">
        <v>109</v>
      </c>
      <c r="E2908" s="9" t="s">
        <v>111</v>
      </c>
      <c r="F2908" s="9" t="s">
        <v>111</v>
      </c>
      <c r="I2908" s="9" t="s">
        <v>11</v>
      </c>
      <c r="J2908" s="9" t="s">
        <v>11</v>
      </c>
      <c r="K2908" s="9" t="s">
        <v>82</v>
      </c>
      <c r="L2908" s="9" t="s">
        <v>171</v>
      </c>
      <c r="M2908" t="s">
        <v>860</v>
      </c>
      <c r="O2908" t="s">
        <v>1871</v>
      </c>
      <c r="P2908" t="s">
        <v>1877</v>
      </c>
      <c r="S2908">
        <v>455</v>
      </c>
      <c r="U2908" t="s">
        <v>1722</v>
      </c>
      <c r="V2908" t="s">
        <v>1484</v>
      </c>
      <c r="X2908" s="43">
        <v>3.1</v>
      </c>
      <c r="Y2908" s="159"/>
      <c r="AA2908" s="43"/>
      <c r="AB2908">
        <v>0.2</v>
      </c>
      <c r="AC2908">
        <v>0.2205</v>
      </c>
      <c r="AK2908">
        <v>10050040</v>
      </c>
    </row>
    <row r="2909" spans="1:37" ht="19">
      <c r="A2909" s="39" t="s">
        <v>17</v>
      </c>
      <c r="B2909" s="8">
        <v>2024</v>
      </c>
      <c r="C2909" s="8" t="s">
        <v>109</v>
      </c>
      <c r="D2909" s="9" t="s">
        <v>109</v>
      </c>
      <c r="E2909" s="9" t="s">
        <v>111</v>
      </c>
      <c r="F2909" s="9" t="s">
        <v>111</v>
      </c>
      <c r="I2909" s="9" t="s">
        <v>11</v>
      </c>
      <c r="J2909" s="9" t="s">
        <v>11</v>
      </c>
      <c r="K2909" s="9" t="s">
        <v>82</v>
      </c>
      <c r="L2909" s="9" t="s">
        <v>171</v>
      </c>
      <c r="M2909" t="s">
        <v>860</v>
      </c>
      <c r="O2909" t="s">
        <v>1871</v>
      </c>
      <c r="P2909" t="s">
        <v>1878</v>
      </c>
      <c r="S2909">
        <v>512</v>
      </c>
      <c r="U2909" s="14" t="s">
        <v>77</v>
      </c>
      <c r="V2909" t="s">
        <v>1720</v>
      </c>
      <c r="X2909" s="43">
        <v>3.5</v>
      </c>
      <c r="Y2909" s="159"/>
      <c r="AA2909" s="43"/>
      <c r="AB2909">
        <v>0.75</v>
      </c>
      <c r="AC2909">
        <v>0.2475</v>
      </c>
      <c r="AJ2909" s="13">
        <f t="shared" ref="AJ2909:AJ2913" si="262">SUBTOTAL(9,X2909:AI2909)</f>
        <v>4.4974999999999996</v>
      </c>
      <c r="AK2909">
        <v>0</v>
      </c>
    </row>
    <row r="2910" spans="1:37" ht="19">
      <c r="A2910" s="39" t="s">
        <v>17</v>
      </c>
      <c r="B2910" s="8">
        <v>2024</v>
      </c>
      <c r="C2910" s="8" t="s">
        <v>109</v>
      </c>
      <c r="D2910" s="9" t="s">
        <v>109</v>
      </c>
      <c r="E2910" s="9" t="s">
        <v>111</v>
      </c>
      <c r="F2910" s="9" t="s">
        <v>111</v>
      </c>
      <c r="I2910" s="9" t="s">
        <v>11</v>
      </c>
      <c r="J2910" s="9" t="s">
        <v>11</v>
      </c>
      <c r="K2910" s="9" t="s">
        <v>82</v>
      </c>
      <c r="L2910" s="9" t="s">
        <v>171</v>
      </c>
      <c r="M2910" t="s">
        <v>860</v>
      </c>
      <c r="O2910" t="s">
        <v>1164</v>
      </c>
      <c r="P2910" t="s">
        <v>1879</v>
      </c>
      <c r="S2910">
        <v>508</v>
      </c>
      <c r="U2910" s="14" t="s">
        <v>77</v>
      </c>
      <c r="V2910" t="s">
        <v>1720</v>
      </c>
      <c r="X2910" s="43">
        <v>3.45</v>
      </c>
      <c r="Y2910" s="159"/>
      <c r="AA2910" s="43"/>
      <c r="AB2910">
        <v>0.75</v>
      </c>
      <c r="AC2910">
        <v>0.24299999999999999</v>
      </c>
      <c r="AJ2910" s="13">
        <f t="shared" si="262"/>
        <v>4.4430000000000005</v>
      </c>
      <c r="AK2910">
        <v>0</v>
      </c>
    </row>
    <row r="2911" spans="1:37" ht="19">
      <c r="A2911" s="39" t="s">
        <v>17</v>
      </c>
      <c r="B2911" s="8">
        <v>2024</v>
      </c>
      <c r="C2911" s="8" t="s">
        <v>109</v>
      </c>
      <c r="D2911" s="9" t="s">
        <v>109</v>
      </c>
      <c r="E2911" s="9" t="s">
        <v>111</v>
      </c>
      <c r="F2911" s="9" t="s">
        <v>111</v>
      </c>
      <c r="I2911" s="9" t="s">
        <v>11</v>
      </c>
      <c r="J2911" s="9" t="s">
        <v>11</v>
      </c>
      <c r="K2911" s="9" t="s">
        <v>82</v>
      </c>
      <c r="L2911" s="9" t="s">
        <v>171</v>
      </c>
      <c r="M2911" t="s">
        <v>860</v>
      </c>
      <c r="O2911" t="s">
        <v>1164</v>
      </c>
      <c r="P2911" t="s">
        <v>1880</v>
      </c>
      <c r="S2911">
        <v>262</v>
      </c>
      <c r="U2911" s="14" t="s">
        <v>77</v>
      </c>
      <c r="V2911" t="s">
        <v>1720</v>
      </c>
      <c r="X2911" s="43">
        <v>1.8</v>
      </c>
      <c r="Y2911" s="159"/>
      <c r="AA2911" s="43"/>
      <c r="AB2911">
        <v>0.35</v>
      </c>
      <c r="AC2911">
        <v>0.1305</v>
      </c>
      <c r="AJ2911" s="13">
        <f t="shared" si="262"/>
        <v>2.2805</v>
      </c>
      <c r="AK2911">
        <v>0</v>
      </c>
    </row>
    <row r="2912" spans="1:37" ht="19">
      <c r="A2912" s="39" t="s">
        <v>17</v>
      </c>
      <c r="B2912" s="8">
        <v>2024</v>
      </c>
      <c r="C2912" s="8" t="s">
        <v>109</v>
      </c>
      <c r="D2912" s="9" t="s">
        <v>109</v>
      </c>
      <c r="E2912" s="9" t="s">
        <v>111</v>
      </c>
      <c r="F2912" s="9" t="s">
        <v>111</v>
      </c>
      <c r="I2912" s="9" t="s">
        <v>11</v>
      </c>
      <c r="J2912" s="9" t="s">
        <v>11</v>
      </c>
      <c r="K2912" s="9" t="s">
        <v>82</v>
      </c>
      <c r="L2912" s="9" t="s">
        <v>171</v>
      </c>
      <c r="M2912" t="s">
        <v>860</v>
      </c>
      <c r="O2912" t="s">
        <v>1164</v>
      </c>
      <c r="P2912" t="s">
        <v>1881</v>
      </c>
      <c r="S2912">
        <v>199</v>
      </c>
      <c r="U2912" s="14" t="s">
        <v>77</v>
      </c>
      <c r="V2912" t="s">
        <v>1720</v>
      </c>
      <c r="X2912" s="43">
        <v>1.55</v>
      </c>
      <c r="Y2912" s="159"/>
      <c r="AA2912" s="43"/>
      <c r="AB2912">
        <v>0.35</v>
      </c>
      <c r="AC2912">
        <v>0.108</v>
      </c>
      <c r="AJ2912" s="13">
        <f t="shared" si="262"/>
        <v>2.008</v>
      </c>
      <c r="AK2912">
        <v>0</v>
      </c>
    </row>
    <row r="2913" spans="1:37" ht="19">
      <c r="A2913" s="39" t="s">
        <v>17</v>
      </c>
      <c r="B2913" s="8">
        <v>2024</v>
      </c>
      <c r="C2913" s="8" t="s">
        <v>109</v>
      </c>
      <c r="D2913" s="9" t="s">
        <v>109</v>
      </c>
      <c r="E2913" s="9" t="s">
        <v>111</v>
      </c>
      <c r="F2913" s="9" t="s">
        <v>111</v>
      </c>
      <c r="I2913" s="9" t="s">
        <v>11</v>
      </c>
      <c r="J2913" s="9" t="s">
        <v>11</v>
      </c>
      <c r="K2913" s="9" t="s">
        <v>82</v>
      </c>
      <c r="L2913" s="9" t="s">
        <v>171</v>
      </c>
      <c r="M2913" t="s">
        <v>860</v>
      </c>
      <c r="O2913" t="s">
        <v>1164</v>
      </c>
      <c r="P2913" t="s">
        <v>1882</v>
      </c>
      <c r="S2913">
        <v>297</v>
      </c>
      <c r="U2913" s="14" t="s">
        <v>77</v>
      </c>
      <c r="X2913" s="43">
        <v>2.0499999999999998</v>
      </c>
      <c r="Y2913" s="159"/>
      <c r="AA2913" s="43"/>
      <c r="AB2913">
        <v>0.45</v>
      </c>
      <c r="AC2913">
        <v>0.14399999999999999</v>
      </c>
      <c r="AJ2913" s="13">
        <f t="shared" si="262"/>
        <v>2.6440000000000001</v>
      </c>
      <c r="AK2913">
        <v>0</v>
      </c>
    </row>
    <row r="2914" spans="1:37" ht="19">
      <c r="A2914" s="39" t="s">
        <v>17</v>
      </c>
      <c r="B2914" s="8">
        <v>2024</v>
      </c>
      <c r="C2914" s="8" t="s">
        <v>109</v>
      </c>
      <c r="D2914" s="9" t="s">
        <v>109</v>
      </c>
      <c r="E2914" s="9" t="s">
        <v>111</v>
      </c>
      <c r="F2914" s="9" t="s">
        <v>111</v>
      </c>
      <c r="I2914" s="9" t="s">
        <v>11</v>
      </c>
      <c r="J2914" s="9" t="s">
        <v>11</v>
      </c>
      <c r="K2914" s="9" t="s">
        <v>82</v>
      </c>
      <c r="L2914" s="9" t="s">
        <v>171</v>
      </c>
      <c r="M2914" t="s">
        <v>860</v>
      </c>
      <c r="O2914" t="s">
        <v>1061</v>
      </c>
      <c r="P2914" t="s">
        <v>1883</v>
      </c>
      <c r="S2914">
        <v>271</v>
      </c>
      <c r="U2914" t="s">
        <v>1722</v>
      </c>
      <c r="V2914" t="s">
        <v>1484</v>
      </c>
      <c r="X2914" s="43">
        <v>1.85</v>
      </c>
      <c r="Y2914" s="159"/>
      <c r="AA2914" s="43"/>
      <c r="AB2914">
        <v>0.1</v>
      </c>
      <c r="AC2914">
        <v>0.1305</v>
      </c>
      <c r="AK2914">
        <v>5985848</v>
      </c>
    </row>
    <row r="2915" spans="1:37" ht="19">
      <c r="A2915" s="39" t="s">
        <v>17</v>
      </c>
      <c r="B2915" s="8">
        <v>2024</v>
      </c>
      <c r="C2915" s="8" t="s">
        <v>109</v>
      </c>
      <c r="D2915" s="9" t="s">
        <v>109</v>
      </c>
      <c r="E2915" s="9" t="s">
        <v>111</v>
      </c>
      <c r="F2915" s="9" t="s">
        <v>111</v>
      </c>
      <c r="I2915" s="9" t="s">
        <v>11</v>
      </c>
      <c r="J2915" s="9" t="s">
        <v>11</v>
      </c>
      <c r="K2915" s="9" t="s">
        <v>82</v>
      </c>
      <c r="L2915" s="9" t="s">
        <v>171</v>
      </c>
      <c r="M2915" t="s">
        <v>860</v>
      </c>
      <c r="O2915" t="s">
        <v>1884</v>
      </c>
      <c r="P2915" t="s">
        <v>1885</v>
      </c>
      <c r="S2915">
        <v>553</v>
      </c>
      <c r="U2915" s="14" t="s">
        <v>77</v>
      </c>
      <c r="V2915" t="s">
        <v>1720</v>
      </c>
      <c r="X2915" s="43">
        <v>4.25</v>
      </c>
      <c r="Y2915" s="159"/>
      <c r="AA2915" s="43"/>
      <c r="AB2915">
        <v>0.2</v>
      </c>
      <c r="AC2915">
        <v>0.30599999999999999</v>
      </c>
      <c r="AJ2915" s="13">
        <f t="shared" ref="AJ2915:AJ2929" si="263">SUBTOTAL(9,X2915:AI2915)</f>
        <v>4.7560000000000002</v>
      </c>
      <c r="AK2915">
        <v>0</v>
      </c>
    </row>
    <row r="2916" spans="1:37" ht="19">
      <c r="A2916" s="39" t="s">
        <v>17</v>
      </c>
      <c r="B2916" s="8">
        <v>2024</v>
      </c>
      <c r="C2916" s="8" t="s">
        <v>109</v>
      </c>
      <c r="D2916" s="9" t="s">
        <v>109</v>
      </c>
      <c r="E2916" s="9" t="s">
        <v>111</v>
      </c>
      <c r="F2916" s="9" t="s">
        <v>111</v>
      </c>
      <c r="I2916" s="9" t="s">
        <v>11</v>
      </c>
      <c r="J2916" s="9" t="s">
        <v>11</v>
      </c>
      <c r="K2916" s="9" t="s">
        <v>82</v>
      </c>
      <c r="L2916" s="9" t="s">
        <v>171</v>
      </c>
      <c r="M2916" t="s">
        <v>860</v>
      </c>
      <c r="O2916" t="s">
        <v>1886</v>
      </c>
      <c r="P2916" t="s">
        <v>1887</v>
      </c>
      <c r="S2916">
        <v>314</v>
      </c>
      <c r="U2916" s="14" t="s">
        <v>77</v>
      </c>
      <c r="V2916" t="s">
        <v>1484</v>
      </c>
      <c r="X2916" s="43">
        <v>2.4</v>
      </c>
      <c r="Y2916" s="159"/>
      <c r="AA2916" s="43"/>
      <c r="AB2916">
        <v>0.15</v>
      </c>
      <c r="AC2916">
        <v>0.17100000000000001</v>
      </c>
      <c r="AJ2916" s="13">
        <f t="shared" si="263"/>
        <v>2.7209999999999996</v>
      </c>
      <c r="AK2916">
        <v>0</v>
      </c>
    </row>
    <row r="2917" spans="1:37" ht="19">
      <c r="A2917" s="39" t="s">
        <v>17</v>
      </c>
      <c r="B2917" s="8">
        <v>2024</v>
      </c>
      <c r="C2917" s="8" t="s">
        <v>109</v>
      </c>
      <c r="D2917" s="9" t="s">
        <v>109</v>
      </c>
      <c r="E2917" s="9" t="s">
        <v>111</v>
      </c>
      <c r="F2917" s="9" t="s">
        <v>111</v>
      </c>
      <c r="I2917" s="9" t="s">
        <v>11</v>
      </c>
      <c r="J2917" s="9" t="s">
        <v>11</v>
      </c>
      <c r="K2917" s="9" t="s">
        <v>82</v>
      </c>
      <c r="L2917" s="9" t="s">
        <v>171</v>
      </c>
      <c r="M2917" t="s">
        <v>1888</v>
      </c>
      <c r="O2917" t="s">
        <v>1889</v>
      </c>
      <c r="P2917" t="s">
        <v>1890</v>
      </c>
      <c r="S2917">
        <v>217</v>
      </c>
      <c r="U2917" s="14" t="s">
        <v>77</v>
      </c>
      <c r="V2917" t="s">
        <v>1720</v>
      </c>
      <c r="X2917" s="43">
        <v>1.65</v>
      </c>
      <c r="AA2917" s="43"/>
      <c r="AB2917" s="43">
        <v>0.4</v>
      </c>
      <c r="AC2917" s="43">
        <v>0.1215</v>
      </c>
      <c r="AJ2917" s="13">
        <f t="shared" si="263"/>
        <v>2.1715</v>
      </c>
      <c r="AK2917">
        <v>0</v>
      </c>
    </row>
    <row r="2918" spans="1:37" ht="19">
      <c r="A2918" s="39" t="s">
        <v>17</v>
      </c>
      <c r="B2918" s="8">
        <v>2024</v>
      </c>
      <c r="C2918" s="8" t="s">
        <v>109</v>
      </c>
      <c r="D2918" s="9" t="s">
        <v>109</v>
      </c>
      <c r="E2918" s="9" t="s">
        <v>111</v>
      </c>
      <c r="F2918" s="9" t="s">
        <v>111</v>
      </c>
      <c r="I2918" s="9" t="s">
        <v>11</v>
      </c>
      <c r="J2918" s="9" t="s">
        <v>11</v>
      </c>
      <c r="K2918" s="9" t="s">
        <v>82</v>
      </c>
      <c r="L2918" s="9" t="s">
        <v>171</v>
      </c>
      <c r="M2918" t="s">
        <v>1888</v>
      </c>
      <c r="O2918" t="s">
        <v>1889</v>
      </c>
      <c r="P2918" t="s">
        <v>1891</v>
      </c>
      <c r="S2918">
        <v>511</v>
      </c>
      <c r="U2918" s="14" t="s">
        <v>77</v>
      </c>
      <c r="V2918" t="s">
        <v>1720</v>
      </c>
      <c r="X2918" s="43">
        <v>1.7</v>
      </c>
      <c r="AA2918" s="43"/>
      <c r="AB2918" s="43">
        <v>0.35</v>
      </c>
      <c r="AC2918" s="43">
        <v>0.11700000000000001</v>
      </c>
      <c r="AJ2918" s="13">
        <f t="shared" si="263"/>
        <v>2.1669999999999998</v>
      </c>
      <c r="AK2918">
        <v>0</v>
      </c>
    </row>
    <row r="2919" spans="1:37" ht="19">
      <c r="A2919" s="39" t="s">
        <v>17</v>
      </c>
      <c r="B2919" s="8">
        <v>2024</v>
      </c>
      <c r="C2919" s="8" t="s">
        <v>109</v>
      </c>
      <c r="D2919" s="9" t="s">
        <v>109</v>
      </c>
      <c r="E2919" s="9" t="s">
        <v>111</v>
      </c>
      <c r="F2919" s="9" t="s">
        <v>111</v>
      </c>
      <c r="I2919" s="9" t="s">
        <v>11</v>
      </c>
      <c r="J2919" s="9" t="s">
        <v>11</v>
      </c>
      <c r="K2919" s="9" t="s">
        <v>82</v>
      </c>
      <c r="L2919" s="9" t="s">
        <v>171</v>
      </c>
      <c r="M2919" t="s">
        <v>1888</v>
      </c>
      <c r="O2919" t="s">
        <v>1889</v>
      </c>
      <c r="P2919" t="s">
        <v>1892</v>
      </c>
      <c r="S2919">
        <v>363</v>
      </c>
      <c r="U2919" s="14" t="s">
        <v>77</v>
      </c>
      <c r="V2919" t="s">
        <v>1720</v>
      </c>
      <c r="X2919" s="43">
        <v>1.75</v>
      </c>
      <c r="AA2919" s="43"/>
      <c r="AB2919" s="43">
        <v>0.4</v>
      </c>
      <c r="AC2919" s="43">
        <v>0.126</v>
      </c>
      <c r="AJ2919" s="13">
        <f t="shared" si="263"/>
        <v>2.2759999999999998</v>
      </c>
      <c r="AK2919">
        <v>0</v>
      </c>
    </row>
    <row r="2920" spans="1:37" ht="19">
      <c r="A2920" s="39" t="s">
        <v>17</v>
      </c>
      <c r="B2920" s="8">
        <v>2024</v>
      </c>
      <c r="C2920" s="8" t="s">
        <v>109</v>
      </c>
      <c r="D2920" s="9" t="s">
        <v>109</v>
      </c>
      <c r="E2920" s="9" t="s">
        <v>111</v>
      </c>
      <c r="F2920" s="9" t="s">
        <v>111</v>
      </c>
      <c r="I2920" s="9" t="s">
        <v>11</v>
      </c>
      <c r="J2920" s="9" t="s">
        <v>11</v>
      </c>
      <c r="K2920" s="9" t="s">
        <v>82</v>
      </c>
      <c r="L2920" s="9" t="s">
        <v>171</v>
      </c>
      <c r="M2920" t="s">
        <v>1888</v>
      </c>
      <c r="O2920" t="s">
        <v>1889</v>
      </c>
      <c r="P2920" t="s">
        <v>1889</v>
      </c>
      <c r="S2920">
        <v>451</v>
      </c>
      <c r="U2920" s="14" t="s">
        <v>77</v>
      </c>
      <c r="V2920" t="s">
        <v>1720</v>
      </c>
      <c r="X2920" s="43">
        <v>1.45</v>
      </c>
      <c r="AA2920" s="43"/>
      <c r="AB2920" s="43">
        <v>0.3</v>
      </c>
      <c r="AC2920" s="43">
        <v>0.10349999999999999</v>
      </c>
      <c r="AJ2920" s="13">
        <f t="shared" si="263"/>
        <v>1.8534999999999999</v>
      </c>
      <c r="AK2920">
        <v>0</v>
      </c>
    </row>
    <row r="2921" spans="1:37" ht="19">
      <c r="A2921" s="39" t="s">
        <v>17</v>
      </c>
      <c r="B2921" s="8">
        <v>2024</v>
      </c>
      <c r="C2921" s="8" t="s">
        <v>109</v>
      </c>
      <c r="D2921" s="9" t="s">
        <v>109</v>
      </c>
      <c r="E2921" s="9" t="s">
        <v>111</v>
      </c>
      <c r="F2921" s="9" t="s">
        <v>111</v>
      </c>
      <c r="I2921" s="9" t="s">
        <v>11</v>
      </c>
      <c r="J2921" s="9" t="s">
        <v>11</v>
      </c>
      <c r="K2921" s="9" t="s">
        <v>82</v>
      </c>
      <c r="L2921" s="9" t="s">
        <v>171</v>
      </c>
      <c r="M2921" t="s">
        <v>1888</v>
      </c>
      <c r="O2921" t="s">
        <v>1889</v>
      </c>
      <c r="P2921" t="s">
        <v>1893</v>
      </c>
      <c r="S2921">
        <v>403</v>
      </c>
      <c r="U2921" s="14" t="s">
        <v>77</v>
      </c>
      <c r="V2921" t="s">
        <v>1720</v>
      </c>
      <c r="X2921" s="43">
        <v>1.3</v>
      </c>
      <c r="AA2921" s="43"/>
      <c r="AB2921" s="43">
        <v>0.3</v>
      </c>
      <c r="AC2921" s="43">
        <v>9.4500000000000001E-2</v>
      </c>
      <c r="AJ2921" s="13">
        <f t="shared" si="263"/>
        <v>1.6945000000000001</v>
      </c>
      <c r="AK2921">
        <v>0</v>
      </c>
    </row>
    <row r="2922" spans="1:37" ht="19">
      <c r="A2922" s="39" t="s">
        <v>17</v>
      </c>
      <c r="B2922" s="8">
        <v>2024</v>
      </c>
      <c r="C2922" s="8" t="s">
        <v>109</v>
      </c>
      <c r="D2922" s="9" t="s">
        <v>109</v>
      </c>
      <c r="E2922" s="9" t="s">
        <v>111</v>
      </c>
      <c r="F2922" s="9" t="s">
        <v>111</v>
      </c>
      <c r="I2922" s="9" t="s">
        <v>11</v>
      </c>
      <c r="J2922" s="9" t="s">
        <v>11</v>
      </c>
      <c r="K2922" s="9" t="s">
        <v>82</v>
      </c>
      <c r="L2922" s="9" t="s">
        <v>171</v>
      </c>
      <c r="M2922" t="s">
        <v>1888</v>
      </c>
      <c r="O2922" t="s">
        <v>1889</v>
      </c>
      <c r="P2922" t="s">
        <v>1894</v>
      </c>
      <c r="S2922">
        <v>350</v>
      </c>
      <c r="U2922" s="14" t="s">
        <v>77</v>
      </c>
      <c r="V2922" t="s">
        <v>1720</v>
      </c>
      <c r="X2922" s="43">
        <v>2.7</v>
      </c>
      <c r="AA2922" s="43"/>
      <c r="AB2922" s="43">
        <v>0.6</v>
      </c>
      <c r="AC2922" s="43">
        <v>0.19350000000000001</v>
      </c>
      <c r="AJ2922" s="13">
        <f t="shared" si="263"/>
        <v>3.4935</v>
      </c>
      <c r="AK2922">
        <v>0</v>
      </c>
    </row>
    <row r="2923" spans="1:37" ht="19">
      <c r="A2923" s="39" t="s">
        <v>17</v>
      </c>
      <c r="B2923" s="8">
        <v>2024</v>
      </c>
      <c r="C2923" s="8" t="s">
        <v>109</v>
      </c>
      <c r="D2923" s="9" t="s">
        <v>109</v>
      </c>
      <c r="E2923" s="9" t="s">
        <v>111</v>
      </c>
      <c r="F2923" s="9" t="s">
        <v>111</v>
      </c>
      <c r="I2923" s="9" t="s">
        <v>11</v>
      </c>
      <c r="J2923" s="9" t="s">
        <v>11</v>
      </c>
      <c r="K2923" s="9" t="s">
        <v>82</v>
      </c>
      <c r="L2923" s="9" t="s">
        <v>171</v>
      </c>
      <c r="M2923" t="s">
        <v>1888</v>
      </c>
      <c r="O2923" t="s">
        <v>1889</v>
      </c>
      <c r="P2923" t="s">
        <v>1895</v>
      </c>
      <c r="S2923">
        <v>245</v>
      </c>
      <c r="U2923" s="14" t="s">
        <v>77</v>
      </c>
      <c r="V2923" t="s">
        <v>1720</v>
      </c>
      <c r="X2923" s="43">
        <v>1.9</v>
      </c>
      <c r="AA2923" s="43"/>
      <c r="AB2923" s="43">
        <v>0.45</v>
      </c>
      <c r="AC2923" s="43">
        <v>0.13500000000000001</v>
      </c>
      <c r="AJ2923" s="13">
        <f t="shared" si="263"/>
        <v>2.4850000000000003</v>
      </c>
      <c r="AK2923">
        <v>0</v>
      </c>
    </row>
    <row r="2924" spans="1:37" ht="19">
      <c r="A2924" s="39" t="s">
        <v>17</v>
      </c>
      <c r="B2924" s="8">
        <v>2024</v>
      </c>
      <c r="C2924" s="8" t="s">
        <v>109</v>
      </c>
      <c r="D2924" s="9" t="s">
        <v>109</v>
      </c>
      <c r="E2924" s="9" t="s">
        <v>111</v>
      </c>
      <c r="F2924" s="9" t="s">
        <v>111</v>
      </c>
      <c r="I2924" s="9" t="s">
        <v>11</v>
      </c>
      <c r="J2924" s="9" t="s">
        <v>11</v>
      </c>
      <c r="K2924" s="9" t="s">
        <v>82</v>
      </c>
      <c r="L2924" s="9" t="s">
        <v>171</v>
      </c>
      <c r="M2924" t="s">
        <v>1888</v>
      </c>
      <c r="O2924" t="s">
        <v>1889</v>
      </c>
      <c r="P2924" t="s">
        <v>1896</v>
      </c>
      <c r="S2924">
        <v>316</v>
      </c>
      <c r="U2924" s="14" t="s">
        <v>77</v>
      </c>
      <c r="V2924" t="s">
        <v>1720</v>
      </c>
      <c r="X2924" s="43">
        <v>2.0499999999999998</v>
      </c>
      <c r="AA2924" s="43"/>
      <c r="AB2924" s="43">
        <v>0.4</v>
      </c>
      <c r="AC2924" s="43">
        <v>0.14849999999999999</v>
      </c>
      <c r="AJ2924" s="13">
        <f t="shared" si="263"/>
        <v>2.5984999999999996</v>
      </c>
      <c r="AK2924">
        <v>0</v>
      </c>
    </row>
    <row r="2925" spans="1:37" ht="19">
      <c r="A2925" s="39" t="s">
        <v>17</v>
      </c>
      <c r="B2925" s="8">
        <v>2024</v>
      </c>
      <c r="C2925" s="8" t="s">
        <v>109</v>
      </c>
      <c r="D2925" s="9" t="s">
        <v>109</v>
      </c>
      <c r="E2925" s="9" t="s">
        <v>111</v>
      </c>
      <c r="F2925" s="9" t="s">
        <v>111</v>
      </c>
      <c r="I2925" s="9" t="s">
        <v>11</v>
      </c>
      <c r="J2925" s="9" t="s">
        <v>11</v>
      </c>
      <c r="K2925" s="9" t="s">
        <v>82</v>
      </c>
      <c r="L2925" s="9" t="s">
        <v>171</v>
      </c>
      <c r="M2925" t="s">
        <v>1888</v>
      </c>
      <c r="O2925" t="s">
        <v>1602</v>
      </c>
      <c r="P2925" t="s">
        <v>1897</v>
      </c>
      <c r="S2925">
        <v>253</v>
      </c>
      <c r="U2925" s="14" t="s">
        <v>77</v>
      </c>
      <c r="V2925" t="s">
        <v>1720</v>
      </c>
      <c r="X2925" s="43">
        <v>0.9</v>
      </c>
      <c r="AA2925" s="43"/>
      <c r="AB2925" s="43">
        <v>0.2</v>
      </c>
      <c r="AC2925" s="43">
        <v>6.3E-2</v>
      </c>
      <c r="AJ2925" s="13">
        <f t="shared" si="263"/>
        <v>1.163</v>
      </c>
      <c r="AK2925">
        <v>0</v>
      </c>
    </row>
    <row r="2926" spans="1:37" ht="19">
      <c r="A2926" s="39" t="s">
        <v>17</v>
      </c>
      <c r="B2926" s="8">
        <v>2024</v>
      </c>
      <c r="C2926" s="8" t="s">
        <v>109</v>
      </c>
      <c r="D2926" s="9" t="s">
        <v>109</v>
      </c>
      <c r="E2926" s="9" t="s">
        <v>111</v>
      </c>
      <c r="F2926" s="9" t="s">
        <v>111</v>
      </c>
      <c r="I2926" s="9" t="s">
        <v>11</v>
      </c>
      <c r="J2926" s="9" t="s">
        <v>11</v>
      </c>
      <c r="K2926" s="9" t="s">
        <v>82</v>
      </c>
      <c r="L2926" s="9" t="s">
        <v>171</v>
      </c>
      <c r="M2926" t="s">
        <v>1888</v>
      </c>
      <c r="O2926" t="s">
        <v>1602</v>
      </c>
      <c r="P2926" t="s">
        <v>1898</v>
      </c>
      <c r="S2926">
        <v>314</v>
      </c>
      <c r="U2926" s="14" t="s">
        <v>77</v>
      </c>
      <c r="V2926" t="s">
        <v>1720</v>
      </c>
      <c r="X2926" s="43">
        <v>1.7</v>
      </c>
      <c r="AA2926" s="43"/>
      <c r="AB2926" s="43">
        <v>0.35</v>
      </c>
      <c r="AC2926" s="43">
        <v>0.1215</v>
      </c>
      <c r="AJ2926" s="13">
        <f t="shared" si="263"/>
        <v>2.1715</v>
      </c>
      <c r="AK2926">
        <v>0</v>
      </c>
    </row>
    <row r="2927" spans="1:37" ht="19">
      <c r="A2927" s="39" t="s">
        <v>17</v>
      </c>
      <c r="B2927" s="8">
        <v>2024</v>
      </c>
      <c r="C2927" s="8" t="s">
        <v>109</v>
      </c>
      <c r="D2927" s="9" t="s">
        <v>109</v>
      </c>
      <c r="E2927" s="9" t="s">
        <v>111</v>
      </c>
      <c r="F2927" s="9" t="s">
        <v>111</v>
      </c>
      <c r="I2927" s="9" t="s">
        <v>11</v>
      </c>
      <c r="J2927" s="9" t="s">
        <v>11</v>
      </c>
      <c r="K2927" s="9" t="s">
        <v>82</v>
      </c>
      <c r="L2927" s="9" t="s">
        <v>171</v>
      </c>
      <c r="M2927" t="s">
        <v>1888</v>
      </c>
      <c r="O2927" t="s">
        <v>1602</v>
      </c>
      <c r="P2927" t="s">
        <v>1899</v>
      </c>
      <c r="S2927">
        <v>236</v>
      </c>
      <c r="U2927" s="14" t="s">
        <v>77</v>
      </c>
      <c r="V2927" t="s">
        <v>1720</v>
      </c>
      <c r="X2927" s="43">
        <v>1.65</v>
      </c>
      <c r="AA2927" s="43"/>
      <c r="AB2927" s="43">
        <v>0.35</v>
      </c>
      <c r="AC2927" s="43">
        <v>0.1215</v>
      </c>
      <c r="AJ2927" s="13">
        <f t="shared" si="263"/>
        <v>2.1215000000000002</v>
      </c>
      <c r="AK2927">
        <v>0</v>
      </c>
    </row>
    <row r="2928" spans="1:37" ht="19">
      <c r="A2928" s="39" t="s">
        <v>17</v>
      </c>
      <c r="B2928" s="8">
        <v>2024</v>
      </c>
      <c r="C2928" s="8" t="s">
        <v>109</v>
      </c>
      <c r="D2928" s="9" t="s">
        <v>109</v>
      </c>
      <c r="E2928" s="9" t="s">
        <v>111</v>
      </c>
      <c r="F2928" s="9" t="s">
        <v>111</v>
      </c>
      <c r="I2928" s="9" t="s">
        <v>11</v>
      </c>
      <c r="J2928" s="9" t="s">
        <v>11</v>
      </c>
      <c r="K2928" s="9" t="s">
        <v>82</v>
      </c>
      <c r="L2928" s="9" t="s">
        <v>171</v>
      </c>
      <c r="M2928" t="s">
        <v>1888</v>
      </c>
      <c r="O2928" t="s">
        <v>1602</v>
      </c>
      <c r="P2928" t="s">
        <v>1900</v>
      </c>
      <c r="S2928">
        <v>256</v>
      </c>
      <c r="U2928" s="14" t="s">
        <v>77</v>
      </c>
      <c r="V2928" t="s">
        <v>1720</v>
      </c>
      <c r="X2928" s="43">
        <v>1.45</v>
      </c>
      <c r="AA2928" s="43"/>
      <c r="AB2928" s="43">
        <v>0.3</v>
      </c>
      <c r="AC2928" s="43">
        <v>9.9000000000000005E-2</v>
      </c>
      <c r="AJ2928" s="13">
        <f t="shared" si="263"/>
        <v>1.849</v>
      </c>
      <c r="AK2928">
        <v>0</v>
      </c>
    </row>
    <row r="2929" spans="1:37" ht="19">
      <c r="A2929" s="39" t="s">
        <v>17</v>
      </c>
      <c r="B2929" s="8">
        <v>2024</v>
      </c>
      <c r="C2929" s="8" t="s">
        <v>109</v>
      </c>
      <c r="D2929" s="9" t="s">
        <v>109</v>
      </c>
      <c r="E2929" s="9" t="s">
        <v>111</v>
      </c>
      <c r="F2929" s="9" t="s">
        <v>111</v>
      </c>
      <c r="I2929" s="9" t="s">
        <v>11</v>
      </c>
      <c r="J2929" s="9" t="s">
        <v>11</v>
      </c>
      <c r="K2929" s="9" t="s">
        <v>82</v>
      </c>
      <c r="L2929" s="9" t="s">
        <v>171</v>
      </c>
      <c r="M2929" t="s">
        <v>1888</v>
      </c>
      <c r="O2929" t="s">
        <v>1602</v>
      </c>
      <c r="P2929" t="s">
        <v>1901</v>
      </c>
      <c r="S2929">
        <v>259</v>
      </c>
      <c r="U2929" s="14" t="s">
        <v>77</v>
      </c>
      <c r="V2929" t="s">
        <v>1720</v>
      </c>
      <c r="X2929" s="43">
        <v>1.4</v>
      </c>
      <c r="AA2929" s="43"/>
      <c r="AB2929" s="43">
        <v>0.35</v>
      </c>
      <c r="AC2929" s="43">
        <v>0.10349999999999999</v>
      </c>
      <c r="AJ2929" s="13">
        <f t="shared" si="263"/>
        <v>1.8534999999999999</v>
      </c>
      <c r="AK2929">
        <v>0</v>
      </c>
    </row>
    <row r="2930" spans="1:37" ht="19">
      <c r="A2930" s="39" t="s">
        <v>17</v>
      </c>
      <c r="B2930" s="8">
        <v>2024</v>
      </c>
      <c r="C2930" s="8" t="s">
        <v>109</v>
      </c>
      <c r="D2930" s="9" t="s">
        <v>109</v>
      </c>
      <c r="E2930" s="9" t="s">
        <v>111</v>
      </c>
      <c r="F2930" s="9" t="s">
        <v>111</v>
      </c>
      <c r="I2930" s="9" t="s">
        <v>11</v>
      </c>
      <c r="J2930" s="9" t="s">
        <v>11</v>
      </c>
      <c r="K2930" s="9" t="s">
        <v>82</v>
      </c>
      <c r="L2930" s="9" t="s">
        <v>171</v>
      </c>
      <c r="M2930" t="s">
        <v>1888</v>
      </c>
      <c r="O2930" t="s">
        <v>1902</v>
      </c>
      <c r="P2930" t="s">
        <v>1903</v>
      </c>
      <c r="S2930">
        <v>268</v>
      </c>
      <c r="U2930" t="s">
        <v>112</v>
      </c>
      <c r="V2930" t="s">
        <v>1484</v>
      </c>
      <c r="X2930" s="43">
        <v>2.0499999999999998</v>
      </c>
      <c r="AA2930" s="43"/>
      <c r="AB2930" s="43">
        <v>0.1</v>
      </c>
      <c r="AC2930" s="43">
        <v>0.14849999999999999</v>
      </c>
      <c r="AK2930">
        <v>5919584</v>
      </c>
    </row>
    <row r="2931" spans="1:37" ht="19">
      <c r="A2931" s="39" t="s">
        <v>17</v>
      </c>
      <c r="B2931" s="8">
        <v>2024</v>
      </c>
      <c r="C2931" s="8" t="s">
        <v>109</v>
      </c>
      <c r="D2931" s="9" t="s">
        <v>109</v>
      </c>
      <c r="E2931" s="9" t="s">
        <v>111</v>
      </c>
      <c r="F2931" s="9" t="s">
        <v>111</v>
      </c>
      <c r="I2931" s="9" t="s">
        <v>11</v>
      </c>
      <c r="J2931" s="9" t="s">
        <v>11</v>
      </c>
      <c r="K2931" s="9" t="s">
        <v>82</v>
      </c>
      <c r="L2931" s="9" t="s">
        <v>171</v>
      </c>
      <c r="M2931" t="s">
        <v>1888</v>
      </c>
      <c r="O2931" t="s">
        <v>1902</v>
      </c>
      <c r="P2931" t="s">
        <v>1904</v>
      </c>
      <c r="S2931">
        <v>197</v>
      </c>
      <c r="U2931" s="14" t="s">
        <v>77</v>
      </c>
      <c r="V2931" t="s">
        <v>1720</v>
      </c>
      <c r="X2931" s="43">
        <v>1.5</v>
      </c>
      <c r="AA2931" s="43"/>
      <c r="AB2931" s="43">
        <v>0.35</v>
      </c>
      <c r="AC2931" s="43">
        <v>0.108</v>
      </c>
      <c r="AJ2931" s="13">
        <f t="shared" ref="AJ2931:AJ2939" si="264">SUBTOTAL(9,X2931:AI2931)</f>
        <v>1.9580000000000002</v>
      </c>
      <c r="AK2931">
        <v>0</v>
      </c>
    </row>
    <row r="2932" spans="1:37" ht="19">
      <c r="A2932" s="39" t="s">
        <v>17</v>
      </c>
      <c r="B2932" s="8">
        <v>2024</v>
      </c>
      <c r="C2932" s="8" t="s">
        <v>109</v>
      </c>
      <c r="D2932" s="9" t="s">
        <v>109</v>
      </c>
      <c r="E2932" s="9" t="s">
        <v>111</v>
      </c>
      <c r="F2932" s="9" t="s">
        <v>111</v>
      </c>
      <c r="I2932" s="9" t="s">
        <v>11</v>
      </c>
      <c r="J2932" s="9" t="s">
        <v>11</v>
      </c>
      <c r="K2932" s="9" t="s">
        <v>82</v>
      </c>
      <c r="L2932" s="9" t="s">
        <v>171</v>
      </c>
      <c r="M2932" t="s">
        <v>1888</v>
      </c>
      <c r="O2932" t="s">
        <v>1902</v>
      </c>
      <c r="P2932" t="s">
        <v>1905</v>
      </c>
      <c r="S2932">
        <v>230</v>
      </c>
      <c r="U2932" s="14" t="s">
        <v>77</v>
      </c>
      <c r="V2932" t="s">
        <v>1720</v>
      </c>
      <c r="X2932" s="43">
        <v>1.75</v>
      </c>
      <c r="AA2932" s="43"/>
      <c r="AB2932" s="43">
        <v>0.4</v>
      </c>
      <c r="AC2932" s="43">
        <v>0.126</v>
      </c>
      <c r="AJ2932" s="13">
        <f t="shared" si="264"/>
        <v>2.2759999999999998</v>
      </c>
      <c r="AK2932">
        <v>0</v>
      </c>
    </row>
    <row r="2933" spans="1:37" ht="19">
      <c r="A2933" s="39" t="s">
        <v>17</v>
      </c>
      <c r="B2933" s="8">
        <v>2024</v>
      </c>
      <c r="C2933" s="8" t="s">
        <v>109</v>
      </c>
      <c r="D2933" s="9" t="s">
        <v>109</v>
      </c>
      <c r="E2933" s="9" t="s">
        <v>111</v>
      </c>
      <c r="F2933" s="9" t="s">
        <v>111</v>
      </c>
      <c r="I2933" s="9" t="s">
        <v>11</v>
      </c>
      <c r="J2933" s="9" t="s">
        <v>11</v>
      </c>
      <c r="K2933" s="9" t="s">
        <v>82</v>
      </c>
      <c r="L2933" s="9" t="s">
        <v>171</v>
      </c>
      <c r="M2933" t="s">
        <v>1888</v>
      </c>
      <c r="O2933" t="s">
        <v>1902</v>
      </c>
      <c r="P2933" t="s">
        <v>1906</v>
      </c>
      <c r="S2933">
        <v>319</v>
      </c>
      <c r="U2933" s="14" t="s">
        <v>77</v>
      </c>
      <c r="V2933" t="s">
        <v>1720</v>
      </c>
      <c r="X2933" s="43">
        <v>2.4500000000000002</v>
      </c>
      <c r="AA2933" s="43"/>
      <c r="AB2933" s="43">
        <v>0.55000000000000004</v>
      </c>
      <c r="AC2933" s="43">
        <v>0.17549999999999999</v>
      </c>
      <c r="AJ2933" s="13">
        <f t="shared" si="264"/>
        <v>3.1755</v>
      </c>
      <c r="AK2933">
        <v>0</v>
      </c>
    </row>
    <row r="2934" spans="1:37" ht="19">
      <c r="A2934" s="39" t="s">
        <v>17</v>
      </c>
      <c r="B2934" s="8">
        <v>2024</v>
      </c>
      <c r="C2934" s="8" t="s">
        <v>109</v>
      </c>
      <c r="D2934" s="9" t="s">
        <v>109</v>
      </c>
      <c r="E2934" s="9" t="s">
        <v>111</v>
      </c>
      <c r="F2934" s="9" t="s">
        <v>111</v>
      </c>
      <c r="I2934" s="9" t="s">
        <v>11</v>
      </c>
      <c r="J2934" s="9" t="s">
        <v>11</v>
      </c>
      <c r="K2934" s="9" t="s">
        <v>82</v>
      </c>
      <c r="L2934" s="9" t="s">
        <v>171</v>
      </c>
      <c r="M2934" t="s">
        <v>1888</v>
      </c>
      <c r="O2934" t="s">
        <v>1902</v>
      </c>
      <c r="P2934" t="s">
        <v>1907</v>
      </c>
      <c r="S2934">
        <v>360</v>
      </c>
      <c r="U2934" s="14" t="s">
        <v>77</v>
      </c>
      <c r="V2934" t="s">
        <v>1720</v>
      </c>
      <c r="X2934" s="43">
        <v>2.75</v>
      </c>
      <c r="AA2934" s="43"/>
      <c r="AB2934" s="43">
        <v>0.6</v>
      </c>
      <c r="AC2934" s="43">
        <v>0.19800000000000001</v>
      </c>
      <c r="AJ2934" s="13">
        <f t="shared" si="264"/>
        <v>3.548</v>
      </c>
      <c r="AK2934">
        <v>0</v>
      </c>
    </row>
    <row r="2935" spans="1:37" ht="19">
      <c r="A2935" s="39" t="s">
        <v>17</v>
      </c>
      <c r="B2935" s="8">
        <v>2024</v>
      </c>
      <c r="C2935" s="8" t="s">
        <v>109</v>
      </c>
      <c r="D2935" s="9" t="s">
        <v>109</v>
      </c>
      <c r="E2935" s="9" t="s">
        <v>111</v>
      </c>
      <c r="F2935" s="9" t="s">
        <v>111</v>
      </c>
      <c r="I2935" s="9" t="s">
        <v>11</v>
      </c>
      <c r="J2935" s="9" t="s">
        <v>11</v>
      </c>
      <c r="K2935" s="9" t="s">
        <v>82</v>
      </c>
      <c r="L2935" s="9" t="s">
        <v>171</v>
      </c>
      <c r="M2935" t="s">
        <v>1888</v>
      </c>
      <c r="O2935" t="s">
        <v>1908</v>
      </c>
      <c r="P2935" t="s">
        <v>1909</v>
      </c>
      <c r="S2935">
        <v>293</v>
      </c>
      <c r="U2935" s="14" t="s">
        <v>77</v>
      </c>
      <c r="V2935" t="s">
        <v>1720</v>
      </c>
      <c r="X2935" s="43">
        <v>1.35</v>
      </c>
      <c r="AA2935" s="43"/>
      <c r="AB2935" s="43">
        <v>0.3</v>
      </c>
      <c r="AC2935" s="43">
        <v>9.9000000000000005E-2</v>
      </c>
      <c r="AJ2935" s="13">
        <f t="shared" si="264"/>
        <v>1.7490000000000001</v>
      </c>
      <c r="AK2935">
        <v>0</v>
      </c>
    </row>
    <row r="2936" spans="1:37" ht="19">
      <c r="A2936" s="39" t="s">
        <v>17</v>
      </c>
      <c r="B2936" s="8">
        <v>2024</v>
      </c>
      <c r="C2936" s="8" t="s">
        <v>109</v>
      </c>
      <c r="D2936" s="9" t="s">
        <v>109</v>
      </c>
      <c r="E2936" s="9" t="s">
        <v>111</v>
      </c>
      <c r="F2936" s="9" t="s">
        <v>111</v>
      </c>
      <c r="I2936" s="9" t="s">
        <v>11</v>
      </c>
      <c r="J2936" s="9" t="s">
        <v>11</v>
      </c>
      <c r="K2936" s="9" t="s">
        <v>82</v>
      </c>
      <c r="L2936" s="9" t="s">
        <v>171</v>
      </c>
      <c r="M2936" t="s">
        <v>1888</v>
      </c>
      <c r="O2936" t="s">
        <v>1908</v>
      </c>
      <c r="P2936" t="s">
        <v>1910</v>
      </c>
      <c r="S2936">
        <v>197</v>
      </c>
      <c r="U2936" s="14" t="s">
        <v>77</v>
      </c>
      <c r="V2936" t="s">
        <v>1720</v>
      </c>
      <c r="X2936" s="43">
        <v>0.7</v>
      </c>
      <c r="AA2936" s="43"/>
      <c r="AB2936" s="43">
        <v>0.15</v>
      </c>
      <c r="AC2936" s="43">
        <v>4.9500000000000002E-2</v>
      </c>
      <c r="AJ2936" s="13">
        <f t="shared" si="264"/>
        <v>0.89949999999999997</v>
      </c>
      <c r="AK2936">
        <v>0</v>
      </c>
    </row>
    <row r="2937" spans="1:37" ht="19">
      <c r="A2937" s="39" t="s">
        <v>17</v>
      </c>
      <c r="B2937" s="8">
        <v>2024</v>
      </c>
      <c r="C2937" s="8" t="s">
        <v>109</v>
      </c>
      <c r="D2937" s="9" t="s">
        <v>109</v>
      </c>
      <c r="E2937" s="9" t="s">
        <v>111</v>
      </c>
      <c r="F2937" s="9" t="s">
        <v>111</v>
      </c>
      <c r="I2937" s="9" t="s">
        <v>11</v>
      </c>
      <c r="J2937" s="9" t="s">
        <v>11</v>
      </c>
      <c r="K2937" s="9" t="s">
        <v>82</v>
      </c>
      <c r="L2937" s="9" t="s">
        <v>171</v>
      </c>
      <c r="M2937" t="s">
        <v>1888</v>
      </c>
      <c r="O2937" t="s">
        <v>1908</v>
      </c>
      <c r="P2937" t="s">
        <v>1911</v>
      </c>
      <c r="S2937">
        <v>200</v>
      </c>
      <c r="U2937" s="14" t="s">
        <v>77</v>
      </c>
      <c r="V2937" t="s">
        <v>1720</v>
      </c>
      <c r="X2937" s="43">
        <v>0.7</v>
      </c>
      <c r="AA2937" s="43"/>
      <c r="AB2937" s="43">
        <v>0.15</v>
      </c>
      <c r="AC2937" s="43">
        <v>4.9500000000000002E-2</v>
      </c>
      <c r="AJ2937" s="13">
        <f t="shared" si="264"/>
        <v>0.89949999999999997</v>
      </c>
      <c r="AK2937">
        <v>0</v>
      </c>
    </row>
    <row r="2938" spans="1:37" ht="19">
      <c r="A2938" s="39" t="s">
        <v>17</v>
      </c>
      <c r="B2938" s="8">
        <v>2024</v>
      </c>
      <c r="C2938" s="8" t="s">
        <v>109</v>
      </c>
      <c r="D2938" s="9" t="s">
        <v>109</v>
      </c>
      <c r="E2938" s="9" t="s">
        <v>111</v>
      </c>
      <c r="F2938" s="9" t="s">
        <v>111</v>
      </c>
      <c r="I2938" s="9" t="s">
        <v>11</v>
      </c>
      <c r="J2938" s="9" t="s">
        <v>11</v>
      </c>
      <c r="K2938" s="9" t="s">
        <v>82</v>
      </c>
      <c r="L2938" s="9" t="s">
        <v>171</v>
      </c>
      <c r="M2938" t="s">
        <v>1888</v>
      </c>
      <c r="O2938" t="s">
        <v>1908</v>
      </c>
      <c r="P2938" t="s">
        <v>1912</v>
      </c>
      <c r="S2938">
        <v>249</v>
      </c>
      <c r="U2938" s="14" t="s">
        <v>77</v>
      </c>
      <c r="V2938" t="s">
        <v>1720</v>
      </c>
      <c r="X2938" s="43">
        <v>0.85</v>
      </c>
      <c r="AA2938" s="43"/>
      <c r="AB2938" s="43">
        <v>0.2</v>
      </c>
      <c r="AC2938" s="43">
        <v>6.3E-2</v>
      </c>
      <c r="AJ2938" s="13">
        <f t="shared" si="264"/>
        <v>1.113</v>
      </c>
      <c r="AK2938">
        <v>0</v>
      </c>
    </row>
    <row r="2939" spans="1:37" ht="19">
      <c r="A2939" s="39" t="s">
        <v>17</v>
      </c>
      <c r="B2939" s="8">
        <v>2024</v>
      </c>
      <c r="C2939" s="8" t="s">
        <v>109</v>
      </c>
      <c r="D2939" s="9" t="s">
        <v>109</v>
      </c>
      <c r="E2939" s="9" t="s">
        <v>111</v>
      </c>
      <c r="F2939" s="9" t="s">
        <v>111</v>
      </c>
      <c r="I2939" s="9" t="s">
        <v>11</v>
      </c>
      <c r="J2939" s="9" t="s">
        <v>11</v>
      </c>
      <c r="K2939" s="9" t="s">
        <v>82</v>
      </c>
      <c r="L2939" s="9" t="s">
        <v>171</v>
      </c>
      <c r="M2939" t="s">
        <v>1888</v>
      </c>
      <c r="O2939" t="s">
        <v>1908</v>
      </c>
      <c r="P2939" t="s">
        <v>1913</v>
      </c>
      <c r="S2939">
        <v>253</v>
      </c>
      <c r="U2939" s="14" t="s">
        <v>77</v>
      </c>
      <c r="V2939" t="s">
        <v>1720</v>
      </c>
      <c r="X2939" s="43">
        <v>1.45</v>
      </c>
      <c r="AA2939" s="43"/>
      <c r="AB2939" s="43">
        <v>0.3</v>
      </c>
      <c r="AC2939" s="43">
        <v>0.108</v>
      </c>
      <c r="AJ2939" s="13">
        <f t="shared" si="264"/>
        <v>1.8580000000000001</v>
      </c>
      <c r="AK2939">
        <v>0</v>
      </c>
    </row>
    <row r="2940" spans="1:37" ht="19">
      <c r="A2940" s="39" t="s">
        <v>17</v>
      </c>
      <c r="B2940" s="8">
        <v>2024</v>
      </c>
      <c r="C2940" s="8" t="s">
        <v>109</v>
      </c>
      <c r="D2940" s="9" t="s">
        <v>109</v>
      </c>
      <c r="E2940" s="9" t="s">
        <v>111</v>
      </c>
      <c r="F2940" s="9" t="s">
        <v>111</v>
      </c>
      <c r="I2940" s="9" t="s">
        <v>11</v>
      </c>
      <c r="J2940" s="9" t="s">
        <v>11</v>
      </c>
      <c r="K2940" s="9" t="s">
        <v>82</v>
      </c>
      <c r="L2940" s="9" t="s">
        <v>171</v>
      </c>
      <c r="M2940" t="s">
        <v>1888</v>
      </c>
      <c r="O2940" t="s">
        <v>1908</v>
      </c>
      <c r="P2940" t="s">
        <v>702</v>
      </c>
      <c r="S2940">
        <v>224</v>
      </c>
      <c r="U2940" t="s">
        <v>112</v>
      </c>
      <c r="V2940" t="s">
        <v>1484</v>
      </c>
      <c r="X2940" s="43">
        <v>1.7</v>
      </c>
      <c r="AA2940" s="43"/>
      <c r="AB2940" s="43">
        <v>0.1</v>
      </c>
      <c r="AC2940" s="43">
        <v>0.1215</v>
      </c>
      <c r="AK2940">
        <v>4947712</v>
      </c>
    </row>
    <row r="2941" spans="1:37" ht="19">
      <c r="A2941" s="39" t="s">
        <v>17</v>
      </c>
      <c r="B2941" s="8">
        <v>2024</v>
      </c>
      <c r="C2941" s="8" t="s">
        <v>109</v>
      </c>
      <c r="D2941" s="9" t="s">
        <v>109</v>
      </c>
      <c r="E2941" s="9" t="s">
        <v>111</v>
      </c>
      <c r="F2941" s="9" t="s">
        <v>111</v>
      </c>
      <c r="I2941" s="9" t="s">
        <v>11</v>
      </c>
      <c r="J2941" s="9" t="s">
        <v>11</v>
      </c>
      <c r="K2941" s="9" t="s">
        <v>82</v>
      </c>
      <c r="L2941" s="9" t="s">
        <v>171</v>
      </c>
      <c r="M2941" t="s">
        <v>1888</v>
      </c>
      <c r="O2941" t="s">
        <v>1914</v>
      </c>
      <c r="P2941" t="s">
        <v>1915</v>
      </c>
      <c r="S2941">
        <v>232</v>
      </c>
      <c r="U2941" s="14" t="s">
        <v>77</v>
      </c>
      <c r="V2941" t="s">
        <v>1720</v>
      </c>
      <c r="X2941" s="43">
        <v>1.1499999999999999</v>
      </c>
      <c r="AA2941" s="43"/>
      <c r="AB2941" s="43">
        <v>0.25</v>
      </c>
      <c r="AC2941" s="43">
        <v>8.1000000000000003E-2</v>
      </c>
      <c r="AJ2941" s="13">
        <f t="shared" ref="AJ2941:AJ2949" si="265">SUBTOTAL(9,X2941:AI2941)</f>
        <v>1.4809999999999999</v>
      </c>
      <c r="AK2941">
        <v>0</v>
      </c>
    </row>
    <row r="2942" spans="1:37" ht="19">
      <c r="A2942" s="39" t="s">
        <v>17</v>
      </c>
      <c r="B2942" s="8">
        <v>2024</v>
      </c>
      <c r="C2942" s="8" t="s">
        <v>109</v>
      </c>
      <c r="D2942" s="9" t="s">
        <v>109</v>
      </c>
      <c r="E2942" s="9" t="s">
        <v>111</v>
      </c>
      <c r="F2942" s="9" t="s">
        <v>111</v>
      </c>
      <c r="I2942" s="9" t="s">
        <v>11</v>
      </c>
      <c r="J2942" s="9" t="s">
        <v>11</v>
      </c>
      <c r="K2942" s="9" t="s">
        <v>82</v>
      </c>
      <c r="L2942" s="9" t="s">
        <v>171</v>
      </c>
      <c r="M2942" t="s">
        <v>1888</v>
      </c>
      <c r="O2942" t="s">
        <v>1914</v>
      </c>
      <c r="P2942" t="s">
        <v>1916</v>
      </c>
      <c r="S2942">
        <v>296</v>
      </c>
      <c r="U2942" s="14" t="s">
        <v>77</v>
      </c>
      <c r="V2942" t="s">
        <v>1720</v>
      </c>
      <c r="X2942" s="43">
        <v>1.5</v>
      </c>
      <c r="AA2942" s="43"/>
      <c r="AB2942" s="43">
        <v>0.3</v>
      </c>
      <c r="AC2942" s="43">
        <v>0.10349999999999999</v>
      </c>
      <c r="AJ2942" s="13">
        <f t="shared" si="265"/>
        <v>1.9035</v>
      </c>
      <c r="AK2942">
        <v>0</v>
      </c>
    </row>
    <row r="2943" spans="1:37" ht="19">
      <c r="A2943" s="39" t="s">
        <v>17</v>
      </c>
      <c r="B2943" s="8">
        <v>2024</v>
      </c>
      <c r="C2943" s="8" t="s">
        <v>109</v>
      </c>
      <c r="D2943" s="9" t="s">
        <v>109</v>
      </c>
      <c r="E2943" s="9" t="s">
        <v>111</v>
      </c>
      <c r="F2943" s="9" t="s">
        <v>111</v>
      </c>
      <c r="I2943" s="9" t="s">
        <v>11</v>
      </c>
      <c r="J2943" s="9" t="s">
        <v>11</v>
      </c>
      <c r="K2943" s="9" t="s">
        <v>82</v>
      </c>
      <c r="L2943" s="9" t="s">
        <v>171</v>
      </c>
      <c r="M2943" t="s">
        <v>1888</v>
      </c>
      <c r="O2943" t="s">
        <v>1914</v>
      </c>
      <c r="P2943" t="s">
        <v>1917</v>
      </c>
      <c r="S2943">
        <v>287</v>
      </c>
      <c r="U2943" s="14" t="s">
        <v>77</v>
      </c>
      <c r="V2943" t="s">
        <v>1720</v>
      </c>
      <c r="X2943" s="43">
        <v>1.35</v>
      </c>
      <c r="AA2943" s="43"/>
      <c r="AB2943" s="43">
        <v>0.3</v>
      </c>
      <c r="AC2943" s="43">
        <v>9.9000000000000005E-2</v>
      </c>
      <c r="AJ2943" s="13">
        <f t="shared" si="265"/>
        <v>1.7490000000000001</v>
      </c>
      <c r="AK2943">
        <v>0</v>
      </c>
    </row>
    <row r="2944" spans="1:37" ht="19">
      <c r="A2944" s="39" t="s">
        <v>17</v>
      </c>
      <c r="B2944" s="8">
        <v>2024</v>
      </c>
      <c r="C2944" s="8" t="s">
        <v>109</v>
      </c>
      <c r="D2944" s="9" t="s">
        <v>109</v>
      </c>
      <c r="E2944" s="9" t="s">
        <v>111</v>
      </c>
      <c r="F2944" s="9" t="s">
        <v>111</v>
      </c>
      <c r="I2944" s="9" t="s">
        <v>11</v>
      </c>
      <c r="J2944" s="9" t="s">
        <v>11</v>
      </c>
      <c r="K2944" s="9" t="s">
        <v>82</v>
      </c>
      <c r="L2944" s="9" t="s">
        <v>171</v>
      </c>
      <c r="M2944" t="s">
        <v>1888</v>
      </c>
      <c r="O2944" t="s">
        <v>1914</v>
      </c>
      <c r="P2944" t="s">
        <v>1918</v>
      </c>
      <c r="S2944">
        <v>175</v>
      </c>
      <c r="U2944" s="14" t="s">
        <v>77</v>
      </c>
      <c r="V2944" t="s">
        <v>1720</v>
      </c>
      <c r="X2944" s="43">
        <v>0.75</v>
      </c>
      <c r="AA2944" s="43"/>
      <c r="AB2944" s="43">
        <v>0.15</v>
      </c>
      <c r="AC2944" s="43">
        <v>4.9500000000000002E-2</v>
      </c>
      <c r="AJ2944" s="13">
        <f t="shared" si="265"/>
        <v>0.94950000000000001</v>
      </c>
      <c r="AK2944">
        <v>0</v>
      </c>
    </row>
    <row r="2945" spans="1:37" ht="19">
      <c r="A2945" s="39" t="s">
        <v>17</v>
      </c>
      <c r="B2945" s="8">
        <v>2024</v>
      </c>
      <c r="C2945" s="8" t="s">
        <v>109</v>
      </c>
      <c r="D2945" s="9" t="s">
        <v>109</v>
      </c>
      <c r="E2945" s="9" t="s">
        <v>111</v>
      </c>
      <c r="F2945" s="9" t="s">
        <v>111</v>
      </c>
      <c r="I2945" s="9" t="s">
        <v>11</v>
      </c>
      <c r="J2945" s="9" t="s">
        <v>11</v>
      </c>
      <c r="K2945" s="9" t="s">
        <v>82</v>
      </c>
      <c r="L2945" s="9" t="s">
        <v>171</v>
      </c>
      <c r="M2945" t="s">
        <v>1888</v>
      </c>
      <c r="O2945" t="s">
        <v>1914</v>
      </c>
      <c r="P2945" t="s">
        <v>326</v>
      </c>
      <c r="S2945">
        <v>296</v>
      </c>
      <c r="U2945" s="14" t="s">
        <v>77</v>
      </c>
      <c r="V2945" t="s">
        <v>1720</v>
      </c>
      <c r="X2945" s="43">
        <v>1.4</v>
      </c>
      <c r="AA2945" s="43"/>
      <c r="AB2945" s="43">
        <v>0.3</v>
      </c>
      <c r="AC2945" s="43">
        <v>9.9000000000000005E-2</v>
      </c>
      <c r="AJ2945" s="13">
        <f t="shared" si="265"/>
        <v>1.7989999999999999</v>
      </c>
      <c r="AK2945">
        <v>0</v>
      </c>
    </row>
    <row r="2946" spans="1:37" ht="19">
      <c r="A2946" s="39" t="s">
        <v>17</v>
      </c>
      <c r="B2946" s="8">
        <v>2024</v>
      </c>
      <c r="C2946" s="8" t="s">
        <v>109</v>
      </c>
      <c r="D2946" s="9" t="s">
        <v>109</v>
      </c>
      <c r="E2946" s="9" t="s">
        <v>111</v>
      </c>
      <c r="F2946" s="9" t="s">
        <v>111</v>
      </c>
      <c r="I2946" s="9" t="s">
        <v>11</v>
      </c>
      <c r="J2946" s="9" t="s">
        <v>11</v>
      </c>
      <c r="K2946" s="9" t="s">
        <v>82</v>
      </c>
      <c r="L2946" s="9" t="s">
        <v>171</v>
      </c>
      <c r="M2946" t="s">
        <v>1888</v>
      </c>
      <c r="O2946" t="s">
        <v>1919</v>
      </c>
      <c r="P2946" t="s">
        <v>1920</v>
      </c>
      <c r="S2946">
        <v>490</v>
      </c>
      <c r="U2946" s="14" t="s">
        <v>77</v>
      </c>
      <c r="V2946" t="s">
        <v>1720</v>
      </c>
      <c r="X2946" s="43">
        <v>3.75</v>
      </c>
      <c r="AA2946" s="43"/>
      <c r="AB2946" s="43">
        <v>0.85</v>
      </c>
      <c r="AC2946" s="43">
        <v>0.27</v>
      </c>
      <c r="AJ2946" s="13">
        <f t="shared" si="265"/>
        <v>4.8699999999999992</v>
      </c>
      <c r="AK2946">
        <v>0</v>
      </c>
    </row>
    <row r="2947" spans="1:37" ht="19">
      <c r="A2947" s="39" t="s">
        <v>17</v>
      </c>
      <c r="B2947" s="8">
        <v>2024</v>
      </c>
      <c r="C2947" s="8" t="s">
        <v>109</v>
      </c>
      <c r="D2947" s="9" t="s">
        <v>109</v>
      </c>
      <c r="E2947" s="9" t="s">
        <v>111</v>
      </c>
      <c r="F2947" s="9" t="s">
        <v>111</v>
      </c>
      <c r="I2947" s="9" t="s">
        <v>11</v>
      </c>
      <c r="J2947" s="9" t="s">
        <v>11</v>
      </c>
      <c r="K2947" s="9" t="s">
        <v>82</v>
      </c>
      <c r="L2947" s="9" t="s">
        <v>171</v>
      </c>
      <c r="M2947" t="s">
        <v>1888</v>
      </c>
      <c r="O2947" t="s">
        <v>1919</v>
      </c>
      <c r="P2947" t="s">
        <v>1921</v>
      </c>
      <c r="S2947">
        <v>289</v>
      </c>
      <c r="U2947" s="14" t="s">
        <v>77</v>
      </c>
      <c r="V2947" t="s">
        <v>1720</v>
      </c>
      <c r="X2947" s="43">
        <v>2.25</v>
      </c>
      <c r="AA2947" s="43"/>
      <c r="AB2947" s="43">
        <v>0.5</v>
      </c>
      <c r="AC2947" s="43">
        <v>0.1575</v>
      </c>
      <c r="AJ2947" s="13">
        <f t="shared" si="265"/>
        <v>2.9075000000000002</v>
      </c>
      <c r="AK2947">
        <v>0</v>
      </c>
    </row>
    <row r="2948" spans="1:37" ht="19">
      <c r="A2948" s="39" t="s">
        <v>17</v>
      </c>
      <c r="B2948" s="8">
        <v>2024</v>
      </c>
      <c r="C2948" s="8" t="s">
        <v>109</v>
      </c>
      <c r="D2948" s="9" t="s">
        <v>109</v>
      </c>
      <c r="E2948" s="9" t="s">
        <v>111</v>
      </c>
      <c r="F2948" s="9" t="s">
        <v>111</v>
      </c>
      <c r="I2948" s="9" t="s">
        <v>11</v>
      </c>
      <c r="J2948" s="9" t="s">
        <v>11</v>
      </c>
      <c r="K2948" s="9" t="s">
        <v>82</v>
      </c>
      <c r="L2948" s="9" t="s">
        <v>171</v>
      </c>
      <c r="M2948" t="s">
        <v>1888</v>
      </c>
      <c r="O2948" t="s">
        <v>1919</v>
      </c>
      <c r="P2948" t="s">
        <v>1922</v>
      </c>
      <c r="S2948">
        <v>264</v>
      </c>
      <c r="U2948" s="14" t="s">
        <v>77</v>
      </c>
      <c r="V2948" t="s">
        <v>1720</v>
      </c>
      <c r="X2948" s="43">
        <v>2.0499999999999998</v>
      </c>
      <c r="AA2948" s="43"/>
      <c r="AB2948" s="43">
        <v>0.45</v>
      </c>
      <c r="AC2948" s="43">
        <v>0.14399999999999999</v>
      </c>
      <c r="AJ2948" s="13">
        <f t="shared" si="265"/>
        <v>2.6440000000000001</v>
      </c>
      <c r="AK2948">
        <v>0</v>
      </c>
    </row>
    <row r="2949" spans="1:37" ht="19">
      <c r="A2949" s="39" t="s">
        <v>17</v>
      </c>
      <c r="B2949" s="8">
        <v>2024</v>
      </c>
      <c r="C2949" s="8" t="s">
        <v>109</v>
      </c>
      <c r="D2949" s="9" t="s">
        <v>109</v>
      </c>
      <c r="E2949" s="9" t="s">
        <v>111</v>
      </c>
      <c r="F2949" s="9" t="s">
        <v>111</v>
      </c>
      <c r="I2949" s="9" t="s">
        <v>11</v>
      </c>
      <c r="J2949" s="9" t="s">
        <v>11</v>
      </c>
      <c r="K2949" s="9" t="s">
        <v>82</v>
      </c>
      <c r="L2949" s="9" t="s">
        <v>171</v>
      </c>
      <c r="M2949" t="s">
        <v>1888</v>
      </c>
      <c r="O2949" t="s">
        <v>1919</v>
      </c>
      <c r="P2949" t="s">
        <v>1923</v>
      </c>
      <c r="S2949">
        <v>278</v>
      </c>
      <c r="U2949" s="14" t="s">
        <v>77</v>
      </c>
      <c r="V2949" t="s">
        <v>1720</v>
      </c>
      <c r="X2949" s="43">
        <v>2.15</v>
      </c>
      <c r="AA2949" s="43"/>
      <c r="AB2949" s="43">
        <v>0.5</v>
      </c>
      <c r="AC2949" s="43">
        <v>0.153</v>
      </c>
      <c r="AJ2949" s="13">
        <f t="shared" si="265"/>
        <v>2.8029999999999999</v>
      </c>
      <c r="AK2949">
        <v>0</v>
      </c>
    </row>
    <row r="2950" spans="1:37" ht="19">
      <c r="A2950" s="39" t="s">
        <v>17</v>
      </c>
      <c r="B2950" s="8">
        <v>2024</v>
      </c>
      <c r="C2950" s="8" t="s">
        <v>109</v>
      </c>
      <c r="D2950" s="9" t="s">
        <v>109</v>
      </c>
      <c r="E2950" s="9" t="s">
        <v>111</v>
      </c>
      <c r="F2950" s="9" t="s">
        <v>111</v>
      </c>
      <c r="I2950" s="9" t="s">
        <v>11</v>
      </c>
      <c r="J2950" s="9" t="s">
        <v>11</v>
      </c>
      <c r="K2950" s="9" t="s">
        <v>82</v>
      </c>
      <c r="L2950" s="9" t="s">
        <v>171</v>
      </c>
      <c r="M2950" t="s">
        <v>1888</v>
      </c>
      <c r="O2950" t="s">
        <v>1919</v>
      </c>
      <c r="P2950" t="s">
        <v>1924</v>
      </c>
      <c r="S2950">
        <v>203</v>
      </c>
      <c r="U2950" t="s">
        <v>112</v>
      </c>
      <c r="V2950" t="s">
        <v>1484</v>
      </c>
      <c r="X2950" s="43">
        <v>1.1000000000000001</v>
      </c>
      <c r="AA2950" s="43"/>
      <c r="AB2950" s="43">
        <v>0.1</v>
      </c>
      <c r="AC2950" s="43">
        <v>8.1000000000000003E-2</v>
      </c>
      <c r="AK2950">
        <v>4483864</v>
      </c>
    </row>
    <row r="2951" spans="1:37" ht="19">
      <c r="A2951" s="39" t="s">
        <v>17</v>
      </c>
      <c r="B2951" s="8">
        <v>2024</v>
      </c>
      <c r="C2951" s="8" t="s">
        <v>109</v>
      </c>
      <c r="D2951" s="9" t="s">
        <v>109</v>
      </c>
      <c r="E2951" s="9" t="s">
        <v>111</v>
      </c>
      <c r="F2951" s="9" t="s">
        <v>111</v>
      </c>
      <c r="I2951" s="9" t="s">
        <v>11</v>
      </c>
      <c r="J2951" s="9" t="s">
        <v>11</v>
      </c>
      <c r="K2951" s="9" t="s">
        <v>82</v>
      </c>
      <c r="L2951" s="9" t="s">
        <v>171</v>
      </c>
      <c r="M2951" t="s">
        <v>1888</v>
      </c>
      <c r="O2951" t="s">
        <v>1919</v>
      </c>
      <c r="P2951" t="s">
        <v>1925</v>
      </c>
      <c r="S2951">
        <v>332</v>
      </c>
      <c r="U2951" s="14" t="s">
        <v>77</v>
      </c>
      <c r="V2951" t="s">
        <v>1720</v>
      </c>
      <c r="X2951" s="43">
        <v>2.5499999999999998</v>
      </c>
      <c r="AA2951" s="43"/>
      <c r="AB2951" s="43">
        <v>0.55000000000000004</v>
      </c>
      <c r="AC2951" s="43">
        <v>0.1845</v>
      </c>
      <c r="AJ2951" s="13">
        <f t="shared" ref="AJ2951:AJ2954" si="266">SUBTOTAL(9,X2951:AI2951)</f>
        <v>3.2844999999999995</v>
      </c>
      <c r="AK2951">
        <v>0</v>
      </c>
    </row>
    <row r="2952" spans="1:37" ht="19">
      <c r="A2952" s="39" t="s">
        <v>17</v>
      </c>
      <c r="B2952" s="8">
        <v>2024</v>
      </c>
      <c r="C2952" s="8" t="s">
        <v>109</v>
      </c>
      <c r="D2952" s="9" t="s">
        <v>109</v>
      </c>
      <c r="E2952" s="9" t="s">
        <v>111</v>
      </c>
      <c r="F2952" s="9" t="s">
        <v>111</v>
      </c>
      <c r="I2952" s="9" t="s">
        <v>11</v>
      </c>
      <c r="J2952" s="9" t="s">
        <v>11</v>
      </c>
      <c r="K2952" s="9" t="s">
        <v>82</v>
      </c>
      <c r="L2952" s="9" t="s">
        <v>171</v>
      </c>
      <c r="M2952" t="s">
        <v>1888</v>
      </c>
      <c r="O2952" t="s">
        <v>1926</v>
      </c>
      <c r="P2952" t="s">
        <v>1927</v>
      </c>
      <c r="S2952">
        <v>222</v>
      </c>
      <c r="U2952" s="14" t="s">
        <v>77</v>
      </c>
      <c r="V2952" t="s">
        <v>1720</v>
      </c>
      <c r="X2952" s="43">
        <v>1.7</v>
      </c>
      <c r="AA2952" s="43"/>
      <c r="AB2952" s="43">
        <v>0.4</v>
      </c>
      <c r="AC2952" s="43">
        <v>0.1215</v>
      </c>
      <c r="AJ2952" s="13">
        <f t="shared" si="266"/>
        <v>2.2215000000000003</v>
      </c>
      <c r="AK2952">
        <v>0</v>
      </c>
    </row>
    <row r="2953" spans="1:37" ht="19">
      <c r="A2953" s="39" t="s">
        <v>17</v>
      </c>
      <c r="B2953" s="8">
        <v>2024</v>
      </c>
      <c r="C2953" s="8" t="s">
        <v>109</v>
      </c>
      <c r="D2953" s="9" t="s">
        <v>109</v>
      </c>
      <c r="E2953" s="9" t="s">
        <v>111</v>
      </c>
      <c r="F2953" s="9" t="s">
        <v>111</v>
      </c>
      <c r="I2953" s="9" t="s">
        <v>11</v>
      </c>
      <c r="J2953" s="9" t="s">
        <v>11</v>
      </c>
      <c r="K2953" s="9" t="s">
        <v>82</v>
      </c>
      <c r="L2953" s="9" t="s">
        <v>171</v>
      </c>
      <c r="M2953" t="s">
        <v>1888</v>
      </c>
      <c r="O2953" t="s">
        <v>1926</v>
      </c>
      <c r="P2953" t="s">
        <v>1928</v>
      </c>
      <c r="S2953">
        <v>218</v>
      </c>
      <c r="U2953" s="14" t="s">
        <v>77</v>
      </c>
      <c r="V2953" t="s">
        <v>1720</v>
      </c>
      <c r="X2953" s="43">
        <v>1.7</v>
      </c>
      <c r="AA2953" s="43"/>
      <c r="AB2953" s="43">
        <v>0.4</v>
      </c>
      <c r="AC2953" s="43">
        <v>0.1215</v>
      </c>
      <c r="AJ2953" s="13">
        <f t="shared" si="266"/>
        <v>2.2215000000000003</v>
      </c>
      <c r="AK2953">
        <v>0</v>
      </c>
    </row>
    <row r="2954" spans="1:37" ht="19">
      <c r="A2954" s="39" t="s">
        <v>17</v>
      </c>
      <c r="B2954" s="8">
        <v>2024</v>
      </c>
      <c r="C2954" s="8" t="s">
        <v>109</v>
      </c>
      <c r="D2954" s="9" t="s">
        <v>109</v>
      </c>
      <c r="E2954" s="9" t="s">
        <v>111</v>
      </c>
      <c r="F2954" s="9" t="s">
        <v>111</v>
      </c>
      <c r="I2954" s="9" t="s">
        <v>11</v>
      </c>
      <c r="J2954" s="9" t="s">
        <v>11</v>
      </c>
      <c r="K2954" s="9" t="s">
        <v>82</v>
      </c>
      <c r="L2954" s="9" t="s">
        <v>171</v>
      </c>
      <c r="M2954" t="s">
        <v>1888</v>
      </c>
      <c r="O2954" t="s">
        <v>1926</v>
      </c>
      <c r="P2954" t="s">
        <v>1929</v>
      </c>
      <c r="S2954">
        <v>182</v>
      </c>
      <c r="U2954" s="14" t="s">
        <v>77</v>
      </c>
      <c r="V2954" t="s">
        <v>1720</v>
      </c>
      <c r="X2954" s="43">
        <v>1.4</v>
      </c>
      <c r="AA2954" s="43"/>
      <c r="AB2954" s="43">
        <v>0.35</v>
      </c>
      <c r="AC2954" s="43">
        <v>9.9000000000000005E-2</v>
      </c>
      <c r="AJ2954" s="13">
        <f t="shared" si="266"/>
        <v>1.849</v>
      </c>
      <c r="AK2954">
        <v>0</v>
      </c>
    </row>
    <row r="2955" spans="1:37" ht="19">
      <c r="A2955" s="39" t="s">
        <v>17</v>
      </c>
      <c r="B2955" s="8">
        <v>2024</v>
      </c>
      <c r="C2955" s="8" t="s">
        <v>109</v>
      </c>
      <c r="D2955" s="9" t="s">
        <v>109</v>
      </c>
      <c r="E2955" s="9" t="s">
        <v>111</v>
      </c>
      <c r="F2955" s="9" t="s">
        <v>111</v>
      </c>
      <c r="I2955" s="9" t="s">
        <v>11</v>
      </c>
      <c r="J2955" s="9" t="s">
        <v>11</v>
      </c>
      <c r="K2955" s="9" t="s">
        <v>82</v>
      </c>
      <c r="L2955" s="9" t="s">
        <v>171</v>
      </c>
      <c r="M2955" t="s">
        <v>1888</v>
      </c>
      <c r="O2955" t="s">
        <v>1926</v>
      </c>
      <c r="P2955" t="s">
        <v>1930</v>
      </c>
      <c r="S2955">
        <v>478</v>
      </c>
      <c r="U2955" t="s">
        <v>112</v>
      </c>
      <c r="V2955" t="s">
        <v>1484</v>
      </c>
      <c r="X2955" s="43">
        <v>3.7</v>
      </c>
      <c r="AA2955" s="43"/>
      <c r="AB2955" s="43">
        <v>0.2</v>
      </c>
      <c r="AC2955" s="43">
        <v>0.26100000000000001</v>
      </c>
      <c r="AK2955">
        <v>10558064</v>
      </c>
    </row>
    <row r="2956" spans="1:37" ht="19">
      <c r="A2956" s="39" t="s">
        <v>17</v>
      </c>
      <c r="B2956" s="8">
        <v>2024</v>
      </c>
      <c r="C2956" s="8" t="s">
        <v>109</v>
      </c>
      <c r="D2956" s="9" t="s">
        <v>109</v>
      </c>
      <c r="E2956" s="9" t="s">
        <v>111</v>
      </c>
      <c r="F2956" s="9" t="s">
        <v>111</v>
      </c>
      <c r="I2956" s="9" t="s">
        <v>11</v>
      </c>
      <c r="J2956" s="9" t="s">
        <v>11</v>
      </c>
      <c r="K2956" s="9" t="s">
        <v>82</v>
      </c>
      <c r="L2956" s="9" t="s">
        <v>171</v>
      </c>
      <c r="M2956" t="s">
        <v>1888</v>
      </c>
      <c r="O2956" t="s">
        <v>1926</v>
      </c>
      <c r="P2956" t="s">
        <v>1931</v>
      </c>
      <c r="S2956">
        <v>161</v>
      </c>
      <c r="U2956" s="14" t="s">
        <v>77</v>
      </c>
      <c r="V2956" t="s">
        <v>1720</v>
      </c>
      <c r="X2956" s="43">
        <v>1.25</v>
      </c>
      <c r="AA2956" s="43"/>
      <c r="AB2956" s="43">
        <v>0.3</v>
      </c>
      <c r="AC2956" s="43">
        <v>0.09</v>
      </c>
      <c r="AJ2956" s="13">
        <f t="shared" ref="AJ2956:AJ2969" si="267">SUBTOTAL(9,X2956:AI2956)</f>
        <v>1.6400000000000001</v>
      </c>
      <c r="AK2956">
        <v>0</v>
      </c>
    </row>
    <row r="2957" spans="1:37" ht="19">
      <c r="A2957" s="39" t="s">
        <v>17</v>
      </c>
      <c r="B2957" s="8">
        <v>2024</v>
      </c>
      <c r="C2957" s="8" t="s">
        <v>109</v>
      </c>
      <c r="D2957" s="9" t="s">
        <v>109</v>
      </c>
      <c r="E2957" s="9" t="s">
        <v>111</v>
      </c>
      <c r="F2957" s="9" t="s">
        <v>111</v>
      </c>
      <c r="I2957" s="9" t="s">
        <v>11</v>
      </c>
      <c r="J2957" s="9" t="s">
        <v>11</v>
      </c>
      <c r="K2957" s="9" t="s">
        <v>82</v>
      </c>
      <c r="L2957" s="9" t="s">
        <v>171</v>
      </c>
      <c r="M2957" t="s">
        <v>1888</v>
      </c>
      <c r="O2957" t="s">
        <v>1926</v>
      </c>
      <c r="P2957" t="s">
        <v>1932</v>
      </c>
      <c r="S2957">
        <v>192</v>
      </c>
      <c r="U2957" s="14" t="s">
        <v>77</v>
      </c>
      <c r="V2957" t="s">
        <v>1720</v>
      </c>
      <c r="X2957" s="43">
        <v>1.5</v>
      </c>
      <c r="AA2957" s="43"/>
      <c r="AB2957" s="43">
        <v>0.35</v>
      </c>
      <c r="AC2957" s="43">
        <v>0.10349999999999999</v>
      </c>
      <c r="AJ2957" s="13">
        <f t="shared" si="267"/>
        <v>1.9535</v>
      </c>
      <c r="AK2957">
        <v>0</v>
      </c>
    </row>
    <row r="2958" spans="1:37" ht="19">
      <c r="A2958" s="39" t="s">
        <v>17</v>
      </c>
      <c r="B2958" s="8">
        <v>2024</v>
      </c>
      <c r="C2958" s="8" t="s">
        <v>109</v>
      </c>
      <c r="D2958" s="9" t="s">
        <v>109</v>
      </c>
      <c r="E2958" s="9" t="s">
        <v>111</v>
      </c>
      <c r="F2958" s="9" t="s">
        <v>111</v>
      </c>
      <c r="I2958" s="9" t="s">
        <v>11</v>
      </c>
      <c r="J2958" s="9" t="s">
        <v>11</v>
      </c>
      <c r="K2958" s="9" t="s">
        <v>82</v>
      </c>
      <c r="L2958" s="9" t="s">
        <v>171</v>
      </c>
      <c r="M2958" t="s">
        <v>1888</v>
      </c>
      <c r="O2958" t="s">
        <v>1926</v>
      </c>
      <c r="P2958" t="s">
        <v>1933</v>
      </c>
      <c r="S2958">
        <v>255</v>
      </c>
      <c r="U2958" s="14" t="s">
        <v>77</v>
      </c>
      <c r="V2958" t="s">
        <v>1720</v>
      </c>
      <c r="X2958" s="43">
        <v>1.95</v>
      </c>
      <c r="AA2958" s="43"/>
      <c r="AB2958" s="43">
        <v>0.45</v>
      </c>
      <c r="AC2958" s="43">
        <v>0.13950000000000001</v>
      </c>
      <c r="AJ2958" s="13">
        <f t="shared" si="267"/>
        <v>2.5394999999999999</v>
      </c>
      <c r="AK2958">
        <v>0</v>
      </c>
    </row>
    <row r="2959" spans="1:37" ht="19">
      <c r="A2959" s="39" t="s">
        <v>17</v>
      </c>
      <c r="B2959" s="8">
        <v>2024</v>
      </c>
      <c r="C2959" s="8" t="s">
        <v>109</v>
      </c>
      <c r="D2959" s="9" t="s">
        <v>109</v>
      </c>
      <c r="E2959" s="9" t="s">
        <v>111</v>
      </c>
      <c r="F2959" s="9" t="s">
        <v>111</v>
      </c>
      <c r="I2959" s="9" t="s">
        <v>11</v>
      </c>
      <c r="J2959" s="9" t="s">
        <v>11</v>
      </c>
      <c r="K2959" s="9" t="s">
        <v>82</v>
      </c>
      <c r="L2959" s="9" t="s">
        <v>171</v>
      </c>
      <c r="M2959" t="s">
        <v>1888</v>
      </c>
      <c r="O2959" t="s">
        <v>1934</v>
      </c>
      <c r="P2959" t="s">
        <v>1935</v>
      </c>
      <c r="S2959">
        <v>285</v>
      </c>
      <c r="U2959" s="14" t="s">
        <v>77</v>
      </c>
      <c r="V2959" t="s">
        <v>1720</v>
      </c>
      <c r="X2959" s="43">
        <v>2.2000000000000002</v>
      </c>
      <c r="AA2959" s="43"/>
      <c r="AB2959" s="43">
        <v>0.5</v>
      </c>
      <c r="AC2959" s="43">
        <v>0.1575</v>
      </c>
      <c r="AJ2959" s="13">
        <f t="shared" si="267"/>
        <v>2.8575000000000004</v>
      </c>
      <c r="AK2959">
        <v>0</v>
      </c>
    </row>
    <row r="2960" spans="1:37" ht="19">
      <c r="A2960" s="39" t="s">
        <v>17</v>
      </c>
      <c r="B2960" s="8">
        <v>2024</v>
      </c>
      <c r="C2960" s="8" t="s">
        <v>109</v>
      </c>
      <c r="D2960" s="9" t="s">
        <v>109</v>
      </c>
      <c r="E2960" s="9" t="s">
        <v>111</v>
      </c>
      <c r="F2960" s="9" t="s">
        <v>111</v>
      </c>
      <c r="I2960" s="9" t="s">
        <v>11</v>
      </c>
      <c r="J2960" s="9" t="s">
        <v>11</v>
      </c>
      <c r="K2960" s="9" t="s">
        <v>82</v>
      </c>
      <c r="L2960" s="9" t="s">
        <v>171</v>
      </c>
      <c r="M2960" t="s">
        <v>1888</v>
      </c>
      <c r="O2960" t="s">
        <v>1934</v>
      </c>
      <c r="P2960" t="s">
        <v>1936</v>
      </c>
      <c r="S2960">
        <v>289</v>
      </c>
      <c r="U2960" s="14" t="s">
        <v>77</v>
      </c>
      <c r="V2960" t="s">
        <v>1720</v>
      </c>
      <c r="X2960" s="43">
        <v>1.5</v>
      </c>
      <c r="AA2960" s="43"/>
      <c r="AB2960" s="43">
        <v>0.3</v>
      </c>
      <c r="AC2960" s="43">
        <v>0.108</v>
      </c>
      <c r="AJ2960" s="13">
        <f t="shared" si="267"/>
        <v>1.9080000000000001</v>
      </c>
      <c r="AK2960">
        <v>0</v>
      </c>
    </row>
    <row r="2961" spans="1:37" ht="19">
      <c r="A2961" s="39" t="s">
        <v>17</v>
      </c>
      <c r="B2961" s="8">
        <v>2024</v>
      </c>
      <c r="C2961" s="8" t="s">
        <v>109</v>
      </c>
      <c r="D2961" s="9" t="s">
        <v>109</v>
      </c>
      <c r="E2961" s="9" t="s">
        <v>111</v>
      </c>
      <c r="F2961" s="9" t="s">
        <v>111</v>
      </c>
      <c r="I2961" s="9" t="s">
        <v>11</v>
      </c>
      <c r="J2961" s="9" t="s">
        <v>11</v>
      </c>
      <c r="K2961" s="9" t="s">
        <v>82</v>
      </c>
      <c r="L2961" s="9" t="s">
        <v>171</v>
      </c>
      <c r="M2961" t="s">
        <v>1888</v>
      </c>
      <c r="O2961" t="s">
        <v>1934</v>
      </c>
      <c r="P2961" t="s">
        <v>1937</v>
      </c>
      <c r="S2961">
        <v>389</v>
      </c>
      <c r="U2961" s="14" t="s">
        <v>77</v>
      </c>
      <c r="V2961" t="s">
        <v>1720</v>
      </c>
      <c r="X2961" s="43">
        <v>3</v>
      </c>
      <c r="AA2961" s="43"/>
      <c r="AB2961" s="43">
        <v>0.65</v>
      </c>
      <c r="AC2961" s="43">
        <v>0.216</v>
      </c>
      <c r="AJ2961" s="13">
        <f t="shared" si="267"/>
        <v>3.8660000000000001</v>
      </c>
      <c r="AK2961">
        <v>0</v>
      </c>
    </row>
    <row r="2962" spans="1:37" ht="19">
      <c r="A2962" s="39" t="s">
        <v>17</v>
      </c>
      <c r="B2962" s="8">
        <v>2024</v>
      </c>
      <c r="C2962" s="8" t="s">
        <v>109</v>
      </c>
      <c r="D2962" s="9" t="s">
        <v>109</v>
      </c>
      <c r="E2962" s="9" t="s">
        <v>111</v>
      </c>
      <c r="F2962" s="9" t="s">
        <v>111</v>
      </c>
      <c r="I2962" s="9" t="s">
        <v>11</v>
      </c>
      <c r="J2962" s="9" t="s">
        <v>11</v>
      </c>
      <c r="K2962" s="9" t="s">
        <v>82</v>
      </c>
      <c r="L2962" s="9" t="s">
        <v>171</v>
      </c>
      <c r="M2962" t="s">
        <v>1888</v>
      </c>
      <c r="O2962" t="s">
        <v>1934</v>
      </c>
      <c r="P2962" t="s">
        <v>1938</v>
      </c>
      <c r="S2962">
        <v>384</v>
      </c>
      <c r="U2962" s="14" t="s">
        <v>77</v>
      </c>
      <c r="V2962" t="s">
        <v>1720</v>
      </c>
      <c r="X2962" s="43">
        <v>1.25</v>
      </c>
      <c r="AA2962" s="43"/>
      <c r="AB2962" s="43">
        <v>0.25</v>
      </c>
      <c r="AC2962" s="43">
        <v>0.09</v>
      </c>
      <c r="AJ2962" s="13">
        <f t="shared" si="267"/>
        <v>1.59</v>
      </c>
      <c r="AK2962">
        <v>0</v>
      </c>
    </row>
    <row r="2963" spans="1:37" ht="19">
      <c r="A2963" s="39" t="s">
        <v>17</v>
      </c>
      <c r="B2963" s="8">
        <v>2024</v>
      </c>
      <c r="C2963" s="8" t="s">
        <v>109</v>
      </c>
      <c r="D2963" s="9" t="s">
        <v>109</v>
      </c>
      <c r="E2963" s="9" t="s">
        <v>111</v>
      </c>
      <c r="F2963" s="9" t="s">
        <v>111</v>
      </c>
      <c r="I2963" s="9" t="s">
        <v>11</v>
      </c>
      <c r="J2963" s="9" t="s">
        <v>11</v>
      </c>
      <c r="K2963" s="9" t="s">
        <v>82</v>
      </c>
      <c r="L2963" s="9" t="s">
        <v>171</v>
      </c>
      <c r="M2963" t="s">
        <v>1888</v>
      </c>
      <c r="O2963" t="s">
        <v>1934</v>
      </c>
      <c r="P2963" t="s">
        <v>1939</v>
      </c>
      <c r="S2963">
        <v>296</v>
      </c>
      <c r="U2963" s="14" t="s">
        <v>77</v>
      </c>
      <c r="V2963" t="s">
        <v>1720</v>
      </c>
      <c r="X2963" s="43">
        <v>2</v>
      </c>
      <c r="AA2963" s="43"/>
      <c r="AB2963" s="43">
        <v>0.45</v>
      </c>
      <c r="AC2963" s="43">
        <v>0.14399999999999999</v>
      </c>
      <c r="AJ2963" s="13">
        <f t="shared" si="267"/>
        <v>2.5940000000000003</v>
      </c>
      <c r="AK2963">
        <v>0</v>
      </c>
    </row>
    <row r="2964" spans="1:37" ht="19">
      <c r="A2964" s="39" t="s">
        <v>17</v>
      </c>
      <c r="B2964" s="8">
        <v>2024</v>
      </c>
      <c r="C2964" s="8" t="s">
        <v>109</v>
      </c>
      <c r="D2964" s="9" t="s">
        <v>109</v>
      </c>
      <c r="E2964" s="9" t="s">
        <v>111</v>
      </c>
      <c r="F2964" s="9" t="s">
        <v>111</v>
      </c>
      <c r="I2964" s="9" t="s">
        <v>11</v>
      </c>
      <c r="J2964" s="9" t="s">
        <v>11</v>
      </c>
      <c r="K2964" s="9" t="s">
        <v>82</v>
      </c>
      <c r="L2964" s="9" t="s">
        <v>171</v>
      </c>
      <c r="M2964" t="s">
        <v>1888</v>
      </c>
      <c r="O2964" t="s">
        <v>1934</v>
      </c>
      <c r="P2964" t="s">
        <v>1940</v>
      </c>
      <c r="S2964">
        <v>229</v>
      </c>
      <c r="U2964" s="14" t="s">
        <v>77</v>
      </c>
      <c r="V2964" t="s">
        <v>1720</v>
      </c>
      <c r="X2964" s="43">
        <v>1.3</v>
      </c>
      <c r="AA2964" s="43"/>
      <c r="AB2964" s="43">
        <v>0.25</v>
      </c>
      <c r="AC2964" s="43">
        <v>9.4500000000000001E-2</v>
      </c>
      <c r="AJ2964" s="13">
        <f t="shared" si="267"/>
        <v>1.6445000000000001</v>
      </c>
      <c r="AK2964">
        <v>0</v>
      </c>
    </row>
    <row r="2965" spans="1:37" ht="19">
      <c r="A2965" s="39" t="s">
        <v>17</v>
      </c>
      <c r="B2965" s="8">
        <v>2024</v>
      </c>
      <c r="C2965" s="8" t="s">
        <v>109</v>
      </c>
      <c r="D2965" s="9" t="s">
        <v>109</v>
      </c>
      <c r="E2965" s="9" t="s">
        <v>111</v>
      </c>
      <c r="F2965" s="9" t="s">
        <v>111</v>
      </c>
      <c r="I2965" s="9" t="s">
        <v>11</v>
      </c>
      <c r="J2965" s="9" t="s">
        <v>11</v>
      </c>
      <c r="K2965" s="9" t="s">
        <v>82</v>
      </c>
      <c r="L2965" s="9" t="s">
        <v>171</v>
      </c>
      <c r="M2965" t="s">
        <v>1888</v>
      </c>
      <c r="O2965" t="s">
        <v>1934</v>
      </c>
      <c r="P2965" t="s">
        <v>1941</v>
      </c>
      <c r="S2965">
        <v>225</v>
      </c>
      <c r="U2965" s="14" t="s">
        <v>77</v>
      </c>
      <c r="V2965" t="s">
        <v>1720</v>
      </c>
      <c r="X2965" s="43">
        <v>1.65</v>
      </c>
      <c r="AA2965" s="43"/>
      <c r="AB2965" s="43">
        <v>0.35</v>
      </c>
      <c r="AC2965" s="43">
        <v>0.11700000000000001</v>
      </c>
      <c r="AJ2965" s="13">
        <f t="shared" si="267"/>
        <v>2.117</v>
      </c>
      <c r="AK2965">
        <v>0</v>
      </c>
    </row>
    <row r="2966" spans="1:37" ht="19">
      <c r="A2966" s="39" t="s">
        <v>17</v>
      </c>
      <c r="B2966" s="8">
        <v>2024</v>
      </c>
      <c r="C2966" s="8" t="s">
        <v>109</v>
      </c>
      <c r="D2966" s="9" t="s">
        <v>109</v>
      </c>
      <c r="E2966" s="9" t="s">
        <v>111</v>
      </c>
      <c r="F2966" s="9" t="s">
        <v>111</v>
      </c>
      <c r="I2966" s="9" t="s">
        <v>11</v>
      </c>
      <c r="J2966" s="9" t="s">
        <v>11</v>
      </c>
      <c r="K2966" s="9" t="s">
        <v>82</v>
      </c>
      <c r="L2966" s="9" t="s">
        <v>171</v>
      </c>
      <c r="M2966" t="s">
        <v>1888</v>
      </c>
      <c r="O2966" t="s">
        <v>1934</v>
      </c>
      <c r="P2966" t="s">
        <v>1942</v>
      </c>
      <c r="S2966">
        <v>298</v>
      </c>
      <c r="U2966" s="14" t="s">
        <v>77</v>
      </c>
      <c r="V2966" t="s">
        <v>1720</v>
      </c>
      <c r="X2966" s="43">
        <v>2.2999999999999998</v>
      </c>
      <c r="AA2966" s="43"/>
      <c r="AB2966" s="43">
        <v>0.5</v>
      </c>
      <c r="AC2966" s="43">
        <v>0.16200000000000001</v>
      </c>
      <c r="AJ2966" s="13">
        <f t="shared" si="267"/>
        <v>2.9619999999999997</v>
      </c>
      <c r="AK2966">
        <v>0</v>
      </c>
    </row>
    <row r="2967" spans="1:37" ht="19">
      <c r="A2967" s="39" t="s">
        <v>17</v>
      </c>
      <c r="B2967" s="8">
        <v>2024</v>
      </c>
      <c r="C2967" s="8" t="s">
        <v>109</v>
      </c>
      <c r="D2967" s="9" t="s">
        <v>109</v>
      </c>
      <c r="E2967" s="9" t="s">
        <v>111</v>
      </c>
      <c r="F2967" s="9" t="s">
        <v>111</v>
      </c>
      <c r="I2967" s="9" t="s">
        <v>11</v>
      </c>
      <c r="J2967" s="9" t="s">
        <v>11</v>
      </c>
      <c r="K2967" s="9" t="s">
        <v>82</v>
      </c>
      <c r="L2967" s="9" t="s">
        <v>171</v>
      </c>
      <c r="M2967" t="s">
        <v>1888</v>
      </c>
      <c r="O2967" t="s">
        <v>1943</v>
      </c>
      <c r="P2967" t="s">
        <v>1944</v>
      </c>
      <c r="S2967">
        <v>183</v>
      </c>
      <c r="U2967" s="14" t="s">
        <v>77</v>
      </c>
      <c r="V2967" t="s">
        <v>1720</v>
      </c>
      <c r="X2967" s="43">
        <v>1.1000000000000001</v>
      </c>
      <c r="AA2967" s="43"/>
      <c r="AB2967" s="43">
        <v>0.25</v>
      </c>
      <c r="AC2967" s="43">
        <v>7.6499999999999999E-2</v>
      </c>
      <c r="AJ2967" s="13">
        <f t="shared" si="267"/>
        <v>1.4265000000000001</v>
      </c>
      <c r="AK2967">
        <v>0</v>
      </c>
    </row>
    <row r="2968" spans="1:37" ht="19">
      <c r="A2968" s="39" t="s">
        <v>17</v>
      </c>
      <c r="B2968" s="8">
        <v>2024</v>
      </c>
      <c r="C2968" s="8" t="s">
        <v>109</v>
      </c>
      <c r="D2968" s="9" t="s">
        <v>109</v>
      </c>
      <c r="E2968" s="9" t="s">
        <v>111</v>
      </c>
      <c r="F2968" s="9" t="s">
        <v>111</v>
      </c>
      <c r="I2968" s="9" t="s">
        <v>11</v>
      </c>
      <c r="J2968" s="9" t="s">
        <v>11</v>
      </c>
      <c r="K2968" s="9" t="s">
        <v>82</v>
      </c>
      <c r="L2968" s="9" t="s">
        <v>171</v>
      </c>
      <c r="M2968" t="s">
        <v>1888</v>
      </c>
      <c r="O2968" t="s">
        <v>1943</v>
      </c>
      <c r="P2968" t="s">
        <v>1945</v>
      </c>
      <c r="S2968">
        <v>387</v>
      </c>
      <c r="U2968" s="14" t="s">
        <v>77</v>
      </c>
      <c r="V2968" t="s">
        <v>1720</v>
      </c>
      <c r="X2968" s="43">
        <v>3</v>
      </c>
      <c r="AA2968" s="43"/>
      <c r="AB2968" s="43">
        <v>0.65</v>
      </c>
      <c r="AC2968" s="43">
        <v>0.21149999999999999</v>
      </c>
      <c r="AJ2968" s="13">
        <f t="shared" si="267"/>
        <v>3.8614999999999999</v>
      </c>
      <c r="AK2968">
        <v>0</v>
      </c>
    </row>
    <row r="2969" spans="1:37" ht="19">
      <c r="A2969" s="39" t="s">
        <v>17</v>
      </c>
      <c r="B2969" s="8">
        <v>2024</v>
      </c>
      <c r="C2969" s="8" t="s">
        <v>109</v>
      </c>
      <c r="D2969" s="9" t="s">
        <v>109</v>
      </c>
      <c r="E2969" s="9" t="s">
        <v>111</v>
      </c>
      <c r="F2969" s="9" t="s">
        <v>111</v>
      </c>
      <c r="I2969" s="9" t="s">
        <v>11</v>
      </c>
      <c r="J2969" s="9" t="s">
        <v>11</v>
      </c>
      <c r="K2969" s="9" t="s">
        <v>82</v>
      </c>
      <c r="L2969" s="9" t="s">
        <v>171</v>
      </c>
      <c r="M2969" t="s">
        <v>1888</v>
      </c>
      <c r="O2969" t="s">
        <v>1943</v>
      </c>
      <c r="P2969" t="s">
        <v>1053</v>
      </c>
      <c r="S2969">
        <v>484</v>
      </c>
      <c r="U2969" s="14" t="s">
        <v>77</v>
      </c>
      <c r="V2969" t="s">
        <v>1720</v>
      </c>
      <c r="X2969" s="43">
        <v>3.75</v>
      </c>
      <c r="AA2969" s="43"/>
      <c r="AB2969" s="43">
        <v>0.8</v>
      </c>
      <c r="AC2969" s="43">
        <v>0.26550000000000001</v>
      </c>
      <c r="AJ2969" s="13">
        <f t="shared" si="267"/>
        <v>4.8155000000000001</v>
      </c>
      <c r="AK2969">
        <v>0</v>
      </c>
    </row>
    <row r="2970" spans="1:37" ht="19">
      <c r="A2970" s="39" t="s">
        <v>17</v>
      </c>
      <c r="B2970" s="8">
        <v>2024</v>
      </c>
      <c r="C2970" s="8" t="s">
        <v>109</v>
      </c>
      <c r="D2970" s="9" t="s">
        <v>109</v>
      </c>
      <c r="E2970" s="9" t="s">
        <v>111</v>
      </c>
      <c r="F2970" s="9" t="s">
        <v>111</v>
      </c>
      <c r="I2970" s="9" t="s">
        <v>11</v>
      </c>
      <c r="J2970" s="9" t="s">
        <v>11</v>
      </c>
      <c r="K2970" s="9" t="s">
        <v>82</v>
      </c>
      <c r="L2970" s="9" t="s">
        <v>171</v>
      </c>
      <c r="M2970" t="s">
        <v>1888</v>
      </c>
      <c r="O2970" t="s">
        <v>1943</v>
      </c>
      <c r="P2970" t="s">
        <v>1946</v>
      </c>
      <c r="S2970">
        <v>433</v>
      </c>
      <c r="U2970" t="s">
        <v>112</v>
      </c>
      <c r="V2970" t="s">
        <v>1484</v>
      </c>
      <c r="X2970" s="43">
        <v>1.45</v>
      </c>
      <c r="AA2970" s="43"/>
      <c r="AB2970" s="43">
        <v>0.05</v>
      </c>
      <c r="AC2970" s="43">
        <v>0.10349999999999999</v>
      </c>
      <c r="AK2970">
        <v>9564104</v>
      </c>
    </row>
    <row r="2971" spans="1:37" ht="19">
      <c r="A2971" s="39" t="s">
        <v>17</v>
      </c>
      <c r="B2971" s="8">
        <v>2024</v>
      </c>
      <c r="C2971" s="8" t="s">
        <v>109</v>
      </c>
      <c r="D2971" s="9" t="s">
        <v>109</v>
      </c>
      <c r="E2971" s="9" t="s">
        <v>111</v>
      </c>
      <c r="F2971" s="9" t="s">
        <v>111</v>
      </c>
      <c r="I2971" s="9" t="s">
        <v>11</v>
      </c>
      <c r="J2971" s="9" t="s">
        <v>11</v>
      </c>
      <c r="K2971" s="9" t="s">
        <v>82</v>
      </c>
      <c r="L2971" s="9" t="s">
        <v>171</v>
      </c>
      <c r="M2971" t="s">
        <v>1888</v>
      </c>
      <c r="O2971" t="s">
        <v>1947</v>
      </c>
      <c r="P2971" t="s">
        <v>1948</v>
      </c>
      <c r="S2971">
        <v>190</v>
      </c>
      <c r="U2971" s="14" t="s">
        <v>77</v>
      </c>
      <c r="V2971" t="s">
        <v>1720</v>
      </c>
      <c r="X2971" s="43">
        <v>0.75</v>
      </c>
      <c r="AA2971" s="43"/>
      <c r="AB2971" s="43">
        <v>0.15</v>
      </c>
      <c r="AC2971" s="43">
        <v>5.8500000000000003E-2</v>
      </c>
      <c r="AJ2971" s="13">
        <f t="shared" ref="AJ2971:AJ2979" si="268">SUBTOTAL(9,X2971:AI2971)</f>
        <v>0.95850000000000002</v>
      </c>
      <c r="AK2971">
        <v>0</v>
      </c>
    </row>
    <row r="2972" spans="1:37" ht="19">
      <c r="A2972" s="39" t="s">
        <v>17</v>
      </c>
      <c r="B2972" s="8">
        <v>2024</v>
      </c>
      <c r="C2972" s="8" t="s">
        <v>109</v>
      </c>
      <c r="D2972" s="9" t="s">
        <v>109</v>
      </c>
      <c r="E2972" s="9" t="s">
        <v>111</v>
      </c>
      <c r="F2972" s="9" t="s">
        <v>111</v>
      </c>
      <c r="I2972" s="9" t="s">
        <v>11</v>
      </c>
      <c r="J2972" s="9" t="s">
        <v>11</v>
      </c>
      <c r="K2972" s="9" t="s">
        <v>82</v>
      </c>
      <c r="L2972" s="9" t="s">
        <v>171</v>
      </c>
      <c r="M2972" t="s">
        <v>1888</v>
      </c>
      <c r="O2972" t="s">
        <v>1947</v>
      </c>
      <c r="P2972" t="s">
        <v>1949</v>
      </c>
      <c r="S2972">
        <v>279</v>
      </c>
      <c r="U2972" s="14" t="s">
        <v>77</v>
      </c>
      <c r="V2972" t="s">
        <v>1720</v>
      </c>
      <c r="X2972" s="43">
        <v>1.75</v>
      </c>
      <c r="AA2972" s="43"/>
      <c r="AB2972" s="43">
        <v>0.35</v>
      </c>
      <c r="AC2972" s="43">
        <v>0.1215</v>
      </c>
      <c r="AJ2972" s="13">
        <f t="shared" si="268"/>
        <v>2.2215000000000003</v>
      </c>
      <c r="AK2972">
        <v>0</v>
      </c>
    </row>
    <row r="2973" spans="1:37" ht="19">
      <c r="A2973" s="39" t="s">
        <v>17</v>
      </c>
      <c r="B2973" s="8">
        <v>2024</v>
      </c>
      <c r="C2973" s="8" t="s">
        <v>109</v>
      </c>
      <c r="D2973" s="9" t="s">
        <v>109</v>
      </c>
      <c r="E2973" s="9" t="s">
        <v>111</v>
      </c>
      <c r="F2973" s="9" t="s">
        <v>111</v>
      </c>
      <c r="I2973" s="9" t="s">
        <v>11</v>
      </c>
      <c r="J2973" s="9" t="s">
        <v>11</v>
      </c>
      <c r="K2973" s="9" t="s">
        <v>82</v>
      </c>
      <c r="L2973" s="9" t="s">
        <v>171</v>
      </c>
      <c r="M2973" t="s">
        <v>1888</v>
      </c>
      <c r="O2973" t="s">
        <v>1947</v>
      </c>
      <c r="P2973" t="s">
        <v>1950</v>
      </c>
      <c r="S2973">
        <v>278</v>
      </c>
      <c r="U2973" s="14" t="s">
        <v>77</v>
      </c>
      <c r="V2973" t="s">
        <v>1720</v>
      </c>
      <c r="X2973" s="43">
        <v>2</v>
      </c>
      <c r="AA2973" s="43"/>
      <c r="AB2973" s="43">
        <v>0.4</v>
      </c>
      <c r="AC2973" s="43">
        <v>0.14399999999999999</v>
      </c>
      <c r="AJ2973" s="13">
        <f t="shared" si="268"/>
        <v>2.544</v>
      </c>
      <c r="AK2973">
        <v>0</v>
      </c>
    </row>
    <row r="2974" spans="1:37" ht="19">
      <c r="A2974" s="39" t="s">
        <v>17</v>
      </c>
      <c r="B2974" s="8">
        <v>2024</v>
      </c>
      <c r="C2974" s="8" t="s">
        <v>109</v>
      </c>
      <c r="D2974" s="9" t="s">
        <v>109</v>
      </c>
      <c r="E2974" s="9" t="s">
        <v>111</v>
      </c>
      <c r="F2974" s="9" t="s">
        <v>111</v>
      </c>
      <c r="I2974" s="9" t="s">
        <v>11</v>
      </c>
      <c r="J2974" s="9" t="s">
        <v>11</v>
      </c>
      <c r="K2974" s="9" t="s">
        <v>82</v>
      </c>
      <c r="L2974" s="9" t="s">
        <v>171</v>
      </c>
      <c r="M2974" t="s">
        <v>1888</v>
      </c>
      <c r="O2974" t="s">
        <v>1947</v>
      </c>
      <c r="P2974" t="s">
        <v>1951</v>
      </c>
      <c r="S2974">
        <v>362</v>
      </c>
      <c r="U2974" s="14" t="s">
        <v>77</v>
      </c>
      <c r="V2974" t="s">
        <v>1720</v>
      </c>
      <c r="X2974" s="43">
        <v>2.2999999999999998</v>
      </c>
      <c r="AA2974" s="43"/>
      <c r="AB2974" s="43">
        <v>0.5</v>
      </c>
      <c r="AC2974" s="43">
        <v>0.16650000000000001</v>
      </c>
      <c r="AJ2974" s="13">
        <f t="shared" si="268"/>
        <v>2.9664999999999999</v>
      </c>
      <c r="AK2974">
        <v>0</v>
      </c>
    </row>
    <row r="2975" spans="1:37" ht="19">
      <c r="A2975" s="39" t="s">
        <v>17</v>
      </c>
      <c r="B2975" s="8">
        <v>2024</v>
      </c>
      <c r="C2975" s="8" t="s">
        <v>109</v>
      </c>
      <c r="D2975" s="9" t="s">
        <v>109</v>
      </c>
      <c r="E2975" s="9" t="s">
        <v>111</v>
      </c>
      <c r="F2975" s="9" t="s">
        <v>111</v>
      </c>
      <c r="I2975" s="9" t="s">
        <v>11</v>
      </c>
      <c r="J2975" s="9" t="s">
        <v>11</v>
      </c>
      <c r="K2975" s="9" t="s">
        <v>82</v>
      </c>
      <c r="L2975" s="9" t="s">
        <v>171</v>
      </c>
      <c r="M2975" t="s">
        <v>1888</v>
      </c>
      <c r="O2975" t="s">
        <v>1952</v>
      </c>
      <c r="P2975" t="s">
        <v>1953</v>
      </c>
      <c r="S2975">
        <v>244</v>
      </c>
      <c r="U2975" s="14" t="s">
        <v>77</v>
      </c>
      <c r="V2975" t="s">
        <v>1720</v>
      </c>
      <c r="X2975" s="43">
        <v>1.45</v>
      </c>
      <c r="AA2975" s="43"/>
      <c r="AB2975" s="43">
        <v>0.3</v>
      </c>
      <c r="AC2975" s="43">
        <v>0.10349999999999999</v>
      </c>
      <c r="AJ2975" s="13">
        <f t="shared" si="268"/>
        <v>1.8534999999999999</v>
      </c>
      <c r="AK2975">
        <v>0</v>
      </c>
    </row>
    <row r="2976" spans="1:37" ht="19">
      <c r="A2976" s="39" t="s">
        <v>17</v>
      </c>
      <c r="B2976" s="8">
        <v>2024</v>
      </c>
      <c r="C2976" s="8" t="s">
        <v>109</v>
      </c>
      <c r="D2976" s="9" t="s">
        <v>109</v>
      </c>
      <c r="E2976" s="9" t="s">
        <v>111</v>
      </c>
      <c r="F2976" s="9" t="s">
        <v>111</v>
      </c>
      <c r="I2976" s="9" t="s">
        <v>11</v>
      </c>
      <c r="J2976" s="9" t="s">
        <v>11</v>
      </c>
      <c r="K2976" s="9" t="s">
        <v>82</v>
      </c>
      <c r="L2976" s="9" t="s">
        <v>171</v>
      </c>
      <c r="M2976" t="s">
        <v>1888</v>
      </c>
      <c r="O2976" t="s">
        <v>1952</v>
      </c>
      <c r="P2976" t="s">
        <v>1954</v>
      </c>
      <c r="S2976">
        <v>518</v>
      </c>
      <c r="U2976" s="14" t="s">
        <v>77</v>
      </c>
      <c r="V2976" t="s">
        <v>1720</v>
      </c>
      <c r="X2976" s="43">
        <v>3.45</v>
      </c>
      <c r="AA2976" s="43"/>
      <c r="AB2976" s="43">
        <v>0.75</v>
      </c>
      <c r="AC2976" s="43">
        <v>0.2475</v>
      </c>
      <c r="AJ2976" s="13">
        <f t="shared" si="268"/>
        <v>4.4474999999999998</v>
      </c>
      <c r="AK2976">
        <v>0</v>
      </c>
    </row>
    <row r="2977" spans="1:37" ht="19">
      <c r="A2977" s="39" t="s">
        <v>17</v>
      </c>
      <c r="B2977" s="8">
        <v>2024</v>
      </c>
      <c r="C2977" s="8" t="s">
        <v>109</v>
      </c>
      <c r="D2977" s="9" t="s">
        <v>109</v>
      </c>
      <c r="E2977" s="9" t="s">
        <v>111</v>
      </c>
      <c r="F2977" s="9" t="s">
        <v>111</v>
      </c>
      <c r="I2977" s="9" t="s">
        <v>11</v>
      </c>
      <c r="J2977" s="9" t="s">
        <v>11</v>
      </c>
      <c r="K2977" s="9" t="s">
        <v>82</v>
      </c>
      <c r="L2977" s="9" t="s">
        <v>171</v>
      </c>
      <c r="M2977" t="s">
        <v>1888</v>
      </c>
      <c r="O2977" t="s">
        <v>1952</v>
      </c>
      <c r="P2977" t="s">
        <v>1955</v>
      </c>
      <c r="S2977">
        <v>297</v>
      </c>
      <c r="U2977" s="14" t="s">
        <v>77</v>
      </c>
      <c r="V2977" t="s">
        <v>1720</v>
      </c>
      <c r="X2977" s="43">
        <v>1.1499999999999999</v>
      </c>
      <c r="AA2977" s="43"/>
      <c r="AB2977" s="43">
        <v>0.25</v>
      </c>
      <c r="AC2977" s="43">
        <v>8.1000000000000003E-2</v>
      </c>
      <c r="AJ2977" s="13">
        <f t="shared" si="268"/>
        <v>1.4809999999999999</v>
      </c>
      <c r="AK2977">
        <v>0</v>
      </c>
    </row>
    <row r="2978" spans="1:37" ht="19">
      <c r="A2978" s="39" t="s">
        <v>17</v>
      </c>
      <c r="B2978" s="8">
        <v>2024</v>
      </c>
      <c r="C2978" s="8" t="s">
        <v>109</v>
      </c>
      <c r="D2978" s="9" t="s">
        <v>109</v>
      </c>
      <c r="E2978" s="9" t="s">
        <v>111</v>
      </c>
      <c r="F2978" s="9" t="s">
        <v>111</v>
      </c>
      <c r="I2978" s="9" t="s">
        <v>11</v>
      </c>
      <c r="J2978" s="9" t="s">
        <v>11</v>
      </c>
      <c r="K2978" s="9" t="s">
        <v>82</v>
      </c>
      <c r="L2978" s="9" t="s">
        <v>171</v>
      </c>
      <c r="M2978" t="s">
        <v>1888</v>
      </c>
      <c r="O2978" t="s">
        <v>1952</v>
      </c>
      <c r="P2978" t="s">
        <v>1956</v>
      </c>
      <c r="S2978">
        <v>318</v>
      </c>
      <c r="U2978" s="14" t="s">
        <v>77</v>
      </c>
      <c r="V2978" t="s">
        <v>1720</v>
      </c>
      <c r="X2978" s="43">
        <v>2.4</v>
      </c>
      <c r="AA2978" s="43"/>
      <c r="AB2978" s="43">
        <v>0.5</v>
      </c>
      <c r="AC2978" s="43">
        <v>0.17549999999999999</v>
      </c>
      <c r="AJ2978" s="13">
        <f t="shared" si="268"/>
        <v>3.0754999999999999</v>
      </c>
      <c r="AK2978">
        <v>0</v>
      </c>
    </row>
    <row r="2979" spans="1:37" ht="19">
      <c r="A2979" s="39" t="s">
        <v>17</v>
      </c>
      <c r="B2979" s="8">
        <v>2024</v>
      </c>
      <c r="C2979" s="8" t="s">
        <v>109</v>
      </c>
      <c r="D2979" s="9" t="s">
        <v>109</v>
      </c>
      <c r="E2979" s="9" t="s">
        <v>111</v>
      </c>
      <c r="F2979" s="9" t="s">
        <v>111</v>
      </c>
      <c r="I2979" s="9" t="s">
        <v>11</v>
      </c>
      <c r="J2979" s="9" t="s">
        <v>11</v>
      </c>
      <c r="K2979" s="9" t="s">
        <v>82</v>
      </c>
      <c r="L2979" s="9" t="s">
        <v>171</v>
      </c>
      <c r="M2979" t="s">
        <v>1888</v>
      </c>
      <c r="O2979" t="s">
        <v>1952</v>
      </c>
      <c r="P2979" t="s">
        <v>702</v>
      </c>
      <c r="S2979">
        <v>188</v>
      </c>
      <c r="U2979" s="14" t="s">
        <v>77</v>
      </c>
      <c r="V2979" t="s">
        <v>1720</v>
      </c>
      <c r="X2979" s="43">
        <v>1.3</v>
      </c>
      <c r="AA2979" s="43"/>
      <c r="AB2979" s="43">
        <v>0.3</v>
      </c>
      <c r="AC2979" s="43">
        <v>9.4500000000000001E-2</v>
      </c>
      <c r="AJ2979" s="13">
        <f t="shared" si="268"/>
        <v>1.6945000000000001</v>
      </c>
      <c r="AK2979">
        <v>0</v>
      </c>
    </row>
    <row r="2980" spans="1:37" ht="19">
      <c r="A2980" s="39" t="s">
        <v>17</v>
      </c>
      <c r="B2980" s="8">
        <v>2024</v>
      </c>
      <c r="C2980" s="8" t="s">
        <v>109</v>
      </c>
      <c r="D2980" s="9" t="s">
        <v>109</v>
      </c>
      <c r="E2980" s="9" t="s">
        <v>111</v>
      </c>
      <c r="F2980" s="9" t="s">
        <v>111</v>
      </c>
      <c r="I2980" s="9" t="s">
        <v>11</v>
      </c>
      <c r="J2980" s="9" t="s">
        <v>11</v>
      </c>
      <c r="K2980" s="9" t="s">
        <v>82</v>
      </c>
      <c r="L2980" s="9" t="s">
        <v>171</v>
      </c>
      <c r="M2980" t="s">
        <v>1888</v>
      </c>
      <c r="O2980" t="s">
        <v>1957</v>
      </c>
      <c r="P2980" t="s">
        <v>1958</v>
      </c>
      <c r="S2980">
        <v>286</v>
      </c>
      <c r="U2980" t="s">
        <v>112</v>
      </c>
      <c r="V2980" t="s">
        <v>1484</v>
      </c>
      <c r="X2980" s="43">
        <v>2.2000000000000002</v>
      </c>
      <c r="AA2980" s="43"/>
      <c r="AB2980" s="43">
        <v>0.1</v>
      </c>
      <c r="AC2980" s="43">
        <v>0.1575</v>
      </c>
      <c r="AK2980">
        <v>6317168</v>
      </c>
    </row>
    <row r="2981" spans="1:37" ht="19">
      <c r="A2981" s="39" t="s">
        <v>17</v>
      </c>
      <c r="B2981" s="8">
        <v>2024</v>
      </c>
      <c r="C2981" s="8" t="s">
        <v>109</v>
      </c>
      <c r="D2981" s="9" t="s">
        <v>109</v>
      </c>
      <c r="E2981" s="9" t="s">
        <v>111</v>
      </c>
      <c r="F2981" s="9" t="s">
        <v>111</v>
      </c>
      <c r="I2981" s="9" t="s">
        <v>11</v>
      </c>
      <c r="J2981" s="9" t="s">
        <v>11</v>
      </c>
      <c r="K2981" s="9" t="s">
        <v>82</v>
      </c>
      <c r="L2981" s="9" t="s">
        <v>171</v>
      </c>
      <c r="M2981" t="s">
        <v>1888</v>
      </c>
      <c r="O2981" t="s">
        <v>1957</v>
      </c>
      <c r="P2981" t="s">
        <v>1734</v>
      </c>
      <c r="S2981">
        <v>295</v>
      </c>
      <c r="U2981" s="14" t="s">
        <v>77</v>
      </c>
      <c r="V2981" t="s">
        <v>1720</v>
      </c>
      <c r="X2981" s="43">
        <v>2.25</v>
      </c>
      <c r="AA2981" s="43"/>
      <c r="AB2981" s="43">
        <v>0.5</v>
      </c>
      <c r="AC2981" s="43">
        <v>0.16200000000000001</v>
      </c>
      <c r="AJ2981" s="13">
        <f t="shared" ref="AJ2981:AJ2999" si="269">SUBTOTAL(9,X2981:AI2981)</f>
        <v>2.9119999999999999</v>
      </c>
      <c r="AK2981">
        <v>0</v>
      </c>
    </row>
    <row r="2982" spans="1:37" ht="19">
      <c r="A2982" s="39" t="s">
        <v>17</v>
      </c>
      <c r="B2982" s="8">
        <v>2024</v>
      </c>
      <c r="C2982" s="8" t="s">
        <v>109</v>
      </c>
      <c r="D2982" s="9" t="s">
        <v>109</v>
      </c>
      <c r="E2982" s="9" t="s">
        <v>111</v>
      </c>
      <c r="F2982" s="9" t="s">
        <v>111</v>
      </c>
      <c r="I2982" s="9" t="s">
        <v>11</v>
      </c>
      <c r="J2982" s="9" t="s">
        <v>11</v>
      </c>
      <c r="K2982" s="9" t="s">
        <v>82</v>
      </c>
      <c r="L2982" s="9" t="s">
        <v>171</v>
      </c>
      <c r="M2982" t="s">
        <v>1888</v>
      </c>
      <c r="O2982" t="s">
        <v>1957</v>
      </c>
      <c r="P2982" t="s">
        <v>1959</v>
      </c>
      <c r="S2982">
        <v>256</v>
      </c>
      <c r="U2982" s="14" t="s">
        <v>77</v>
      </c>
      <c r="V2982" t="s">
        <v>1720</v>
      </c>
      <c r="X2982" s="43">
        <v>1.95</v>
      </c>
      <c r="AA2982" s="43"/>
      <c r="AB2982" s="43">
        <v>0.45</v>
      </c>
      <c r="AC2982" s="43">
        <v>0.13950000000000001</v>
      </c>
      <c r="AJ2982" s="13">
        <f t="shared" si="269"/>
        <v>2.5394999999999999</v>
      </c>
      <c r="AK2982">
        <v>0</v>
      </c>
    </row>
    <row r="2983" spans="1:37" ht="19">
      <c r="A2983" s="39" t="s">
        <v>17</v>
      </c>
      <c r="B2983" s="8">
        <v>2024</v>
      </c>
      <c r="C2983" s="8" t="s">
        <v>109</v>
      </c>
      <c r="D2983" s="9" t="s">
        <v>109</v>
      </c>
      <c r="E2983" s="9" t="s">
        <v>111</v>
      </c>
      <c r="F2983" s="9" t="s">
        <v>111</v>
      </c>
      <c r="I2983" s="9" t="s">
        <v>11</v>
      </c>
      <c r="J2983" s="9" t="s">
        <v>11</v>
      </c>
      <c r="K2983" s="9" t="s">
        <v>82</v>
      </c>
      <c r="L2983" s="9" t="s">
        <v>171</v>
      </c>
      <c r="M2983" t="s">
        <v>1888</v>
      </c>
      <c r="O2983" t="s">
        <v>1957</v>
      </c>
      <c r="P2983" t="s">
        <v>1960</v>
      </c>
      <c r="S2983">
        <v>435</v>
      </c>
      <c r="U2983" s="14" t="s">
        <v>77</v>
      </c>
      <c r="V2983" t="s">
        <v>1720</v>
      </c>
      <c r="X2983" s="43">
        <v>3.35</v>
      </c>
      <c r="AA2983" s="43"/>
      <c r="AB2983" s="43">
        <v>0.75</v>
      </c>
      <c r="AC2983" s="43">
        <v>0.23849999999999999</v>
      </c>
      <c r="AJ2983" s="13">
        <f t="shared" si="269"/>
        <v>4.3384999999999998</v>
      </c>
      <c r="AK2983">
        <v>0</v>
      </c>
    </row>
    <row r="2984" spans="1:37" ht="19">
      <c r="A2984" s="39" t="s">
        <v>17</v>
      </c>
      <c r="B2984" s="8">
        <v>2024</v>
      </c>
      <c r="C2984" s="8" t="s">
        <v>109</v>
      </c>
      <c r="D2984" s="9" t="s">
        <v>109</v>
      </c>
      <c r="E2984" s="9" t="s">
        <v>111</v>
      </c>
      <c r="F2984" s="9" t="s">
        <v>111</v>
      </c>
      <c r="I2984" s="9" t="s">
        <v>11</v>
      </c>
      <c r="J2984" s="9" t="s">
        <v>11</v>
      </c>
      <c r="K2984" s="9" t="s">
        <v>82</v>
      </c>
      <c r="L2984" s="9" t="s">
        <v>171</v>
      </c>
      <c r="M2984" t="s">
        <v>1888</v>
      </c>
      <c r="O2984" t="s">
        <v>1957</v>
      </c>
      <c r="P2984" t="s">
        <v>1961</v>
      </c>
      <c r="S2984">
        <v>310</v>
      </c>
      <c r="U2984" s="14" t="s">
        <v>77</v>
      </c>
      <c r="V2984" t="s">
        <v>1720</v>
      </c>
      <c r="X2984" s="43">
        <v>2.4</v>
      </c>
      <c r="AA2984" s="43"/>
      <c r="AB2984" s="43">
        <v>0.55000000000000004</v>
      </c>
      <c r="AC2984" s="43">
        <v>0.17100000000000001</v>
      </c>
      <c r="AJ2984" s="13">
        <f t="shared" si="269"/>
        <v>3.121</v>
      </c>
      <c r="AK2984">
        <v>0</v>
      </c>
    </row>
    <row r="2985" spans="1:37" ht="19">
      <c r="A2985" s="39" t="s">
        <v>17</v>
      </c>
      <c r="B2985" s="8">
        <v>2024</v>
      </c>
      <c r="C2985" s="8" t="s">
        <v>109</v>
      </c>
      <c r="D2985" s="9" t="s">
        <v>109</v>
      </c>
      <c r="E2985" s="9" t="s">
        <v>111</v>
      </c>
      <c r="F2985" s="9" t="s">
        <v>111</v>
      </c>
      <c r="I2985" s="9" t="s">
        <v>11</v>
      </c>
      <c r="J2985" s="9" t="s">
        <v>11</v>
      </c>
      <c r="K2985" s="9" t="s">
        <v>82</v>
      </c>
      <c r="L2985" s="9" t="s">
        <v>171</v>
      </c>
      <c r="M2985" t="s">
        <v>1888</v>
      </c>
      <c r="O2985" t="s">
        <v>1957</v>
      </c>
      <c r="P2985" t="s">
        <v>1962</v>
      </c>
      <c r="S2985">
        <v>273</v>
      </c>
      <c r="U2985" s="14" t="s">
        <v>77</v>
      </c>
      <c r="V2985" t="s">
        <v>1720</v>
      </c>
      <c r="X2985" s="43">
        <v>2.1</v>
      </c>
      <c r="AA2985" s="43"/>
      <c r="AB2985" s="43">
        <v>0.5</v>
      </c>
      <c r="AC2985" s="43">
        <v>0.14849999999999999</v>
      </c>
      <c r="AJ2985" s="13">
        <f t="shared" si="269"/>
        <v>2.7484999999999999</v>
      </c>
      <c r="AK2985">
        <v>0</v>
      </c>
    </row>
    <row r="2986" spans="1:37" ht="19">
      <c r="A2986" s="39" t="s">
        <v>17</v>
      </c>
      <c r="B2986" s="8">
        <v>2024</v>
      </c>
      <c r="C2986" s="8" t="s">
        <v>109</v>
      </c>
      <c r="D2986" s="9" t="s">
        <v>109</v>
      </c>
      <c r="E2986" s="9" t="s">
        <v>111</v>
      </c>
      <c r="F2986" s="9" t="s">
        <v>111</v>
      </c>
      <c r="I2986" s="9" t="s">
        <v>11</v>
      </c>
      <c r="J2986" s="9" t="s">
        <v>11</v>
      </c>
      <c r="K2986" s="9" t="s">
        <v>82</v>
      </c>
      <c r="L2986" s="9" t="s">
        <v>171</v>
      </c>
      <c r="M2986" t="s">
        <v>1888</v>
      </c>
      <c r="O2986" t="s">
        <v>1957</v>
      </c>
      <c r="P2986" t="s">
        <v>1963</v>
      </c>
      <c r="S2986">
        <v>208</v>
      </c>
      <c r="U2986" s="14" t="s">
        <v>77</v>
      </c>
      <c r="V2986" t="s">
        <v>1720</v>
      </c>
      <c r="X2986" s="43">
        <v>1.6</v>
      </c>
      <c r="AA2986" s="43"/>
      <c r="AB2986" s="43">
        <v>0.35</v>
      </c>
      <c r="AC2986" s="43">
        <v>0.1125</v>
      </c>
      <c r="AJ2986" s="13">
        <f t="shared" si="269"/>
        <v>2.0625</v>
      </c>
      <c r="AK2986">
        <v>0</v>
      </c>
    </row>
    <row r="2987" spans="1:37" ht="19">
      <c r="A2987" s="39" t="s">
        <v>17</v>
      </c>
      <c r="B2987" s="8">
        <v>2024</v>
      </c>
      <c r="C2987" s="8" t="s">
        <v>109</v>
      </c>
      <c r="D2987" s="9" t="s">
        <v>109</v>
      </c>
      <c r="E2987" s="9" t="s">
        <v>111</v>
      </c>
      <c r="F2987" s="9" t="s">
        <v>111</v>
      </c>
      <c r="I2987" s="9" t="s">
        <v>11</v>
      </c>
      <c r="J2987" s="9" t="s">
        <v>11</v>
      </c>
      <c r="K2987" s="9" t="s">
        <v>82</v>
      </c>
      <c r="L2987" s="9" t="s">
        <v>171</v>
      </c>
      <c r="M2987" t="s">
        <v>1888</v>
      </c>
      <c r="O2987" t="s">
        <v>1964</v>
      </c>
      <c r="P2987" t="s">
        <v>1965</v>
      </c>
      <c r="S2987">
        <v>360</v>
      </c>
      <c r="U2987" s="14" t="s">
        <v>77</v>
      </c>
      <c r="V2987" t="s">
        <v>1720</v>
      </c>
      <c r="X2987" s="43">
        <v>2.75</v>
      </c>
      <c r="AA2987" s="43"/>
      <c r="AB2987" s="43">
        <v>0.6</v>
      </c>
      <c r="AC2987" s="43">
        <v>0.19800000000000001</v>
      </c>
      <c r="AJ2987" s="13">
        <f t="shared" si="269"/>
        <v>3.548</v>
      </c>
      <c r="AK2987">
        <v>0</v>
      </c>
    </row>
    <row r="2988" spans="1:37" ht="19">
      <c r="A2988" s="39" t="s">
        <v>17</v>
      </c>
      <c r="B2988" s="8">
        <v>2024</v>
      </c>
      <c r="C2988" s="8" t="s">
        <v>109</v>
      </c>
      <c r="D2988" s="9" t="s">
        <v>109</v>
      </c>
      <c r="E2988" s="9" t="s">
        <v>111</v>
      </c>
      <c r="F2988" s="9" t="s">
        <v>111</v>
      </c>
      <c r="I2988" s="9" t="s">
        <v>11</v>
      </c>
      <c r="J2988" s="9" t="s">
        <v>11</v>
      </c>
      <c r="K2988" s="9" t="s">
        <v>82</v>
      </c>
      <c r="L2988" s="9" t="s">
        <v>171</v>
      </c>
      <c r="M2988" t="s">
        <v>1888</v>
      </c>
      <c r="O2988" t="s">
        <v>1964</v>
      </c>
      <c r="P2988" t="s">
        <v>1966</v>
      </c>
      <c r="S2988">
        <v>120</v>
      </c>
      <c r="U2988" s="14" t="s">
        <v>77</v>
      </c>
      <c r="V2988" t="s">
        <v>1720</v>
      </c>
      <c r="X2988" s="43">
        <v>0.9</v>
      </c>
      <c r="AA2988" s="43"/>
      <c r="AB2988" s="43">
        <v>0.2</v>
      </c>
      <c r="AC2988" s="43">
        <v>6.7500000000000004E-2</v>
      </c>
      <c r="AJ2988" s="13">
        <f t="shared" si="269"/>
        <v>1.1675</v>
      </c>
      <c r="AK2988">
        <v>0</v>
      </c>
    </row>
    <row r="2989" spans="1:37" ht="19">
      <c r="A2989" s="39" t="s">
        <v>17</v>
      </c>
      <c r="B2989" s="8">
        <v>2024</v>
      </c>
      <c r="C2989" s="8" t="s">
        <v>109</v>
      </c>
      <c r="D2989" s="9" t="s">
        <v>109</v>
      </c>
      <c r="E2989" s="9" t="s">
        <v>111</v>
      </c>
      <c r="F2989" s="9" t="s">
        <v>111</v>
      </c>
      <c r="I2989" s="9" t="s">
        <v>11</v>
      </c>
      <c r="J2989" s="9" t="s">
        <v>11</v>
      </c>
      <c r="K2989" s="9" t="s">
        <v>82</v>
      </c>
      <c r="L2989" s="9" t="s">
        <v>171</v>
      </c>
      <c r="M2989" t="s">
        <v>1888</v>
      </c>
      <c r="O2989" t="s">
        <v>1964</v>
      </c>
      <c r="P2989" t="s">
        <v>1967</v>
      </c>
      <c r="S2989">
        <v>210</v>
      </c>
      <c r="U2989" s="14" t="s">
        <v>77</v>
      </c>
      <c r="V2989" t="s">
        <v>1720</v>
      </c>
      <c r="X2989" s="43">
        <v>1.6</v>
      </c>
      <c r="AA2989" s="43"/>
      <c r="AB2989" s="43">
        <v>0.35</v>
      </c>
      <c r="AC2989" s="43">
        <v>0.11700000000000001</v>
      </c>
      <c r="AJ2989" s="13">
        <f t="shared" si="269"/>
        <v>2.0670000000000002</v>
      </c>
      <c r="AK2989">
        <v>0</v>
      </c>
    </row>
    <row r="2990" spans="1:37" ht="19">
      <c r="A2990" s="39" t="s">
        <v>17</v>
      </c>
      <c r="B2990" s="8">
        <v>2024</v>
      </c>
      <c r="C2990" s="8" t="s">
        <v>109</v>
      </c>
      <c r="D2990" s="9" t="s">
        <v>109</v>
      </c>
      <c r="E2990" s="9" t="s">
        <v>111</v>
      </c>
      <c r="F2990" s="9" t="s">
        <v>111</v>
      </c>
      <c r="I2990" s="9" t="s">
        <v>11</v>
      </c>
      <c r="J2990" s="9" t="s">
        <v>11</v>
      </c>
      <c r="K2990" s="9" t="s">
        <v>82</v>
      </c>
      <c r="L2990" s="9" t="s">
        <v>171</v>
      </c>
      <c r="M2990" t="s">
        <v>1888</v>
      </c>
      <c r="O2990" t="s">
        <v>1964</v>
      </c>
      <c r="P2990" t="s">
        <v>309</v>
      </c>
      <c r="S2990">
        <v>194</v>
      </c>
      <c r="U2990" s="14" t="s">
        <v>77</v>
      </c>
      <c r="V2990" t="s">
        <v>1720</v>
      </c>
      <c r="X2990" s="43">
        <v>1.5</v>
      </c>
      <c r="AA2990" s="43"/>
      <c r="AB2990" s="43">
        <v>0.35</v>
      </c>
      <c r="AC2990" s="43">
        <v>0.108</v>
      </c>
      <c r="AJ2990" s="13">
        <f t="shared" si="269"/>
        <v>1.9580000000000002</v>
      </c>
      <c r="AK2990">
        <v>0</v>
      </c>
    </row>
    <row r="2991" spans="1:37" ht="19">
      <c r="A2991" s="39" t="s">
        <v>17</v>
      </c>
      <c r="B2991" s="8">
        <v>2024</v>
      </c>
      <c r="C2991" s="8" t="s">
        <v>109</v>
      </c>
      <c r="D2991" s="9" t="s">
        <v>109</v>
      </c>
      <c r="E2991" s="9" t="s">
        <v>111</v>
      </c>
      <c r="F2991" s="9" t="s">
        <v>111</v>
      </c>
      <c r="I2991" s="9" t="s">
        <v>11</v>
      </c>
      <c r="J2991" s="9" t="s">
        <v>11</v>
      </c>
      <c r="K2991" s="9" t="s">
        <v>82</v>
      </c>
      <c r="L2991" s="9" t="s">
        <v>171</v>
      </c>
      <c r="M2991" t="s">
        <v>1888</v>
      </c>
      <c r="O2991" t="s">
        <v>1964</v>
      </c>
      <c r="P2991" t="s">
        <v>1968</v>
      </c>
      <c r="S2991">
        <v>209</v>
      </c>
      <c r="U2991" s="14" t="s">
        <v>77</v>
      </c>
      <c r="V2991" t="s">
        <v>1720</v>
      </c>
      <c r="X2991" s="43">
        <v>1.6</v>
      </c>
      <c r="AA2991" s="43"/>
      <c r="AB2991" s="43">
        <v>0.35</v>
      </c>
      <c r="AC2991" s="43">
        <v>0.11700000000000001</v>
      </c>
      <c r="AJ2991" s="13">
        <f t="shared" si="269"/>
        <v>2.0670000000000002</v>
      </c>
      <c r="AK2991">
        <v>0</v>
      </c>
    </row>
    <row r="2992" spans="1:37" ht="19">
      <c r="A2992" s="39" t="s">
        <v>17</v>
      </c>
      <c r="B2992" s="8">
        <v>2024</v>
      </c>
      <c r="C2992" s="8" t="s">
        <v>109</v>
      </c>
      <c r="D2992" s="9" t="s">
        <v>109</v>
      </c>
      <c r="E2992" s="9" t="s">
        <v>111</v>
      </c>
      <c r="F2992" s="9" t="s">
        <v>111</v>
      </c>
      <c r="I2992" s="9" t="s">
        <v>11</v>
      </c>
      <c r="J2992" s="9" t="s">
        <v>11</v>
      </c>
      <c r="K2992" s="9" t="s">
        <v>82</v>
      </c>
      <c r="L2992" s="9" t="s">
        <v>171</v>
      </c>
      <c r="M2992" t="s">
        <v>1888</v>
      </c>
      <c r="O2992" t="s">
        <v>1969</v>
      </c>
      <c r="P2992" t="s">
        <v>1970</v>
      </c>
      <c r="S2992">
        <v>266</v>
      </c>
      <c r="U2992" s="14" t="s">
        <v>77</v>
      </c>
      <c r="V2992" t="s">
        <v>1720</v>
      </c>
      <c r="X2992" s="43">
        <v>1.85</v>
      </c>
      <c r="AA2992" s="43"/>
      <c r="AB2992" s="43">
        <v>0.35</v>
      </c>
      <c r="AC2992" s="43">
        <v>0.1305</v>
      </c>
      <c r="AJ2992" s="13">
        <f t="shared" si="269"/>
        <v>2.3305000000000002</v>
      </c>
      <c r="AK2992">
        <v>0</v>
      </c>
    </row>
    <row r="2993" spans="1:37" ht="19">
      <c r="A2993" s="39" t="s">
        <v>17</v>
      </c>
      <c r="B2993" s="8">
        <v>2024</v>
      </c>
      <c r="C2993" s="8" t="s">
        <v>109</v>
      </c>
      <c r="D2993" s="9" t="s">
        <v>109</v>
      </c>
      <c r="E2993" s="9" t="s">
        <v>111</v>
      </c>
      <c r="F2993" s="9" t="s">
        <v>111</v>
      </c>
      <c r="I2993" s="9" t="s">
        <v>11</v>
      </c>
      <c r="J2993" s="9" t="s">
        <v>11</v>
      </c>
      <c r="K2993" s="9" t="s">
        <v>82</v>
      </c>
      <c r="L2993" s="9" t="s">
        <v>171</v>
      </c>
      <c r="M2993" t="s">
        <v>1888</v>
      </c>
      <c r="O2993" t="s">
        <v>1969</v>
      </c>
      <c r="P2993" t="s">
        <v>1971</v>
      </c>
      <c r="S2993">
        <v>222</v>
      </c>
      <c r="U2993" s="14" t="s">
        <v>77</v>
      </c>
      <c r="V2993" t="s">
        <v>1720</v>
      </c>
      <c r="X2993" s="43">
        <v>1.35</v>
      </c>
      <c r="AA2993" s="43"/>
      <c r="AB2993" s="43">
        <v>0.25</v>
      </c>
      <c r="AC2993" s="43">
        <v>9.9000000000000005E-2</v>
      </c>
      <c r="AJ2993" s="13">
        <f t="shared" si="269"/>
        <v>1.6990000000000001</v>
      </c>
      <c r="AK2993">
        <v>0</v>
      </c>
    </row>
    <row r="2994" spans="1:37" ht="19">
      <c r="A2994" s="39" t="s">
        <v>17</v>
      </c>
      <c r="B2994" s="8">
        <v>2024</v>
      </c>
      <c r="C2994" s="8" t="s">
        <v>109</v>
      </c>
      <c r="D2994" s="9" t="s">
        <v>109</v>
      </c>
      <c r="E2994" s="9" t="s">
        <v>111</v>
      </c>
      <c r="F2994" s="9" t="s">
        <v>111</v>
      </c>
      <c r="I2994" s="9" t="s">
        <v>11</v>
      </c>
      <c r="J2994" s="9" t="s">
        <v>11</v>
      </c>
      <c r="K2994" s="9" t="s">
        <v>82</v>
      </c>
      <c r="L2994" s="9" t="s">
        <v>171</v>
      </c>
      <c r="M2994" t="s">
        <v>1888</v>
      </c>
      <c r="O2994" t="s">
        <v>1969</v>
      </c>
      <c r="P2994" t="s">
        <v>902</v>
      </c>
      <c r="S2994">
        <v>241</v>
      </c>
      <c r="U2994" s="14" t="s">
        <v>77</v>
      </c>
      <c r="V2994" t="s">
        <v>1720</v>
      </c>
      <c r="X2994" s="43">
        <v>1.3</v>
      </c>
      <c r="AA2994" s="43"/>
      <c r="AB2994" s="43">
        <v>0.3</v>
      </c>
      <c r="AC2994" s="43">
        <v>9.4500000000000001E-2</v>
      </c>
      <c r="AJ2994" s="13">
        <f t="shared" si="269"/>
        <v>1.6945000000000001</v>
      </c>
      <c r="AK2994">
        <v>0</v>
      </c>
    </row>
    <row r="2995" spans="1:37" ht="19">
      <c r="A2995" s="39" t="s">
        <v>17</v>
      </c>
      <c r="B2995" s="8">
        <v>2024</v>
      </c>
      <c r="C2995" s="8" t="s">
        <v>109</v>
      </c>
      <c r="D2995" s="9" t="s">
        <v>109</v>
      </c>
      <c r="E2995" s="9" t="s">
        <v>111</v>
      </c>
      <c r="F2995" s="9" t="s">
        <v>111</v>
      </c>
      <c r="I2995" s="9" t="s">
        <v>11</v>
      </c>
      <c r="J2995" s="9" t="s">
        <v>11</v>
      </c>
      <c r="K2995" s="9" t="s">
        <v>82</v>
      </c>
      <c r="L2995" s="9" t="s">
        <v>171</v>
      </c>
      <c r="M2995" t="s">
        <v>1888</v>
      </c>
      <c r="O2995" t="s">
        <v>1969</v>
      </c>
      <c r="P2995" t="s">
        <v>1972</v>
      </c>
      <c r="S2995">
        <v>393</v>
      </c>
      <c r="U2995" s="14" t="s">
        <v>77</v>
      </c>
      <c r="V2995" t="s">
        <v>1720</v>
      </c>
      <c r="X2995" s="43">
        <v>2.1</v>
      </c>
      <c r="AA2995" s="43"/>
      <c r="AB2995" s="43">
        <v>0.45</v>
      </c>
      <c r="AC2995" s="43">
        <v>0.153</v>
      </c>
      <c r="AJ2995" s="13">
        <f t="shared" si="269"/>
        <v>2.7030000000000003</v>
      </c>
      <c r="AK2995">
        <v>0</v>
      </c>
    </row>
    <row r="2996" spans="1:37" ht="19">
      <c r="A2996" s="39" t="s">
        <v>17</v>
      </c>
      <c r="B2996" s="8">
        <v>2024</v>
      </c>
      <c r="C2996" s="8" t="s">
        <v>109</v>
      </c>
      <c r="D2996" s="9" t="s">
        <v>109</v>
      </c>
      <c r="E2996" s="9" t="s">
        <v>111</v>
      </c>
      <c r="F2996" s="9" t="s">
        <v>111</v>
      </c>
      <c r="I2996" s="9" t="s">
        <v>11</v>
      </c>
      <c r="J2996" s="9" t="s">
        <v>11</v>
      </c>
      <c r="K2996" s="9" t="s">
        <v>82</v>
      </c>
      <c r="L2996" s="9" t="s">
        <v>171</v>
      </c>
      <c r="M2996" t="s">
        <v>1888</v>
      </c>
      <c r="O2996" t="s">
        <v>1969</v>
      </c>
      <c r="P2996" t="s">
        <v>1973</v>
      </c>
      <c r="S2996">
        <v>201</v>
      </c>
      <c r="U2996" s="14" t="s">
        <v>77</v>
      </c>
      <c r="V2996" t="s">
        <v>1720</v>
      </c>
      <c r="X2996" s="43">
        <v>0.9</v>
      </c>
      <c r="AA2996" s="43"/>
      <c r="AB2996" s="43">
        <v>0.2</v>
      </c>
      <c r="AC2996" s="43">
        <v>6.3E-2</v>
      </c>
      <c r="AJ2996" s="13">
        <f t="shared" si="269"/>
        <v>1.163</v>
      </c>
      <c r="AK2996">
        <v>0</v>
      </c>
    </row>
    <row r="2997" spans="1:37" ht="19">
      <c r="A2997" s="39" t="s">
        <v>17</v>
      </c>
      <c r="B2997" s="8">
        <v>2024</v>
      </c>
      <c r="C2997" s="8" t="s">
        <v>109</v>
      </c>
      <c r="D2997" s="9" t="s">
        <v>109</v>
      </c>
      <c r="E2997" s="9" t="s">
        <v>111</v>
      </c>
      <c r="F2997" s="9" t="s">
        <v>111</v>
      </c>
      <c r="I2997" s="9" t="s">
        <v>11</v>
      </c>
      <c r="J2997" s="9" t="s">
        <v>11</v>
      </c>
      <c r="K2997" s="9" t="s">
        <v>82</v>
      </c>
      <c r="L2997" s="9" t="s">
        <v>171</v>
      </c>
      <c r="M2997" t="s">
        <v>1888</v>
      </c>
      <c r="O2997" t="s">
        <v>1969</v>
      </c>
      <c r="P2997" t="s">
        <v>1974</v>
      </c>
      <c r="S2997">
        <v>189</v>
      </c>
      <c r="U2997" s="14" t="s">
        <v>77</v>
      </c>
      <c r="V2997" t="s">
        <v>1720</v>
      </c>
      <c r="X2997" s="43">
        <v>1.4</v>
      </c>
      <c r="AA2997" s="43"/>
      <c r="AB2997" s="43">
        <v>0.3</v>
      </c>
      <c r="AC2997" s="43">
        <v>9.9000000000000005E-2</v>
      </c>
      <c r="AJ2997" s="13">
        <f t="shared" si="269"/>
        <v>1.7989999999999999</v>
      </c>
      <c r="AK2997">
        <v>0</v>
      </c>
    </row>
    <row r="2998" spans="1:37" ht="19">
      <c r="A2998" s="39" t="s">
        <v>17</v>
      </c>
      <c r="B2998" s="8">
        <v>2024</v>
      </c>
      <c r="C2998" s="8" t="s">
        <v>109</v>
      </c>
      <c r="D2998" s="9" t="s">
        <v>109</v>
      </c>
      <c r="E2998" s="9" t="s">
        <v>111</v>
      </c>
      <c r="F2998" s="9" t="s">
        <v>111</v>
      </c>
      <c r="I2998" s="9" t="s">
        <v>11</v>
      </c>
      <c r="J2998" s="9" t="s">
        <v>11</v>
      </c>
      <c r="K2998" s="9" t="s">
        <v>82</v>
      </c>
      <c r="L2998" s="9" t="s">
        <v>171</v>
      </c>
      <c r="M2998" t="s">
        <v>1888</v>
      </c>
      <c r="O2998" t="s">
        <v>1969</v>
      </c>
      <c r="P2998" t="s">
        <v>1975</v>
      </c>
      <c r="S2998">
        <v>285</v>
      </c>
      <c r="U2998" s="14" t="s">
        <v>77</v>
      </c>
      <c r="V2998" t="s">
        <v>1720</v>
      </c>
      <c r="X2998" s="43">
        <v>2.2000000000000002</v>
      </c>
      <c r="AA2998" s="43"/>
      <c r="AB2998" s="43">
        <v>0.5</v>
      </c>
      <c r="AC2998" s="43">
        <v>0.1575</v>
      </c>
      <c r="AJ2998" s="13">
        <f t="shared" si="269"/>
        <v>2.8575000000000004</v>
      </c>
      <c r="AK2998">
        <v>0</v>
      </c>
    </row>
    <row r="2999" spans="1:37" ht="19">
      <c r="A2999" s="39" t="s">
        <v>17</v>
      </c>
      <c r="B2999" s="8">
        <v>2024</v>
      </c>
      <c r="C2999" s="8" t="s">
        <v>109</v>
      </c>
      <c r="D2999" s="9" t="s">
        <v>109</v>
      </c>
      <c r="E2999" s="9" t="s">
        <v>111</v>
      </c>
      <c r="F2999" s="9" t="s">
        <v>111</v>
      </c>
      <c r="I2999" s="9" t="s">
        <v>11</v>
      </c>
      <c r="J2999" s="9" t="s">
        <v>11</v>
      </c>
      <c r="K2999" s="9" t="s">
        <v>82</v>
      </c>
      <c r="L2999" s="9" t="s">
        <v>171</v>
      </c>
      <c r="M2999" t="s">
        <v>1888</v>
      </c>
      <c r="O2999" t="s">
        <v>1969</v>
      </c>
      <c r="P2999" t="s">
        <v>1976</v>
      </c>
      <c r="S2999">
        <v>230</v>
      </c>
      <c r="U2999" s="14" t="s">
        <v>77</v>
      </c>
      <c r="V2999" t="s">
        <v>1720</v>
      </c>
      <c r="X2999" s="43">
        <v>1.75</v>
      </c>
      <c r="AA2999" s="43"/>
      <c r="AB2999" s="43">
        <v>0.4</v>
      </c>
      <c r="AC2999" s="43">
        <v>0.126</v>
      </c>
      <c r="AJ2999" s="13">
        <f t="shared" si="269"/>
        <v>2.2759999999999998</v>
      </c>
      <c r="AK2999">
        <v>0</v>
      </c>
    </row>
    <row r="3000" spans="1:37" ht="19">
      <c r="A3000" s="39" t="s">
        <v>17</v>
      </c>
      <c r="B3000" s="8">
        <v>2024</v>
      </c>
      <c r="C3000" s="8" t="s">
        <v>109</v>
      </c>
      <c r="D3000" s="9" t="s">
        <v>109</v>
      </c>
      <c r="E3000" s="9" t="s">
        <v>111</v>
      </c>
      <c r="F3000" s="9" t="s">
        <v>111</v>
      </c>
      <c r="I3000" s="9" t="s">
        <v>11</v>
      </c>
      <c r="J3000" s="9" t="s">
        <v>11</v>
      </c>
      <c r="K3000" s="9" t="s">
        <v>82</v>
      </c>
      <c r="L3000" s="9" t="s">
        <v>171</v>
      </c>
      <c r="M3000" t="s">
        <v>1888</v>
      </c>
      <c r="O3000" t="s">
        <v>1969</v>
      </c>
      <c r="P3000" t="s">
        <v>1977</v>
      </c>
      <c r="S3000">
        <v>744</v>
      </c>
      <c r="U3000" t="s">
        <v>112</v>
      </c>
      <c r="V3000" t="s">
        <v>1484</v>
      </c>
      <c r="X3000" s="43">
        <v>2.5499999999999998</v>
      </c>
      <c r="AA3000" s="43"/>
      <c r="AB3000" s="43">
        <v>0.15</v>
      </c>
      <c r="AC3000" s="43">
        <v>0.1845</v>
      </c>
      <c r="AK3000">
        <v>16433472</v>
      </c>
    </row>
    <row r="3001" spans="1:37" ht="19">
      <c r="A3001" s="39" t="s">
        <v>17</v>
      </c>
      <c r="B3001" s="8">
        <v>2024</v>
      </c>
      <c r="C3001" s="8" t="s">
        <v>109</v>
      </c>
      <c r="D3001" s="9" t="s">
        <v>109</v>
      </c>
      <c r="E3001" s="9" t="s">
        <v>111</v>
      </c>
      <c r="F3001" s="9" t="s">
        <v>111</v>
      </c>
      <c r="I3001" s="9" t="s">
        <v>11</v>
      </c>
      <c r="J3001" s="9" t="s">
        <v>11</v>
      </c>
      <c r="K3001" s="9" t="s">
        <v>82</v>
      </c>
      <c r="L3001" s="9" t="s">
        <v>171</v>
      </c>
      <c r="M3001" t="s">
        <v>1888</v>
      </c>
      <c r="O3001" t="s">
        <v>1969</v>
      </c>
      <c r="P3001" t="s">
        <v>1978</v>
      </c>
      <c r="S3001">
        <v>169</v>
      </c>
      <c r="U3001" t="s">
        <v>112</v>
      </c>
      <c r="V3001" t="s">
        <v>1484</v>
      </c>
      <c r="X3001" s="43">
        <v>1.3</v>
      </c>
      <c r="AA3001" s="43"/>
      <c r="AB3001" s="43">
        <v>0.1</v>
      </c>
      <c r="AC3001" s="43">
        <v>9.4500000000000001E-2</v>
      </c>
      <c r="AK3001">
        <v>3732872</v>
      </c>
    </row>
    <row r="3002" spans="1:37" ht="19">
      <c r="A3002" s="39" t="s">
        <v>17</v>
      </c>
      <c r="B3002" s="8">
        <v>2024</v>
      </c>
      <c r="C3002" s="8" t="s">
        <v>109</v>
      </c>
      <c r="D3002" s="9" t="s">
        <v>109</v>
      </c>
      <c r="E3002" s="9" t="s">
        <v>111</v>
      </c>
      <c r="F3002" s="9" t="s">
        <v>111</v>
      </c>
      <c r="I3002" s="9" t="s">
        <v>11</v>
      </c>
      <c r="J3002" s="9" t="s">
        <v>11</v>
      </c>
      <c r="K3002" s="9" t="s">
        <v>82</v>
      </c>
      <c r="L3002" s="9" t="s">
        <v>171</v>
      </c>
      <c r="M3002" t="s">
        <v>1888</v>
      </c>
      <c r="O3002" t="s">
        <v>1969</v>
      </c>
      <c r="P3002" t="s">
        <v>1979</v>
      </c>
      <c r="S3002">
        <v>797</v>
      </c>
      <c r="U3002" t="s">
        <v>112</v>
      </c>
      <c r="V3002" t="s">
        <v>1484</v>
      </c>
      <c r="X3002" s="43">
        <v>6.15</v>
      </c>
      <c r="AA3002" s="43"/>
      <c r="AB3002" s="43">
        <v>0.3</v>
      </c>
      <c r="AC3002" s="43">
        <v>0.4365</v>
      </c>
      <c r="AK3002">
        <v>17604136</v>
      </c>
    </row>
    <row r="3003" spans="1:37" ht="19">
      <c r="A3003" s="39" t="s">
        <v>17</v>
      </c>
      <c r="B3003" s="8">
        <v>2024</v>
      </c>
      <c r="C3003" s="8" t="s">
        <v>109</v>
      </c>
      <c r="D3003" s="9" t="s">
        <v>109</v>
      </c>
      <c r="E3003" s="9" t="s">
        <v>111</v>
      </c>
      <c r="F3003" s="9" t="s">
        <v>111</v>
      </c>
      <c r="I3003" s="9" t="s">
        <v>11</v>
      </c>
      <c r="J3003" s="9" t="s">
        <v>11</v>
      </c>
      <c r="K3003" s="9" t="s">
        <v>82</v>
      </c>
      <c r="L3003" s="9" t="s">
        <v>171</v>
      </c>
      <c r="M3003" t="s">
        <v>1888</v>
      </c>
      <c r="O3003" t="s">
        <v>1980</v>
      </c>
      <c r="P3003" t="s">
        <v>1981</v>
      </c>
      <c r="S3003">
        <v>199</v>
      </c>
      <c r="U3003" s="14" t="s">
        <v>77</v>
      </c>
      <c r="V3003" t="s">
        <v>1720</v>
      </c>
      <c r="X3003" s="43">
        <v>1.55</v>
      </c>
      <c r="AA3003" s="43"/>
      <c r="AB3003" s="43">
        <v>0.35</v>
      </c>
      <c r="AC3003" s="43">
        <v>0.108</v>
      </c>
      <c r="AJ3003" s="13">
        <f t="shared" ref="AJ3003:AJ3012" si="270">SUBTOTAL(9,X3003:AI3003)</f>
        <v>2.008</v>
      </c>
      <c r="AK3003">
        <v>0</v>
      </c>
    </row>
    <row r="3004" spans="1:37" ht="19">
      <c r="A3004" s="39" t="s">
        <v>17</v>
      </c>
      <c r="B3004" s="8">
        <v>2024</v>
      </c>
      <c r="C3004" s="8" t="s">
        <v>109</v>
      </c>
      <c r="D3004" s="9" t="s">
        <v>109</v>
      </c>
      <c r="E3004" s="9" t="s">
        <v>111</v>
      </c>
      <c r="F3004" s="9" t="s">
        <v>111</v>
      </c>
      <c r="I3004" s="9" t="s">
        <v>11</v>
      </c>
      <c r="J3004" s="9" t="s">
        <v>11</v>
      </c>
      <c r="K3004" s="9" t="s">
        <v>82</v>
      </c>
      <c r="L3004" s="9" t="s">
        <v>171</v>
      </c>
      <c r="M3004" t="s">
        <v>1888</v>
      </c>
      <c r="O3004" t="s">
        <v>1980</v>
      </c>
      <c r="P3004" t="s">
        <v>1982</v>
      </c>
      <c r="S3004">
        <v>162</v>
      </c>
      <c r="U3004" s="14" t="s">
        <v>77</v>
      </c>
      <c r="V3004" t="s">
        <v>1720</v>
      </c>
      <c r="X3004" s="43">
        <v>0.9</v>
      </c>
      <c r="AA3004" s="43"/>
      <c r="AB3004" s="43">
        <v>0.15</v>
      </c>
      <c r="AC3004" s="43">
        <v>6.3E-2</v>
      </c>
      <c r="AJ3004" s="13">
        <f t="shared" si="270"/>
        <v>1.113</v>
      </c>
      <c r="AK3004">
        <v>0</v>
      </c>
    </row>
    <row r="3005" spans="1:37" ht="19">
      <c r="A3005" s="39" t="s">
        <v>17</v>
      </c>
      <c r="B3005" s="8">
        <v>2024</v>
      </c>
      <c r="C3005" s="8" t="s">
        <v>109</v>
      </c>
      <c r="D3005" s="9" t="s">
        <v>109</v>
      </c>
      <c r="E3005" s="9" t="s">
        <v>111</v>
      </c>
      <c r="F3005" s="9" t="s">
        <v>111</v>
      </c>
      <c r="I3005" s="9" t="s">
        <v>11</v>
      </c>
      <c r="J3005" s="9" t="s">
        <v>11</v>
      </c>
      <c r="K3005" s="9" t="s">
        <v>82</v>
      </c>
      <c r="L3005" s="9" t="s">
        <v>171</v>
      </c>
      <c r="M3005" t="s">
        <v>1888</v>
      </c>
      <c r="O3005" t="s">
        <v>1980</v>
      </c>
      <c r="P3005" t="s">
        <v>1983</v>
      </c>
      <c r="S3005">
        <v>198</v>
      </c>
      <c r="U3005" s="14" t="s">
        <v>77</v>
      </c>
      <c r="V3005" t="s">
        <v>1720</v>
      </c>
      <c r="X3005" s="43">
        <v>1.5</v>
      </c>
      <c r="AA3005" s="43"/>
      <c r="AB3005" s="43">
        <v>0.35</v>
      </c>
      <c r="AC3005" s="43">
        <v>0.108</v>
      </c>
      <c r="AJ3005" s="13">
        <f t="shared" si="270"/>
        <v>1.9580000000000002</v>
      </c>
      <c r="AK3005">
        <v>0</v>
      </c>
    </row>
    <row r="3006" spans="1:37" ht="19">
      <c r="A3006" s="39" t="s">
        <v>17</v>
      </c>
      <c r="B3006" s="8">
        <v>2024</v>
      </c>
      <c r="C3006" s="8" t="s">
        <v>109</v>
      </c>
      <c r="D3006" s="9" t="s">
        <v>109</v>
      </c>
      <c r="E3006" s="9" t="s">
        <v>111</v>
      </c>
      <c r="F3006" s="9" t="s">
        <v>111</v>
      </c>
      <c r="I3006" s="9" t="s">
        <v>11</v>
      </c>
      <c r="J3006" s="9" t="s">
        <v>11</v>
      </c>
      <c r="K3006" s="9" t="s">
        <v>82</v>
      </c>
      <c r="L3006" s="9" t="s">
        <v>171</v>
      </c>
      <c r="M3006" t="s">
        <v>1888</v>
      </c>
      <c r="O3006" t="s">
        <v>1980</v>
      </c>
      <c r="P3006" t="s">
        <v>1984</v>
      </c>
      <c r="S3006">
        <v>145</v>
      </c>
      <c r="U3006" s="14" t="s">
        <v>77</v>
      </c>
      <c r="V3006" t="s">
        <v>1720</v>
      </c>
      <c r="X3006" s="43">
        <v>0.7</v>
      </c>
      <c r="AA3006" s="43"/>
      <c r="AB3006" s="43">
        <v>0.15</v>
      </c>
      <c r="AC3006" s="43">
        <v>4.9500000000000002E-2</v>
      </c>
      <c r="AJ3006" s="13">
        <f t="shared" si="270"/>
        <v>0.89949999999999997</v>
      </c>
      <c r="AK3006">
        <v>0</v>
      </c>
    </row>
    <row r="3007" spans="1:37" ht="19">
      <c r="A3007" s="39" t="s">
        <v>17</v>
      </c>
      <c r="B3007" s="8">
        <v>2024</v>
      </c>
      <c r="C3007" s="8" t="s">
        <v>109</v>
      </c>
      <c r="D3007" s="9" t="s">
        <v>109</v>
      </c>
      <c r="E3007" s="9" t="s">
        <v>111</v>
      </c>
      <c r="F3007" s="9" t="s">
        <v>111</v>
      </c>
      <c r="I3007" s="9" t="s">
        <v>11</v>
      </c>
      <c r="J3007" s="9" t="s">
        <v>11</v>
      </c>
      <c r="K3007" s="9" t="s">
        <v>82</v>
      </c>
      <c r="L3007" s="9" t="s">
        <v>171</v>
      </c>
      <c r="M3007" t="s">
        <v>1888</v>
      </c>
      <c r="O3007" t="s">
        <v>1980</v>
      </c>
      <c r="P3007" t="s">
        <v>1985</v>
      </c>
      <c r="S3007">
        <v>174</v>
      </c>
      <c r="U3007" s="14" t="s">
        <v>77</v>
      </c>
      <c r="V3007" t="s">
        <v>1720</v>
      </c>
      <c r="X3007" s="43">
        <v>0.8</v>
      </c>
      <c r="AA3007" s="43"/>
      <c r="AB3007" s="43">
        <v>0.15</v>
      </c>
      <c r="AC3007" s="43">
        <v>5.8500000000000003E-2</v>
      </c>
      <c r="AJ3007" s="13">
        <f t="shared" si="270"/>
        <v>1.0085000000000002</v>
      </c>
      <c r="AK3007">
        <v>0</v>
      </c>
    </row>
    <row r="3008" spans="1:37" ht="19">
      <c r="A3008" s="39" t="s">
        <v>17</v>
      </c>
      <c r="B3008" s="8">
        <v>2024</v>
      </c>
      <c r="C3008" s="8" t="s">
        <v>109</v>
      </c>
      <c r="D3008" s="9" t="s">
        <v>109</v>
      </c>
      <c r="E3008" s="9" t="s">
        <v>111</v>
      </c>
      <c r="F3008" s="9" t="s">
        <v>111</v>
      </c>
      <c r="I3008" s="9" t="s">
        <v>11</v>
      </c>
      <c r="J3008" s="9" t="s">
        <v>11</v>
      </c>
      <c r="K3008" s="9" t="s">
        <v>82</v>
      </c>
      <c r="L3008" s="9" t="s">
        <v>171</v>
      </c>
      <c r="M3008" t="s">
        <v>1888</v>
      </c>
      <c r="O3008" t="s">
        <v>1980</v>
      </c>
      <c r="P3008" t="s">
        <v>1986</v>
      </c>
      <c r="S3008">
        <v>296</v>
      </c>
      <c r="U3008" s="14" t="s">
        <v>77</v>
      </c>
      <c r="V3008" t="s">
        <v>1720</v>
      </c>
      <c r="X3008" s="43">
        <v>1.3</v>
      </c>
      <c r="AA3008" s="43"/>
      <c r="AB3008" s="43">
        <v>0.3</v>
      </c>
      <c r="AC3008" s="43">
        <v>9.4500000000000001E-2</v>
      </c>
      <c r="AJ3008" s="13">
        <f t="shared" si="270"/>
        <v>1.6945000000000001</v>
      </c>
      <c r="AK3008">
        <v>0</v>
      </c>
    </row>
    <row r="3009" spans="1:37" ht="19">
      <c r="A3009" s="39" t="s">
        <v>17</v>
      </c>
      <c r="B3009" s="8">
        <v>2024</v>
      </c>
      <c r="C3009" s="8" t="s">
        <v>109</v>
      </c>
      <c r="D3009" s="9" t="s">
        <v>109</v>
      </c>
      <c r="E3009" s="9" t="s">
        <v>111</v>
      </c>
      <c r="F3009" s="9" t="s">
        <v>111</v>
      </c>
      <c r="I3009" s="9" t="s">
        <v>11</v>
      </c>
      <c r="J3009" s="9" t="s">
        <v>11</v>
      </c>
      <c r="K3009" s="9" t="s">
        <v>82</v>
      </c>
      <c r="L3009" s="9" t="s">
        <v>171</v>
      </c>
      <c r="M3009" t="s">
        <v>1888</v>
      </c>
      <c r="O3009" t="s">
        <v>1980</v>
      </c>
      <c r="P3009" t="s">
        <v>1987</v>
      </c>
      <c r="S3009">
        <v>160</v>
      </c>
      <c r="U3009" s="14" t="s">
        <v>77</v>
      </c>
      <c r="V3009" t="s">
        <v>1720</v>
      </c>
      <c r="X3009" s="43">
        <v>0.75</v>
      </c>
      <c r="AA3009" s="43"/>
      <c r="AB3009" s="43">
        <v>0.15</v>
      </c>
      <c r="AC3009" s="43">
        <v>5.3999999999999999E-2</v>
      </c>
      <c r="AJ3009" s="13">
        <f t="shared" si="270"/>
        <v>0.95400000000000007</v>
      </c>
      <c r="AK3009">
        <v>0</v>
      </c>
    </row>
    <row r="3010" spans="1:37" ht="19">
      <c r="A3010" s="39" t="s">
        <v>17</v>
      </c>
      <c r="B3010" s="8">
        <v>2024</v>
      </c>
      <c r="C3010" s="8" t="s">
        <v>109</v>
      </c>
      <c r="D3010" s="9" t="s">
        <v>109</v>
      </c>
      <c r="E3010" s="9" t="s">
        <v>111</v>
      </c>
      <c r="F3010" s="9" t="s">
        <v>111</v>
      </c>
      <c r="I3010" s="9" t="s">
        <v>11</v>
      </c>
      <c r="J3010" s="9" t="s">
        <v>11</v>
      </c>
      <c r="K3010" s="9" t="s">
        <v>82</v>
      </c>
      <c r="L3010" s="9" t="s">
        <v>171</v>
      </c>
      <c r="M3010" t="s">
        <v>1888</v>
      </c>
      <c r="O3010" t="s">
        <v>1980</v>
      </c>
      <c r="P3010" t="s">
        <v>1988</v>
      </c>
      <c r="S3010">
        <v>277</v>
      </c>
      <c r="U3010" s="14" t="s">
        <v>77</v>
      </c>
      <c r="V3010" t="s">
        <v>1720</v>
      </c>
      <c r="X3010" s="43">
        <v>1.1000000000000001</v>
      </c>
      <c r="AA3010" s="43"/>
      <c r="AB3010" s="43">
        <v>0.2</v>
      </c>
      <c r="AC3010" s="43">
        <v>8.1000000000000003E-2</v>
      </c>
      <c r="AJ3010" s="13">
        <f t="shared" si="270"/>
        <v>1.381</v>
      </c>
      <c r="AK3010">
        <v>0</v>
      </c>
    </row>
    <row r="3011" spans="1:37" ht="19">
      <c r="A3011" s="39" t="s">
        <v>17</v>
      </c>
      <c r="B3011" s="8">
        <v>2024</v>
      </c>
      <c r="C3011" s="8" t="s">
        <v>109</v>
      </c>
      <c r="D3011" s="9" t="s">
        <v>109</v>
      </c>
      <c r="E3011" s="9" t="s">
        <v>111</v>
      </c>
      <c r="F3011" s="9" t="s">
        <v>111</v>
      </c>
      <c r="I3011" s="9" t="s">
        <v>11</v>
      </c>
      <c r="J3011" s="9" t="s">
        <v>11</v>
      </c>
      <c r="K3011" s="9" t="s">
        <v>82</v>
      </c>
      <c r="L3011" s="9" t="s">
        <v>171</v>
      </c>
      <c r="M3011" t="s">
        <v>1888</v>
      </c>
      <c r="O3011" t="s">
        <v>1980</v>
      </c>
      <c r="P3011" t="s">
        <v>1989</v>
      </c>
      <c r="S3011">
        <v>216</v>
      </c>
      <c r="U3011" s="14" t="s">
        <v>77</v>
      </c>
      <c r="V3011" t="s">
        <v>1720</v>
      </c>
      <c r="X3011" s="43">
        <v>1.65</v>
      </c>
      <c r="AA3011" s="43"/>
      <c r="AB3011" s="43">
        <v>0.4</v>
      </c>
      <c r="AC3011" s="43">
        <v>0.11700000000000001</v>
      </c>
      <c r="AJ3011" s="13">
        <f t="shared" si="270"/>
        <v>2.1669999999999998</v>
      </c>
      <c r="AK3011">
        <v>0</v>
      </c>
    </row>
    <row r="3012" spans="1:37" ht="19">
      <c r="A3012" s="39" t="s">
        <v>17</v>
      </c>
      <c r="B3012" s="8">
        <v>2024</v>
      </c>
      <c r="C3012" s="8" t="s">
        <v>109</v>
      </c>
      <c r="D3012" s="9" t="s">
        <v>109</v>
      </c>
      <c r="E3012" s="9" t="s">
        <v>111</v>
      </c>
      <c r="F3012" s="9" t="s">
        <v>111</v>
      </c>
      <c r="I3012" s="9" t="s">
        <v>11</v>
      </c>
      <c r="J3012" s="9" t="s">
        <v>11</v>
      </c>
      <c r="K3012" s="9" t="s">
        <v>82</v>
      </c>
      <c r="L3012" s="9" t="s">
        <v>171</v>
      </c>
      <c r="M3012" t="s">
        <v>1888</v>
      </c>
      <c r="O3012" t="s">
        <v>1980</v>
      </c>
      <c r="P3012" t="s">
        <v>1990</v>
      </c>
      <c r="S3012">
        <v>242</v>
      </c>
      <c r="U3012" s="14" t="s">
        <v>77</v>
      </c>
      <c r="V3012" t="s">
        <v>1720</v>
      </c>
      <c r="X3012" s="43">
        <v>1.1000000000000001</v>
      </c>
      <c r="AA3012" s="43"/>
      <c r="AB3012" s="43">
        <v>0.25</v>
      </c>
      <c r="AC3012" s="43">
        <v>7.6499999999999999E-2</v>
      </c>
      <c r="AJ3012" s="13">
        <f t="shared" si="270"/>
        <v>1.4265000000000001</v>
      </c>
      <c r="AK3012">
        <v>0</v>
      </c>
    </row>
    <row r="3013" spans="1:37" ht="19">
      <c r="A3013" s="39" t="s">
        <v>17</v>
      </c>
      <c r="B3013" s="8">
        <v>2024</v>
      </c>
      <c r="C3013" s="8" t="s">
        <v>109</v>
      </c>
      <c r="D3013" s="9" t="s">
        <v>109</v>
      </c>
      <c r="E3013" s="9" t="s">
        <v>111</v>
      </c>
      <c r="F3013" s="9" t="s">
        <v>111</v>
      </c>
      <c r="I3013" s="9" t="s">
        <v>11</v>
      </c>
      <c r="J3013" s="9" t="s">
        <v>11</v>
      </c>
      <c r="K3013" s="9" t="s">
        <v>82</v>
      </c>
      <c r="L3013" s="9" t="s">
        <v>171</v>
      </c>
      <c r="M3013" t="s">
        <v>1888</v>
      </c>
      <c r="O3013" t="s">
        <v>1980</v>
      </c>
      <c r="P3013" t="s">
        <v>1991</v>
      </c>
      <c r="S3013">
        <v>718</v>
      </c>
      <c r="U3013" t="s">
        <v>112</v>
      </c>
      <c r="V3013" t="s">
        <v>1484</v>
      </c>
      <c r="X3013" s="43">
        <v>5.55</v>
      </c>
      <c r="AA3013" s="43"/>
      <c r="AB3013" s="43">
        <v>0.25</v>
      </c>
      <c r="AC3013" s="43">
        <v>0.39600000000000002</v>
      </c>
      <c r="AK3013">
        <v>15859184</v>
      </c>
    </row>
    <row r="3014" spans="1:37" ht="19">
      <c r="A3014" s="39" t="s">
        <v>17</v>
      </c>
      <c r="B3014" s="8">
        <v>2024</v>
      </c>
      <c r="C3014" s="8" t="s">
        <v>109</v>
      </c>
      <c r="D3014" s="9" t="s">
        <v>109</v>
      </c>
      <c r="E3014" s="9" t="s">
        <v>111</v>
      </c>
      <c r="F3014" s="9" t="s">
        <v>111</v>
      </c>
      <c r="I3014" s="9" t="s">
        <v>11</v>
      </c>
      <c r="J3014" s="9" t="s">
        <v>11</v>
      </c>
      <c r="K3014" s="9" t="s">
        <v>82</v>
      </c>
      <c r="L3014" s="9" t="s">
        <v>171</v>
      </c>
      <c r="M3014" t="s">
        <v>1888</v>
      </c>
      <c r="O3014" t="s">
        <v>1992</v>
      </c>
      <c r="P3014" t="s">
        <v>1993</v>
      </c>
      <c r="S3014">
        <v>418</v>
      </c>
      <c r="U3014" s="14" t="s">
        <v>77</v>
      </c>
      <c r="V3014" t="s">
        <v>1720</v>
      </c>
      <c r="X3014" s="43">
        <v>3.2</v>
      </c>
      <c r="AA3014" s="43"/>
      <c r="AB3014" s="43">
        <v>0.7</v>
      </c>
      <c r="AC3014" s="43">
        <v>0.22950000000000001</v>
      </c>
      <c r="AJ3014" s="13">
        <f t="shared" ref="AJ3014:AJ3018" si="271">SUBTOTAL(9,X3014:AI3014)</f>
        <v>4.1295000000000002</v>
      </c>
      <c r="AK3014">
        <v>0</v>
      </c>
    </row>
    <row r="3015" spans="1:37" ht="19">
      <c r="A3015" s="39" t="s">
        <v>17</v>
      </c>
      <c r="B3015" s="8">
        <v>2024</v>
      </c>
      <c r="C3015" s="8" t="s">
        <v>109</v>
      </c>
      <c r="D3015" s="9" t="s">
        <v>109</v>
      </c>
      <c r="E3015" s="9" t="s">
        <v>111</v>
      </c>
      <c r="F3015" s="9" t="s">
        <v>111</v>
      </c>
      <c r="I3015" s="9" t="s">
        <v>11</v>
      </c>
      <c r="J3015" s="9" t="s">
        <v>11</v>
      </c>
      <c r="K3015" s="9" t="s">
        <v>82</v>
      </c>
      <c r="L3015" s="9" t="s">
        <v>171</v>
      </c>
      <c r="M3015" t="s">
        <v>1888</v>
      </c>
      <c r="O3015" t="s">
        <v>1992</v>
      </c>
      <c r="P3015" t="s">
        <v>1994</v>
      </c>
      <c r="S3015">
        <v>637</v>
      </c>
      <c r="U3015" s="14" t="s">
        <v>77</v>
      </c>
      <c r="V3015" t="s">
        <v>1720</v>
      </c>
      <c r="X3015" s="43">
        <v>4.9000000000000004</v>
      </c>
      <c r="AA3015" s="43"/>
      <c r="AB3015" s="43">
        <v>1.1000000000000001</v>
      </c>
      <c r="AC3015" s="43">
        <v>0.35099999999999998</v>
      </c>
      <c r="AJ3015" s="13">
        <f t="shared" si="271"/>
        <v>6.351</v>
      </c>
      <c r="AK3015">
        <v>0</v>
      </c>
    </row>
    <row r="3016" spans="1:37" ht="19">
      <c r="A3016" s="39" t="s">
        <v>17</v>
      </c>
      <c r="B3016" s="8">
        <v>2024</v>
      </c>
      <c r="C3016" s="8" t="s">
        <v>109</v>
      </c>
      <c r="D3016" s="9" t="s">
        <v>109</v>
      </c>
      <c r="E3016" s="9" t="s">
        <v>111</v>
      </c>
      <c r="F3016" s="9" t="s">
        <v>111</v>
      </c>
      <c r="I3016" s="9" t="s">
        <v>11</v>
      </c>
      <c r="J3016" s="9" t="s">
        <v>11</v>
      </c>
      <c r="K3016" s="9" t="s">
        <v>82</v>
      </c>
      <c r="L3016" s="9" t="s">
        <v>171</v>
      </c>
      <c r="M3016" t="s">
        <v>1888</v>
      </c>
      <c r="O3016" t="s">
        <v>1992</v>
      </c>
      <c r="P3016" t="s">
        <v>1995</v>
      </c>
      <c r="S3016">
        <v>330</v>
      </c>
      <c r="U3016" s="14" t="s">
        <v>77</v>
      </c>
      <c r="V3016" t="s">
        <v>1720</v>
      </c>
      <c r="X3016" s="43">
        <v>2.5499999999999998</v>
      </c>
      <c r="AA3016" s="43"/>
      <c r="AB3016" s="43">
        <v>0.55000000000000004</v>
      </c>
      <c r="AC3016" s="43">
        <v>0.18</v>
      </c>
      <c r="AJ3016" s="13">
        <f t="shared" si="271"/>
        <v>3.28</v>
      </c>
      <c r="AK3016">
        <v>0</v>
      </c>
    </row>
    <row r="3017" spans="1:37" ht="19">
      <c r="A3017" s="39" t="s">
        <v>17</v>
      </c>
      <c r="B3017" s="8">
        <v>2024</v>
      </c>
      <c r="C3017" s="8" t="s">
        <v>109</v>
      </c>
      <c r="D3017" s="9" t="s">
        <v>109</v>
      </c>
      <c r="E3017" s="9" t="s">
        <v>111</v>
      </c>
      <c r="F3017" s="9" t="s">
        <v>111</v>
      </c>
      <c r="I3017" s="9" t="s">
        <v>11</v>
      </c>
      <c r="J3017" s="9" t="s">
        <v>11</v>
      </c>
      <c r="K3017" s="9" t="s">
        <v>82</v>
      </c>
      <c r="L3017" s="9" t="s">
        <v>171</v>
      </c>
      <c r="M3017" t="s">
        <v>1888</v>
      </c>
      <c r="O3017" t="s">
        <v>1992</v>
      </c>
      <c r="P3017" t="s">
        <v>1996</v>
      </c>
      <c r="S3017">
        <v>424</v>
      </c>
      <c r="U3017" s="14" t="s">
        <v>77</v>
      </c>
      <c r="V3017" t="s">
        <v>1720</v>
      </c>
      <c r="X3017" s="43">
        <v>3.25</v>
      </c>
      <c r="AA3017" s="43"/>
      <c r="AB3017" s="43">
        <v>0.7</v>
      </c>
      <c r="AC3017" s="43">
        <v>0.23400000000000001</v>
      </c>
      <c r="AJ3017" s="13">
        <f t="shared" si="271"/>
        <v>4.1840000000000002</v>
      </c>
      <c r="AK3017">
        <v>0</v>
      </c>
    </row>
    <row r="3018" spans="1:37" ht="19">
      <c r="A3018" s="39" t="s">
        <v>17</v>
      </c>
      <c r="B3018" s="8">
        <v>2024</v>
      </c>
      <c r="C3018" s="8" t="s">
        <v>109</v>
      </c>
      <c r="D3018" s="9" t="s">
        <v>109</v>
      </c>
      <c r="E3018" s="9" t="s">
        <v>111</v>
      </c>
      <c r="F3018" s="9" t="s">
        <v>111</v>
      </c>
      <c r="I3018" s="9" t="s">
        <v>11</v>
      </c>
      <c r="J3018" s="9" t="s">
        <v>11</v>
      </c>
      <c r="K3018" s="9" t="s">
        <v>82</v>
      </c>
      <c r="L3018" s="9" t="s">
        <v>171</v>
      </c>
      <c r="M3018" t="s">
        <v>1997</v>
      </c>
      <c r="O3018" t="s">
        <v>1201</v>
      </c>
      <c r="P3018" t="s">
        <v>1998</v>
      </c>
      <c r="S3018">
        <v>167</v>
      </c>
      <c r="U3018" s="14" t="s">
        <v>77</v>
      </c>
      <c r="V3018" t="s">
        <v>1720</v>
      </c>
      <c r="X3018" s="43">
        <v>0.9</v>
      </c>
      <c r="AA3018" s="43"/>
      <c r="AB3018">
        <v>0.15</v>
      </c>
      <c r="AC3018">
        <v>6.3E-2</v>
      </c>
      <c r="AJ3018" s="13">
        <f t="shared" si="271"/>
        <v>1.113</v>
      </c>
      <c r="AK3018">
        <v>0</v>
      </c>
    </row>
    <row r="3019" spans="1:37" ht="19">
      <c r="A3019" s="39" t="s">
        <v>17</v>
      </c>
      <c r="B3019" s="8">
        <v>2024</v>
      </c>
      <c r="C3019" s="8" t="s">
        <v>109</v>
      </c>
      <c r="D3019" s="9" t="s">
        <v>109</v>
      </c>
      <c r="E3019" s="9" t="s">
        <v>111</v>
      </c>
      <c r="F3019" s="9" t="s">
        <v>111</v>
      </c>
      <c r="I3019" s="9" t="s">
        <v>11</v>
      </c>
      <c r="J3019" s="9" t="s">
        <v>11</v>
      </c>
      <c r="K3019" s="9" t="s">
        <v>82</v>
      </c>
      <c r="L3019" s="9" t="s">
        <v>171</v>
      </c>
      <c r="M3019" t="s">
        <v>1997</v>
      </c>
      <c r="O3019" t="s">
        <v>1201</v>
      </c>
      <c r="P3019" t="s">
        <v>759</v>
      </c>
      <c r="S3019">
        <v>319</v>
      </c>
      <c r="U3019" t="s">
        <v>112</v>
      </c>
      <c r="V3019" t="s">
        <v>1484</v>
      </c>
      <c r="X3019" s="43">
        <v>1.55</v>
      </c>
      <c r="AA3019" s="43"/>
      <c r="AB3019">
        <v>0.15</v>
      </c>
      <c r="AC3019">
        <v>0.108</v>
      </c>
      <c r="AK3019">
        <v>7046072</v>
      </c>
    </row>
    <row r="3020" spans="1:37" ht="19">
      <c r="A3020" s="39" t="s">
        <v>17</v>
      </c>
      <c r="B3020" s="8">
        <v>2024</v>
      </c>
      <c r="C3020" s="8" t="s">
        <v>109</v>
      </c>
      <c r="D3020" s="9" t="s">
        <v>109</v>
      </c>
      <c r="E3020" s="9" t="s">
        <v>111</v>
      </c>
      <c r="F3020" s="9" t="s">
        <v>111</v>
      </c>
      <c r="I3020" s="9" t="s">
        <v>11</v>
      </c>
      <c r="J3020" s="9" t="s">
        <v>11</v>
      </c>
      <c r="K3020" s="9" t="s">
        <v>82</v>
      </c>
      <c r="L3020" s="9" t="s">
        <v>171</v>
      </c>
      <c r="M3020" t="s">
        <v>1997</v>
      </c>
      <c r="O3020" t="s">
        <v>1201</v>
      </c>
      <c r="P3020" t="s">
        <v>1999</v>
      </c>
      <c r="S3020">
        <v>182</v>
      </c>
      <c r="U3020" s="14" t="s">
        <v>77</v>
      </c>
      <c r="V3020" t="s">
        <v>1720</v>
      </c>
      <c r="X3020" s="43">
        <v>1</v>
      </c>
      <c r="AA3020" s="43"/>
      <c r="AB3020">
        <v>0.2</v>
      </c>
      <c r="AC3020">
        <v>6.7500000000000004E-2</v>
      </c>
      <c r="AJ3020" s="13">
        <f t="shared" ref="AJ3020:AJ3025" si="272">SUBTOTAL(9,X3020:AI3020)</f>
        <v>1.2675000000000001</v>
      </c>
      <c r="AK3020">
        <v>0</v>
      </c>
    </row>
    <row r="3021" spans="1:37" ht="19">
      <c r="A3021" s="39" t="s">
        <v>17</v>
      </c>
      <c r="B3021" s="8">
        <v>2024</v>
      </c>
      <c r="C3021" s="8" t="s">
        <v>109</v>
      </c>
      <c r="D3021" s="9" t="s">
        <v>109</v>
      </c>
      <c r="E3021" s="9" t="s">
        <v>111</v>
      </c>
      <c r="F3021" s="9" t="s">
        <v>111</v>
      </c>
      <c r="I3021" s="9" t="s">
        <v>11</v>
      </c>
      <c r="J3021" s="9" t="s">
        <v>11</v>
      </c>
      <c r="K3021" s="9" t="s">
        <v>82</v>
      </c>
      <c r="L3021" s="9" t="s">
        <v>171</v>
      </c>
      <c r="M3021" t="s">
        <v>1997</v>
      </c>
      <c r="O3021" t="s">
        <v>1208</v>
      </c>
      <c r="P3021" t="s">
        <v>2000</v>
      </c>
      <c r="S3021">
        <v>170</v>
      </c>
      <c r="U3021" s="14" t="s">
        <v>77</v>
      </c>
      <c r="V3021" t="s">
        <v>1720</v>
      </c>
      <c r="X3021" s="43">
        <v>0.85</v>
      </c>
      <c r="AA3021" s="43"/>
      <c r="AB3021">
        <v>0.15</v>
      </c>
      <c r="AC3021">
        <v>5.8500000000000003E-2</v>
      </c>
      <c r="AJ3021" s="13">
        <f t="shared" si="272"/>
        <v>1.0585</v>
      </c>
      <c r="AK3021">
        <v>0</v>
      </c>
    </row>
    <row r="3022" spans="1:37" ht="19">
      <c r="A3022" s="39" t="s">
        <v>17</v>
      </c>
      <c r="B3022" s="8">
        <v>2024</v>
      </c>
      <c r="C3022" s="8" t="s">
        <v>109</v>
      </c>
      <c r="D3022" s="9" t="s">
        <v>109</v>
      </c>
      <c r="E3022" s="9" t="s">
        <v>111</v>
      </c>
      <c r="F3022" s="9" t="s">
        <v>111</v>
      </c>
      <c r="I3022" s="9" t="s">
        <v>11</v>
      </c>
      <c r="J3022" s="9" t="s">
        <v>11</v>
      </c>
      <c r="K3022" s="9" t="s">
        <v>82</v>
      </c>
      <c r="L3022" s="9" t="s">
        <v>171</v>
      </c>
      <c r="M3022" t="s">
        <v>1997</v>
      </c>
      <c r="O3022" t="s">
        <v>1201</v>
      </c>
      <c r="P3022" t="s">
        <v>1201</v>
      </c>
      <c r="S3022">
        <v>536</v>
      </c>
      <c r="U3022" s="14" t="s">
        <v>77</v>
      </c>
      <c r="V3022" t="s">
        <v>1720</v>
      </c>
      <c r="X3022" s="43">
        <v>2.5499999999999998</v>
      </c>
      <c r="AA3022" s="43"/>
      <c r="AB3022">
        <v>0.55000000000000004</v>
      </c>
      <c r="AC3022">
        <v>0.18</v>
      </c>
      <c r="AJ3022" s="13">
        <f t="shared" si="272"/>
        <v>3.28</v>
      </c>
      <c r="AK3022">
        <v>0</v>
      </c>
    </row>
    <row r="3023" spans="1:37" ht="19">
      <c r="A3023" s="39" t="s">
        <v>17</v>
      </c>
      <c r="B3023" s="8">
        <v>2024</v>
      </c>
      <c r="C3023" s="8" t="s">
        <v>109</v>
      </c>
      <c r="D3023" s="9" t="s">
        <v>109</v>
      </c>
      <c r="E3023" s="9" t="s">
        <v>111</v>
      </c>
      <c r="F3023" s="9" t="s">
        <v>111</v>
      </c>
      <c r="I3023" s="9" t="s">
        <v>11</v>
      </c>
      <c r="J3023" s="9" t="s">
        <v>11</v>
      </c>
      <c r="K3023" s="9" t="s">
        <v>82</v>
      </c>
      <c r="L3023" s="9" t="s">
        <v>171</v>
      </c>
      <c r="M3023" t="s">
        <v>1997</v>
      </c>
      <c r="O3023" t="s">
        <v>2001</v>
      </c>
      <c r="P3023" t="s">
        <v>2002</v>
      </c>
      <c r="S3023">
        <v>205</v>
      </c>
      <c r="U3023" s="14" t="s">
        <v>77</v>
      </c>
      <c r="V3023" t="s">
        <v>1720</v>
      </c>
      <c r="X3023" s="43">
        <v>0.8</v>
      </c>
      <c r="AA3023" s="43"/>
      <c r="AB3023">
        <v>0.15</v>
      </c>
      <c r="AC3023">
        <v>4.9500000000000002E-2</v>
      </c>
      <c r="AJ3023" s="13">
        <f t="shared" si="272"/>
        <v>0.99950000000000006</v>
      </c>
      <c r="AK3023">
        <v>0</v>
      </c>
    </row>
    <row r="3024" spans="1:37" ht="19">
      <c r="A3024" s="39" t="s">
        <v>17</v>
      </c>
      <c r="B3024" s="8">
        <v>2024</v>
      </c>
      <c r="C3024" s="8" t="s">
        <v>109</v>
      </c>
      <c r="D3024" s="9" t="s">
        <v>109</v>
      </c>
      <c r="E3024" s="9" t="s">
        <v>111</v>
      </c>
      <c r="F3024" s="9" t="s">
        <v>111</v>
      </c>
      <c r="I3024" s="9" t="s">
        <v>11</v>
      </c>
      <c r="J3024" s="9" t="s">
        <v>11</v>
      </c>
      <c r="K3024" s="9" t="s">
        <v>82</v>
      </c>
      <c r="L3024" s="9" t="s">
        <v>171</v>
      </c>
      <c r="M3024" t="s">
        <v>1997</v>
      </c>
      <c r="O3024" t="s">
        <v>309</v>
      </c>
      <c r="P3024" t="s">
        <v>297</v>
      </c>
      <c r="S3024">
        <v>377</v>
      </c>
      <c r="U3024" s="14" t="s">
        <v>77</v>
      </c>
      <c r="V3024" t="s">
        <v>1720</v>
      </c>
      <c r="X3024" s="43">
        <v>1.25</v>
      </c>
      <c r="AA3024" s="43"/>
      <c r="AB3024">
        <v>0.25</v>
      </c>
      <c r="AC3024">
        <v>0.09</v>
      </c>
      <c r="AJ3024" s="13">
        <f t="shared" si="272"/>
        <v>1.59</v>
      </c>
      <c r="AK3024">
        <v>0</v>
      </c>
    </row>
    <row r="3025" spans="1:37" ht="19">
      <c r="A3025" s="39" t="s">
        <v>17</v>
      </c>
      <c r="B3025" s="8">
        <v>2024</v>
      </c>
      <c r="C3025" s="8" t="s">
        <v>109</v>
      </c>
      <c r="D3025" s="9" t="s">
        <v>109</v>
      </c>
      <c r="E3025" s="9" t="s">
        <v>111</v>
      </c>
      <c r="F3025" s="9" t="s">
        <v>111</v>
      </c>
      <c r="I3025" s="9" t="s">
        <v>11</v>
      </c>
      <c r="J3025" s="9" t="s">
        <v>11</v>
      </c>
      <c r="K3025" s="9" t="s">
        <v>82</v>
      </c>
      <c r="L3025" s="9" t="s">
        <v>171</v>
      </c>
      <c r="M3025" t="s">
        <v>1997</v>
      </c>
      <c r="O3025" t="s">
        <v>1208</v>
      </c>
      <c r="P3025" t="s">
        <v>2003</v>
      </c>
      <c r="S3025">
        <v>254</v>
      </c>
      <c r="U3025" s="14" t="s">
        <v>77</v>
      </c>
      <c r="V3025" t="s">
        <v>1720</v>
      </c>
      <c r="X3025" s="43">
        <v>0.65</v>
      </c>
      <c r="AA3025" s="43"/>
      <c r="AB3025">
        <v>0.05</v>
      </c>
      <c r="AC3025">
        <v>0</v>
      </c>
      <c r="AJ3025" s="13">
        <f t="shared" si="272"/>
        <v>0.70000000000000007</v>
      </c>
      <c r="AK3025">
        <v>0</v>
      </c>
    </row>
    <row r="3026" spans="1:37" ht="19">
      <c r="A3026" s="39" t="s">
        <v>17</v>
      </c>
      <c r="B3026" s="8">
        <v>2024</v>
      </c>
      <c r="C3026" s="8" t="s">
        <v>109</v>
      </c>
      <c r="D3026" s="9" t="s">
        <v>109</v>
      </c>
      <c r="E3026" s="9" t="s">
        <v>111</v>
      </c>
      <c r="F3026" s="9" t="s">
        <v>111</v>
      </c>
      <c r="I3026" s="9" t="s">
        <v>11</v>
      </c>
      <c r="J3026" s="9" t="s">
        <v>11</v>
      </c>
      <c r="K3026" s="9" t="s">
        <v>82</v>
      </c>
      <c r="L3026" s="9" t="s">
        <v>171</v>
      </c>
      <c r="M3026" t="s">
        <v>1997</v>
      </c>
      <c r="O3026" t="s">
        <v>2001</v>
      </c>
      <c r="P3026" t="s">
        <v>2004</v>
      </c>
      <c r="S3026">
        <v>306</v>
      </c>
      <c r="U3026" t="s">
        <v>112</v>
      </c>
      <c r="V3026" t="s">
        <v>1484</v>
      </c>
      <c r="X3026" s="43">
        <v>1</v>
      </c>
      <c r="AA3026" s="43"/>
      <c r="AB3026">
        <v>0.05</v>
      </c>
      <c r="AC3026">
        <v>7.1999999999999995E-2</v>
      </c>
      <c r="AK3026">
        <v>6758928</v>
      </c>
    </row>
    <row r="3027" spans="1:37" ht="19">
      <c r="A3027" s="39" t="s">
        <v>17</v>
      </c>
      <c r="B3027" s="8">
        <v>2024</v>
      </c>
      <c r="C3027" s="8" t="s">
        <v>109</v>
      </c>
      <c r="D3027" s="9" t="s">
        <v>109</v>
      </c>
      <c r="E3027" s="9" t="s">
        <v>111</v>
      </c>
      <c r="F3027" s="9" t="s">
        <v>111</v>
      </c>
      <c r="I3027" s="9" t="s">
        <v>11</v>
      </c>
      <c r="J3027" s="9" t="s">
        <v>11</v>
      </c>
      <c r="K3027" s="9" t="s">
        <v>82</v>
      </c>
      <c r="L3027" s="9" t="s">
        <v>171</v>
      </c>
      <c r="M3027" t="s">
        <v>1997</v>
      </c>
      <c r="O3027" t="s">
        <v>2005</v>
      </c>
      <c r="P3027" t="s">
        <v>2006</v>
      </c>
      <c r="S3027">
        <v>192</v>
      </c>
      <c r="U3027" t="s">
        <v>112</v>
      </c>
      <c r="V3027" t="s">
        <v>1484</v>
      </c>
      <c r="X3027" s="43">
        <v>1.5</v>
      </c>
      <c r="AA3027" s="43"/>
      <c r="AB3027">
        <v>0.1</v>
      </c>
      <c r="AC3027">
        <v>0.10349999999999999</v>
      </c>
      <c r="AK3027">
        <v>4240896</v>
      </c>
    </row>
    <row r="3028" spans="1:37" ht="19">
      <c r="A3028" s="39" t="s">
        <v>17</v>
      </c>
      <c r="B3028" s="8">
        <v>2024</v>
      </c>
      <c r="C3028" s="8" t="s">
        <v>109</v>
      </c>
      <c r="D3028" s="9" t="s">
        <v>109</v>
      </c>
      <c r="E3028" s="9" t="s">
        <v>111</v>
      </c>
      <c r="F3028" s="9" t="s">
        <v>111</v>
      </c>
      <c r="I3028" s="9" t="s">
        <v>11</v>
      </c>
      <c r="J3028" s="9" t="s">
        <v>11</v>
      </c>
      <c r="K3028" s="9" t="s">
        <v>82</v>
      </c>
      <c r="L3028" s="9" t="s">
        <v>171</v>
      </c>
      <c r="M3028" t="s">
        <v>1997</v>
      </c>
      <c r="O3028" t="s">
        <v>2007</v>
      </c>
      <c r="P3028" t="s">
        <v>2008</v>
      </c>
      <c r="S3028">
        <v>110</v>
      </c>
      <c r="U3028" t="s">
        <v>112</v>
      </c>
      <c r="V3028" t="s">
        <v>1484</v>
      </c>
      <c r="X3028" s="43">
        <v>0.85</v>
      </c>
      <c r="AA3028" s="43"/>
      <c r="AB3028">
        <v>0.05</v>
      </c>
      <c r="AC3028">
        <v>5.8500000000000003E-2</v>
      </c>
      <c r="AK3028">
        <v>2429680</v>
      </c>
    </row>
    <row r="3029" spans="1:37" ht="19">
      <c r="A3029" s="39" t="s">
        <v>17</v>
      </c>
      <c r="B3029" s="8">
        <v>2024</v>
      </c>
      <c r="C3029" s="8" t="s">
        <v>109</v>
      </c>
      <c r="D3029" s="9" t="s">
        <v>109</v>
      </c>
      <c r="E3029" s="9" t="s">
        <v>111</v>
      </c>
      <c r="F3029" s="9" t="s">
        <v>111</v>
      </c>
      <c r="I3029" s="9" t="s">
        <v>11</v>
      </c>
      <c r="J3029" s="9" t="s">
        <v>11</v>
      </c>
      <c r="K3029" s="9" t="s">
        <v>82</v>
      </c>
      <c r="L3029" s="9" t="s">
        <v>171</v>
      </c>
      <c r="M3029" t="s">
        <v>1997</v>
      </c>
      <c r="O3029" t="s">
        <v>1208</v>
      </c>
      <c r="P3029" t="s">
        <v>2009</v>
      </c>
      <c r="S3029">
        <v>160</v>
      </c>
      <c r="U3029" s="14" t="s">
        <v>77</v>
      </c>
      <c r="V3029" t="s">
        <v>1720</v>
      </c>
      <c r="X3029" s="43">
        <v>0.25</v>
      </c>
      <c r="AA3029" s="43"/>
      <c r="AB3029">
        <v>0.2</v>
      </c>
      <c r="AC3029">
        <v>5.8500000000000003E-2</v>
      </c>
      <c r="AJ3029" s="13">
        <f>SUBTOTAL(9,X3029:AI3029)</f>
        <v>0.50850000000000006</v>
      </c>
      <c r="AK3029">
        <v>0</v>
      </c>
    </row>
    <row r="3030" spans="1:37" ht="19">
      <c r="A3030" s="39" t="s">
        <v>17</v>
      </c>
      <c r="B3030" s="8">
        <v>2024</v>
      </c>
      <c r="C3030" s="8" t="s">
        <v>109</v>
      </c>
      <c r="D3030" s="9" t="s">
        <v>109</v>
      </c>
      <c r="E3030" s="9" t="s">
        <v>111</v>
      </c>
      <c r="F3030" s="9" t="s">
        <v>111</v>
      </c>
      <c r="I3030" s="9" t="s">
        <v>11</v>
      </c>
      <c r="J3030" s="9" t="s">
        <v>11</v>
      </c>
      <c r="K3030" s="9" t="s">
        <v>82</v>
      </c>
      <c r="L3030" s="9" t="s">
        <v>171</v>
      </c>
      <c r="M3030" t="s">
        <v>1997</v>
      </c>
      <c r="O3030" t="s">
        <v>1208</v>
      </c>
      <c r="P3030" t="s">
        <v>2010</v>
      </c>
      <c r="S3030">
        <v>356</v>
      </c>
      <c r="U3030" t="s">
        <v>112</v>
      </c>
      <c r="V3030" t="s">
        <v>1484</v>
      </c>
      <c r="X3030" s="43">
        <v>1.9</v>
      </c>
      <c r="AA3030" s="43"/>
      <c r="AB3030">
        <v>0.1</v>
      </c>
      <c r="AC3030">
        <v>4.4999999999999998E-2</v>
      </c>
      <c r="AK3030">
        <v>7863328</v>
      </c>
    </row>
    <row r="3031" spans="1:37" ht="19">
      <c r="A3031" s="39" t="s">
        <v>17</v>
      </c>
      <c r="B3031" s="8">
        <v>2024</v>
      </c>
      <c r="C3031" s="8" t="s">
        <v>109</v>
      </c>
      <c r="D3031" s="9" t="s">
        <v>109</v>
      </c>
      <c r="E3031" s="9" t="s">
        <v>111</v>
      </c>
      <c r="F3031" s="9" t="s">
        <v>111</v>
      </c>
      <c r="I3031" s="9" t="s">
        <v>11</v>
      </c>
      <c r="J3031" s="9" t="s">
        <v>11</v>
      </c>
      <c r="K3031" s="9" t="s">
        <v>82</v>
      </c>
      <c r="L3031" s="9" t="s">
        <v>171</v>
      </c>
      <c r="M3031" t="s">
        <v>1997</v>
      </c>
      <c r="O3031" t="s">
        <v>1289</v>
      </c>
      <c r="P3031" t="s">
        <v>2011</v>
      </c>
      <c r="S3031">
        <v>444</v>
      </c>
      <c r="U3031" s="14" t="s">
        <v>77</v>
      </c>
      <c r="V3031" t="s">
        <v>1720</v>
      </c>
      <c r="X3031" s="43">
        <v>1.4</v>
      </c>
      <c r="AA3031" s="43"/>
      <c r="AB3031">
        <v>0.35</v>
      </c>
      <c r="AC3031">
        <v>0.14399999999999999</v>
      </c>
      <c r="AJ3031" s="13">
        <f t="shared" ref="AJ3031:AJ3032" si="273">SUBTOTAL(9,X3031:AI3031)</f>
        <v>1.8939999999999999</v>
      </c>
      <c r="AK3031">
        <v>0</v>
      </c>
    </row>
    <row r="3032" spans="1:37" ht="19">
      <c r="A3032" s="39" t="s">
        <v>17</v>
      </c>
      <c r="B3032" s="8">
        <v>2024</v>
      </c>
      <c r="C3032" s="8" t="s">
        <v>109</v>
      </c>
      <c r="D3032" s="9" t="s">
        <v>109</v>
      </c>
      <c r="E3032" s="9" t="s">
        <v>111</v>
      </c>
      <c r="F3032" s="9" t="s">
        <v>111</v>
      </c>
      <c r="I3032" s="9" t="s">
        <v>11</v>
      </c>
      <c r="J3032" s="9" t="s">
        <v>11</v>
      </c>
      <c r="K3032" s="9" t="s">
        <v>82</v>
      </c>
      <c r="L3032" s="9" t="s">
        <v>171</v>
      </c>
      <c r="M3032" t="s">
        <v>1997</v>
      </c>
      <c r="O3032" t="s">
        <v>1208</v>
      </c>
      <c r="P3032" t="s">
        <v>2012</v>
      </c>
      <c r="S3032">
        <v>181</v>
      </c>
      <c r="U3032" s="14" t="s">
        <v>77</v>
      </c>
      <c r="V3032" t="s">
        <v>1720</v>
      </c>
      <c r="X3032" s="43">
        <v>0.4</v>
      </c>
      <c r="AA3032" s="43"/>
      <c r="AB3032">
        <v>0.2</v>
      </c>
      <c r="AC3032">
        <v>6.7500000000000004E-2</v>
      </c>
      <c r="AJ3032" s="13">
        <f t="shared" si="273"/>
        <v>0.66750000000000009</v>
      </c>
      <c r="AK3032">
        <v>0</v>
      </c>
    </row>
    <row r="3033" spans="1:37" ht="19">
      <c r="A3033" s="39" t="s">
        <v>17</v>
      </c>
      <c r="B3033" s="8">
        <v>2024</v>
      </c>
      <c r="C3033" s="8" t="s">
        <v>109</v>
      </c>
      <c r="D3033" s="9" t="s">
        <v>109</v>
      </c>
      <c r="E3033" s="9" t="s">
        <v>111</v>
      </c>
      <c r="F3033" s="9" t="s">
        <v>111</v>
      </c>
      <c r="I3033" s="9" t="s">
        <v>11</v>
      </c>
      <c r="J3033" s="9" t="s">
        <v>11</v>
      </c>
      <c r="K3033" s="9" t="s">
        <v>82</v>
      </c>
      <c r="L3033" s="9" t="s">
        <v>171</v>
      </c>
      <c r="M3033" t="s">
        <v>1997</v>
      </c>
      <c r="O3033" t="s">
        <v>2005</v>
      </c>
      <c r="P3033" t="s">
        <v>2013</v>
      </c>
      <c r="S3033">
        <v>222</v>
      </c>
      <c r="U3033" t="s">
        <v>112</v>
      </c>
      <c r="V3033" t="s">
        <v>1484</v>
      </c>
      <c r="X3033" s="43">
        <v>0.7</v>
      </c>
      <c r="AA3033" s="43"/>
      <c r="AB3033">
        <v>0</v>
      </c>
      <c r="AC3033">
        <v>0.09</v>
      </c>
      <c r="AK3033">
        <v>4903536</v>
      </c>
    </row>
    <row r="3034" spans="1:37" ht="19">
      <c r="A3034" s="39" t="s">
        <v>17</v>
      </c>
      <c r="B3034" s="8">
        <v>2024</v>
      </c>
      <c r="C3034" s="8" t="s">
        <v>109</v>
      </c>
      <c r="D3034" s="9" t="s">
        <v>109</v>
      </c>
      <c r="E3034" s="9" t="s">
        <v>111</v>
      </c>
      <c r="F3034" s="9" t="s">
        <v>111</v>
      </c>
      <c r="I3034" s="9" t="s">
        <v>11</v>
      </c>
      <c r="J3034" s="9" t="s">
        <v>11</v>
      </c>
      <c r="K3034" s="9" t="s">
        <v>82</v>
      </c>
      <c r="L3034" s="9" t="s">
        <v>171</v>
      </c>
      <c r="M3034" t="s">
        <v>1997</v>
      </c>
      <c r="O3034" t="s">
        <v>1213</v>
      </c>
      <c r="P3034" t="s">
        <v>1213</v>
      </c>
      <c r="S3034">
        <v>372</v>
      </c>
      <c r="U3034" s="14" t="s">
        <v>77</v>
      </c>
      <c r="V3034" t="s">
        <v>1720</v>
      </c>
      <c r="X3034" s="43">
        <v>1.6</v>
      </c>
      <c r="AA3034" s="43"/>
      <c r="AB3034">
        <v>0.3</v>
      </c>
      <c r="AC3034">
        <v>0.11700000000000001</v>
      </c>
      <c r="AJ3034" s="13">
        <f t="shared" ref="AJ3034:AJ3035" si="274">SUBTOTAL(9,X3034:AI3034)</f>
        <v>2.0170000000000003</v>
      </c>
      <c r="AK3034">
        <v>0</v>
      </c>
    </row>
    <row r="3035" spans="1:37" ht="19">
      <c r="A3035" s="39" t="s">
        <v>17</v>
      </c>
      <c r="B3035" s="8">
        <v>2024</v>
      </c>
      <c r="C3035" s="8" t="s">
        <v>109</v>
      </c>
      <c r="D3035" s="9" t="s">
        <v>109</v>
      </c>
      <c r="E3035" s="9" t="s">
        <v>111</v>
      </c>
      <c r="F3035" s="9" t="s">
        <v>111</v>
      </c>
      <c r="I3035" s="9" t="s">
        <v>11</v>
      </c>
      <c r="J3035" s="9" t="s">
        <v>11</v>
      </c>
      <c r="K3035" s="9" t="s">
        <v>82</v>
      </c>
      <c r="L3035" s="9" t="s">
        <v>171</v>
      </c>
      <c r="M3035" t="s">
        <v>1997</v>
      </c>
      <c r="O3035" t="s">
        <v>2014</v>
      </c>
      <c r="P3035" t="s">
        <v>2015</v>
      </c>
      <c r="S3035">
        <v>191</v>
      </c>
      <c r="U3035" s="14" t="s">
        <v>77</v>
      </c>
      <c r="V3035" t="s">
        <v>1720</v>
      </c>
      <c r="X3035" s="43">
        <v>0.95</v>
      </c>
      <c r="AA3035" s="43"/>
      <c r="AB3035">
        <v>0.2</v>
      </c>
      <c r="AC3035">
        <v>7.1999999999999995E-2</v>
      </c>
      <c r="AJ3035" s="13">
        <f t="shared" si="274"/>
        <v>1.222</v>
      </c>
      <c r="AK3035">
        <v>0</v>
      </c>
    </row>
    <row r="3036" spans="1:37" ht="19">
      <c r="A3036" s="39" t="s">
        <v>17</v>
      </c>
      <c r="B3036" s="8">
        <v>2024</v>
      </c>
      <c r="C3036" s="8" t="s">
        <v>109</v>
      </c>
      <c r="D3036" s="9" t="s">
        <v>109</v>
      </c>
      <c r="E3036" s="9" t="s">
        <v>111</v>
      </c>
      <c r="F3036" s="9" t="s">
        <v>111</v>
      </c>
      <c r="I3036" s="9" t="s">
        <v>11</v>
      </c>
      <c r="J3036" s="9" t="s">
        <v>11</v>
      </c>
      <c r="K3036" s="9" t="s">
        <v>82</v>
      </c>
      <c r="L3036" s="9" t="s">
        <v>171</v>
      </c>
      <c r="M3036" t="s">
        <v>1997</v>
      </c>
      <c r="O3036" t="s">
        <v>2014</v>
      </c>
      <c r="P3036" t="s">
        <v>2016</v>
      </c>
      <c r="S3036">
        <v>220</v>
      </c>
      <c r="U3036" t="s">
        <v>112</v>
      </c>
      <c r="V3036" t="s">
        <v>1484</v>
      </c>
      <c r="X3036" s="43">
        <v>1.1000000000000001</v>
      </c>
      <c r="AA3036" s="43"/>
      <c r="AB3036">
        <v>0.1</v>
      </c>
      <c r="AC3036">
        <v>8.1000000000000003E-2</v>
      </c>
      <c r="AK3036">
        <v>4859360</v>
      </c>
    </row>
    <row r="3037" spans="1:37" ht="19">
      <c r="A3037" s="39" t="s">
        <v>17</v>
      </c>
      <c r="B3037" s="8">
        <v>2024</v>
      </c>
      <c r="C3037" s="8" t="s">
        <v>109</v>
      </c>
      <c r="D3037" s="9" t="s">
        <v>109</v>
      </c>
      <c r="E3037" s="9" t="s">
        <v>111</v>
      </c>
      <c r="F3037" s="9" t="s">
        <v>111</v>
      </c>
      <c r="I3037" s="9" t="s">
        <v>11</v>
      </c>
      <c r="J3037" s="9" t="s">
        <v>11</v>
      </c>
      <c r="K3037" s="9" t="s">
        <v>82</v>
      </c>
      <c r="L3037" s="9" t="s">
        <v>171</v>
      </c>
      <c r="M3037" t="s">
        <v>1997</v>
      </c>
      <c r="O3037" t="s">
        <v>2014</v>
      </c>
      <c r="P3037" t="s">
        <v>2014</v>
      </c>
      <c r="S3037">
        <v>407</v>
      </c>
      <c r="U3037" s="14" t="s">
        <v>77</v>
      </c>
      <c r="V3037" t="s">
        <v>1720</v>
      </c>
      <c r="X3037" s="43">
        <v>2.0499999999999998</v>
      </c>
      <c r="AA3037" s="43"/>
      <c r="AB3037">
        <v>0.45</v>
      </c>
      <c r="AC3037">
        <v>0.14399999999999999</v>
      </c>
      <c r="AJ3037" s="13">
        <f>SUBTOTAL(9,X3037:AI3037)</f>
        <v>2.6440000000000001</v>
      </c>
      <c r="AK3037">
        <v>0</v>
      </c>
    </row>
    <row r="3038" spans="1:37" ht="19">
      <c r="A3038" s="39" t="s">
        <v>17</v>
      </c>
      <c r="B3038" s="8">
        <v>2024</v>
      </c>
      <c r="C3038" s="8" t="s">
        <v>109</v>
      </c>
      <c r="D3038" s="9" t="s">
        <v>109</v>
      </c>
      <c r="E3038" s="9" t="s">
        <v>111</v>
      </c>
      <c r="F3038" s="9" t="s">
        <v>111</v>
      </c>
      <c r="I3038" s="9" t="s">
        <v>11</v>
      </c>
      <c r="J3038" s="9" t="s">
        <v>11</v>
      </c>
      <c r="K3038" s="9" t="s">
        <v>82</v>
      </c>
      <c r="L3038" s="9" t="s">
        <v>171</v>
      </c>
      <c r="M3038" t="s">
        <v>1997</v>
      </c>
      <c r="O3038" t="s">
        <v>2014</v>
      </c>
      <c r="P3038" t="s">
        <v>744</v>
      </c>
      <c r="S3038">
        <v>276</v>
      </c>
      <c r="U3038" t="s">
        <v>112</v>
      </c>
      <c r="V3038" t="s">
        <v>1484</v>
      </c>
      <c r="X3038" s="43">
        <v>1.35</v>
      </c>
      <c r="AA3038" s="43"/>
      <c r="AB3038">
        <v>0.1</v>
      </c>
      <c r="AC3038">
        <v>0.10349999999999999</v>
      </c>
      <c r="AK3038">
        <v>6096288</v>
      </c>
    </row>
    <row r="3039" spans="1:37" ht="19">
      <c r="A3039" s="39" t="s">
        <v>17</v>
      </c>
      <c r="B3039" s="8">
        <v>2024</v>
      </c>
      <c r="C3039" s="8" t="s">
        <v>109</v>
      </c>
      <c r="D3039" s="9" t="s">
        <v>109</v>
      </c>
      <c r="E3039" s="9" t="s">
        <v>111</v>
      </c>
      <c r="F3039" s="9" t="s">
        <v>111</v>
      </c>
      <c r="I3039" s="9" t="s">
        <v>11</v>
      </c>
      <c r="J3039" s="9" t="s">
        <v>11</v>
      </c>
      <c r="K3039" s="9" t="s">
        <v>82</v>
      </c>
      <c r="L3039" s="9" t="s">
        <v>171</v>
      </c>
      <c r="M3039" t="s">
        <v>1997</v>
      </c>
      <c r="O3039" t="s">
        <v>1221</v>
      </c>
      <c r="P3039" t="s">
        <v>2017</v>
      </c>
      <c r="S3039">
        <v>306</v>
      </c>
      <c r="U3039" s="14" t="s">
        <v>77</v>
      </c>
      <c r="V3039" t="s">
        <v>1720</v>
      </c>
      <c r="X3039" s="43">
        <v>1.55</v>
      </c>
      <c r="AA3039" s="43"/>
      <c r="AB3039">
        <v>0.35</v>
      </c>
      <c r="AC3039">
        <v>0.1125</v>
      </c>
      <c r="AJ3039" s="13">
        <f t="shared" ref="AJ3039:AJ3041" si="275">SUBTOTAL(9,X3039:AI3039)</f>
        <v>2.0124999999999997</v>
      </c>
      <c r="AK3039">
        <v>0</v>
      </c>
    </row>
    <row r="3040" spans="1:37" ht="19">
      <c r="A3040" s="39" t="s">
        <v>17</v>
      </c>
      <c r="B3040" s="8">
        <v>2024</v>
      </c>
      <c r="C3040" s="8" t="s">
        <v>109</v>
      </c>
      <c r="D3040" s="9" t="s">
        <v>109</v>
      </c>
      <c r="E3040" s="9" t="s">
        <v>111</v>
      </c>
      <c r="F3040" s="9" t="s">
        <v>111</v>
      </c>
      <c r="I3040" s="9" t="s">
        <v>11</v>
      </c>
      <c r="J3040" s="9" t="s">
        <v>11</v>
      </c>
      <c r="K3040" s="9" t="s">
        <v>82</v>
      </c>
      <c r="L3040" s="9" t="s">
        <v>171</v>
      </c>
      <c r="M3040" t="s">
        <v>1997</v>
      </c>
      <c r="O3040" t="s">
        <v>1221</v>
      </c>
      <c r="P3040" t="s">
        <v>2018</v>
      </c>
      <c r="S3040">
        <v>174</v>
      </c>
      <c r="U3040" s="14" t="s">
        <v>77</v>
      </c>
      <c r="V3040" t="s">
        <v>1720</v>
      </c>
      <c r="X3040" s="43">
        <v>0.9</v>
      </c>
      <c r="AA3040" s="43"/>
      <c r="AB3040">
        <v>0.2</v>
      </c>
      <c r="AC3040">
        <v>6.3E-2</v>
      </c>
      <c r="AJ3040" s="13">
        <f t="shared" si="275"/>
        <v>1.163</v>
      </c>
      <c r="AK3040">
        <v>0</v>
      </c>
    </row>
    <row r="3041" spans="1:37" ht="19">
      <c r="A3041" s="39" t="s">
        <v>17</v>
      </c>
      <c r="B3041" s="8">
        <v>2024</v>
      </c>
      <c r="C3041" s="8" t="s">
        <v>109</v>
      </c>
      <c r="D3041" s="9" t="s">
        <v>109</v>
      </c>
      <c r="E3041" s="9" t="s">
        <v>111</v>
      </c>
      <c r="F3041" s="9" t="s">
        <v>111</v>
      </c>
      <c r="I3041" s="9" t="s">
        <v>11</v>
      </c>
      <c r="J3041" s="9" t="s">
        <v>11</v>
      </c>
      <c r="K3041" s="9" t="s">
        <v>82</v>
      </c>
      <c r="L3041" s="9" t="s">
        <v>171</v>
      </c>
      <c r="M3041" t="s">
        <v>1997</v>
      </c>
      <c r="O3041" t="s">
        <v>1221</v>
      </c>
      <c r="P3041" t="s">
        <v>2019</v>
      </c>
      <c r="S3041">
        <v>205</v>
      </c>
      <c r="U3041" s="14" t="s">
        <v>77</v>
      </c>
      <c r="V3041" t="s">
        <v>1720</v>
      </c>
      <c r="X3041" s="43">
        <v>1</v>
      </c>
      <c r="AA3041" s="43"/>
      <c r="AB3041">
        <v>0.25</v>
      </c>
      <c r="AC3041">
        <v>0.1125</v>
      </c>
      <c r="AJ3041" s="13">
        <f t="shared" si="275"/>
        <v>1.3625</v>
      </c>
      <c r="AK3041">
        <v>0</v>
      </c>
    </row>
    <row r="3042" spans="1:37" ht="19">
      <c r="A3042" s="39" t="s">
        <v>17</v>
      </c>
      <c r="B3042" s="8">
        <v>2024</v>
      </c>
      <c r="C3042" s="8" t="s">
        <v>109</v>
      </c>
      <c r="D3042" s="9" t="s">
        <v>109</v>
      </c>
      <c r="E3042" s="9" t="s">
        <v>111</v>
      </c>
      <c r="F3042" s="9" t="s">
        <v>111</v>
      </c>
      <c r="I3042" s="9" t="s">
        <v>11</v>
      </c>
      <c r="J3042" s="9" t="s">
        <v>11</v>
      </c>
      <c r="K3042" s="9" t="s">
        <v>82</v>
      </c>
      <c r="L3042" s="9" t="s">
        <v>171</v>
      </c>
      <c r="M3042" t="s">
        <v>1997</v>
      </c>
      <c r="O3042" t="s">
        <v>1221</v>
      </c>
      <c r="P3042" t="s">
        <v>2020</v>
      </c>
      <c r="S3042">
        <v>443</v>
      </c>
      <c r="U3042" t="s">
        <v>112</v>
      </c>
      <c r="V3042" t="s">
        <v>1484</v>
      </c>
      <c r="X3042" s="43">
        <v>2.5499999999999998</v>
      </c>
      <c r="AA3042" s="43"/>
      <c r="AB3042">
        <v>0.15</v>
      </c>
      <c r="AC3042">
        <v>0.13950000000000001</v>
      </c>
      <c r="AK3042">
        <v>9784984</v>
      </c>
    </row>
    <row r="3043" spans="1:37" ht="19">
      <c r="A3043" s="39" t="s">
        <v>17</v>
      </c>
      <c r="B3043" s="8">
        <v>2024</v>
      </c>
      <c r="C3043" s="8" t="s">
        <v>109</v>
      </c>
      <c r="D3043" s="9" t="s">
        <v>109</v>
      </c>
      <c r="E3043" s="9" t="s">
        <v>111</v>
      </c>
      <c r="F3043" s="9" t="s">
        <v>111</v>
      </c>
      <c r="I3043" s="9" t="s">
        <v>11</v>
      </c>
      <c r="J3043" s="9" t="s">
        <v>11</v>
      </c>
      <c r="K3043" s="9" t="s">
        <v>82</v>
      </c>
      <c r="L3043" s="9" t="s">
        <v>171</v>
      </c>
      <c r="M3043" t="s">
        <v>1997</v>
      </c>
      <c r="O3043" t="s">
        <v>1229</v>
      </c>
      <c r="P3043" t="s">
        <v>2021</v>
      </c>
      <c r="S3043">
        <v>200</v>
      </c>
      <c r="U3043" s="14" t="s">
        <v>77</v>
      </c>
      <c r="V3043" t="s">
        <v>1720</v>
      </c>
      <c r="X3043" s="43">
        <v>1</v>
      </c>
      <c r="AA3043" s="43"/>
      <c r="AB3043">
        <v>0.2</v>
      </c>
      <c r="AC3043">
        <v>6.7500000000000004E-2</v>
      </c>
      <c r="AJ3043" s="13">
        <f t="shared" ref="AJ3043:AJ3044" si="276">SUBTOTAL(9,X3043:AI3043)</f>
        <v>1.2675000000000001</v>
      </c>
      <c r="AK3043">
        <v>0</v>
      </c>
    </row>
    <row r="3044" spans="1:37" ht="19">
      <c r="A3044" s="39" t="s">
        <v>17</v>
      </c>
      <c r="B3044" s="8">
        <v>2024</v>
      </c>
      <c r="C3044" s="8" t="s">
        <v>109</v>
      </c>
      <c r="D3044" s="9" t="s">
        <v>109</v>
      </c>
      <c r="E3044" s="9" t="s">
        <v>111</v>
      </c>
      <c r="F3044" s="9" t="s">
        <v>111</v>
      </c>
      <c r="I3044" s="9" t="s">
        <v>11</v>
      </c>
      <c r="J3044" s="9" t="s">
        <v>11</v>
      </c>
      <c r="K3044" s="9" t="s">
        <v>82</v>
      </c>
      <c r="L3044" s="9" t="s">
        <v>171</v>
      </c>
      <c r="M3044" t="s">
        <v>1997</v>
      </c>
      <c r="O3044" t="s">
        <v>1229</v>
      </c>
      <c r="P3044" t="s">
        <v>2022</v>
      </c>
      <c r="S3044">
        <v>305</v>
      </c>
      <c r="U3044" s="14" t="s">
        <v>77</v>
      </c>
      <c r="V3044" t="s">
        <v>1720</v>
      </c>
      <c r="X3044" s="43">
        <v>1.35</v>
      </c>
      <c r="AA3044" s="43"/>
      <c r="AB3044">
        <v>0.3</v>
      </c>
      <c r="AC3044">
        <v>9.9000000000000005E-2</v>
      </c>
      <c r="AJ3044" s="13">
        <f t="shared" si="276"/>
        <v>1.7490000000000001</v>
      </c>
      <c r="AK3044">
        <v>0</v>
      </c>
    </row>
    <row r="3045" spans="1:37" ht="19">
      <c r="A3045" s="39" t="s">
        <v>17</v>
      </c>
      <c r="B3045" s="8">
        <v>2024</v>
      </c>
      <c r="C3045" s="8" t="s">
        <v>109</v>
      </c>
      <c r="D3045" s="9" t="s">
        <v>109</v>
      </c>
      <c r="E3045" s="9" t="s">
        <v>111</v>
      </c>
      <c r="F3045" s="9" t="s">
        <v>111</v>
      </c>
      <c r="I3045" s="9" t="s">
        <v>11</v>
      </c>
      <c r="J3045" s="9" t="s">
        <v>11</v>
      </c>
      <c r="K3045" s="9" t="s">
        <v>82</v>
      </c>
      <c r="L3045" s="9" t="s">
        <v>171</v>
      </c>
      <c r="M3045" t="s">
        <v>1997</v>
      </c>
      <c r="O3045" t="s">
        <v>1229</v>
      </c>
      <c r="P3045" t="s">
        <v>1229</v>
      </c>
      <c r="S3045">
        <v>351</v>
      </c>
      <c r="U3045" t="s">
        <v>112</v>
      </c>
      <c r="V3045" t="s">
        <v>1484</v>
      </c>
      <c r="X3045" s="43">
        <v>1.7</v>
      </c>
      <c r="AA3045" s="43"/>
      <c r="AB3045">
        <v>0.15</v>
      </c>
      <c r="AC3045">
        <v>0.1215</v>
      </c>
      <c r="AK3045">
        <v>7752888</v>
      </c>
    </row>
    <row r="3046" spans="1:37" ht="19">
      <c r="A3046" s="39" t="s">
        <v>17</v>
      </c>
      <c r="B3046" s="8">
        <v>2024</v>
      </c>
      <c r="C3046" s="8" t="s">
        <v>109</v>
      </c>
      <c r="D3046" s="9" t="s">
        <v>109</v>
      </c>
      <c r="E3046" s="9" t="s">
        <v>111</v>
      </c>
      <c r="F3046" s="9" t="s">
        <v>111</v>
      </c>
      <c r="I3046" s="9" t="s">
        <v>11</v>
      </c>
      <c r="J3046" s="9" t="s">
        <v>11</v>
      </c>
      <c r="K3046" s="9" t="s">
        <v>82</v>
      </c>
      <c r="L3046" s="9" t="s">
        <v>171</v>
      </c>
      <c r="M3046" t="s">
        <v>1997</v>
      </c>
      <c r="O3046" t="s">
        <v>1231</v>
      </c>
      <c r="P3046" t="s">
        <v>2023</v>
      </c>
      <c r="S3046">
        <v>204</v>
      </c>
      <c r="U3046" s="14" t="s">
        <v>77</v>
      </c>
      <c r="V3046" t="s">
        <v>1720</v>
      </c>
      <c r="X3046" s="43">
        <v>1</v>
      </c>
      <c r="AA3046" s="43"/>
      <c r="AB3046">
        <v>0.15</v>
      </c>
      <c r="AC3046">
        <v>6.3E-2</v>
      </c>
      <c r="AJ3046" s="13">
        <f t="shared" ref="AJ3046:AJ3049" si="277">SUBTOTAL(9,X3046:AI3046)</f>
        <v>1.2129999999999999</v>
      </c>
      <c r="AK3046">
        <v>0</v>
      </c>
    </row>
    <row r="3047" spans="1:37" ht="19">
      <c r="A3047" s="39" t="s">
        <v>17</v>
      </c>
      <c r="B3047" s="8">
        <v>2024</v>
      </c>
      <c r="C3047" s="8" t="s">
        <v>109</v>
      </c>
      <c r="D3047" s="9" t="s">
        <v>109</v>
      </c>
      <c r="E3047" s="9" t="s">
        <v>111</v>
      </c>
      <c r="F3047" s="9" t="s">
        <v>111</v>
      </c>
      <c r="I3047" s="9" t="s">
        <v>11</v>
      </c>
      <c r="J3047" s="9" t="s">
        <v>11</v>
      </c>
      <c r="K3047" s="9" t="s">
        <v>82</v>
      </c>
      <c r="L3047" s="9" t="s">
        <v>171</v>
      </c>
      <c r="M3047" t="s">
        <v>1997</v>
      </c>
      <c r="O3047" t="s">
        <v>1260</v>
      </c>
      <c r="P3047" t="s">
        <v>2024</v>
      </c>
      <c r="S3047">
        <v>102</v>
      </c>
      <c r="U3047" s="14" t="s">
        <v>77</v>
      </c>
      <c r="V3047" t="s">
        <v>1720</v>
      </c>
      <c r="X3047" s="43">
        <v>0.6</v>
      </c>
      <c r="AA3047" s="43"/>
      <c r="AB3047">
        <v>0.1</v>
      </c>
      <c r="AC3047">
        <v>4.9500000000000002E-2</v>
      </c>
      <c r="AJ3047" s="13">
        <f t="shared" si="277"/>
        <v>0.74949999999999994</v>
      </c>
      <c r="AK3047">
        <v>0</v>
      </c>
    </row>
    <row r="3048" spans="1:37" ht="19">
      <c r="A3048" s="39" t="s">
        <v>17</v>
      </c>
      <c r="B3048" s="8">
        <v>2024</v>
      </c>
      <c r="C3048" s="8" t="s">
        <v>109</v>
      </c>
      <c r="D3048" s="9" t="s">
        <v>109</v>
      </c>
      <c r="E3048" s="9" t="s">
        <v>111</v>
      </c>
      <c r="F3048" s="9" t="s">
        <v>111</v>
      </c>
      <c r="I3048" s="9" t="s">
        <v>11</v>
      </c>
      <c r="J3048" s="9" t="s">
        <v>11</v>
      </c>
      <c r="K3048" s="9" t="s">
        <v>82</v>
      </c>
      <c r="L3048" s="9" t="s">
        <v>171</v>
      </c>
      <c r="M3048" t="s">
        <v>1997</v>
      </c>
      <c r="O3048" t="s">
        <v>1260</v>
      </c>
      <c r="P3048" t="s">
        <v>2025</v>
      </c>
      <c r="S3048">
        <v>287</v>
      </c>
      <c r="U3048" s="14" t="s">
        <v>77</v>
      </c>
      <c r="V3048" t="s">
        <v>1720</v>
      </c>
      <c r="X3048" s="43">
        <v>1.55</v>
      </c>
      <c r="AA3048" s="43"/>
      <c r="AB3048">
        <v>0.4</v>
      </c>
      <c r="AC3048">
        <v>5.8500000000000003E-2</v>
      </c>
      <c r="AJ3048" s="13">
        <f t="shared" si="277"/>
        <v>2.0085000000000002</v>
      </c>
      <c r="AK3048">
        <v>0</v>
      </c>
    </row>
    <row r="3049" spans="1:37" ht="19">
      <c r="A3049" s="39" t="s">
        <v>17</v>
      </c>
      <c r="B3049" s="8">
        <v>2024</v>
      </c>
      <c r="C3049" s="8" t="s">
        <v>109</v>
      </c>
      <c r="D3049" s="9" t="s">
        <v>109</v>
      </c>
      <c r="E3049" s="9" t="s">
        <v>111</v>
      </c>
      <c r="F3049" s="9" t="s">
        <v>111</v>
      </c>
      <c r="I3049" s="9" t="s">
        <v>11</v>
      </c>
      <c r="J3049" s="9" t="s">
        <v>11</v>
      </c>
      <c r="K3049" s="9" t="s">
        <v>82</v>
      </c>
      <c r="L3049" s="9" t="s">
        <v>171</v>
      </c>
      <c r="M3049" t="s">
        <v>1997</v>
      </c>
      <c r="O3049" t="s">
        <v>1260</v>
      </c>
      <c r="P3049" t="s">
        <v>2026</v>
      </c>
      <c r="S3049">
        <v>202</v>
      </c>
      <c r="U3049" s="14" t="s">
        <v>77</v>
      </c>
      <c r="V3049" t="s">
        <v>1720</v>
      </c>
      <c r="X3049" s="43">
        <v>1.35</v>
      </c>
      <c r="AA3049" s="43"/>
      <c r="AB3049">
        <v>0.25</v>
      </c>
      <c r="AC3049">
        <v>6.3E-2</v>
      </c>
      <c r="AJ3049" s="13">
        <f t="shared" si="277"/>
        <v>1.663</v>
      </c>
      <c r="AK3049">
        <v>0</v>
      </c>
    </row>
    <row r="3050" spans="1:37" ht="19">
      <c r="A3050" s="39" t="s">
        <v>17</v>
      </c>
      <c r="B3050" s="8">
        <v>2024</v>
      </c>
      <c r="C3050" s="8" t="s">
        <v>109</v>
      </c>
      <c r="D3050" s="9" t="s">
        <v>109</v>
      </c>
      <c r="E3050" s="9" t="s">
        <v>111</v>
      </c>
      <c r="F3050" s="9" t="s">
        <v>111</v>
      </c>
      <c r="I3050" s="9" t="s">
        <v>11</v>
      </c>
      <c r="J3050" s="9" t="s">
        <v>11</v>
      </c>
      <c r="K3050" s="9" t="s">
        <v>82</v>
      </c>
      <c r="L3050" s="9" t="s">
        <v>171</v>
      </c>
      <c r="M3050" t="s">
        <v>1997</v>
      </c>
      <c r="O3050" t="s">
        <v>1231</v>
      </c>
      <c r="P3050" t="s">
        <v>2027</v>
      </c>
      <c r="S3050">
        <v>134</v>
      </c>
      <c r="U3050" t="s">
        <v>112</v>
      </c>
      <c r="V3050" t="s">
        <v>1484</v>
      </c>
      <c r="X3050" s="43">
        <v>1.05</v>
      </c>
      <c r="AA3050" s="43"/>
      <c r="AB3050">
        <v>0.05</v>
      </c>
      <c r="AC3050">
        <v>7.1999999999999995E-2</v>
      </c>
      <c r="AK3050">
        <v>2959792</v>
      </c>
    </row>
    <row r="3051" spans="1:37" ht="19">
      <c r="A3051" s="39" t="s">
        <v>17</v>
      </c>
      <c r="B3051" s="8">
        <v>2024</v>
      </c>
      <c r="C3051" s="8" t="s">
        <v>109</v>
      </c>
      <c r="D3051" s="9" t="s">
        <v>109</v>
      </c>
      <c r="E3051" s="9" t="s">
        <v>111</v>
      </c>
      <c r="F3051" s="9" t="s">
        <v>111</v>
      </c>
      <c r="I3051" s="9" t="s">
        <v>11</v>
      </c>
      <c r="J3051" s="9" t="s">
        <v>11</v>
      </c>
      <c r="K3051" s="9" t="s">
        <v>82</v>
      </c>
      <c r="L3051" s="9" t="s">
        <v>171</v>
      </c>
      <c r="M3051" t="s">
        <v>1997</v>
      </c>
      <c r="O3051" t="s">
        <v>1231</v>
      </c>
      <c r="P3051" t="s">
        <v>2028</v>
      </c>
      <c r="S3051">
        <v>212</v>
      </c>
      <c r="U3051" s="14" t="s">
        <v>77</v>
      </c>
      <c r="V3051" t="s">
        <v>1720</v>
      </c>
      <c r="X3051" s="43">
        <v>0</v>
      </c>
      <c r="AA3051" s="43"/>
      <c r="AB3051">
        <v>0</v>
      </c>
      <c r="AC3051">
        <v>0</v>
      </c>
      <c r="AJ3051" s="13">
        <f t="shared" ref="AJ3051:AJ3052" si="278">SUBTOTAL(9,X3051:AI3051)</f>
        <v>0</v>
      </c>
      <c r="AK3051">
        <v>0</v>
      </c>
    </row>
    <row r="3052" spans="1:37" ht="19">
      <c r="A3052" s="39" t="s">
        <v>17</v>
      </c>
      <c r="B3052" s="8">
        <v>2024</v>
      </c>
      <c r="C3052" s="8" t="s">
        <v>109</v>
      </c>
      <c r="D3052" s="9" t="s">
        <v>109</v>
      </c>
      <c r="E3052" s="9" t="s">
        <v>111</v>
      </c>
      <c r="F3052" s="9" t="s">
        <v>111</v>
      </c>
      <c r="I3052" s="9" t="s">
        <v>11</v>
      </c>
      <c r="J3052" s="9" t="s">
        <v>11</v>
      </c>
      <c r="K3052" s="9" t="s">
        <v>82</v>
      </c>
      <c r="L3052" s="9" t="s">
        <v>171</v>
      </c>
      <c r="M3052" t="s">
        <v>1997</v>
      </c>
      <c r="O3052" t="s">
        <v>1260</v>
      </c>
      <c r="P3052" t="s">
        <v>2029</v>
      </c>
      <c r="S3052">
        <v>257</v>
      </c>
      <c r="U3052" s="14" t="s">
        <v>77</v>
      </c>
      <c r="V3052" t="s">
        <v>1720</v>
      </c>
      <c r="X3052" s="43">
        <v>1.1000000000000001</v>
      </c>
      <c r="AA3052" s="43"/>
      <c r="AB3052">
        <v>0.25</v>
      </c>
      <c r="AC3052">
        <v>0</v>
      </c>
      <c r="AJ3052" s="13">
        <f t="shared" si="278"/>
        <v>1.35</v>
      </c>
      <c r="AK3052">
        <v>0</v>
      </c>
    </row>
    <row r="3053" spans="1:37" ht="19">
      <c r="A3053" s="39" t="s">
        <v>17</v>
      </c>
      <c r="B3053" s="8">
        <v>2024</v>
      </c>
      <c r="C3053" s="8" t="s">
        <v>109</v>
      </c>
      <c r="D3053" s="9" t="s">
        <v>109</v>
      </c>
      <c r="E3053" s="9" t="s">
        <v>111</v>
      </c>
      <c r="F3053" s="9" t="s">
        <v>111</v>
      </c>
      <c r="I3053" s="9" t="s">
        <v>11</v>
      </c>
      <c r="J3053" s="9" t="s">
        <v>11</v>
      </c>
      <c r="K3053" s="9" t="s">
        <v>82</v>
      </c>
      <c r="L3053" s="9" t="s">
        <v>171</v>
      </c>
      <c r="M3053" t="s">
        <v>1997</v>
      </c>
      <c r="O3053" t="s">
        <v>1231</v>
      </c>
      <c r="P3053" t="s">
        <v>2030</v>
      </c>
      <c r="S3053">
        <v>180</v>
      </c>
      <c r="U3053" t="s">
        <v>112</v>
      </c>
      <c r="V3053" t="s">
        <v>1484</v>
      </c>
      <c r="X3053" s="43">
        <v>1.4</v>
      </c>
      <c r="AA3053" s="43"/>
      <c r="AB3053">
        <v>0.1</v>
      </c>
      <c r="AC3053">
        <v>9.9000000000000005E-2</v>
      </c>
      <c r="AK3053">
        <v>3975840</v>
      </c>
    </row>
    <row r="3054" spans="1:37" ht="19">
      <c r="A3054" s="39" t="s">
        <v>17</v>
      </c>
      <c r="B3054" s="8">
        <v>2024</v>
      </c>
      <c r="C3054" s="8" t="s">
        <v>109</v>
      </c>
      <c r="D3054" s="9" t="s">
        <v>109</v>
      </c>
      <c r="E3054" s="9" t="s">
        <v>111</v>
      </c>
      <c r="F3054" s="9" t="s">
        <v>111</v>
      </c>
      <c r="I3054" s="9" t="s">
        <v>11</v>
      </c>
      <c r="J3054" s="9" t="s">
        <v>11</v>
      </c>
      <c r="K3054" s="9" t="s">
        <v>82</v>
      </c>
      <c r="L3054" s="9" t="s">
        <v>171</v>
      </c>
      <c r="M3054" t="s">
        <v>1997</v>
      </c>
      <c r="O3054" t="s">
        <v>1260</v>
      </c>
      <c r="P3054" t="s">
        <v>2031</v>
      </c>
      <c r="S3054">
        <v>423</v>
      </c>
      <c r="U3054" s="14" t="s">
        <v>77</v>
      </c>
      <c r="V3054" t="s">
        <v>1720</v>
      </c>
      <c r="X3054" s="43">
        <v>1.25</v>
      </c>
      <c r="AA3054" s="43"/>
      <c r="AB3054">
        <v>0.3</v>
      </c>
      <c r="AC3054">
        <v>8.1000000000000003E-2</v>
      </c>
      <c r="AJ3054" s="13">
        <f t="shared" ref="AJ3054:AJ3055" si="279">SUBTOTAL(9,X3054:AI3054)</f>
        <v>1.631</v>
      </c>
      <c r="AK3054">
        <v>0</v>
      </c>
    </row>
    <row r="3055" spans="1:37" ht="19">
      <c r="A3055" s="39" t="s">
        <v>17</v>
      </c>
      <c r="B3055" s="8">
        <v>2024</v>
      </c>
      <c r="C3055" s="8" t="s">
        <v>109</v>
      </c>
      <c r="D3055" s="9" t="s">
        <v>109</v>
      </c>
      <c r="E3055" s="9" t="s">
        <v>111</v>
      </c>
      <c r="F3055" s="9" t="s">
        <v>111</v>
      </c>
      <c r="I3055" s="9" t="s">
        <v>11</v>
      </c>
      <c r="J3055" s="9" t="s">
        <v>11</v>
      </c>
      <c r="K3055" s="9" t="s">
        <v>82</v>
      </c>
      <c r="L3055" s="9" t="s">
        <v>171</v>
      </c>
      <c r="M3055" t="s">
        <v>1997</v>
      </c>
      <c r="O3055" t="s">
        <v>1231</v>
      </c>
      <c r="P3055" t="s">
        <v>2032</v>
      </c>
      <c r="S3055">
        <v>738</v>
      </c>
      <c r="U3055" s="14" t="s">
        <v>77</v>
      </c>
      <c r="V3055" t="s">
        <v>1720</v>
      </c>
      <c r="X3055" s="43">
        <v>5.2</v>
      </c>
      <c r="AA3055" s="43"/>
      <c r="AB3055">
        <v>1.25</v>
      </c>
      <c r="AC3055">
        <v>0.36899999999999999</v>
      </c>
      <c r="AJ3055" s="13">
        <f t="shared" si="279"/>
        <v>6.819</v>
      </c>
      <c r="AK3055">
        <v>0</v>
      </c>
    </row>
    <row r="3056" spans="1:37" ht="19">
      <c r="A3056" s="39" t="s">
        <v>17</v>
      </c>
      <c r="B3056" s="8">
        <v>2024</v>
      </c>
      <c r="C3056" s="8" t="s">
        <v>109</v>
      </c>
      <c r="D3056" s="9" t="s">
        <v>109</v>
      </c>
      <c r="E3056" s="9" t="s">
        <v>111</v>
      </c>
      <c r="F3056" s="9" t="s">
        <v>111</v>
      </c>
      <c r="I3056" s="9" t="s">
        <v>11</v>
      </c>
      <c r="J3056" s="9" t="s">
        <v>11</v>
      </c>
      <c r="K3056" s="9" t="s">
        <v>82</v>
      </c>
      <c r="L3056" s="9" t="s">
        <v>171</v>
      </c>
      <c r="M3056" t="s">
        <v>1997</v>
      </c>
      <c r="O3056" t="s">
        <v>1231</v>
      </c>
      <c r="P3056" t="s">
        <v>1231</v>
      </c>
      <c r="S3056">
        <v>967</v>
      </c>
      <c r="U3056" t="s">
        <v>112</v>
      </c>
      <c r="V3056" t="s">
        <v>1484</v>
      </c>
      <c r="X3056" s="43">
        <v>6.95</v>
      </c>
      <c r="AA3056" s="43"/>
      <c r="AB3056">
        <v>0.2</v>
      </c>
      <c r="AC3056">
        <v>0.495</v>
      </c>
      <c r="AK3056">
        <v>21359096</v>
      </c>
    </row>
    <row r="3057" spans="1:37" ht="19">
      <c r="A3057" s="39" t="s">
        <v>17</v>
      </c>
      <c r="B3057" s="8">
        <v>2024</v>
      </c>
      <c r="C3057" s="8" t="s">
        <v>109</v>
      </c>
      <c r="D3057" s="9" t="s">
        <v>109</v>
      </c>
      <c r="E3057" s="9" t="s">
        <v>111</v>
      </c>
      <c r="F3057" s="9" t="s">
        <v>111</v>
      </c>
      <c r="I3057" s="9" t="s">
        <v>11</v>
      </c>
      <c r="J3057" s="9" t="s">
        <v>11</v>
      </c>
      <c r="K3057" s="9" t="s">
        <v>82</v>
      </c>
      <c r="L3057" s="9" t="s">
        <v>171</v>
      </c>
      <c r="M3057" t="s">
        <v>1997</v>
      </c>
      <c r="O3057" t="s">
        <v>1231</v>
      </c>
      <c r="P3057" t="s">
        <v>2033</v>
      </c>
      <c r="S3057">
        <v>225</v>
      </c>
      <c r="U3057" t="s">
        <v>112</v>
      </c>
      <c r="V3057" t="s">
        <v>1484</v>
      </c>
      <c r="X3057" s="43">
        <v>1.45</v>
      </c>
      <c r="AA3057" s="43"/>
      <c r="AB3057">
        <v>0.1</v>
      </c>
      <c r="AC3057">
        <v>0.10349999999999999</v>
      </c>
      <c r="AK3057">
        <v>4969800</v>
      </c>
    </row>
    <row r="3058" spans="1:37" ht="19">
      <c r="A3058" s="39" t="s">
        <v>17</v>
      </c>
      <c r="B3058" s="8">
        <v>2024</v>
      </c>
      <c r="C3058" s="8" t="s">
        <v>109</v>
      </c>
      <c r="D3058" s="9" t="s">
        <v>109</v>
      </c>
      <c r="E3058" s="9" t="s">
        <v>111</v>
      </c>
      <c r="F3058" s="9" t="s">
        <v>111</v>
      </c>
      <c r="I3058" s="9" t="s">
        <v>11</v>
      </c>
      <c r="J3058" s="9" t="s">
        <v>11</v>
      </c>
      <c r="K3058" s="9" t="s">
        <v>82</v>
      </c>
      <c r="L3058" s="9" t="s">
        <v>171</v>
      </c>
      <c r="M3058" t="s">
        <v>1997</v>
      </c>
      <c r="O3058" t="s">
        <v>1231</v>
      </c>
      <c r="P3058" t="s">
        <v>2034</v>
      </c>
      <c r="S3058">
        <v>230</v>
      </c>
      <c r="U3058" s="14" t="s">
        <v>77</v>
      </c>
      <c r="V3058" t="s">
        <v>1720</v>
      </c>
      <c r="X3058" s="43">
        <v>1.3</v>
      </c>
      <c r="AA3058" s="43"/>
      <c r="AB3058">
        <v>0.25</v>
      </c>
      <c r="AC3058">
        <v>0.09</v>
      </c>
      <c r="AJ3058" s="13">
        <f>SUBTOTAL(9,X3058:AI3058)</f>
        <v>1.6400000000000001</v>
      </c>
      <c r="AK3058">
        <v>0</v>
      </c>
    </row>
    <row r="3059" spans="1:37" ht="19">
      <c r="A3059" s="39" t="s">
        <v>17</v>
      </c>
      <c r="B3059" s="8">
        <v>2024</v>
      </c>
      <c r="C3059" s="8" t="s">
        <v>109</v>
      </c>
      <c r="D3059" s="9" t="s">
        <v>109</v>
      </c>
      <c r="E3059" s="9" t="s">
        <v>111</v>
      </c>
      <c r="F3059" s="9" t="s">
        <v>111</v>
      </c>
      <c r="I3059" s="9" t="s">
        <v>11</v>
      </c>
      <c r="J3059" s="9" t="s">
        <v>11</v>
      </c>
      <c r="K3059" s="9" t="s">
        <v>82</v>
      </c>
      <c r="L3059" s="9" t="s">
        <v>171</v>
      </c>
      <c r="M3059" t="s">
        <v>1997</v>
      </c>
      <c r="O3059" t="s">
        <v>1231</v>
      </c>
      <c r="P3059" t="s">
        <v>2035</v>
      </c>
      <c r="S3059">
        <v>126</v>
      </c>
      <c r="U3059" t="s">
        <v>112</v>
      </c>
      <c r="V3059" t="s">
        <v>1484</v>
      </c>
      <c r="X3059" s="43">
        <v>0.6</v>
      </c>
      <c r="AA3059" s="43"/>
      <c r="AB3059">
        <v>0.05</v>
      </c>
      <c r="AC3059">
        <v>6.3E-2</v>
      </c>
      <c r="AK3059">
        <v>2783088</v>
      </c>
    </row>
    <row r="3060" spans="1:37" ht="19">
      <c r="A3060" s="39" t="s">
        <v>17</v>
      </c>
      <c r="B3060" s="8">
        <v>2024</v>
      </c>
      <c r="C3060" s="8" t="s">
        <v>109</v>
      </c>
      <c r="D3060" s="9" t="s">
        <v>109</v>
      </c>
      <c r="E3060" s="9" t="s">
        <v>111</v>
      </c>
      <c r="F3060" s="9" t="s">
        <v>111</v>
      </c>
      <c r="I3060" s="9" t="s">
        <v>11</v>
      </c>
      <c r="J3060" s="9" t="s">
        <v>11</v>
      </c>
      <c r="K3060" s="9" t="s">
        <v>82</v>
      </c>
      <c r="L3060" s="9" t="s">
        <v>171</v>
      </c>
      <c r="M3060" t="s">
        <v>1997</v>
      </c>
      <c r="O3060" t="s">
        <v>1260</v>
      </c>
      <c r="P3060" t="s">
        <v>2036</v>
      </c>
      <c r="S3060">
        <v>158</v>
      </c>
      <c r="U3060" s="14" t="s">
        <v>77</v>
      </c>
      <c r="V3060" t="s">
        <v>1720</v>
      </c>
      <c r="X3060" s="43">
        <v>0.2</v>
      </c>
      <c r="AA3060" s="43"/>
      <c r="AB3060">
        <v>0.2</v>
      </c>
      <c r="AC3060">
        <v>5.3999999999999999E-2</v>
      </c>
      <c r="AJ3060" s="13">
        <f t="shared" ref="AJ3060:AJ3061" si="280">SUBTOTAL(9,X3060:AI3060)</f>
        <v>0.45400000000000001</v>
      </c>
      <c r="AK3060">
        <v>0</v>
      </c>
    </row>
    <row r="3061" spans="1:37" ht="19">
      <c r="A3061" s="39" t="s">
        <v>17</v>
      </c>
      <c r="B3061" s="8">
        <v>2024</v>
      </c>
      <c r="C3061" s="8" t="s">
        <v>109</v>
      </c>
      <c r="D3061" s="9" t="s">
        <v>109</v>
      </c>
      <c r="E3061" s="9" t="s">
        <v>111</v>
      </c>
      <c r="F3061" s="9" t="s">
        <v>111</v>
      </c>
      <c r="I3061" s="9" t="s">
        <v>11</v>
      </c>
      <c r="J3061" s="9" t="s">
        <v>11</v>
      </c>
      <c r="K3061" s="9" t="s">
        <v>82</v>
      </c>
      <c r="L3061" s="9" t="s">
        <v>171</v>
      </c>
      <c r="M3061" t="s">
        <v>1997</v>
      </c>
      <c r="O3061" t="s">
        <v>1231</v>
      </c>
      <c r="P3061" t="s">
        <v>2037</v>
      </c>
      <c r="S3061">
        <v>175</v>
      </c>
      <c r="U3061" s="14" t="s">
        <v>77</v>
      </c>
      <c r="V3061" t="s">
        <v>1720</v>
      </c>
      <c r="X3061" s="43">
        <v>0.9</v>
      </c>
      <c r="AA3061" s="43"/>
      <c r="AB3061">
        <v>0.15</v>
      </c>
      <c r="AC3061">
        <v>5.8500000000000003E-2</v>
      </c>
      <c r="AJ3061" s="13">
        <f t="shared" si="280"/>
        <v>1.1085</v>
      </c>
      <c r="AK3061">
        <v>0</v>
      </c>
    </row>
    <row r="3062" spans="1:37" ht="19">
      <c r="A3062" s="39" t="s">
        <v>17</v>
      </c>
      <c r="B3062" s="8">
        <v>2024</v>
      </c>
      <c r="C3062" s="8" t="s">
        <v>109</v>
      </c>
      <c r="D3062" s="9" t="s">
        <v>109</v>
      </c>
      <c r="E3062" s="9" t="s">
        <v>111</v>
      </c>
      <c r="F3062" s="9" t="s">
        <v>111</v>
      </c>
      <c r="I3062" s="9" t="s">
        <v>11</v>
      </c>
      <c r="J3062" s="9" t="s">
        <v>11</v>
      </c>
      <c r="K3062" s="9" t="s">
        <v>82</v>
      </c>
      <c r="L3062" s="9" t="s">
        <v>171</v>
      </c>
      <c r="M3062" t="s">
        <v>1997</v>
      </c>
      <c r="O3062" t="s">
        <v>1231</v>
      </c>
      <c r="P3062" t="s">
        <v>2038</v>
      </c>
      <c r="S3062">
        <v>138</v>
      </c>
      <c r="U3062" t="s">
        <v>112</v>
      </c>
      <c r="V3062" t="s">
        <v>1484</v>
      </c>
      <c r="X3062" s="43">
        <v>0.7</v>
      </c>
      <c r="AA3062" s="43"/>
      <c r="AB3062">
        <v>0.05</v>
      </c>
      <c r="AC3062">
        <v>4.9500000000000002E-2</v>
      </c>
      <c r="AK3062">
        <v>3048144</v>
      </c>
    </row>
    <row r="3063" spans="1:37" ht="19">
      <c r="A3063" s="39" t="s">
        <v>17</v>
      </c>
      <c r="B3063" s="8">
        <v>2024</v>
      </c>
      <c r="C3063" s="8" t="s">
        <v>109</v>
      </c>
      <c r="D3063" s="9" t="s">
        <v>109</v>
      </c>
      <c r="E3063" s="9" t="s">
        <v>111</v>
      </c>
      <c r="F3063" s="9" t="s">
        <v>111</v>
      </c>
      <c r="I3063" s="9" t="s">
        <v>11</v>
      </c>
      <c r="J3063" s="9" t="s">
        <v>11</v>
      </c>
      <c r="K3063" s="9" t="s">
        <v>82</v>
      </c>
      <c r="L3063" s="9" t="s">
        <v>171</v>
      </c>
      <c r="M3063" t="s">
        <v>1997</v>
      </c>
      <c r="O3063" t="s">
        <v>1231</v>
      </c>
      <c r="P3063" t="s">
        <v>2039</v>
      </c>
      <c r="S3063">
        <v>138</v>
      </c>
      <c r="U3063" t="s">
        <v>112</v>
      </c>
      <c r="V3063" t="s">
        <v>1484</v>
      </c>
      <c r="X3063" s="43">
        <v>0.7</v>
      </c>
      <c r="AA3063" s="43"/>
      <c r="AB3063">
        <v>0.05</v>
      </c>
      <c r="AC3063">
        <v>4.9500000000000002E-2</v>
      </c>
      <c r="AK3063">
        <v>3048144</v>
      </c>
    </row>
    <row r="3064" spans="1:37" ht="19">
      <c r="A3064" s="39" t="s">
        <v>17</v>
      </c>
      <c r="B3064" s="8">
        <v>2024</v>
      </c>
      <c r="C3064" s="8" t="s">
        <v>109</v>
      </c>
      <c r="D3064" s="9" t="s">
        <v>109</v>
      </c>
      <c r="E3064" s="9" t="s">
        <v>111</v>
      </c>
      <c r="F3064" s="9" t="s">
        <v>111</v>
      </c>
      <c r="I3064" s="9" t="s">
        <v>11</v>
      </c>
      <c r="J3064" s="9" t="s">
        <v>11</v>
      </c>
      <c r="K3064" s="9" t="s">
        <v>82</v>
      </c>
      <c r="L3064" s="9" t="s">
        <v>171</v>
      </c>
      <c r="M3064" t="s">
        <v>1997</v>
      </c>
      <c r="O3064" t="s">
        <v>1240</v>
      </c>
      <c r="P3064" t="s">
        <v>2040</v>
      </c>
      <c r="S3064">
        <v>178</v>
      </c>
      <c r="U3064" s="14" t="s">
        <v>77</v>
      </c>
      <c r="V3064" t="s">
        <v>1720</v>
      </c>
      <c r="X3064" s="43">
        <v>0.95</v>
      </c>
      <c r="AA3064" s="43"/>
      <c r="AB3064">
        <v>0.2</v>
      </c>
      <c r="AC3064">
        <v>6.7500000000000004E-2</v>
      </c>
      <c r="AJ3064" s="13">
        <f>SUBTOTAL(9,X3064:AI3064)</f>
        <v>1.2174999999999998</v>
      </c>
      <c r="AK3064">
        <v>0</v>
      </c>
    </row>
    <row r="3065" spans="1:37" ht="19">
      <c r="A3065" s="39" t="s">
        <v>17</v>
      </c>
      <c r="B3065" s="8">
        <v>2024</v>
      </c>
      <c r="C3065" s="8" t="s">
        <v>109</v>
      </c>
      <c r="D3065" s="9" t="s">
        <v>109</v>
      </c>
      <c r="E3065" s="9" t="s">
        <v>111</v>
      </c>
      <c r="F3065" s="9" t="s">
        <v>111</v>
      </c>
      <c r="I3065" s="9" t="s">
        <v>11</v>
      </c>
      <c r="J3065" s="9" t="s">
        <v>11</v>
      </c>
      <c r="K3065" s="9" t="s">
        <v>82</v>
      </c>
      <c r="L3065" s="9" t="s">
        <v>171</v>
      </c>
      <c r="M3065" t="s">
        <v>1997</v>
      </c>
      <c r="O3065" t="s">
        <v>1240</v>
      </c>
      <c r="P3065" t="s">
        <v>2041</v>
      </c>
      <c r="S3065">
        <v>148</v>
      </c>
      <c r="U3065" t="s">
        <v>112</v>
      </c>
      <c r="V3065" t="s">
        <v>1484</v>
      </c>
      <c r="X3065" s="43">
        <v>1.1499999999999999</v>
      </c>
      <c r="AA3065" s="43"/>
      <c r="AB3065">
        <v>0.05</v>
      </c>
      <c r="AC3065">
        <v>8.1000000000000003E-2</v>
      </c>
      <c r="AK3065">
        <v>3269024</v>
      </c>
    </row>
    <row r="3066" spans="1:37" ht="19">
      <c r="A3066" s="39" t="s">
        <v>17</v>
      </c>
      <c r="B3066" s="8">
        <v>2024</v>
      </c>
      <c r="C3066" s="8" t="s">
        <v>109</v>
      </c>
      <c r="D3066" s="9" t="s">
        <v>109</v>
      </c>
      <c r="E3066" s="9" t="s">
        <v>111</v>
      </c>
      <c r="F3066" s="9" t="s">
        <v>111</v>
      </c>
      <c r="I3066" s="9" t="s">
        <v>11</v>
      </c>
      <c r="J3066" s="9" t="s">
        <v>11</v>
      </c>
      <c r="K3066" s="9" t="s">
        <v>82</v>
      </c>
      <c r="L3066" s="9" t="s">
        <v>171</v>
      </c>
      <c r="M3066" t="s">
        <v>1997</v>
      </c>
      <c r="O3066" t="s">
        <v>1240</v>
      </c>
      <c r="P3066" t="s">
        <v>2042</v>
      </c>
      <c r="S3066">
        <v>203</v>
      </c>
      <c r="U3066" s="14" t="s">
        <v>77</v>
      </c>
      <c r="V3066" t="s">
        <v>1720</v>
      </c>
      <c r="X3066" s="43">
        <v>0.55000000000000004</v>
      </c>
      <c r="AA3066" s="43"/>
      <c r="AB3066">
        <v>0.25</v>
      </c>
      <c r="AC3066">
        <v>6.3E-2</v>
      </c>
      <c r="AJ3066" s="13">
        <f t="shared" ref="AJ3066:AJ3068" si="281">SUBTOTAL(9,X3066:AI3066)</f>
        <v>0.86299999999999999</v>
      </c>
      <c r="AK3066">
        <v>0</v>
      </c>
    </row>
    <row r="3067" spans="1:37" ht="19">
      <c r="A3067" s="39" t="s">
        <v>17</v>
      </c>
      <c r="B3067" s="8">
        <v>2024</v>
      </c>
      <c r="C3067" s="8" t="s">
        <v>109</v>
      </c>
      <c r="D3067" s="9" t="s">
        <v>109</v>
      </c>
      <c r="E3067" s="9" t="s">
        <v>111</v>
      </c>
      <c r="F3067" s="9" t="s">
        <v>111</v>
      </c>
      <c r="I3067" s="9" t="s">
        <v>11</v>
      </c>
      <c r="J3067" s="9" t="s">
        <v>11</v>
      </c>
      <c r="K3067" s="9" t="s">
        <v>82</v>
      </c>
      <c r="L3067" s="9" t="s">
        <v>171</v>
      </c>
      <c r="M3067" t="s">
        <v>1997</v>
      </c>
      <c r="O3067" t="s">
        <v>1240</v>
      </c>
      <c r="P3067" t="s">
        <v>335</v>
      </c>
      <c r="S3067">
        <v>137</v>
      </c>
      <c r="U3067" s="14" t="s">
        <v>77</v>
      </c>
      <c r="V3067" t="s">
        <v>1720</v>
      </c>
      <c r="X3067" s="43">
        <v>0.7</v>
      </c>
      <c r="AA3067" s="43"/>
      <c r="AB3067">
        <v>0.15</v>
      </c>
      <c r="AC3067">
        <v>4.9500000000000002E-2</v>
      </c>
      <c r="AJ3067" s="13">
        <f t="shared" si="281"/>
        <v>0.89949999999999997</v>
      </c>
      <c r="AK3067">
        <v>0</v>
      </c>
    </row>
    <row r="3068" spans="1:37" ht="19">
      <c r="A3068" s="39" t="s">
        <v>17</v>
      </c>
      <c r="B3068" s="8">
        <v>2024</v>
      </c>
      <c r="C3068" s="8" t="s">
        <v>109</v>
      </c>
      <c r="D3068" s="9" t="s">
        <v>109</v>
      </c>
      <c r="E3068" s="9" t="s">
        <v>111</v>
      </c>
      <c r="F3068" s="9" t="s">
        <v>111</v>
      </c>
      <c r="I3068" s="9" t="s">
        <v>11</v>
      </c>
      <c r="J3068" s="9" t="s">
        <v>11</v>
      </c>
      <c r="K3068" s="9" t="s">
        <v>82</v>
      </c>
      <c r="L3068" s="9" t="s">
        <v>171</v>
      </c>
      <c r="M3068" t="s">
        <v>1997</v>
      </c>
      <c r="O3068" t="s">
        <v>1240</v>
      </c>
      <c r="P3068" t="s">
        <v>731</v>
      </c>
      <c r="S3068">
        <v>191</v>
      </c>
      <c r="U3068" s="14" t="s">
        <v>77</v>
      </c>
      <c r="V3068" t="s">
        <v>1720</v>
      </c>
      <c r="X3068" s="43">
        <v>0.95</v>
      </c>
      <c r="AA3068" s="43"/>
      <c r="AB3068">
        <v>0.2</v>
      </c>
      <c r="AC3068">
        <v>6.3E-2</v>
      </c>
      <c r="AJ3068" s="13">
        <f t="shared" si="281"/>
        <v>1.2129999999999999</v>
      </c>
      <c r="AK3068">
        <v>0</v>
      </c>
    </row>
    <row r="3069" spans="1:37" ht="19">
      <c r="A3069" s="39" t="s">
        <v>17</v>
      </c>
      <c r="B3069" s="8">
        <v>2024</v>
      </c>
      <c r="C3069" s="8" t="s">
        <v>109</v>
      </c>
      <c r="D3069" s="9" t="s">
        <v>109</v>
      </c>
      <c r="E3069" s="9" t="s">
        <v>111</v>
      </c>
      <c r="F3069" s="9" t="s">
        <v>111</v>
      </c>
      <c r="I3069" s="9" t="s">
        <v>11</v>
      </c>
      <c r="J3069" s="9" t="s">
        <v>11</v>
      </c>
      <c r="K3069" s="9" t="s">
        <v>82</v>
      </c>
      <c r="L3069" s="9" t="s">
        <v>171</v>
      </c>
      <c r="M3069" t="s">
        <v>1997</v>
      </c>
      <c r="O3069" t="s">
        <v>1240</v>
      </c>
      <c r="P3069" t="s">
        <v>2043</v>
      </c>
      <c r="S3069">
        <v>116</v>
      </c>
      <c r="U3069" t="s">
        <v>112</v>
      </c>
      <c r="V3069" t="s">
        <v>1484</v>
      </c>
      <c r="X3069" s="43">
        <v>0.9</v>
      </c>
      <c r="AA3069" s="43"/>
      <c r="AB3069">
        <v>0.05</v>
      </c>
      <c r="AC3069">
        <v>6.3E-2</v>
      </c>
      <c r="AK3069">
        <v>2562208</v>
      </c>
    </row>
    <row r="3070" spans="1:37" ht="19">
      <c r="A3070" s="39" t="s">
        <v>17</v>
      </c>
      <c r="B3070" s="8">
        <v>2024</v>
      </c>
      <c r="C3070" s="8" t="s">
        <v>109</v>
      </c>
      <c r="D3070" s="9" t="s">
        <v>109</v>
      </c>
      <c r="E3070" s="9" t="s">
        <v>111</v>
      </c>
      <c r="F3070" s="9" t="s">
        <v>111</v>
      </c>
      <c r="I3070" s="9" t="s">
        <v>11</v>
      </c>
      <c r="J3070" s="9" t="s">
        <v>11</v>
      </c>
      <c r="K3070" s="9" t="s">
        <v>82</v>
      </c>
      <c r="L3070" s="9" t="s">
        <v>171</v>
      </c>
      <c r="M3070" t="s">
        <v>1997</v>
      </c>
      <c r="O3070" t="s">
        <v>1240</v>
      </c>
      <c r="P3070" t="s">
        <v>2044</v>
      </c>
      <c r="S3070">
        <v>107</v>
      </c>
      <c r="U3070" s="14" t="s">
        <v>77</v>
      </c>
      <c r="V3070" t="s">
        <v>1720</v>
      </c>
      <c r="X3070" s="43">
        <v>0.7</v>
      </c>
      <c r="AA3070" s="43"/>
      <c r="AB3070">
        <v>0.1</v>
      </c>
      <c r="AC3070">
        <v>4.4999999999999998E-2</v>
      </c>
      <c r="AJ3070" s="13">
        <f t="shared" ref="AJ3070:AJ3071" si="282">SUBTOTAL(9,X3070:AI3070)</f>
        <v>0.84499999999999997</v>
      </c>
      <c r="AK3070">
        <v>0</v>
      </c>
    </row>
    <row r="3071" spans="1:37" ht="19">
      <c r="A3071" s="39" t="s">
        <v>17</v>
      </c>
      <c r="B3071" s="8">
        <v>2024</v>
      </c>
      <c r="C3071" s="8" t="s">
        <v>109</v>
      </c>
      <c r="D3071" s="9" t="s">
        <v>109</v>
      </c>
      <c r="E3071" s="9" t="s">
        <v>111</v>
      </c>
      <c r="F3071" s="9" t="s">
        <v>111</v>
      </c>
      <c r="I3071" s="9" t="s">
        <v>11</v>
      </c>
      <c r="J3071" s="9" t="s">
        <v>11</v>
      </c>
      <c r="K3071" s="9" t="s">
        <v>82</v>
      </c>
      <c r="L3071" s="9" t="s">
        <v>171</v>
      </c>
      <c r="M3071" t="s">
        <v>1997</v>
      </c>
      <c r="O3071" t="s">
        <v>1240</v>
      </c>
      <c r="P3071" t="s">
        <v>2045</v>
      </c>
      <c r="S3071">
        <v>203</v>
      </c>
      <c r="U3071" s="14" t="s">
        <v>77</v>
      </c>
      <c r="V3071" t="s">
        <v>1720</v>
      </c>
      <c r="X3071" s="43">
        <v>1.05</v>
      </c>
      <c r="AA3071" s="43"/>
      <c r="AB3071">
        <v>0.25</v>
      </c>
      <c r="AC3071">
        <v>7.6499999999999999E-2</v>
      </c>
      <c r="AJ3071" s="13">
        <f t="shared" si="282"/>
        <v>1.3765000000000001</v>
      </c>
      <c r="AK3071">
        <v>0</v>
      </c>
    </row>
    <row r="3072" spans="1:37" ht="19">
      <c r="A3072" s="39" t="s">
        <v>17</v>
      </c>
      <c r="B3072" s="8">
        <v>2024</v>
      </c>
      <c r="C3072" s="8" t="s">
        <v>109</v>
      </c>
      <c r="D3072" s="9" t="s">
        <v>109</v>
      </c>
      <c r="E3072" s="9" t="s">
        <v>111</v>
      </c>
      <c r="F3072" s="9" t="s">
        <v>111</v>
      </c>
      <c r="I3072" s="9" t="s">
        <v>11</v>
      </c>
      <c r="J3072" s="9" t="s">
        <v>11</v>
      </c>
      <c r="K3072" s="9" t="s">
        <v>82</v>
      </c>
      <c r="L3072" s="9" t="s">
        <v>171</v>
      </c>
      <c r="M3072" t="s">
        <v>1997</v>
      </c>
      <c r="O3072" t="s">
        <v>1240</v>
      </c>
      <c r="P3072" t="s">
        <v>2046</v>
      </c>
      <c r="S3072">
        <v>150</v>
      </c>
      <c r="U3072" t="s">
        <v>112</v>
      </c>
      <c r="V3072" t="s">
        <v>1484</v>
      </c>
      <c r="X3072" s="43">
        <v>0.55000000000000004</v>
      </c>
      <c r="AA3072" s="43"/>
      <c r="AB3072">
        <v>0.05</v>
      </c>
      <c r="AC3072">
        <v>6.3E-2</v>
      </c>
      <c r="AK3072">
        <v>3313200</v>
      </c>
    </row>
    <row r="3073" spans="1:37" ht="19">
      <c r="A3073" s="39" t="s">
        <v>17</v>
      </c>
      <c r="B3073" s="8">
        <v>2024</v>
      </c>
      <c r="C3073" s="8" t="s">
        <v>109</v>
      </c>
      <c r="D3073" s="9" t="s">
        <v>109</v>
      </c>
      <c r="E3073" s="9" t="s">
        <v>111</v>
      </c>
      <c r="F3073" s="9" t="s">
        <v>111</v>
      </c>
      <c r="I3073" s="9" t="s">
        <v>11</v>
      </c>
      <c r="J3073" s="9" t="s">
        <v>11</v>
      </c>
      <c r="K3073" s="9" t="s">
        <v>82</v>
      </c>
      <c r="L3073" s="9" t="s">
        <v>171</v>
      </c>
      <c r="M3073" t="s">
        <v>1997</v>
      </c>
      <c r="O3073" t="s">
        <v>1240</v>
      </c>
      <c r="P3073" t="s">
        <v>2047</v>
      </c>
      <c r="S3073">
        <v>134</v>
      </c>
      <c r="U3073" t="s">
        <v>112</v>
      </c>
      <c r="V3073" t="s">
        <v>1484</v>
      </c>
      <c r="X3073" s="43">
        <v>0.65</v>
      </c>
      <c r="AA3073" s="43"/>
      <c r="AB3073">
        <v>0.05</v>
      </c>
      <c r="AC3073">
        <v>4.4999999999999998E-2</v>
      </c>
      <c r="AK3073">
        <v>2959792</v>
      </c>
    </row>
    <row r="3074" spans="1:37" ht="19">
      <c r="A3074" s="39" t="s">
        <v>17</v>
      </c>
      <c r="B3074" s="8">
        <v>2024</v>
      </c>
      <c r="C3074" s="8" t="s">
        <v>109</v>
      </c>
      <c r="D3074" s="9" t="s">
        <v>109</v>
      </c>
      <c r="E3074" s="9" t="s">
        <v>111</v>
      </c>
      <c r="F3074" s="9" t="s">
        <v>111</v>
      </c>
      <c r="I3074" s="9" t="s">
        <v>11</v>
      </c>
      <c r="J3074" s="9" t="s">
        <v>11</v>
      </c>
      <c r="K3074" s="9" t="s">
        <v>82</v>
      </c>
      <c r="L3074" s="9" t="s">
        <v>171</v>
      </c>
      <c r="M3074" t="s">
        <v>1997</v>
      </c>
      <c r="O3074" t="s">
        <v>1240</v>
      </c>
      <c r="P3074" t="s">
        <v>2048</v>
      </c>
      <c r="S3074">
        <v>496</v>
      </c>
      <c r="U3074" t="s">
        <v>112</v>
      </c>
      <c r="V3074" t="s">
        <v>1484</v>
      </c>
      <c r="X3074" s="43">
        <v>2.5499999999999998</v>
      </c>
      <c r="AA3074" s="43"/>
      <c r="AB3074">
        <v>0.2</v>
      </c>
      <c r="AC3074">
        <v>0.18</v>
      </c>
      <c r="AK3074">
        <v>10955648</v>
      </c>
    </row>
    <row r="3075" spans="1:37" ht="19">
      <c r="A3075" s="39" t="s">
        <v>17</v>
      </c>
      <c r="B3075" s="8">
        <v>2024</v>
      </c>
      <c r="C3075" s="8" t="s">
        <v>109</v>
      </c>
      <c r="D3075" s="9" t="s">
        <v>109</v>
      </c>
      <c r="E3075" s="9" t="s">
        <v>111</v>
      </c>
      <c r="F3075" s="9" t="s">
        <v>111</v>
      </c>
      <c r="I3075" s="9" t="s">
        <v>11</v>
      </c>
      <c r="J3075" s="9" t="s">
        <v>11</v>
      </c>
      <c r="K3075" s="9" t="s">
        <v>82</v>
      </c>
      <c r="L3075" s="9" t="s">
        <v>171</v>
      </c>
      <c r="M3075" t="s">
        <v>1997</v>
      </c>
      <c r="O3075" t="s">
        <v>1240</v>
      </c>
      <c r="P3075" t="s">
        <v>2049</v>
      </c>
      <c r="S3075">
        <v>170</v>
      </c>
      <c r="U3075" t="s">
        <v>112</v>
      </c>
      <c r="V3075" t="s">
        <v>1484</v>
      </c>
      <c r="X3075" s="43">
        <v>0.85</v>
      </c>
      <c r="AA3075" s="43"/>
      <c r="AB3075">
        <v>0.1</v>
      </c>
      <c r="AC3075">
        <v>5.8500000000000003E-2</v>
      </c>
      <c r="AK3075">
        <v>3754960</v>
      </c>
    </row>
    <row r="3076" spans="1:37" ht="19">
      <c r="A3076" s="39" t="s">
        <v>17</v>
      </c>
      <c r="B3076" s="8">
        <v>2024</v>
      </c>
      <c r="C3076" s="8" t="s">
        <v>109</v>
      </c>
      <c r="D3076" s="9" t="s">
        <v>109</v>
      </c>
      <c r="E3076" s="9" t="s">
        <v>111</v>
      </c>
      <c r="F3076" s="9" t="s">
        <v>111</v>
      </c>
      <c r="I3076" s="9" t="s">
        <v>11</v>
      </c>
      <c r="J3076" s="9" t="s">
        <v>11</v>
      </c>
      <c r="K3076" s="9" t="s">
        <v>82</v>
      </c>
      <c r="L3076" s="9" t="s">
        <v>171</v>
      </c>
      <c r="M3076" t="s">
        <v>1997</v>
      </c>
      <c r="O3076" t="s">
        <v>1240</v>
      </c>
      <c r="P3076" t="s">
        <v>2050</v>
      </c>
      <c r="S3076">
        <v>134</v>
      </c>
      <c r="U3076" t="s">
        <v>112</v>
      </c>
      <c r="V3076" t="s">
        <v>1484</v>
      </c>
      <c r="X3076" s="43">
        <v>0.65</v>
      </c>
      <c r="AA3076" s="43"/>
      <c r="AB3076">
        <v>0.05</v>
      </c>
      <c r="AC3076">
        <v>4.4999999999999998E-2</v>
      </c>
      <c r="AK3076">
        <v>2959792</v>
      </c>
    </row>
    <row r="3077" spans="1:37" ht="19">
      <c r="A3077" s="39" t="s">
        <v>17</v>
      </c>
      <c r="B3077" s="8">
        <v>2024</v>
      </c>
      <c r="C3077" s="8" t="s">
        <v>109</v>
      </c>
      <c r="D3077" s="9" t="s">
        <v>109</v>
      </c>
      <c r="E3077" s="9" t="s">
        <v>111</v>
      </c>
      <c r="F3077" s="9" t="s">
        <v>111</v>
      </c>
      <c r="I3077" s="9" t="s">
        <v>11</v>
      </c>
      <c r="J3077" s="9" t="s">
        <v>11</v>
      </c>
      <c r="K3077" s="9" t="s">
        <v>82</v>
      </c>
      <c r="L3077" s="9" t="s">
        <v>171</v>
      </c>
      <c r="M3077" t="s">
        <v>1997</v>
      </c>
      <c r="O3077" t="s">
        <v>1300</v>
      </c>
      <c r="P3077" t="s">
        <v>2051</v>
      </c>
      <c r="S3077">
        <v>478</v>
      </c>
      <c r="U3077" s="14" t="s">
        <v>77</v>
      </c>
      <c r="V3077" t="s">
        <v>1720</v>
      </c>
      <c r="X3077" s="43">
        <v>1.6</v>
      </c>
      <c r="AA3077" s="43"/>
      <c r="AB3077">
        <v>0.3</v>
      </c>
      <c r="AC3077">
        <v>0.1125</v>
      </c>
      <c r="AJ3077" s="13">
        <f>SUBTOTAL(9,X3077:AI3077)</f>
        <v>2.0125000000000002</v>
      </c>
      <c r="AK3077">
        <v>0</v>
      </c>
    </row>
    <row r="3078" spans="1:37" ht="19">
      <c r="A3078" s="39" t="s">
        <v>17</v>
      </c>
      <c r="B3078" s="8">
        <v>2024</v>
      </c>
      <c r="C3078" s="8" t="s">
        <v>109</v>
      </c>
      <c r="D3078" s="9" t="s">
        <v>109</v>
      </c>
      <c r="E3078" s="9" t="s">
        <v>111</v>
      </c>
      <c r="F3078" s="9" t="s">
        <v>111</v>
      </c>
      <c r="I3078" s="9" t="s">
        <v>11</v>
      </c>
      <c r="J3078" s="9" t="s">
        <v>11</v>
      </c>
      <c r="K3078" s="9" t="s">
        <v>82</v>
      </c>
      <c r="L3078" s="9" t="s">
        <v>171</v>
      </c>
      <c r="M3078" t="s">
        <v>1997</v>
      </c>
      <c r="O3078" t="s">
        <v>1300</v>
      </c>
      <c r="P3078" t="s">
        <v>2052</v>
      </c>
      <c r="S3078">
        <v>250</v>
      </c>
      <c r="U3078" t="s">
        <v>112</v>
      </c>
      <c r="V3078" t="s">
        <v>1484</v>
      </c>
      <c r="X3078" s="43">
        <v>0.85</v>
      </c>
      <c r="AA3078" s="43"/>
      <c r="AB3078">
        <v>0.05</v>
      </c>
      <c r="AC3078">
        <v>5.8500000000000003E-2</v>
      </c>
      <c r="AK3078">
        <v>5522000</v>
      </c>
    </row>
    <row r="3079" spans="1:37" ht="19">
      <c r="A3079" s="39" t="s">
        <v>17</v>
      </c>
      <c r="B3079" s="8">
        <v>2024</v>
      </c>
      <c r="C3079" s="8" t="s">
        <v>109</v>
      </c>
      <c r="D3079" s="9" t="s">
        <v>109</v>
      </c>
      <c r="E3079" s="9" t="s">
        <v>111</v>
      </c>
      <c r="F3079" s="9" t="s">
        <v>111</v>
      </c>
      <c r="I3079" s="9" t="s">
        <v>11</v>
      </c>
      <c r="J3079" s="9" t="s">
        <v>11</v>
      </c>
      <c r="K3079" s="9" t="s">
        <v>82</v>
      </c>
      <c r="L3079" s="9" t="s">
        <v>171</v>
      </c>
      <c r="M3079" t="s">
        <v>1997</v>
      </c>
      <c r="O3079" t="s">
        <v>362</v>
      </c>
      <c r="P3079" t="s">
        <v>362</v>
      </c>
      <c r="S3079">
        <v>1205</v>
      </c>
      <c r="U3079" t="s">
        <v>112</v>
      </c>
      <c r="V3079" t="s">
        <v>1484</v>
      </c>
      <c r="X3079" s="43">
        <v>5.8</v>
      </c>
      <c r="AA3079" s="43"/>
      <c r="AB3079">
        <v>0.35</v>
      </c>
      <c r="AC3079">
        <v>0.34200000000000003</v>
      </c>
      <c r="AK3079">
        <v>26616040</v>
      </c>
    </row>
    <row r="3080" spans="1:37" ht="19">
      <c r="A3080" s="39" t="s">
        <v>17</v>
      </c>
      <c r="B3080" s="8">
        <v>2024</v>
      </c>
      <c r="C3080" s="8" t="s">
        <v>109</v>
      </c>
      <c r="D3080" s="9" t="s">
        <v>109</v>
      </c>
      <c r="E3080" s="9" t="s">
        <v>111</v>
      </c>
      <c r="F3080" s="9" t="s">
        <v>111</v>
      </c>
      <c r="I3080" s="9" t="s">
        <v>11</v>
      </c>
      <c r="J3080" s="9" t="s">
        <v>11</v>
      </c>
      <c r="K3080" s="9" t="s">
        <v>82</v>
      </c>
      <c r="L3080" s="9" t="s">
        <v>171</v>
      </c>
      <c r="M3080" t="s">
        <v>1997</v>
      </c>
      <c r="O3080" t="s">
        <v>1240</v>
      </c>
      <c r="P3080" t="s">
        <v>2053</v>
      </c>
      <c r="S3080">
        <v>478</v>
      </c>
      <c r="U3080" s="14" t="s">
        <v>77</v>
      </c>
      <c r="V3080" t="s">
        <v>1720</v>
      </c>
      <c r="X3080" s="43">
        <v>2.0499999999999998</v>
      </c>
      <c r="AA3080" s="43"/>
      <c r="AB3080">
        <v>0.4</v>
      </c>
      <c r="AC3080">
        <v>0.14399999999999999</v>
      </c>
      <c r="AJ3080" s="13">
        <f>SUBTOTAL(9,X3080:AI3080)</f>
        <v>2.5939999999999999</v>
      </c>
      <c r="AK3080">
        <v>0</v>
      </c>
    </row>
    <row r="3081" spans="1:37" ht="19">
      <c r="A3081" s="39" t="s">
        <v>17</v>
      </c>
      <c r="B3081" s="8">
        <v>2024</v>
      </c>
      <c r="C3081" s="8" t="s">
        <v>109</v>
      </c>
      <c r="D3081" s="9" t="s">
        <v>109</v>
      </c>
      <c r="E3081" s="9" t="s">
        <v>111</v>
      </c>
      <c r="F3081" s="9" t="s">
        <v>111</v>
      </c>
      <c r="I3081" s="9" t="s">
        <v>11</v>
      </c>
      <c r="J3081" s="9" t="s">
        <v>11</v>
      </c>
      <c r="K3081" s="9" t="s">
        <v>82</v>
      </c>
      <c r="L3081" s="9" t="s">
        <v>171</v>
      </c>
      <c r="M3081" t="s">
        <v>1997</v>
      </c>
      <c r="O3081" t="s">
        <v>1296</v>
      </c>
      <c r="P3081" t="s">
        <v>2054</v>
      </c>
      <c r="S3081">
        <v>133</v>
      </c>
      <c r="U3081" t="s">
        <v>112</v>
      </c>
      <c r="V3081" t="s">
        <v>1484</v>
      </c>
      <c r="X3081" s="43">
        <v>1</v>
      </c>
      <c r="AA3081" s="43"/>
      <c r="AB3081">
        <v>0.05</v>
      </c>
      <c r="AC3081">
        <v>7.1999999999999995E-2</v>
      </c>
      <c r="AK3081">
        <v>2937704</v>
      </c>
    </row>
    <row r="3082" spans="1:37" ht="19">
      <c r="A3082" s="39" t="s">
        <v>17</v>
      </c>
      <c r="B3082" s="8">
        <v>2024</v>
      </c>
      <c r="C3082" s="8" t="s">
        <v>109</v>
      </c>
      <c r="D3082" s="9" t="s">
        <v>109</v>
      </c>
      <c r="E3082" s="9" t="s">
        <v>111</v>
      </c>
      <c r="F3082" s="9" t="s">
        <v>111</v>
      </c>
      <c r="I3082" s="9" t="s">
        <v>11</v>
      </c>
      <c r="J3082" s="9" t="s">
        <v>11</v>
      </c>
      <c r="K3082" s="9" t="s">
        <v>82</v>
      </c>
      <c r="L3082" s="9" t="s">
        <v>171</v>
      </c>
      <c r="M3082" t="s">
        <v>1997</v>
      </c>
      <c r="O3082" t="s">
        <v>1254</v>
      </c>
      <c r="P3082" t="s">
        <v>2055</v>
      </c>
      <c r="S3082">
        <v>288</v>
      </c>
      <c r="U3082" s="14" t="s">
        <v>77</v>
      </c>
      <c r="V3082" t="s">
        <v>1720</v>
      </c>
      <c r="X3082" s="43">
        <v>0.35</v>
      </c>
      <c r="AA3082" s="43"/>
      <c r="AB3082">
        <v>0.4</v>
      </c>
      <c r="AC3082">
        <v>0.1125</v>
      </c>
      <c r="AJ3082" s="13">
        <f>SUBTOTAL(9,X3082:AI3082)</f>
        <v>0.86250000000000004</v>
      </c>
      <c r="AK3082">
        <v>0</v>
      </c>
    </row>
    <row r="3083" spans="1:37" ht="19">
      <c r="A3083" s="39" t="s">
        <v>17</v>
      </c>
      <c r="B3083" s="8">
        <v>2024</v>
      </c>
      <c r="C3083" s="8" t="s">
        <v>109</v>
      </c>
      <c r="D3083" s="9" t="s">
        <v>109</v>
      </c>
      <c r="E3083" s="9" t="s">
        <v>111</v>
      </c>
      <c r="F3083" s="9" t="s">
        <v>111</v>
      </c>
      <c r="I3083" s="9" t="s">
        <v>11</v>
      </c>
      <c r="J3083" s="9" t="s">
        <v>11</v>
      </c>
      <c r="K3083" s="9" t="s">
        <v>82</v>
      </c>
      <c r="L3083" s="9" t="s">
        <v>171</v>
      </c>
      <c r="M3083" t="s">
        <v>1997</v>
      </c>
      <c r="O3083" t="s">
        <v>1254</v>
      </c>
      <c r="P3083" t="s">
        <v>2056</v>
      </c>
      <c r="S3083">
        <v>284</v>
      </c>
      <c r="U3083" t="s">
        <v>112</v>
      </c>
      <c r="V3083" t="s">
        <v>1484</v>
      </c>
      <c r="X3083" s="43">
        <v>0.35</v>
      </c>
      <c r="AA3083" s="43"/>
      <c r="AB3083">
        <v>0</v>
      </c>
      <c r="AC3083">
        <v>0.108</v>
      </c>
      <c r="AK3083">
        <v>6272992</v>
      </c>
    </row>
    <row r="3084" spans="1:37" ht="19">
      <c r="A3084" s="39" t="s">
        <v>17</v>
      </c>
      <c r="B3084" s="8">
        <v>2024</v>
      </c>
      <c r="C3084" s="8" t="s">
        <v>109</v>
      </c>
      <c r="D3084" s="9" t="s">
        <v>109</v>
      </c>
      <c r="E3084" s="9" t="s">
        <v>111</v>
      </c>
      <c r="F3084" s="9" t="s">
        <v>111</v>
      </c>
      <c r="I3084" s="9" t="s">
        <v>11</v>
      </c>
      <c r="J3084" s="9" t="s">
        <v>11</v>
      </c>
      <c r="K3084" s="9" t="s">
        <v>82</v>
      </c>
      <c r="L3084" s="9" t="s">
        <v>171</v>
      </c>
      <c r="M3084" t="s">
        <v>1997</v>
      </c>
      <c r="O3084" t="s">
        <v>1260</v>
      </c>
      <c r="P3084" t="s">
        <v>2057</v>
      </c>
      <c r="S3084">
        <v>334</v>
      </c>
      <c r="U3084" s="14" t="s">
        <v>77</v>
      </c>
      <c r="V3084" t="s">
        <v>1720</v>
      </c>
      <c r="X3084" s="43">
        <v>0.75</v>
      </c>
      <c r="AA3084" s="43"/>
      <c r="AB3084">
        <v>0.5</v>
      </c>
      <c r="AC3084">
        <v>0.13500000000000001</v>
      </c>
      <c r="AJ3084" s="13">
        <f t="shared" ref="AJ3084:AJ3085" si="283">SUBTOTAL(9,X3084:AI3084)</f>
        <v>1.385</v>
      </c>
      <c r="AK3084">
        <v>0</v>
      </c>
    </row>
    <row r="3085" spans="1:37" ht="19">
      <c r="A3085" s="39" t="s">
        <v>17</v>
      </c>
      <c r="B3085" s="8">
        <v>2024</v>
      </c>
      <c r="C3085" s="8" t="s">
        <v>109</v>
      </c>
      <c r="D3085" s="9" t="s">
        <v>109</v>
      </c>
      <c r="E3085" s="9" t="s">
        <v>111</v>
      </c>
      <c r="F3085" s="9" t="s">
        <v>111</v>
      </c>
      <c r="I3085" s="9" t="s">
        <v>11</v>
      </c>
      <c r="J3085" s="9" t="s">
        <v>11</v>
      </c>
      <c r="K3085" s="9" t="s">
        <v>82</v>
      </c>
      <c r="L3085" s="9" t="s">
        <v>171</v>
      </c>
      <c r="M3085" t="s">
        <v>1997</v>
      </c>
      <c r="O3085" t="s">
        <v>1260</v>
      </c>
      <c r="P3085" t="s">
        <v>2058</v>
      </c>
      <c r="S3085">
        <v>235</v>
      </c>
      <c r="U3085" s="14" t="s">
        <v>77</v>
      </c>
      <c r="V3085" t="s">
        <v>1720</v>
      </c>
      <c r="X3085" s="43">
        <v>0.8</v>
      </c>
      <c r="AA3085" s="43"/>
      <c r="AB3085">
        <v>0.3</v>
      </c>
      <c r="AC3085">
        <v>8.1000000000000003E-2</v>
      </c>
      <c r="AJ3085" s="13">
        <f t="shared" si="283"/>
        <v>1.181</v>
      </c>
      <c r="AK3085">
        <v>0</v>
      </c>
    </row>
    <row r="3086" spans="1:37" ht="19">
      <c r="A3086" s="39" t="s">
        <v>17</v>
      </c>
      <c r="B3086" s="8">
        <v>2024</v>
      </c>
      <c r="C3086" s="8" t="s">
        <v>109</v>
      </c>
      <c r="D3086" s="9" t="s">
        <v>109</v>
      </c>
      <c r="E3086" s="9" t="s">
        <v>111</v>
      </c>
      <c r="F3086" s="9" t="s">
        <v>111</v>
      </c>
      <c r="I3086" s="9" t="s">
        <v>11</v>
      </c>
      <c r="J3086" s="9" t="s">
        <v>11</v>
      </c>
      <c r="K3086" s="9" t="s">
        <v>82</v>
      </c>
      <c r="L3086" s="9" t="s">
        <v>171</v>
      </c>
      <c r="M3086" t="s">
        <v>1997</v>
      </c>
      <c r="O3086" t="s">
        <v>1260</v>
      </c>
      <c r="P3086" t="s">
        <v>2059</v>
      </c>
      <c r="S3086">
        <v>250</v>
      </c>
      <c r="U3086" t="s">
        <v>112</v>
      </c>
      <c r="V3086" t="s">
        <v>1484</v>
      </c>
      <c r="X3086" s="43">
        <v>1</v>
      </c>
      <c r="AA3086" s="43"/>
      <c r="AB3086">
        <v>0</v>
      </c>
      <c r="AC3086">
        <v>0.09</v>
      </c>
      <c r="AK3086">
        <v>5522000</v>
      </c>
    </row>
    <row r="3087" spans="1:37" ht="19">
      <c r="A3087" s="39" t="s">
        <v>17</v>
      </c>
      <c r="B3087" s="8">
        <v>2024</v>
      </c>
      <c r="C3087" s="8" t="s">
        <v>109</v>
      </c>
      <c r="D3087" s="9" t="s">
        <v>109</v>
      </c>
      <c r="E3087" s="9" t="s">
        <v>111</v>
      </c>
      <c r="F3087" s="9" t="s">
        <v>111</v>
      </c>
      <c r="I3087" s="9" t="s">
        <v>11</v>
      </c>
      <c r="J3087" s="9" t="s">
        <v>11</v>
      </c>
      <c r="K3087" s="9" t="s">
        <v>82</v>
      </c>
      <c r="L3087" s="9" t="s">
        <v>171</v>
      </c>
      <c r="M3087" t="s">
        <v>1997</v>
      </c>
      <c r="O3087" t="s">
        <v>1260</v>
      </c>
      <c r="P3087" t="s">
        <v>1260</v>
      </c>
      <c r="S3087">
        <v>407</v>
      </c>
      <c r="U3087" t="s">
        <v>112</v>
      </c>
      <c r="V3087" t="s">
        <v>1484</v>
      </c>
      <c r="X3087" s="43">
        <v>1.3</v>
      </c>
      <c r="AA3087" s="43"/>
      <c r="AB3087">
        <v>0.05</v>
      </c>
      <c r="AC3087">
        <v>0.126</v>
      </c>
      <c r="AK3087">
        <v>8989816</v>
      </c>
    </row>
    <row r="3088" spans="1:37" ht="19">
      <c r="A3088" s="39" t="s">
        <v>17</v>
      </c>
      <c r="B3088" s="8">
        <v>2024</v>
      </c>
      <c r="C3088" s="8" t="s">
        <v>109</v>
      </c>
      <c r="D3088" s="9" t="s">
        <v>109</v>
      </c>
      <c r="E3088" s="9" t="s">
        <v>111</v>
      </c>
      <c r="F3088" s="9" t="s">
        <v>111</v>
      </c>
      <c r="I3088" s="9" t="s">
        <v>11</v>
      </c>
      <c r="J3088" s="9" t="s">
        <v>11</v>
      </c>
      <c r="K3088" s="9" t="s">
        <v>82</v>
      </c>
      <c r="L3088" s="9" t="s">
        <v>171</v>
      </c>
      <c r="M3088" t="s">
        <v>1997</v>
      </c>
      <c r="O3088" t="s">
        <v>1260</v>
      </c>
      <c r="P3088" t="s">
        <v>2060</v>
      </c>
      <c r="S3088">
        <v>151</v>
      </c>
      <c r="U3088" t="s">
        <v>112</v>
      </c>
      <c r="V3088" t="s">
        <v>1484</v>
      </c>
      <c r="X3088" s="43">
        <v>0</v>
      </c>
      <c r="AA3088" s="43"/>
      <c r="AB3088">
        <v>0</v>
      </c>
      <c r="AC3088">
        <v>0</v>
      </c>
      <c r="AK3088">
        <v>3335288</v>
      </c>
    </row>
    <row r="3089" spans="1:37" ht="19">
      <c r="A3089" s="39" t="s">
        <v>17</v>
      </c>
      <c r="B3089" s="8">
        <v>2024</v>
      </c>
      <c r="C3089" s="8" t="s">
        <v>109</v>
      </c>
      <c r="D3089" s="9" t="s">
        <v>109</v>
      </c>
      <c r="E3089" s="9" t="s">
        <v>111</v>
      </c>
      <c r="F3089" s="9" t="s">
        <v>111</v>
      </c>
      <c r="I3089" s="9" t="s">
        <v>11</v>
      </c>
      <c r="J3089" s="9" t="s">
        <v>11</v>
      </c>
      <c r="K3089" s="9" t="s">
        <v>82</v>
      </c>
      <c r="L3089" s="9" t="s">
        <v>171</v>
      </c>
      <c r="M3089" t="s">
        <v>1997</v>
      </c>
      <c r="O3089" t="s">
        <v>1260</v>
      </c>
      <c r="P3089" t="s">
        <v>2061</v>
      </c>
      <c r="S3089">
        <v>190</v>
      </c>
      <c r="U3089" s="14" t="s">
        <v>77</v>
      </c>
      <c r="V3089" t="s">
        <v>1720</v>
      </c>
      <c r="X3089" s="43">
        <v>0.95</v>
      </c>
      <c r="AA3089" s="43"/>
      <c r="AB3089">
        <v>0.35</v>
      </c>
      <c r="AC3089">
        <v>6.7500000000000004E-2</v>
      </c>
      <c r="AJ3089" s="13">
        <f t="shared" ref="AJ3089:AJ3090" si="284">SUBTOTAL(9,X3089:AI3089)</f>
        <v>1.3674999999999997</v>
      </c>
      <c r="AK3089">
        <v>0</v>
      </c>
    </row>
    <row r="3090" spans="1:37" ht="19">
      <c r="A3090" s="39" t="s">
        <v>17</v>
      </c>
      <c r="B3090" s="8">
        <v>2024</v>
      </c>
      <c r="C3090" s="8" t="s">
        <v>109</v>
      </c>
      <c r="D3090" s="9" t="s">
        <v>109</v>
      </c>
      <c r="E3090" s="9" t="s">
        <v>111</v>
      </c>
      <c r="F3090" s="9" t="s">
        <v>111</v>
      </c>
      <c r="I3090" s="9" t="s">
        <v>11</v>
      </c>
      <c r="J3090" s="9" t="s">
        <v>11</v>
      </c>
      <c r="K3090" s="9" t="s">
        <v>82</v>
      </c>
      <c r="L3090" s="9" t="s">
        <v>171</v>
      </c>
      <c r="M3090" t="s">
        <v>1997</v>
      </c>
      <c r="O3090" t="s">
        <v>1260</v>
      </c>
      <c r="P3090" t="s">
        <v>1154</v>
      </c>
      <c r="S3090">
        <v>202</v>
      </c>
      <c r="U3090" s="14" t="s">
        <v>77</v>
      </c>
      <c r="V3090" t="s">
        <v>1720</v>
      </c>
      <c r="X3090" s="43">
        <v>1.1000000000000001</v>
      </c>
      <c r="AA3090" s="43"/>
      <c r="AB3090">
        <v>0.35</v>
      </c>
      <c r="AC3090">
        <v>8.1000000000000003E-2</v>
      </c>
      <c r="AJ3090" s="13">
        <f t="shared" si="284"/>
        <v>1.5310000000000001</v>
      </c>
      <c r="AK3090">
        <v>0</v>
      </c>
    </row>
    <row r="3091" spans="1:37" ht="19">
      <c r="A3091" s="39" t="s">
        <v>17</v>
      </c>
      <c r="B3091" s="8">
        <v>2024</v>
      </c>
      <c r="C3091" s="8" t="s">
        <v>109</v>
      </c>
      <c r="D3091" s="9" t="s">
        <v>109</v>
      </c>
      <c r="E3091" s="9" t="s">
        <v>111</v>
      </c>
      <c r="F3091" s="9" t="s">
        <v>111</v>
      </c>
      <c r="I3091" s="9" t="s">
        <v>11</v>
      </c>
      <c r="J3091" s="9" t="s">
        <v>11</v>
      </c>
      <c r="K3091" s="9" t="s">
        <v>82</v>
      </c>
      <c r="L3091" s="9" t="s">
        <v>171</v>
      </c>
      <c r="M3091" t="s">
        <v>1997</v>
      </c>
      <c r="O3091" t="s">
        <v>1269</v>
      </c>
      <c r="P3091" t="s">
        <v>2062</v>
      </c>
      <c r="S3091">
        <v>136</v>
      </c>
      <c r="U3091" t="s">
        <v>112</v>
      </c>
      <c r="V3091" t="s">
        <v>1484</v>
      </c>
      <c r="X3091" s="43">
        <v>1.05</v>
      </c>
      <c r="AA3091" s="43"/>
      <c r="AB3091">
        <v>0.05</v>
      </c>
      <c r="AC3091">
        <v>7.6499999999999999E-2</v>
      </c>
      <c r="AK3091">
        <v>3003968</v>
      </c>
    </row>
    <row r="3092" spans="1:37" ht="19">
      <c r="A3092" s="39" t="s">
        <v>17</v>
      </c>
      <c r="B3092" s="8">
        <v>2024</v>
      </c>
      <c r="C3092" s="8" t="s">
        <v>109</v>
      </c>
      <c r="D3092" s="9" t="s">
        <v>109</v>
      </c>
      <c r="E3092" s="9" t="s">
        <v>111</v>
      </c>
      <c r="F3092" s="9" t="s">
        <v>111</v>
      </c>
      <c r="I3092" s="9" t="s">
        <v>11</v>
      </c>
      <c r="J3092" s="9" t="s">
        <v>11</v>
      </c>
      <c r="K3092" s="9" t="s">
        <v>82</v>
      </c>
      <c r="L3092" s="9" t="s">
        <v>171</v>
      </c>
      <c r="M3092" t="s">
        <v>1997</v>
      </c>
      <c r="O3092" t="s">
        <v>1269</v>
      </c>
      <c r="P3092" t="s">
        <v>1017</v>
      </c>
      <c r="S3092">
        <v>196</v>
      </c>
      <c r="U3092" s="14" t="s">
        <v>77</v>
      </c>
      <c r="V3092" t="s">
        <v>1720</v>
      </c>
      <c r="X3092" s="43">
        <v>0</v>
      </c>
      <c r="AA3092" s="43"/>
      <c r="AB3092">
        <v>0</v>
      </c>
      <c r="AC3092">
        <v>0</v>
      </c>
      <c r="AJ3092" s="13">
        <f t="shared" ref="AJ3092:AJ3093" si="285">SUBTOTAL(9,X3092:AI3092)</f>
        <v>0</v>
      </c>
      <c r="AK3092">
        <v>0</v>
      </c>
    </row>
    <row r="3093" spans="1:37" ht="19">
      <c r="A3093" s="39" t="s">
        <v>17</v>
      </c>
      <c r="B3093" s="8">
        <v>2024</v>
      </c>
      <c r="C3093" s="8" t="s">
        <v>109</v>
      </c>
      <c r="D3093" s="9" t="s">
        <v>109</v>
      </c>
      <c r="E3093" s="9" t="s">
        <v>111</v>
      </c>
      <c r="F3093" s="9" t="s">
        <v>111</v>
      </c>
      <c r="I3093" s="9" t="s">
        <v>11</v>
      </c>
      <c r="J3093" s="9" t="s">
        <v>11</v>
      </c>
      <c r="K3093" s="9" t="s">
        <v>82</v>
      </c>
      <c r="L3093" s="9" t="s">
        <v>171</v>
      </c>
      <c r="M3093" t="s">
        <v>1997</v>
      </c>
      <c r="O3093" t="s">
        <v>1269</v>
      </c>
      <c r="P3093" t="s">
        <v>2063</v>
      </c>
      <c r="S3093">
        <v>132</v>
      </c>
      <c r="U3093" s="14" t="s">
        <v>77</v>
      </c>
      <c r="V3093" t="s">
        <v>1720</v>
      </c>
      <c r="X3093" s="43">
        <v>0</v>
      </c>
      <c r="AA3093" s="43"/>
      <c r="AB3093">
        <v>0</v>
      </c>
      <c r="AC3093">
        <v>0</v>
      </c>
      <c r="AJ3093" s="13">
        <f t="shared" si="285"/>
        <v>0</v>
      </c>
      <c r="AK3093">
        <v>0</v>
      </c>
    </row>
    <row r="3094" spans="1:37" ht="19">
      <c r="A3094" s="39" t="s">
        <v>17</v>
      </c>
      <c r="B3094" s="8">
        <v>2024</v>
      </c>
      <c r="C3094" s="8" t="s">
        <v>109</v>
      </c>
      <c r="D3094" s="9" t="s">
        <v>109</v>
      </c>
      <c r="E3094" s="9" t="s">
        <v>111</v>
      </c>
      <c r="F3094" s="9" t="s">
        <v>111</v>
      </c>
      <c r="I3094" s="9" t="s">
        <v>11</v>
      </c>
      <c r="J3094" s="9" t="s">
        <v>11</v>
      </c>
      <c r="K3094" s="9" t="s">
        <v>82</v>
      </c>
      <c r="L3094" s="9" t="s">
        <v>171</v>
      </c>
      <c r="M3094" t="s">
        <v>1997</v>
      </c>
      <c r="O3094" t="s">
        <v>239</v>
      </c>
      <c r="P3094" t="s">
        <v>2064</v>
      </c>
      <c r="S3094">
        <v>150</v>
      </c>
      <c r="U3094" t="s">
        <v>112</v>
      </c>
      <c r="V3094" t="s">
        <v>1484</v>
      </c>
      <c r="X3094" s="43">
        <v>0.2</v>
      </c>
      <c r="AA3094" s="43"/>
      <c r="AB3094">
        <v>0.05</v>
      </c>
      <c r="AC3094">
        <v>0</v>
      </c>
      <c r="AK3094">
        <v>3313200</v>
      </c>
    </row>
    <row r="3095" spans="1:37" ht="19">
      <c r="A3095" s="39" t="s">
        <v>17</v>
      </c>
      <c r="B3095" s="8">
        <v>2024</v>
      </c>
      <c r="C3095" s="8" t="s">
        <v>109</v>
      </c>
      <c r="D3095" s="9" t="s">
        <v>109</v>
      </c>
      <c r="E3095" s="9" t="s">
        <v>111</v>
      </c>
      <c r="F3095" s="9" t="s">
        <v>111</v>
      </c>
      <c r="I3095" s="9" t="s">
        <v>11</v>
      </c>
      <c r="J3095" s="9" t="s">
        <v>11</v>
      </c>
      <c r="K3095" s="9" t="s">
        <v>82</v>
      </c>
      <c r="L3095" s="9" t="s">
        <v>171</v>
      </c>
      <c r="M3095" t="s">
        <v>1997</v>
      </c>
      <c r="O3095" t="s">
        <v>1269</v>
      </c>
      <c r="P3095" t="s">
        <v>2065</v>
      </c>
      <c r="S3095">
        <v>208</v>
      </c>
      <c r="U3095" s="14" t="s">
        <v>77</v>
      </c>
      <c r="V3095" t="s">
        <v>1720</v>
      </c>
      <c r="X3095" s="43">
        <v>0</v>
      </c>
      <c r="AA3095" s="43"/>
      <c r="AB3095">
        <v>0</v>
      </c>
      <c r="AC3095">
        <v>0</v>
      </c>
      <c r="AJ3095" s="13">
        <f>SUBTOTAL(9,X3095:AI3095)</f>
        <v>0</v>
      </c>
      <c r="AK3095">
        <v>0</v>
      </c>
    </row>
    <row r="3096" spans="1:37" ht="19">
      <c r="A3096" s="39" t="s">
        <v>17</v>
      </c>
      <c r="B3096" s="8">
        <v>2024</v>
      </c>
      <c r="C3096" s="8" t="s">
        <v>109</v>
      </c>
      <c r="D3096" s="9" t="s">
        <v>109</v>
      </c>
      <c r="E3096" s="9" t="s">
        <v>111</v>
      </c>
      <c r="F3096" s="9" t="s">
        <v>111</v>
      </c>
      <c r="I3096" s="9" t="s">
        <v>11</v>
      </c>
      <c r="J3096" s="9" t="s">
        <v>11</v>
      </c>
      <c r="K3096" s="9" t="s">
        <v>82</v>
      </c>
      <c r="L3096" s="9" t="s">
        <v>171</v>
      </c>
      <c r="M3096" t="s">
        <v>1997</v>
      </c>
      <c r="O3096" t="s">
        <v>1269</v>
      </c>
      <c r="P3096" t="s">
        <v>2066</v>
      </c>
      <c r="S3096">
        <v>176</v>
      </c>
      <c r="U3096" t="s">
        <v>112</v>
      </c>
      <c r="V3096" t="s">
        <v>1484</v>
      </c>
      <c r="X3096" s="43">
        <v>0.85</v>
      </c>
      <c r="AA3096" s="43"/>
      <c r="AB3096">
        <v>0</v>
      </c>
      <c r="AC3096">
        <v>5.8500000000000003E-2</v>
      </c>
      <c r="AK3096">
        <v>3887488</v>
      </c>
    </row>
    <row r="3097" spans="1:37" ht="19">
      <c r="A3097" s="39" t="s">
        <v>17</v>
      </c>
      <c r="B3097" s="8">
        <v>2024</v>
      </c>
      <c r="C3097" s="8" t="s">
        <v>109</v>
      </c>
      <c r="D3097" s="9" t="s">
        <v>109</v>
      </c>
      <c r="E3097" s="9" t="s">
        <v>111</v>
      </c>
      <c r="F3097" s="9" t="s">
        <v>111</v>
      </c>
      <c r="I3097" s="9" t="s">
        <v>11</v>
      </c>
      <c r="J3097" s="9" t="s">
        <v>11</v>
      </c>
      <c r="K3097" s="9" t="s">
        <v>82</v>
      </c>
      <c r="L3097" s="9" t="s">
        <v>171</v>
      </c>
      <c r="M3097" t="s">
        <v>1997</v>
      </c>
      <c r="O3097" t="s">
        <v>1269</v>
      </c>
      <c r="P3097" t="s">
        <v>2067</v>
      </c>
      <c r="S3097">
        <v>210</v>
      </c>
      <c r="U3097" t="s">
        <v>112</v>
      </c>
      <c r="V3097" t="s">
        <v>1484</v>
      </c>
      <c r="X3097" s="43">
        <v>0.65</v>
      </c>
      <c r="AA3097" s="43"/>
      <c r="AB3097">
        <v>0.1</v>
      </c>
      <c r="AC3097">
        <v>0</v>
      </c>
      <c r="AK3097">
        <v>4638480</v>
      </c>
    </row>
    <row r="3098" spans="1:37" ht="19">
      <c r="A3098" s="39" t="s">
        <v>17</v>
      </c>
      <c r="B3098" s="8">
        <v>2024</v>
      </c>
      <c r="C3098" s="8" t="s">
        <v>109</v>
      </c>
      <c r="D3098" s="9" t="s">
        <v>109</v>
      </c>
      <c r="E3098" s="9" t="s">
        <v>111</v>
      </c>
      <c r="F3098" s="9" t="s">
        <v>111</v>
      </c>
      <c r="I3098" s="9" t="s">
        <v>11</v>
      </c>
      <c r="J3098" s="9" t="s">
        <v>11</v>
      </c>
      <c r="K3098" s="9" t="s">
        <v>82</v>
      </c>
      <c r="L3098" s="9" t="s">
        <v>171</v>
      </c>
      <c r="M3098" t="s">
        <v>1997</v>
      </c>
      <c r="O3098" t="s">
        <v>1269</v>
      </c>
      <c r="P3098" t="s">
        <v>2068</v>
      </c>
      <c r="S3098">
        <v>104</v>
      </c>
      <c r="U3098" t="s">
        <v>112</v>
      </c>
      <c r="V3098" t="s">
        <v>1484</v>
      </c>
      <c r="X3098" s="43">
        <v>0.3</v>
      </c>
      <c r="AA3098" s="43"/>
      <c r="AB3098">
        <v>0</v>
      </c>
      <c r="AC3098">
        <v>0</v>
      </c>
      <c r="AK3098">
        <v>2297152</v>
      </c>
    </row>
    <row r="3099" spans="1:37" ht="19">
      <c r="A3099" s="39" t="s">
        <v>17</v>
      </c>
      <c r="B3099" s="8">
        <v>2024</v>
      </c>
      <c r="C3099" s="8" t="s">
        <v>109</v>
      </c>
      <c r="D3099" s="9" t="s">
        <v>109</v>
      </c>
      <c r="E3099" s="9" t="s">
        <v>111</v>
      </c>
      <c r="F3099" s="9" t="s">
        <v>111</v>
      </c>
      <c r="I3099" s="9" t="s">
        <v>11</v>
      </c>
      <c r="J3099" s="9" t="s">
        <v>11</v>
      </c>
      <c r="K3099" s="9" t="s">
        <v>82</v>
      </c>
      <c r="L3099" s="9" t="s">
        <v>171</v>
      </c>
      <c r="M3099" t="s">
        <v>1997</v>
      </c>
      <c r="O3099" t="s">
        <v>1269</v>
      </c>
      <c r="P3099" t="s">
        <v>2069</v>
      </c>
      <c r="S3099">
        <v>183</v>
      </c>
      <c r="U3099" s="14" t="s">
        <v>77</v>
      </c>
      <c r="V3099" t="s">
        <v>1720</v>
      </c>
      <c r="X3099" s="43">
        <v>0.45</v>
      </c>
      <c r="AA3099" s="43"/>
      <c r="AB3099">
        <v>0.25</v>
      </c>
      <c r="AC3099">
        <v>0</v>
      </c>
      <c r="AJ3099" s="13">
        <f>SUBTOTAL(9,X3099:AI3099)</f>
        <v>0.7</v>
      </c>
      <c r="AK3099">
        <v>0</v>
      </c>
    </row>
    <row r="3100" spans="1:37" ht="19">
      <c r="A3100" s="39" t="s">
        <v>17</v>
      </c>
      <c r="B3100" s="8">
        <v>2024</v>
      </c>
      <c r="C3100" s="8" t="s">
        <v>109</v>
      </c>
      <c r="D3100" s="9" t="s">
        <v>109</v>
      </c>
      <c r="E3100" s="9" t="s">
        <v>111</v>
      </c>
      <c r="F3100" s="9" t="s">
        <v>111</v>
      </c>
      <c r="I3100" s="9" t="s">
        <v>11</v>
      </c>
      <c r="J3100" s="9" t="s">
        <v>11</v>
      </c>
      <c r="K3100" s="9" t="s">
        <v>82</v>
      </c>
      <c r="L3100" s="9" t="s">
        <v>171</v>
      </c>
      <c r="M3100" t="s">
        <v>1997</v>
      </c>
      <c r="O3100" t="s">
        <v>1269</v>
      </c>
      <c r="P3100" t="s">
        <v>2070</v>
      </c>
      <c r="S3100">
        <v>186</v>
      </c>
      <c r="U3100" t="s">
        <v>112</v>
      </c>
      <c r="V3100" t="s">
        <v>1484</v>
      </c>
      <c r="X3100" s="43">
        <v>0.5</v>
      </c>
      <c r="AA3100" s="43"/>
      <c r="AB3100">
        <v>0</v>
      </c>
      <c r="AC3100">
        <v>0</v>
      </c>
      <c r="AK3100">
        <v>4108368</v>
      </c>
    </row>
    <row r="3101" spans="1:37" ht="19">
      <c r="A3101" s="39" t="s">
        <v>17</v>
      </c>
      <c r="B3101" s="8">
        <v>2024</v>
      </c>
      <c r="C3101" s="8" t="s">
        <v>109</v>
      </c>
      <c r="D3101" s="9" t="s">
        <v>109</v>
      </c>
      <c r="E3101" s="9" t="s">
        <v>111</v>
      </c>
      <c r="F3101" s="9" t="s">
        <v>111</v>
      </c>
      <c r="I3101" s="9" t="s">
        <v>11</v>
      </c>
      <c r="J3101" s="9" t="s">
        <v>11</v>
      </c>
      <c r="K3101" s="9" t="s">
        <v>82</v>
      </c>
      <c r="L3101" s="9" t="s">
        <v>171</v>
      </c>
      <c r="M3101" t="s">
        <v>1997</v>
      </c>
      <c r="O3101" t="s">
        <v>1269</v>
      </c>
      <c r="P3101" t="s">
        <v>1269</v>
      </c>
      <c r="S3101">
        <v>285</v>
      </c>
      <c r="U3101" t="s">
        <v>112</v>
      </c>
      <c r="V3101" t="s">
        <v>1484</v>
      </c>
      <c r="X3101" s="43">
        <v>0.7</v>
      </c>
      <c r="AA3101" s="43"/>
      <c r="AB3101">
        <v>0.05</v>
      </c>
      <c r="AC3101">
        <v>0</v>
      </c>
      <c r="AK3101">
        <v>6295080</v>
      </c>
    </row>
    <row r="3102" spans="1:37" ht="19">
      <c r="A3102" s="39" t="s">
        <v>17</v>
      </c>
      <c r="B3102" s="8">
        <v>2024</v>
      </c>
      <c r="C3102" s="8" t="s">
        <v>109</v>
      </c>
      <c r="D3102" s="9" t="s">
        <v>109</v>
      </c>
      <c r="E3102" s="9" t="s">
        <v>111</v>
      </c>
      <c r="F3102" s="9" t="s">
        <v>111</v>
      </c>
      <c r="I3102" s="9" t="s">
        <v>11</v>
      </c>
      <c r="J3102" s="9" t="s">
        <v>11</v>
      </c>
      <c r="K3102" s="9" t="s">
        <v>82</v>
      </c>
      <c r="L3102" s="9" t="s">
        <v>171</v>
      </c>
      <c r="M3102" t="s">
        <v>1997</v>
      </c>
      <c r="O3102" t="s">
        <v>1269</v>
      </c>
      <c r="P3102" t="s">
        <v>2071</v>
      </c>
      <c r="S3102">
        <v>165</v>
      </c>
      <c r="U3102" s="14" t="s">
        <v>77</v>
      </c>
      <c r="V3102" t="s">
        <v>1720</v>
      </c>
      <c r="X3102" s="43">
        <v>0.3</v>
      </c>
      <c r="AA3102" s="43"/>
      <c r="AB3102">
        <v>0.25</v>
      </c>
      <c r="AC3102">
        <v>0</v>
      </c>
      <c r="AJ3102" s="13">
        <f t="shared" ref="AJ3102:AJ3103" si="286">SUBTOTAL(9,X3102:AI3102)</f>
        <v>0.55000000000000004</v>
      </c>
      <c r="AK3102">
        <v>0</v>
      </c>
    </row>
    <row r="3103" spans="1:37" ht="19">
      <c r="A3103" s="39" t="s">
        <v>17</v>
      </c>
      <c r="B3103" s="8">
        <v>2024</v>
      </c>
      <c r="C3103" s="8" t="s">
        <v>109</v>
      </c>
      <c r="D3103" s="9" t="s">
        <v>109</v>
      </c>
      <c r="E3103" s="9" t="s">
        <v>111</v>
      </c>
      <c r="F3103" s="9" t="s">
        <v>111</v>
      </c>
      <c r="I3103" s="9" t="s">
        <v>11</v>
      </c>
      <c r="J3103" s="9" t="s">
        <v>11</v>
      </c>
      <c r="K3103" s="9" t="s">
        <v>82</v>
      </c>
      <c r="L3103" s="9" t="s">
        <v>171</v>
      </c>
      <c r="M3103" t="s">
        <v>1997</v>
      </c>
      <c r="O3103" t="s">
        <v>1269</v>
      </c>
      <c r="P3103" t="s">
        <v>2072</v>
      </c>
      <c r="S3103">
        <v>165</v>
      </c>
      <c r="U3103" s="14" t="s">
        <v>77</v>
      </c>
      <c r="V3103" t="s">
        <v>1720</v>
      </c>
      <c r="X3103" s="43">
        <v>0.3</v>
      </c>
      <c r="AA3103" s="43"/>
      <c r="AB3103">
        <v>0.25</v>
      </c>
      <c r="AC3103">
        <v>0</v>
      </c>
      <c r="AJ3103" s="13">
        <f t="shared" si="286"/>
        <v>0.55000000000000004</v>
      </c>
      <c r="AK3103">
        <v>0</v>
      </c>
    </row>
    <row r="3104" spans="1:37" ht="19">
      <c r="A3104" s="39" t="s">
        <v>17</v>
      </c>
      <c r="B3104" s="8">
        <v>2024</v>
      </c>
      <c r="C3104" s="8" t="s">
        <v>109</v>
      </c>
      <c r="D3104" s="9" t="s">
        <v>109</v>
      </c>
      <c r="E3104" s="9" t="s">
        <v>111</v>
      </c>
      <c r="F3104" s="9" t="s">
        <v>111</v>
      </c>
      <c r="I3104" s="9" t="s">
        <v>11</v>
      </c>
      <c r="J3104" s="9" t="s">
        <v>11</v>
      </c>
      <c r="K3104" s="9" t="s">
        <v>82</v>
      </c>
      <c r="L3104" s="9" t="s">
        <v>171</v>
      </c>
      <c r="M3104" t="s">
        <v>1997</v>
      </c>
      <c r="O3104" t="s">
        <v>239</v>
      </c>
      <c r="P3104" t="s">
        <v>2073</v>
      </c>
      <c r="S3104">
        <v>84</v>
      </c>
      <c r="U3104" t="s">
        <v>112</v>
      </c>
      <c r="V3104" t="s">
        <v>1484</v>
      </c>
      <c r="X3104" s="43">
        <v>0.65</v>
      </c>
      <c r="AA3104" s="43"/>
      <c r="AB3104">
        <v>0.05</v>
      </c>
      <c r="AC3104">
        <v>4.4999999999999998E-2</v>
      </c>
      <c r="AK3104">
        <v>1855392</v>
      </c>
    </row>
    <row r="3105" spans="1:37" ht="19">
      <c r="A3105" s="39" t="s">
        <v>17</v>
      </c>
      <c r="B3105" s="8">
        <v>2024</v>
      </c>
      <c r="C3105" s="8" t="s">
        <v>109</v>
      </c>
      <c r="D3105" s="9" t="s">
        <v>109</v>
      </c>
      <c r="E3105" s="9" t="s">
        <v>111</v>
      </c>
      <c r="F3105" s="9" t="s">
        <v>111</v>
      </c>
      <c r="I3105" s="9" t="s">
        <v>11</v>
      </c>
      <c r="J3105" s="9" t="s">
        <v>11</v>
      </c>
      <c r="K3105" s="9" t="s">
        <v>82</v>
      </c>
      <c r="L3105" s="9" t="s">
        <v>171</v>
      </c>
      <c r="M3105" t="s">
        <v>1997</v>
      </c>
      <c r="O3105" t="s">
        <v>239</v>
      </c>
      <c r="P3105" t="s">
        <v>2074</v>
      </c>
      <c r="S3105">
        <v>120</v>
      </c>
      <c r="U3105" t="s">
        <v>112</v>
      </c>
      <c r="V3105" t="s">
        <v>1484</v>
      </c>
      <c r="X3105" s="43">
        <v>0.9</v>
      </c>
      <c r="AA3105" s="43"/>
      <c r="AB3105">
        <v>0.05</v>
      </c>
      <c r="AC3105">
        <v>6.7500000000000004E-2</v>
      </c>
      <c r="AK3105">
        <v>2650560</v>
      </c>
    </row>
    <row r="3106" spans="1:37" ht="19">
      <c r="A3106" s="39" t="s">
        <v>17</v>
      </c>
      <c r="B3106" s="8">
        <v>2024</v>
      </c>
      <c r="C3106" s="8" t="s">
        <v>109</v>
      </c>
      <c r="D3106" s="9" t="s">
        <v>109</v>
      </c>
      <c r="E3106" s="9" t="s">
        <v>111</v>
      </c>
      <c r="F3106" s="9" t="s">
        <v>111</v>
      </c>
      <c r="I3106" s="9" t="s">
        <v>11</v>
      </c>
      <c r="J3106" s="9" t="s">
        <v>11</v>
      </c>
      <c r="K3106" s="9" t="s">
        <v>82</v>
      </c>
      <c r="L3106" s="9" t="s">
        <v>171</v>
      </c>
      <c r="M3106" t="s">
        <v>1997</v>
      </c>
      <c r="O3106" t="s">
        <v>1275</v>
      </c>
      <c r="P3106" t="s">
        <v>1275</v>
      </c>
      <c r="S3106">
        <v>210</v>
      </c>
      <c r="U3106" s="14" t="s">
        <v>77</v>
      </c>
      <c r="V3106" t="s">
        <v>1720</v>
      </c>
      <c r="X3106" s="43">
        <v>0.65</v>
      </c>
      <c r="AA3106" s="43"/>
      <c r="AB3106">
        <v>0.3</v>
      </c>
      <c r="AC3106">
        <v>0.11700000000000001</v>
      </c>
      <c r="AJ3106" s="13">
        <f>SUBTOTAL(9,X3106:AI3106)</f>
        <v>1.0669999999999999</v>
      </c>
      <c r="AK3106">
        <v>0</v>
      </c>
    </row>
    <row r="3107" spans="1:37" ht="19">
      <c r="A3107" s="39" t="s">
        <v>17</v>
      </c>
      <c r="B3107" s="8">
        <v>2024</v>
      </c>
      <c r="C3107" s="8" t="s">
        <v>109</v>
      </c>
      <c r="D3107" s="9" t="s">
        <v>109</v>
      </c>
      <c r="E3107" s="9" t="s">
        <v>111</v>
      </c>
      <c r="F3107" s="9" t="s">
        <v>111</v>
      </c>
      <c r="I3107" s="9" t="s">
        <v>11</v>
      </c>
      <c r="J3107" s="9" t="s">
        <v>11</v>
      </c>
      <c r="K3107" s="9" t="s">
        <v>82</v>
      </c>
      <c r="L3107" s="9" t="s">
        <v>171</v>
      </c>
      <c r="M3107" t="s">
        <v>1997</v>
      </c>
      <c r="O3107" t="s">
        <v>2014</v>
      </c>
      <c r="P3107" t="s">
        <v>2075</v>
      </c>
      <c r="S3107">
        <v>370</v>
      </c>
      <c r="U3107" t="s">
        <v>112</v>
      </c>
      <c r="V3107" t="s">
        <v>1484</v>
      </c>
      <c r="X3107" s="43">
        <v>1.6</v>
      </c>
      <c r="AA3107" s="43"/>
      <c r="AB3107">
        <v>0.15</v>
      </c>
      <c r="AC3107">
        <v>0.1215</v>
      </c>
      <c r="AK3107">
        <v>8172560</v>
      </c>
    </row>
    <row r="3108" spans="1:37" ht="19">
      <c r="A3108" s="39" t="s">
        <v>17</v>
      </c>
      <c r="B3108" s="8">
        <v>2024</v>
      </c>
      <c r="C3108" s="8" t="s">
        <v>109</v>
      </c>
      <c r="D3108" s="9" t="s">
        <v>109</v>
      </c>
      <c r="E3108" s="9" t="s">
        <v>111</v>
      </c>
      <c r="F3108" s="9" t="s">
        <v>111</v>
      </c>
      <c r="I3108" s="9" t="s">
        <v>11</v>
      </c>
      <c r="J3108" s="9" t="s">
        <v>11</v>
      </c>
      <c r="K3108" s="9" t="s">
        <v>82</v>
      </c>
      <c r="L3108" s="9" t="s">
        <v>171</v>
      </c>
      <c r="M3108" t="s">
        <v>1997</v>
      </c>
      <c r="O3108" t="s">
        <v>2076</v>
      </c>
      <c r="P3108" t="s">
        <v>990</v>
      </c>
      <c r="S3108">
        <v>227</v>
      </c>
      <c r="U3108" t="s">
        <v>112</v>
      </c>
      <c r="V3108" t="s">
        <v>1484</v>
      </c>
      <c r="X3108" s="43">
        <v>1.25</v>
      </c>
      <c r="AA3108" s="43"/>
      <c r="AB3108">
        <v>0.1</v>
      </c>
      <c r="AC3108">
        <v>8.5500000000000007E-2</v>
      </c>
      <c r="AK3108">
        <v>5013976</v>
      </c>
    </row>
    <row r="3109" spans="1:37" ht="19">
      <c r="A3109" s="39" t="s">
        <v>17</v>
      </c>
      <c r="B3109" s="8">
        <v>2024</v>
      </c>
      <c r="C3109" s="8" t="s">
        <v>109</v>
      </c>
      <c r="D3109" s="9" t="s">
        <v>109</v>
      </c>
      <c r="E3109" s="9" t="s">
        <v>111</v>
      </c>
      <c r="F3109" s="9" t="s">
        <v>111</v>
      </c>
      <c r="I3109" s="9" t="s">
        <v>11</v>
      </c>
      <c r="J3109" s="9" t="s">
        <v>11</v>
      </c>
      <c r="K3109" s="9" t="s">
        <v>82</v>
      </c>
      <c r="L3109" s="9" t="s">
        <v>171</v>
      </c>
      <c r="M3109" t="s">
        <v>1997</v>
      </c>
      <c r="O3109" t="s">
        <v>2014</v>
      </c>
      <c r="P3109" t="s">
        <v>2077</v>
      </c>
      <c r="S3109">
        <v>176</v>
      </c>
      <c r="U3109" t="s">
        <v>112</v>
      </c>
      <c r="V3109" t="s">
        <v>1484</v>
      </c>
      <c r="X3109" s="43">
        <v>0.9</v>
      </c>
      <c r="AA3109" s="43"/>
      <c r="AB3109">
        <v>0.1</v>
      </c>
      <c r="AC3109">
        <v>6.7500000000000004E-2</v>
      </c>
      <c r="AK3109">
        <v>3887488</v>
      </c>
    </row>
    <row r="3110" spans="1:37" ht="19">
      <c r="A3110" s="39" t="s">
        <v>17</v>
      </c>
      <c r="B3110" s="8">
        <v>2024</v>
      </c>
      <c r="C3110" s="8" t="s">
        <v>109</v>
      </c>
      <c r="D3110" s="9" t="s">
        <v>109</v>
      </c>
      <c r="E3110" s="9" t="s">
        <v>111</v>
      </c>
      <c r="F3110" s="9" t="s">
        <v>111</v>
      </c>
      <c r="I3110" s="9" t="s">
        <v>11</v>
      </c>
      <c r="J3110" s="9" t="s">
        <v>11</v>
      </c>
      <c r="K3110" s="9" t="s">
        <v>82</v>
      </c>
      <c r="L3110" s="9" t="s">
        <v>171</v>
      </c>
      <c r="M3110" t="s">
        <v>1997</v>
      </c>
      <c r="O3110" t="s">
        <v>2014</v>
      </c>
      <c r="P3110" t="s">
        <v>2078</v>
      </c>
      <c r="S3110">
        <v>300</v>
      </c>
      <c r="U3110" t="s">
        <v>112</v>
      </c>
      <c r="V3110" t="s">
        <v>1484</v>
      </c>
      <c r="X3110" s="43">
        <v>1.35</v>
      </c>
      <c r="AA3110" s="43"/>
      <c r="AB3110">
        <v>0.1</v>
      </c>
      <c r="AC3110">
        <v>9.9000000000000005E-2</v>
      </c>
      <c r="AK3110">
        <v>6626400</v>
      </c>
    </row>
    <row r="3111" spans="1:37" ht="19">
      <c r="A3111" s="39" t="s">
        <v>17</v>
      </c>
      <c r="B3111" s="8">
        <v>2024</v>
      </c>
      <c r="C3111" s="8" t="s">
        <v>109</v>
      </c>
      <c r="D3111" s="9" t="s">
        <v>109</v>
      </c>
      <c r="E3111" s="9" t="s">
        <v>111</v>
      </c>
      <c r="F3111" s="9" t="s">
        <v>111</v>
      </c>
      <c r="I3111" s="9" t="s">
        <v>11</v>
      </c>
      <c r="J3111" s="9" t="s">
        <v>11</v>
      </c>
      <c r="K3111" s="9" t="s">
        <v>82</v>
      </c>
      <c r="L3111" s="9" t="s">
        <v>171</v>
      </c>
      <c r="M3111" t="s">
        <v>1997</v>
      </c>
      <c r="O3111" t="s">
        <v>2076</v>
      </c>
      <c r="P3111" t="s">
        <v>2079</v>
      </c>
      <c r="S3111">
        <v>1411</v>
      </c>
      <c r="U3111" s="14" t="s">
        <v>77</v>
      </c>
      <c r="V3111" t="s">
        <v>1720</v>
      </c>
      <c r="X3111" s="43">
        <v>6.4</v>
      </c>
      <c r="AA3111" s="43"/>
      <c r="AB3111">
        <v>1.35</v>
      </c>
      <c r="AC3111">
        <v>0.45450000000000002</v>
      </c>
      <c r="AJ3111" s="13">
        <f t="shared" ref="AJ3111:AJ3112" si="287">SUBTOTAL(9,X3111:AI3111)</f>
        <v>8.2044999999999995</v>
      </c>
      <c r="AK3111">
        <v>0</v>
      </c>
    </row>
    <row r="3112" spans="1:37" ht="19">
      <c r="A3112" s="39" t="s">
        <v>17</v>
      </c>
      <c r="B3112" s="8">
        <v>2024</v>
      </c>
      <c r="C3112" s="8" t="s">
        <v>109</v>
      </c>
      <c r="D3112" s="9" t="s">
        <v>109</v>
      </c>
      <c r="E3112" s="9" t="s">
        <v>111</v>
      </c>
      <c r="F3112" s="9" t="s">
        <v>111</v>
      </c>
      <c r="I3112" s="9" t="s">
        <v>11</v>
      </c>
      <c r="J3112" s="9" t="s">
        <v>11</v>
      </c>
      <c r="K3112" s="9" t="s">
        <v>82</v>
      </c>
      <c r="L3112" s="9" t="s">
        <v>171</v>
      </c>
      <c r="M3112" t="s">
        <v>1997</v>
      </c>
      <c r="O3112" t="s">
        <v>2076</v>
      </c>
      <c r="P3112" t="s">
        <v>2080</v>
      </c>
      <c r="S3112">
        <v>1064</v>
      </c>
      <c r="U3112" s="14" t="s">
        <v>77</v>
      </c>
      <c r="V3112" t="s">
        <v>1720</v>
      </c>
      <c r="X3112" s="43">
        <v>5.35</v>
      </c>
      <c r="AA3112" s="43"/>
      <c r="AB3112">
        <v>1.1499999999999999</v>
      </c>
      <c r="AC3112">
        <v>0.38250000000000001</v>
      </c>
      <c r="AJ3112" s="13">
        <f t="shared" si="287"/>
        <v>6.8825000000000003</v>
      </c>
      <c r="AK3112">
        <v>0</v>
      </c>
    </row>
    <row r="3113" spans="1:37" ht="19">
      <c r="A3113" s="39" t="s">
        <v>17</v>
      </c>
      <c r="B3113" s="8">
        <v>2024</v>
      </c>
      <c r="C3113" s="8" t="s">
        <v>109</v>
      </c>
      <c r="D3113" s="9" t="s">
        <v>109</v>
      </c>
      <c r="E3113" s="9" t="s">
        <v>111</v>
      </c>
      <c r="F3113" s="9" t="s">
        <v>111</v>
      </c>
      <c r="I3113" s="9" t="s">
        <v>11</v>
      </c>
      <c r="J3113" s="9" t="s">
        <v>11</v>
      </c>
      <c r="K3113" s="9" t="s">
        <v>82</v>
      </c>
      <c r="L3113" s="9" t="s">
        <v>171</v>
      </c>
      <c r="M3113" t="s">
        <v>1997</v>
      </c>
      <c r="O3113" t="s">
        <v>2076</v>
      </c>
      <c r="P3113" t="s">
        <v>1195</v>
      </c>
      <c r="S3113">
        <v>458</v>
      </c>
      <c r="U3113" t="s">
        <v>112</v>
      </c>
      <c r="V3113" t="s">
        <v>1484</v>
      </c>
      <c r="X3113" s="43">
        <v>2.35</v>
      </c>
      <c r="AA3113" s="43"/>
      <c r="AB3113">
        <v>0.2</v>
      </c>
      <c r="AC3113">
        <v>0.16650000000000001</v>
      </c>
      <c r="AK3113">
        <v>10116304</v>
      </c>
    </row>
    <row r="3114" spans="1:37" ht="19">
      <c r="A3114" s="39" t="s">
        <v>17</v>
      </c>
      <c r="B3114" s="8">
        <v>2024</v>
      </c>
      <c r="C3114" s="8" t="s">
        <v>109</v>
      </c>
      <c r="D3114" s="9" t="s">
        <v>109</v>
      </c>
      <c r="E3114" s="9" t="s">
        <v>111</v>
      </c>
      <c r="F3114" s="9" t="s">
        <v>111</v>
      </c>
      <c r="I3114" s="9" t="s">
        <v>11</v>
      </c>
      <c r="J3114" s="9" t="s">
        <v>11</v>
      </c>
      <c r="K3114" s="9" t="s">
        <v>82</v>
      </c>
      <c r="L3114" s="9" t="s">
        <v>171</v>
      </c>
      <c r="M3114" t="s">
        <v>1997</v>
      </c>
      <c r="O3114" t="s">
        <v>2076</v>
      </c>
      <c r="P3114" t="s">
        <v>702</v>
      </c>
      <c r="S3114">
        <v>591</v>
      </c>
      <c r="U3114" s="14" t="s">
        <v>77</v>
      </c>
      <c r="V3114" t="s">
        <v>1720</v>
      </c>
      <c r="X3114" s="43">
        <v>3.05</v>
      </c>
      <c r="AA3114" s="43"/>
      <c r="AB3114">
        <v>0.65</v>
      </c>
      <c r="AC3114">
        <v>0.216</v>
      </c>
      <c r="AJ3114" s="13">
        <f t="shared" ref="AJ3114:AJ3116" si="288">SUBTOTAL(9,X3114:AI3114)</f>
        <v>3.9159999999999999</v>
      </c>
      <c r="AK3114">
        <v>0</v>
      </c>
    </row>
    <row r="3115" spans="1:37" ht="19">
      <c r="A3115" s="39" t="s">
        <v>17</v>
      </c>
      <c r="B3115" s="8">
        <v>2024</v>
      </c>
      <c r="C3115" s="8" t="s">
        <v>109</v>
      </c>
      <c r="D3115" s="9" t="s">
        <v>109</v>
      </c>
      <c r="E3115" s="9" t="s">
        <v>111</v>
      </c>
      <c r="F3115" s="9" t="s">
        <v>111</v>
      </c>
      <c r="I3115" s="9" t="s">
        <v>11</v>
      </c>
      <c r="J3115" s="9" t="s">
        <v>11</v>
      </c>
      <c r="K3115" s="9" t="s">
        <v>82</v>
      </c>
      <c r="L3115" s="9" t="s">
        <v>171</v>
      </c>
      <c r="M3115" t="s">
        <v>1997</v>
      </c>
      <c r="O3115" t="s">
        <v>2076</v>
      </c>
      <c r="P3115" t="s">
        <v>2081</v>
      </c>
      <c r="S3115">
        <v>220</v>
      </c>
      <c r="U3115" s="14" t="s">
        <v>77</v>
      </c>
      <c r="V3115" t="s">
        <v>1720</v>
      </c>
      <c r="X3115" s="43">
        <v>1.2</v>
      </c>
      <c r="AA3115" s="43"/>
      <c r="AB3115">
        <v>0.25</v>
      </c>
      <c r="AC3115">
        <v>8.5500000000000007E-2</v>
      </c>
      <c r="AJ3115" s="13">
        <f t="shared" si="288"/>
        <v>1.5354999999999999</v>
      </c>
      <c r="AK3115">
        <v>0</v>
      </c>
    </row>
    <row r="3116" spans="1:37" ht="19">
      <c r="A3116" s="39" t="s">
        <v>17</v>
      </c>
      <c r="B3116" s="8">
        <v>2024</v>
      </c>
      <c r="C3116" s="8" t="s">
        <v>109</v>
      </c>
      <c r="D3116" s="9" t="s">
        <v>109</v>
      </c>
      <c r="E3116" s="9" t="s">
        <v>111</v>
      </c>
      <c r="F3116" s="9" t="s">
        <v>111</v>
      </c>
      <c r="I3116" s="9" t="s">
        <v>11</v>
      </c>
      <c r="J3116" s="9" t="s">
        <v>11</v>
      </c>
      <c r="K3116" s="9" t="s">
        <v>82</v>
      </c>
      <c r="L3116" s="9" t="s">
        <v>171</v>
      </c>
      <c r="M3116" t="s">
        <v>1997</v>
      </c>
      <c r="O3116" t="s">
        <v>339</v>
      </c>
      <c r="P3116" t="s">
        <v>2082</v>
      </c>
      <c r="S3116">
        <v>136</v>
      </c>
      <c r="U3116" s="14" t="s">
        <v>77</v>
      </c>
      <c r="V3116" t="s">
        <v>1720</v>
      </c>
      <c r="X3116" s="43">
        <v>0.55000000000000004</v>
      </c>
      <c r="AA3116" s="43"/>
      <c r="AB3116">
        <v>0.1</v>
      </c>
      <c r="AC3116">
        <v>4.9500000000000002E-2</v>
      </c>
      <c r="AJ3116" s="13">
        <f t="shared" si="288"/>
        <v>0.69950000000000001</v>
      </c>
      <c r="AK3116">
        <v>0</v>
      </c>
    </row>
    <row r="3117" spans="1:37" ht="19">
      <c r="A3117" s="39" t="s">
        <v>17</v>
      </c>
      <c r="B3117" s="8">
        <v>2024</v>
      </c>
      <c r="C3117" s="8" t="s">
        <v>109</v>
      </c>
      <c r="D3117" s="9" t="s">
        <v>109</v>
      </c>
      <c r="E3117" s="9" t="s">
        <v>111</v>
      </c>
      <c r="F3117" s="9" t="s">
        <v>111</v>
      </c>
      <c r="I3117" s="9" t="s">
        <v>11</v>
      </c>
      <c r="J3117" s="9" t="s">
        <v>11</v>
      </c>
      <c r="K3117" s="9" t="s">
        <v>82</v>
      </c>
      <c r="L3117" s="9" t="s">
        <v>171</v>
      </c>
      <c r="M3117" t="s">
        <v>1997</v>
      </c>
      <c r="O3117" t="s">
        <v>339</v>
      </c>
      <c r="P3117" t="s">
        <v>2083</v>
      </c>
      <c r="S3117">
        <v>193</v>
      </c>
      <c r="U3117" t="s">
        <v>112</v>
      </c>
      <c r="V3117" t="s">
        <v>1484</v>
      </c>
      <c r="X3117" s="43">
        <v>1</v>
      </c>
      <c r="AA3117" s="43"/>
      <c r="AB3117">
        <v>0</v>
      </c>
      <c r="AC3117">
        <v>6.7500000000000004E-2</v>
      </c>
      <c r="AK3117">
        <v>4262984</v>
      </c>
    </row>
    <row r="3118" spans="1:37" ht="19">
      <c r="A3118" s="39" t="s">
        <v>17</v>
      </c>
      <c r="B3118" s="8">
        <v>2024</v>
      </c>
      <c r="C3118" s="8" t="s">
        <v>109</v>
      </c>
      <c r="D3118" s="9" t="s">
        <v>109</v>
      </c>
      <c r="E3118" s="9" t="s">
        <v>111</v>
      </c>
      <c r="F3118" s="9" t="s">
        <v>111</v>
      </c>
      <c r="I3118" s="9" t="s">
        <v>11</v>
      </c>
      <c r="J3118" s="9" t="s">
        <v>11</v>
      </c>
      <c r="K3118" s="9" t="s">
        <v>82</v>
      </c>
      <c r="L3118" s="9" t="s">
        <v>171</v>
      </c>
      <c r="M3118" t="s">
        <v>1997</v>
      </c>
      <c r="O3118" t="s">
        <v>339</v>
      </c>
      <c r="P3118" t="s">
        <v>2084</v>
      </c>
      <c r="S3118">
        <v>220</v>
      </c>
      <c r="U3118" s="14" t="s">
        <v>77</v>
      </c>
      <c r="V3118" t="s">
        <v>1720</v>
      </c>
      <c r="X3118" s="43">
        <v>1.2</v>
      </c>
      <c r="AA3118" s="43"/>
      <c r="AB3118">
        <v>0.25</v>
      </c>
      <c r="AC3118">
        <v>8.1000000000000003E-2</v>
      </c>
      <c r="AJ3118" s="13">
        <f t="shared" ref="AJ3118:AJ3119" si="289">SUBTOTAL(9,X3118:AI3118)</f>
        <v>1.5309999999999999</v>
      </c>
      <c r="AK3118">
        <v>0</v>
      </c>
    </row>
    <row r="3119" spans="1:37" ht="19">
      <c r="A3119" s="39" t="s">
        <v>17</v>
      </c>
      <c r="B3119" s="8">
        <v>2024</v>
      </c>
      <c r="C3119" s="8" t="s">
        <v>109</v>
      </c>
      <c r="D3119" s="9" t="s">
        <v>109</v>
      </c>
      <c r="E3119" s="9" t="s">
        <v>111</v>
      </c>
      <c r="F3119" s="9" t="s">
        <v>111</v>
      </c>
      <c r="I3119" s="9" t="s">
        <v>11</v>
      </c>
      <c r="J3119" s="9" t="s">
        <v>11</v>
      </c>
      <c r="K3119" s="9" t="s">
        <v>82</v>
      </c>
      <c r="L3119" s="9" t="s">
        <v>171</v>
      </c>
      <c r="M3119" t="s">
        <v>1997</v>
      </c>
      <c r="O3119" t="s">
        <v>339</v>
      </c>
      <c r="P3119" t="s">
        <v>2085</v>
      </c>
      <c r="S3119">
        <v>208</v>
      </c>
      <c r="U3119" s="14" t="s">
        <v>77</v>
      </c>
      <c r="V3119" t="s">
        <v>1720</v>
      </c>
      <c r="X3119" s="43">
        <v>1.1000000000000001</v>
      </c>
      <c r="AA3119" s="43"/>
      <c r="AB3119">
        <v>0.2</v>
      </c>
      <c r="AC3119">
        <v>7.1999999999999995E-2</v>
      </c>
      <c r="AJ3119" s="13">
        <f t="shared" si="289"/>
        <v>1.3720000000000001</v>
      </c>
      <c r="AK3119">
        <v>0</v>
      </c>
    </row>
    <row r="3120" spans="1:37" ht="19">
      <c r="A3120" s="39" t="s">
        <v>17</v>
      </c>
      <c r="B3120" s="8">
        <v>2024</v>
      </c>
      <c r="C3120" s="8" t="s">
        <v>109</v>
      </c>
      <c r="D3120" s="9" t="s">
        <v>109</v>
      </c>
      <c r="E3120" s="9" t="s">
        <v>111</v>
      </c>
      <c r="F3120" s="9" t="s">
        <v>111</v>
      </c>
      <c r="I3120" s="9" t="s">
        <v>11</v>
      </c>
      <c r="J3120" s="9" t="s">
        <v>11</v>
      </c>
      <c r="K3120" s="9" t="s">
        <v>82</v>
      </c>
      <c r="L3120" s="9" t="s">
        <v>171</v>
      </c>
      <c r="M3120" t="s">
        <v>1997</v>
      </c>
      <c r="O3120" t="s">
        <v>339</v>
      </c>
      <c r="P3120" t="s">
        <v>2086</v>
      </c>
      <c r="S3120">
        <v>264</v>
      </c>
      <c r="U3120" t="s">
        <v>112</v>
      </c>
      <c r="V3120" t="s">
        <v>1484</v>
      </c>
      <c r="X3120" s="43">
        <v>1.55</v>
      </c>
      <c r="AA3120" s="43"/>
      <c r="AB3120">
        <v>0</v>
      </c>
      <c r="AC3120">
        <v>0.10349999999999999</v>
      </c>
      <c r="AK3120">
        <v>5831232</v>
      </c>
    </row>
    <row r="3121" spans="1:37" ht="19">
      <c r="A3121" s="39" t="s">
        <v>17</v>
      </c>
      <c r="B3121" s="8">
        <v>2024</v>
      </c>
      <c r="C3121" s="8" t="s">
        <v>109</v>
      </c>
      <c r="D3121" s="9" t="s">
        <v>109</v>
      </c>
      <c r="E3121" s="9" t="s">
        <v>111</v>
      </c>
      <c r="F3121" s="9" t="s">
        <v>111</v>
      </c>
      <c r="I3121" s="9" t="s">
        <v>11</v>
      </c>
      <c r="J3121" s="9" t="s">
        <v>11</v>
      </c>
      <c r="K3121" s="9" t="s">
        <v>82</v>
      </c>
      <c r="L3121" s="9" t="s">
        <v>171</v>
      </c>
      <c r="M3121" t="s">
        <v>1997</v>
      </c>
      <c r="O3121" t="s">
        <v>339</v>
      </c>
      <c r="P3121" t="s">
        <v>1612</v>
      </c>
      <c r="S3121">
        <v>343</v>
      </c>
      <c r="U3121" s="14" t="s">
        <v>77</v>
      </c>
      <c r="V3121" t="s">
        <v>1720</v>
      </c>
      <c r="X3121" s="43">
        <v>2.15</v>
      </c>
      <c r="AA3121" s="43"/>
      <c r="AB3121">
        <v>0.45</v>
      </c>
      <c r="AC3121">
        <v>0.14399999999999999</v>
      </c>
      <c r="AJ3121" s="13">
        <f>SUBTOTAL(9,X3121:AI3121)</f>
        <v>2.7440000000000002</v>
      </c>
      <c r="AK3121">
        <v>0</v>
      </c>
    </row>
    <row r="3122" spans="1:37" ht="19">
      <c r="A3122" s="39" t="s">
        <v>17</v>
      </c>
      <c r="B3122" s="8">
        <v>2024</v>
      </c>
      <c r="C3122" s="8" t="s">
        <v>109</v>
      </c>
      <c r="D3122" s="9" t="s">
        <v>109</v>
      </c>
      <c r="E3122" s="9" t="s">
        <v>111</v>
      </c>
      <c r="F3122" s="9" t="s">
        <v>111</v>
      </c>
      <c r="I3122" s="9" t="s">
        <v>11</v>
      </c>
      <c r="J3122" s="9" t="s">
        <v>11</v>
      </c>
      <c r="K3122" s="9" t="s">
        <v>82</v>
      </c>
      <c r="L3122" s="9" t="s">
        <v>171</v>
      </c>
      <c r="M3122" t="s">
        <v>1997</v>
      </c>
      <c r="O3122" t="s">
        <v>1296</v>
      </c>
      <c r="P3122" t="s">
        <v>2087</v>
      </c>
      <c r="S3122">
        <v>174</v>
      </c>
      <c r="U3122" t="s">
        <v>112</v>
      </c>
      <c r="V3122" t="s">
        <v>1484</v>
      </c>
      <c r="X3122" s="43">
        <v>0.85</v>
      </c>
      <c r="AA3122" s="43"/>
      <c r="AB3122">
        <v>0</v>
      </c>
      <c r="AC3122">
        <v>5.3999999999999999E-2</v>
      </c>
      <c r="AK3122">
        <v>3843312</v>
      </c>
    </row>
    <row r="3123" spans="1:37" ht="19">
      <c r="A3123" s="39" t="s">
        <v>17</v>
      </c>
      <c r="B3123" s="8">
        <v>2024</v>
      </c>
      <c r="C3123" s="8" t="s">
        <v>109</v>
      </c>
      <c r="D3123" s="9" t="s">
        <v>109</v>
      </c>
      <c r="E3123" s="9" t="s">
        <v>111</v>
      </c>
      <c r="F3123" s="9" t="s">
        <v>111</v>
      </c>
      <c r="I3123" s="9" t="s">
        <v>11</v>
      </c>
      <c r="J3123" s="9" t="s">
        <v>11</v>
      </c>
      <c r="K3123" s="9" t="s">
        <v>82</v>
      </c>
      <c r="L3123" s="9" t="s">
        <v>171</v>
      </c>
      <c r="M3123" t="s">
        <v>1997</v>
      </c>
      <c r="O3123" t="s">
        <v>1296</v>
      </c>
      <c r="P3123" t="s">
        <v>2088</v>
      </c>
      <c r="S3123">
        <v>128</v>
      </c>
      <c r="U3123" t="s">
        <v>112</v>
      </c>
      <c r="V3123" t="s">
        <v>1484</v>
      </c>
      <c r="X3123" s="43">
        <v>1</v>
      </c>
      <c r="AA3123" s="43"/>
      <c r="AB3123">
        <v>0.05</v>
      </c>
      <c r="AC3123">
        <v>7.1999999999999995E-2</v>
      </c>
      <c r="AK3123">
        <v>2827264</v>
      </c>
    </row>
    <row r="3124" spans="1:37" ht="19">
      <c r="A3124" s="39" t="s">
        <v>17</v>
      </c>
      <c r="B3124" s="8">
        <v>2024</v>
      </c>
      <c r="C3124" s="8" t="s">
        <v>109</v>
      </c>
      <c r="D3124" s="9" t="s">
        <v>109</v>
      </c>
      <c r="E3124" s="9" t="s">
        <v>111</v>
      </c>
      <c r="F3124" s="9" t="s">
        <v>111</v>
      </c>
      <c r="I3124" s="9" t="s">
        <v>11</v>
      </c>
      <c r="J3124" s="9" t="s">
        <v>11</v>
      </c>
      <c r="K3124" s="9" t="s">
        <v>82</v>
      </c>
      <c r="L3124" s="9" t="s">
        <v>171</v>
      </c>
      <c r="M3124" t="s">
        <v>1997</v>
      </c>
      <c r="O3124" t="s">
        <v>1296</v>
      </c>
      <c r="P3124" t="s">
        <v>2089</v>
      </c>
      <c r="S3124">
        <v>240</v>
      </c>
      <c r="U3124" t="s">
        <v>112</v>
      </c>
      <c r="V3124" t="s">
        <v>1484</v>
      </c>
      <c r="X3124" s="43">
        <v>1.35</v>
      </c>
      <c r="AA3124" s="43"/>
      <c r="AB3124">
        <v>0</v>
      </c>
      <c r="AC3124">
        <v>8.5500000000000007E-2</v>
      </c>
      <c r="AK3124">
        <v>5301120</v>
      </c>
    </row>
    <row r="3125" spans="1:37" ht="19">
      <c r="A3125" s="39" t="s">
        <v>17</v>
      </c>
      <c r="B3125" s="8">
        <v>2024</v>
      </c>
      <c r="C3125" s="8" t="s">
        <v>109</v>
      </c>
      <c r="D3125" s="9" t="s">
        <v>109</v>
      </c>
      <c r="E3125" s="9" t="s">
        <v>111</v>
      </c>
      <c r="F3125" s="9" t="s">
        <v>111</v>
      </c>
      <c r="I3125" s="9" t="s">
        <v>11</v>
      </c>
      <c r="J3125" s="9" t="s">
        <v>11</v>
      </c>
      <c r="K3125" s="9" t="s">
        <v>82</v>
      </c>
      <c r="L3125" s="9" t="s">
        <v>171</v>
      </c>
      <c r="M3125" t="s">
        <v>1997</v>
      </c>
      <c r="O3125" t="s">
        <v>1296</v>
      </c>
      <c r="P3125" t="s">
        <v>2090</v>
      </c>
      <c r="S3125">
        <v>231</v>
      </c>
      <c r="U3125" t="s">
        <v>112</v>
      </c>
      <c r="V3125" t="s">
        <v>1484</v>
      </c>
      <c r="X3125" s="43">
        <v>1.25</v>
      </c>
      <c r="AA3125" s="43"/>
      <c r="AB3125">
        <v>0</v>
      </c>
      <c r="AC3125">
        <v>8.1000000000000003E-2</v>
      </c>
      <c r="AK3125">
        <v>5102328</v>
      </c>
    </row>
    <row r="3126" spans="1:37" ht="19">
      <c r="A3126" s="39" t="s">
        <v>17</v>
      </c>
      <c r="B3126" s="8">
        <v>2024</v>
      </c>
      <c r="C3126" s="8" t="s">
        <v>109</v>
      </c>
      <c r="D3126" s="9" t="s">
        <v>109</v>
      </c>
      <c r="E3126" s="9" t="s">
        <v>111</v>
      </c>
      <c r="F3126" s="9" t="s">
        <v>111</v>
      </c>
      <c r="I3126" s="9" t="s">
        <v>11</v>
      </c>
      <c r="J3126" s="9" t="s">
        <v>11</v>
      </c>
      <c r="K3126" s="9" t="s">
        <v>82</v>
      </c>
      <c r="L3126" s="9" t="s">
        <v>171</v>
      </c>
      <c r="M3126" t="s">
        <v>1997</v>
      </c>
      <c r="O3126" t="s">
        <v>1296</v>
      </c>
      <c r="P3126" t="s">
        <v>2091</v>
      </c>
      <c r="S3126">
        <v>236</v>
      </c>
      <c r="U3126" t="s">
        <v>112</v>
      </c>
      <c r="V3126" t="s">
        <v>1484</v>
      </c>
      <c r="X3126" s="43">
        <v>1.3</v>
      </c>
      <c r="AA3126" s="43"/>
      <c r="AB3126">
        <v>0</v>
      </c>
      <c r="AC3126">
        <v>8.1000000000000003E-2</v>
      </c>
      <c r="AK3126">
        <v>5212768</v>
      </c>
    </row>
    <row r="3127" spans="1:37" ht="19">
      <c r="A3127" s="39" t="s">
        <v>17</v>
      </c>
      <c r="B3127" s="8">
        <v>2024</v>
      </c>
      <c r="C3127" s="8" t="s">
        <v>109</v>
      </c>
      <c r="D3127" s="9" t="s">
        <v>109</v>
      </c>
      <c r="E3127" s="9" t="s">
        <v>111</v>
      </c>
      <c r="F3127" s="9" t="s">
        <v>111</v>
      </c>
      <c r="I3127" s="9" t="s">
        <v>11</v>
      </c>
      <c r="J3127" s="9" t="s">
        <v>11</v>
      </c>
      <c r="K3127" s="9" t="s">
        <v>82</v>
      </c>
      <c r="L3127" s="9" t="s">
        <v>171</v>
      </c>
      <c r="M3127" t="s">
        <v>1997</v>
      </c>
      <c r="O3127" t="s">
        <v>1289</v>
      </c>
      <c r="P3127" t="s">
        <v>1291</v>
      </c>
      <c r="S3127">
        <v>165</v>
      </c>
      <c r="U3127" s="14" t="s">
        <v>77</v>
      </c>
      <c r="V3127" t="s">
        <v>1720</v>
      </c>
      <c r="X3127" s="43">
        <v>0.75</v>
      </c>
      <c r="AA3127" s="43"/>
      <c r="AB3127">
        <v>0.15</v>
      </c>
      <c r="AC3127">
        <v>8.5500000000000007E-2</v>
      </c>
      <c r="AJ3127" s="13">
        <f>SUBTOTAL(9,X3127:AI3127)</f>
        <v>0.98550000000000004</v>
      </c>
      <c r="AK3127">
        <v>0</v>
      </c>
    </row>
    <row r="3128" spans="1:37" ht="19">
      <c r="A3128" s="39" t="s">
        <v>17</v>
      </c>
      <c r="B3128" s="8">
        <v>2024</v>
      </c>
      <c r="C3128" s="8" t="s">
        <v>109</v>
      </c>
      <c r="D3128" s="9" t="s">
        <v>109</v>
      </c>
      <c r="E3128" s="9" t="s">
        <v>111</v>
      </c>
      <c r="F3128" s="9" t="s">
        <v>111</v>
      </c>
      <c r="I3128" s="9" t="s">
        <v>11</v>
      </c>
      <c r="J3128" s="9" t="s">
        <v>11</v>
      </c>
      <c r="K3128" s="9" t="s">
        <v>82</v>
      </c>
      <c r="L3128" s="9" t="s">
        <v>171</v>
      </c>
      <c r="M3128" t="s">
        <v>1997</v>
      </c>
      <c r="O3128" t="s">
        <v>2092</v>
      </c>
      <c r="P3128" t="s">
        <v>2093</v>
      </c>
      <c r="S3128">
        <v>71</v>
      </c>
      <c r="U3128" t="s">
        <v>112</v>
      </c>
      <c r="V3128" t="s">
        <v>1484</v>
      </c>
      <c r="X3128" s="43">
        <v>0.55000000000000004</v>
      </c>
      <c r="AA3128" s="43"/>
      <c r="AB3128">
        <v>0.05</v>
      </c>
      <c r="AC3128">
        <v>4.0500000000000001E-2</v>
      </c>
      <c r="AK3128">
        <v>1568248</v>
      </c>
    </row>
    <row r="3129" spans="1:37" ht="19">
      <c r="A3129" s="39" t="s">
        <v>17</v>
      </c>
      <c r="B3129" s="8">
        <v>2024</v>
      </c>
      <c r="C3129" s="8" t="s">
        <v>109</v>
      </c>
      <c r="D3129" s="9" t="s">
        <v>109</v>
      </c>
      <c r="E3129" s="9" t="s">
        <v>111</v>
      </c>
      <c r="F3129" s="9" t="s">
        <v>111</v>
      </c>
      <c r="I3129" s="9" t="s">
        <v>11</v>
      </c>
      <c r="J3129" s="9" t="s">
        <v>11</v>
      </c>
      <c r="K3129" s="9" t="s">
        <v>82</v>
      </c>
      <c r="L3129" s="9" t="s">
        <v>171</v>
      </c>
      <c r="M3129" t="s">
        <v>1997</v>
      </c>
      <c r="O3129" t="s">
        <v>1289</v>
      </c>
      <c r="P3129" t="s">
        <v>2094</v>
      </c>
      <c r="S3129">
        <v>93</v>
      </c>
      <c r="U3129" t="s">
        <v>112</v>
      </c>
      <c r="V3129" t="s">
        <v>1484</v>
      </c>
      <c r="X3129" s="43">
        <v>0.7</v>
      </c>
      <c r="AA3129" s="43"/>
      <c r="AB3129">
        <v>0.05</v>
      </c>
      <c r="AC3129">
        <v>4.9500000000000002E-2</v>
      </c>
      <c r="AK3129">
        <v>2054184</v>
      </c>
    </row>
    <row r="3130" spans="1:37" ht="19">
      <c r="A3130" s="39" t="s">
        <v>17</v>
      </c>
      <c r="B3130" s="8">
        <v>2024</v>
      </c>
      <c r="C3130" s="8" t="s">
        <v>109</v>
      </c>
      <c r="D3130" s="9" t="s">
        <v>109</v>
      </c>
      <c r="E3130" s="9" t="s">
        <v>111</v>
      </c>
      <c r="F3130" s="9" t="s">
        <v>111</v>
      </c>
      <c r="I3130" s="9" t="s">
        <v>11</v>
      </c>
      <c r="J3130" s="9" t="s">
        <v>11</v>
      </c>
      <c r="K3130" s="9" t="s">
        <v>82</v>
      </c>
      <c r="L3130" s="9" t="s">
        <v>171</v>
      </c>
      <c r="M3130" t="s">
        <v>1997</v>
      </c>
      <c r="O3130" t="s">
        <v>1289</v>
      </c>
      <c r="P3130" t="s">
        <v>2095</v>
      </c>
      <c r="S3130">
        <v>635</v>
      </c>
      <c r="U3130" t="s">
        <v>112</v>
      </c>
      <c r="V3130" t="s">
        <v>1484</v>
      </c>
      <c r="X3130" s="43">
        <v>4.4000000000000004</v>
      </c>
      <c r="AA3130" s="43"/>
      <c r="AB3130">
        <v>0.05</v>
      </c>
      <c r="AC3130">
        <v>0.29699999999999999</v>
      </c>
      <c r="AK3130">
        <v>14025880</v>
      </c>
    </row>
    <row r="3131" spans="1:37" ht="19">
      <c r="A3131" s="39" t="s">
        <v>17</v>
      </c>
      <c r="B3131" s="8">
        <v>2024</v>
      </c>
      <c r="C3131" s="8" t="s">
        <v>109</v>
      </c>
      <c r="D3131" s="9" t="s">
        <v>109</v>
      </c>
      <c r="E3131" s="9" t="s">
        <v>111</v>
      </c>
      <c r="F3131" s="9" t="s">
        <v>111</v>
      </c>
      <c r="I3131" s="9" t="s">
        <v>11</v>
      </c>
      <c r="J3131" s="9" t="s">
        <v>11</v>
      </c>
      <c r="K3131" s="9" t="s">
        <v>82</v>
      </c>
      <c r="L3131" s="9" t="s">
        <v>171</v>
      </c>
      <c r="M3131" t="s">
        <v>1997</v>
      </c>
      <c r="O3131" t="s">
        <v>1300</v>
      </c>
      <c r="P3131" t="s">
        <v>2096</v>
      </c>
      <c r="S3131">
        <v>426</v>
      </c>
      <c r="U3131" t="s">
        <v>112</v>
      </c>
      <c r="V3131" t="s">
        <v>1484</v>
      </c>
      <c r="X3131" s="43">
        <v>1.4</v>
      </c>
      <c r="AA3131" s="43"/>
      <c r="AB3131">
        <v>0.05</v>
      </c>
      <c r="AC3131">
        <v>9.9000000000000005E-2</v>
      </c>
      <c r="AK3131">
        <v>9409488</v>
      </c>
    </row>
    <row r="3132" spans="1:37" ht="19">
      <c r="A3132" s="39" t="s">
        <v>17</v>
      </c>
      <c r="B3132" s="8">
        <v>2024</v>
      </c>
      <c r="C3132" s="8" t="s">
        <v>109</v>
      </c>
      <c r="D3132" s="9" t="s">
        <v>109</v>
      </c>
      <c r="E3132" s="9" t="s">
        <v>111</v>
      </c>
      <c r="F3132" s="9" t="s">
        <v>111</v>
      </c>
      <c r="I3132" s="9" t="s">
        <v>11</v>
      </c>
      <c r="J3132" s="9" t="s">
        <v>11</v>
      </c>
      <c r="K3132" s="9" t="s">
        <v>82</v>
      </c>
      <c r="L3132" s="9" t="s">
        <v>171</v>
      </c>
      <c r="M3132" t="s">
        <v>1997</v>
      </c>
      <c r="O3132" t="s">
        <v>2097</v>
      </c>
      <c r="P3132" t="s">
        <v>2098</v>
      </c>
      <c r="S3132">
        <v>186</v>
      </c>
      <c r="U3132" t="s">
        <v>112</v>
      </c>
      <c r="V3132" t="s">
        <v>1484</v>
      </c>
      <c r="X3132" s="43">
        <v>0.65</v>
      </c>
      <c r="AA3132" s="43"/>
      <c r="AB3132">
        <v>0.05</v>
      </c>
      <c r="AC3132">
        <v>4.4999999999999998E-2</v>
      </c>
      <c r="AK3132">
        <v>4108368</v>
      </c>
    </row>
    <row r="3133" spans="1:37" ht="19">
      <c r="A3133" s="39" t="s">
        <v>17</v>
      </c>
      <c r="B3133" s="8">
        <v>2024</v>
      </c>
      <c r="C3133" s="8" t="s">
        <v>109</v>
      </c>
      <c r="D3133" s="9" t="s">
        <v>109</v>
      </c>
      <c r="E3133" s="9" t="s">
        <v>111</v>
      </c>
      <c r="F3133" s="9" t="s">
        <v>111</v>
      </c>
      <c r="I3133" s="9" t="s">
        <v>11</v>
      </c>
      <c r="J3133" s="9" t="s">
        <v>11</v>
      </c>
      <c r="K3133" s="9" t="s">
        <v>82</v>
      </c>
      <c r="L3133" s="9" t="s">
        <v>171</v>
      </c>
      <c r="M3133" t="s">
        <v>1997</v>
      </c>
      <c r="O3133" t="s">
        <v>2097</v>
      </c>
      <c r="P3133" t="s">
        <v>2099</v>
      </c>
      <c r="S3133">
        <v>206</v>
      </c>
      <c r="U3133" t="s">
        <v>112</v>
      </c>
      <c r="V3133" t="s">
        <v>1484</v>
      </c>
      <c r="X3133" s="43">
        <v>0.7</v>
      </c>
      <c r="AA3133" s="43"/>
      <c r="AB3133">
        <v>0.05</v>
      </c>
      <c r="AC3133">
        <v>4.9500000000000002E-2</v>
      </c>
      <c r="AK3133">
        <v>4550128</v>
      </c>
    </row>
    <row r="3134" spans="1:37" ht="19">
      <c r="A3134" s="39" t="s">
        <v>17</v>
      </c>
      <c r="B3134" s="8">
        <v>2024</v>
      </c>
      <c r="C3134" s="8" t="s">
        <v>109</v>
      </c>
      <c r="D3134" s="9" t="s">
        <v>109</v>
      </c>
      <c r="E3134" s="9" t="s">
        <v>111</v>
      </c>
      <c r="F3134" s="9" t="s">
        <v>111</v>
      </c>
      <c r="I3134" s="9" t="s">
        <v>11</v>
      </c>
      <c r="J3134" s="9" t="s">
        <v>11</v>
      </c>
      <c r="K3134" s="9" t="s">
        <v>82</v>
      </c>
      <c r="L3134" s="9" t="s">
        <v>171</v>
      </c>
      <c r="M3134" t="s">
        <v>1997</v>
      </c>
      <c r="O3134" t="s">
        <v>2097</v>
      </c>
      <c r="P3134" t="s">
        <v>2100</v>
      </c>
      <c r="S3134">
        <v>123</v>
      </c>
      <c r="U3134" t="s">
        <v>112</v>
      </c>
      <c r="V3134" t="s">
        <v>1484</v>
      </c>
      <c r="X3134" s="43">
        <v>0.95</v>
      </c>
      <c r="AA3134" s="43"/>
      <c r="AB3134">
        <v>0.05</v>
      </c>
      <c r="AC3134">
        <v>6.7500000000000004E-2</v>
      </c>
      <c r="AK3134">
        <v>2716824</v>
      </c>
    </row>
    <row r="3135" spans="1:37" ht="19">
      <c r="A3135" s="39" t="s">
        <v>17</v>
      </c>
      <c r="B3135" s="8">
        <v>2024</v>
      </c>
      <c r="C3135" s="8" t="s">
        <v>109</v>
      </c>
      <c r="D3135" s="9" t="s">
        <v>109</v>
      </c>
      <c r="E3135" s="9" t="s">
        <v>111</v>
      </c>
      <c r="F3135" s="9" t="s">
        <v>111</v>
      </c>
      <c r="I3135" s="9" t="s">
        <v>11</v>
      </c>
      <c r="J3135" s="9" t="s">
        <v>11</v>
      </c>
      <c r="K3135" s="9" t="s">
        <v>82</v>
      </c>
      <c r="L3135" s="9" t="s">
        <v>171</v>
      </c>
      <c r="M3135" t="s">
        <v>1997</v>
      </c>
      <c r="O3135" t="s">
        <v>2101</v>
      </c>
      <c r="P3135" t="s">
        <v>2102</v>
      </c>
      <c r="S3135">
        <v>312</v>
      </c>
      <c r="U3135" s="14" t="s">
        <v>77</v>
      </c>
      <c r="V3135" t="s">
        <v>1720</v>
      </c>
      <c r="X3135" s="43">
        <v>1.05</v>
      </c>
      <c r="AA3135" s="43"/>
      <c r="AB3135">
        <v>0.25</v>
      </c>
      <c r="AC3135">
        <v>7.1999999999999995E-2</v>
      </c>
      <c r="AJ3135" s="13">
        <f t="shared" ref="AJ3135:AJ3138" si="290">SUBTOTAL(9,X3135:AI3135)</f>
        <v>1.3720000000000001</v>
      </c>
      <c r="AK3135">
        <v>0</v>
      </c>
    </row>
    <row r="3136" spans="1:37" ht="19">
      <c r="A3136" s="39" t="s">
        <v>17</v>
      </c>
      <c r="B3136" s="8">
        <v>2024</v>
      </c>
      <c r="C3136" s="8" t="s">
        <v>109</v>
      </c>
      <c r="D3136" s="9" t="s">
        <v>109</v>
      </c>
      <c r="E3136" s="9" t="s">
        <v>111</v>
      </c>
      <c r="F3136" s="9" t="s">
        <v>111</v>
      </c>
      <c r="I3136" s="9" t="s">
        <v>11</v>
      </c>
      <c r="J3136" s="9" t="s">
        <v>11</v>
      </c>
      <c r="K3136" s="9" t="s">
        <v>82</v>
      </c>
      <c r="L3136" s="9" t="s">
        <v>171</v>
      </c>
      <c r="M3136" t="s">
        <v>1997</v>
      </c>
      <c r="O3136" t="s">
        <v>309</v>
      </c>
      <c r="P3136" t="s">
        <v>2103</v>
      </c>
      <c r="S3136">
        <v>173</v>
      </c>
      <c r="U3136" s="14" t="s">
        <v>77</v>
      </c>
      <c r="V3136" t="s">
        <v>1720</v>
      </c>
      <c r="X3136" s="43">
        <v>1.35</v>
      </c>
      <c r="AA3136" s="43"/>
      <c r="AB3136">
        <v>0.3</v>
      </c>
      <c r="AC3136">
        <v>9.4500000000000001E-2</v>
      </c>
      <c r="AJ3136" s="13">
        <f t="shared" si="290"/>
        <v>1.7445000000000002</v>
      </c>
      <c r="AK3136">
        <v>0</v>
      </c>
    </row>
    <row r="3137" spans="1:37" ht="19">
      <c r="A3137" s="39" t="s">
        <v>17</v>
      </c>
      <c r="B3137" s="8">
        <v>2024</v>
      </c>
      <c r="C3137" s="8" t="s">
        <v>109</v>
      </c>
      <c r="D3137" s="9" t="s">
        <v>109</v>
      </c>
      <c r="E3137" s="9" t="s">
        <v>111</v>
      </c>
      <c r="F3137" s="9" t="s">
        <v>111</v>
      </c>
      <c r="I3137" s="9" t="s">
        <v>11</v>
      </c>
      <c r="J3137" s="9" t="s">
        <v>11</v>
      </c>
      <c r="K3137" s="9" t="s">
        <v>82</v>
      </c>
      <c r="L3137" s="9" t="s">
        <v>171</v>
      </c>
      <c r="M3137" t="s">
        <v>1997</v>
      </c>
      <c r="O3137" t="s">
        <v>309</v>
      </c>
      <c r="P3137" t="s">
        <v>1143</v>
      </c>
      <c r="S3137">
        <v>148</v>
      </c>
      <c r="U3137" s="14" t="s">
        <v>77</v>
      </c>
      <c r="V3137" t="s">
        <v>1720</v>
      </c>
      <c r="X3137" s="43">
        <v>1.1499999999999999</v>
      </c>
      <c r="AA3137" s="43"/>
      <c r="AB3137">
        <v>0.25</v>
      </c>
      <c r="AC3137">
        <v>8.1000000000000003E-2</v>
      </c>
      <c r="AJ3137" s="13">
        <f t="shared" si="290"/>
        <v>1.4809999999999999</v>
      </c>
      <c r="AK3137">
        <v>0</v>
      </c>
    </row>
    <row r="3138" spans="1:37" ht="19">
      <c r="A3138" s="39" t="s">
        <v>17</v>
      </c>
      <c r="B3138" s="8">
        <v>2024</v>
      </c>
      <c r="C3138" s="8" t="s">
        <v>109</v>
      </c>
      <c r="D3138" s="9" t="s">
        <v>109</v>
      </c>
      <c r="E3138" s="9" t="s">
        <v>111</v>
      </c>
      <c r="F3138" s="9" t="s">
        <v>111</v>
      </c>
      <c r="I3138" s="9" t="s">
        <v>11</v>
      </c>
      <c r="J3138" s="9" t="s">
        <v>11</v>
      </c>
      <c r="K3138" s="9" t="s">
        <v>82</v>
      </c>
      <c r="L3138" s="9" t="s">
        <v>171</v>
      </c>
      <c r="M3138" t="s">
        <v>1997</v>
      </c>
      <c r="O3138" t="s">
        <v>309</v>
      </c>
      <c r="P3138" t="s">
        <v>2104</v>
      </c>
      <c r="S3138">
        <v>206</v>
      </c>
      <c r="U3138" s="14" t="s">
        <v>77</v>
      </c>
      <c r="V3138" t="s">
        <v>1720</v>
      </c>
      <c r="X3138" s="43">
        <v>0.7</v>
      </c>
      <c r="AA3138" s="43"/>
      <c r="AB3138">
        <v>0.15</v>
      </c>
      <c r="AC3138">
        <v>4.9500000000000002E-2</v>
      </c>
      <c r="AJ3138" s="13">
        <f t="shared" si="290"/>
        <v>0.89949999999999997</v>
      </c>
      <c r="AK3138">
        <v>0</v>
      </c>
    </row>
    <row r="3139" spans="1:37" ht="19">
      <c r="A3139" s="39" t="s">
        <v>17</v>
      </c>
      <c r="B3139" s="8">
        <v>2024</v>
      </c>
      <c r="C3139" s="8" t="s">
        <v>109</v>
      </c>
      <c r="D3139" s="9" t="s">
        <v>109</v>
      </c>
      <c r="E3139" s="9" t="s">
        <v>111</v>
      </c>
      <c r="F3139" s="9" t="s">
        <v>111</v>
      </c>
      <c r="I3139" s="9" t="s">
        <v>11</v>
      </c>
      <c r="J3139" s="9" t="s">
        <v>11</v>
      </c>
      <c r="K3139" s="9" t="s">
        <v>82</v>
      </c>
      <c r="L3139" s="9" t="s">
        <v>171</v>
      </c>
      <c r="M3139" t="s">
        <v>1997</v>
      </c>
      <c r="O3139" t="s">
        <v>309</v>
      </c>
      <c r="P3139" t="s">
        <v>309</v>
      </c>
      <c r="S3139">
        <v>382</v>
      </c>
      <c r="U3139" t="s">
        <v>112</v>
      </c>
      <c r="V3139" t="s">
        <v>1484</v>
      </c>
      <c r="X3139" s="43">
        <v>2.1</v>
      </c>
      <c r="AA3139" s="43"/>
      <c r="AB3139">
        <v>0.05</v>
      </c>
      <c r="AC3139">
        <v>0.09</v>
      </c>
      <c r="AK3139">
        <v>8437616</v>
      </c>
    </row>
    <row r="3140" spans="1:37" ht="19">
      <c r="A3140" s="39" t="s">
        <v>17</v>
      </c>
      <c r="B3140" s="8">
        <v>2024</v>
      </c>
      <c r="C3140" s="8" t="s">
        <v>109</v>
      </c>
      <c r="D3140" s="9" t="s">
        <v>109</v>
      </c>
      <c r="E3140" s="9" t="s">
        <v>111</v>
      </c>
      <c r="F3140" s="9" t="s">
        <v>111</v>
      </c>
      <c r="I3140" s="9" t="s">
        <v>11</v>
      </c>
      <c r="J3140" s="9" t="s">
        <v>11</v>
      </c>
      <c r="K3140" s="9" t="s">
        <v>82</v>
      </c>
      <c r="L3140" s="9" t="s">
        <v>171</v>
      </c>
      <c r="M3140" t="s">
        <v>1997</v>
      </c>
      <c r="O3140" t="s">
        <v>2101</v>
      </c>
      <c r="P3140" t="s">
        <v>2105</v>
      </c>
      <c r="S3140">
        <v>255</v>
      </c>
      <c r="U3140" s="14" t="s">
        <v>77</v>
      </c>
      <c r="V3140" t="s">
        <v>1720</v>
      </c>
      <c r="X3140" s="43">
        <v>0.85</v>
      </c>
      <c r="AA3140" s="43"/>
      <c r="AB3140">
        <v>0.2</v>
      </c>
      <c r="AC3140">
        <v>5.8500000000000003E-2</v>
      </c>
      <c r="AJ3140" s="13">
        <f>SUBTOTAL(9,X3140:AI3140)</f>
        <v>1.1085</v>
      </c>
      <c r="AK3140">
        <v>0</v>
      </c>
    </row>
    <row r="3141" spans="1:37" ht="19">
      <c r="A3141" s="39" t="s">
        <v>17</v>
      </c>
      <c r="B3141" s="8">
        <v>2024</v>
      </c>
      <c r="C3141" s="8" t="s">
        <v>109</v>
      </c>
      <c r="D3141" s="9" t="s">
        <v>109</v>
      </c>
      <c r="E3141" s="9" t="s">
        <v>111</v>
      </c>
      <c r="F3141" s="9" t="s">
        <v>111</v>
      </c>
      <c r="I3141" s="9" t="s">
        <v>11</v>
      </c>
      <c r="J3141" s="9" t="s">
        <v>11</v>
      </c>
      <c r="K3141" s="9" t="s">
        <v>82</v>
      </c>
      <c r="L3141" s="9" t="s">
        <v>171</v>
      </c>
      <c r="M3141" t="s">
        <v>1997</v>
      </c>
      <c r="O3141" t="s">
        <v>309</v>
      </c>
      <c r="P3141" t="s">
        <v>2106</v>
      </c>
      <c r="S3141">
        <v>120</v>
      </c>
      <c r="U3141" t="s">
        <v>112</v>
      </c>
      <c r="V3141" t="s">
        <v>1484</v>
      </c>
      <c r="X3141" s="43">
        <v>0.9</v>
      </c>
      <c r="AA3141" s="43"/>
      <c r="AB3141">
        <v>0.05</v>
      </c>
      <c r="AC3141">
        <v>6.7500000000000004E-2</v>
      </c>
      <c r="AK3141">
        <v>2650560</v>
      </c>
    </row>
    <row r="3142" spans="1:37" ht="19">
      <c r="A3142" s="39" t="s">
        <v>17</v>
      </c>
      <c r="B3142" s="8">
        <v>2024</v>
      </c>
      <c r="C3142" s="8" t="s">
        <v>109</v>
      </c>
      <c r="D3142" s="9" t="s">
        <v>109</v>
      </c>
      <c r="E3142" s="9" t="s">
        <v>111</v>
      </c>
      <c r="F3142" s="9" t="s">
        <v>111</v>
      </c>
      <c r="I3142" s="9" t="s">
        <v>11</v>
      </c>
      <c r="J3142" s="9" t="s">
        <v>11</v>
      </c>
      <c r="K3142" s="9" t="s">
        <v>82</v>
      </c>
      <c r="L3142" s="9" t="s">
        <v>171</v>
      </c>
      <c r="M3142" t="s">
        <v>2107</v>
      </c>
      <c r="O3142" t="s">
        <v>2108</v>
      </c>
      <c r="P3142" t="s">
        <v>2109</v>
      </c>
      <c r="S3142">
        <v>191</v>
      </c>
      <c r="U3142" s="14" t="s">
        <v>77</v>
      </c>
      <c r="V3142" t="s">
        <v>1720</v>
      </c>
      <c r="X3142" s="43">
        <v>1.45</v>
      </c>
      <c r="AA3142" s="43"/>
      <c r="AB3142" s="43">
        <v>0.35</v>
      </c>
      <c r="AC3142" s="43">
        <v>0.10349999999999999</v>
      </c>
      <c r="AJ3142" s="13">
        <f>SUBTOTAL(9,X3142:AI3142)</f>
        <v>1.9034999999999997</v>
      </c>
      <c r="AK3142">
        <v>0</v>
      </c>
    </row>
    <row r="3143" spans="1:37" ht="19">
      <c r="A3143" s="39" t="s">
        <v>17</v>
      </c>
      <c r="B3143" s="8">
        <v>2024</v>
      </c>
      <c r="C3143" s="8" t="s">
        <v>109</v>
      </c>
      <c r="D3143" s="9" t="s">
        <v>109</v>
      </c>
      <c r="E3143" s="9" t="s">
        <v>111</v>
      </c>
      <c r="F3143" s="9" t="s">
        <v>111</v>
      </c>
      <c r="I3143" s="9" t="s">
        <v>11</v>
      </c>
      <c r="J3143" s="9" t="s">
        <v>11</v>
      </c>
      <c r="K3143" s="9" t="s">
        <v>82</v>
      </c>
      <c r="L3143" s="9" t="s">
        <v>171</v>
      </c>
      <c r="M3143" t="s">
        <v>2107</v>
      </c>
      <c r="O3143" t="s">
        <v>2108</v>
      </c>
      <c r="P3143" t="s">
        <v>2110</v>
      </c>
      <c r="S3143">
        <v>107</v>
      </c>
      <c r="U3143" t="s">
        <v>112</v>
      </c>
      <c r="V3143" t="s">
        <v>1484</v>
      </c>
      <c r="X3143" s="43">
        <v>0.8</v>
      </c>
      <c r="AA3143" s="43"/>
      <c r="AB3143" s="43">
        <v>0.05</v>
      </c>
      <c r="AC3143" s="43">
        <v>5.8500000000000003E-2</v>
      </c>
      <c r="AK3143">
        <v>2363416</v>
      </c>
    </row>
    <row r="3144" spans="1:37" ht="19">
      <c r="A3144" s="39" t="s">
        <v>17</v>
      </c>
      <c r="B3144" s="8">
        <v>2024</v>
      </c>
      <c r="C3144" s="8" t="s">
        <v>109</v>
      </c>
      <c r="D3144" s="9" t="s">
        <v>109</v>
      </c>
      <c r="E3144" s="9" t="s">
        <v>111</v>
      </c>
      <c r="F3144" s="9" t="s">
        <v>111</v>
      </c>
      <c r="I3144" s="9" t="s">
        <v>11</v>
      </c>
      <c r="J3144" s="9" t="s">
        <v>11</v>
      </c>
      <c r="K3144" s="9" t="s">
        <v>82</v>
      </c>
      <c r="L3144" s="9" t="s">
        <v>171</v>
      </c>
      <c r="M3144" t="s">
        <v>2107</v>
      </c>
      <c r="O3144" t="s">
        <v>2108</v>
      </c>
      <c r="P3144" t="s">
        <v>2111</v>
      </c>
      <c r="S3144">
        <v>204</v>
      </c>
      <c r="U3144" t="s">
        <v>112</v>
      </c>
      <c r="V3144" t="s">
        <v>1484</v>
      </c>
      <c r="X3144" s="43">
        <v>1.55</v>
      </c>
      <c r="AA3144" s="43"/>
      <c r="AB3144" s="43">
        <v>0.1</v>
      </c>
      <c r="AC3144" s="43">
        <v>0.1125</v>
      </c>
      <c r="AK3144">
        <v>4505952</v>
      </c>
    </row>
    <row r="3145" spans="1:37" ht="19">
      <c r="A3145" s="39" t="s">
        <v>17</v>
      </c>
      <c r="B3145" s="8">
        <v>2024</v>
      </c>
      <c r="C3145" s="8" t="s">
        <v>109</v>
      </c>
      <c r="D3145" s="9" t="s">
        <v>109</v>
      </c>
      <c r="E3145" s="9" t="s">
        <v>111</v>
      </c>
      <c r="F3145" s="9" t="s">
        <v>111</v>
      </c>
      <c r="I3145" s="9" t="s">
        <v>11</v>
      </c>
      <c r="J3145" s="9" t="s">
        <v>11</v>
      </c>
      <c r="K3145" s="9" t="s">
        <v>82</v>
      </c>
      <c r="L3145" s="9" t="s">
        <v>171</v>
      </c>
      <c r="M3145" t="s">
        <v>2107</v>
      </c>
      <c r="O3145" t="s">
        <v>2108</v>
      </c>
      <c r="P3145" t="s">
        <v>2112</v>
      </c>
      <c r="S3145">
        <v>179</v>
      </c>
      <c r="U3145" t="s">
        <v>112</v>
      </c>
      <c r="V3145" t="s">
        <v>1484</v>
      </c>
      <c r="X3145" s="43">
        <v>1.4</v>
      </c>
      <c r="AA3145" s="43"/>
      <c r="AB3145" s="43">
        <v>0.1</v>
      </c>
      <c r="AC3145" s="43">
        <v>9.9000000000000005E-2</v>
      </c>
      <c r="AK3145">
        <v>3953752</v>
      </c>
    </row>
    <row r="3146" spans="1:37" ht="19">
      <c r="A3146" s="39" t="s">
        <v>17</v>
      </c>
      <c r="B3146" s="8">
        <v>2024</v>
      </c>
      <c r="C3146" s="8" t="s">
        <v>109</v>
      </c>
      <c r="D3146" s="9" t="s">
        <v>109</v>
      </c>
      <c r="E3146" s="9" t="s">
        <v>111</v>
      </c>
      <c r="F3146" s="9" t="s">
        <v>111</v>
      </c>
      <c r="I3146" s="9" t="s">
        <v>11</v>
      </c>
      <c r="J3146" s="9" t="s">
        <v>11</v>
      </c>
      <c r="K3146" s="9" t="s">
        <v>82</v>
      </c>
      <c r="L3146" s="9" t="s">
        <v>171</v>
      </c>
      <c r="M3146" t="s">
        <v>2107</v>
      </c>
      <c r="O3146" t="s">
        <v>2108</v>
      </c>
      <c r="P3146" t="s">
        <v>2113</v>
      </c>
      <c r="S3146">
        <v>251</v>
      </c>
      <c r="U3146" t="s">
        <v>112</v>
      </c>
      <c r="V3146" t="s">
        <v>1484</v>
      </c>
      <c r="X3146" s="43">
        <v>1.95</v>
      </c>
      <c r="AA3146" s="43"/>
      <c r="AB3146" s="43">
        <v>0.1</v>
      </c>
      <c r="AC3146" s="43">
        <v>0.13950000000000001</v>
      </c>
      <c r="AK3146">
        <v>5544088</v>
      </c>
    </row>
    <row r="3147" spans="1:37" ht="19">
      <c r="A3147" s="39" t="s">
        <v>17</v>
      </c>
      <c r="B3147" s="8">
        <v>2024</v>
      </c>
      <c r="C3147" s="8" t="s">
        <v>109</v>
      </c>
      <c r="D3147" s="9" t="s">
        <v>109</v>
      </c>
      <c r="E3147" s="9" t="s">
        <v>111</v>
      </c>
      <c r="F3147" s="9" t="s">
        <v>111</v>
      </c>
      <c r="I3147" s="9" t="s">
        <v>11</v>
      </c>
      <c r="J3147" s="9" t="s">
        <v>11</v>
      </c>
      <c r="K3147" s="9" t="s">
        <v>82</v>
      </c>
      <c r="L3147" s="9" t="s">
        <v>171</v>
      </c>
      <c r="M3147" t="s">
        <v>2107</v>
      </c>
      <c r="O3147" t="s">
        <v>873</v>
      </c>
      <c r="P3147" t="s">
        <v>2114</v>
      </c>
      <c r="S3147">
        <v>181</v>
      </c>
      <c r="U3147" s="14" t="s">
        <v>77</v>
      </c>
      <c r="V3147" t="s">
        <v>1720</v>
      </c>
      <c r="X3147" s="43">
        <v>1.4</v>
      </c>
      <c r="AA3147" s="43"/>
      <c r="AB3147" s="43">
        <v>0.3</v>
      </c>
      <c r="AC3147" s="43">
        <v>9.9000000000000005E-2</v>
      </c>
      <c r="AJ3147" s="13">
        <f t="shared" ref="AJ3147:AJ3151" si="291">SUBTOTAL(9,X3147:AI3147)</f>
        <v>1.7989999999999999</v>
      </c>
      <c r="AK3147">
        <v>0</v>
      </c>
    </row>
    <row r="3148" spans="1:37" ht="19">
      <c r="A3148" s="39" t="s">
        <v>17</v>
      </c>
      <c r="B3148" s="8">
        <v>2024</v>
      </c>
      <c r="C3148" s="8" t="s">
        <v>109</v>
      </c>
      <c r="D3148" s="9" t="s">
        <v>109</v>
      </c>
      <c r="E3148" s="9" t="s">
        <v>111</v>
      </c>
      <c r="F3148" s="9" t="s">
        <v>111</v>
      </c>
      <c r="I3148" s="9" t="s">
        <v>11</v>
      </c>
      <c r="J3148" s="9" t="s">
        <v>11</v>
      </c>
      <c r="K3148" s="9" t="s">
        <v>82</v>
      </c>
      <c r="L3148" s="9" t="s">
        <v>171</v>
      </c>
      <c r="M3148" t="s">
        <v>2107</v>
      </c>
      <c r="O3148" t="s">
        <v>873</v>
      </c>
      <c r="P3148" t="s">
        <v>358</v>
      </c>
      <c r="S3148">
        <v>136</v>
      </c>
      <c r="U3148" s="14" t="s">
        <v>77</v>
      </c>
      <c r="V3148" t="s">
        <v>1720</v>
      </c>
      <c r="X3148" s="43">
        <v>1.05</v>
      </c>
      <c r="AA3148" s="43"/>
      <c r="AB3148" s="43">
        <v>0.25</v>
      </c>
      <c r="AC3148" s="43">
        <v>7.6499999999999999E-2</v>
      </c>
      <c r="AJ3148" s="13">
        <f t="shared" si="291"/>
        <v>1.3765000000000001</v>
      </c>
      <c r="AK3148">
        <v>0</v>
      </c>
    </row>
    <row r="3149" spans="1:37" ht="19">
      <c r="A3149" s="39" t="s">
        <v>17</v>
      </c>
      <c r="B3149" s="8">
        <v>2024</v>
      </c>
      <c r="C3149" s="8" t="s">
        <v>109</v>
      </c>
      <c r="D3149" s="9" t="s">
        <v>109</v>
      </c>
      <c r="E3149" s="9" t="s">
        <v>111</v>
      </c>
      <c r="F3149" s="9" t="s">
        <v>111</v>
      </c>
      <c r="I3149" s="9" t="s">
        <v>11</v>
      </c>
      <c r="J3149" s="9" t="s">
        <v>11</v>
      </c>
      <c r="K3149" s="9" t="s">
        <v>82</v>
      </c>
      <c r="L3149" s="9" t="s">
        <v>171</v>
      </c>
      <c r="M3149" t="s">
        <v>2107</v>
      </c>
      <c r="O3149" t="s">
        <v>873</v>
      </c>
      <c r="P3149" t="s">
        <v>2115</v>
      </c>
      <c r="S3149">
        <v>221</v>
      </c>
      <c r="U3149" s="14" t="s">
        <v>77</v>
      </c>
      <c r="V3149" t="s">
        <v>1720</v>
      </c>
      <c r="X3149" s="43">
        <v>1.7</v>
      </c>
      <c r="AA3149" s="43"/>
      <c r="AB3149" s="43">
        <v>0.4</v>
      </c>
      <c r="AC3149" s="43">
        <v>0.1215</v>
      </c>
      <c r="AJ3149" s="13">
        <f t="shared" si="291"/>
        <v>2.2215000000000003</v>
      </c>
      <c r="AK3149">
        <v>0</v>
      </c>
    </row>
    <row r="3150" spans="1:37" ht="19">
      <c r="A3150" s="39" t="s">
        <v>17</v>
      </c>
      <c r="B3150" s="8">
        <v>2024</v>
      </c>
      <c r="C3150" s="8" t="s">
        <v>109</v>
      </c>
      <c r="D3150" s="9" t="s">
        <v>109</v>
      </c>
      <c r="E3150" s="9" t="s">
        <v>111</v>
      </c>
      <c r="F3150" s="9" t="s">
        <v>111</v>
      </c>
      <c r="I3150" s="9" t="s">
        <v>11</v>
      </c>
      <c r="J3150" s="9" t="s">
        <v>11</v>
      </c>
      <c r="K3150" s="9" t="s">
        <v>82</v>
      </c>
      <c r="L3150" s="9" t="s">
        <v>171</v>
      </c>
      <c r="M3150" t="s">
        <v>2107</v>
      </c>
      <c r="O3150" t="s">
        <v>873</v>
      </c>
      <c r="P3150" t="s">
        <v>2116</v>
      </c>
      <c r="S3150">
        <v>130</v>
      </c>
      <c r="U3150" s="14" t="s">
        <v>77</v>
      </c>
      <c r="V3150" t="s">
        <v>1720</v>
      </c>
      <c r="X3150" s="43">
        <v>1</v>
      </c>
      <c r="AA3150" s="43"/>
      <c r="AB3150" s="43">
        <v>0.25</v>
      </c>
      <c r="AC3150" s="43">
        <v>7.1999999999999995E-2</v>
      </c>
      <c r="AJ3150" s="13">
        <f t="shared" si="291"/>
        <v>1.3220000000000001</v>
      </c>
      <c r="AK3150">
        <v>0</v>
      </c>
    </row>
    <row r="3151" spans="1:37" ht="19">
      <c r="A3151" s="39" t="s">
        <v>17</v>
      </c>
      <c r="B3151" s="8">
        <v>2024</v>
      </c>
      <c r="C3151" s="8" t="s">
        <v>109</v>
      </c>
      <c r="D3151" s="9" t="s">
        <v>109</v>
      </c>
      <c r="E3151" s="9" t="s">
        <v>111</v>
      </c>
      <c r="F3151" s="9" t="s">
        <v>111</v>
      </c>
      <c r="I3151" s="9" t="s">
        <v>11</v>
      </c>
      <c r="J3151" s="9" t="s">
        <v>11</v>
      </c>
      <c r="K3151" s="9" t="s">
        <v>82</v>
      </c>
      <c r="L3151" s="9" t="s">
        <v>171</v>
      </c>
      <c r="M3151" t="s">
        <v>2107</v>
      </c>
      <c r="O3151" t="s">
        <v>873</v>
      </c>
      <c r="P3151" t="s">
        <v>2117</v>
      </c>
      <c r="S3151">
        <v>284</v>
      </c>
      <c r="U3151" s="14" t="s">
        <v>77</v>
      </c>
      <c r="V3151" t="s">
        <v>1720</v>
      </c>
      <c r="X3151" s="43">
        <v>2.2000000000000002</v>
      </c>
      <c r="AA3151" s="43"/>
      <c r="AB3151" s="43">
        <v>0.5</v>
      </c>
      <c r="AC3151" s="43">
        <v>0.1575</v>
      </c>
      <c r="AJ3151" s="13">
        <f t="shared" si="291"/>
        <v>2.8575000000000004</v>
      </c>
      <c r="AK3151">
        <v>0</v>
      </c>
    </row>
    <row r="3152" spans="1:37" ht="19">
      <c r="A3152" s="39" t="s">
        <v>17</v>
      </c>
      <c r="B3152" s="8">
        <v>2024</v>
      </c>
      <c r="C3152" s="8" t="s">
        <v>109</v>
      </c>
      <c r="D3152" s="9" t="s">
        <v>109</v>
      </c>
      <c r="E3152" s="9" t="s">
        <v>111</v>
      </c>
      <c r="F3152" s="9" t="s">
        <v>111</v>
      </c>
      <c r="I3152" s="9" t="s">
        <v>11</v>
      </c>
      <c r="J3152" s="9" t="s">
        <v>11</v>
      </c>
      <c r="K3152" s="9" t="s">
        <v>82</v>
      </c>
      <c r="L3152" s="9" t="s">
        <v>171</v>
      </c>
      <c r="M3152" t="s">
        <v>2107</v>
      </c>
      <c r="O3152" t="s">
        <v>873</v>
      </c>
      <c r="P3152" t="s">
        <v>2118</v>
      </c>
      <c r="S3152">
        <v>101</v>
      </c>
      <c r="U3152" t="s">
        <v>112</v>
      </c>
      <c r="V3152" t="s">
        <v>1484</v>
      </c>
      <c r="X3152" s="43">
        <v>0.8</v>
      </c>
      <c r="AA3152" s="43"/>
      <c r="AB3152" s="43">
        <v>0.05</v>
      </c>
      <c r="AC3152" s="43">
        <v>5.3999999999999999E-2</v>
      </c>
      <c r="AK3152">
        <v>2230888</v>
      </c>
    </row>
    <row r="3153" spans="1:37" ht="19">
      <c r="A3153" s="39" t="s">
        <v>17</v>
      </c>
      <c r="B3153" s="8">
        <v>2024</v>
      </c>
      <c r="C3153" s="8" t="s">
        <v>109</v>
      </c>
      <c r="D3153" s="9" t="s">
        <v>109</v>
      </c>
      <c r="E3153" s="9" t="s">
        <v>111</v>
      </c>
      <c r="F3153" s="9" t="s">
        <v>111</v>
      </c>
      <c r="I3153" s="9" t="s">
        <v>11</v>
      </c>
      <c r="J3153" s="9" t="s">
        <v>11</v>
      </c>
      <c r="K3153" s="9" t="s">
        <v>82</v>
      </c>
      <c r="L3153" s="9" t="s">
        <v>171</v>
      </c>
      <c r="M3153" t="s">
        <v>2107</v>
      </c>
      <c r="O3153" t="s">
        <v>873</v>
      </c>
      <c r="P3153" t="s">
        <v>2119</v>
      </c>
      <c r="S3153">
        <v>541</v>
      </c>
      <c r="U3153" t="s">
        <v>112</v>
      </c>
      <c r="V3153" t="s">
        <v>1484</v>
      </c>
      <c r="X3153" s="43">
        <v>4.1500000000000004</v>
      </c>
      <c r="AA3153" s="43"/>
      <c r="AB3153" s="43">
        <v>0.2</v>
      </c>
      <c r="AC3153" s="43">
        <v>0.29699999999999999</v>
      </c>
      <c r="AK3153">
        <v>11949608</v>
      </c>
    </row>
    <row r="3154" spans="1:37" ht="19">
      <c r="A3154" s="39" t="s">
        <v>17</v>
      </c>
      <c r="B3154" s="8">
        <v>2024</v>
      </c>
      <c r="C3154" s="8" t="s">
        <v>109</v>
      </c>
      <c r="D3154" s="9" t="s">
        <v>109</v>
      </c>
      <c r="E3154" s="9" t="s">
        <v>111</v>
      </c>
      <c r="F3154" s="9" t="s">
        <v>111</v>
      </c>
      <c r="I3154" s="9" t="s">
        <v>11</v>
      </c>
      <c r="J3154" s="9" t="s">
        <v>11</v>
      </c>
      <c r="K3154" s="9" t="s">
        <v>82</v>
      </c>
      <c r="L3154" s="9" t="s">
        <v>171</v>
      </c>
      <c r="M3154" t="s">
        <v>2107</v>
      </c>
      <c r="O3154" t="s">
        <v>873</v>
      </c>
      <c r="P3154" t="s">
        <v>2120</v>
      </c>
      <c r="S3154">
        <v>150</v>
      </c>
      <c r="U3154" s="14" t="s">
        <v>77</v>
      </c>
      <c r="V3154" t="s">
        <v>1720</v>
      </c>
      <c r="X3154" s="43">
        <v>1.1499999999999999</v>
      </c>
      <c r="AA3154" s="43"/>
      <c r="AB3154" s="43">
        <v>0.25</v>
      </c>
      <c r="AC3154" s="43">
        <v>8.1000000000000003E-2</v>
      </c>
      <c r="AJ3154" s="13">
        <f t="shared" ref="AJ3154:AJ3158" si="292">SUBTOTAL(9,X3154:AI3154)</f>
        <v>1.4809999999999999</v>
      </c>
      <c r="AK3154">
        <v>0</v>
      </c>
    </row>
    <row r="3155" spans="1:37" ht="19">
      <c r="A3155" s="39" t="s">
        <v>17</v>
      </c>
      <c r="B3155" s="8">
        <v>2024</v>
      </c>
      <c r="C3155" s="8" t="s">
        <v>109</v>
      </c>
      <c r="D3155" s="9" t="s">
        <v>109</v>
      </c>
      <c r="E3155" s="9" t="s">
        <v>111</v>
      </c>
      <c r="F3155" s="9" t="s">
        <v>111</v>
      </c>
      <c r="I3155" s="9" t="s">
        <v>11</v>
      </c>
      <c r="J3155" s="9" t="s">
        <v>11</v>
      </c>
      <c r="K3155" s="9" t="s">
        <v>82</v>
      </c>
      <c r="L3155" s="9" t="s">
        <v>171</v>
      </c>
      <c r="M3155" t="s">
        <v>2107</v>
      </c>
      <c r="O3155" t="s">
        <v>873</v>
      </c>
      <c r="P3155" t="s">
        <v>2121</v>
      </c>
      <c r="S3155">
        <v>155</v>
      </c>
      <c r="U3155" s="14" t="s">
        <v>77</v>
      </c>
      <c r="V3155" t="s">
        <v>1720</v>
      </c>
      <c r="X3155" s="43">
        <v>1.2</v>
      </c>
      <c r="AA3155" s="43"/>
      <c r="AB3155" s="43">
        <v>0.3</v>
      </c>
      <c r="AC3155" s="43">
        <v>8.5500000000000007E-2</v>
      </c>
      <c r="AJ3155" s="13">
        <f t="shared" si="292"/>
        <v>1.5854999999999999</v>
      </c>
      <c r="AK3155">
        <v>0</v>
      </c>
    </row>
    <row r="3156" spans="1:37" ht="19">
      <c r="A3156" s="39" t="s">
        <v>17</v>
      </c>
      <c r="B3156" s="8">
        <v>2024</v>
      </c>
      <c r="C3156" s="8" t="s">
        <v>109</v>
      </c>
      <c r="D3156" s="9" t="s">
        <v>109</v>
      </c>
      <c r="E3156" s="9" t="s">
        <v>111</v>
      </c>
      <c r="F3156" s="9" t="s">
        <v>111</v>
      </c>
      <c r="I3156" s="9" t="s">
        <v>11</v>
      </c>
      <c r="J3156" s="9" t="s">
        <v>11</v>
      </c>
      <c r="K3156" s="9" t="s">
        <v>82</v>
      </c>
      <c r="L3156" s="9" t="s">
        <v>171</v>
      </c>
      <c r="M3156" t="s">
        <v>2107</v>
      </c>
      <c r="O3156" t="s">
        <v>873</v>
      </c>
      <c r="P3156" t="s">
        <v>2122</v>
      </c>
      <c r="S3156">
        <v>195</v>
      </c>
      <c r="U3156" s="14" t="s">
        <v>77</v>
      </c>
      <c r="V3156" t="s">
        <v>1720</v>
      </c>
      <c r="X3156" s="43">
        <v>1.5</v>
      </c>
      <c r="AA3156" s="43"/>
      <c r="AB3156" s="43">
        <v>0.35</v>
      </c>
      <c r="AC3156" s="43">
        <v>0.108</v>
      </c>
      <c r="AJ3156" s="13">
        <f t="shared" si="292"/>
        <v>1.9580000000000002</v>
      </c>
      <c r="AK3156">
        <v>0</v>
      </c>
    </row>
    <row r="3157" spans="1:37" ht="19">
      <c r="A3157" s="39" t="s">
        <v>17</v>
      </c>
      <c r="B3157" s="8">
        <v>2024</v>
      </c>
      <c r="C3157" s="8" t="s">
        <v>109</v>
      </c>
      <c r="D3157" s="9" t="s">
        <v>109</v>
      </c>
      <c r="E3157" s="9" t="s">
        <v>111</v>
      </c>
      <c r="F3157" s="9" t="s">
        <v>111</v>
      </c>
      <c r="I3157" s="9" t="s">
        <v>11</v>
      </c>
      <c r="J3157" s="9" t="s">
        <v>11</v>
      </c>
      <c r="K3157" s="9" t="s">
        <v>82</v>
      </c>
      <c r="L3157" s="9" t="s">
        <v>171</v>
      </c>
      <c r="M3157" t="s">
        <v>2107</v>
      </c>
      <c r="O3157" t="s">
        <v>873</v>
      </c>
      <c r="P3157" t="s">
        <v>2123</v>
      </c>
      <c r="S3157">
        <v>157</v>
      </c>
      <c r="U3157" s="14" t="s">
        <v>77</v>
      </c>
      <c r="V3157" t="s">
        <v>1720</v>
      </c>
      <c r="X3157" s="43">
        <v>1.2</v>
      </c>
      <c r="AA3157" s="43"/>
      <c r="AB3157" s="43">
        <v>0.3</v>
      </c>
      <c r="AC3157" s="43">
        <v>8.5500000000000007E-2</v>
      </c>
      <c r="AJ3157" s="13">
        <f t="shared" si="292"/>
        <v>1.5854999999999999</v>
      </c>
      <c r="AK3157">
        <v>0</v>
      </c>
    </row>
    <row r="3158" spans="1:37" ht="19">
      <c r="A3158" s="39" t="s">
        <v>17</v>
      </c>
      <c r="B3158" s="8">
        <v>2024</v>
      </c>
      <c r="C3158" s="8" t="s">
        <v>109</v>
      </c>
      <c r="D3158" s="9" t="s">
        <v>109</v>
      </c>
      <c r="E3158" s="9" t="s">
        <v>111</v>
      </c>
      <c r="F3158" s="9" t="s">
        <v>111</v>
      </c>
      <c r="I3158" s="9" t="s">
        <v>11</v>
      </c>
      <c r="J3158" s="9" t="s">
        <v>11</v>
      </c>
      <c r="K3158" s="9" t="s">
        <v>82</v>
      </c>
      <c r="L3158" s="9" t="s">
        <v>171</v>
      </c>
      <c r="M3158" t="s">
        <v>2107</v>
      </c>
      <c r="O3158" t="s">
        <v>873</v>
      </c>
      <c r="P3158" t="s">
        <v>2124</v>
      </c>
      <c r="S3158">
        <v>188</v>
      </c>
      <c r="U3158" s="14" t="s">
        <v>77</v>
      </c>
      <c r="V3158" t="s">
        <v>1720</v>
      </c>
      <c r="X3158" s="43">
        <v>1.45</v>
      </c>
      <c r="AA3158" s="43"/>
      <c r="AB3158" s="43">
        <v>0.35</v>
      </c>
      <c r="AC3158" s="43">
        <v>0.10349999999999999</v>
      </c>
      <c r="AJ3158" s="13">
        <f t="shared" si="292"/>
        <v>1.9034999999999997</v>
      </c>
      <c r="AK3158">
        <v>0</v>
      </c>
    </row>
    <row r="3159" spans="1:37" ht="19">
      <c r="A3159" s="39" t="s">
        <v>17</v>
      </c>
      <c r="B3159" s="8">
        <v>2024</v>
      </c>
      <c r="C3159" s="8" t="s">
        <v>109</v>
      </c>
      <c r="D3159" s="9" t="s">
        <v>109</v>
      </c>
      <c r="E3159" s="9" t="s">
        <v>111</v>
      </c>
      <c r="F3159" s="9" t="s">
        <v>111</v>
      </c>
      <c r="I3159" s="9" t="s">
        <v>11</v>
      </c>
      <c r="J3159" s="9" t="s">
        <v>11</v>
      </c>
      <c r="K3159" s="9" t="s">
        <v>82</v>
      </c>
      <c r="L3159" s="9" t="s">
        <v>171</v>
      </c>
      <c r="M3159" t="s">
        <v>2107</v>
      </c>
      <c r="O3159" t="s">
        <v>2107</v>
      </c>
      <c r="P3159" t="s">
        <v>2125</v>
      </c>
      <c r="S3159">
        <v>441</v>
      </c>
      <c r="U3159" t="s">
        <v>112</v>
      </c>
      <c r="V3159" t="s">
        <v>1484</v>
      </c>
      <c r="X3159" s="43">
        <v>3.4</v>
      </c>
      <c r="AA3159" s="43"/>
      <c r="AB3159" s="43">
        <v>0.15</v>
      </c>
      <c r="AC3159" s="43">
        <v>0.24299999999999999</v>
      </c>
      <c r="AK3159">
        <v>9740808</v>
      </c>
    </row>
    <row r="3160" spans="1:37" ht="19">
      <c r="A3160" s="39" t="s">
        <v>17</v>
      </c>
      <c r="B3160" s="8">
        <v>2024</v>
      </c>
      <c r="C3160" s="8" t="s">
        <v>109</v>
      </c>
      <c r="D3160" s="9" t="s">
        <v>109</v>
      </c>
      <c r="E3160" s="9" t="s">
        <v>111</v>
      </c>
      <c r="F3160" s="9" t="s">
        <v>111</v>
      </c>
      <c r="I3160" s="9" t="s">
        <v>11</v>
      </c>
      <c r="J3160" s="9" t="s">
        <v>11</v>
      </c>
      <c r="K3160" s="9" t="s">
        <v>82</v>
      </c>
      <c r="L3160" s="9" t="s">
        <v>171</v>
      </c>
      <c r="M3160" t="s">
        <v>2107</v>
      </c>
      <c r="O3160" t="s">
        <v>2107</v>
      </c>
      <c r="P3160" t="s">
        <v>2126</v>
      </c>
      <c r="S3160">
        <v>138</v>
      </c>
      <c r="U3160" s="14" t="s">
        <v>77</v>
      </c>
      <c r="V3160" t="s">
        <v>1720</v>
      </c>
      <c r="X3160" s="43">
        <v>0.55000000000000004</v>
      </c>
      <c r="AA3160" s="43"/>
      <c r="AB3160" s="43">
        <v>0.1</v>
      </c>
      <c r="AC3160" s="43">
        <v>4.4999999999999998E-2</v>
      </c>
      <c r="AJ3160" s="13">
        <f t="shared" ref="AJ3160:AJ3161" si="293">SUBTOTAL(9,X3160:AI3160)</f>
        <v>0.69500000000000006</v>
      </c>
      <c r="AK3160">
        <v>0</v>
      </c>
    </row>
    <row r="3161" spans="1:37" ht="19">
      <c r="A3161" s="39" t="s">
        <v>17</v>
      </c>
      <c r="B3161" s="8">
        <v>2024</v>
      </c>
      <c r="C3161" s="8" t="s">
        <v>109</v>
      </c>
      <c r="D3161" s="9" t="s">
        <v>109</v>
      </c>
      <c r="E3161" s="9" t="s">
        <v>111</v>
      </c>
      <c r="F3161" s="9" t="s">
        <v>111</v>
      </c>
      <c r="I3161" s="9" t="s">
        <v>11</v>
      </c>
      <c r="J3161" s="9" t="s">
        <v>11</v>
      </c>
      <c r="K3161" s="9" t="s">
        <v>82</v>
      </c>
      <c r="L3161" s="9" t="s">
        <v>171</v>
      </c>
      <c r="M3161" t="s">
        <v>2107</v>
      </c>
      <c r="O3161" t="s">
        <v>2107</v>
      </c>
      <c r="P3161" t="s">
        <v>1983</v>
      </c>
      <c r="S3161">
        <v>288</v>
      </c>
      <c r="U3161" s="14" t="s">
        <v>77</v>
      </c>
      <c r="V3161" t="s">
        <v>1720</v>
      </c>
      <c r="X3161" s="43">
        <v>1.25</v>
      </c>
      <c r="AA3161" s="43"/>
      <c r="AB3161" s="43">
        <v>0.25</v>
      </c>
      <c r="AC3161" s="43">
        <v>0.09</v>
      </c>
      <c r="AJ3161" s="13">
        <f t="shared" si="293"/>
        <v>1.59</v>
      </c>
      <c r="AK3161">
        <v>0</v>
      </c>
    </row>
    <row r="3162" spans="1:37" ht="19">
      <c r="A3162" s="39" t="s">
        <v>17</v>
      </c>
      <c r="B3162" s="8">
        <v>2024</v>
      </c>
      <c r="C3162" s="8" t="s">
        <v>109</v>
      </c>
      <c r="D3162" s="9" t="s">
        <v>109</v>
      </c>
      <c r="E3162" s="9" t="s">
        <v>111</v>
      </c>
      <c r="F3162" s="9" t="s">
        <v>111</v>
      </c>
      <c r="I3162" s="9" t="s">
        <v>11</v>
      </c>
      <c r="J3162" s="9" t="s">
        <v>11</v>
      </c>
      <c r="K3162" s="9" t="s">
        <v>82</v>
      </c>
      <c r="L3162" s="9" t="s">
        <v>171</v>
      </c>
      <c r="M3162" t="s">
        <v>2107</v>
      </c>
      <c r="O3162" t="s">
        <v>2107</v>
      </c>
      <c r="P3162" t="s">
        <v>2127</v>
      </c>
      <c r="S3162">
        <v>524</v>
      </c>
      <c r="U3162" t="s">
        <v>112</v>
      </c>
      <c r="V3162" t="s">
        <v>1484</v>
      </c>
      <c r="X3162" s="43">
        <v>4.05</v>
      </c>
      <c r="AA3162" s="43"/>
      <c r="AB3162" s="43">
        <v>0.2</v>
      </c>
      <c r="AC3162" s="43">
        <v>0.28799999999999998</v>
      </c>
      <c r="AK3162">
        <v>11574112</v>
      </c>
    </row>
    <row r="3163" spans="1:37" ht="19">
      <c r="A3163" s="39" t="s">
        <v>17</v>
      </c>
      <c r="B3163" s="8">
        <v>2024</v>
      </c>
      <c r="C3163" s="8" t="s">
        <v>109</v>
      </c>
      <c r="D3163" s="9" t="s">
        <v>109</v>
      </c>
      <c r="E3163" s="9" t="s">
        <v>111</v>
      </c>
      <c r="F3163" s="9" t="s">
        <v>111</v>
      </c>
      <c r="I3163" s="9" t="s">
        <v>11</v>
      </c>
      <c r="J3163" s="9" t="s">
        <v>11</v>
      </c>
      <c r="K3163" s="9" t="s">
        <v>82</v>
      </c>
      <c r="L3163" s="9" t="s">
        <v>171</v>
      </c>
      <c r="M3163" t="s">
        <v>2107</v>
      </c>
      <c r="O3163" t="s">
        <v>2107</v>
      </c>
      <c r="P3163" t="s">
        <v>2128</v>
      </c>
      <c r="S3163">
        <v>378</v>
      </c>
      <c r="U3163" t="s">
        <v>112</v>
      </c>
      <c r="V3163" t="s">
        <v>1484</v>
      </c>
      <c r="X3163" s="43">
        <v>2.9</v>
      </c>
      <c r="AA3163" s="43"/>
      <c r="AB3163" s="43">
        <v>0.15</v>
      </c>
      <c r="AC3163" s="43">
        <v>0.20699999999999999</v>
      </c>
      <c r="AK3163">
        <v>8349264</v>
      </c>
    </row>
    <row r="3164" spans="1:37" ht="19">
      <c r="A3164" s="39" t="s">
        <v>17</v>
      </c>
      <c r="B3164" s="8">
        <v>2024</v>
      </c>
      <c r="C3164" s="8" t="s">
        <v>109</v>
      </c>
      <c r="D3164" s="9" t="s">
        <v>109</v>
      </c>
      <c r="E3164" s="9" t="s">
        <v>111</v>
      </c>
      <c r="F3164" s="9" t="s">
        <v>111</v>
      </c>
      <c r="I3164" s="9" t="s">
        <v>11</v>
      </c>
      <c r="J3164" s="9" t="s">
        <v>11</v>
      </c>
      <c r="K3164" s="9" t="s">
        <v>82</v>
      </c>
      <c r="L3164" s="9" t="s">
        <v>171</v>
      </c>
      <c r="M3164" t="s">
        <v>2107</v>
      </c>
      <c r="O3164" t="s">
        <v>2107</v>
      </c>
      <c r="P3164" t="s">
        <v>2129</v>
      </c>
      <c r="S3164">
        <v>1531</v>
      </c>
      <c r="U3164" t="s">
        <v>112</v>
      </c>
      <c r="V3164" t="s">
        <v>1484</v>
      </c>
      <c r="X3164" s="43">
        <v>11.8</v>
      </c>
      <c r="AA3164" s="43"/>
      <c r="AB3164" s="43">
        <v>0.55000000000000004</v>
      </c>
      <c r="AC3164" s="43">
        <v>0.84150000000000003</v>
      </c>
      <c r="AK3164">
        <v>33816728</v>
      </c>
    </row>
    <row r="3165" spans="1:37" ht="19">
      <c r="A3165" s="39" t="s">
        <v>17</v>
      </c>
      <c r="B3165" s="8">
        <v>2024</v>
      </c>
      <c r="C3165" s="8" t="s">
        <v>109</v>
      </c>
      <c r="D3165" s="9" t="s">
        <v>109</v>
      </c>
      <c r="E3165" s="9" t="s">
        <v>111</v>
      </c>
      <c r="F3165" s="9" t="s">
        <v>111</v>
      </c>
      <c r="I3165" s="9" t="s">
        <v>11</v>
      </c>
      <c r="J3165" s="9" t="s">
        <v>11</v>
      </c>
      <c r="K3165" s="9" t="s">
        <v>82</v>
      </c>
      <c r="L3165" s="9" t="s">
        <v>171</v>
      </c>
      <c r="M3165" t="s">
        <v>2107</v>
      </c>
      <c r="O3165" t="s">
        <v>2107</v>
      </c>
      <c r="P3165" t="s">
        <v>2130</v>
      </c>
      <c r="S3165">
        <v>269</v>
      </c>
      <c r="U3165" t="s">
        <v>112</v>
      </c>
      <c r="V3165" t="s">
        <v>1484</v>
      </c>
      <c r="X3165" s="43">
        <v>2.0499999999999998</v>
      </c>
      <c r="AA3165" s="43"/>
      <c r="AB3165" s="43">
        <v>0.1</v>
      </c>
      <c r="AC3165" s="43">
        <v>0.14849999999999999</v>
      </c>
      <c r="AK3165">
        <v>5941672</v>
      </c>
    </row>
    <row r="3166" spans="1:37" ht="19">
      <c r="A3166" s="39" t="s">
        <v>17</v>
      </c>
      <c r="B3166" s="8">
        <v>2024</v>
      </c>
      <c r="C3166" s="8" t="s">
        <v>109</v>
      </c>
      <c r="D3166" s="9" t="s">
        <v>109</v>
      </c>
      <c r="E3166" s="9" t="s">
        <v>111</v>
      </c>
      <c r="F3166" s="9" t="s">
        <v>111</v>
      </c>
      <c r="I3166" s="9" t="s">
        <v>11</v>
      </c>
      <c r="J3166" s="9" t="s">
        <v>11</v>
      </c>
      <c r="K3166" s="9" t="s">
        <v>82</v>
      </c>
      <c r="L3166" s="9" t="s">
        <v>171</v>
      </c>
      <c r="M3166" t="s">
        <v>2107</v>
      </c>
      <c r="O3166" t="s">
        <v>2107</v>
      </c>
      <c r="P3166" t="s">
        <v>2131</v>
      </c>
      <c r="S3166">
        <v>164</v>
      </c>
      <c r="U3166" t="s">
        <v>112</v>
      </c>
      <c r="V3166" t="s">
        <v>1484</v>
      </c>
      <c r="X3166" s="43">
        <v>1.25</v>
      </c>
      <c r="AA3166" s="43"/>
      <c r="AB3166" s="43">
        <v>0.1</v>
      </c>
      <c r="AC3166" s="43">
        <v>0.09</v>
      </c>
      <c r="AK3166">
        <v>3622432</v>
      </c>
    </row>
    <row r="3167" spans="1:37" ht="19">
      <c r="A3167" s="39" t="s">
        <v>17</v>
      </c>
      <c r="B3167" s="8">
        <v>2024</v>
      </c>
      <c r="C3167" s="8" t="s">
        <v>109</v>
      </c>
      <c r="D3167" s="9" t="s">
        <v>109</v>
      </c>
      <c r="E3167" s="9" t="s">
        <v>111</v>
      </c>
      <c r="F3167" s="9" t="s">
        <v>111</v>
      </c>
      <c r="I3167" s="9" t="s">
        <v>11</v>
      </c>
      <c r="J3167" s="9" t="s">
        <v>11</v>
      </c>
      <c r="K3167" s="9" t="s">
        <v>82</v>
      </c>
      <c r="L3167" s="9" t="s">
        <v>171</v>
      </c>
      <c r="M3167" t="s">
        <v>2107</v>
      </c>
      <c r="O3167" t="s">
        <v>2107</v>
      </c>
      <c r="P3167" t="s">
        <v>2132</v>
      </c>
      <c r="S3167">
        <v>144</v>
      </c>
      <c r="U3167" t="s">
        <v>112</v>
      </c>
      <c r="V3167" t="s">
        <v>1484</v>
      </c>
      <c r="X3167" s="43">
        <v>1.1000000000000001</v>
      </c>
      <c r="AA3167" s="43"/>
      <c r="AB3167" s="43">
        <v>0.05</v>
      </c>
      <c r="AC3167" s="43">
        <v>8.1000000000000003E-2</v>
      </c>
      <c r="AK3167">
        <v>3180672</v>
      </c>
    </row>
    <row r="3168" spans="1:37" ht="19">
      <c r="A3168" s="39" t="s">
        <v>17</v>
      </c>
      <c r="B3168" s="8">
        <v>2024</v>
      </c>
      <c r="C3168" s="8" t="s">
        <v>109</v>
      </c>
      <c r="D3168" s="9" t="s">
        <v>109</v>
      </c>
      <c r="E3168" s="9" t="s">
        <v>111</v>
      </c>
      <c r="F3168" s="9" t="s">
        <v>111</v>
      </c>
      <c r="I3168" s="9" t="s">
        <v>11</v>
      </c>
      <c r="J3168" s="9" t="s">
        <v>11</v>
      </c>
      <c r="K3168" s="9" t="s">
        <v>82</v>
      </c>
      <c r="L3168" s="9" t="s">
        <v>171</v>
      </c>
      <c r="M3168" t="s">
        <v>2107</v>
      </c>
      <c r="O3168" t="s">
        <v>2107</v>
      </c>
      <c r="P3168" t="s">
        <v>2133</v>
      </c>
      <c r="S3168">
        <v>154</v>
      </c>
      <c r="U3168" t="s">
        <v>112</v>
      </c>
      <c r="V3168" t="s">
        <v>1484</v>
      </c>
      <c r="X3168" s="43">
        <v>1.2</v>
      </c>
      <c r="AA3168" s="43"/>
      <c r="AB3168" s="43">
        <v>0.1</v>
      </c>
      <c r="AC3168" s="43">
        <v>8.5500000000000007E-2</v>
      </c>
      <c r="AK3168">
        <v>3401552</v>
      </c>
    </row>
    <row r="3169" spans="1:37" ht="19">
      <c r="A3169" s="39" t="s">
        <v>17</v>
      </c>
      <c r="B3169" s="8">
        <v>2024</v>
      </c>
      <c r="C3169" s="8" t="s">
        <v>109</v>
      </c>
      <c r="D3169" s="9" t="s">
        <v>109</v>
      </c>
      <c r="E3169" s="9" t="s">
        <v>111</v>
      </c>
      <c r="F3169" s="9" t="s">
        <v>111</v>
      </c>
      <c r="I3169" s="9" t="s">
        <v>11</v>
      </c>
      <c r="J3169" s="9" t="s">
        <v>11</v>
      </c>
      <c r="K3169" s="9" t="s">
        <v>82</v>
      </c>
      <c r="L3169" s="9" t="s">
        <v>171</v>
      </c>
      <c r="M3169" t="s">
        <v>2107</v>
      </c>
      <c r="O3169" t="s">
        <v>2107</v>
      </c>
      <c r="P3169" t="s">
        <v>1561</v>
      </c>
      <c r="S3169">
        <v>199</v>
      </c>
      <c r="U3169" t="s">
        <v>112</v>
      </c>
      <c r="V3169" t="s">
        <v>1484</v>
      </c>
      <c r="X3169" s="43">
        <v>1.55</v>
      </c>
      <c r="AA3169" s="43"/>
      <c r="AB3169" s="43">
        <v>0.1</v>
      </c>
      <c r="AC3169" s="43">
        <v>0.108</v>
      </c>
      <c r="AK3169">
        <v>4395512</v>
      </c>
    </row>
    <row r="3170" spans="1:37" ht="19">
      <c r="A3170" s="39" t="s">
        <v>17</v>
      </c>
      <c r="B3170" s="8">
        <v>2024</v>
      </c>
      <c r="C3170" s="8" t="s">
        <v>109</v>
      </c>
      <c r="D3170" s="9" t="s">
        <v>109</v>
      </c>
      <c r="E3170" s="9" t="s">
        <v>111</v>
      </c>
      <c r="F3170" s="9" t="s">
        <v>111</v>
      </c>
      <c r="I3170" s="9" t="s">
        <v>11</v>
      </c>
      <c r="J3170" s="9" t="s">
        <v>11</v>
      </c>
      <c r="K3170" s="9" t="s">
        <v>82</v>
      </c>
      <c r="L3170" s="9" t="s">
        <v>171</v>
      </c>
      <c r="M3170" t="s">
        <v>2107</v>
      </c>
      <c r="O3170" t="s">
        <v>2107</v>
      </c>
      <c r="P3170" t="s">
        <v>2134</v>
      </c>
      <c r="S3170">
        <v>153</v>
      </c>
      <c r="U3170" t="s">
        <v>112</v>
      </c>
      <c r="V3170" t="s">
        <v>1484</v>
      </c>
      <c r="X3170" s="43">
        <v>1.2</v>
      </c>
      <c r="AA3170" s="43"/>
      <c r="AB3170" s="43">
        <v>0.1</v>
      </c>
      <c r="AC3170" s="43">
        <v>8.5500000000000007E-2</v>
      </c>
      <c r="AK3170">
        <v>3379464</v>
      </c>
    </row>
    <row r="3171" spans="1:37" ht="19">
      <c r="A3171" s="39" t="s">
        <v>17</v>
      </c>
      <c r="B3171" s="8">
        <v>2024</v>
      </c>
      <c r="C3171" s="8" t="s">
        <v>109</v>
      </c>
      <c r="D3171" s="9" t="s">
        <v>109</v>
      </c>
      <c r="E3171" s="9" t="s">
        <v>111</v>
      </c>
      <c r="F3171" s="9" t="s">
        <v>111</v>
      </c>
      <c r="I3171" s="9" t="s">
        <v>11</v>
      </c>
      <c r="J3171" s="9" t="s">
        <v>11</v>
      </c>
      <c r="K3171" s="9" t="s">
        <v>82</v>
      </c>
      <c r="L3171" s="9" t="s">
        <v>171</v>
      </c>
      <c r="M3171" t="s">
        <v>2107</v>
      </c>
      <c r="O3171" t="s">
        <v>2107</v>
      </c>
      <c r="P3171" t="s">
        <v>2135</v>
      </c>
      <c r="S3171">
        <v>354</v>
      </c>
      <c r="U3171" s="14" t="s">
        <v>77</v>
      </c>
      <c r="V3171" t="s">
        <v>1720</v>
      </c>
      <c r="X3171" s="43">
        <v>1.1499999999999999</v>
      </c>
      <c r="AA3171" s="43"/>
      <c r="AB3171" s="43">
        <v>0.25</v>
      </c>
      <c r="AC3171" s="43">
        <v>8.1000000000000003E-2</v>
      </c>
      <c r="AJ3171" s="13">
        <f t="shared" ref="AJ3171:AJ3185" si="294">SUBTOTAL(9,X3171:AI3171)</f>
        <v>1.4809999999999999</v>
      </c>
      <c r="AK3171">
        <v>0</v>
      </c>
    </row>
    <row r="3172" spans="1:37" ht="19">
      <c r="A3172" s="39" t="s">
        <v>17</v>
      </c>
      <c r="B3172" s="8">
        <v>2024</v>
      </c>
      <c r="C3172" s="8" t="s">
        <v>109</v>
      </c>
      <c r="D3172" s="9" t="s">
        <v>109</v>
      </c>
      <c r="E3172" s="9" t="s">
        <v>111</v>
      </c>
      <c r="F3172" s="9" t="s">
        <v>111</v>
      </c>
      <c r="I3172" s="9" t="s">
        <v>11</v>
      </c>
      <c r="J3172" s="9" t="s">
        <v>11</v>
      </c>
      <c r="K3172" s="9" t="s">
        <v>82</v>
      </c>
      <c r="L3172" s="9" t="s">
        <v>171</v>
      </c>
      <c r="M3172" t="s">
        <v>2107</v>
      </c>
      <c r="O3172" t="s">
        <v>2107</v>
      </c>
      <c r="P3172" t="s">
        <v>2136</v>
      </c>
      <c r="S3172">
        <v>199</v>
      </c>
      <c r="U3172" s="14" t="s">
        <v>77</v>
      </c>
      <c r="V3172" t="s">
        <v>1720</v>
      </c>
      <c r="X3172" s="43">
        <v>0.75</v>
      </c>
      <c r="AA3172" s="43"/>
      <c r="AB3172" s="43">
        <v>0.15</v>
      </c>
      <c r="AC3172" s="43">
        <v>4.9500000000000002E-2</v>
      </c>
      <c r="AJ3172" s="13">
        <f t="shared" si="294"/>
        <v>0.94950000000000001</v>
      </c>
      <c r="AK3172">
        <v>0</v>
      </c>
    </row>
    <row r="3173" spans="1:37" ht="19">
      <c r="A3173" s="39" t="s">
        <v>17</v>
      </c>
      <c r="B3173" s="8">
        <v>2024</v>
      </c>
      <c r="C3173" s="8" t="s">
        <v>109</v>
      </c>
      <c r="D3173" s="9" t="s">
        <v>109</v>
      </c>
      <c r="E3173" s="9" t="s">
        <v>111</v>
      </c>
      <c r="F3173" s="9" t="s">
        <v>111</v>
      </c>
      <c r="I3173" s="9" t="s">
        <v>11</v>
      </c>
      <c r="J3173" s="9" t="s">
        <v>11</v>
      </c>
      <c r="K3173" s="9" t="s">
        <v>82</v>
      </c>
      <c r="L3173" s="9" t="s">
        <v>171</v>
      </c>
      <c r="M3173" t="s">
        <v>2107</v>
      </c>
      <c r="O3173" t="s">
        <v>2107</v>
      </c>
      <c r="P3173" t="s">
        <v>2137</v>
      </c>
      <c r="S3173">
        <v>110</v>
      </c>
      <c r="U3173" s="14" t="s">
        <v>77</v>
      </c>
      <c r="V3173" t="s">
        <v>1720</v>
      </c>
      <c r="X3173" s="43">
        <v>0.2</v>
      </c>
      <c r="AA3173" s="43"/>
      <c r="AB3173" s="43">
        <v>0.05</v>
      </c>
      <c r="AC3173" s="43">
        <v>8.9999999999999993E-3</v>
      </c>
      <c r="AJ3173" s="13">
        <f t="shared" si="294"/>
        <v>0.25900000000000001</v>
      </c>
      <c r="AK3173">
        <v>0</v>
      </c>
    </row>
    <row r="3174" spans="1:37" ht="19">
      <c r="A3174" s="39" t="s">
        <v>17</v>
      </c>
      <c r="B3174" s="8">
        <v>2024</v>
      </c>
      <c r="C3174" s="8" t="s">
        <v>109</v>
      </c>
      <c r="D3174" s="9" t="s">
        <v>109</v>
      </c>
      <c r="E3174" s="9" t="s">
        <v>111</v>
      </c>
      <c r="F3174" s="9" t="s">
        <v>111</v>
      </c>
      <c r="I3174" s="9" t="s">
        <v>11</v>
      </c>
      <c r="J3174" s="9" t="s">
        <v>11</v>
      </c>
      <c r="K3174" s="9" t="s">
        <v>82</v>
      </c>
      <c r="L3174" s="9" t="s">
        <v>171</v>
      </c>
      <c r="M3174" t="s">
        <v>2107</v>
      </c>
      <c r="O3174" t="s">
        <v>2107</v>
      </c>
      <c r="P3174" t="s">
        <v>2138</v>
      </c>
      <c r="S3174">
        <v>196</v>
      </c>
      <c r="U3174" s="14" t="s">
        <v>77</v>
      </c>
      <c r="V3174" t="s">
        <v>1720</v>
      </c>
      <c r="X3174" s="43">
        <v>1.05</v>
      </c>
      <c r="AA3174" s="43"/>
      <c r="AB3174" s="43">
        <v>0.2</v>
      </c>
      <c r="AC3174" s="43">
        <v>7.1999999999999995E-2</v>
      </c>
      <c r="AJ3174" s="13">
        <f t="shared" si="294"/>
        <v>1.3220000000000001</v>
      </c>
      <c r="AK3174">
        <v>0</v>
      </c>
    </row>
    <row r="3175" spans="1:37" ht="19">
      <c r="A3175" s="39" t="s">
        <v>17</v>
      </c>
      <c r="B3175" s="8">
        <v>2024</v>
      </c>
      <c r="C3175" s="8" t="s">
        <v>109</v>
      </c>
      <c r="D3175" s="9" t="s">
        <v>109</v>
      </c>
      <c r="E3175" s="9" t="s">
        <v>111</v>
      </c>
      <c r="F3175" s="9" t="s">
        <v>111</v>
      </c>
      <c r="I3175" s="9" t="s">
        <v>11</v>
      </c>
      <c r="J3175" s="9" t="s">
        <v>11</v>
      </c>
      <c r="K3175" s="9" t="s">
        <v>82</v>
      </c>
      <c r="L3175" s="9" t="s">
        <v>171</v>
      </c>
      <c r="M3175" t="s">
        <v>2107</v>
      </c>
      <c r="O3175" t="s">
        <v>2107</v>
      </c>
      <c r="P3175" t="s">
        <v>2139</v>
      </c>
      <c r="S3175">
        <v>364</v>
      </c>
      <c r="U3175" s="14" t="s">
        <v>77</v>
      </c>
      <c r="V3175" t="s">
        <v>1720</v>
      </c>
      <c r="X3175" s="43">
        <v>1.3</v>
      </c>
      <c r="AA3175" s="43"/>
      <c r="AB3175" s="43">
        <v>0.3</v>
      </c>
      <c r="AC3175" s="43">
        <v>0.09</v>
      </c>
      <c r="AJ3175" s="13">
        <f t="shared" si="294"/>
        <v>1.6900000000000002</v>
      </c>
      <c r="AK3175">
        <v>0</v>
      </c>
    </row>
    <row r="3176" spans="1:37" ht="19">
      <c r="A3176" s="39" t="s">
        <v>17</v>
      </c>
      <c r="B3176" s="8">
        <v>2024</v>
      </c>
      <c r="C3176" s="8" t="s">
        <v>109</v>
      </c>
      <c r="D3176" s="9" t="s">
        <v>109</v>
      </c>
      <c r="E3176" s="9" t="s">
        <v>111</v>
      </c>
      <c r="F3176" s="9" t="s">
        <v>111</v>
      </c>
      <c r="I3176" s="9" t="s">
        <v>11</v>
      </c>
      <c r="J3176" s="9" t="s">
        <v>11</v>
      </c>
      <c r="K3176" s="9" t="s">
        <v>82</v>
      </c>
      <c r="L3176" s="9" t="s">
        <v>171</v>
      </c>
      <c r="M3176" t="s">
        <v>2107</v>
      </c>
      <c r="O3176" t="s">
        <v>2140</v>
      </c>
      <c r="P3176" t="s">
        <v>2141</v>
      </c>
      <c r="S3176">
        <v>210</v>
      </c>
      <c r="U3176" s="14" t="s">
        <v>77</v>
      </c>
      <c r="V3176" t="s">
        <v>1720</v>
      </c>
      <c r="X3176" s="43">
        <v>1.6</v>
      </c>
      <c r="AA3176" s="43"/>
      <c r="AB3176" s="43">
        <v>0.35</v>
      </c>
      <c r="AC3176" s="43">
        <v>0.11700000000000001</v>
      </c>
      <c r="AJ3176" s="13">
        <f t="shared" si="294"/>
        <v>2.0670000000000002</v>
      </c>
      <c r="AK3176">
        <v>0</v>
      </c>
    </row>
    <row r="3177" spans="1:37" ht="19">
      <c r="A3177" s="39" t="s">
        <v>17</v>
      </c>
      <c r="B3177" s="8">
        <v>2024</v>
      </c>
      <c r="C3177" s="8" t="s">
        <v>109</v>
      </c>
      <c r="D3177" s="9" t="s">
        <v>109</v>
      </c>
      <c r="E3177" s="9" t="s">
        <v>111</v>
      </c>
      <c r="F3177" s="9" t="s">
        <v>111</v>
      </c>
      <c r="I3177" s="9" t="s">
        <v>11</v>
      </c>
      <c r="J3177" s="9" t="s">
        <v>11</v>
      </c>
      <c r="K3177" s="9" t="s">
        <v>82</v>
      </c>
      <c r="L3177" s="9" t="s">
        <v>171</v>
      </c>
      <c r="M3177" t="s">
        <v>2107</v>
      </c>
      <c r="O3177" t="s">
        <v>2140</v>
      </c>
      <c r="P3177" t="s">
        <v>2142</v>
      </c>
      <c r="S3177">
        <v>216</v>
      </c>
      <c r="U3177" s="14" t="s">
        <v>77</v>
      </c>
      <c r="V3177" t="s">
        <v>1720</v>
      </c>
      <c r="X3177" s="43">
        <v>1.65</v>
      </c>
      <c r="AA3177" s="43"/>
      <c r="AB3177" s="43">
        <v>0.4</v>
      </c>
      <c r="AC3177" s="43">
        <v>0.11700000000000001</v>
      </c>
      <c r="AJ3177" s="13">
        <f t="shared" si="294"/>
        <v>2.1669999999999998</v>
      </c>
      <c r="AK3177">
        <v>0</v>
      </c>
    </row>
    <row r="3178" spans="1:37" ht="19">
      <c r="A3178" s="39" t="s">
        <v>17</v>
      </c>
      <c r="B3178" s="8">
        <v>2024</v>
      </c>
      <c r="C3178" s="8" t="s">
        <v>109</v>
      </c>
      <c r="D3178" s="9" t="s">
        <v>109</v>
      </c>
      <c r="E3178" s="9" t="s">
        <v>111</v>
      </c>
      <c r="F3178" s="9" t="s">
        <v>111</v>
      </c>
      <c r="I3178" s="9" t="s">
        <v>11</v>
      </c>
      <c r="J3178" s="9" t="s">
        <v>11</v>
      </c>
      <c r="K3178" s="9" t="s">
        <v>82</v>
      </c>
      <c r="L3178" s="9" t="s">
        <v>171</v>
      </c>
      <c r="M3178" t="s">
        <v>2107</v>
      </c>
      <c r="O3178" t="s">
        <v>2140</v>
      </c>
      <c r="P3178" t="s">
        <v>1017</v>
      </c>
      <c r="S3178">
        <v>213</v>
      </c>
      <c r="U3178" s="14" t="s">
        <v>77</v>
      </c>
      <c r="V3178" t="s">
        <v>1720</v>
      </c>
      <c r="X3178" s="43">
        <v>0.7</v>
      </c>
      <c r="AA3178" s="43"/>
      <c r="AB3178" s="43">
        <v>0.15</v>
      </c>
      <c r="AC3178" s="43">
        <v>4.9500000000000002E-2</v>
      </c>
      <c r="AJ3178" s="13">
        <f t="shared" si="294"/>
        <v>0.89949999999999997</v>
      </c>
      <c r="AK3178">
        <v>0</v>
      </c>
    </row>
    <row r="3179" spans="1:37" ht="19">
      <c r="A3179" s="39" t="s">
        <v>17</v>
      </c>
      <c r="B3179" s="8">
        <v>2024</v>
      </c>
      <c r="C3179" s="8" t="s">
        <v>109</v>
      </c>
      <c r="D3179" s="9" t="s">
        <v>109</v>
      </c>
      <c r="E3179" s="9" t="s">
        <v>111</v>
      </c>
      <c r="F3179" s="9" t="s">
        <v>111</v>
      </c>
      <c r="I3179" s="9" t="s">
        <v>11</v>
      </c>
      <c r="J3179" s="9" t="s">
        <v>11</v>
      </c>
      <c r="K3179" s="9" t="s">
        <v>82</v>
      </c>
      <c r="L3179" s="9" t="s">
        <v>171</v>
      </c>
      <c r="M3179" t="s">
        <v>2107</v>
      </c>
      <c r="O3179" t="s">
        <v>2140</v>
      </c>
      <c r="P3179" t="s">
        <v>2143</v>
      </c>
      <c r="S3179">
        <v>297</v>
      </c>
      <c r="U3179" s="14" t="s">
        <v>77</v>
      </c>
      <c r="V3179" t="s">
        <v>1720</v>
      </c>
      <c r="X3179" s="43">
        <v>1.1000000000000001</v>
      </c>
      <c r="AA3179" s="43"/>
      <c r="AB3179" s="43">
        <v>0.2</v>
      </c>
      <c r="AC3179" s="43">
        <v>7.6499999999999999E-2</v>
      </c>
      <c r="AJ3179" s="13">
        <f t="shared" si="294"/>
        <v>1.3765000000000001</v>
      </c>
      <c r="AK3179">
        <v>0</v>
      </c>
    </row>
    <row r="3180" spans="1:37" ht="19">
      <c r="A3180" s="39" t="s">
        <v>17</v>
      </c>
      <c r="B3180" s="8">
        <v>2024</v>
      </c>
      <c r="C3180" s="8" t="s">
        <v>109</v>
      </c>
      <c r="D3180" s="9" t="s">
        <v>109</v>
      </c>
      <c r="E3180" s="9" t="s">
        <v>111</v>
      </c>
      <c r="F3180" s="9" t="s">
        <v>111</v>
      </c>
      <c r="I3180" s="9" t="s">
        <v>11</v>
      </c>
      <c r="J3180" s="9" t="s">
        <v>11</v>
      </c>
      <c r="K3180" s="9" t="s">
        <v>82</v>
      </c>
      <c r="L3180" s="9" t="s">
        <v>171</v>
      </c>
      <c r="M3180" t="s">
        <v>2107</v>
      </c>
      <c r="O3180" t="s">
        <v>2140</v>
      </c>
      <c r="P3180" t="s">
        <v>2144</v>
      </c>
      <c r="S3180">
        <v>293</v>
      </c>
      <c r="U3180" s="14" t="s">
        <v>77</v>
      </c>
      <c r="V3180" t="s">
        <v>1720</v>
      </c>
      <c r="X3180" s="43">
        <v>1</v>
      </c>
      <c r="AA3180" s="43"/>
      <c r="AB3180" s="43">
        <v>0.2</v>
      </c>
      <c r="AC3180" s="43">
        <v>0.16200000000000001</v>
      </c>
      <c r="AJ3180" s="13">
        <f t="shared" si="294"/>
        <v>1.3619999999999999</v>
      </c>
      <c r="AK3180">
        <v>0</v>
      </c>
    </row>
    <row r="3181" spans="1:37" ht="19">
      <c r="A3181" s="39" t="s">
        <v>17</v>
      </c>
      <c r="B3181" s="8">
        <v>2024</v>
      </c>
      <c r="C3181" s="8" t="s">
        <v>109</v>
      </c>
      <c r="D3181" s="9" t="s">
        <v>109</v>
      </c>
      <c r="E3181" s="9" t="s">
        <v>111</v>
      </c>
      <c r="F3181" s="9" t="s">
        <v>111</v>
      </c>
      <c r="I3181" s="9" t="s">
        <v>11</v>
      </c>
      <c r="J3181" s="9" t="s">
        <v>11</v>
      </c>
      <c r="K3181" s="9" t="s">
        <v>82</v>
      </c>
      <c r="L3181" s="9" t="s">
        <v>171</v>
      </c>
      <c r="M3181" t="s">
        <v>2107</v>
      </c>
      <c r="O3181" t="s">
        <v>2140</v>
      </c>
      <c r="P3181" t="s">
        <v>2145</v>
      </c>
      <c r="S3181">
        <v>212</v>
      </c>
      <c r="U3181" s="14" t="s">
        <v>77</v>
      </c>
      <c r="V3181" t="s">
        <v>1720</v>
      </c>
      <c r="X3181" s="43">
        <v>1.65</v>
      </c>
      <c r="AA3181" s="43"/>
      <c r="AB3181" s="43">
        <v>0.35</v>
      </c>
      <c r="AC3181" s="43">
        <v>0.11700000000000001</v>
      </c>
      <c r="AJ3181" s="13">
        <f t="shared" si="294"/>
        <v>2.117</v>
      </c>
      <c r="AK3181">
        <v>0</v>
      </c>
    </row>
    <row r="3182" spans="1:37" ht="19">
      <c r="A3182" s="39" t="s">
        <v>17</v>
      </c>
      <c r="B3182" s="8">
        <v>2024</v>
      </c>
      <c r="C3182" s="8" t="s">
        <v>109</v>
      </c>
      <c r="D3182" s="9" t="s">
        <v>109</v>
      </c>
      <c r="E3182" s="9" t="s">
        <v>111</v>
      </c>
      <c r="F3182" s="9" t="s">
        <v>111</v>
      </c>
      <c r="I3182" s="9" t="s">
        <v>11</v>
      </c>
      <c r="J3182" s="9" t="s">
        <v>11</v>
      </c>
      <c r="K3182" s="9" t="s">
        <v>82</v>
      </c>
      <c r="L3182" s="9" t="s">
        <v>171</v>
      </c>
      <c r="M3182" t="s">
        <v>2107</v>
      </c>
      <c r="O3182" t="s">
        <v>2140</v>
      </c>
      <c r="P3182" t="s">
        <v>2146</v>
      </c>
      <c r="S3182">
        <v>248</v>
      </c>
      <c r="U3182" s="14" t="s">
        <v>77</v>
      </c>
      <c r="V3182" t="s">
        <v>1720</v>
      </c>
      <c r="X3182" s="43">
        <v>0.55000000000000004</v>
      </c>
      <c r="AA3182" s="43"/>
      <c r="AB3182" s="43">
        <v>0.15</v>
      </c>
      <c r="AC3182" s="43">
        <v>4.0500000000000001E-2</v>
      </c>
      <c r="AJ3182" s="13">
        <f t="shared" si="294"/>
        <v>0.74050000000000005</v>
      </c>
      <c r="AK3182">
        <v>0</v>
      </c>
    </row>
    <row r="3183" spans="1:37" ht="19">
      <c r="A3183" s="39" t="s">
        <v>17</v>
      </c>
      <c r="B3183" s="8">
        <v>2024</v>
      </c>
      <c r="C3183" s="8" t="s">
        <v>109</v>
      </c>
      <c r="D3183" s="9" t="s">
        <v>109</v>
      </c>
      <c r="E3183" s="9" t="s">
        <v>111</v>
      </c>
      <c r="F3183" s="9" t="s">
        <v>111</v>
      </c>
      <c r="I3183" s="9" t="s">
        <v>11</v>
      </c>
      <c r="J3183" s="9" t="s">
        <v>11</v>
      </c>
      <c r="K3183" s="9" t="s">
        <v>82</v>
      </c>
      <c r="L3183" s="9" t="s">
        <v>171</v>
      </c>
      <c r="M3183" t="s">
        <v>2107</v>
      </c>
      <c r="O3183" t="s">
        <v>2140</v>
      </c>
      <c r="P3183" t="s">
        <v>2147</v>
      </c>
      <c r="S3183">
        <v>183</v>
      </c>
      <c r="U3183" s="14" t="s">
        <v>77</v>
      </c>
      <c r="V3183" t="s">
        <v>1720</v>
      </c>
      <c r="X3183" s="43">
        <v>1.4</v>
      </c>
      <c r="AA3183" s="43"/>
      <c r="AB3183" s="43">
        <v>0.35</v>
      </c>
      <c r="AC3183" s="43">
        <v>9.9000000000000005E-2</v>
      </c>
      <c r="AJ3183" s="13">
        <f t="shared" si="294"/>
        <v>1.849</v>
      </c>
      <c r="AK3183">
        <v>0</v>
      </c>
    </row>
    <row r="3184" spans="1:37" ht="19">
      <c r="A3184" s="39" t="s">
        <v>17</v>
      </c>
      <c r="B3184" s="8">
        <v>2024</v>
      </c>
      <c r="C3184" s="8" t="s">
        <v>109</v>
      </c>
      <c r="D3184" s="9" t="s">
        <v>109</v>
      </c>
      <c r="E3184" s="9" t="s">
        <v>111</v>
      </c>
      <c r="F3184" s="9" t="s">
        <v>111</v>
      </c>
      <c r="I3184" s="9" t="s">
        <v>11</v>
      </c>
      <c r="J3184" s="9" t="s">
        <v>11</v>
      </c>
      <c r="K3184" s="9" t="s">
        <v>82</v>
      </c>
      <c r="L3184" s="9" t="s">
        <v>171</v>
      </c>
      <c r="M3184" t="s">
        <v>2107</v>
      </c>
      <c r="O3184" t="s">
        <v>2140</v>
      </c>
      <c r="P3184" t="s">
        <v>2148</v>
      </c>
      <c r="S3184">
        <v>200</v>
      </c>
      <c r="U3184" s="14" t="s">
        <v>77</v>
      </c>
      <c r="V3184" t="s">
        <v>1720</v>
      </c>
      <c r="X3184" s="43">
        <v>0.85</v>
      </c>
      <c r="AA3184" s="43"/>
      <c r="AB3184" s="43">
        <v>0.15</v>
      </c>
      <c r="AC3184" s="43">
        <v>5.8500000000000003E-2</v>
      </c>
      <c r="AJ3184" s="13">
        <f t="shared" si="294"/>
        <v>1.0585</v>
      </c>
      <c r="AK3184">
        <v>0</v>
      </c>
    </row>
    <row r="3185" spans="1:37" ht="19">
      <c r="A3185" s="39" t="s">
        <v>17</v>
      </c>
      <c r="B3185" s="8">
        <v>2024</v>
      </c>
      <c r="C3185" s="8" t="s">
        <v>109</v>
      </c>
      <c r="D3185" s="9" t="s">
        <v>109</v>
      </c>
      <c r="E3185" s="9" t="s">
        <v>111</v>
      </c>
      <c r="F3185" s="9" t="s">
        <v>111</v>
      </c>
      <c r="I3185" s="9" t="s">
        <v>11</v>
      </c>
      <c r="J3185" s="9" t="s">
        <v>11</v>
      </c>
      <c r="K3185" s="9" t="s">
        <v>82</v>
      </c>
      <c r="L3185" s="9" t="s">
        <v>171</v>
      </c>
      <c r="M3185" t="s">
        <v>2107</v>
      </c>
      <c r="O3185" t="s">
        <v>2140</v>
      </c>
      <c r="P3185" t="s">
        <v>2149</v>
      </c>
      <c r="S3185">
        <v>539</v>
      </c>
      <c r="U3185" s="14" t="s">
        <v>77</v>
      </c>
      <c r="V3185" t="s">
        <v>1720</v>
      </c>
      <c r="X3185" s="43">
        <v>4.1500000000000004</v>
      </c>
      <c r="AA3185" s="43"/>
      <c r="AB3185" s="43">
        <v>0.9</v>
      </c>
      <c r="AC3185" s="43">
        <v>0.29699999999999999</v>
      </c>
      <c r="AJ3185" s="13">
        <f t="shared" si="294"/>
        <v>5.3470000000000004</v>
      </c>
      <c r="AK3185">
        <v>0</v>
      </c>
    </row>
    <row r="3186" spans="1:37" ht="19">
      <c r="A3186" s="39" t="s">
        <v>17</v>
      </c>
      <c r="B3186" s="8">
        <v>2024</v>
      </c>
      <c r="C3186" s="8" t="s">
        <v>109</v>
      </c>
      <c r="D3186" s="9" t="s">
        <v>109</v>
      </c>
      <c r="E3186" s="9" t="s">
        <v>111</v>
      </c>
      <c r="F3186" s="9" t="s">
        <v>111</v>
      </c>
      <c r="I3186" s="9" t="s">
        <v>11</v>
      </c>
      <c r="J3186" s="9" t="s">
        <v>11</v>
      </c>
      <c r="K3186" s="9" t="s">
        <v>82</v>
      </c>
      <c r="L3186" s="9" t="s">
        <v>171</v>
      </c>
      <c r="M3186" t="s">
        <v>2107</v>
      </c>
      <c r="O3186" t="s">
        <v>2140</v>
      </c>
      <c r="P3186" t="s">
        <v>2150</v>
      </c>
      <c r="S3186">
        <v>181</v>
      </c>
      <c r="U3186" t="s">
        <v>112</v>
      </c>
      <c r="V3186" t="s">
        <v>1484</v>
      </c>
      <c r="X3186" s="43">
        <v>1.4</v>
      </c>
      <c r="AA3186" s="43"/>
      <c r="AB3186" s="43">
        <v>0.1</v>
      </c>
      <c r="AC3186" s="43">
        <v>9.9000000000000005E-2</v>
      </c>
      <c r="AK3186">
        <v>3997928</v>
      </c>
    </row>
    <row r="3187" spans="1:37" ht="19">
      <c r="A3187" s="39" t="s">
        <v>17</v>
      </c>
      <c r="B3187" s="8">
        <v>2024</v>
      </c>
      <c r="C3187" s="8" t="s">
        <v>109</v>
      </c>
      <c r="D3187" s="9" t="s">
        <v>109</v>
      </c>
      <c r="E3187" s="9" t="s">
        <v>111</v>
      </c>
      <c r="F3187" s="9" t="s">
        <v>111</v>
      </c>
      <c r="I3187" s="9" t="s">
        <v>11</v>
      </c>
      <c r="J3187" s="9" t="s">
        <v>11</v>
      </c>
      <c r="K3187" s="9" t="s">
        <v>82</v>
      </c>
      <c r="L3187" s="9" t="s">
        <v>171</v>
      </c>
      <c r="M3187" t="s">
        <v>2107</v>
      </c>
      <c r="O3187" t="s">
        <v>2140</v>
      </c>
      <c r="P3187" t="s">
        <v>2151</v>
      </c>
      <c r="S3187">
        <v>194</v>
      </c>
      <c r="U3187" t="s">
        <v>112</v>
      </c>
      <c r="V3187" t="s">
        <v>1484</v>
      </c>
      <c r="X3187" s="43">
        <v>1.5</v>
      </c>
      <c r="AA3187" s="43"/>
      <c r="AB3187" s="43">
        <v>0.1</v>
      </c>
      <c r="AC3187" s="43">
        <v>0.108</v>
      </c>
      <c r="AK3187">
        <v>4285072</v>
      </c>
    </row>
    <row r="3188" spans="1:37" ht="19">
      <c r="A3188" s="39" t="s">
        <v>17</v>
      </c>
      <c r="B3188" s="8">
        <v>2024</v>
      </c>
      <c r="C3188" s="8" t="s">
        <v>109</v>
      </c>
      <c r="D3188" s="9" t="s">
        <v>109</v>
      </c>
      <c r="E3188" s="9" t="s">
        <v>111</v>
      </c>
      <c r="F3188" s="9" t="s">
        <v>111</v>
      </c>
      <c r="I3188" s="9" t="s">
        <v>11</v>
      </c>
      <c r="J3188" s="9" t="s">
        <v>11</v>
      </c>
      <c r="K3188" s="9" t="s">
        <v>82</v>
      </c>
      <c r="L3188" s="9" t="s">
        <v>171</v>
      </c>
      <c r="M3188" t="s">
        <v>2107</v>
      </c>
      <c r="O3188" t="s">
        <v>2140</v>
      </c>
      <c r="P3188" t="s">
        <v>2152</v>
      </c>
      <c r="S3188">
        <v>258</v>
      </c>
      <c r="U3188" t="s">
        <v>112</v>
      </c>
      <c r="V3188" t="s">
        <v>1484</v>
      </c>
      <c r="X3188" s="43">
        <v>2</v>
      </c>
      <c r="AA3188" s="43"/>
      <c r="AB3188" s="43">
        <v>0.1</v>
      </c>
      <c r="AC3188" s="43">
        <v>0.14399999999999999</v>
      </c>
      <c r="AK3188">
        <v>5698704</v>
      </c>
    </row>
    <row r="3189" spans="1:37" ht="19">
      <c r="A3189" s="39" t="s">
        <v>17</v>
      </c>
      <c r="B3189" s="8">
        <v>2024</v>
      </c>
      <c r="C3189" s="8" t="s">
        <v>109</v>
      </c>
      <c r="D3189" s="9" t="s">
        <v>109</v>
      </c>
      <c r="E3189" s="9" t="s">
        <v>111</v>
      </c>
      <c r="F3189" s="9" t="s">
        <v>111</v>
      </c>
      <c r="I3189" s="9" t="s">
        <v>11</v>
      </c>
      <c r="J3189" s="9" t="s">
        <v>11</v>
      </c>
      <c r="K3189" s="9" t="s">
        <v>82</v>
      </c>
      <c r="L3189" s="9" t="s">
        <v>171</v>
      </c>
      <c r="M3189" t="s">
        <v>2107</v>
      </c>
      <c r="O3189" t="s">
        <v>2140</v>
      </c>
      <c r="P3189" t="s">
        <v>2153</v>
      </c>
      <c r="S3189">
        <v>634</v>
      </c>
      <c r="U3189" t="s">
        <v>112</v>
      </c>
      <c r="V3189" t="s">
        <v>1484</v>
      </c>
      <c r="X3189" s="43">
        <v>4.9000000000000004</v>
      </c>
      <c r="AA3189" s="43"/>
      <c r="AB3189" s="43">
        <v>0.25</v>
      </c>
      <c r="AC3189" s="43">
        <v>0.34649999999999997</v>
      </c>
      <c r="AK3189">
        <v>14003792</v>
      </c>
    </row>
    <row r="3190" spans="1:37" ht="19">
      <c r="A3190" s="39" t="s">
        <v>17</v>
      </c>
      <c r="B3190" s="8">
        <v>2024</v>
      </c>
      <c r="C3190" s="8" t="s">
        <v>109</v>
      </c>
      <c r="D3190" s="9" t="s">
        <v>109</v>
      </c>
      <c r="E3190" s="9" t="s">
        <v>111</v>
      </c>
      <c r="F3190" s="9" t="s">
        <v>111</v>
      </c>
      <c r="I3190" s="9" t="s">
        <v>11</v>
      </c>
      <c r="J3190" s="9" t="s">
        <v>11</v>
      </c>
      <c r="K3190" s="9" t="s">
        <v>82</v>
      </c>
      <c r="L3190" s="9" t="s">
        <v>171</v>
      </c>
      <c r="M3190" t="s">
        <v>2107</v>
      </c>
      <c r="O3190" t="s">
        <v>2140</v>
      </c>
      <c r="P3190" t="s">
        <v>2154</v>
      </c>
      <c r="S3190">
        <v>163</v>
      </c>
      <c r="U3190" t="s">
        <v>112</v>
      </c>
      <c r="V3190" t="s">
        <v>1484</v>
      </c>
      <c r="X3190" s="43">
        <v>1.25</v>
      </c>
      <c r="AA3190" s="43"/>
      <c r="AB3190" s="43">
        <v>0.1</v>
      </c>
      <c r="AC3190" s="43">
        <v>0.09</v>
      </c>
      <c r="AK3190">
        <v>3600344</v>
      </c>
    </row>
    <row r="3191" spans="1:37" ht="19">
      <c r="A3191" s="39" t="s">
        <v>17</v>
      </c>
      <c r="B3191" s="8">
        <v>2024</v>
      </c>
      <c r="C3191" s="8" t="s">
        <v>109</v>
      </c>
      <c r="D3191" s="9" t="s">
        <v>109</v>
      </c>
      <c r="E3191" s="9" t="s">
        <v>111</v>
      </c>
      <c r="F3191" s="9" t="s">
        <v>111</v>
      </c>
      <c r="I3191" s="9" t="s">
        <v>11</v>
      </c>
      <c r="J3191" s="9" t="s">
        <v>11</v>
      </c>
      <c r="K3191" s="9" t="s">
        <v>82</v>
      </c>
      <c r="L3191" s="9" t="s">
        <v>171</v>
      </c>
      <c r="M3191" t="s">
        <v>2107</v>
      </c>
      <c r="O3191" t="s">
        <v>2140</v>
      </c>
      <c r="P3191" t="s">
        <v>2140</v>
      </c>
      <c r="S3191">
        <v>532</v>
      </c>
      <c r="U3191" s="14" t="s">
        <v>77</v>
      </c>
      <c r="V3191" t="s">
        <v>1720</v>
      </c>
      <c r="X3191" s="43">
        <v>1.85</v>
      </c>
      <c r="AA3191" s="43"/>
      <c r="AB3191" s="43">
        <v>0.4</v>
      </c>
      <c r="AC3191" s="43">
        <v>0.1305</v>
      </c>
      <c r="AJ3191" s="13">
        <f t="shared" ref="AJ3191:AJ3200" si="295">SUBTOTAL(9,X3191:AI3191)</f>
        <v>2.3805000000000001</v>
      </c>
      <c r="AK3191">
        <v>0</v>
      </c>
    </row>
    <row r="3192" spans="1:37" ht="19">
      <c r="A3192" s="39" t="s">
        <v>17</v>
      </c>
      <c r="B3192" s="8">
        <v>2024</v>
      </c>
      <c r="C3192" s="8" t="s">
        <v>109</v>
      </c>
      <c r="D3192" s="9" t="s">
        <v>109</v>
      </c>
      <c r="E3192" s="9" t="s">
        <v>111</v>
      </c>
      <c r="F3192" s="9" t="s">
        <v>111</v>
      </c>
      <c r="I3192" s="9" t="s">
        <v>11</v>
      </c>
      <c r="J3192" s="9" t="s">
        <v>11</v>
      </c>
      <c r="K3192" s="9" t="s">
        <v>82</v>
      </c>
      <c r="L3192" s="9" t="s">
        <v>171</v>
      </c>
      <c r="M3192" t="s">
        <v>2107</v>
      </c>
      <c r="O3192" t="s">
        <v>2140</v>
      </c>
      <c r="P3192" t="s">
        <v>797</v>
      </c>
      <c r="S3192">
        <v>208</v>
      </c>
      <c r="U3192" s="14" t="s">
        <v>77</v>
      </c>
      <c r="V3192" t="s">
        <v>1720</v>
      </c>
      <c r="X3192" s="43">
        <v>0.7</v>
      </c>
      <c r="AA3192" s="43"/>
      <c r="AB3192" s="43">
        <v>0.1</v>
      </c>
      <c r="AC3192" s="43">
        <v>4.4999999999999998E-2</v>
      </c>
      <c r="AJ3192" s="13">
        <f t="shared" si="295"/>
        <v>0.84499999999999997</v>
      </c>
      <c r="AK3192">
        <v>0</v>
      </c>
    </row>
    <row r="3193" spans="1:37" ht="19">
      <c r="A3193" s="39" t="s">
        <v>17</v>
      </c>
      <c r="B3193" s="8">
        <v>2024</v>
      </c>
      <c r="C3193" s="8" t="s">
        <v>109</v>
      </c>
      <c r="D3193" s="9" t="s">
        <v>109</v>
      </c>
      <c r="E3193" s="9" t="s">
        <v>111</v>
      </c>
      <c r="F3193" s="9" t="s">
        <v>111</v>
      </c>
      <c r="I3193" s="9" t="s">
        <v>11</v>
      </c>
      <c r="J3193" s="9" t="s">
        <v>11</v>
      </c>
      <c r="K3193" s="9" t="s">
        <v>82</v>
      </c>
      <c r="L3193" s="9" t="s">
        <v>171</v>
      </c>
      <c r="M3193" t="s">
        <v>2107</v>
      </c>
      <c r="O3193" t="s">
        <v>2140</v>
      </c>
      <c r="P3193" t="s">
        <v>2155</v>
      </c>
      <c r="S3193">
        <v>211</v>
      </c>
      <c r="U3193" s="14" t="s">
        <v>77</v>
      </c>
      <c r="V3193" t="s">
        <v>1720</v>
      </c>
      <c r="X3193" s="43">
        <v>0.8</v>
      </c>
      <c r="AA3193" s="43"/>
      <c r="AB3193" s="43">
        <v>0.15</v>
      </c>
      <c r="AC3193" s="43">
        <v>5.8500000000000003E-2</v>
      </c>
      <c r="AJ3193" s="13">
        <f t="shared" si="295"/>
        <v>1.0085000000000002</v>
      </c>
      <c r="AK3193">
        <v>0</v>
      </c>
    </row>
    <row r="3194" spans="1:37" ht="19">
      <c r="A3194" s="39" t="s">
        <v>17</v>
      </c>
      <c r="B3194" s="8">
        <v>2024</v>
      </c>
      <c r="C3194" s="8" t="s">
        <v>109</v>
      </c>
      <c r="D3194" s="9" t="s">
        <v>109</v>
      </c>
      <c r="E3194" s="9" t="s">
        <v>111</v>
      </c>
      <c r="F3194" s="9" t="s">
        <v>111</v>
      </c>
      <c r="I3194" s="9" t="s">
        <v>11</v>
      </c>
      <c r="J3194" s="9" t="s">
        <v>11</v>
      </c>
      <c r="K3194" s="9" t="s">
        <v>82</v>
      </c>
      <c r="L3194" s="9" t="s">
        <v>171</v>
      </c>
      <c r="M3194" t="s">
        <v>2107</v>
      </c>
      <c r="O3194" t="s">
        <v>2140</v>
      </c>
      <c r="P3194" t="s">
        <v>1125</v>
      </c>
      <c r="S3194">
        <v>256</v>
      </c>
      <c r="U3194" s="14" t="s">
        <v>77</v>
      </c>
      <c r="V3194" t="s">
        <v>1720</v>
      </c>
      <c r="X3194" s="43">
        <v>1.95</v>
      </c>
      <c r="AA3194" s="43"/>
      <c r="AB3194" s="43">
        <v>0.45</v>
      </c>
      <c r="AC3194" s="43">
        <v>0.13950000000000001</v>
      </c>
      <c r="AJ3194" s="13">
        <f t="shared" si="295"/>
        <v>2.5394999999999999</v>
      </c>
      <c r="AK3194">
        <v>0</v>
      </c>
    </row>
    <row r="3195" spans="1:37" ht="19">
      <c r="A3195" s="39" t="s">
        <v>17</v>
      </c>
      <c r="B3195" s="8">
        <v>2024</v>
      </c>
      <c r="C3195" s="8" t="s">
        <v>109</v>
      </c>
      <c r="D3195" s="9" t="s">
        <v>109</v>
      </c>
      <c r="E3195" s="9" t="s">
        <v>111</v>
      </c>
      <c r="F3195" s="9" t="s">
        <v>111</v>
      </c>
      <c r="I3195" s="9" t="s">
        <v>11</v>
      </c>
      <c r="J3195" s="9" t="s">
        <v>11</v>
      </c>
      <c r="K3195" s="9" t="s">
        <v>82</v>
      </c>
      <c r="L3195" s="9" t="s">
        <v>171</v>
      </c>
      <c r="M3195" t="s">
        <v>2107</v>
      </c>
      <c r="O3195" t="s">
        <v>2140</v>
      </c>
      <c r="P3195" t="s">
        <v>2156</v>
      </c>
      <c r="S3195">
        <v>233</v>
      </c>
      <c r="U3195" s="14" t="s">
        <v>77</v>
      </c>
      <c r="V3195" t="s">
        <v>1720</v>
      </c>
      <c r="X3195" s="43">
        <v>1.8</v>
      </c>
      <c r="AA3195" s="43"/>
      <c r="AB3195" s="43">
        <v>0.4</v>
      </c>
      <c r="AC3195" s="43">
        <v>0.126</v>
      </c>
      <c r="AJ3195" s="13">
        <f t="shared" si="295"/>
        <v>2.3260000000000001</v>
      </c>
      <c r="AK3195">
        <v>0</v>
      </c>
    </row>
    <row r="3196" spans="1:37" ht="19">
      <c r="A3196" s="39" t="s">
        <v>17</v>
      </c>
      <c r="B3196" s="8">
        <v>2024</v>
      </c>
      <c r="C3196" s="8" t="s">
        <v>109</v>
      </c>
      <c r="D3196" s="9" t="s">
        <v>109</v>
      </c>
      <c r="E3196" s="9" t="s">
        <v>111</v>
      </c>
      <c r="F3196" s="9" t="s">
        <v>111</v>
      </c>
      <c r="I3196" s="9" t="s">
        <v>11</v>
      </c>
      <c r="J3196" s="9" t="s">
        <v>11</v>
      </c>
      <c r="K3196" s="9" t="s">
        <v>82</v>
      </c>
      <c r="L3196" s="9" t="s">
        <v>171</v>
      </c>
      <c r="M3196" t="s">
        <v>2107</v>
      </c>
      <c r="O3196" t="s">
        <v>2140</v>
      </c>
      <c r="P3196" t="s">
        <v>2157</v>
      </c>
      <c r="S3196">
        <v>320</v>
      </c>
      <c r="U3196" s="14" t="s">
        <v>77</v>
      </c>
      <c r="V3196" t="s">
        <v>1720</v>
      </c>
      <c r="X3196" s="43">
        <v>2.4500000000000002</v>
      </c>
      <c r="AA3196" s="43"/>
      <c r="AB3196" s="43">
        <v>0.55000000000000004</v>
      </c>
      <c r="AC3196" s="43">
        <v>0.17549999999999999</v>
      </c>
      <c r="AJ3196" s="13">
        <f t="shared" si="295"/>
        <v>3.1755</v>
      </c>
      <c r="AK3196">
        <v>0</v>
      </c>
    </row>
    <row r="3197" spans="1:37" ht="19">
      <c r="A3197" s="39" t="s">
        <v>17</v>
      </c>
      <c r="B3197" s="8">
        <v>2024</v>
      </c>
      <c r="C3197" s="8" t="s">
        <v>109</v>
      </c>
      <c r="D3197" s="9" t="s">
        <v>109</v>
      </c>
      <c r="E3197" s="9" t="s">
        <v>111</v>
      </c>
      <c r="F3197" s="9" t="s">
        <v>111</v>
      </c>
      <c r="I3197" s="9" t="s">
        <v>11</v>
      </c>
      <c r="J3197" s="9" t="s">
        <v>11</v>
      </c>
      <c r="K3197" s="9" t="s">
        <v>82</v>
      </c>
      <c r="L3197" s="9" t="s">
        <v>171</v>
      </c>
      <c r="M3197" t="s">
        <v>2107</v>
      </c>
      <c r="O3197" t="s">
        <v>2140</v>
      </c>
      <c r="P3197" t="s">
        <v>2158</v>
      </c>
      <c r="S3197">
        <v>208</v>
      </c>
      <c r="U3197" s="14" t="s">
        <v>77</v>
      </c>
      <c r="V3197" t="s">
        <v>1720</v>
      </c>
      <c r="X3197" s="43">
        <v>1.6</v>
      </c>
      <c r="AA3197" s="43"/>
      <c r="AB3197" s="43">
        <v>0.35</v>
      </c>
      <c r="AC3197" s="43">
        <v>0.1125</v>
      </c>
      <c r="AJ3197" s="13">
        <f t="shared" si="295"/>
        <v>2.0625</v>
      </c>
      <c r="AK3197">
        <v>0</v>
      </c>
    </row>
    <row r="3198" spans="1:37" ht="19">
      <c r="A3198" s="39" t="s">
        <v>17</v>
      </c>
      <c r="B3198" s="8">
        <v>2024</v>
      </c>
      <c r="C3198" s="8" t="s">
        <v>109</v>
      </c>
      <c r="D3198" s="9" t="s">
        <v>109</v>
      </c>
      <c r="E3198" s="9" t="s">
        <v>111</v>
      </c>
      <c r="F3198" s="9" t="s">
        <v>111</v>
      </c>
      <c r="I3198" s="9" t="s">
        <v>11</v>
      </c>
      <c r="J3198" s="9" t="s">
        <v>11</v>
      </c>
      <c r="K3198" s="9" t="s">
        <v>82</v>
      </c>
      <c r="L3198" s="9" t="s">
        <v>171</v>
      </c>
      <c r="M3198" t="s">
        <v>2107</v>
      </c>
      <c r="O3198" t="s">
        <v>2140</v>
      </c>
      <c r="P3198" t="s">
        <v>2159</v>
      </c>
      <c r="S3198">
        <v>208</v>
      </c>
      <c r="U3198" s="14" t="s">
        <v>77</v>
      </c>
      <c r="V3198" t="s">
        <v>1720</v>
      </c>
      <c r="X3198" s="43">
        <v>0.75</v>
      </c>
      <c r="AA3198" s="43"/>
      <c r="AB3198" s="43">
        <v>0.15</v>
      </c>
      <c r="AC3198" s="43">
        <v>4.9500000000000002E-2</v>
      </c>
      <c r="AJ3198" s="13">
        <f t="shared" si="295"/>
        <v>0.94950000000000001</v>
      </c>
      <c r="AK3198">
        <v>0</v>
      </c>
    </row>
    <row r="3199" spans="1:37" ht="19">
      <c r="A3199" s="39" t="s">
        <v>17</v>
      </c>
      <c r="B3199" s="8">
        <v>2024</v>
      </c>
      <c r="C3199" s="8" t="s">
        <v>109</v>
      </c>
      <c r="D3199" s="9" t="s">
        <v>109</v>
      </c>
      <c r="E3199" s="9" t="s">
        <v>111</v>
      </c>
      <c r="F3199" s="9" t="s">
        <v>111</v>
      </c>
      <c r="I3199" s="9" t="s">
        <v>11</v>
      </c>
      <c r="J3199" s="9" t="s">
        <v>11</v>
      </c>
      <c r="K3199" s="9" t="s">
        <v>82</v>
      </c>
      <c r="L3199" s="9" t="s">
        <v>171</v>
      </c>
      <c r="M3199" t="s">
        <v>2107</v>
      </c>
      <c r="O3199" t="s">
        <v>2160</v>
      </c>
      <c r="P3199" t="s">
        <v>2161</v>
      </c>
      <c r="S3199">
        <v>303</v>
      </c>
      <c r="U3199" s="14" t="s">
        <v>77</v>
      </c>
      <c r="V3199" t="s">
        <v>1720</v>
      </c>
      <c r="X3199" s="43">
        <v>2.35</v>
      </c>
      <c r="AA3199" s="43"/>
      <c r="AB3199" s="43">
        <v>0.5</v>
      </c>
      <c r="AC3199" s="43">
        <v>0.16650000000000001</v>
      </c>
      <c r="AJ3199" s="13">
        <f t="shared" si="295"/>
        <v>3.0165000000000002</v>
      </c>
      <c r="AK3199">
        <v>0</v>
      </c>
    </row>
    <row r="3200" spans="1:37" ht="19">
      <c r="A3200" s="39" t="s">
        <v>17</v>
      </c>
      <c r="B3200" s="8">
        <v>2024</v>
      </c>
      <c r="C3200" s="8" t="s">
        <v>109</v>
      </c>
      <c r="D3200" s="9" t="s">
        <v>109</v>
      </c>
      <c r="E3200" s="9" t="s">
        <v>111</v>
      </c>
      <c r="F3200" s="9" t="s">
        <v>111</v>
      </c>
      <c r="I3200" s="9" t="s">
        <v>11</v>
      </c>
      <c r="J3200" s="9" t="s">
        <v>11</v>
      </c>
      <c r="K3200" s="9" t="s">
        <v>82</v>
      </c>
      <c r="L3200" s="9" t="s">
        <v>171</v>
      </c>
      <c r="M3200" t="s">
        <v>2107</v>
      </c>
      <c r="O3200" t="s">
        <v>2160</v>
      </c>
      <c r="P3200" t="s">
        <v>2162</v>
      </c>
      <c r="S3200">
        <v>174</v>
      </c>
      <c r="U3200" s="14" t="s">
        <v>77</v>
      </c>
      <c r="V3200" t="s">
        <v>1720</v>
      </c>
      <c r="X3200" s="43">
        <v>1.35</v>
      </c>
      <c r="AA3200" s="43"/>
      <c r="AB3200" s="43">
        <v>0.3</v>
      </c>
      <c r="AC3200" s="43">
        <v>9.4500000000000001E-2</v>
      </c>
      <c r="AJ3200" s="13">
        <f t="shared" si="295"/>
        <v>1.7445000000000002</v>
      </c>
      <c r="AK3200">
        <v>0</v>
      </c>
    </row>
    <row r="3201" spans="1:37" ht="19">
      <c r="A3201" s="39" t="s">
        <v>17</v>
      </c>
      <c r="B3201" s="8">
        <v>2024</v>
      </c>
      <c r="C3201" s="8" t="s">
        <v>109</v>
      </c>
      <c r="D3201" s="9" t="s">
        <v>109</v>
      </c>
      <c r="E3201" s="9" t="s">
        <v>111</v>
      </c>
      <c r="F3201" s="9" t="s">
        <v>111</v>
      </c>
      <c r="I3201" s="9" t="s">
        <v>11</v>
      </c>
      <c r="J3201" s="9" t="s">
        <v>11</v>
      </c>
      <c r="K3201" s="9" t="s">
        <v>82</v>
      </c>
      <c r="L3201" s="9" t="s">
        <v>171</v>
      </c>
      <c r="M3201" t="s">
        <v>2107</v>
      </c>
      <c r="O3201" t="s">
        <v>2160</v>
      </c>
      <c r="P3201" t="s">
        <v>2163</v>
      </c>
      <c r="S3201">
        <v>140</v>
      </c>
      <c r="U3201" t="s">
        <v>112</v>
      </c>
      <c r="V3201" t="s">
        <v>1484</v>
      </c>
      <c r="X3201" s="43">
        <v>1.1000000000000001</v>
      </c>
      <c r="AA3201" s="43"/>
      <c r="AB3201" s="43">
        <v>0.05</v>
      </c>
      <c r="AC3201" s="43">
        <v>7.6499999999999999E-2</v>
      </c>
      <c r="AK3201">
        <v>3092320</v>
      </c>
    </row>
    <row r="3202" spans="1:37" ht="19">
      <c r="A3202" s="39" t="s">
        <v>17</v>
      </c>
      <c r="B3202" s="8">
        <v>2024</v>
      </c>
      <c r="C3202" s="8" t="s">
        <v>109</v>
      </c>
      <c r="D3202" s="9" t="s">
        <v>109</v>
      </c>
      <c r="E3202" s="9" t="s">
        <v>111</v>
      </c>
      <c r="F3202" s="9" t="s">
        <v>111</v>
      </c>
      <c r="I3202" s="9" t="s">
        <v>11</v>
      </c>
      <c r="J3202" s="9" t="s">
        <v>11</v>
      </c>
      <c r="K3202" s="9" t="s">
        <v>82</v>
      </c>
      <c r="L3202" s="9" t="s">
        <v>171</v>
      </c>
      <c r="M3202" t="s">
        <v>2107</v>
      </c>
      <c r="O3202" t="s">
        <v>2160</v>
      </c>
      <c r="P3202" t="s">
        <v>2164</v>
      </c>
      <c r="S3202">
        <v>174</v>
      </c>
      <c r="U3202" t="s">
        <v>112</v>
      </c>
      <c r="V3202" t="s">
        <v>1484</v>
      </c>
      <c r="X3202" s="43">
        <v>1.35</v>
      </c>
      <c r="AA3202" s="43"/>
      <c r="AB3202" s="43">
        <v>0.1</v>
      </c>
      <c r="AC3202" s="43">
        <v>9.4500000000000001E-2</v>
      </c>
      <c r="AK3202">
        <v>3843312</v>
      </c>
    </row>
    <row r="3203" spans="1:37" ht="19">
      <c r="A3203" s="39" t="s">
        <v>17</v>
      </c>
      <c r="B3203" s="8">
        <v>2024</v>
      </c>
      <c r="C3203" s="8" t="s">
        <v>109</v>
      </c>
      <c r="D3203" s="9" t="s">
        <v>109</v>
      </c>
      <c r="E3203" s="9" t="s">
        <v>111</v>
      </c>
      <c r="F3203" s="9" t="s">
        <v>111</v>
      </c>
      <c r="I3203" s="9" t="s">
        <v>11</v>
      </c>
      <c r="J3203" s="9" t="s">
        <v>11</v>
      </c>
      <c r="K3203" s="9" t="s">
        <v>82</v>
      </c>
      <c r="L3203" s="9" t="s">
        <v>171</v>
      </c>
      <c r="M3203" t="s">
        <v>2107</v>
      </c>
      <c r="O3203" t="s">
        <v>2160</v>
      </c>
      <c r="P3203" t="s">
        <v>2165</v>
      </c>
      <c r="S3203">
        <v>237</v>
      </c>
      <c r="U3203" t="s">
        <v>112</v>
      </c>
      <c r="V3203" t="s">
        <v>1484</v>
      </c>
      <c r="X3203" s="43">
        <v>1.8</v>
      </c>
      <c r="AA3203" s="43"/>
      <c r="AB3203" s="43">
        <v>0.1</v>
      </c>
      <c r="AC3203" s="43">
        <v>0.1305</v>
      </c>
      <c r="AK3203">
        <v>5234856</v>
      </c>
    </row>
    <row r="3204" spans="1:37" ht="19">
      <c r="A3204" s="39" t="s">
        <v>17</v>
      </c>
      <c r="B3204" s="8">
        <v>2024</v>
      </c>
      <c r="C3204" s="8" t="s">
        <v>109</v>
      </c>
      <c r="D3204" s="9" t="s">
        <v>109</v>
      </c>
      <c r="E3204" s="9" t="s">
        <v>111</v>
      </c>
      <c r="F3204" s="9" t="s">
        <v>111</v>
      </c>
      <c r="I3204" s="9" t="s">
        <v>11</v>
      </c>
      <c r="J3204" s="9" t="s">
        <v>11</v>
      </c>
      <c r="K3204" s="9" t="s">
        <v>82</v>
      </c>
      <c r="L3204" s="9" t="s">
        <v>171</v>
      </c>
      <c r="M3204" t="s">
        <v>2107</v>
      </c>
      <c r="O3204" t="s">
        <v>2160</v>
      </c>
      <c r="P3204" t="s">
        <v>2166</v>
      </c>
      <c r="S3204">
        <v>234</v>
      </c>
      <c r="U3204" s="14" t="s">
        <v>77</v>
      </c>
      <c r="V3204" t="s">
        <v>1720</v>
      </c>
      <c r="X3204" s="43">
        <v>0.9</v>
      </c>
      <c r="AA3204" s="43"/>
      <c r="AB3204" s="43">
        <v>0.2</v>
      </c>
      <c r="AC3204" s="43">
        <v>6.7500000000000004E-2</v>
      </c>
      <c r="AJ3204" s="13">
        <f t="shared" ref="AJ3204:AJ3206" si="296">SUBTOTAL(9,X3204:AI3204)</f>
        <v>1.1675</v>
      </c>
      <c r="AK3204">
        <v>0</v>
      </c>
    </row>
    <row r="3205" spans="1:37" ht="19">
      <c r="A3205" s="39" t="s">
        <v>17</v>
      </c>
      <c r="B3205" s="8">
        <v>2024</v>
      </c>
      <c r="C3205" s="8" t="s">
        <v>109</v>
      </c>
      <c r="D3205" s="9" t="s">
        <v>109</v>
      </c>
      <c r="E3205" s="9" t="s">
        <v>111</v>
      </c>
      <c r="F3205" s="9" t="s">
        <v>111</v>
      </c>
      <c r="I3205" s="9" t="s">
        <v>11</v>
      </c>
      <c r="J3205" s="9" t="s">
        <v>11</v>
      </c>
      <c r="K3205" s="9" t="s">
        <v>82</v>
      </c>
      <c r="L3205" s="9" t="s">
        <v>171</v>
      </c>
      <c r="M3205" t="s">
        <v>2107</v>
      </c>
      <c r="O3205" t="s">
        <v>283</v>
      </c>
      <c r="P3205" t="s">
        <v>2167</v>
      </c>
      <c r="S3205">
        <v>124</v>
      </c>
      <c r="U3205" s="14" t="s">
        <v>77</v>
      </c>
      <c r="V3205" t="s">
        <v>1720</v>
      </c>
      <c r="X3205" s="43">
        <v>0.85</v>
      </c>
      <c r="AA3205" s="43"/>
      <c r="AB3205" s="43">
        <v>0.15</v>
      </c>
      <c r="AC3205" s="43">
        <v>6.3E-2</v>
      </c>
      <c r="AJ3205" s="13">
        <f t="shared" si="296"/>
        <v>1.0629999999999999</v>
      </c>
      <c r="AK3205">
        <v>0</v>
      </c>
    </row>
    <row r="3206" spans="1:37" ht="19">
      <c r="A3206" s="39" t="s">
        <v>17</v>
      </c>
      <c r="B3206" s="8">
        <v>2024</v>
      </c>
      <c r="C3206" s="8" t="s">
        <v>109</v>
      </c>
      <c r="D3206" s="9" t="s">
        <v>109</v>
      </c>
      <c r="E3206" s="9" t="s">
        <v>111</v>
      </c>
      <c r="F3206" s="9" t="s">
        <v>111</v>
      </c>
      <c r="I3206" s="9" t="s">
        <v>11</v>
      </c>
      <c r="J3206" s="9" t="s">
        <v>11</v>
      </c>
      <c r="K3206" s="9" t="s">
        <v>82</v>
      </c>
      <c r="L3206" s="9" t="s">
        <v>171</v>
      </c>
      <c r="M3206" t="s">
        <v>2107</v>
      </c>
      <c r="O3206" t="s">
        <v>283</v>
      </c>
      <c r="P3206" t="s">
        <v>1929</v>
      </c>
      <c r="S3206">
        <v>505</v>
      </c>
      <c r="U3206" s="14" t="s">
        <v>77</v>
      </c>
      <c r="V3206" t="s">
        <v>1720</v>
      </c>
      <c r="X3206" s="43">
        <v>3.9</v>
      </c>
      <c r="AA3206" s="43"/>
      <c r="AB3206" s="43">
        <v>0.85</v>
      </c>
      <c r="AC3206" s="43">
        <v>0.27900000000000003</v>
      </c>
      <c r="AJ3206" s="13">
        <f t="shared" si="296"/>
        <v>5.0289999999999999</v>
      </c>
      <c r="AK3206">
        <v>0</v>
      </c>
    </row>
    <row r="3207" spans="1:37" ht="19">
      <c r="A3207" s="39" t="s">
        <v>17</v>
      </c>
      <c r="B3207" s="8">
        <v>2024</v>
      </c>
      <c r="C3207" s="8" t="s">
        <v>109</v>
      </c>
      <c r="D3207" s="9" t="s">
        <v>109</v>
      </c>
      <c r="E3207" s="9" t="s">
        <v>111</v>
      </c>
      <c r="F3207" s="9" t="s">
        <v>111</v>
      </c>
      <c r="I3207" s="9" t="s">
        <v>11</v>
      </c>
      <c r="J3207" s="9" t="s">
        <v>11</v>
      </c>
      <c r="K3207" s="9" t="s">
        <v>82</v>
      </c>
      <c r="L3207" s="9" t="s">
        <v>171</v>
      </c>
      <c r="M3207" t="s">
        <v>2107</v>
      </c>
      <c r="O3207" t="s">
        <v>283</v>
      </c>
      <c r="P3207" t="s">
        <v>2168</v>
      </c>
      <c r="S3207">
        <v>353</v>
      </c>
      <c r="U3207" t="s">
        <v>112</v>
      </c>
      <c r="V3207" t="s">
        <v>1484</v>
      </c>
      <c r="X3207" s="43">
        <v>2.7</v>
      </c>
      <c r="AA3207" s="43"/>
      <c r="AB3207" s="43">
        <v>0.15</v>
      </c>
      <c r="AC3207" s="43">
        <v>0.19350000000000001</v>
      </c>
      <c r="AK3207">
        <v>7797064</v>
      </c>
    </row>
    <row r="3208" spans="1:37" ht="19">
      <c r="A3208" s="39" t="s">
        <v>17</v>
      </c>
      <c r="B3208" s="8">
        <v>2024</v>
      </c>
      <c r="C3208" s="8" t="s">
        <v>109</v>
      </c>
      <c r="D3208" s="9" t="s">
        <v>109</v>
      </c>
      <c r="E3208" s="9" t="s">
        <v>111</v>
      </c>
      <c r="F3208" s="9" t="s">
        <v>111</v>
      </c>
      <c r="I3208" s="9" t="s">
        <v>11</v>
      </c>
      <c r="J3208" s="9" t="s">
        <v>11</v>
      </c>
      <c r="K3208" s="9" t="s">
        <v>82</v>
      </c>
      <c r="L3208" s="9" t="s">
        <v>171</v>
      </c>
      <c r="M3208" t="s">
        <v>2107</v>
      </c>
      <c r="O3208" t="s">
        <v>283</v>
      </c>
      <c r="P3208" t="s">
        <v>2169</v>
      </c>
      <c r="S3208">
        <v>139</v>
      </c>
      <c r="U3208" t="s">
        <v>112</v>
      </c>
      <c r="V3208" t="s">
        <v>1484</v>
      </c>
      <c r="X3208" s="43">
        <v>0.3</v>
      </c>
      <c r="AA3208" s="43"/>
      <c r="AB3208" s="43">
        <v>0</v>
      </c>
      <c r="AC3208" s="43">
        <v>2.2499999999999999E-2</v>
      </c>
      <c r="AK3208">
        <v>3070232</v>
      </c>
    </row>
    <row r="3209" spans="1:37" ht="19">
      <c r="A3209" s="39" t="s">
        <v>17</v>
      </c>
      <c r="B3209" s="8">
        <v>2024</v>
      </c>
      <c r="C3209" s="8" t="s">
        <v>109</v>
      </c>
      <c r="D3209" s="9" t="s">
        <v>109</v>
      </c>
      <c r="E3209" s="9" t="s">
        <v>111</v>
      </c>
      <c r="F3209" s="9" t="s">
        <v>111</v>
      </c>
      <c r="I3209" s="9" t="s">
        <v>11</v>
      </c>
      <c r="J3209" s="9" t="s">
        <v>11</v>
      </c>
      <c r="K3209" s="9" t="s">
        <v>82</v>
      </c>
      <c r="L3209" s="9" t="s">
        <v>171</v>
      </c>
      <c r="M3209" t="s">
        <v>2107</v>
      </c>
      <c r="O3209" t="s">
        <v>283</v>
      </c>
      <c r="P3209" t="s">
        <v>2170</v>
      </c>
      <c r="S3209">
        <v>88</v>
      </c>
      <c r="U3209" t="s">
        <v>112</v>
      </c>
      <c r="V3209" t="s">
        <v>1484</v>
      </c>
      <c r="X3209" s="43">
        <v>0.7</v>
      </c>
      <c r="AA3209" s="43"/>
      <c r="AB3209" s="43">
        <v>0</v>
      </c>
      <c r="AC3209" s="43">
        <v>4.9500000000000002E-2</v>
      </c>
      <c r="AK3209">
        <v>1943744</v>
      </c>
    </row>
    <row r="3210" spans="1:37" ht="19">
      <c r="A3210" s="39" t="s">
        <v>17</v>
      </c>
      <c r="B3210" s="8">
        <v>2024</v>
      </c>
      <c r="C3210" s="8" t="s">
        <v>109</v>
      </c>
      <c r="D3210" s="9" t="s">
        <v>109</v>
      </c>
      <c r="E3210" s="9" t="s">
        <v>111</v>
      </c>
      <c r="F3210" s="9" t="s">
        <v>111</v>
      </c>
      <c r="I3210" s="9" t="s">
        <v>11</v>
      </c>
      <c r="J3210" s="9" t="s">
        <v>11</v>
      </c>
      <c r="K3210" s="9" t="s">
        <v>82</v>
      </c>
      <c r="L3210" s="9" t="s">
        <v>171</v>
      </c>
      <c r="M3210" t="s">
        <v>2107</v>
      </c>
      <c r="O3210" t="s">
        <v>283</v>
      </c>
      <c r="P3210" t="s">
        <v>2171</v>
      </c>
      <c r="S3210">
        <v>133</v>
      </c>
      <c r="U3210" t="s">
        <v>112</v>
      </c>
      <c r="V3210" t="s">
        <v>1484</v>
      </c>
      <c r="X3210" s="43">
        <v>0</v>
      </c>
      <c r="AA3210" s="43"/>
      <c r="AB3210" s="43">
        <v>0</v>
      </c>
      <c r="AC3210" s="43">
        <v>0</v>
      </c>
      <c r="AK3210">
        <v>2937704</v>
      </c>
    </row>
    <row r="3211" spans="1:37" ht="19">
      <c r="A3211" s="39" t="s">
        <v>17</v>
      </c>
      <c r="B3211" s="8">
        <v>2024</v>
      </c>
      <c r="C3211" s="8" t="s">
        <v>109</v>
      </c>
      <c r="D3211" s="9" t="s">
        <v>109</v>
      </c>
      <c r="E3211" s="9" t="s">
        <v>111</v>
      </c>
      <c r="F3211" s="9" t="s">
        <v>111</v>
      </c>
      <c r="I3211" s="9" t="s">
        <v>11</v>
      </c>
      <c r="J3211" s="9" t="s">
        <v>11</v>
      </c>
      <c r="K3211" s="9" t="s">
        <v>82</v>
      </c>
      <c r="L3211" s="9" t="s">
        <v>171</v>
      </c>
      <c r="M3211" t="s">
        <v>2107</v>
      </c>
      <c r="O3211" t="s">
        <v>283</v>
      </c>
      <c r="P3211" t="s">
        <v>2172</v>
      </c>
      <c r="S3211">
        <v>521</v>
      </c>
      <c r="U3211" t="s">
        <v>112</v>
      </c>
      <c r="V3211" t="s">
        <v>1484</v>
      </c>
      <c r="X3211" s="43">
        <v>4</v>
      </c>
      <c r="AA3211" s="43"/>
      <c r="AB3211" s="43">
        <v>0.2</v>
      </c>
      <c r="AC3211" s="43">
        <v>0.28799999999999998</v>
      </c>
      <c r="AK3211">
        <v>11507848</v>
      </c>
    </row>
    <row r="3212" spans="1:37" ht="19">
      <c r="A3212" s="39" t="s">
        <v>17</v>
      </c>
      <c r="B3212" s="8">
        <v>2024</v>
      </c>
      <c r="C3212" s="8" t="s">
        <v>109</v>
      </c>
      <c r="D3212" s="9" t="s">
        <v>109</v>
      </c>
      <c r="E3212" s="9" t="s">
        <v>111</v>
      </c>
      <c r="F3212" s="9" t="s">
        <v>111</v>
      </c>
      <c r="I3212" s="9" t="s">
        <v>11</v>
      </c>
      <c r="J3212" s="9" t="s">
        <v>11</v>
      </c>
      <c r="K3212" s="9" t="s">
        <v>82</v>
      </c>
      <c r="L3212" s="9" t="s">
        <v>171</v>
      </c>
      <c r="M3212" t="s">
        <v>2107</v>
      </c>
      <c r="O3212" t="s">
        <v>283</v>
      </c>
      <c r="P3212" t="s">
        <v>2173</v>
      </c>
      <c r="S3212">
        <v>153</v>
      </c>
      <c r="U3212" t="s">
        <v>112</v>
      </c>
      <c r="V3212" t="s">
        <v>1484</v>
      </c>
      <c r="X3212" s="43">
        <v>1</v>
      </c>
      <c r="AA3212" s="43"/>
      <c r="AB3212" s="43">
        <v>0.1</v>
      </c>
      <c r="AC3212" s="43">
        <v>7.1999999999999995E-2</v>
      </c>
      <c r="AK3212">
        <v>3379464</v>
      </c>
    </row>
    <row r="3213" spans="1:37" ht="19">
      <c r="A3213" s="39" t="s">
        <v>17</v>
      </c>
      <c r="B3213" s="8">
        <v>2024</v>
      </c>
      <c r="C3213" s="8" t="s">
        <v>109</v>
      </c>
      <c r="D3213" s="9" t="s">
        <v>109</v>
      </c>
      <c r="E3213" s="9" t="s">
        <v>111</v>
      </c>
      <c r="F3213" s="9" t="s">
        <v>111</v>
      </c>
      <c r="I3213" s="9" t="s">
        <v>11</v>
      </c>
      <c r="J3213" s="9" t="s">
        <v>11</v>
      </c>
      <c r="K3213" s="9" t="s">
        <v>82</v>
      </c>
      <c r="L3213" s="9" t="s">
        <v>171</v>
      </c>
      <c r="M3213" t="s">
        <v>2107</v>
      </c>
      <c r="O3213" t="s">
        <v>283</v>
      </c>
      <c r="P3213" t="s">
        <v>2174</v>
      </c>
      <c r="S3213">
        <v>221</v>
      </c>
      <c r="U3213" t="s">
        <v>112</v>
      </c>
      <c r="V3213" t="s">
        <v>1484</v>
      </c>
      <c r="X3213" s="43">
        <v>1.7</v>
      </c>
      <c r="AA3213" s="43"/>
      <c r="AB3213" s="43">
        <v>0.1</v>
      </c>
      <c r="AC3213" s="43">
        <v>0.1215</v>
      </c>
      <c r="AK3213">
        <v>4881448</v>
      </c>
    </row>
    <row r="3214" spans="1:37" ht="19">
      <c r="A3214" s="39" t="s">
        <v>17</v>
      </c>
      <c r="B3214" s="8">
        <v>2024</v>
      </c>
      <c r="C3214" s="8" t="s">
        <v>109</v>
      </c>
      <c r="D3214" s="9" t="s">
        <v>109</v>
      </c>
      <c r="E3214" s="9" t="s">
        <v>111</v>
      </c>
      <c r="F3214" s="9" t="s">
        <v>111</v>
      </c>
      <c r="I3214" s="9" t="s">
        <v>11</v>
      </c>
      <c r="J3214" s="9" t="s">
        <v>11</v>
      </c>
      <c r="K3214" s="9" t="s">
        <v>82</v>
      </c>
      <c r="L3214" s="9" t="s">
        <v>171</v>
      </c>
      <c r="M3214" t="s">
        <v>2107</v>
      </c>
      <c r="O3214" t="s">
        <v>283</v>
      </c>
      <c r="P3214" t="s">
        <v>2175</v>
      </c>
      <c r="S3214">
        <v>124</v>
      </c>
      <c r="U3214" t="s">
        <v>112</v>
      </c>
      <c r="V3214" t="s">
        <v>1484</v>
      </c>
      <c r="X3214" s="43">
        <v>0</v>
      </c>
      <c r="AA3214" s="43"/>
      <c r="AB3214" s="43">
        <v>0.05</v>
      </c>
      <c r="AC3214" s="43">
        <v>0</v>
      </c>
      <c r="AK3214">
        <v>2738912</v>
      </c>
    </row>
    <row r="3215" spans="1:37" ht="19">
      <c r="A3215" s="39" t="s">
        <v>17</v>
      </c>
      <c r="B3215" s="8">
        <v>2024</v>
      </c>
      <c r="C3215" s="8" t="s">
        <v>109</v>
      </c>
      <c r="D3215" s="9" t="s">
        <v>109</v>
      </c>
      <c r="E3215" s="9" t="s">
        <v>111</v>
      </c>
      <c r="F3215" s="9" t="s">
        <v>111</v>
      </c>
      <c r="I3215" s="9" t="s">
        <v>11</v>
      </c>
      <c r="J3215" s="9" t="s">
        <v>11</v>
      </c>
      <c r="K3215" s="9" t="s">
        <v>82</v>
      </c>
      <c r="L3215" s="9" t="s">
        <v>171</v>
      </c>
      <c r="M3215" t="s">
        <v>2107</v>
      </c>
      <c r="O3215" t="s">
        <v>283</v>
      </c>
      <c r="P3215" t="s">
        <v>1523</v>
      </c>
      <c r="S3215">
        <v>276</v>
      </c>
      <c r="U3215" t="s">
        <v>112</v>
      </c>
      <c r="V3215" t="s">
        <v>1484</v>
      </c>
      <c r="X3215" s="43">
        <v>2.15</v>
      </c>
      <c r="AA3215" s="43"/>
      <c r="AB3215" s="43">
        <v>0.1</v>
      </c>
      <c r="AC3215" s="43">
        <v>0.153</v>
      </c>
      <c r="AK3215">
        <v>6096288</v>
      </c>
    </row>
    <row r="3216" spans="1:37" ht="19">
      <c r="A3216" s="39" t="s">
        <v>17</v>
      </c>
      <c r="B3216" s="8">
        <v>2024</v>
      </c>
      <c r="C3216" s="8" t="s">
        <v>109</v>
      </c>
      <c r="D3216" s="9" t="s">
        <v>109</v>
      </c>
      <c r="E3216" s="9" t="s">
        <v>111</v>
      </c>
      <c r="F3216" s="9" t="s">
        <v>111</v>
      </c>
      <c r="I3216" s="9" t="s">
        <v>11</v>
      </c>
      <c r="J3216" s="9" t="s">
        <v>11</v>
      </c>
      <c r="K3216" s="9" t="s">
        <v>82</v>
      </c>
      <c r="L3216" s="9" t="s">
        <v>171</v>
      </c>
      <c r="M3216" t="s">
        <v>2107</v>
      </c>
      <c r="O3216" t="s">
        <v>1329</v>
      </c>
      <c r="P3216" t="s">
        <v>2176</v>
      </c>
      <c r="S3216">
        <v>185</v>
      </c>
      <c r="U3216" s="14" t="s">
        <v>77</v>
      </c>
      <c r="V3216" t="s">
        <v>1720</v>
      </c>
      <c r="X3216" s="43">
        <v>1.4</v>
      </c>
      <c r="AA3216" s="43"/>
      <c r="AB3216" s="43">
        <v>0.35</v>
      </c>
      <c r="AC3216" s="43">
        <v>0.10349999999999999</v>
      </c>
      <c r="AJ3216" s="13">
        <f t="shared" ref="AJ3216:AJ3221" si="297">SUBTOTAL(9,X3216:AI3216)</f>
        <v>1.8534999999999999</v>
      </c>
      <c r="AK3216">
        <v>0</v>
      </c>
    </row>
    <row r="3217" spans="1:37" ht="19">
      <c r="A3217" s="39" t="s">
        <v>17</v>
      </c>
      <c r="B3217" s="8">
        <v>2024</v>
      </c>
      <c r="C3217" s="8" t="s">
        <v>109</v>
      </c>
      <c r="D3217" s="9" t="s">
        <v>109</v>
      </c>
      <c r="E3217" s="9" t="s">
        <v>111</v>
      </c>
      <c r="F3217" s="9" t="s">
        <v>111</v>
      </c>
      <c r="I3217" s="9" t="s">
        <v>11</v>
      </c>
      <c r="J3217" s="9" t="s">
        <v>11</v>
      </c>
      <c r="K3217" s="9" t="s">
        <v>82</v>
      </c>
      <c r="L3217" s="9" t="s">
        <v>171</v>
      </c>
      <c r="M3217" t="s">
        <v>2107</v>
      </c>
      <c r="O3217" t="s">
        <v>1329</v>
      </c>
      <c r="P3217" t="s">
        <v>2177</v>
      </c>
      <c r="S3217">
        <v>191</v>
      </c>
      <c r="U3217" s="14" t="s">
        <v>77</v>
      </c>
      <c r="V3217" t="s">
        <v>1720</v>
      </c>
      <c r="X3217" s="43">
        <v>1.45</v>
      </c>
      <c r="AA3217" s="43"/>
      <c r="AB3217" s="43">
        <v>0.35</v>
      </c>
      <c r="AC3217" s="43">
        <v>0.10349999999999999</v>
      </c>
      <c r="AJ3217" s="13">
        <f t="shared" si="297"/>
        <v>1.9034999999999997</v>
      </c>
      <c r="AK3217">
        <v>0</v>
      </c>
    </row>
    <row r="3218" spans="1:37" ht="19">
      <c r="A3218" s="39" t="s">
        <v>17</v>
      </c>
      <c r="B3218" s="8">
        <v>2024</v>
      </c>
      <c r="C3218" s="8" t="s">
        <v>109</v>
      </c>
      <c r="D3218" s="9" t="s">
        <v>109</v>
      </c>
      <c r="E3218" s="9" t="s">
        <v>111</v>
      </c>
      <c r="F3218" s="9" t="s">
        <v>111</v>
      </c>
      <c r="I3218" s="9" t="s">
        <v>11</v>
      </c>
      <c r="J3218" s="9" t="s">
        <v>11</v>
      </c>
      <c r="K3218" s="9" t="s">
        <v>82</v>
      </c>
      <c r="L3218" s="9" t="s">
        <v>171</v>
      </c>
      <c r="M3218" t="s">
        <v>2107</v>
      </c>
      <c r="O3218" t="s">
        <v>1329</v>
      </c>
      <c r="P3218" t="s">
        <v>844</v>
      </c>
      <c r="S3218">
        <v>294</v>
      </c>
      <c r="U3218" s="14" t="s">
        <v>77</v>
      </c>
      <c r="V3218" t="s">
        <v>1720</v>
      </c>
      <c r="X3218" s="43">
        <v>2.25</v>
      </c>
      <c r="AA3218" s="43"/>
      <c r="AB3218" s="43">
        <v>0.5</v>
      </c>
      <c r="AC3218" s="43">
        <v>0.16200000000000001</v>
      </c>
      <c r="AJ3218" s="13">
        <f t="shared" si="297"/>
        <v>2.9119999999999999</v>
      </c>
      <c r="AK3218">
        <v>0</v>
      </c>
    </row>
    <row r="3219" spans="1:37" ht="19">
      <c r="A3219" s="39" t="s">
        <v>17</v>
      </c>
      <c r="B3219" s="8">
        <v>2024</v>
      </c>
      <c r="C3219" s="8" t="s">
        <v>109</v>
      </c>
      <c r="D3219" s="9" t="s">
        <v>109</v>
      </c>
      <c r="E3219" s="9" t="s">
        <v>111</v>
      </c>
      <c r="F3219" s="9" t="s">
        <v>111</v>
      </c>
      <c r="I3219" s="9" t="s">
        <v>11</v>
      </c>
      <c r="J3219" s="9" t="s">
        <v>11</v>
      </c>
      <c r="K3219" s="9" t="s">
        <v>82</v>
      </c>
      <c r="L3219" s="9" t="s">
        <v>171</v>
      </c>
      <c r="M3219" t="s">
        <v>2107</v>
      </c>
      <c r="O3219" t="s">
        <v>1329</v>
      </c>
      <c r="P3219" t="s">
        <v>2178</v>
      </c>
      <c r="S3219">
        <v>118</v>
      </c>
      <c r="U3219" s="14" t="s">
        <v>77</v>
      </c>
      <c r="V3219" t="s">
        <v>1720</v>
      </c>
      <c r="X3219" s="43">
        <v>0.9</v>
      </c>
      <c r="AA3219" s="43"/>
      <c r="AB3219" s="43">
        <v>0.2</v>
      </c>
      <c r="AC3219" s="43">
        <v>6.3E-2</v>
      </c>
      <c r="AJ3219" s="13">
        <f t="shared" si="297"/>
        <v>1.163</v>
      </c>
      <c r="AK3219">
        <v>0</v>
      </c>
    </row>
    <row r="3220" spans="1:37" ht="19">
      <c r="A3220" s="39" t="s">
        <v>17</v>
      </c>
      <c r="B3220" s="8">
        <v>2024</v>
      </c>
      <c r="C3220" s="8" t="s">
        <v>109</v>
      </c>
      <c r="D3220" s="9" t="s">
        <v>109</v>
      </c>
      <c r="E3220" s="9" t="s">
        <v>111</v>
      </c>
      <c r="F3220" s="9" t="s">
        <v>111</v>
      </c>
      <c r="I3220" s="9" t="s">
        <v>11</v>
      </c>
      <c r="J3220" s="9" t="s">
        <v>11</v>
      </c>
      <c r="K3220" s="9" t="s">
        <v>82</v>
      </c>
      <c r="L3220" s="9" t="s">
        <v>171</v>
      </c>
      <c r="M3220" t="s">
        <v>2107</v>
      </c>
      <c r="O3220" t="s">
        <v>1329</v>
      </c>
      <c r="P3220" t="s">
        <v>2179</v>
      </c>
      <c r="S3220">
        <v>168</v>
      </c>
      <c r="U3220" s="14" t="s">
        <v>77</v>
      </c>
      <c r="V3220" t="s">
        <v>1720</v>
      </c>
      <c r="X3220" s="43">
        <v>1.3</v>
      </c>
      <c r="AA3220" s="43"/>
      <c r="AB3220" s="43">
        <v>0.3</v>
      </c>
      <c r="AC3220" s="43">
        <v>9.4500000000000001E-2</v>
      </c>
      <c r="AJ3220" s="13">
        <f t="shared" si="297"/>
        <v>1.6945000000000001</v>
      </c>
      <c r="AK3220">
        <v>0</v>
      </c>
    </row>
    <row r="3221" spans="1:37" ht="19">
      <c r="A3221" s="39" t="s">
        <v>17</v>
      </c>
      <c r="B3221" s="8">
        <v>2024</v>
      </c>
      <c r="C3221" s="8" t="s">
        <v>109</v>
      </c>
      <c r="D3221" s="9" t="s">
        <v>109</v>
      </c>
      <c r="E3221" s="9" t="s">
        <v>111</v>
      </c>
      <c r="F3221" s="9" t="s">
        <v>111</v>
      </c>
      <c r="I3221" s="9" t="s">
        <v>11</v>
      </c>
      <c r="J3221" s="9" t="s">
        <v>11</v>
      </c>
      <c r="K3221" s="9" t="s">
        <v>82</v>
      </c>
      <c r="L3221" s="9" t="s">
        <v>171</v>
      </c>
      <c r="M3221" t="s">
        <v>2107</v>
      </c>
      <c r="O3221" t="s">
        <v>1329</v>
      </c>
      <c r="P3221" t="s">
        <v>2180</v>
      </c>
      <c r="S3221">
        <v>231</v>
      </c>
      <c r="U3221" s="14" t="s">
        <v>77</v>
      </c>
      <c r="V3221" t="s">
        <v>1720</v>
      </c>
      <c r="X3221" s="43">
        <v>1.8</v>
      </c>
      <c r="AA3221" s="43"/>
      <c r="AB3221" s="43">
        <v>0.4</v>
      </c>
      <c r="AC3221" s="43">
        <v>0.126</v>
      </c>
      <c r="AJ3221" s="13">
        <f t="shared" si="297"/>
        <v>2.3260000000000001</v>
      </c>
      <c r="AK3221">
        <v>0</v>
      </c>
    </row>
    <row r="3222" spans="1:37" ht="19">
      <c r="A3222" s="39" t="s">
        <v>17</v>
      </c>
      <c r="B3222" s="8">
        <v>2024</v>
      </c>
      <c r="C3222" s="8" t="s">
        <v>109</v>
      </c>
      <c r="D3222" s="9" t="s">
        <v>109</v>
      </c>
      <c r="E3222" s="9" t="s">
        <v>111</v>
      </c>
      <c r="F3222" s="9" t="s">
        <v>111</v>
      </c>
      <c r="I3222" s="9" t="s">
        <v>11</v>
      </c>
      <c r="J3222" s="9" t="s">
        <v>11</v>
      </c>
      <c r="K3222" s="9" t="s">
        <v>82</v>
      </c>
      <c r="L3222" s="9" t="s">
        <v>171</v>
      </c>
      <c r="M3222" t="s">
        <v>2107</v>
      </c>
      <c r="O3222" t="s">
        <v>2181</v>
      </c>
      <c r="P3222" t="s">
        <v>1698</v>
      </c>
      <c r="S3222">
        <v>303</v>
      </c>
      <c r="U3222" t="s">
        <v>112</v>
      </c>
      <c r="V3222" t="s">
        <v>1484</v>
      </c>
      <c r="X3222" s="43">
        <v>2.35</v>
      </c>
      <c r="AA3222" s="43"/>
      <c r="AB3222" s="43">
        <v>0.1</v>
      </c>
      <c r="AC3222" s="43">
        <v>0.16650000000000001</v>
      </c>
      <c r="AK3222">
        <v>6692664</v>
      </c>
    </row>
    <row r="3223" spans="1:37" ht="19">
      <c r="A3223" s="39" t="s">
        <v>17</v>
      </c>
      <c r="B3223" s="8">
        <v>2024</v>
      </c>
      <c r="C3223" s="8" t="s">
        <v>109</v>
      </c>
      <c r="D3223" s="9" t="s">
        <v>109</v>
      </c>
      <c r="E3223" s="9" t="s">
        <v>111</v>
      </c>
      <c r="F3223" s="9" t="s">
        <v>111</v>
      </c>
      <c r="I3223" s="9" t="s">
        <v>11</v>
      </c>
      <c r="J3223" s="9" t="s">
        <v>11</v>
      </c>
      <c r="K3223" s="9" t="s">
        <v>82</v>
      </c>
      <c r="L3223" s="9" t="s">
        <v>171</v>
      </c>
      <c r="M3223" t="s">
        <v>2107</v>
      </c>
      <c r="O3223" t="s">
        <v>2181</v>
      </c>
      <c r="P3223" t="s">
        <v>2182</v>
      </c>
      <c r="S3223">
        <v>260</v>
      </c>
      <c r="U3223" t="s">
        <v>112</v>
      </c>
      <c r="V3223" t="s">
        <v>1484</v>
      </c>
      <c r="X3223" s="43">
        <v>2</v>
      </c>
      <c r="AA3223" s="43"/>
      <c r="AB3223" s="43">
        <v>0.1</v>
      </c>
      <c r="AC3223" s="43">
        <v>0.14399999999999999</v>
      </c>
      <c r="AK3223">
        <v>5742880</v>
      </c>
    </row>
    <row r="3224" spans="1:37" ht="19">
      <c r="A3224" s="39" t="s">
        <v>17</v>
      </c>
      <c r="B3224" s="8">
        <v>2024</v>
      </c>
      <c r="C3224" s="8" t="s">
        <v>109</v>
      </c>
      <c r="D3224" s="9" t="s">
        <v>109</v>
      </c>
      <c r="E3224" s="9" t="s">
        <v>111</v>
      </c>
      <c r="F3224" s="9" t="s">
        <v>111</v>
      </c>
      <c r="I3224" s="9" t="s">
        <v>11</v>
      </c>
      <c r="J3224" s="9" t="s">
        <v>11</v>
      </c>
      <c r="K3224" s="9" t="s">
        <v>82</v>
      </c>
      <c r="L3224" s="9" t="s">
        <v>171</v>
      </c>
      <c r="M3224" t="s">
        <v>2107</v>
      </c>
      <c r="O3224" t="s">
        <v>2181</v>
      </c>
      <c r="P3224" t="s">
        <v>2183</v>
      </c>
      <c r="S3224">
        <v>276</v>
      </c>
      <c r="U3224" t="s">
        <v>112</v>
      </c>
      <c r="V3224" t="s">
        <v>1484</v>
      </c>
      <c r="X3224" s="43">
        <v>2.15</v>
      </c>
      <c r="AA3224" s="43"/>
      <c r="AB3224" s="43">
        <v>0.1</v>
      </c>
      <c r="AC3224" s="43">
        <v>0.153</v>
      </c>
      <c r="AK3224">
        <v>6096288</v>
      </c>
    </row>
    <row r="3225" spans="1:37" ht="19">
      <c r="A3225" s="39" t="s">
        <v>17</v>
      </c>
      <c r="B3225" s="8">
        <v>2024</v>
      </c>
      <c r="C3225" s="8" t="s">
        <v>109</v>
      </c>
      <c r="D3225" s="9" t="s">
        <v>109</v>
      </c>
      <c r="E3225" s="9" t="s">
        <v>111</v>
      </c>
      <c r="F3225" s="9" t="s">
        <v>111</v>
      </c>
      <c r="I3225" s="9" t="s">
        <v>11</v>
      </c>
      <c r="J3225" s="9" t="s">
        <v>11</v>
      </c>
      <c r="K3225" s="9" t="s">
        <v>82</v>
      </c>
      <c r="L3225" s="9" t="s">
        <v>171</v>
      </c>
      <c r="M3225" t="s">
        <v>2107</v>
      </c>
      <c r="O3225" t="s">
        <v>2181</v>
      </c>
      <c r="P3225" t="s">
        <v>2184</v>
      </c>
      <c r="S3225">
        <v>97</v>
      </c>
      <c r="U3225" t="s">
        <v>112</v>
      </c>
      <c r="V3225" t="s">
        <v>1484</v>
      </c>
      <c r="X3225" s="43">
        <v>0.75</v>
      </c>
      <c r="AA3225" s="43"/>
      <c r="AB3225" s="43">
        <v>0.05</v>
      </c>
      <c r="AC3225" s="43">
        <v>5.3999999999999999E-2</v>
      </c>
      <c r="AK3225">
        <v>2142536</v>
      </c>
    </row>
    <row r="3226" spans="1:37" ht="19">
      <c r="A3226" s="39" t="s">
        <v>17</v>
      </c>
      <c r="B3226" s="8">
        <v>2024</v>
      </c>
      <c r="C3226" s="8" t="s">
        <v>109</v>
      </c>
      <c r="D3226" s="9" t="s">
        <v>109</v>
      </c>
      <c r="E3226" s="9" t="s">
        <v>111</v>
      </c>
      <c r="F3226" s="9" t="s">
        <v>111</v>
      </c>
      <c r="I3226" s="9" t="s">
        <v>11</v>
      </c>
      <c r="J3226" s="9" t="s">
        <v>11</v>
      </c>
      <c r="K3226" s="9" t="s">
        <v>82</v>
      </c>
      <c r="L3226" s="9" t="s">
        <v>171</v>
      </c>
      <c r="M3226" t="s">
        <v>2107</v>
      </c>
      <c r="O3226" t="s">
        <v>2181</v>
      </c>
      <c r="P3226" t="s">
        <v>2185</v>
      </c>
      <c r="S3226">
        <v>169</v>
      </c>
      <c r="U3226" t="s">
        <v>112</v>
      </c>
      <c r="V3226" t="s">
        <v>1484</v>
      </c>
      <c r="X3226" s="43">
        <v>1.3</v>
      </c>
      <c r="AA3226" s="43"/>
      <c r="AB3226" s="43">
        <v>0.1</v>
      </c>
      <c r="AC3226" s="43">
        <v>9.4500000000000001E-2</v>
      </c>
      <c r="AK3226">
        <v>3732872</v>
      </c>
    </row>
    <row r="3227" spans="1:37" ht="19">
      <c r="A3227" s="39" t="s">
        <v>17</v>
      </c>
      <c r="B3227" s="8">
        <v>2024</v>
      </c>
      <c r="C3227" s="8" t="s">
        <v>109</v>
      </c>
      <c r="D3227" s="9" t="s">
        <v>109</v>
      </c>
      <c r="E3227" s="9" t="s">
        <v>111</v>
      </c>
      <c r="F3227" s="9" t="s">
        <v>111</v>
      </c>
      <c r="I3227" s="9" t="s">
        <v>11</v>
      </c>
      <c r="J3227" s="9" t="s">
        <v>11</v>
      </c>
      <c r="K3227" s="9" t="s">
        <v>82</v>
      </c>
      <c r="L3227" s="9" t="s">
        <v>171</v>
      </c>
      <c r="M3227" t="s">
        <v>2107</v>
      </c>
      <c r="O3227" t="s">
        <v>2181</v>
      </c>
      <c r="P3227" t="s">
        <v>2186</v>
      </c>
      <c r="S3227">
        <v>132</v>
      </c>
      <c r="U3227" t="s">
        <v>112</v>
      </c>
      <c r="V3227" t="s">
        <v>1484</v>
      </c>
      <c r="X3227" s="43">
        <v>1</v>
      </c>
      <c r="AA3227" s="43"/>
      <c r="AB3227" s="43">
        <v>0.05</v>
      </c>
      <c r="AC3227" s="43">
        <v>7.1999999999999995E-2</v>
      </c>
      <c r="AK3227">
        <v>2915616</v>
      </c>
    </row>
    <row r="3228" spans="1:37" ht="19">
      <c r="A3228" s="39" t="s">
        <v>17</v>
      </c>
      <c r="B3228" s="8">
        <v>2024</v>
      </c>
      <c r="C3228" s="8" t="s">
        <v>109</v>
      </c>
      <c r="D3228" s="9" t="s">
        <v>109</v>
      </c>
      <c r="E3228" s="9" t="s">
        <v>111</v>
      </c>
      <c r="F3228" s="9" t="s">
        <v>111</v>
      </c>
      <c r="I3228" s="9" t="s">
        <v>11</v>
      </c>
      <c r="J3228" s="9" t="s">
        <v>11</v>
      </c>
      <c r="K3228" s="9" t="s">
        <v>82</v>
      </c>
      <c r="L3228" s="9" t="s">
        <v>171</v>
      </c>
      <c r="M3228" t="s">
        <v>2107</v>
      </c>
      <c r="O3228" t="s">
        <v>2181</v>
      </c>
      <c r="P3228" t="s">
        <v>2187</v>
      </c>
      <c r="S3228">
        <v>168</v>
      </c>
      <c r="U3228" t="s">
        <v>112</v>
      </c>
      <c r="V3228" t="s">
        <v>1484</v>
      </c>
      <c r="X3228" s="43">
        <v>1.3</v>
      </c>
      <c r="AA3228" s="43"/>
      <c r="AB3228" s="43">
        <v>0.1</v>
      </c>
      <c r="AC3228" s="43">
        <v>9.4500000000000001E-2</v>
      </c>
      <c r="AK3228">
        <v>3710784</v>
      </c>
    </row>
    <row r="3229" spans="1:37" ht="19">
      <c r="A3229" s="39" t="s">
        <v>17</v>
      </c>
      <c r="B3229" s="8">
        <v>2024</v>
      </c>
      <c r="C3229" s="8" t="s">
        <v>109</v>
      </c>
      <c r="D3229" s="9" t="s">
        <v>109</v>
      </c>
      <c r="E3229" s="9" t="s">
        <v>111</v>
      </c>
      <c r="F3229" s="9" t="s">
        <v>111</v>
      </c>
      <c r="I3229" s="9" t="s">
        <v>11</v>
      </c>
      <c r="J3229" s="9" t="s">
        <v>11</v>
      </c>
      <c r="K3229" s="9" t="s">
        <v>82</v>
      </c>
      <c r="L3229" s="9" t="s">
        <v>171</v>
      </c>
      <c r="M3229" t="s">
        <v>2107</v>
      </c>
      <c r="O3229" t="s">
        <v>2181</v>
      </c>
      <c r="P3229" t="s">
        <v>2188</v>
      </c>
      <c r="S3229">
        <v>245</v>
      </c>
      <c r="U3229" t="s">
        <v>112</v>
      </c>
      <c r="V3229" t="s">
        <v>1484</v>
      </c>
      <c r="X3229" s="43">
        <v>1.9</v>
      </c>
      <c r="AA3229" s="43"/>
      <c r="AB3229" s="43">
        <v>0.1</v>
      </c>
      <c r="AC3229" s="43">
        <v>0.13500000000000001</v>
      </c>
      <c r="AK3229">
        <v>5411560</v>
      </c>
    </row>
    <row r="3230" spans="1:37" ht="19">
      <c r="A3230" s="39" t="s">
        <v>17</v>
      </c>
      <c r="B3230" s="8">
        <v>2024</v>
      </c>
      <c r="C3230" s="8" t="s">
        <v>109</v>
      </c>
      <c r="D3230" s="9" t="s">
        <v>109</v>
      </c>
      <c r="E3230" s="9" t="s">
        <v>111</v>
      </c>
      <c r="F3230" s="9" t="s">
        <v>111</v>
      </c>
      <c r="I3230" s="9" t="s">
        <v>11</v>
      </c>
      <c r="J3230" s="9" t="s">
        <v>11</v>
      </c>
      <c r="K3230" s="9" t="s">
        <v>82</v>
      </c>
      <c r="L3230" s="9" t="s">
        <v>171</v>
      </c>
      <c r="M3230" t="s">
        <v>2107</v>
      </c>
      <c r="O3230" t="s">
        <v>2181</v>
      </c>
      <c r="P3230" t="s">
        <v>2189</v>
      </c>
      <c r="S3230">
        <v>208</v>
      </c>
      <c r="U3230" t="s">
        <v>112</v>
      </c>
      <c r="V3230" t="s">
        <v>1484</v>
      </c>
      <c r="X3230" s="43">
        <v>1.6</v>
      </c>
      <c r="AA3230" s="43"/>
      <c r="AB3230" s="43">
        <v>0.1</v>
      </c>
      <c r="AC3230" s="43">
        <v>0.1125</v>
      </c>
      <c r="AK3230">
        <v>4594304</v>
      </c>
    </row>
    <row r="3231" spans="1:37" ht="19">
      <c r="A3231" s="39" t="s">
        <v>17</v>
      </c>
      <c r="B3231" s="8">
        <v>2024</v>
      </c>
      <c r="C3231" s="8" t="s">
        <v>109</v>
      </c>
      <c r="D3231" s="9" t="s">
        <v>109</v>
      </c>
      <c r="E3231" s="9" t="s">
        <v>111</v>
      </c>
      <c r="F3231" s="9" t="s">
        <v>111</v>
      </c>
      <c r="I3231" s="9" t="s">
        <v>11</v>
      </c>
      <c r="J3231" s="9" t="s">
        <v>11</v>
      </c>
      <c r="K3231" s="9" t="s">
        <v>82</v>
      </c>
      <c r="L3231" s="9" t="s">
        <v>171</v>
      </c>
      <c r="M3231" t="s">
        <v>2107</v>
      </c>
      <c r="O3231" t="s">
        <v>1329</v>
      </c>
      <c r="P3231" t="s">
        <v>2190</v>
      </c>
      <c r="S3231">
        <v>220</v>
      </c>
      <c r="U3231" s="14" t="s">
        <v>77</v>
      </c>
      <c r="V3231" t="s">
        <v>1720</v>
      </c>
      <c r="X3231" s="43">
        <v>1.7</v>
      </c>
      <c r="AA3231" s="43"/>
      <c r="AB3231" s="43">
        <v>0.4</v>
      </c>
      <c r="AC3231" s="43">
        <v>0.1215</v>
      </c>
      <c r="AJ3231" s="13">
        <f t="shared" ref="AJ3231:AJ3233" si="298">SUBTOTAL(9,X3231:AI3231)</f>
        <v>2.2215000000000003</v>
      </c>
      <c r="AK3231">
        <v>0</v>
      </c>
    </row>
    <row r="3232" spans="1:37" ht="19">
      <c r="A3232" s="39" t="s">
        <v>17</v>
      </c>
      <c r="B3232" s="8">
        <v>2024</v>
      </c>
      <c r="C3232" s="8" t="s">
        <v>109</v>
      </c>
      <c r="D3232" s="9" t="s">
        <v>109</v>
      </c>
      <c r="E3232" s="9" t="s">
        <v>111</v>
      </c>
      <c r="F3232" s="9" t="s">
        <v>111</v>
      </c>
      <c r="I3232" s="9" t="s">
        <v>11</v>
      </c>
      <c r="J3232" s="9" t="s">
        <v>11</v>
      </c>
      <c r="K3232" s="9" t="s">
        <v>82</v>
      </c>
      <c r="L3232" s="9" t="s">
        <v>171</v>
      </c>
      <c r="M3232" t="s">
        <v>2107</v>
      </c>
      <c r="O3232" t="s">
        <v>1329</v>
      </c>
      <c r="P3232" t="s">
        <v>2191</v>
      </c>
      <c r="S3232">
        <v>0</v>
      </c>
      <c r="U3232" s="14" t="s">
        <v>77</v>
      </c>
      <c r="V3232" t="s">
        <v>1720</v>
      </c>
      <c r="X3232" s="43">
        <v>0</v>
      </c>
      <c r="AA3232" s="43"/>
      <c r="AB3232" s="43">
        <v>0</v>
      </c>
      <c r="AC3232" s="43">
        <v>0</v>
      </c>
      <c r="AJ3232" s="13">
        <f t="shared" si="298"/>
        <v>0</v>
      </c>
      <c r="AK3232">
        <v>0</v>
      </c>
    </row>
    <row r="3233" spans="1:37" ht="19">
      <c r="A3233" s="39" t="s">
        <v>17</v>
      </c>
      <c r="B3233" s="8">
        <v>2024</v>
      </c>
      <c r="C3233" s="8" t="s">
        <v>109</v>
      </c>
      <c r="D3233" s="9" t="s">
        <v>109</v>
      </c>
      <c r="E3233" s="9" t="s">
        <v>111</v>
      </c>
      <c r="F3233" s="9" t="s">
        <v>111</v>
      </c>
      <c r="I3233" s="9" t="s">
        <v>11</v>
      </c>
      <c r="J3233" s="9" t="s">
        <v>11</v>
      </c>
      <c r="K3233" s="9" t="s">
        <v>82</v>
      </c>
      <c r="L3233" s="9" t="s">
        <v>171</v>
      </c>
      <c r="M3233" t="s">
        <v>2107</v>
      </c>
      <c r="O3233" t="s">
        <v>1329</v>
      </c>
      <c r="P3233" t="s">
        <v>2192</v>
      </c>
      <c r="S3233">
        <v>132</v>
      </c>
      <c r="U3233" s="14" t="s">
        <v>77</v>
      </c>
      <c r="V3233" t="s">
        <v>1720</v>
      </c>
      <c r="X3233" s="43">
        <v>0.5</v>
      </c>
      <c r="AA3233" s="43"/>
      <c r="AB3233" s="43">
        <v>0.1</v>
      </c>
      <c r="AC3233" s="43">
        <v>3.5999999999999997E-2</v>
      </c>
      <c r="AJ3233" s="13">
        <f t="shared" si="298"/>
        <v>0.63600000000000001</v>
      </c>
      <c r="AK3233">
        <v>0</v>
      </c>
    </row>
    <row r="3234" spans="1:37" ht="19">
      <c r="A3234" s="39" t="s">
        <v>17</v>
      </c>
      <c r="B3234" s="8">
        <v>2024</v>
      </c>
      <c r="C3234" s="8" t="s">
        <v>109</v>
      </c>
      <c r="D3234" s="9" t="s">
        <v>109</v>
      </c>
      <c r="E3234" s="9" t="s">
        <v>111</v>
      </c>
      <c r="F3234" s="9" t="s">
        <v>111</v>
      </c>
      <c r="I3234" s="9" t="s">
        <v>11</v>
      </c>
      <c r="J3234" s="9" t="s">
        <v>11</v>
      </c>
      <c r="K3234" s="9" t="s">
        <v>82</v>
      </c>
      <c r="L3234" s="9" t="s">
        <v>171</v>
      </c>
      <c r="M3234" t="s">
        <v>2107</v>
      </c>
      <c r="O3234" t="s">
        <v>1329</v>
      </c>
      <c r="P3234" t="s">
        <v>2181</v>
      </c>
      <c r="S3234">
        <v>759</v>
      </c>
      <c r="U3234" t="s">
        <v>112</v>
      </c>
      <c r="V3234" t="s">
        <v>1484</v>
      </c>
      <c r="X3234" s="43">
        <v>5.85</v>
      </c>
      <c r="AA3234" s="43"/>
      <c r="AB3234" s="43">
        <v>0.3</v>
      </c>
      <c r="AC3234" s="43">
        <v>0.41849999999999998</v>
      </c>
      <c r="AK3234">
        <v>16764792</v>
      </c>
    </row>
    <row r="3235" spans="1:37" ht="19">
      <c r="A3235" s="39" t="s">
        <v>17</v>
      </c>
      <c r="B3235" s="8">
        <v>2024</v>
      </c>
      <c r="C3235" s="8" t="s">
        <v>109</v>
      </c>
      <c r="D3235" s="9" t="s">
        <v>109</v>
      </c>
      <c r="E3235" s="9" t="s">
        <v>111</v>
      </c>
      <c r="F3235" s="9" t="s">
        <v>111</v>
      </c>
      <c r="I3235" s="9" t="s">
        <v>11</v>
      </c>
      <c r="J3235" s="9" t="s">
        <v>11</v>
      </c>
      <c r="K3235" s="9" t="s">
        <v>82</v>
      </c>
      <c r="L3235" s="9" t="s">
        <v>171</v>
      </c>
      <c r="M3235" t="s">
        <v>2107</v>
      </c>
      <c r="O3235" t="s">
        <v>2193</v>
      </c>
      <c r="P3235" t="s">
        <v>2081</v>
      </c>
      <c r="S3235">
        <v>191</v>
      </c>
      <c r="U3235" s="14" t="s">
        <v>77</v>
      </c>
      <c r="V3235" t="s">
        <v>1720</v>
      </c>
      <c r="X3235" s="43">
        <v>0.45</v>
      </c>
      <c r="AA3235" s="43"/>
      <c r="AB3235" s="43">
        <v>0.1</v>
      </c>
      <c r="AC3235" s="43">
        <v>3.5999999999999997E-2</v>
      </c>
      <c r="AJ3235" s="13">
        <f t="shared" ref="AJ3235:AJ3240" si="299">SUBTOTAL(9,X3235:AI3235)</f>
        <v>0.58600000000000008</v>
      </c>
      <c r="AK3235">
        <v>0</v>
      </c>
    </row>
    <row r="3236" spans="1:37" ht="19">
      <c r="A3236" s="39" t="s">
        <v>17</v>
      </c>
      <c r="B3236" s="8">
        <v>2024</v>
      </c>
      <c r="C3236" s="8" t="s">
        <v>109</v>
      </c>
      <c r="D3236" s="9" t="s">
        <v>109</v>
      </c>
      <c r="E3236" s="9" t="s">
        <v>111</v>
      </c>
      <c r="F3236" s="9" t="s">
        <v>111</v>
      </c>
      <c r="I3236" s="9" t="s">
        <v>11</v>
      </c>
      <c r="J3236" s="9" t="s">
        <v>11</v>
      </c>
      <c r="K3236" s="9" t="s">
        <v>82</v>
      </c>
      <c r="L3236" s="9" t="s">
        <v>171</v>
      </c>
      <c r="M3236" t="s">
        <v>2107</v>
      </c>
      <c r="O3236" t="s">
        <v>2193</v>
      </c>
      <c r="P3236" t="s">
        <v>2194</v>
      </c>
      <c r="S3236">
        <v>186</v>
      </c>
      <c r="U3236" s="14" t="s">
        <v>77</v>
      </c>
      <c r="V3236" t="s">
        <v>1720</v>
      </c>
      <c r="X3236" s="43">
        <v>1.45</v>
      </c>
      <c r="AA3236" s="43"/>
      <c r="AB3236" s="43">
        <v>0.35</v>
      </c>
      <c r="AC3236" s="43">
        <v>0.10349999999999999</v>
      </c>
      <c r="AJ3236" s="13">
        <f t="shared" si="299"/>
        <v>1.9034999999999997</v>
      </c>
      <c r="AK3236">
        <v>0</v>
      </c>
    </row>
    <row r="3237" spans="1:37" ht="19">
      <c r="A3237" s="39" t="s">
        <v>17</v>
      </c>
      <c r="B3237" s="8">
        <v>2024</v>
      </c>
      <c r="C3237" s="8" t="s">
        <v>109</v>
      </c>
      <c r="D3237" s="9" t="s">
        <v>109</v>
      </c>
      <c r="E3237" s="9" t="s">
        <v>111</v>
      </c>
      <c r="F3237" s="9" t="s">
        <v>111</v>
      </c>
      <c r="I3237" s="9" t="s">
        <v>11</v>
      </c>
      <c r="J3237" s="9" t="s">
        <v>11</v>
      </c>
      <c r="K3237" s="9" t="s">
        <v>82</v>
      </c>
      <c r="L3237" s="9" t="s">
        <v>171</v>
      </c>
      <c r="M3237" t="s">
        <v>2107</v>
      </c>
      <c r="O3237" t="s">
        <v>2193</v>
      </c>
      <c r="P3237" t="s">
        <v>2195</v>
      </c>
      <c r="S3237">
        <v>198</v>
      </c>
      <c r="U3237" s="14" t="s">
        <v>77</v>
      </c>
      <c r="V3237" t="s">
        <v>1720</v>
      </c>
      <c r="X3237" s="43">
        <v>1.05</v>
      </c>
      <c r="AA3237" s="43"/>
      <c r="AB3237" s="43">
        <v>0.2</v>
      </c>
      <c r="AC3237" s="43">
        <v>7.6499999999999999E-2</v>
      </c>
      <c r="AJ3237" s="13">
        <f t="shared" si="299"/>
        <v>1.3265</v>
      </c>
      <c r="AK3237">
        <v>0</v>
      </c>
    </row>
    <row r="3238" spans="1:37" ht="19">
      <c r="A3238" s="39" t="s">
        <v>17</v>
      </c>
      <c r="B3238" s="8">
        <v>2024</v>
      </c>
      <c r="C3238" s="8" t="s">
        <v>109</v>
      </c>
      <c r="D3238" s="9" t="s">
        <v>109</v>
      </c>
      <c r="E3238" s="9" t="s">
        <v>111</v>
      </c>
      <c r="F3238" s="9" t="s">
        <v>111</v>
      </c>
      <c r="I3238" s="9" t="s">
        <v>11</v>
      </c>
      <c r="J3238" s="9" t="s">
        <v>11</v>
      </c>
      <c r="K3238" s="9" t="s">
        <v>82</v>
      </c>
      <c r="L3238" s="9" t="s">
        <v>171</v>
      </c>
      <c r="M3238" t="s">
        <v>2107</v>
      </c>
      <c r="O3238" t="s">
        <v>2193</v>
      </c>
      <c r="P3238" t="s">
        <v>2196</v>
      </c>
      <c r="S3238">
        <v>170</v>
      </c>
      <c r="U3238" s="14" t="s">
        <v>77</v>
      </c>
      <c r="V3238" t="s">
        <v>1720</v>
      </c>
      <c r="X3238" s="43">
        <v>0.4</v>
      </c>
      <c r="AA3238" s="43"/>
      <c r="AB3238" s="43">
        <v>0.1</v>
      </c>
      <c r="AC3238" s="43">
        <v>0</v>
      </c>
      <c r="AJ3238" s="13">
        <f t="shared" si="299"/>
        <v>0.5</v>
      </c>
      <c r="AK3238">
        <v>0</v>
      </c>
    </row>
    <row r="3239" spans="1:37" ht="19">
      <c r="A3239" s="39" t="s">
        <v>17</v>
      </c>
      <c r="B3239" s="8">
        <v>2024</v>
      </c>
      <c r="C3239" s="8" t="s">
        <v>109</v>
      </c>
      <c r="D3239" s="9" t="s">
        <v>109</v>
      </c>
      <c r="E3239" s="9" t="s">
        <v>111</v>
      </c>
      <c r="F3239" s="9" t="s">
        <v>111</v>
      </c>
      <c r="I3239" s="9" t="s">
        <v>11</v>
      </c>
      <c r="J3239" s="9" t="s">
        <v>11</v>
      </c>
      <c r="K3239" s="9" t="s">
        <v>82</v>
      </c>
      <c r="L3239" s="9" t="s">
        <v>171</v>
      </c>
      <c r="M3239" t="s">
        <v>2107</v>
      </c>
      <c r="O3239" t="s">
        <v>2193</v>
      </c>
      <c r="P3239" t="s">
        <v>2197</v>
      </c>
      <c r="S3239">
        <v>123</v>
      </c>
      <c r="U3239" s="14" t="s">
        <v>77</v>
      </c>
      <c r="V3239" t="s">
        <v>1720</v>
      </c>
      <c r="X3239" s="43">
        <v>0</v>
      </c>
      <c r="AA3239" s="43"/>
      <c r="AB3239" s="43">
        <v>0</v>
      </c>
      <c r="AC3239" s="43">
        <v>0</v>
      </c>
      <c r="AJ3239" s="13">
        <f t="shared" si="299"/>
        <v>0</v>
      </c>
      <c r="AK3239">
        <v>0</v>
      </c>
    </row>
    <row r="3240" spans="1:37" ht="19">
      <c r="A3240" s="39" t="s">
        <v>17</v>
      </c>
      <c r="B3240" s="8">
        <v>2024</v>
      </c>
      <c r="C3240" s="8" t="s">
        <v>109</v>
      </c>
      <c r="D3240" s="9" t="s">
        <v>109</v>
      </c>
      <c r="E3240" s="9" t="s">
        <v>111</v>
      </c>
      <c r="F3240" s="9" t="s">
        <v>111</v>
      </c>
      <c r="I3240" s="9" t="s">
        <v>11</v>
      </c>
      <c r="J3240" s="9" t="s">
        <v>11</v>
      </c>
      <c r="K3240" s="9" t="s">
        <v>82</v>
      </c>
      <c r="L3240" s="9" t="s">
        <v>171</v>
      </c>
      <c r="M3240" t="s">
        <v>2107</v>
      </c>
      <c r="O3240" t="s">
        <v>2193</v>
      </c>
      <c r="P3240" t="s">
        <v>2198</v>
      </c>
      <c r="S3240">
        <v>140</v>
      </c>
      <c r="U3240" s="14" t="s">
        <v>77</v>
      </c>
      <c r="V3240" t="s">
        <v>1720</v>
      </c>
      <c r="X3240" s="43">
        <v>0.65</v>
      </c>
      <c r="AA3240" s="43"/>
      <c r="AB3240" s="43">
        <v>0.1</v>
      </c>
      <c r="AC3240" s="43">
        <v>4.4999999999999998E-2</v>
      </c>
      <c r="AJ3240" s="13">
        <f t="shared" si="299"/>
        <v>0.79500000000000004</v>
      </c>
      <c r="AK3240">
        <v>0</v>
      </c>
    </row>
    <row r="3241" spans="1:37" ht="19">
      <c r="A3241" s="39" t="s">
        <v>17</v>
      </c>
      <c r="B3241" s="8">
        <v>2024</v>
      </c>
      <c r="C3241" s="8" t="s">
        <v>109</v>
      </c>
      <c r="D3241" s="9" t="s">
        <v>109</v>
      </c>
      <c r="E3241" s="9" t="s">
        <v>111</v>
      </c>
      <c r="F3241" s="9" t="s">
        <v>111</v>
      </c>
      <c r="I3241" s="9" t="s">
        <v>11</v>
      </c>
      <c r="J3241" s="9" t="s">
        <v>11</v>
      </c>
      <c r="K3241" s="9" t="s">
        <v>82</v>
      </c>
      <c r="L3241" s="9" t="s">
        <v>171</v>
      </c>
      <c r="M3241" t="s">
        <v>2107</v>
      </c>
      <c r="O3241" t="s">
        <v>2193</v>
      </c>
      <c r="P3241" t="s">
        <v>2199</v>
      </c>
      <c r="S3241">
        <v>125</v>
      </c>
      <c r="U3241" t="s">
        <v>112</v>
      </c>
      <c r="V3241" t="s">
        <v>1484</v>
      </c>
      <c r="X3241" s="43">
        <v>0.95</v>
      </c>
      <c r="AA3241" s="43"/>
      <c r="AB3241" s="43">
        <v>0.05</v>
      </c>
      <c r="AC3241" s="43">
        <v>6.7500000000000004E-2</v>
      </c>
      <c r="AK3241">
        <v>2761000</v>
      </c>
    </row>
    <row r="3242" spans="1:37" ht="19">
      <c r="A3242" s="39" t="s">
        <v>17</v>
      </c>
      <c r="B3242" s="8">
        <v>2024</v>
      </c>
      <c r="C3242" s="8" t="s">
        <v>109</v>
      </c>
      <c r="D3242" s="9" t="s">
        <v>109</v>
      </c>
      <c r="E3242" s="9" t="s">
        <v>111</v>
      </c>
      <c r="F3242" s="9" t="s">
        <v>111</v>
      </c>
      <c r="I3242" s="9" t="s">
        <v>11</v>
      </c>
      <c r="J3242" s="9" t="s">
        <v>11</v>
      </c>
      <c r="K3242" s="9" t="s">
        <v>82</v>
      </c>
      <c r="L3242" s="9" t="s">
        <v>171</v>
      </c>
      <c r="M3242" t="s">
        <v>2107</v>
      </c>
      <c r="O3242" t="s">
        <v>2193</v>
      </c>
      <c r="P3242" t="s">
        <v>2200</v>
      </c>
      <c r="S3242">
        <v>274</v>
      </c>
      <c r="U3242" t="s">
        <v>112</v>
      </c>
      <c r="V3242" t="s">
        <v>1484</v>
      </c>
      <c r="X3242" s="43">
        <v>2.1</v>
      </c>
      <c r="AA3242" s="43"/>
      <c r="AB3242" s="43">
        <v>0.1</v>
      </c>
      <c r="AC3242" s="43">
        <v>0.14849999999999999</v>
      </c>
      <c r="AK3242">
        <v>6052112</v>
      </c>
    </row>
    <row r="3243" spans="1:37" ht="19">
      <c r="A3243" s="39" t="s">
        <v>17</v>
      </c>
      <c r="B3243" s="8">
        <v>2024</v>
      </c>
      <c r="C3243" s="8" t="s">
        <v>109</v>
      </c>
      <c r="D3243" s="9" t="s">
        <v>109</v>
      </c>
      <c r="E3243" s="9" t="s">
        <v>111</v>
      </c>
      <c r="F3243" s="9" t="s">
        <v>111</v>
      </c>
      <c r="I3243" s="9" t="s">
        <v>11</v>
      </c>
      <c r="J3243" s="9" t="s">
        <v>11</v>
      </c>
      <c r="K3243" s="9" t="s">
        <v>82</v>
      </c>
      <c r="L3243" s="9" t="s">
        <v>171</v>
      </c>
      <c r="M3243" t="s">
        <v>80</v>
      </c>
      <c r="O3243" t="s">
        <v>2193</v>
      </c>
      <c r="P3243" t="s">
        <v>2201</v>
      </c>
      <c r="S3243">
        <v>173</v>
      </c>
      <c r="U3243" t="s">
        <v>112</v>
      </c>
      <c r="V3243" t="s">
        <v>1484</v>
      </c>
      <c r="X3243" s="43">
        <v>1.35</v>
      </c>
      <c r="AA3243" s="43"/>
      <c r="AB3243" s="43">
        <v>0.1</v>
      </c>
      <c r="AC3243" s="43">
        <v>9.4500000000000001E-2</v>
      </c>
      <c r="AK3243">
        <v>3821224</v>
      </c>
    </row>
    <row r="3244" spans="1:37" ht="19">
      <c r="A3244" s="39" t="s">
        <v>17</v>
      </c>
      <c r="B3244" s="8">
        <v>2024</v>
      </c>
      <c r="C3244" s="8" t="s">
        <v>109</v>
      </c>
      <c r="D3244" s="9" t="s">
        <v>109</v>
      </c>
      <c r="E3244" s="9" t="s">
        <v>111</v>
      </c>
      <c r="F3244" s="9" t="s">
        <v>111</v>
      </c>
      <c r="I3244" s="9" t="s">
        <v>11</v>
      </c>
      <c r="J3244" s="9" t="s">
        <v>11</v>
      </c>
      <c r="K3244" s="9" t="s">
        <v>82</v>
      </c>
      <c r="L3244" s="9" t="s">
        <v>171</v>
      </c>
      <c r="M3244" t="s">
        <v>2107</v>
      </c>
      <c r="O3244" t="s">
        <v>2193</v>
      </c>
      <c r="P3244" t="s">
        <v>1683</v>
      </c>
      <c r="S3244">
        <v>185</v>
      </c>
      <c r="U3244" t="s">
        <v>112</v>
      </c>
      <c r="V3244" t="s">
        <v>1484</v>
      </c>
      <c r="X3244" s="43">
        <v>1.4</v>
      </c>
      <c r="AA3244" s="43"/>
      <c r="AB3244" s="43">
        <v>0.1</v>
      </c>
      <c r="AC3244" s="43">
        <v>0.10349999999999999</v>
      </c>
      <c r="AK3244">
        <v>4086280</v>
      </c>
    </row>
    <row r="3245" spans="1:37" ht="19">
      <c r="A3245" s="39" t="s">
        <v>17</v>
      </c>
      <c r="B3245" s="8">
        <v>2024</v>
      </c>
      <c r="C3245" s="8" t="s">
        <v>109</v>
      </c>
      <c r="D3245" s="9" t="s">
        <v>109</v>
      </c>
      <c r="E3245" s="9" t="s">
        <v>111</v>
      </c>
      <c r="F3245" s="9" t="s">
        <v>111</v>
      </c>
      <c r="I3245" s="9" t="s">
        <v>11</v>
      </c>
      <c r="J3245" s="9" t="s">
        <v>11</v>
      </c>
      <c r="K3245" s="9" t="s">
        <v>82</v>
      </c>
      <c r="L3245" s="9" t="s">
        <v>171</v>
      </c>
      <c r="M3245" t="s">
        <v>2107</v>
      </c>
      <c r="O3245" t="s">
        <v>2193</v>
      </c>
      <c r="P3245" t="s">
        <v>2202</v>
      </c>
      <c r="S3245">
        <v>279</v>
      </c>
      <c r="U3245" t="s">
        <v>112</v>
      </c>
      <c r="V3245" t="s">
        <v>1484</v>
      </c>
      <c r="X3245" s="43">
        <v>2.15</v>
      </c>
      <c r="AA3245" s="43"/>
      <c r="AB3245" s="43">
        <v>0.1</v>
      </c>
      <c r="AC3245" s="43">
        <v>0.153</v>
      </c>
      <c r="AK3245">
        <v>6162552</v>
      </c>
    </row>
    <row r="3246" spans="1:37" ht="19">
      <c r="A3246" s="39" t="s">
        <v>17</v>
      </c>
      <c r="B3246" s="8">
        <v>2024</v>
      </c>
      <c r="C3246" s="8" t="s">
        <v>109</v>
      </c>
      <c r="D3246" s="9" t="s">
        <v>109</v>
      </c>
      <c r="E3246" s="9" t="s">
        <v>111</v>
      </c>
      <c r="F3246" s="9" t="s">
        <v>111</v>
      </c>
      <c r="I3246" s="9" t="s">
        <v>11</v>
      </c>
      <c r="J3246" s="9" t="s">
        <v>11</v>
      </c>
      <c r="K3246" s="9" t="s">
        <v>82</v>
      </c>
      <c r="L3246" s="9" t="s">
        <v>171</v>
      </c>
      <c r="M3246" t="s">
        <v>2107</v>
      </c>
      <c r="O3246" t="s">
        <v>2193</v>
      </c>
      <c r="P3246" t="s">
        <v>2203</v>
      </c>
      <c r="S3246">
        <v>129</v>
      </c>
      <c r="U3246" t="s">
        <v>112</v>
      </c>
      <c r="V3246" t="s">
        <v>1484</v>
      </c>
      <c r="X3246" s="43">
        <v>1</v>
      </c>
      <c r="AA3246" s="43"/>
      <c r="AB3246" s="43">
        <v>0.05</v>
      </c>
      <c r="AC3246" s="43">
        <v>7.1999999999999995E-2</v>
      </c>
      <c r="AK3246">
        <v>2849352</v>
      </c>
    </row>
    <row r="3247" spans="1:37" ht="19">
      <c r="A3247" s="39" t="s">
        <v>17</v>
      </c>
      <c r="B3247" s="8">
        <v>2024</v>
      </c>
      <c r="C3247" s="8" t="s">
        <v>109</v>
      </c>
      <c r="D3247" s="9" t="s">
        <v>109</v>
      </c>
      <c r="E3247" s="9" t="s">
        <v>111</v>
      </c>
      <c r="F3247" s="9" t="s">
        <v>111</v>
      </c>
      <c r="I3247" s="9" t="s">
        <v>11</v>
      </c>
      <c r="J3247" s="9" t="s">
        <v>11</v>
      </c>
      <c r="K3247" s="9" t="s">
        <v>82</v>
      </c>
      <c r="L3247" s="9" t="s">
        <v>171</v>
      </c>
      <c r="M3247" t="s">
        <v>2107</v>
      </c>
      <c r="O3247" t="s">
        <v>2193</v>
      </c>
      <c r="P3247" t="s">
        <v>2204</v>
      </c>
      <c r="S3247">
        <v>482</v>
      </c>
      <c r="U3247" t="s">
        <v>112</v>
      </c>
      <c r="V3247" t="s">
        <v>1484</v>
      </c>
      <c r="X3247" s="43">
        <v>3.7</v>
      </c>
      <c r="AA3247" s="43"/>
      <c r="AB3247" s="43">
        <v>0.2</v>
      </c>
      <c r="AC3247" s="43">
        <v>0.26550000000000001</v>
      </c>
      <c r="AK3247">
        <v>10646416</v>
      </c>
    </row>
    <row r="3248" spans="1:37" ht="19">
      <c r="A3248" s="39" t="s">
        <v>17</v>
      </c>
      <c r="B3248" s="8">
        <v>2024</v>
      </c>
      <c r="C3248" s="8" t="s">
        <v>109</v>
      </c>
      <c r="D3248" s="9" t="s">
        <v>109</v>
      </c>
      <c r="E3248" s="9" t="s">
        <v>111</v>
      </c>
      <c r="F3248" s="9" t="s">
        <v>111</v>
      </c>
      <c r="I3248" s="9" t="s">
        <v>11</v>
      </c>
      <c r="J3248" s="9" t="s">
        <v>11</v>
      </c>
      <c r="K3248" s="9" t="s">
        <v>82</v>
      </c>
      <c r="L3248" s="9" t="s">
        <v>171</v>
      </c>
      <c r="M3248" t="s">
        <v>2107</v>
      </c>
      <c r="O3248" t="s">
        <v>2193</v>
      </c>
      <c r="P3248" t="s">
        <v>2205</v>
      </c>
      <c r="S3248">
        <v>131</v>
      </c>
      <c r="U3248" t="s">
        <v>112</v>
      </c>
      <c r="V3248" t="s">
        <v>1484</v>
      </c>
      <c r="X3248" s="43">
        <v>1</v>
      </c>
      <c r="AA3248" s="43"/>
      <c r="AB3248" s="43">
        <v>0.05</v>
      </c>
      <c r="AC3248" s="43">
        <v>7.1999999999999995E-2</v>
      </c>
      <c r="AK3248">
        <v>2893528</v>
      </c>
    </row>
    <row r="3249" spans="1:37" ht="19">
      <c r="A3249" s="39" t="s">
        <v>17</v>
      </c>
      <c r="B3249" s="8">
        <v>2024</v>
      </c>
      <c r="C3249" s="8" t="s">
        <v>109</v>
      </c>
      <c r="D3249" s="9" t="s">
        <v>109</v>
      </c>
      <c r="E3249" s="9" t="s">
        <v>111</v>
      </c>
      <c r="F3249" s="9" t="s">
        <v>111</v>
      </c>
      <c r="I3249" s="9" t="s">
        <v>11</v>
      </c>
      <c r="J3249" s="9" t="s">
        <v>11</v>
      </c>
      <c r="K3249" s="9" t="s">
        <v>82</v>
      </c>
      <c r="L3249" s="9" t="s">
        <v>171</v>
      </c>
      <c r="M3249" t="s">
        <v>2107</v>
      </c>
      <c r="O3249" t="s">
        <v>2193</v>
      </c>
      <c r="P3249" t="s">
        <v>2206</v>
      </c>
      <c r="S3249">
        <v>448</v>
      </c>
      <c r="U3249" t="s">
        <v>112</v>
      </c>
      <c r="V3249" t="s">
        <v>1484</v>
      </c>
      <c r="X3249" s="43">
        <v>1.2</v>
      </c>
      <c r="AA3249" s="43"/>
      <c r="AB3249" s="43">
        <v>0.05</v>
      </c>
      <c r="AC3249" s="43">
        <v>8.5500000000000007E-2</v>
      </c>
      <c r="AK3249">
        <v>9895424</v>
      </c>
    </row>
    <row r="3250" spans="1:37" ht="19">
      <c r="A3250" s="39" t="s">
        <v>17</v>
      </c>
      <c r="B3250" s="8">
        <v>2024</v>
      </c>
      <c r="C3250" s="8" t="s">
        <v>109</v>
      </c>
      <c r="D3250" s="9" t="s">
        <v>109</v>
      </c>
      <c r="E3250" s="9" t="s">
        <v>111</v>
      </c>
      <c r="F3250" s="9" t="s">
        <v>111</v>
      </c>
      <c r="I3250" s="9" t="s">
        <v>11</v>
      </c>
      <c r="J3250" s="9" t="s">
        <v>11</v>
      </c>
      <c r="K3250" s="9" t="s">
        <v>82</v>
      </c>
      <c r="L3250" s="9" t="s">
        <v>171</v>
      </c>
      <c r="M3250" t="s">
        <v>2107</v>
      </c>
      <c r="O3250" t="s">
        <v>2193</v>
      </c>
      <c r="P3250" t="s">
        <v>2207</v>
      </c>
      <c r="S3250">
        <v>233</v>
      </c>
      <c r="U3250" t="s">
        <v>112</v>
      </c>
      <c r="V3250" t="s">
        <v>1484</v>
      </c>
      <c r="X3250" s="43">
        <v>1.8</v>
      </c>
      <c r="AA3250" s="43"/>
      <c r="AB3250" s="43">
        <v>0.1</v>
      </c>
      <c r="AC3250" s="43">
        <v>0.126</v>
      </c>
      <c r="AK3250">
        <v>5146504</v>
      </c>
    </row>
    <row r="3251" spans="1:37" ht="19">
      <c r="A3251" s="39" t="s">
        <v>17</v>
      </c>
      <c r="B3251" s="8">
        <v>2024</v>
      </c>
      <c r="C3251" s="8" t="s">
        <v>109</v>
      </c>
      <c r="D3251" s="9" t="s">
        <v>109</v>
      </c>
      <c r="E3251" s="9" t="s">
        <v>111</v>
      </c>
      <c r="F3251" s="9" t="s">
        <v>111</v>
      </c>
      <c r="I3251" s="9" t="s">
        <v>11</v>
      </c>
      <c r="J3251" s="9" t="s">
        <v>11</v>
      </c>
      <c r="K3251" s="9" t="s">
        <v>82</v>
      </c>
      <c r="L3251" s="9" t="s">
        <v>171</v>
      </c>
      <c r="M3251" t="s">
        <v>2107</v>
      </c>
      <c r="O3251" t="s">
        <v>2193</v>
      </c>
      <c r="P3251" t="s">
        <v>2208</v>
      </c>
      <c r="S3251">
        <v>178</v>
      </c>
      <c r="U3251" t="s">
        <v>112</v>
      </c>
      <c r="V3251" t="s">
        <v>1484</v>
      </c>
      <c r="X3251" s="43">
        <v>1.35</v>
      </c>
      <c r="AA3251" s="43"/>
      <c r="AB3251" s="43">
        <v>0.1</v>
      </c>
      <c r="AC3251" s="43">
        <v>9.9000000000000005E-2</v>
      </c>
      <c r="AK3251">
        <v>3931664</v>
      </c>
    </row>
    <row r="3252" spans="1:37" ht="19">
      <c r="A3252" s="39" t="s">
        <v>17</v>
      </c>
      <c r="B3252" s="8">
        <v>2024</v>
      </c>
      <c r="C3252" s="8" t="s">
        <v>109</v>
      </c>
      <c r="D3252" s="9" t="s">
        <v>109</v>
      </c>
      <c r="E3252" s="9" t="s">
        <v>111</v>
      </c>
      <c r="F3252" s="9" t="s">
        <v>111</v>
      </c>
      <c r="I3252" s="9" t="s">
        <v>11</v>
      </c>
      <c r="J3252" s="9" t="s">
        <v>11</v>
      </c>
      <c r="K3252" s="9" t="s">
        <v>82</v>
      </c>
      <c r="L3252" s="9" t="s">
        <v>171</v>
      </c>
      <c r="M3252" t="s">
        <v>2107</v>
      </c>
      <c r="O3252" t="s">
        <v>2193</v>
      </c>
      <c r="P3252" t="s">
        <v>2209</v>
      </c>
      <c r="S3252">
        <v>738</v>
      </c>
      <c r="U3252" t="s">
        <v>112</v>
      </c>
      <c r="V3252" t="s">
        <v>1484</v>
      </c>
      <c r="X3252" s="43">
        <v>5.7</v>
      </c>
      <c r="AA3252" s="43"/>
      <c r="AB3252" s="43">
        <v>0.25</v>
      </c>
      <c r="AC3252" s="43">
        <v>0.40500000000000003</v>
      </c>
      <c r="AK3252">
        <v>16300944</v>
      </c>
    </row>
    <row r="3253" spans="1:37" ht="19">
      <c r="A3253" s="39" t="s">
        <v>17</v>
      </c>
      <c r="B3253" s="8">
        <v>2024</v>
      </c>
      <c r="C3253" s="8" t="s">
        <v>109</v>
      </c>
      <c r="D3253" s="9" t="s">
        <v>109</v>
      </c>
      <c r="E3253" s="9" t="s">
        <v>111</v>
      </c>
      <c r="F3253" s="9" t="s">
        <v>111</v>
      </c>
      <c r="I3253" s="9" t="s">
        <v>11</v>
      </c>
      <c r="J3253" s="9" t="s">
        <v>11</v>
      </c>
      <c r="K3253" s="9" t="s">
        <v>82</v>
      </c>
      <c r="L3253" s="9" t="s">
        <v>171</v>
      </c>
      <c r="M3253" t="s">
        <v>2107</v>
      </c>
      <c r="O3253" t="s">
        <v>2193</v>
      </c>
      <c r="P3253" t="s">
        <v>2210</v>
      </c>
      <c r="S3253">
        <v>240</v>
      </c>
      <c r="U3253" t="s">
        <v>112</v>
      </c>
      <c r="V3253" t="s">
        <v>1484</v>
      </c>
      <c r="X3253" s="43">
        <v>1.85</v>
      </c>
      <c r="AA3253" s="43"/>
      <c r="AB3253" s="43">
        <v>0.1</v>
      </c>
      <c r="AC3253" s="43">
        <v>0.1305</v>
      </c>
      <c r="AK3253">
        <v>5301120</v>
      </c>
    </row>
    <row r="3254" spans="1:37" ht="19">
      <c r="A3254" s="39" t="s">
        <v>17</v>
      </c>
      <c r="B3254" s="8">
        <v>2024</v>
      </c>
      <c r="C3254" s="8" t="s">
        <v>109</v>
      </c>
      <c r="D3254" s="9" t="s">
        <v>109</v>
      </c>
      <c r="E3254" s="9" t="s">
        <v>111</v>
      </c>
      <c r="F3254" s="9" t="s">
        <v>111</v>
      </c>
      <c r="I3254" s="9" t="s">
        <v>11</v>
      </c>
      <c r="J3254" s="9" t="s">
        <v>11</v>
      </c>
      <c r="K3254" s="9" t="s">
        <v>82</v>
      </c>
      <c r="L3254" s="9" t="s">
        <v>171</v>
      </c>
      <c r="M3254" t="s">
        <v>2107</v>
      </c>
      <c r="O3254" t="s">
        <v>2193</v>
      </c>
      <c r="P3254" t="s">
        <v>2211</v>
      </c>
      <c r="S3254">
        <v>268</v>
      </c>
      <c r="U3254" t="s">
        <v>112</v>
      </c>
      <c r="V3254" t="s">
        <v>1484</v>
      </c>
      <c r="X3254" s="43">
        <v>2.0499999999999998</v>
      </c>
      <c r="AA3254" s="43"/>
      <c r="AB3254" s="43">
        <v>0.1</v>
      </c>
      <c r="AC3254" s="43">
        <v>0.14849999999999999</v>
      </c>
      <c r="AK3254">
        <v>5919584</v>
      </c>
    </row>
    <row r="3255" spans="1:37" ht="19">
      <c r="A3255" s="39" t="s">
        <v>17</v>
      </c>
      <c r="B3255" s="8">
        <v>2024</v>
      </c>
      <c r="C3255" s="8" t="s">
        <v>109</v>
      </c>
      <c r="D3255" s="9" t="s">
        <v>109</v>
      </c>
      <c r="E3255" s="9" t="s">
        <v>111</v>
      </c>
      <c r="F3255" s="9" t="s">
        <v>111</v>
      </c>
      <c r="I3255" s="9" t="s">
        <v>11</v>
      </c>
      <c r="J3255" s="9" t="s">
        <v>11</v>
      </c>
      <c r="K3255" s="9" t="s">
        <v>82</v>
      </c>
      <c r="L3255" s="9" t="s">
        <v>171</v>
      </c>
      <c r="M3255" t="s">
        <v>2107</v>
      </c>
      <c r="O3255" t="s">
        <v>2193</v>
      </c>
      <c r="P3255" t="s">
        <v>2212</v>
      </c>
      <c r="S3255">
        <v>0</v>
      </c>
      <c r="U3255" s="14" t="s">
        <v>77</v>
      </c>
      <c r="V3255" t="s">
        <v>1720</v>
      </c>
      <c r="X3255" s="43">
        <v>0</v>
      </c>
      <c r="AA3255" s="43"/>
      <c r="AB3255" s="43">
        <v>0</v>
      </c>
      <c r="AC3255" s="43">
        <v>0</v>
      </c>
      <c r="AJ3255" s="13">
        <f t="shared" ref="AJ3255:AJ3256" si="300">SUBTOTAL(9,X3255:AI3255)</f>
        <v>0</v>
      </c>
      <c r="AK3255">
        <v>0</v>
      </c>
    </row>
    <row r="3256" spans="1:37" ht="19">
      <c r="A3256" s="39" t="s">
        <v>17</v>
      </c>
      <c r="B3256" s="8">
        <v>2024</v>
      </c>
      <c r="C3256" s="8" t="s">
        <v>109</v>
      </c>
      <c r="D3256" s="9" t="s">
        <v>109</v>
      </c>
      <c r="E3256" s="9" t="s">
        <v>111</v>
      </c>
      <c r="F3256" s="9" t="s">
        <v>111</v>
      </c>
      <c r="I3256" s="9" t="s">
        <v>11</v>
      </c>
      <c r="J3256" s="9" t="s">
        <v>11</v>
      </c>
      <c r="K3256" s="9" t="s">
        <v>82</v>
      </c>
      <c r="L3256" s="9" t="s">
        <v>171</v>
      </c>
      <c r="M3256" t="s">
        <v>2107</v>
      </c>
      <c r="O3256" t="s">
        <v>2193</v>
      </c>
      <c r="P3256" t="s">
        <v>2213</v>
      </c>
      <c r="S3256">
        <v>156</v>
      </c>
      <c r="U3256" s="14" t="s">
        <v>77</v>
      </c>
      <c r="V3256" t="s">
        <v>1720</v>
      </c>
      <c r="X3256" s="43">
        <v>1.2</v>
      </c>
      <c r="AA3256" s="43"/>
      <c r="AB3256" s="43">
        <v>0.3</v>
      </c>
      <c r="AC3256" s="43">
        <v>8.5500000000000007E-2</v>
      </c>
      <c r="AJ3256" s="13">
        <f t="shared" si="300"/>
        <v>1.5854999999999999</v>
      </c>
      <c r="AK3256">
        <v>0</v>
      </c>
    </row>
    <row r="3257" spans="1:37" ht="19">
      <c r="A3257" s="39" t="s">
        <v>17</v>
      </c>
      <c r="B3257" s="8">
        <v>2024</v>
      </c>
      <c r="C3257" s="8" t="s">
        <v>109</v>
      </c>
      <c r="D3257" s="9" t="s">
        <v>109</v>
      </c>
      <c r="E3257" s="9" t="s">
        <v>111</v>
      </c>
      <c r="F3257" s="9" t="s">
        <v>111</v>
      </c>
      <c r="I3257" s="9" t="s">
        <v>13</v>
      </c>
      <c r="J3257" s="9" t="s">
        <v>13</v>
      </c>
      <c r="K3257" s="9" t="s">
        <v>2214</v>
      </c>
      <c r="L3257" s="9" t="s">
        <v>1445</v>
      </c>
      <c r="M3257" t="s">
        <v>2215</v>
      </c>
      <c r="O3257" t="s">
        <v>2216</v>
      </c>
      <c r="P3257" t="s">
        <v>2217</v>
      </c>
      <c r="S3257">
        <v>185</v>
      </c>
      <c r="U3257" t="s">
        <v>112</v>
      </c>
      <c r="V3257" t="s">
        <v>112</v>
      </c>
      <c r="X3257" s="43">
        <v>1</v>
      </c>
      <c r="AA3257" s="43"/>
      <c r="AB3257" s="43">
        <v>0.05</v>
      </c>
      <c r="AC3257" s="43">
        <v>7.1999999999999995E-2</v>
      </c>
      <c r="AK3257">
        <v>4086280</v>
      </c>
    </row>
    <row r="3258" spans="1:37" ht="19">
      <c r="A3258" s="39" t="s">
        <v>17</v>
      </c>
      <c r="B3258" s="8">
        <v>2024</v>
      </c>
      <c r="C3258" s="8" t="s">
        <v>109</v>
      </c>
      <c r="D3258" s="9" t="s">
        <v>109</v>
      </c>
      <c r="E3258" s="9" t="s">
        <v>111</v>
      </c>
      <c r="F3258" s="9" t="s">
        <v>111</v>
      </c>
      <c r="I3258" s="9" t="s">
        <v>13</v>
      </c>
      <c r="J3258" s="9" t="s">
        <v>13</v>
      </c>
      <c r="K3258" s="9" t="s">
        <v>2214</v>
      </c>
      <c r="L3258" s="9" t="s">
        <v>1445</v>
      </c>
      <c r="M3258" t="s">
        <v>2215</v>
      </c>
      <c r="O3258" t="s">
        <v>2216</v>
      </c>
      <c r="P3258" t="s">
        <v>1556</v>
      </c>
      <c r="S3258">
        <v>491</v>
      </c>
      <c r="U3258" t="s">
        <v>112</v>
      </c>
      <c r="V3258" t="s">
        <v>1484</v>
      </c>
      <c r="X3258" s="43">
        <v>1.65</v>
      </c>
      <c r="AA3258" s="43"/>
      <c r="AB3258" s="43">
        <v>0.1</v>
      </c>
      <c r="AC3258" s="43">
        <v>0.11700000000000001</v>
      </c>
      <c r="AK3258">
        <v>10845208</v>
      </c>
    </row>
    <row r="3259" spans="1:37" ht="19">
      <c r="A3259" s="39" t="s">
        <v>17</v>
      </c>
      <c r="B3259" s="8">
        <v>2024</v>
      </c>
      <c r="C3259" s="8" t="s">
        <v>109</v>
      </c>
      <c r="D3259" s="9" t="s">
        <v>109</v>
      </c>
      <c r="E3259" s="9" t="s">
        <v>111</v>
      </c>
      <c r="F3259" s="9" t="s">
        <v>111</v>
      </c>
      <c r="I3259" s="9" t="s">
        <v>13</v>
      </c>
      <c r="J3259" s="9" t="s">
        <v>13</v>
      </c>
      <c r="K3259" s="9" t="s">
        <v>2214</v>
      </c>
      <c r="L3259" s="9" t="s">
        <v>1445</v>
      </c>
      <c r="M3259" t="s">
        <v>2215</v>
      </c>
      <c r="O3259" t="s">
        <v>2216</v>
      </c>
      <c r="P3259" t="s">
        <v>2218</v>
      </c>
      <c r="S3259">
        <v>495</v>
      </c>
      <c r="U3259" t="s">
        <v>112</v>
      </c>
      <c r="V3259" t="s">
        <v>1484</v>
      </c>
      <c r="X3259" s="43">
        <v>1.6</v>
      </c>
      <c r="AA3259" s="43"/>
      <c r="AB3259" s="43">
        <v>0.1</v>
      </c>
      <c r="AC3259" s="43">
        <v>0.1125</v>
      </c>
      <c r="AK3259">
        <v>10933560</v>
      </c>
    </row>
    <row r="3260" spans="1:37" ht="19">
      <c r="A3260" s="39" t="s">
        <v>17</v>
      </c>
      <c r="B3260" s="8">
        <v>2024</v>
      </c>
      <c r="C3260" s="8" t="s">
        <v>109</v>
      </c>
      <c r="D3260" s="9" t="s">
        <v>109</v>
      </c>
      <c r="E3260" s="9" t="s">
        <v>111</v>
      </c>
      <c r="F3260" s="9" t="s">
        <v>111</v>
      </c>
      <c r="I3260" s="9" t="s">
        <v>13</v>
      </c>
      <c r="J3260" s="9" t="s">
        <v>13</v>
      </c>
      <c r="K3260" s="9" t="s">
        <v>2214</v>
      </c>
      <c r="L3260" s="9" t="s">
        <v>1445</v>
      </c>
      <c r="M3260" t="s">
        <v>2215</v>
      </c>
      <c r="O3260" t="s">
        <v>2216</v>
      </c>
      <c r="P3260" t="s">
        <v>2219</v>
      </c>
      <c r="S3260">
        <v>309</v>
      </c>
      <c r="U3260" t="s">
        <v>112</v>
      </c>
      <c r="V3260" t="s">
        <v>1484</v>
      </c>
      <c r="X3260" s="43">
        <v>1.05</v>
      </c>
      <c r="AA3260" s="43"/>
      <c r="AB3260" s="43">
        <v>0.05</v>
      </c>
      <c r="AC3260" s="43">
        <v>7.6499999999999999E-2</v>
      </c>
      <c r="AK3260">
        <v>6825192</v>
      </c>
    </row>
    <row r="3261" spans="1:37" ht="19">
      <c r="A3261" s="39" t="s">
        <v>17</v>
      </c>
      <c r="B3261" s="8">
        <v>2024</v>
      </c>
      <c r="C3261" s="8" t="s">
        <v>109</v>
      </c>
      <c r="D3261" s="9" t="s">
        <v>109</v>
      </c>
      <c r="E3261" s="9" t="s">
        <v>111</v>
      </c>
      <c r="F3261" s="9" t="s">
        <v>111</v>
      </c>
      <c r="I3261" s="9" t="s">
        <v>13</v>
      </c>
      <c r="J3261" s="9" t="s">
        <v>13</v>
      </c>
      <c r="K3261" s="9" t="s">
        <v>2214</v>
      </c>
      <c r="L3261" s="9" t="s">
        <v>1445</v>
      </c>
      <c r="M3261" t="s">
        <v>2215</v>
      </c>
      <c r="O3261" t="s">
        <v>2220</v>
      </c>
      <c r="P3261" t="s">
        <v>2221</v>
      </c>
      <c r="S3261">
        <v>573</v>
      </c>
      <c r="U3261" t="s">
        <v>112</v>
      </c>
      <c r="V3261" t="s">
        <v>1484</v>
      </c>
      <c r="X3261" s="43">
        <v>1.85</v>
      </c>
      <c r="AA3261" s="43"/>
      <c r="AB3261" s="43">
        <v>0.05</v>
      </c>
      <c r="AC3261" s="43">
        <v>0.13500000000000001</v>
      </c>
      <c r="AK3261">
        <v>12656424</v>
      </c>
    </row>
    <row r="3262" spans="1:37" ht="19">
      <c r="A3262" s="39" t="s">
        <v>17</v>
      </c>
      <c r="B3262" s="8">
        <v>2024</v>
      </c>
      <c r="C3262" s="8" t="s">
        <v>109</v>
      </c>
      <c r="D3262" s="9" t="s">
        <v>109</v>
      </c>
      <c r="E3262" s="9" t="s">
        <v>111</v>
      </c>
      <c r="F3262" s="9" t="s">
        <v>111</v>
      </c>
      <c r="I3262" s="9" t="s">
        <v>13</v>
      </c>
      <c r="J3262" s="9" t="s">
        <v>13</v>
      </c>
      <c r="K3262" s="9" t="s">
        <v>2214</v>
      </c>
      <c r="L3262" s="9" t="s">
        <v>1445</v>
      </c>
      <c r="M3262" t="s">
        <v>2215</v>
      </c>
      <c r="O3262" t="s">
        <v>2220</v>
      </c>
      <c r="P3262" t="s">
        <v>2222</v>
      </c>
      <c r="S3262">
        <v>721</v>
      </c>
      <c r="U3262" t="s">
        <v>112</v>
      </c>
      <c r="V3262" t="s">
        <v>112</v>
      </c>
      <c r="X3262" s="43">
        <v>3.95</v>
      </c>
      <c r="AA3262" s="43"/>
      <c r="AB3262" s="43">
        <v>0.2</v>
      </c>
      <c r="AC3262" s="43">
        <v>0.28349999999999997</v>
      </c>
      <c r="AK3262">
        <v>15925448</v>
      </c>
    </row>
    <row r="3263" spans="1:37" ht="19">
      <c r="A3263" s="39" t="s">
        <v>17</v>
      </c>
      <c r="B3263" s="8">
        <v>2024</v>
      </c>
      <c r="C3263" s="8" t="s">
        <v>109</v>
      </c>
      <c r="D3263" s="9" t="s">
        <v>109</v>
      </c>
      <c r="E3263" s="9" t="s">
        <v>111</v>
      </c>
      <c r="F3263" s="9" t="s">
        <v>111</v>
      </c>
      <c r="I3263" s="9" t="s">
        <v>13</v>
      </c>
      <c r="J3263" s="9" t="s">
        <v>13</v>
      </c>
      <c r="K3263" s="9" t="s">
        <v>2214</v>
      </c>
      <c r="L3263" s="9" t="s">
        <v>1445</v>
      </c>
      <c r="M3263" t="s">
        <v>2215</v>
      </c>
      <c r="O3263" t="s">
        <v>2220</v>
      </c>
      <c r="P3263" t="s">
        <v>2223</v>
      </c>
      <c r="S3263">
        <v>185</v>
      </c>
      <c r="U3263" t="s">
        <v>112</v>
      </c>
      <c r="V3263" t="s">
        <v>112</v>
      </c>
      <c r="X3263" s="43">
        <v>1</v>
      </c>
      <c r="AA3263" s="43"/>
      <c r="AB3263" s="43">
        <v>0.05</v>
      </c>
      <c r="AC3263" s="43">
        <v>7.1999999999999995E-2</v>
      </c>
      <c r="AK3263">
        <v>4039940</v>
      </c>
    </row>
    <row r="3264" spans="1:37" ht="19">
      <c r="A3264" s="39" t="s">
        <v>17</v>
      </c>
      <c r="B3264" s="8">
        <v>2024</v>
      </c>
      <c r="C3264" s="8" t="s">
        <v>109</v>
      </c>
      <c r="D3264" s="9" t="s">
        <v>109</v>
      </c>
      <c r="E3264" s="9" t="s">
        <v>111</v>
      </c>
      <c r="F3264" s="9" t="s">
        <v>111</v>
      </c>
      <c r="I3264" s="9" t="s">
        <v>13</v>
      </c>
      <c r="J3264" s="9" t="s">
        <v>13</v>
      </c>
      <c r="K3264" s="9" t="s">
        <v>2214</v>
      </c>
      <c r="L3264" s="9" t="s">
        <v>1445</v>
      </c>
      <c r="M3264" t="s">
        <v>2215</v>
      </c>
      <c r="O3264" t="s">
        <v>2224</v>
      </c>
      <c r="P3264" t="s">
        <v>2225</v>
      </c>
      <c r="S3264">
        <v>596</v>
      </c>
      <c r="U3264" t="s">
        <v>112</v>
      </c>
      <c r="V3264" t="s">
        <v>112</v>
      </c>
      <c r="X3264" s="43">
        <v>3.25</v>
      </c>
      <c r="AA3264" s="43"/>
      <c r="AB3264" s="43">
        <v>0.15</v>
      </c>
      <c r="AC3264" s="43">
        <v>0.23400000000000001</v>
      </c>
      <c r="AK3264">
        <v>13164448</v>
      </c>
    </row>
    <row r="3265" spans="1:37" ht="19">
      <c r="A3265" s="39" t="s">
        <v>17</v>
      </c>
      <c r="B3265" s="8">
        <v>2024</v>
      </c>
      <c r="C3265" s="8" t="s">
        <v>109</v>
      </c>
      <c r="D3265" s="9" t="s">
        <v>109</v>
      </c>
      <c r="E3265" s="9" t="s">
        <v>111</v>
      </c>
      <c r="F3265" s="9" t="s">
        <v>111</v>
      </c>
      <c r="I3265" s="9" t="s">
        <v>13</v>
      </c>
      <c r="J3265" s="9" t="s">
        <v>13</v>
      </c>
      <c r="K3265" s="9" t="s">
        <v>2214</v>
      </c>
      <c r="L3265" s="9" t="s">
        <v>1445</v>
      </c>
      <c r="M3265" t="s">
        <v>2215</v>
      </c>
      <c r="O3265" t="s">
        <v>2226</v>
      </c>
      <c r="P3265" t="s">
        <v>2227</v>
      </c>
      <c r="S3265">
        <v>265</v>
      </c>
      <c r="U3265" t="s">
        <v>112</v>
      </c>
      <c r="V3265" t="s">
        <v>1484</v>
      </c>
      <c r="X3265" s="43">
        <v>0.9</v>
      </c>
      <c r="AA3265" s="43"/>
      <c r="AB3265" s="43">
        <v>0.05</v>
      </c>
      <c r="AC3265" s="43">
        <v>6.3E-2</v>
      </c>
      <c r="AK3265">
        <v>5853320</v>
      </c>
    </row>
    <row r="3266" spans="1:37" ht="19">
      <c r="A3266" s="39" t="s">
        <v>17</v>
      </c>
      <c r="B3266" s="8">
        <v>2024</v>
      </c>
      <c r="C3266" s="8" t="s">
        <v>109</v>
      </c>
      <c r="D3266" s="9" t="s">
        <v>109</v>
      </c>
      <c r="E3266" s="9" t="s">
        <v>111</v>
      </c>
      <c r="F3266" s="9" t="s">
        <v>111</v>
      </c>
      <c r="I3266" s="9" t="s">
        <v>13</v>
      </c>
      <c r="J3266" s="9" t="s">
        <v>13</v>
      </c>
      <c r="K3266" s="9" t="s">
        <v>2214</v>
      </c>
      <c r="L3266" s="9" t="s">
        <v>1445</v>
      </c>
      <c r="M3266" t="s">
        <v>2215</v>
      </c>
      <c r="O3266" t="s">
        <v>2226</v>
      </c>
      <c r="P3266" t="s">
        <v>2228</v>
      </c>
      <c r="S3266">
        <v>244</v>
      </c>
      <c r="U3266" t="s">
        <v>112</v>
      </c>
      <c r="V3266" t="s">
        <v>1484</v>
      </c>
      <c r="X3266" s="43">
        <v>0.85</v>
      </c>
      <c r="AA3266" s="43"/>
      <c r="AB3266" s="43">
        <v>0.05</v>
      </c>
      <c r="AC3266" s="43">
        <v>5.8500000000000003E-2</v>
      </c>
      <c r="AK3266">
        <v>5389472</v>
      </c>
    </row>
    <row r="3267" spans="1:37" ht="19">
      <c r="A3267" s="39" t="s">
        <v>17</v>
      </c>
      <c r="B3267" s="8">
        <v>2024</v>
      </c>
      <c r="C3267" s="8" t="s">
        <v>109</v>
      </c>
      <c r="D3267" s="9" t="s">
        <v>109</v>
      </c>
      <c r="E3267" s="9" t="s">
        <v>111</v>
      </c>
      <c r="F3267" s="9" t="s">
        <v>111</v>
      </c>
      <c r="I3267" s="9" t="s">
        <v>13</v>
      </c>
      <c r="J3267" s="9" t="s">
        <v>13</v>
      </c>
      <c r="K3267" s="9" t="s">
        <v>2214</v>
      </c>
      <c r="L3267" s="9" t="s">
        <v>1445</v>
      </c>
      <c r="M3267" t="s">
        <v>2215</v>
      </c>
      <c r="O3267" t="s">
        <v>2226</v>
      </c>
      <c r="P3267" t="s">
        <v>2229</v>
      </c>
      <c r="S3267">
        <v>101</v>
      </c>
      <c r="U3267" t="s">
        <v>112</v>
      </c>
      <c r="V3267" t="s">
        <v>1484</v>
      </c>
      <c r="X3267" s="43">
        <v>0.35</v>
      </c>
      <c r="AA3267" s="43"/>
      <c r="AB3267" s="43">
        <v>0</v>
      </c>
      <c r="AC3267" s="43">
        <v>2.2499999999999999E-2</v>
      </c>
      <c r="AK3267">
        <v>2230888</v>
      </c>
    </row>
    <row r="3268" spans="1:37" ht="19">
      <c r="A3268" s="39" t="s">
        <v>17</v>
      </c>
      <c r="B3268" s="8">
        <v>2024</v>
      </c>
      <c r="C3268" s="8" t="s">
        <v>109</v>
      </c>
      <c r="D3268" s="9" t="s">
        <v>109</v>
      </c>
      <c r="E3268" s="9" t="s">
        <v>111</v>
      </c>
      <c r="F3268" s="9" t="s">
        <v>111</v>
      </c>
      <c r="I3268" s="9" t="s">
        <v>13</v>
      </c>
      <c r="J3268" s="9" t="s">
        <v>13</v>
      </c>
      <c r="K3268" s="9" t="s">
        <v>2214</v>
      </c>
      <c r="L3268" s="9" t="s">
        <v>1445</v>
      </c>
      <c r="M3268" t="s">
        <v>2215</v>
      </c>
      <c r="O3268" t="s">
        <v>2230</v>
      </c>
      <c r="P3268" t="s">
        <v>2231</v>
      </c>
      <c r="S3268">
        <v>285</v>
      </c>
      <c r="U3268" t="s">
        <v>112</v>
      </c>
      <c r="V3268" t="s">
        <v>1484</v>
      </c>
      <c r="X3268" s="43">
        <v>0.95</v>
      </c>
      <c r="AA3268" s="43"/>
      <c r="AB3268" s="43">
        <v>0</v>
      </c>
      <c r="AC3268" s="43">
        <v>6.7500000000000004E-2</v>
      </c>
      <c r="AK3268">
        <v>6295080</v>
      </c>
    </row>
    <row r="3269" spans="1:37" ht="19">
      <c r="A3269" s="39" t="s">
        <v>17</v>
      </c>
      <c r="B3269" s="8">
        <v>2024</v>
      </c>
      <c r="C3269" s="8" t="s">
        <v>109</v>
      </c>
      <c r="D3269" s="9" t="s">
        <v>109</v>
      </c>
      <c r="E3269" s="9" t="s">
        <v>111</v>
      </c>
      <c r="F3269" s="9" t="s">
        <v>111</v>
      </c>
      <c r="I3269" s="9" t="s">
        <v>13</v>
      </c>
      <c r="J3269" s="9" t="s">
        <v>13</v>
      </c>
      <c r="K3269" s="9" t="s">
        <v>2214</v>
      </c>
      <c r="L3269" s="9" t="s">
        <v>1445</v>
      </c>
      <c r="M3269" t="s">
        <v>2215</v>
      </c>
      <c r="O3269" t="s">
        <v>2230</v>
      </c>
      <c r="P3269" t="s">
        <v>2232</v>
      </c>
      <c r="S3269">
        <v>326</v>
      </c>
      <c r="U3269" t="s">
        <v>112</v>
      </c>
      <c r="V3269" t="s">
        <v>1484</v>
      </c>
      <c r="X3269" s="43">
        <v>1.05</v>
      </c>
      <c r="AA3269" s="43"/>
      <c r="AB3269" s="43">
        <v>0.05</v>
      </c>
      <c r="AC3269" s="43">
        <v>7.6499999999999999E-2</v>
      </c>
      <c r="AK3269">
        <v>7199618</v>
      </c>
    </row>
    <row r="3270" spans="1:37" ht="19">
      <c r="A3270" s="39" t="s">
        <v>17</v>
      </c>
      <c r="B3270" s="8">
        <v>2024</v>
      </c>
      <c r="C3270" s="8" t="s">
        <v>109</v>
      </c>
      <c r="D3270" s="9" t="s">
        <v>109</v>
      </c>
      <c r="E3270" s="9" t="s">
        <v>111</v>
      </c>
      <c r="F3270" s="9" t="s">
        <v>111</v>
      </c>
      <c r="I3270" s="9" t="s">
        <v>13</v>
      </c>
      <c r="J3270" s="9" t="s">
        <v>13</v>
      </c>
      <c r="K3270" s="9" t="s">
        <v>2214</v>
      </c>
      <c r="L3270" s="9" t="s">
        <v>1445</v>
      </c>
      <c r="M3270" t="s">
        <v>2215</v>
      </c>
      <c r="O3270" t="s">
        <v>2230</v>
      </c>
      <c r="P3270" t="s">
        <v>2233</v>
      </c>
      <c r="S3270">
        <v>248</v>
      </c>
      <c r="U3270" t="s">
        <v>112</v>
      </c>
      <c r="V3270" t="s">
        <v>1484</v>
      </c>
      <c r="X3270" s="43">
        <v>0.8</v>
      </c>
      <c r="AA3270" s="43"/>
      <c r="AB3270" s="43">
        <v>0.05</v>
      </c>
      <c r="AC3270" s="43">
        <v>5.8500000000000003E-2</v>
      </c>
      <c r="AK3270">
        <v>5477824</v>
      </c>
    </row>
    <row r="3271" spans="1:37" ht="19">
      <c r="A3271" s="39" t="s">
        <v>17</v>
      </c>
      <c r="B3271" s="8">
        <v>2024</v>
      </c>
      <c r="C3271" s="8" t="s">
        <v>109</v>
      </c>
      <c r="D3271" s="9" t="s">
        <v>109</v>
      </c>
      <c r="E3271" s="9" t="s">
        <v>111</v>
      </c>
      <c r="F3271" s="9" t="s">
        <v>111</v>
      </c>
      <c r="I3271" s="9" t="s">
        <v>13</v>
      </c>
      <c r="J3271" s="9" t="s">
        <v>13</v>
      </c>
      <c r="K3271" s="9" t="s">
        <v>2214</v>
      </c>
      <c r="L3271" s="9" t="s">
        <v>1445</v>
      </c>
      <c r="M3271" t="s">
        <v>2215</v>
      </c>
      <c r="O3271" t="s">
        <v>2230</v>
      </c>
      <c r="P3271" t="s">
        <v>2234</v>
      </c>
      <c r="S3271">
        <v>213</v>
      </c>
      <c r="U3271" t="s">
        <v>112</v>
      </c>
      <c r="V3271" t="s">
        <v>1484</v>
      </c>
      <c r="X3271" s="43">
        <v>0.7</v>
      </c>
      <c r="AA3271" s="43"/>
      <c r="AB3271" s="43">
        <v>0.05</v>
      </c>
      <c r="AC3271" s="43">
        <v>4.9500000000000002E-2</v>
      </c>
      <c r="AK3271">
        <v>4704744</v>
      </c>
    </row>
    <row r="3272" spans="1:37" ht="19">
      <c r="A3272" s="39" t="s">
        <v>17</v>
      </c>
      <c r="B3272" s="8">
        <v>2024</v>
      </c>
      <c r="C3272" s="8" t="s">
        <v>109</v>
      </c>
      <c r="D3272" s="9" t="s">
        <v>109</v>
      </c>
      <c r="E3272" s="9" t="s">
        <v>111</v>
      </c>
      <c r="F3272" s="9" t="s">
        <v>111</v>
      </c>
      <c r="I3272" s="9" t="s">
        <v>13</v>
      </c>
      <c r="J3272" s="9" t="s">
        <v>13</v>
      </c>
      <c r="K3272" s="9" t="s">
        <v>2214</v>
      </c>
      <c r="L3272" s="9" t="s">
        <v>1445</v>
      </c>
      <c r="M3272" t="s">
        <v>2215</v>
      </c>
      <c r="O3272" t="s">
        <v>2235</v>
      </c>
      <c r="P3272" t="s">
        <v>2236</v>
      </c>
      <c r="S3272">
        <v>172</v>
      </c>
      <c r="U3272" t="s">
        <v>112</v>
      </c>
      <c r="V3272" t="s">
        <v>1484</v>
      </c>
      <c r="X3272" s="43">
        <v>0.55000000000000004</v>
      </c>
      <c r="AA3272" s="43"/>
      <c r="AB3272" s="43">
        <v>0.05</v>
      </c>
      <c r="AC3272" s="43">
        <v>4.0500000000000001E-2</v>
      </c>
      <c r="AK3272">
        <v>3799136</v>
      </c>
    </row>
    <row r="3273" spans="1:37" ht="19">
      <c r="A3273" s="39" t="s">
        <v>17</v>
      </c>
      <c r="B3273" s="8">
        <v>2024</v>
      </c>
      <c r="C3273" s="8" t="s">
        <v>109</v>
      </c>
      <c r="D3273" s="9" t="s">
        <v>109</v>
      </c>
      <c r="E3273" s="9" t="s">
        <v>111</v>
      </c>
      <c r="F3273" s="9" t="s">
        <v>111</v>
      </c>
      <c r="I3273" s="9" t="s">
        <v>13</v>
      </c>
      <c r="J3273" s="9" t="s">
        <v>13</v>
      </c>
      <c r="K3273" s="9" t="s">
        <v>2214</v>
      </c>
      <c r="L3273" s="9" t="s">
        <v>1445</v>
      </c>
      <c r="M3273" t="s">
        <v>2215</v>
      </c>
      <c r="O3273" t="s">
        <v>2237</v>
      </c>
      <c r="P3273" t="s">
        <v>2238</v>
      </c>
      <c r="S3273">
        <v>594</v>
      </c>
      <c r="U3273" t="s">
        <v>112</v>
      </c>
      <c r="V3273" t="s">
        <v>1484</v>
      </c>
      <c r="X3273" s="43">
        <v>1.9</v>
      </c>
      <c r="AA3273" s="43"/>
      <c r="AB3273" s="43">
        <v>0.05</v>
      </c>
      <c r="AC3273" s="43">
        <v>0.13950000000000001</v>
      </c>
      <c r="AK3273">
        <v>13120272</v>
      </c>
    </row>
    <row r="3274" spans="1:37" ht="19">
      <c r="A3274" s="39" t="s">
        <v>17</v>
      </c>
      <c r="B3274" s="8">
        <v>2024</v>
      </c>
      <c r="C3274" s="8" t="s">
        <v>109</v>
      </c>
      <c r="D3274" s="9" t="s">
        <v>109</v>
      </c>
      <c r="E3274" s="9" t="s">
        <v>111</v>
      </c>
      <c r="F3274" s="9" t="s">
        <v>111</v>
      </c>
      <c r="I3274" s="9" t="s">
        <v>13</v>
      </c>
      <c r="J3274" s="9" t="s">
        <v>13</v>
      </c>
      <c r="K3274" s="9" t="s">
        <v>2214</v>
      </c>
      <c r="L3274" s="9" t="s">
        <v>1445</v>
      </c>
      <c r="M3274" t="s">
        <v>2215</v>
      </c>
      <c r="O3274" t="s">
        <v>2239</v>
      </c>
      <c r="P3274" t="s">
        <v>2240</v>
      </c>
      <c r="S3274">
        <v>485</v>
      </c>
      <c r="U3274" t="s">
        <v>112</v>
      </c>
      <c r="V3274" t="s">
        <v>112</v>
      </c>
      <c r="X3274" s="43">
        <v>2.65</v>
      </c>
      <c r="AA3274" s="43"/>
      <c r="AB3274" s="43">
        <v>0.15</v>
      </c>
      <c r="AC3274" s="43">
        <v>0.189</v>
      </c>
      <c r="AK3274">
        <v>10712680</v>
      </c>
    </row>
    <row r="3275" spans="1:37" ht="19">
      <c r="A3275" s="39" t="s">
        <v>17</v>
      </c>
      <c r="B3275" s="8">
        <v>2024</v>
      </c>
      <c r="C3275" s="8" t="s">
        <v>109</v>
      </c>
      <c r="D3275" s="9" t="s">
        <v>109</v>
      </c>
      <c r="E3275" s="9" t="s">
        <v>111</v>
      </c>
      <c r="F3275" s="9" t="s">
        <v>111</v>
      </c>
      <c r="I3275" s="9" t="s">
        <v>13</v>
      </c>
      <c r="J3275" s="9" t="s">
        <v>13</v>
      </c>
      <c r="K3275" s="9" t="s">
        <v>2214</v>
      </c>
      <c r="L3275" s="9" t="s">
        <v>1445</v>
      </c>
      <c r="M3275" t="s">
        <v>2215</v>
      </c>
      <c r="O3275" t="s">
        <v>2239</v>
      </c>
      <c r="P3275" t="s">
        <v>2241</v>
      </c>
      <c r="S3275">
        <v>934</v>
      </c>
      <c r="U3275" t="s">
        <v>112</v>
      </c>
      <c r="V3275" t="s">
        <v>1484</v>
      </c>
      <c r="X3275" s="43">
        <v>3.05</v>
      </c>
      <c r="AA3275" s="43"/>
      <c r="AB3275" s="43">
        <v>0.15</v>
      </c>
      <c r="AC3275" s="43">
        <v>0.216</v>
      </c>
      <c r="AK3275">
        <v>20630192</v>
      </c>
    </row>
    <row r="3276" spans="1:37" ht="19">
      <c r="A3276" s="39" t="s">
        <v>17</v>
      </c>
      <c r="B3276" s="8">
        <v>2024</v>
      </c>
      <c r="C3276" s="8" t="s">
        <v>109</v>
      </c>
      <c r="D3276" s="9" t="s">
        <v>109</v>
      </c>
      <c r="E3276" s="9" t="s">
        <v>111</v>
      </c>
      <c r="F3276" s="9" t="s">
        <v>111</v>
      </c>
      <c r="I3276" s="9" t="s">
        <v>13</v>
      </c>
      <c r="J3276" s="9" t="s">
        <v>13</v>
      </c>
      <c r="K3276" s="9" t="s">
        <v>2214</v>
      </c>
      <c r="L3276" s="9" t="s">
        <v>1445</v>
      </c>
      <c r="M3276" t="s">
        <v>2215</v>
      </c>
      <c r="O3276" t="s">
        <v>2242</v>
      </c>
      <c r="P3276" t="s">
        <v>2243</v>
      </c>
      <c r="S3276">
        <v>630</v>
      </c>
      <c r="U3276" t="s">
        <v>112</v>
      </c>
      <c r="V3276" t="s">
        <v>112</v>
      </c>
      <c r="X3276" s="43">
        <v>3.45</v>
      </c>
      <c r="AA3276" s="43"/>
      <c r="AB3276" s="43">
        <v>0.15</v>
      </c>
      <c r="AC3276" s="43">
        <v>0.2475</v>
      </c>
      <c r="AK3276">
        <v>13915440</v>
      </c>
    </row>
    <row r="3277" spans="1:37" ht="19">
      <c r="A3277" s="39" t="s">
        <v>17</v>
      </c>
      <c r="B3277" s="8">
        <v>2024</v>
      </c>
      <c r="C3277" s="8" t="s">
        <v>109</v>
      </c>
      <c r="D3277" s="9" t="s">
        <v>109</v>
      </c>
      <c r="E3277" s="9" t="s">
        <v>111</v>
      </c>
      <c r="F3277" s="9" t="s">
        <v>111</v>
      </c>
      <c r="I3277" s="9" t="s">
        <v>13</v>
      </c>
      <c r="J3277" s="9" t="s">
        <v>13</v>
      </c>
      <c r="K3277" s="9" t="s">
        <v>2214</v>
      </c>
      <c r="L3277" s="9" t="s">
        <v>1445</v>
      </c>
      <c r="M3277" t="s">
        <v>2215</v>
      </c>
      <c r="O3277" t="s">
        <v>2242</v>
      </c>
      <c r="P3277" t="s">
        <v>2244</v>
      </c>
      <c r="S3277">
        <v>913</v>
      </c>
      <c r="U3277" t="s">
        <v>112</v>
      </c>
      <c r="V3277" t="s">
        <v>112</v>
      </c>
      <c r="X3277" s="43">
        <v>5</v>
      </c>
      <c r="AA3277" s="43"/>
      <c r="AB3277" s="43">
        <v>0.25</v>
      </c>
      <c r="AC3277" s="43">
        <v>0.36</v>
      </c>
      <c r="AK3277">
        <v>20166344</v>
      </c>
    </row>
    <row r="3278" spans="1:37" ht="19">
      <c r="A3278" s="39" t="s">
        <v>17</v>
      </c>
      <c r="B3278" s="8">
        <v>2024</v>
      </c>
      <c r="C3278" s="8" t="s">
        <v>109</v>
      </c>
      <c r="D3278" s="9" t="s">
        <v>109</v>
      </c>
      <c r="E3278" s="9" t="s">
        <v>111</v>
      </c>
      <c r="F3278" s="9" t="s">
        <v>111</v>
      </c>
      <c r="I3278" s="9" t="s">
        <v>13</v>
      </c>
      <c r="J3278" s="9" t="s">
        <v>13</v>
      </c>
      <c r="K3278" s="9" t="s">
        <v>2214</v>
      </c>
      <c r="L3278" s="9" t="s">
        <v>1445</v>
      </c>
      <c r="M3278" t="s">
        <v>2215</v>
      </c>
      <c r="O3278" t="s">
        <v>2242</v>
      </c>
      <c r="P3278" t="s">
        <v>2245</v>
      </c>
      <c r="S3278">
        <v>394</v>
      </c>
      <c r="U3278" t="s">
        <v>112</v>
      </c>
      <c r="V3278" t="s">
        <v>112</v>
      </c>
      <c r="X3278" s="43">
        <v>2.15</v>
      </c>
      <c r="AA3278" s="43"/>
      <c r="AB3278" s="43">
        <v>0.1</v>
      </c>
      <c r="AC3278" s="43">
        <v>0.153</v>
      </c>
      <c r="AK3278">
        <v>8702672</v>
      </c>
    </row>
    <row r="3279" spans="1:37" ht="19">
      <c r="A3279" s="39" t="s">
        <v>17</v>
      </c>
      <c r="B3279" s="8">
        <v>2024</v>
      </c>
      <c r="C3279" s="8" t="s">
        <v>109</v>
      </c>
      <c r="D3279" s="9" t="s">
        <v>109</v>
      </c>
      <c r="E3279" s="9" t="s">
        <v>111</v>
      </c>
      <c r="F3279" s="9" t="s">
        <v>111</v>
      </c>
      <c r="I3279" s="9" t="s">
        <v>13</v>
      </c>
      <c r="J3279" s="9" t="s">
        <v>13</v>
      </c>
      <c r="K3279" s="9" t="s">
        <v>2214</v>
      </c>
      <c r="L3279" s="9" t="s">
        <v>1445</v>
      </c>
      <c r="M3279" t="s">
        <v>2215</v>
      </c>
      <c r="O3279" t="s">
        <v>2215</v>
      </c>
      <c r="P3279" t="s">
        <v>2246</v>
      </c>
      <c r="S3279">
        <v>440</v>
      </c>
      <c r="U3279" t="s">
        <v>112</v>
      </c>
      <c r="V3279" t="s">
        <v>112</v>
      </c>
      <c r="X3279" s="43">
        <v>2.4</v>
      </c>
      <c r="AA3279" s="43"/>
      <c r="AB3279" s="43">
        <v>0.1</v>
      </c>
      <c r="AC3279" s="43">
        <v>0.17100000000000001</v>
      </c>
      <c r="AK3279">
        <v>9718720</v>
      </c>
    </row>
    <row r="3280" spans="1:37" ht="19">
      <c r="A3280" s="39" t="s">
        <v>17</v>
      </c>
      <c r="B3280" s="8">
        <v>2024</v>
      </c>
      <c r="C3280" s="8" t="s">
        <v>109</v>
      </c>
      <c r="D3280" s="9" t="s">
        <v>109</v>
      </c>
      <c r="E3280" s="9" t="s">
        <v>111</v>
      </c>
      <c r="F3280" s="9" t="s">
        <v>111</v>
      </c>
      <c r="I3280" s="9" t="s">
        <v>13</v>
      </c>
      <c r="J3280" s="9" t="s">
        <v>13</v>
      </c>
      <c r="K3280" s="9" t="s">
        <v>2214</v>
      </c>
      <c r="L3280" s="9" t="s">
        <v>1445</v>
      </c>
      <c r="M3280" t="s">
        <v>2215</v>
      </c>
      <c r="O3280" t="s">
        <v>2215</v>
      </c>
      <c r="P3280" t="s">
        <v>2247</v>
      </c>
      <c r="S3280">
        <v>218</v>
      </c>
      <c r="U3280" t="s">
        <v>112</v>
      </c>
      <c r="V3280" t="s">
        <v>112</v>
      </c>
      <c r="X3280" s="43">
        <v>1.2</v>
      </c>
      <c r="AA3280" s="43"/>
      <c r="AB3280" s="43">
        <v>0.05</v>
      </c>
      <c r="AC3280" s="43">
        <v>8.5500000000000007E-2</v>
      </c>
      <c r="AK3280">
        <v>4815184</v>
      </c>
    </row>
    <row r="3281" spans="1:37" ht="19">
      <c r="A3281" s="39" t="s">
        <v>17</v>
      </c>
      <c r="B3281" s="8">
        <v>2024</v>
      </c>
      <c r="C3281" s="8" t="s">
        <v>109</v>
      </c>
      <c r="D3281" s="9" t="s">
        <v>109</v>
      </c>
      <c r="E3281" s="9" t="s">
        <v>111</v>
      </c>
      <c r="F3281" s="9" t="s">
        <v>111</v>
      </c>
      <c r="I3281" s="9" t="s">
        <v>13</v>
      </c>
      <c r="J3281" s="9" t="s">
        <v>13</v>
      </c>
      <c r="K3281" s="9" t="s">
        <v>2214</v>
      </c>
      <c r="L3281" s="9" t="s">
        <v>1445</v>
      </c>
      <c r="M3281" t="s">
        <v>2215</v>
      </c>
      <c r="O3281" t="s">
        <v>2248</v>
      </c>
      <c r="P3281" t="s">
        <v>2249</v>
      </c>
      <c r="S3281">
        <v>328</v>
      </c>
      <c r="U3281" t="s">
        <v>112</v>
      </c>
      <c r="V3281" t="s">
        <v>1484</v>
      </c>
      <c r="X3281" s="43">
        <v>1.1000000000000001</v>
      </c>
      <c r="AA3281" s="43"/>
      <c r="AB3281" s="43">
        <v>0.05</v>
      </c>
      <c r="AC3281" s="43">
        <v>7.6499999999999999E-2</v>
      </c>
      <c r="AK3281">
        <v>7244864</v>
      </c>
    </row>
    <row r="3282" spans="1:37" ht="19">
      <c r="A3282" s="39" t="s">
        <v>17</v>
      </c>
      <c r="B3282" s="8">
        <v>2024</v>
      </c>
      <c r="C3282" s="8" t="s">
        <v>109</v>
      </c>
      <c r="D3282" s="9" t="s">
        <v>109</v>
      </c>
      <c r="E3282" s="9" t="s">
        <v>111</v>
      </c>
      <c r="F3282" s="9" t="s">
        <v>111</v>
      </c>
      <c r="I3282" s="9" t="s">
        <v>13</v>
      </c>
      <c r="J3282" s="9" t="s">
        <v>13</v>
      </c>
      <c r="K3282" s="9" t="s">
        <v>2214</v>
      </c>
      <c r="L3282" s="9" t="s">
        <v>1445</v>
      </c>
      <c r="M3282" t="s">
        <v>2215</v>
      </c>
      <c r="O3282" t="s">
        <v>2250</v>
      </c>
      <c r="P3282" t="s">
        <v>2251</v>
      </c>
      <c r="S3282">
        <v>265</v>
      </c>
      <c r="U3282" t="s">
        <v>112</v>
      </c>
      <c r="V3282" t="s">
        <v>1484</v>
      </c>
      <c r="X3282" s="43">
        <v>0.9</v>
      </c>
      <c r="AA3282" s="43"/>
      <c r="AB3282" s="43">
        <v>0.05</v>
      </c>
      <c r="AC3282" s="43">
        <v>6.3E-2</v>
      </c>
      <c r="AK3282">
        <v>5853320</v>
      </c>
    </row>
    <row r="3283" spans="1:37" ht="19">
      <c r="A3283" s="39" t="s">
        <v>17</v>
      </c>
      <c r="B3283" s="8">
        <v>2024</v>
      </c>
      <c r="C3283" s="8" t="s">
        <v>109</v>
      </c>
      <c r="D3283" s="9" t="s">
        <v>109</v>
      </c>
      <c r="E3283" s="9" t="s">
        <v>111</v>
      </c>
      <c r="F3283" s="9" t="s">
        <v>111</v>
      </c>
      <c r="I3283" s="9" t="s">
        <v>13</v>
      </c>
      <c r="J3283" s="9" t="s">
        <v>13</v>
      </c>
      <c r="K3283" s="9" t="s">
        <v>2214</v>
      </c>
      <c r="L3283" s="9" t="s">
        <v>1445</v>
      </c>
      <c r="M3283" t="s">
        <v>2215</v>
      </c>
      <c r="O3283" t="s">
        <v>2250</v>
      </c>
      <c r="P3283" t="s">
        <v>2252</v>
      </c>
      <c r="S3283">
        <v>706</v>
      </c>
      <c r="U3283" t="s">
        <v>112</v>
      </c>
      <c r="V3283" t="s">
        <v>112</v>
      </c>
      <c r="X3283" s="43">
        <v>3.85</v>
      </c>
      <c r="AA3283" s="43"/>
      <c r="AB3283" s="43">
        <v>0.2</v>
      </c>
      <c r="AC3283" s="43">
        <v>0.27450000000000002</v>
      </c>
      <c r="AK3283">
        <v>15594128</v>
      </c>
    </row>
    <row r="3284" spans="1:37" ht="19">
      <c r="A3284" s="39" t="s">
        <v>17</v>
      </c>
      <c r="B3284" s="8">
        <v>2024</v>
      </c>
      <c r="C3284" s="8" t="s">
        <v>109</v>
      </c>
      <c r="D3284" s="9" t="s">
        <v>109</v>
      </c>
      <c r="E3284" s="9" t="s">
        <v>111</v>
      </c>
      <c r="F3284" s="9" t="s">
        <v>111</v>
      </c>
      <c r="I3284" s="9" t="s">
        <v>13</v>
      </c>
      <c r="J3284" s="9" t="s">
        <v>13</v>
      </c>
      <c r="K3284" s="9" t="s">
        <v>2214</v>
      </c>
      <c r="L3284" s="9" t="s">
        <v>1445</v>
      </c>
      <c r="M3284" t="s">
        <v>2215</v>
      </c>
      <c r="O3284" t="s">
        <v>2250</v>
      </c>
      <c r="P3284" t="s">
        <v>2253</v>
      </c>
      <c r="S3284">
        <v>271</v>
      </c>
      <c r="U3284" t="s">
        <v>112</v>
      </c>
      <c r="V3284" t="s">
        <v>1484</v>
      </c>
      <c r="X3284" s="43">
        <v>0.9</v>
      </c>
      <c r="AA3284" s="43"/>
      <c r="AB3284" s="43">
        <v>0.05</v>
      </c>
      <c r="AC3284" s="43">
        <v>6.3E-2</v>
      </c>
      <c r="AK3284">
        <v>5985848</v>
      </c>
    </row>
    <row r="3285" spans="1:37" ht="19">
      <c r="A3285" s="39" t="s">
        <v>17</v>
      </c>
      <c r="B3285" s="8">
        <v>2024</v>
      </c>
      <c r="C3285" s="8" t="s">
        <v>109</v>
      </c>
      <c r="D3285" s="9" t="s">
        <v>109</v>
      </c>
      <c r="E3285" s="9" t="s">
        <v>111</v>
      </c>
      <c r="F3285" s="9" t="s">
        <v>111</v>
      </c>
      <c r="I3285" s="9" t="s">
        <v>13</v>
      </c>
      <c r="J3285" s="9" t="s">
        <v>13</v>
      </c>
      <c r="K3285" s="9" t="s">
        <v>2214</v>
      </c>
      <c r="L3285" s="9" t="s">
        <v>1445</v>
      </c>
      <c r="M3285" t="s">
        <v>124</v>
      </c>
      <c r="O3285" t="s">
        <v>315</v>
      </c>
      <c r="P3285" t="s">
        <v>2254</v>
      </c>
      <c r="S3285">
        <v>236</v>
      </c>
      <c r="U3285" t="s">
        <v>112</v>
      </c>
      <c r="V3285" t="s">
        <v>1484</v>
      </c>
      <c r="X3285" s="43">
        <v>0.75</v>
      </c>
      <c r="AA3285" s="43"/>
      <c r="AB3285" s="43">
        <v>0.05</v>
      </c>
      <c r="AC3285" s="43">
        <v>5.8500000000000003E-2</v>
      </c>
      <c r="AK3285">
        <v>5212768</v>
      </c>
    </row>
    <row r="3286" spans="1:37" ht="19">
      <c r="A3286" s="39" t="s">
        <v>17</v>
      </c>
      <c r="B3286" s="8">
        <v>2024</v>
      </c>
      <c r="C3286" s="8" t="s">
        <v>109</v>
      </c>
      <c r="D3286" s="9" t="s">
        <v>109</v>
      </c>
      <c r="E3286" s="9" t="s">
        <v>111</v>
      </c>
      <c r="F3286" s="9" t="s">
        <v>111</v>
      </c>
      <c r="I3286" s="9" t="s">
        <v>13</v>
      </c>
      <c r="J3286" s="9" t="s">
        <v>13</v>
      </c>
      <c r="K3286" s="9" t="s">
        <v>2214</v>
      </c>
      <c r="L3286" s="9" t="s">
        <v>1445</v>
      </c>
      <c r="M3286" t="s">
        <v>2255</v>
      </c>
      <c r="O3286" t="s">
        <v>315</v>
      </c>
      <c r="P3286" t="s">
        <v>2256</v>
      </c>
      <c r="S3286">
        <v>160</v>
      </c>
      <c r="U3286" t="s">
        <v>112</v>
      </c>
      <c r="V3286" t="s">
        <v>1484</v>
      </c>
      <c r="X3286" s="43">
        <v>0.55000000000000004</v>
      </c>
      <c r="AA3286" s="43"/>
      <c r="AB3286" s="43">
        <v>0.05</v>
      </c>
      <c r="AC3286" s="43">
        <v>3.5999999999999997E-2</v>
      </c>
      <c r="AK3286">
        <v>3534080</v>
      </c>
    </row>
    <row r="3287" spans="1:37" ht="19">
      <c r="A3287" s="39" t="s">
        <v>17</v>
      </c>
      <c r="B3287" s="8">
        <v>2024</v>
      </c>
      <c r="C3287" s="8" t="s">
        <v>109</v>
      </c>
      <c r="D3287" s="9" t="s">
        <v>109</v>
      </c>
      <c r="E3287" s="9" t="s">
        <v>111</v>
      </c>
      <c r="F3287" s="9" t="s">
        <v>111</v>
      </c>
      <c r="I3287" s="9" t="s">
        <v>13</v>
      </c>
      <c r="J3287" s="9" t="s">
        <v>13</v>
      </c>
      <c r="K3287" s="9" t="s">
        <v>2214</v>
      </c>
      <c r="L3287" s="9" t="s">
        <v>1445</v>
      </c>
      <c r="M3287" t="s">
        <v>2255</v>
      </c>
      <c r="O3287" t="s">
        <v>2257</v>
      </c>
      <c r="P3287" t="s">
        <v>2258</v>
      </c>
      <c r="S3287">
        <v>134</v>
      </c>
      <c r="U3287" t="s">
        <v>112</v>
      </c>
      <c r="V3287" t="s">
        <v>1484</v>
      </c>
      <c r="X3287" s="43">
        <v>0.45</v>
      </c>
      <c r="AA3287" s="43"/>
      <c r="AB3287" s="43">
        <v>0</v>
      </c>
      <c r="AC3287" s="43">
        <v>3.15E-2</v>
      </c>
      <c r="AK3287">
        <v>2959792</v>
      </c>
    </row>
    <row r="3288" spans="1:37" ht="19">
      <c r="A3288" s="39" t="s">
        <v>17</v>
      </c>
      <c r="B3288" s="8">
        <v>2024</v>
      </c>
      <c r="C3288" s="8" t="s">
        <v>109</v>
      </c>
      <c r="D3288" s="9" t="s">
        <v>109</v>
      </c>
      <c r="E3288" s="9" t="s">
        <v>111</v>
      </c>
      <c r="F3288" s="9" t="s">
        <v>111</v>
      </c>
      <c r="I3288" s="9" t="s">
        <v>13</v>
      </c>
      <c r="J3288" s="9" t="s">
        <v>13</v>
      </c>
      <c r="K3288" s="9" t="s">
        <v>2214</v>
      </c>
      <c r="L3288" s="9" t="s">
        <v>1445</v>
      </c>
      <c r="M3288" t="s">
        <v>2255</v>
      </c>
      <c r="O3288" t="s">
        <v>2259</v>
      </c>
      <c r="P3288" t="s">
        <v>2260</v>
      </c>
      <c r="S3288">
        <v>102</v>
      </c>
      <c r="U3288" t="s">
        <v>112</v>
      </c>
      <c r="V3288" t="s">
        <v>1484</v>
      </c>
      <c r="X3288" s="43">
        <v>0.35</v>
      </c>
      <c r="AA3288" s="43"/>
      <c r="AB3288" s="43">
        <v>0</v>
      </c>
      <c r="AC3288" s="43">
        <v>2.2499999999999999E-2</v>
      </c>
      <c r="AK3288">
        <v>2252976</v>
      </c>
    </row>
    <row r="3289" spans="1:37" ht="19">
      <c r="A3289" s="39" t="s">
        <v>17</v>
      </c>
      <c r="B3289" s="8">
        <v>2024</v>
      </c>
      <c r="C3289" s="8" t="s">
        <v>109</v>
      </c>
      <c r="D3289" s="9" t="s">
        <v>109</v>
      </c>
      <c r="E3289" s="9" t="s">
        <v>111</v>
      </c>
      <c r="F3289" s="9" t="s">
        <v>111</v>
      </c>
      <c r="I3289" s="9" t="s">
        <v>13</v>
      </c>
      <c r="J3289" s="9" t="s">
        <v>13</v>
      </c>
      <c r="K3289" s="9" t="s">
        <v>2214</v>
      </c>
      <c r="L3289" s="9" t="s">
        <v>1445</v>
      </c>
      <c r="M3289" t="s">
        <v>2255</v>
      </c>
      <c r="O3289" t="s">
        <v>2261</v>
      </c>
      <c r="P3289" t="s">
        <v>2262</v>
      </c>
      <c r="S3289">
        <v>375</v>
      </c>
      <c r="U3289" t="s">
        <v>112</v>
      </c>
      <c r="V3289" t="s">
        <v>1484</v>
      </c>
      <c r="X3289" s="43">
        <v>1.25</v>
      </c>
      <c r="AA3289" s="43"/>
      <c r="AB3289" s="43">
        <v>0.05</v>
      </c>
      <c r="AC3289" s="43">
        <v>0.09</v>
      </c>
      <c r="AK3289">
        <v>8283000</v>
      </c>
    </row>
    <row r="3290" spans="1:37" ht="19">
      <c r="A3290" s="39" t="s">
        <v>17</v>
      </c>
      <c r="B3290" s="8">
        <v>2024</v>
      </c>
      <c r="C3290" s="8" t="s">
        <v>109</v>
      </c>
      <c r="D3290" s="9" t="s">
        <v>109</v>
      </c>
      <c r="E3290" s="9" t="s">
        <v>111</v>
      </c>
      <c r="F3290" s="9" t="s">
        <v>111</v>
      </c>
      <c r="I3290" s="9" t="s">
        <v>13</v>
      </c>
      <c r="J3290" s="9" t="s">
        <v>13</v>
      </c>
      <c r="K3290" s="9" t="s">
        <v>2214</v>
      </c>
      <c r="L3290" s="9" t="s">
        <v>1445</v>
      </c>
      <c r="M3290" t="s">
        <v>2255</v>
      </c>
      <c r="O3290" t="s">
        <v>2261</v>
      </c>
      <c r="P3290" t="s">
        <v>2263</v>
      </c>
      <c r="S3290">
        <v>282</v>
      </c>
      <c r="U3290" t="s">
        <v>112</v>
      </c>
      <c r="V3290" t="s">
        <v>112</v>
      </c>
      <c r="X3290" s="43">
        <v>1.55</v>
      </c>
      <c r="AA3290" s="43"/>
      <c r="AB3290" s="43">
        <v>0.05</v>
      </c>
      <c r="AC3290" s="43">
        <v>0.108</v>
      </c>
      <c r="AK3290">
        <v>6228816</v>
      </c>
    </row>
    <row r="3291" spans="1:37" ht="19">
      <c r="A3291" s="39" t="s">
        <v>17</v>
      </c>
      <c r="B3291" s="8">
        <v>2024</v>
      </c>
      <c r="C3291" s="8" t="s">
        <v>109</v>
      </c>
      <c r="D3291" s="9" t="s">
        <v>109</v>
      </c>
      <c r="E3291" s="9" t="s">
        <v>111</v>
      </c>
      <c r="F3291" s="9" t="s">
        <v>111</v>
      </c>
      <c r="I3291" s="9" t="s">
        <v>13</v>
      </c>
      <c r="J3291" s="9" t="s">
        <v>13</v>
      </c>
      <c r="K3291" s="9" t="s">
        <v>2214</v>
      </c>
      <c r="L3291" s="9" t="s">
        <v>1445</v>
      </c>
      <c r="M3291" t="s">
        <v>2255</v>
      </c>
      <c r="O3291" t="s">
        <v>2261</v>
      </c>
      <c r="P3291" t="s">
        <v>2264</v>
      </c>
      <c r="S3291">
        <v>331</v>
      </c>
      <c r="U3291" t="s">
        <v>112</v>
      </c>
      <c r="V3291" t="s">
        <v>112</v>
      </c>
      <c r="X3291" s="43">
        <v>1.8</v>
      </c>
      <c r="AA3291" s="43"/>
      <c r="AB3291" s="43">
        <v>0.1</v>
      </c>
      <c r="AC3291" s="43">
        <v>0.1305</v>
      </c>
      <c r="AK3291">
        <v>7311128</v>
      </c>
    </row>
    <row r="3292" spans="1:37" ht="19">
      <c r="A3292" s="39" t="s">
        <v>17</v>
      </c>
      <c r="B3292" s="8">
        <v>2024</v>
      </c>
      <c r="C3292" s="8" t="s">
        <v>109</v>
      </c>
      <c r="D3292" s="9" t="s">
        <v>109</v>
      </c>
      <c r="E3292" s="9" t="s">
        <v>111</v>
      </c>
      <c r="F3292" s="9" t="s">
        <v>111</v>
      </c>
      <c r="I3292" s="9" t="s">
        <v>13</v>
      </c>
      <c r="J3292" s="9" t="s">
        <v>13</v>
      </c>
      <c r="K3292" s="9" t="s">
        <v>2214</v>
      </c>
      <c r="L3292" s="9" t="s">
        <v>1445</v>
      </c>
      <c r="M3292" t="s">
        <v>2255</v>
      </c>
      <c r="O3292" t="s">
        <v>2261</v>
      </c>
      <c r="P3292" t="s">
        <v>2265</v>
      </c>
      <c r="S3292">
        <v>437</v>
      </c>
      <c r="U3292" t="s">
        <v>112</v>
      </c>
      <c r="V3292" t="s">
        <v>112</v>
      </c>
      <c r="X3292" s="43">
        <v>2.4</v>
      </c>
      <c r="AA3292" s="43"/>
      <c r="AB3292" s="43">
        <v>0.1</v>
      </c>
      <c r="AC3292" s="43">
        <v>0.17100000000000001</v>
      </c>
      <c r="AK3292">
        <v>9652456</v>
      </c>
    </row>
    <row r="3293" spans="1:37" ht="19">
      <c r="A3293" s="39" t="s">
        <v>17</v>
      </c>
      <c r="B3293" s="8">
        <v>2024</v>
      </c>
      <c r="C3293" s="8" t="s">
        <v>109</v>
      </c>
      <c r="D3293" s="9" t="s">
        <v>109</v>
      </c>
      <c r="E3293" s="9" t="s">
        <v>111</v>
      </c>
      <c r="F3293" s="9" t="s">
        <v>111</v>
      </c>
      <c r="I3293" s="9" t="s">
        <v>13</v>
      </c>
      <c r="J3293" s="9" t="s">
        <v>13</v>
      </c>
      <c r="K3293" s="9" t="s">
        <v>2214</v>
      </c>
      <c r="L3293" s="9" t="s">
        <v>1445</v>
      </c>
      <c r="M3293" t="s">
        <v>2255</v>
      </c>
      <c r="O3293" t="s">
        <v>2261</v>
      </c>
      <c r="P3293" t="s">
        <v>2266</v>
      </c>
      <c r="S3293">
        <v>285</v>
      </c>
      <c r="U3293" t="s">
        <v>112</v>
      </c>
      <c r="V3293" t="s">
        <v>1484</v>
      </c>
      <c r="X3293" s="43">
        <v>0.95</v>
      </c>
      <c r="AA3293" s="43"/>
      <c r="AB3293" s="43">
        <v>0</v>
      </c>
      <c r="AC3293" s="43">
        <v>6.7500000000000004E-2</v>
      </c>
      <c r="AK3293">
        <v>6295080</v>
      </c>
    </row>
    <row r="3294" spans="1:37" ht="19">
      <c r="A3294" s="39" t="s">
        <v>17</v>
      </c>
      <c r="B3294" s="8">
        <v>2024</v>
      </c>
      <c r="C3294" s="8" t="s">
        <v>109</v>
      </c>
      <c r="D3294" s="9" t="s">
        <v>109</v>
      </c>
      <c r="E3294" s="9" t="s">
        <v>111</v>
      </c>
      <c r="F3294" s="9" t="s">
        <v>111</v>
      </c>
      <c r="I3294" s="9" t="s">
        <v>13</v>
      </c>
      <c r="J3294" s="9" t="s">
        <v>13</v>
      </c>
      <c r="K3294" s="9" t="s">
        <v>2214</v>
      </c>
      <c r="L3294" s="9" t="s">
        <v>1445</v>
      </c>
      <c r="M3294" t="s">
        <v>2255</v>
      </c>
      <c r="O3294" t="s">
        <v>2267</v>
      </c>
      <c r="P3294" t="s">
        <v>2268</v>
      </c>
      <c r="S3294">
        <v>670</v>
      </c>
      <c r="U3294" t="s">
        <v>112</v>
      </c>
      <c r="V3294" t="s">
        <v>1484</v>
      </c>
      <c r="X3294" s="43">
        <v>2.15</v>
      </c>
      <c r="AA3294" s="43"/>
      <c r="AB3294" s="43">
        <v>0.1</v>
      </c>
      <c r="AC3294" s="43">
        <v>0.1575</v>
      </c>
      <c r="AK3294">
        <v>11824670</v>
      </c>
    </row>
    <row r="3295" spans="1:37" ht="19">
      <c r="A3295" s="39" t="s">
        <v>17</v>
      </c>
      <c r="B3295" s="8">
        <v>2024</v>
      </c>
      <c r="C3295" s="8" t="s">
        <v>109</v>
      </c>
      <c r="D3295" s="9" t="s">
        <v>109</v>
      </c>
      <c r="E3295" s="9" t="s">
        <v>111</v>
      </c>
      <c r="F3295" s="9" t="s">
        <v>111</v>
      </c>
      <c r="I3295" s="9" t="s">
        <v>13</v>
      </c>
      <c r="J3295" s="9" t="s">
        <v>13</v>
      </c>
      <c r="K3295" s="9" t="s">
        <v>2214</v>
      </c>
      <c r="L3295" s="9" t="s">
        <v>1445</v>
      </c>
      <c r="M3295" t="s">
        <v>2255</v>
      </c>
      <c r="O3295" t="s">
        <v>2267</v>
      </c>
      <c r="P3295" t="s">
        <v>2269</v>
      </c>
      <c r="S3295">
        <v>340</v>
      </c>
      <c r="U3295" t="s">
        <v>112</v>
      </c>
      <c r="V3295" t="s">
        <v>112</v>
      </c>
      <c r="X3295" s="43">
        <v>1.85</v>
      </c>
      <c r="AA3295" s="43"/>
      <c r="AB3295" s="43">
        <v>0.1</v>
      </c>
      <c r="AC3295" s="43">
        <v>0.13500000000000001</v>
      </c>
      <c r="AK3295">
        <v>7509920</v>
      </c>
    </row>
    <row r="3296" spans="1:37" ht="19">
      <c r="A3296" s="39" t="s">
        <v>17</v>
      </c>
      <c r="B3296" s="8">
        <v>2024</v>
      </c>
      <c r="C3296" s="8" t="s">
        <v>109</v>
      </c>
      <c r="D3296" s="9" t="s">
        <v>109</v>
      </c>
      <c r="E3296" s="9" t="s">
        <v>111</v>
      </c>
      <c r="F3296" s="9" t="s">
        <v>111</v>
      </c>
      <c r="I3296" s="9" t="s">
        <v>13</v>
      </c>
      <c r="J3296" s="9" t="s">
        <v>13</v>
      </c>
      <c r="K3296" s="9" t="s">
        <v>2214</v>
      </c>
      <c r="L3296" s="9" t="s">
        <v>1445</v>
      </c>
      <c r="M3296" t="s">
        <v>2255</v>
      </c>
      <c r="O3296" t="s">
        <v>2270</v>
      </c>
      <c r="P3296" t="s">
        <v>2271</v>
      </c>
      <c r="S3296">
        <v>350</v>
      </c>
      <c r="U3296" t="s">
        <v>112</v>
      </c>
      <c r="V3296" t="s">
        <v>1484</v>
      </c>
      <c r="X3296" s="43">
        <v>1.1499999999999999</v>
      </c>
      <c r="AA3296" s="43"/>
      <c r="AB3296" s="43">
        <v>0.05</v>
      </c>
      <c r="AC3296" s="43">
        <v>8.5500000000000007E-2</v>
      </c>
      <c r="AK3296">
        <v>7730800</v>
      </c>
    </row>
    <row r="3297" spans="1:37" ht="19">
      <c r="A3297" s="39" t="s">
        <v>17</v>
      </c>
      <c r="B3297" s="8">
        <v>2024</v>
      </c>
      <c r="C3297" s="8" t="s">
        <v>109</v>
      </c>
      <c r="D3297" s="9" t="s">
        <v>109</v>
      </c>
      <c r="E3297" s="9" t="s">
        <v>111</v>
      </c>
      <c r="F3297" s="9" t="s">
        <v>111</v>
      </c>
      <c r="I3297" s="9" t="s">
        <v>13</v>
      </c>
      <c r="J3297" s="9" t="s">
        <v>13</v>
      </c>
      <c r="K3297" s="9" t="s">
        <v>2214</v>
      </c>
      <c r="L3297" s="9" t="s">
        <v>1445</v>
      </c>
      <c r="M3297" t="s">
        <v>2255</v>
      </c>
      <c r="O3297" t="s">
        <v>2272</v>
      </c>
      <c r="P3297" t="s">
        <v>2273</v>
      </c>
      <c r="S3297">
        <v>392</v>
      </c>
      <c r="U3297" t="s">
        <v>112</v>
      </c>
      <c r="V3297" t="s">
        <v>112</v>
      </c>
      <c r="X3297" s="43">
        <v>2.15</v>
      </c>
      <c r="AA3297" s="43"/>
      <c r="AB3297" s="43">
        <v>0.1</v>
      </c>
      <c r="AC3297" s="43">
        <v>0.153</v>
      </c>
      <c r="AK3297">
        <v>8658496</v>
      </c>
    </row>
    <row r="3298" spans="1:37" ht="19">
      <c r="A3298" s="39" t="s">
        <v>17</v>
      </c>
      <c r="B3298" s="8">
        <v>2024</v>
      </c>
      <c r="C3298" s="8" t="s">
        <v>109</v>
      </c>
      <c r="D3298" s="9" t="s">
        <v>109</v>
      </c>
      <c r="E3298" s="9" t="s">
        <v>111</v>
      </c>
      <c r="F3298" s="9" t="s">
        <v>111</v>
      </c>
      <c r="I3298" s="9" t="s">
        <v>13</v>
      </c>
      <c r="J3298" s="9" t="s">
        <v>13</v>
      </c>
      <c r="K3298" s="9" t="s">
        <v>2214</v>
      </c>
      <c r="L3298" s="9" t="s">
        <v>1445</v>
      </c>
      <c r="M3298" t="s">
        <v>2255</v>
      </c>
      <c r="O3298" t="s">
        <v>2270</v>
      </c>
      <c r="P3298" t="s">
        <v>2274</v>
      </c>
      <c r="S3298">
        <v>451</v>
      </c>
      <c r="U3298" t="s">
        <v>112</v>
      </c>
      <c r="V3298" t="s">
        <v>112</v>
      </c>
      <c r="X3298" s="43">
        <v>2.4500000000000002</v>
      </c>
      <c r="AA3298" s="43"/>
      <c r="AB3298" s="43">
        <v>0.1</v>
      </c>
      <c r="AC3298" s="43">
        <v>0.17549999999999999</v>
      </c>
      <c r="AK3298">
        <v>9961688</v>
      </c>
    </row>
    <row r="3299" spans="1:37" ht="19">
      <c r="A3299" s="39" t="s">
        <v>17</v>
      </c>
      <c r="B3299" s="8">
        <v>2024</v>
      </c>
      <c r="C3299" s="8" t="s">
        <v>109</v>
      </c>
      <c r="D3299" s="9" t="s">
        <v>109</v>
      </c>
      <c r="E3299" s="9" t="s">
        <v>111</v>
      </c>
      <c r="F3299" s="9" t="s">
        <v>111</v>
      </c>
      <c r="I3299" s="9" t="s">
        <v>13</v>
      </c>
      <c r="J3299" s="9" t="s">
        <v>13</v>
      </c>
      <c r="K3299" s="9" t="s">
        <v>2214</v>
      </c>
      <c r="L3299" s="9" t="s">
        <v>1445</v>
      </c>
      <c r="M3299" t="s">
        <v>2255</v>
      </c>
      <c r="O3299" t="s">
        <v>2270</v>
      </c>
      <c r="P3299" t="s">
        <v>2275</v>
      </c>
      <c r="S3299">
        <v>334</v>
      </c>
      <c r="U3299" t="s">
        <v>112</v>
      </c>
      <c r="V3299" t="s">
        <v>112</v>
      </c>
      <c r="X3299" s="43">
        <v>1.85</v>
      </c>
      <c r="AA3299" s="43"/>
      <c r="AB3299" s="43">
        <v>0.1</v>
      </c>
      <c r="AC3299" s="43">
        <v>0.1305</v>
      </c>
      <c r="AK3299">
        <v>7377392</v>
      </c>
    </row>
    <row r="3300" spans="1:37" ht="19">
      <c r="A3300" s="39" t="s">
        <v>17</v>
      </c>
      <c r="B3300" s="8">
        <v>2024</v>
      </c>
      <c r="C3300" s="8" t="s">
        <v>109</v>
      </c>
      <c r="D3300" s="9" t="s">
        <v>109</v>
      </c>
      <c r="E3300" s="9" t="s">
        <v>111</v>
      </c>
      <c r="F3300" s="9" t="s">
        <v>111</v>
      </c>
      <c r="I3300" s="9" t="s">
        <v>13</v>
      </c>
      <c r="J3300" s="9" t="s">
        <v>13</v>
      </c>
      <c r="K3300" s="9" t="s">
        <v>2214</v>
      </c>
      <c r="L3300" s="9" t="s">
        <v>1445</v>
      </c>
      <c r="M3300" t="s">
        <v>2255</v>
      </c>
      <c r="O3300" t="s">
        <v>2276</v>
      </c>
      <c r="P3300" t="s">
        <v>2260</v>
      </c>
      <c r="S3300">
        <v>167</v>
      </c>
      <c r="U3300" t="s">
        <v>112</v>
      </c>
      <c r="V3300" t="s">
        <v>1484</v>
      </c>
      <c r="X3300" s="43">
        <v>0.6</v>
      </c>
      <c r="AA3300" s="43"/>
      <c r="AB3300" s="43">
        <v>0.05</v>
      </c>
      <c r="AC3300" s="43">
        <v>4.0500000000000001E-2</v>
      </c>
      <c r="AK3300">
        <v>3688696</v>
      </c>
    </row>
    <row r="3301" spans="1:37" ht="19">
      <c r="A3301" s="39" t="s">
        <v>17</v>
      </c>
      <c r="B3301" s="8">
        <v>2024</v>
      </c>
      <c r="C3301" s="8" t="s">
        <v>109</v>
      </c>
      <c r="D3301" s="9" t="s">
        <v>109</v>
      </c>
      <c r="E3301" s="9" t="s">
        <v>111</v>
      </c>
      <c r="F3301" s="9" t="s">
        <v>111</v>
      </c>
      <c r="I3301" s="9" t="s">
        <v>13</v>
      </c>
      <c r="J3301" s="9" t="s">
        <v>13</v>
      </c>
      <c r="K3301" s="9" t="s">
        <v>2214</v>
      </c>
      <c r="L3301" s="9" t="s">
        <v>1445</v>
      </c>
      <c r="M3301" t="s">
        <v>2255</v>
      </c>
      <c r="O3301" t="s">
        <v>2276</v>
      </c>
      <c r="P3301" t="s">
        <v>2277</v>
      </c>
      <c r="S3301">
        <v>177</v>
      </c>
      <c r="U3301" t="s">
        <v>112</v>
      </c>
      <c r="V3301" t="s">
        <v>1484</v>
      </c>
      <c r="X3301" s="43">
        <v>0.6</v>
      </c>
      <c r="AA3301" s="43"/>
      <c r="AB3301" s="43">
        <v>0.05</v>
      </c>
      <c r="AC3301" s="43">
        <v>4.4999999999999998E-2</v>
      </c>
      <c r="AK3301">
        <v>3909576</v>
      </c>
    </row>
    <row r="3302" spans="1:37" ht="19">
      <c r="A3302" s="39" t="s">
        <v>17</v>
      </c>
      <c r="B3302" s="8">
        <v>2024</v>
      </c>
      <c r="C3302" s="8" t="s">
        <v>109</v>
      </c>
      <c r="D3302" s="9" t="s">
        <v>109</v>
      </c>
      <c r="E3302" s="9" t="s">
        <v>111</v>
      </c>
      <c r="F3302" s="9" t="s">
        <v>111</v>
      </c>
      <c r="I3302" s="9" t="s">
        <v>13</v>
      </c>
      <c r="J3302" s="9" t="s">
        <v>13</v>
      </c>
      <c r="K3302" s="9" t="s">
        <v>2214</v>
      </c>
      <c r="L3302" s="9" t="s">
        <v>1445</v>
      </c>
      <c r="M3302" t="s">
        <v>2255</v>
      </c>
      <c r="O3302" t="s">
        <v>2278</v>
      </c>
      <c r="P3302" t="s">
        <v>2279</v>
      </c>
      <c r="S3302">
        <v>277</v>
      </c>
      <c r="U3302" t="s">
        <v>112</v>
      </c>
      <c r="V3302" t="s">
        <v>1484</v>
      </c>
      <c r="X3302" s="43">
        <v>0.95</v>
      </c>
      <c r="AA3302" s="43"/>
      <c r="AB3302" s="43">
        <v>0.05</v>
      </c>
      <c r="AC3302" s="43">
        <v>6.7500000000000004E-2</v>
      </c>
      <c r="AK3302">
        <v>6118376</v>
      </c>
    </row>
    <row r="3303" spans="1:37" ht="19">
      <c r="A3303" s="39" t="s">
        <v>17</v>
      </c>
      <c r="B3303" s="8">
        <v>2024</v>
      </c>
      <c r="C3303" s="8" t="s">
        <v>109</v>
      </c>
      <c r="D3303" s="9" t="s">
        <v>109</v>
      </c>
      <c r="E3303" s="9" t="s">
        <v>111</v>
      </c>
      <c r="F3303" s="9" t="s">
        <v>111</v>
      </c>
      <c r="I3303" s="9" t="s">
        <v>13</v>
      </c>
      <c r="J3303" s="9" t="s">
        <v>13</v>
      </c>
      <c r="K3303" s="9" t="s">
        <v>2214</v>
      </c>
      <c r="L3303" s="9" t="s">
        <v>1445</v>
      </c>
      <c r="M3303" t="s">
        <v>2255</v>
      </c>
      <c r="O3303" t="s">
        <v>2280</v>
      </c>
      <c r="P3303" t="s">
        <v>2281</v>
      </c>
      <c r="S3303">
        <v>298</v>
      </c>
      <c r="U3303" t="s">
        <v>112</v>
      </c>
      <c r="V3303" t="s">
        <v>1484</v>
      </c>
      <c r="X3303" s="43">
        <v>1</v>
      </c>
      <c r="AA3303" s="43"/>
      <c r="AB3303" s="43">
        <v>0</v>
      </c>
      <c r="AC3303" s="43">
        <v>6.7500000000000004E-2</v>
      </c>
      <c r="AK3303">
        <v>6582224</v>
      </c>
    </row>
    <row r="3304" spans="1:37" ht="19">
      <c r="A3304" s="39" t="s">
        <v>17</v>
      </c>
      <c r="B3304" s="8">
        <v>2024</v>
      </c>
      <c r="C3304" s="8" t="s">
        <v>109</v>
      </c>
      <c r="D3304" s="9" t="s">
        <v>109</v>
      </c>
      <c r="E3304" s="9" t="s">
        <v>111</v>
      </c>
      <c r="F3304" s="9" t="s">
        <v>111</v>
      </c>
      <c r="I3304" s="9" t="s">
        <v>13</v>
      </c>
      <c r="J3304" s="9" t="s">
        <v>13</v>
      </c>
      <c r="K3304" s="9" t="s">
        <v>2214</v>
      </c>
      <c r="L3304" s="9" t="s">
        <v>1445</v>
      </c>
      <c r="M3304" t="s">
        <v>2255</v>
      </c>
      <c r="O3304" t="s">
        <v>2282</v>
      </c>
      <c r="P3304" t="s">
        <v>2283</v>
      </c>
      <c r="S3304">
        <v>190</v>
      </c>
      <c r="U3304" t="s">
        <v>112</v>
      </c>
      <c r="V3304" t="s">
        <v>112</v>
      </c>
      <c r="X3304" s="43">
        <v>1.05</v>
      </c>
      <c r="AA3304" s="43"/>
      <c r="AB3304" s="43">
        <v>0.05</v>
      </c>
      <c r="AC3304" s="43">
        <v>7.6499999999999999E-2</v>
      </c>
      <c r="AK3304">
        <v>4196720</v>
      </c>
    </row>
    <row r="3305" spans="1:37" ht="19">
      <c r="A3305" s="39" t="s">
        <v>17</v>
      </c>
      <c r="B3305" s="8">
        <v>2024</v>
      </c>
      <c r="C3305" s="8" t="s">
        <v>109</v>
      </c>
      <c r="D3305" s="9" t="s">
        <v>109</v>
      </c>
      <c r="E3305" s="9" t="s">
        <v>111</v>
      </c>
      <c r="F3305" s="9" t="s">
        <v>111</v>
      </c>
      <c r="I3305" s="9" t="s">
        <v>13</v>
      </c>
      <c r="J3305" s="9" t="s">
        <v>13</v>
      </c>
      <c r="K3305" s="9" t="s">
        <v>2214</v>
      </c>
      <c r="L3305" s="9" t="s">
        <v>1445</v>
      </c>
      <c r="M3305" t="s">
        <v>2255</v>
      </c>
      <c r="O3305" t="s">
        <v>2280</v>
      </c>
      <c r="P3305" t="s">
        <v>2284</v>
      </c>
      <c r="S3305">
        <v>369</v>
      </c>
      <c r="U3305" t="s">
        <v>112</v>
      </c>
      <c r="V3305" t="s">
        <v>1484</v>
      </c>
      <c r="X3305" s="43">
        <v>1.2</v>
      </c>
      <c r="AA3305" s="43"/>
      <c r="AB3305" s="43">
        <v>0.05</v>
      </c>
      <c r="AC3305" s="43">
        <v>8.5500000000000007E-2</v>
      </c>
      <c r="AK3305">
        <v>8150472</v>
      </c>
    </row>
    <row r="3306" spans="1:37" ht="19">
      <c r="A3306" s="39" t="s">
        <v>17</v>
      </c>
      <c r="B3306" s="8">
        <v>2024</v>
      </c>
      <c r="C3306" s="8" t="s">
        <v>109</v>
      </c>
      <c r="D3306" s="9" t="s">
        <v>109</v>
      </c>
      <c r="E3306" s="9" t="s">
        <v>111</v>
      </c>
      <c r="F3306" s="9" t="s">
        <v>111</v>
      </c>
      <c r="I3306" s="9" t="s">
        <v>13</v>
      </c>
      <c r="J3306" s="9" t="s">
        <v>13</v>
      </c>
      <c r="K3306" s="9" t="s">
        <v>2214</v>
      </c>
      <c r="L3306" s="9" t="s">
        <v>1445</v>
      </c>
      <c r="M3306" t="s">
        <v>2255</v>
      </c>
      <c r="O3306" t="s">
        <v>2282</v>
      </c>
      <c r="P3306" t="s">
        <v>2285</v>
      </c>
      <c r="S3306">
        <v>470</v>
      </c>
      <c r="U3306" t="s">
        <v>112</v>
      </c>
      <c r="V3306" t="s">
        <v>112</v>
      </c>
      <c r="X3306" s="43">
        <v>2.5499999999999998</v>
      </c>
      <c r="AA3306" s="43"/>
      <c r="AB3306" s="43">
        <v>0.15</v>
      </c>
      <c r="AC3306" s="43">
        <v>0.1845</v>
      </c>
      <c r="AK3306">
        <v>10381360</v>
      </c>
    </row>
    <row r="3307" spans="1:37" ht="19">
      <c r="A3307" s="39" t="s">
        <v>17</v>
      </c>
      <c r="B3307" s="8">
        <v>2024</v>
      </c>
      <c r="C3307" s="8" t="s">
        <v>109</v>
      </c>
      <c r="D3307" s="9" t="s">
        <v>109</v>
      </c>
      <c r="E3307" s="9" t="s">
        <v>111</v>
      </c>
      <c r="F3307" s="9" t="s">
        <v>111</v>
      </c>
      <c r="I3307" s="9" t="s">
        <v>13</v>
      </c>
      <c r="J3307" s="9" t="s">
        <v>13</v>
      </c>
      <c r="K3307" s="9" t="s">
        <v>2214</v>
      </c>
      <c r="L3307" s="9" t="s">
        <v>1445</v>
      </c>
      <c r="M3307" t="s">
        <v>2255</v>
      </c>
      <c r="O3307" t="s">
        <v>2286</v>
      </c>
      <c r="P3307" t="s">
        <v>2287</v>
      </c>
      <c r="S3307">
        <v>123</v>
      </c>
      <c r="U3307" t="s">
        <v>112</v>
      </c>
      <c r="V3307" t="s">
        <v>112</v>
      </c>
      <c r="X3307" s="43">
        <v>0.65</v>
      </c>
      <c r="AA3307" s="43"/>
      <c r="AB3307" s="43">
        <v>0.05</v>
      </c>
      <c r="AC3307" s="43">
        <v>4.9500000000000002E-2</v>
      </c>
      <c r="AK3307">
        <v>2716824</v>
      </c>
    </row>
    <row r="3308" spans="1:37" ht="19">
      <c r="A3308" s="39" t="s">
        <v>17</v>
      </c>
      <c r="B3308" s="8">
        <v>2024</v>
      </c>
      <c r="C3308" s="8" t="s">
        <v>109</v>
      </c>
      <c r="D3308" s="9" t="s">
        <v>109</v>
      </c>
      <c r="E3308" s="9" t="s">
        <v>111</v>
      </c>
      <c r="F3308" s="9" t="s">
        <v>111</v>
      </c>
      <c r="I3308" s="9" t="s">
        <v>13</v>
      </c>
      <c r="J3308" s="9" t="s">
        <v>13</v>
      </c>
      <c r="K3308" s="9" t="s">
        <v>2214</v>
      </c>
      <c r="L3308" s="9" t="s">
        <v>1445</v>
      </c>
      <c r="M3308" t="s">
        <v>2255</v>
      </c>
      <c r="O3308" t="s">
        <v>2286</v>
      </c>
      <c r="P3308" t="s">
        <v>2288</v>
      </c>
      <c r="S3308">
        <v>214</v>
      </c>
      <c r="U3308" t="s">
        <v>112</v>
      </c>
      <c r="V3308" t="s">
        <v>112</v>
      </c>
      <c r="X3308" s="43">
        <v>1.1499999999999999</v>
      </c>
      <c r="AA3308" s="43"/>
      <c r="AB3308" s="43">
        <v>0.05</v>
      </c>
      <c r="AC3308" s="43">
        <v>8.5500000000000007E-2</v>
      </c>
      <c r="AK3308">
        <v>4726832</v>
      </c>
    </row>
    <row r="3309" spans="1:37" ht="19">
      <c r="A3309" s="39" t="s">
        <v>17</v>
      </c>
      <c r="B3309" s="8">
        <v>2024</v>
      </c>
      <c r="C3309" s="8" t="s">
        <v>109</v>
      </c>
      <c r="D3309" s="9" t="s">
        <v>109</v>
      </c>
      <c r="E3309" s="9" t="s">
        <v>111</v>
      </c>
      <c r="F3309" s="9" t="s">
        <v>111</v>
      </c>
      <c r="I3309" s="9" t="s">
        <v>13</v>
      </c>
      <c r="J3309" s="9" t="s">
        <v>13</v>
      </c>
      <c r="K3309" s="9" t="s">
        <v>2214</v>
      </c>
      <c r="L3309" s="9" t="s">
        <v>1445</v>
      </c>
      <c r="M3309" t="s">
        <v>2255</v>
      </c>
      <c r="O3309" t="s">
        <v>2289</v>
      </c>
      <c r="P3309" t="s">
        <v>2290</v>
      </c>
      <c r="S3309">
        <v>406</v>
      </c>
      <c r="U3309" t="s">
        <v>112</v>
      </c>
      <c r="V3309" t="s">
        <v>1484</v>
      </c>
      <c r="X3309" s="43">
        <v>1.35</v>
      </c>
      <c r="AA3309" s="43"/>
      <c r="AB3309" s="43">
        <v>0.05</v>
      </c>
      <c r="AC3309" s="43">
        <v>9.9000000000000005E-2</v>
      </c>
      <c r="AK3309">
        <v>8967728</v>
      </c>
    </row>
    <row r="3310" spans="1:37" ht="19">
      <c r="A3310" s="39" t="s">
        <v>17</v>
      </c>
      <c r="B3310" s="8">
        <v>2024</v>
      </c>
      <c r="C3310" s="8" t="s">
        <v>109</v>
      </c>
      <c r="D3310" s="9" t="s">
        <v>109</v>
      </c>
      <c r="E3310" s="9" t="s">
        <v>111</v>
      </c>
      <c r="F3310" s="9" t="s">
        <v>111</v>
      </c>
      <c r="I3310" s="9" t="s">
        <v>13</v>
      </c>
      <c r="J3310" s="9" t="s">
        <v>13</v>
      </c>
      <c r="K3310" s="9" t="s">
        <v>2214</v>
      </c>
      <c r="L3310" s="9" t="s">
        <v>1445</v>
      </c>
      <c r="M3310" t="s">
        <v>2255</v>
      </c>
      <c r="O3310" t="s">
        <v>2272</v>
      </c>
      <c r="P3310" t="s">
        <v>2291</v>
      </c>
      <c r="S3310">
        <v>273</v>
      </c>
      <c r="U3310" t="s">
        <v>112</v>
      </c>
      <c r="V3310" t="s">
        <v>112</v>
      </c>
      <c r="X3310" s="43">
        <v>1.5</v>
      </c>
      <c r="AA3310" s="43"/>
      <c r="AB3310" s="43">
        <v>0.1</v>
      </c>
      <c r="AC3310" s="43">
        <v>0.108</v>
      </c>
      <c r="AK3310">
        <v>6030024</v>
      </c>
    </row>
    <row r="3311" spans="1:37" ht="19">
      <c r="A3311" s="39" t="s">
        <v>17</v>
      </c>
      <c r="B3311" s="8">
        <v>2024</v>
      </c>
      <c r="C3311" s="8" t="s">
        <v>109</v>
      </c>
      <c r="D3311" s="9" t="s">
        <v>109</v>
      </c>
      <c r="E3311" s="9" t="s">
        <v>111</v>
      </c>
      <c r="F3311" s="9" t="s">
        <v>111</v>
      </c>
      <c r="I3311" s="9" t="s">
        <v>13</v>
      </c>
      <c r="J3311" s="9" t="s">
        <v>13</v>
      </c>
      <c r="K3311" s="9" t="s">
        <v>2214</v>
      </c>
      <c r="L3311" s="9" t="s">
        <v>1445</v>
      </c>
      <c r="M3311" t="s">
        <v>2255</v>
      </c>
      <c r="O3311" t="s">
        <v>2292</v>
      </c>
      <c r="P3311" t="s">
        <v>2293</v>
      </c>
      <c r="S3311">
        <v>214</v>
      </c>
      <c r="U3311" t="s">
        <v>112</v>
      </c>
      <c r="V3311" t="s">
        <v>1484</v>
      </c>
      <c r="X3311" s="43">
        <v>0.7</v>
      </c>
      <c r="AA3311" s="43"/>
      <c r="AB3311" s="43">
        <v>0.05</v>
      </c>
      <c r="AC3311" s="43">
        <v>4.9500000000000002E-2</v>
      </c>
      <c r="AK3311">
        <v>4726832</v>
      </c>
    </row>
    <row r="3312" spans="1:37" ht="19">
      <c r="A3312" s="39" t="s">
        <v>17</v>
      </c>
      <c r="B3312" s="8">
        <v>2024</v>
      </c>
      <c r="C3312" s="8" t="s">
        <v>109</v>
      </c>
      <c r="D3312" s="9" t="s">
        <v>109</v>
      </c>
      <c r="E3312" s="9" t="s">
        <v>111</v>
      </c>
      <c r="F3312" s="9" t="s">
        <v>111</v>
      </c>
      <c r="I3312" s="9" t="s">
        <v>13</v>
      </c>
      <c r="J3312" s="9" t="s">
        <v>13</v>
      </c>
      <c r="K3312" s="9" t="s">
        <v>2214</v>
      </c>
      <c r="L3312" s="9" t="s">
        <v>1445</v>
      </c>
      <c r="M3312" t="s">
        <v>2255</v>
      </c>
      <c r="O3312" t="s">
        <v>2294</v>
      </c>
      <c r="P3312" t="s">
        <v>2244</v>
      </c>
      <c r="S3312">
        <v>399</v>
      </c>
      <c r="U3312" t="s">
        <v>112</v>
      </c>
      <c r="V3312" t="s">
        <v>112</v>
      </c>
      <c r="X3312" s="43">
        <v>2.2000000000000002</v>
      </c>
      <c r="AA3312" s="43"/>
      <c r="AB3312" s="43">
        <v>0.1</v>
      </c>
      <c r="AC3312" s="43">
        <v>0.1575</v>
      </c>
      <c r="AK3312">
        <v>8813112</v>
      </c>
    </row>
    <row r="3313" spans="1:37" ht="19">
      <c r="A3313" s="39" t="s">
        <v>17</v>
      </c>
      <c r="B3313" s="8">
        <v>2024</v>
      </c>
      <c r="C3313" s="8" t="s">
        <v>109</v>
      </c>
      <c r="D3313" s="9" t="s">
        <v>109</v>
      </c>
      <c r="E3313" s="9" t="s">
        <v>111</v>
      </c>
      <c r="F3313" s="9" t="s">
        <v>111</v>
      </c>
      <c r="I3313" s="9" t="s">
        <v>13</v>
      </c>
      <c r="J3313" s="9" t="s">
        <v>13</v>
      </c>
      <c r="K3313" s="9" t="s">
        <v>2214</v>
      </c>
      <c r="L3313" s="9" t="s">
        <v>1445</v>
      </c>
      <c r="M3313" t="s">
        <v>2255</v>
      </c>
      <c r="O3313" t="s">
        <v>2294</v>
      </c>
      <c r="P3313" t="s">
        <v>2295</v>
      </c>
      <c r="S3313">
        <v>282</v>
      </c>
      <c r="U3313" t="s">
        <v>112</v>
      </c>
      <c r="V3313" t="s">
        <v>112</v>
      </c>
      <c r="X3313" s="43">
        <v>1.55</v>
      </c>
      <c r="AA3313" s="43"/>
      <c r="AB3313" s="43">
        <v>0.05</v>
      </c>
      <c r="AC3313" s="43">
        <v>0.108</v>
      </c>
      <c r="AK3313">
        <v>6228816</v>
      </c>
    </row>
    <row r="3314" spans="1:37" ht="19">
      <c r="A3314" s="39" t="s">
        <v>17</v>
      </c>
      <c r="B3314" s="8">
        <v>2024</v>
      </c>
      <c r="C3314" s="8" t="s">
        <v>109</v>
      </c>
      <c r="D3314" s="9" t="s">
        <v>109</v>
      </c>
      <c r="E3314" s="9" t="s">
        <v>111</v>
      </c>
      <c r="F3314" s="9" t="s">
        <v>111</v>
      </c>
      <c r="I3314" s="9" t="s">
        <v>13</v>
      </c>
      <c r="J3314" s="9" t="s">
        <v>13</v>
      </c>
      <c r="K3314" s="9" t="s">
        <v>2214</v>
      </c>
      <c r="L3314" s="9" t="s">
        <v>1445</v>
      </c>
      <c r="M3314" t="s">
        <v>2255</v>
      </c>
      <c r="O3314" t="s">
        <v>2294</v>
      </c>
      <c r="P3314" t="s">
        <v>2296</v>
      </c>
      <c r="S3314">
        <v>171</v>
      </c>
      <c r="U3314" t="s">
        <v>112</v>
      </c>
      <c r="V3314" t="s">
        <v>112</v>
      </c>
      <c r="X3314" s="43">
        <v>0.95</v>
      </c>
      <c r="AA3314" s="43"/>
      <c r="AB3314" s="43">
        <v>0.05</v>
      </c>
      <c r="AC3314" s="43">
        <v>6.7500000000000004E-2</v>
      </c>
      <c r="AK3314">
        <v>3777048</v>
      </c>
    </row>
    <row r="3315" spans="1:37" ht="19">
      <c r="A3315" s="39" t="s">
        <v>17</v>
      </c>
      <c r="B3315" s="8">
        <v>2024</v>
      </c>
      <c r="C3315" s="8" t="s">
        <v>109</v>
      </c>
      <c r="D3315" s="9" t="s">
        <v>109</v>
      </c>
      <c r="E3315" s="9" t="s">
        <v>111</v>
      </c>
      <c r="F3315" s="9" t="s">
        <v>111</v>
      </c>
      <c r="I3315" s="9" t="s">
        <v>13</v>
      </c>
      <c r="J3315" s="9" t="s">
        <v>13</v>
      </c>
      <c r="K3315" s="9" t="s">
        <v>2214</v>
      </c>
      <c r="L3315" s="9" t="s">
        <v>1445</v>
      </c>
      <c r="M3315" t="s">
        <v>2255</v>
      </c>
      <c r="O3315" t="s">
        <v>2297</v>
      </c>
      <c r="P3315" t="s">
        <v>2298</v>
      </c>
      <c r="S3315">
        <v>405</v>
      </c>
      <c r="U3315" t="s">
        <v>112</v>
      </c>
      <c r="V3315" t="s">
        <v>112</v>
      </c>
      <c r="X3315" s="43">
        <v>2.2000000000000002</v>
      </c>
      <c r="AA3315" s="43"/>
      <c r="AB3315" s="43">
        <v>0.1</v>
      </c>
      <c r="AC3315" s="43">
        <v>0.16200000000000001</v>
      </c>
      <c r="AK3315">
        <v>8945640</v>
      </c>
    </row>
    <row r="3316" spans="1:37" ht="19">
      <c r="A3316" s="39" t="s">
        <v>17</v>
      </c>
      <c r="B3316" s="8">
        <v>2024</v>
      </c>
      <c r="C3316" s="8" t="s">
        <v>109</v>
      </c>
      <c r="D3316" s="9" t="s">
        <v>109</v>
      </c>
      <c r="E3316" s="9" t="s">
        <v>111</v>
      </c>
      <c r="F3316" s="9" t="s">
        <v>111</v>
      </c>
      <c r="I3316" s="9" t="s">
        <v>13</v>
      </c>
      <c r="J3316" s="9" t="s">
        <v>13</v>
      </c>
      <c r="K3316" s="9" t="s">
        <v>2214</v>
      </c>
      <c r="L3316" s="9" t="s">
        <v>1445</v>
      </c>
      <c r="M3316" t="s">
        <v>2255</v>
      </c>
      <c r="O3316" t="s">
        <v>2297</v>
      </c>
      <c r="P3316" t="s">
        <v>2299</v>
      </c>
      <c r="S3316">
        <v>248</v>
      </c>
      <c r="U3316" t="s">
        <v>112</v>
      </c>
      <c r="V3316" t="s">
        <v>1484</v>
      </c>
      <c r="X3316" s="43">
        <v>0.8</v>
      </c>
      <c r="AA3316" s="43"/>
      <c r="AB3316" s="43">
        <v>0.05</v>
      </c>
      <c r="AC3316" s="43">
        <v>5.8500000000000003E-2</v>
      </c>
      <c r="AK3316">
        <v>5477824</v>
      </c>
    </row>
    <row r="3317" spans="1:37" ht="19">
      <c r="A3317" s="39" t="s">
        <v>17</v>
      </c>
      <c r="B3317" s="8">
        <v>2024</v>
      </c>
      <c r="C3317" s="8" t="s">
        <v>109</v>
      </c>
      <c r="D3317" s="9" t="s">
        <v>109</v>
      </c>
      <c r="E3317" s="9" t="s">
        <v>111</v>
      </c>
      <c r="F3317" s="9" t="s">
        <v>111</v>
      </c>
      <c r="I3317" s="9" t="s">
        <v>13</v>
      </c>
      <c r="J3317" s="9" t="s">
        <v>13</v>
      </c>
      <c r="K3317" s="9" t="s">
        <v>2214</v>
      </c>
      <c r="L3317" s="9" t="s">
        <v>1445</v>
      </c>
      <c r="M3317" t="s">
        <v>2255</v>
      </c>
      <c r="O3317" t="s">
        <v>2297</v>
      </c>
      <c r="P3317" t="s">
        <v>415</v>
      </c>
      <c r="S3317">
        <v>283</v>
      </c>
      <c r="U3317" t="s">
        <v>112</v>
      </c>
      <c r="V3317" t="s">
        <v>112</v>
      </c>
      <c r="X3317" s="43">
        <v>1.55</v>
      </c>
      <c r="AA3317" s="43"/>
      <c r="AB3317" s="43">
        <v>0.05</v>
      </c>
      <c r="AC3317" s="43">
        <v>0.1125</v>
      </c>
      <c r="AK3317">
        <v>6250904</v>
      </c>
    </row>
    <row r="3318" spans="1:37" ht="19">
      <c r="A3318" s="39" t="s">
        <v>17</v>
      </c>
      <c r="B3318" s="8">
        <v>2024</v>
      </c>
      <c r="C3318" s="8" t="s">
        <v>109</v>
      </c>
      <c r="D3318" s="9" t="s">
        <v>109</v>
      </c>
      <c r="E3318" s="9" t="s">
        <v>111</v>
      </c>
      <c r="F3318" s="9" t="s">
        <v>111</v>
      </c>
      <c r="I3318" s="9" t="s">
        <v>13</v>
      </c>
      <c r="J3318" s="9" t="s">
        <v>13</v>
      </c>
      <c r="K3318" s="9" t="s">
        <v>2214</v>
      </c>
      <c r="L3318" s="9" t="s">
        <v>1445</v>
      </c>
      <c r="M3318" t="s">
        <v>2255</v>
      </c>
      <c r="O3318" t="s">
        <v>2300</v>
      </c>
      <c r="P3318" t="s">
        <v>2301</v>
      </c>
      <c r="S3318">
        <v>255</v>
      </c>
      <c r="U3318" t="s">
        <v>112</v>
      </c>
      <c r="V3318" t="s">
        <v>1484</v>
      </c>
      <c r="X3318" s="43">
        <v>0.85</v>
      </c>
      <c r="AA3318" s="43"/>
      <c r="AB3318" s="43">
        <v>0.05</v>
      </c>
      <c r="AC3318" s="43">
        <v>5.8500000000000003E-2</v>
      </c>
      <c r="AK3318">
        <v>5632440</v>
      </c>
    </row>
    <row r="3319" spans="1:37" ht="19">
      <c r="A3319" s="39" t="s">
        <v>17</v>
      </c>
      <c r="B3319" s="8">
        <v>2024</v>
      </c>
      <c r="C3319" s="8" t="s">
        <v>109</v>
      </c>
      <c r="D3319" s="9" t="s">
        <v>109</v>
      </c>
      <c r="E3319" s="9" t="s">
        <v>111</v>
      </c>
      <c r="F3319" s="9" t="s">
        <v>111</v>
      </c>
      <c r="I3319" s="9" t="s">
        <v>13</v>
      </c>
      <c r="J3319" s="9" t="s">
        <v>13</v>
      </c>
      <c r="K3319" s="9" t="s">
        <v>2214</v>
      </c>
      <c r="L3319" s="9" t="s">
        <v>1445</v>
      </c>
      <c r="M3319" t="s">
        <v>2255</v>
      </c>
      <c r="O3319" t="s">
        <v>2300</v>
      </c>
      <c r="P3319" t="s">
        <v>2302</v>
      </c>
      <c r="S3319">
        <v>192</v>
      </c>
      <c r="U3319" t="s">
        <v>112</v>
      </c>
      <c r="V3319" t="s">
        <v>1484</v>
      </c>
      <c r="X3319" s="43">
        <v>0.65</v>
      </c>
      <c r="AA3319" s="43"/>
      <c r="AB3319" s="43">
        <v>0.05</v>
      </c>
      <c r="AC3319" s="43">
        <v>4.4999999999999998E-2</v>
      </c>
      <c r="AK3319">
        <v>4240896</v>
      </c>
    </row>
    <row r="3320" spans="1:37" ht="19">
      <c r="A3320" s="39" t="s">
        <v>17</v>
      </c>
      <c r="B3320" s="8">
        <v>2024</v>
      </c>
      <c r="C3320" s="8" t="s">
        <v>109</v>
      </c>
      <c r="D3320" s="9" t="s">
        <v>109</v>
      </c>
      <c r="E3320" s="9" t="s">
        <v>111</v>
      </c>
      <c r="F3320" s="9" t="s">
        <v>111</v>
      </c>
      <c r="I3320" s="9" t="s">
        <v>13</v>
      </c>
      <c r="J3320" s="9" t="s">
        <v>13</v>
      </c>
      <c r="K3320" s="9" t="s">
        <v>2214</v>
      </c>
      <c r="L3320" s="9" t="s">
        <v>1445</v>
      </c>
      <c r="M3320" t="s">
        <v>2303</v>
      </c>
      <c r="O3320" t="s">
        <v>2304</v>
      </c>
      <c r="P3320" t="s">
        <v>410</v>
      </c>
      <c r="S3320">
        <v>167</v>
      </c>
      <c r="U3320" t="s">
        <v>112</v>
      </c>
      <c r="V3320" t="s">
        <v>112</v>
      </c>
      <c r="X3320" s="43">
        <v>0.95</v>
      </c>
      <c r="AA3320" s="43"/>
      <c r="AB3320" s="43">
        <v>0.05</v>
      </c>
      <c r="AC3320" s="43">
        <v>6.7500000000000004E-2</v>
      </c>
      <c r="AK3320">
        <v>3688696</v>
      </c>
    </row>
    <row r="3321" spans="1:37" ht="19">
      <c r="A3321" s="39" t="s">
        <v>17</v>
      </c>
      <c r="B3321" s="8">
        <v>2024</v>
      </c>
      <c r="C3321" s="8" t="s">
        <v>109</v>
      </c>
      <c r="D3321" s="9" t="s">
        <v>109</v>
      </c>
      <c r="E3321" s="9" t="s">
        <v>111</v>
      </c>
      <c r="F3321" s="9" t="s">
        <v>111</v>
      </c>
      <c r="I3321" s="9" t="s">
        <v>13</v>
      </c>
      <c r="J3321" s="9" t="s">
        <v>13</v>
      </c>
      <c r="K3321" s="9" t="s">
        <v>2214</v>
      </c>
      <c r="L3321" s="9" t="s">
        <v>1445</v>
      </c>
      <c r="M3321" t="s">
        <v>2303</v>
      </c>
      <c r="O3321" t="s">
        <v>2304</v>
      </c>
      <c r="P3321" t="s">
        <v>2305</v>
      </c>
      <c r="S3321">
        <v>132</v>
      </c>
      <c r="U3321" t="s">
        <v>112</v>
      </c>
      <c r="V3321" t="s">
        <v>112</v>
      </c>
      <c r="X3321" s="43">
        <v>0.75</v>
      </c>
      <c r="AA3321" s="43"/>
      <c r="AB3321" s="43">
        <v>0.05</v>
      </c>
      <c r="AC3321" s="43">
        <v>5.3999999999999999E-2</v>
      </c>
      <c r="AK3321">
        <v>2915616</v>
      </c>
    </row>
    <row r="3322" spans="1:37" ht="19">
      <c r="A3322" s="39" t="s">
        <v>17</v>
      </c>
      <c r="B3322" s="8">
        <v>2024</v>
      </c>
      <c r="C3322" s="8" t="s">
        <v>109</v>
      </c>
      <c r="D3322" s="9" t="s">
        <v>109</v>
      </c>
      <c r="E3322" s="9" t="s">
        <v>111</v>
      </c>
      <c r="F3322" s="9" t="s">
        <v>111</v>
      </c>
      <c r="I3322" s="9" t="s">
        <v>13</v>
      </c>
      <c r="J3322" s="9" t="s">
        <v>13</v>
      </c>
      <c r="K3322" s="9" t="s">
        <v>2214</v>
      </c>
      <c r="L3322" s="9" t="s">
        <v>1445</v>
      </c>
      <c r="M3322" t="s">
        <v>2303</v>
      </c>
      <c r="O3322" t="s">
        <v>2306</v>
      </c>
      <c r="P3322" t="s">
        <v>2307</v>
      </c>
      <c r="S3322">
        <v>273</v>
      </c>
      <c r="U3322" t="s">
        <v>112</v>
      </c>
      <c r="V3322" t="s">
        <v>1484</v>
      </c>
      <c r="X3322" s="43">
        <v>0.9</v>
      </c>
      <c r="AA3322" s="43"/>
      <c r="AB3322" s="43">
        <v>0.05</v>
      </c>
      <c r="AC3322" s="43">
        <v>6.3E-2</v>
      </c>
      <c r="AK3322">
        <v>6030024</v>
      </c>
    </row>
    <row r="3323" spans="1:37" ht="19">
      <c r="A3323" s="39" t="s">
        <v>17</v>
      </c>
      <c r="B3323" s="8">
        <v>2024</v>
      </c>
      <c r="C3323" s="8" t="s">
        <v>109</v>
      </c>
      <c r="D3323" s="9" t="s">
        <v>109</v>
      </c>
      <c r="E3323" s="9" t="s">
        <v>111</v>
      </c>
      <c r="F3323" s="9" t="s">
        <v>111</v>
      </c>
      <c r="I3323" s="9" t="s">
        <v>13</v>
      </c>
      <c r="J3323" s="9" t="s">
        <v>13</v>
      </c>
      <c r="K3323" s="9" t="s">
        <v>2214</v>
      </c>
      <c r="L3323" s="9" t="s">
        <v>1445</v>
      </c>
      <c r="M3323" t="s">
        <v>2303</v>
      </c>
      <c r="O3323" t="s">
        <v>2306</v>
      </c>
      <c r="P3323" t="s">
        <v>2249</v>
      </c>
      <c r="S3323">
        <v>283</v>
      </c>
      <c r="U3323" t="s">
        <v>112</v>
      </c>
      <c r="V3323" t="s">
        <v>1484</v>
      </c>
      <c r="X3323" s="43">
        <v>0.95</v>
      </c>
      <c r="AA3323" s="43"/>
      <c r="AB3323" s="43">
        <v>0</v>
      </c>
      <c r="AC3323" s="43">
        <v>6.7500000000000004E-2</v>
      </c>
      <c r="AK3323">
        <v>6250904</v>
      </c>
    </row>
    <row r="3324" spans="1:37" ht="19">
      <c r="A3324" s="39" t="s">
        <v>17</v>
      </c>
      <c r="B3324" s="8">
        <v>2024</v>
      </c>
      <c r="C3324" s="8" t="s">
        <v>109</v>
      </c>
      <c r="D3324" s="9" t="s">
        <v>109</v>
      </c>
      <c r="E3324" s="9" t="s">
        <v>111</v>
      </c>
      <c r="F3324" s="9" t="s">
        <v>111</v>
      </c>
      <c r="I3324" s="9" t="s">
        <v>13</v>
      </c>
      <c r="J3324" s="9" t="s">
        <v>13</v>
      </c>
      <c r="K3324" s="9" t="s">
        <v>2214</v>
      </c>
      <c r="L3324" s="9" t="s">
        <v>1445</v>
      </c>
      <c r="M3324" t="s">
        <v>2303</v>
      </c>
      <c r="O3324" t="s">
        <v>2306</v>
      </c>
      <c r="P3324" t="s">
        <v>2308</v>
      </c>
      <c r="S3324">
        <v>93</v>
      </c>
      <c r="U3324" t="s">
        <v>112</v>
      </c>
      <c r="V3324" t="s">
        <v>1484</v>
      </c>
      <c r="X3324" s="43">
        <v>0.3</v>
      </c>
      <c r="AA3324" s="43"/>
      <c r="AB3324" s="43">
        <v>0</v>
      </c>
      <c r="AC3324" s="43">
        <v>2.2499999999999999E-2</v>
      </c>
      <c r="AK3324">
        <v>2054184</v>
      </c>
    </row>
    <row r="3325" spans="1:37" ht="19">
      <c r="A3325" s="39" t="s">
        <v>17</v>
      </c>
      <c r="B3325" s="8">
        <v>2024</v>
      </c>
      <c r="C3325" s="8" t="s">
        <v>109</v>
      </c>
      <c r="D3325" s="9" t="s">
        <v>109</v>
      </c>
      <c r="E3325" s="9" t="s">
        <v>111</v>
      </c>
      <c r="F3325" s="9" t="s">
        <v>111</v>
      </c>
      <c r="I3325" s="9" t="s">
        <v>13</v>
      </c>
      <c r="J3325" s="9" t="s">
        <v>13</v>
      </c>
      <c r="K3325" s="9" t="s">
        <v>2214</v>
      </c>
      <c r="L3325" s="9" t="s">
        <v>1445</v>
      </c>
      <c r="M3325" t="s">
        <v>2303</v>
      </c>
      <c r="O3325" t="s">
        <v>2309</v>
      </c>
      <c r="P3325" t="s">
        <v>2310</v>
      </c>
      <c r="S3325">
        <v>387</v>
      </c>
      <c r="U3325" t="s">
        <v>112</v>
      </c>
      <c r="V3325" t="s">
        <v>1484</v>
      </c>
      <c r="X3325" s="43">
        <v>1.3</v>
      </c>
      <c r="AA3325" s="43"/>
      <c r="AB3325" s="43">
        <v>0.05</v>
      </c>
      <c r="AC3325" s="43">
        <v>0.09</v>
      </c>
      <c r="AK3325">
        <v>8548056</v>
      </c>
    </row>
    <row r="3326" spans="1:37" ht="19">
      <c r="A3326" s="39" t="s">
        <v>17</v>
      </c>
      <c r="B3326" s="8">
        <v>2024</v>
      </c>
      <c r="C3326" s="8" t="s">
        <v>109</v>
      </c>
      <c r="D3326" s="9" t="s">
        <v>109</v>
      </c>
      <c r="E3326" s="9" t="s">
        <v>111</v>
      </c>
      <c r="F3326" s="9" t="s">
        <v>111</v>
      </c>
      <c r="I3326" s="9" t="s">
        <v>13</v>
      </c>
      <c r="J3326" s="9" t="s">
        <v>13</v>
      </c>
      <c r="K3326" s="9" t="s">
        <v>2214</v>
      </c>
      <c r="L3326" s="9" t="s">
        <v>1445</v>
      </c>
      <c r="M3326" t="s">
        <v>2303</v>
      </c>
      <c r="O3326" t="s">
        <v>1498</v>
      </c>
      <c r="P3326" t="s">
        <v>2311</v>
      </c>
      <c r="S3326">
        <v>228</v>
      </c>
      <c r="U3326" t="s">
        <v>112</v>
      </c>
      <c r="V3326" t="s">
        <v>112</v>
      </c>
      <c r="X3326" s="43">
        <v>1.25</v>
      </c>
      <c r="AA3326" s="43"/>
      <c r="AB3326" s="43">
        <v>0.1</v>
      </c>
      <c r="AC3326" s="43">
        <v>0.09</v>
      </c>
      <c r="AK3326">
        <v>5036064</v>
      </c>
    </row>
    <row r="3327" spans="1:37" ht="19">
      <c r="A3327" s="39" t="s">
        <v>17</v>
      </c>
      <c r="B3327" s="8">
        <v>2024</v>
      </c>
      <c r="C3327" s="8" t="s">
        <v>109</v>
      </c>
      <c r="D3327" s="9" t="s">
        <v>109</v>
      </c>
      <c r="E3327" s="9" t="s">
        <v>111</v>
      </c>
      <c r="F3327" s="9" t="s">
        <v>111</v>
      </c>
      <c r="I3327" s="9" t="s">
        <v>13</v>
      </c>
      <c r="J3327" s="9" t="s">
        <v>13</v>
      </c>
      <c r="K3327" s="9" t="s">
        <v>2214</v>
      </c>
      <c r="L3327" s="9" t="s">
        <v>1445</v>
      </c>
      <c r="M3327" t="s">
        <v>2303</v>
      </c>
      <c r="O3327" t="s">
        <v>2312</v>
      </c>
      <c r="P3327" t="s">
        <v>2313</v>
      </c>
      <c r="S3327">
        <v>145</v>
      </c>
      <c r="U3327" t="s">
        <v>112</v>
      </c>
      <c r="V3327" t="s">
        <v>1484</v>
      </c>
      <c r="X3327" s="43">
        <v>0.5</v>
      </c>
      <c r="AA3327" s="43"/>
      <c r="AB3327" s="43">
        <v>0</v>
      </c>
      <c r="AC3327" s="43">
        <v>3.5999999999999997E-2</v>
      </c>
      <c r="AK3327">
        <v>3202760</v>
      </c>
    </row>
    <row r="3328" spans="1:37" ht="19">
      <c r="A3328" s="39" t="s">
        <v>17</v>
      </c>
      <c r="B3328" s="8">
        <v>2024</v>
      </c>
      <c r="C3328" s="8" t="s">
        <v>109</v>
      </c>
      <c r="D3328" s="9" t="s">
        <v>109</v>
      </c>
      <c r="E3328" s="9" t="s">
        <v>111</v>
      </c>
      <c r="F3328" s="9" t="s">
        <v>111</v>
      </c>
      <c r="I3328" s="9" t="s">
        <v>13</v>
      </c>
      <c r="J3328" s="9" t="s">
        <v>13</v>
      </c>
      <c r="K3328" s="9" t="s">
        <v>2214</v>
      </c>
      <c r="L3328" s="9" t="s">
        <v>1445</v>
      </c>
      <c r="M3328" t="s">
        <v>2303</v>
      </c>
      <c r="O3328" t="s">
        <v>2314</v>
      </c>
      <c r="P3328" t="s">
        <v>2315</v>
      </c>
      <c r="S3328">
        <v>63</v>
      </c>
      <c r="U3328" t="s">
        <v>112</v>
      </c>
      <c r="V3328" t="s">
        <v>1484</v>
      </c>
      <c r="X3328" s="43">
        <v>0.25</v>
      </c>
      <c r="AA3328" s="43"/>
      <c r="AB3328" s="43">
        <v>0</v>
      </c>
      <c r="AC3328" s="43">
        <v>1.7999999999999999E-2</v>
      </c>
      <c r="AK3328">
        <v>1391544</v>
      </c>
    </row>
    <row r="3329" spans="1:37" ht="19">
      <c r="A3329" s="39" t="s">
        <v>17</v>
      </c>
      <c r="B3329" s="8">
        <v>2024</v>
      </c>
      <c r="C3329" s="8" t="s">
        <v>109</v>
      </c>
      <c r="D3329" s="9" t="s">
        <v>109</v>
      </c>
      <c r="E3329" s="9" t="s">
        <v>111</v>
      </c>
      <c r="F3329" s="9" t="s">
        <v>111</v>
      </c>
      <c r="I3329" s="9" t="s">
        <v>13</v>
      </c>
      <c r="J3329" s="9" t="s">
        <v>13</v>
      </c>
      <c r="K3329" s="9" t="s">
        <v>2214</v>
      </c>
      <c r="L3329" s="9" t="s">
        <v>1445</v>
      </c>
      <c r="M3329" t="s">
        <v>2303</v>
      </c>
      <c r="O3329" t="s">
        <v>2316</v>
      </c>
      <c r="P3329" t="s">
        <v>2317</v>
      </c>
      <c r="S3329">
        <v>144</v>
      </c>
      <c r="U3329" t="s">
        <v>112</v>
      </c>
      <c r="V3329" t="s">
        <v>1484</v>
      </c>
      <c r="X3329" s="43">
        <v>0.5</v>
      </c>
      <c r="AA3329" s="43"/>
      <c r="AB3329" s="43">
        <v>0</v>
      </c>
      <c r="AC3329" s="43">
        <v>3.5999999999999997E-2</v>
      </c>
      <c r="AK3329">
        <v>3180672</v>
      </c>
    </row>
    <row r="3330" spans="1:37" ht="19">
      <c r="A3330" s="39" t="s">
        <v>17</v>
      </c>
      <c r="B3330" s="8">
        <v>2024</v>
      </c>
      <c r="C3330" s="8" t="s">
        <v>109</v>
      </c>
      <c r="D3330" s="9" t="s">
        <v>109</v>
      </c>
      <c r="E3330" s="9" t="s">
        <v>111</v>
      </c>
      <c r="F3330" s="9" t="s">
        <v>111</v>
      </c>
      <c r="I3330" s="9" t="s">
        <v>13</v>
      </c>
      <c r="J3330" s="9" t="s">
        <v>13</v>
      </c>
      <c r="K3330" s="9" t="s">
        <v>2214</v>
      </c>
      <c r="L3330" s="9" t="s">
        <v>1445</v>
      </c>
      <c r="M3330" t="s">
        <v>2303</v>
      </c>
      <c r="O3330" t="s">
        <v>2316</v>
      </c>
      <c r="P3330" t="s">
        <v>2318</v>
      </c>
      <c r="S3330">
        <v>102</v>
      </c>
      <c r="U3330" t="s">
        <v>112</v>
      </c>
      <c r="V3330" t="s">
        <v>1484</v>
      </c>
      <c r="X3330" s="43">
        <v>0.35</v>
      </c>
      <c r="AA3330" s="43"/>
      <c r="AB3330" s="43">
        <v>0</v>
      </c>
      <c r="AC3330" s="43">
        <v>2.2499999999999999E-2</v>
      </c>
      <c r="AK3330">
        <v>2252976</v>
      </c>
    </row>
    <row r="3331" spans="1:37" ht="19">
      <c r="A3331" s="39" t="s">
        <v>17</v>
      </c>
      <c r="B3331" s="8">
        <v>2024</v>
      </c>
      <c r="C3331" s="8" t="s">
        <v>109</v>
      </c>
      <c r="D3331" s="9" t="s">
        <v>109</v>
      </c>
      <c r="E3331" s="9" t="s">
        <v>111</v>
      </c>
      <c r="F3331" s="9" t="s">
        <v>111</v>
      </c>
      <c r="I3331" s="9" t="s">
        <v>13</v>
      </c>
      <c r="J3331" s="9" t="s">
        <v>13</v>
      </c>
      <c r="K3331" s="9" t="s">
        <v>2214</v>
      </c>
      <c r="L3331" s="9" t="s">
        <v>1445</v>
      </c>
      <c r="M3331" t="s">
        <v>2303</v>
      </c>
      <c r="O3331" t="s">
        <v>2319</v>
      </c>
      <c r="P3331" t="s">
        <v>2320</v>
      </c>
      <c r="S3331">
        <v>207</v>
      </c>
      <c r="U3331" t="s">
        <v>112</v>
      </c>
      <c r="V3331" t="s">
        <v>112</v>
      </c>
      <c r="X3331" s="43">
        <v>1.1499999999999999</v>
      </c>
      <c r="AA3331" s="43"/>
      <c r="AB3331" s="43">
        <v>0.05</v>
      </c>
      <c r="AC3331" s="43">
        <v>8.1000000000000003E-2</v>
      </c>
      <c r="AK3331">
        <v>4572216</v>
      </c>
    </row>
    <row r="3332" spans="1:37" ht="19">
      <c r="A3332" s="39" t="s">
        <v>17</v>
      </c>
      <c r="B3332" s="8">
        <v>2024</v>
      </c>
      <c r="C3332" s="8" t="s">
        <v>109</v>
      </c>
      <c r="D3332" s="9" t="s">
        <v>109</v>
      </c>
      <c r="E3332" s="9" t="s">
        <v>111</v>
      </c>
      <c r="F3332" s="9" t="s">
        <v>111</v>
      </c>
      <c r="I3332" s="9" t="s">
        <v>13</v>
      </c>
      <c r="J3332" s="9" t="s">
        <v>13</v>
      </c>
      <c r="K3332" s="9" t="s">
        <v>2214</v>
      </c>
      <c r="L3332" s="9" t="s">
        <v>1445</v>
      </c>
      <c r="M3332" t="s">
        <v>2303</v>
      </c>
      <c r="O3332" t="s">
        <v>2321</v>
      </c>
      <c r="P3332" t="s">
        <v>2322</v>
      </c>
      <c r="S3332">
        <v>280</v>
      </c>
      <c r="U3332" t="s">
        <v>112</v>
      </c>
      <c r="V3332" t="s">
        <v>1484</v>
      </c>
      <c r="X3332" s="43">
        <v>0.9</v>
      </c>
      <c r="AA3332" s="43"/>
      <c r="AB3332" s="43">
        <v>0</v>
      </c>
      <c r="AC3332" s="43">
        <v>6.7500000000000004E-2</v>
      </c>
      <c r="AK3332">
        <v>6184640</v>
      </c>
    </row>
    <row r="3333" spans="1:37" ht="19">
      <c r="A3333" s="39" t="s">
        <v>17</v>
      </c>
      <c r="B3333" s="8">
        <v>2024</v>
      </c>
      <c r="C3333" s="8" t="s">
        <v>109</v>
      </c>
      <c r="D3333" s="9" t="s">
        <v>109</v>
      </c>
      <c r="E3333" s="9" t="s">
        <v>111</v>
      </c>
      <c r="F3333" s="9" t="s">
        <v>111</v>
      </c>
      <c r="I3333" s="9" t="s">
        <v>13</v>
      </c>
      <c r="J3333" s="9" t="s">
        <v>13</v>
      </c>
      <c r="K3333" s="9" t="s">
        <v>2214</v>
      </c>
      <c r="L3333" s="9" t="s">
        <v>1445</v>
      </c>
      <c r="M3333" t="s">
        <v>2303</v>
      </c>
      <c r="O3333" t="s">
        <v>2321</v>
      </c>
      <c r="P3333" t="s">
        <v>2323</v>
      </c>
      <c r="S3333">
        <v>244</v>
      </c>
      <c r="U3333" t="s">
        <v>112</v>
      </c>
      <c r="V3333" t="s">
        <v>1484</v>
      </c>
      <c r="X3333" s="43">
        <v>0.85</v>
      </c>
      <c r="AA3333" s="43"/>
      <c r="AB3333" s="43">
        <v>0.05</v>
      </c>
      <c r="AC3333" s="43">
        <v>5.8500000000000003E-2</v>
      </c>
      <c r="AK3333">
        <v>5389472</v>
      </c>
    </row>
    <row r="3334" spans="1:37" ht="19">
      <c r="A3334" s="39" t="s">
        <v>17</v>
      </c>
      <c r="B3334" s="8">
        <v>2024</v>
      </c>
      <c r="C3334" s="8" t="s">
        <v>109</v>
      </c>
      <c r="D3334" s="9" t="s">
        <v>109</v>
      </c>
      <c r="E3334" s="9" t="s">
        <v>111</v>
      </c>
      <c r="F3334" s="9" t="s">
        <v>111</v>
      </c>
      <c r="I3334" s="9" t="s">
        <v>13</v>
      </c>
      <c r="J3334" s="9" t="s">
        <v>13</v>
      </c>
      <c r="K3334" s="9" t="s">
        <v>2214</v>
      </c>
      <c r="L3334" s="9" t="s">
        <v>1445</v>
      </c>
      <c r="M3334" t="s">
        <v>2324</v>
      </c>
      <c r="O3334" t="s">
        <v>2325</v>
      </c>
      <c r="P3334" t="s">
        <v>2326</v>
      </c>
      <c r="S3334">
        <v>154</v>
      </c>
      <c r="U3334" t="s">
        <v>112</v>
      </c>
      <c r="V3334" t="s">
        <v>1484</v>
      </c>
      <c r="X3334" s="43">
        <v>0.55000000000000004</v>
      </c>
      <c r="AA3334" s="43"/>
      <c r="AB3334" s="43">
        <v>0.05</v>
      </c>
      <c r="AC3334" s="43">
        <v>4.0500000000000001E-2</v>
      </c>
      <c r="AK3334">
        <v>3401552</v>
      </c>
    </row>
    <row r="3335" spans="1:37" ht="19">
      <c r="A3335" s="39" t="s">
        <v>17</v>
      </c>
      <c r="B3335" s="8">
        <v>2024</v>
      </c>
      <c r="C3335" s="8" t="s">
        <v>109</v>
      </c>
      <c r="D3335" s="9" t="s">
        <v>109</v>
      </c>
      <c r="E3335" s="9" t="s">
        <v>111</v>
      </c>
      <c r="F3335" s="9" t="s">
        <v>111</v>
      </c>
      <c r="I3335" s="9" t="s">
        <v>13</v>
      </c>
      <c r="J3335" s="9" t="s">
        <v>13</v>
      </c>
      <c r="K3335" s="9" t="s">
        <v>2214</v>
      </c>
      <c r="L3335" s="9" t="s">
        <v>1445</v>
      </c>
      <c r="M3335" t="s">
        <v>2324</v>
      </c>
      <c r="O3335" t="s">
        <v>2325</v>
      </c>
      <c r="P3335" t="s">
        <v>2327</v>
      </c>
      <c r="S3335">
        <v>202</v>
      </c>
      <c r="U3335" t="s">
        <v>112</v>
      </c>
      <c r="V3335" t="s">
        <v>1484</v>
      </c>
      <c r="X3335" s="43">
        <v>0.65</v>
      </c>
      <c r="AA3335" s="43"/>
      <c r="AB3335" s="43">
        <v>0.05</v>
      </c>
      <c r="AC3335" s="43">
        <v>4.9500000000000002E-2</v>
      </c>
      <c r="AK3335">
        <v>4461776</v>
      </c>
    </row>
    <row r="3336" spans="1:37" ht="19">
      <c r="A3336" s="39" t="s">
        <v>17</v>
      </c>
      <c r="B3336" s="8">
        <v>2024</v>
      </c>
      <c r="C3336" s="8" t="s">
        <v>109</v>
      </c>
      <c r="D3336" s="9" t="s">
        <v>109</v>
      </c>
      <c r="E3336" s="9" t="s">
        <v>111</v>
      </c>
      <c r="F3336" s="9" t="s">
        <v>111</v>
      </c>
      <c r="I3336" s="9" t="s">
        <v>13</v>
      </c>
      <c r="J3336" s="9" t="s">
        <v>13</v>
      </c>
      <c r="K3336" s="9" t="s">
        <v>2214</v>
      </c>
      <c r="L3336" s="9" t="s">
        <v>1445</v>
      </c>
      <c r="M3336" t="s">
        <v>2324</v>
      </c>
      <c r="O3336" t="s">
        <v>2328</v>
      </c>
      <c r="P3336" t="s">
        <v>2329</v>
      </c>
      <c r="S3336">
        <v>200</v>
      </c>
      <c r="U3336" t="s">
        <v>112</v>
      </c>
      <c r="V3336" t="s">
        <v>1484</v>
      </c>
      <c r="X3336" s="43">
        <v>0.7</v>
      </c>
      <c r="AA3336" s="43"/>
      <c r="AB3336" s="43">
        <v>0.05</v>
      </c>
      <c r="AC3336" s="43">
        <v>4.4999999999999998E-2</v>
      </c>
      <c r="AK3336">
        <v>4417600</v>
      </c>
    </row>
    <row r="3337" spans="1:37" ht="19">
      <c r="A3337" s="39" t="s">
        <v>17</v>
      </c>
      <c r="B3337" s="8">
        <v>2024</v>
      </c>
      <c r="C3337" s="8" t="s">
        <v>109</v>
      </c>
      <c r="D3337" s="9" t="s">
        <v>109</v>
      </c>
      <c r="E3337" s="9" t="s">
        <v>111</v>
      </c>
      <c r="F3337" s="9" t="s">
        <v>111</v>
      </c>
      <c r="I3337" s="9" t="s">
        <v>13</v>
      </c>
      <c r="J3337" s="9" t="s">
        <v>13</v>
      </c>
      <c r="K3337" s="9" t="s">
        <v>2214</v>
      </c>
      <c r="L3337" s="9" t="s">
        <v>1445</v>
      </c>
      <c r="M3337" t="s">
        <v>2324</v>
      </c>
      <c r="O3337" t="s">
        <v>2330</v>
      </c>
      <c r="P3337" t="s">
        <v>2331</v>
      </c>
      <c r="S3337">
        <v>183</v>
      </c>
      <c r="U3337" t="s">
        <v>112</v>
      </c>
      <c r="V3337" t="s">
        <v>112</v>
      </c>
      <c r="X3337" s="43">
        <v>1</v>
      </c>
      <c r="AA3337" s="43"/>
      <c r="AB3337" s="43">
        <v>0.05</v>
      </c>
      <c r="AC3337" s="43">
        <v>7.1999999999999995E-2</v>
      </c>
      <c r="AK3337">
        <v>4042104</v>
      </c>
    </row>
    <row r="3338" spans="1:37" ht="19">
      <c r="A3338" s="39" t="s">
        <v>17</v>
      </c>
      <c r="B3338" s="8">
        <v>2024</v>
      </c>
      <c r="C3338" s="8" t="s">
        <v>109</v>
      </c>
      <c r="D3338" s="9" t="s">
        <v>109</v>
      </c>
      <c r="E3338" s="9" t="s">
        <v>111</v>
      </c>
      <c r="F3338" s="9" t="s">
        <v>111</v>
      </c>
      <c r="I3338" s="9" t="s">
        <v>13</v>
      </c>
      <c r="J3338" s="9" t="s">
        <v>13</v>
      </c>
      <c r="K3338" s="9" t="s">
        <v>2214</v>
      </c>
      <c r="L3338" s="9" t="s">
        <v>1445</v>
      </c>
      <c r="M3338" t="s">
        <v>2324</v>
      </c>
      <c r="O3338" t="s">
        <v>2328</v>
      </c>
      <c r="P3338" t="s">
        <v>2332</v>
      </c>
      <c r="S3338">
        <v>116</v>
      </c>
      <c r="U3338" t="s">
        <v>112</v>
      </c>
      <c r="V3338" t="s">
        <v>1484</v>
      </c>
      <c r="X3338" s="43">
        <v>0.4</v>
      </c>
      <c r="AA3338" s="43"/>
      <c r="AB3338" s="43">
        <v>0</v>
      </c>
      <c r="AC3338" s="43">
        <v>2.7E-2</v>
      </c>
      <c r="AK3338">
        <v>2562208</v>
      </c>
    </row>
    <row r="3339" spans="1:37" ht="19">
      <c r="A3339" s="39" t="s">
        <v>17</v>
      </c>
      <c r="B3339" s="8">
        <v>2024</v>
      </c>
      <c r="C3339" s="8" t="s">
        <v>109</v>
      </c>
      <c r="D3339" s="9" t="s">
        <v>109</v>
      </c>
      <c r="E3339" s="9" t="s">
        <v>111</v>
      </c>
      <c r="F3339" s="9" t="s">
        <v>111</v>
      </c>
      <c r="I3339" s="9" t="s">
        <v>13</v>
      </c>
      <c r="J3339" s="9" t="s">
        <v>13</v>
      </c>
      <c r="K3339" s="9" t="s">
        <v>2214</v>
      </c>
      <c r="L3339" s="9" t="s">
        <v>1445</v>
      </c>
      <c r="M3339" t="s">
        <v>2324</v>
      </c>
      <c r="O3339" t="s">
        <v>2328</v>
      </c>
      <c r="P3339" t="s">
        <v>2333</v>
      </c>
      <c r="S3339">
        <v>97</v>
      </c>
      <c r="U3339" t="s">
        <v>112</v>
      </c>
      <c r="V3339" t="s">
        <v>1484</v>
      </c>
      <c r="X3339" s="43">
        <v>0.35</v>
      </c>
      <c r="AA3339" s="43"/>
      <c r="AB3339" s="43">
        <v>0</v>
      </c>
      <c r="AC3339" s="43">
        <v>2.7E-2</v>
      </c>
      <c r="AK3339">
        <v>2142536</v>
      </c>
    </row>
    <row r="3340" spans="1:37" ht="19">
      <c r="A3340" s="39" t="s">
        <v>17</v>
      </c>
      <c r="B3340" s="8">
        <v>2024</v>
      </c>
      <c r="C3340" s="8" t="s">
        <v>109</v>
      </c>
      <c r="D3340" s="9" t="s">
        <v>109</v>
      </c>
      <c r="E3340" s="9" t="s">
        <v>111</v>
      </c>
      <c r="F3340" s="9" t="s">
        <v>111</v>
      </c>
      <c r="I3340" s="9" t="s">
        <v>13</v>
      </c>
      <c r="J3340" s="9" t="s">
        <v>13</v>
      </c>
      <c r="K3340" s="9" t="s">
        <v>2214</v>
      </c>
      <c r="L3340" s="9" t="s">
        <v>1445</v>
      </c>
      <c r="M3340" t="s">
        <v>2324</v>
      </c>
      <c r="O3340" t="s">
        <v>2334</v>
      </c>
      <c r="P3340" t="s">
        <v>2335</v>
      </c>
      <c r="S3340">
        <v>228</v>
      </c>
      <c r="U3340" t="s">
        <v>112</v>
      </c>
      <c r="V3340" t="s">
        <v>1484</v>
      </c>
      <c r="X3340" s="43">
        <v>0.75</v>
      </c>
      <c r="AA3340" s="43"/>
      <c r="AB3340" s="43">
        <v>0.05</v>
      </c>
      <c r="AC3340" s="43">
        <v>5.3999999999999999E-2</v>
      </c>
      <c r="AK3340">
        <v>5036064</v>
      </c>
    </row>
    <row r="3341" spans="1:37" ht="19">
      <c r="A3341" s="39" t="s">
        <v>17</v>
      </c>
      <c r="B3341" s="8">
        <v>2024</v>
      </c>
      <c r="C3341" s="8" t="s">
        <v>109</v>
      </c>
      <c r="D3341" s="9" t="s">
        <v>109</v>
      </c>
      <c r="E3341" s="9" t="s">
        <v>111</v>
      </c>
      <c r="F3341" s="9" t="s">
        <v>111</v>
      </c>
      <c r="I3341" s="9" t="s">
        <v>13</v>
      </c>
      <c r="J3341" s="9" t="s">
        <v>13</v>
      </c>
      <c r="K3341" s="9" t="s">
        <v>2214</v>
      </c>
      <c r="L3341" s="9" t="s">
        <v>1445</v>
      </c>
      <c r="M3341" t="s">
        <v>2324</v>
      </c>
      <c r="O3341" t="s">
        <v>2334</v>
      </c>
      <c r="P3341" t="s">
        <v>2336</v>
      </c>
      <c r="S3341">
        <v>182</v>
      </c>
      <c r="U3341" t="s">
        <v>112</v>
      </c>
      <c r="V3341" t="s">
        <v>112</v>
      </c>
      <c r="X3341" s="43">
        <v>1</v>
      </c>
      <c r="AA3341" s="43"/>
      <c r="AB3341" s="43">
        <v>0.05</v>
      </c>
      <c r="AC3341" s="43">
        <v>7.1999999999999995E-2</v>
      </c>
      <c r="AK3341">
        <v>4020016</v>
      </c>
    </row>
    <row r="3342" spans="1:37" ht="19">
      <c r="A3342" s="39" t="s">
        <v>17</v>
      </c>
      <c r="B3342" s="8">
        <v>2024</v>
      </c>
      <c r="C3342" s="8" t="s">
        <v>109</v>
      </c>
      <c r="D3342" s="9" t="s">
        <v>109</v>
      </c>
      <c r="E3342" s="9" t="s">
        <v>111</v>
      </c>
      <c r="F3342" s="9" t="s">
        <v>111</v>
      </c>
      <c r="I3342" s="9" t="s">
        <v>13</v>
      </c>
      <c r="J3342" s="9" t="s">
        <v>13</v>
      </c>
      <c r="K3342" s="9" t="s">
        <v>2214</v>
      </c>
      <c r="L3342" s="9" t="s">
        <v>1445</v>
      </c>
      <c r="M3342" t="s">
        <v>2324</v>
      </c>
      <c r="O3342" t="s">
        <v>2334</v>
      </c>
      <c r="P3342" t="s">
        <v>2337</v>
      </c>
      <c r="S3342">
        <v>158</v>
      </c>
      <c r="U3342" t="s">
        <v>112</v>
      </c>
      <c r="V3342" t="s">
        <v>112</v>
      </c>
      <c r="X3342" s="43">
        <v>0.85</v>
      </c>
      <c r="AA3342" s="43"/>
      <c r="AB3342" s="43">
        <v>0.05</v>
      </c>
      <c r="AC3342" s="43">
        <v>6.3E-2</v>
      </c>
      <c r="AK3342">
        <v>3489904</v>
      </c>
    </row>
    <row r="3343" spans="1:37" ht="19">
      <c r="A3343" s="39" t="s">
        <v>17</v>
      </c>
      <c r="B3343" s="8">
        <v>2024</v>
      </c>
      <c r="C3343" s="8" t="s">
        <v>109</v>
      </c>
      <c r="D3343" s="9" t="s">
        <v>109</v>
      </c>
      <c r="E3343" s="9" t="s">
        <v>111</v>
      </c>
      <c r="F3343" s="9" t="s">
        <v>111</v>
      </c>
      <c r="I3343" s="9" t="s">
        <v>13</v>
      </c>
      <c r="J3343" s="9" t="s">
        <v>13</v>
      </c>
      <c r="K3343" s="9" t="s">
        <v>2214</v>
      </c>
      <c r="L3343" s="9" t="s">
        <v>1445</v>
      </c>
      <c r="M3343" t="s">
        <v>2324</v>
      </c>
      <c r="O3343" t="s">
        <v>2334</v>
      </c>
      <c r="P3343" t="s">
        <v>2338</v>
      </c>
      <c r="S3343">
        <v>718</v>
      </c>
      <c r="U3343" t="s">
        <v>112</v>
      </c>
      <c r="V3343" t="s">
        <v>1484</v>
      </c>
      <c r="X3343" s="43">
        <v>2.35</v>
      </c>
      <c r="AA3343" s="43"/>
      <c r="AB3343" s="43">
        <v>0.1</v>
      </c>
      <c r="AC3343" s="43">
        <v>0.16650000000000001</v>
      </c>
      <c r="AK3343">
        <v>15859184</v>
      </c>
    </row>
    <row r="3344" spans="1:37" ht="19">
      <c r="A3344" s="39" t="s">
        <v>17</v>
      </c>
      <c r="B3344" s="8">
        <v>2024</v>
      </c>
      <c r="C3344" s="8" t="s">
        <v>109</v>
      </c>
      <c r="D3344" s="9" t="s">
        <v>109</v>
      </c>
      <c r="E3344" s="9" t="s">
        <v>111</v>
      </c>
      <c r="F3344" s="9" t="s">
        <v>111</v>
      </c>
      <c r="I3344" s="9" t="s">
        <v>13</v>
      </c>
      <c r="J3344" s="9" t="s">
        <v>13</v>
      </c>
      <c r="K3344" s="9" t="s">
        <v>2214</v>
      </c>
      <c r="L3344" s="9" t="s">
        <v>1445</v>
      </c>
      <c r="M3344" t="s">
        <v>2324</v>
      </c>
      <c r="O3344" t="s">
        <v>2334</v>
      </c>
      <c r="P3344" t="s">
        <v>2323</v>
      </c>
      <c r="S3344">
        <v>75</v>
      </c>
      <c r="U3344" t="s">
        <v>112</v>
      </c>
      <c r="V3344" t="s">
        <v>1484</v>
      </c>
      <c r="X3344" s="43">
        <v>0.3</v>
      </c>
      <c r="AA3344" s="43"/>
      <c r="AB3344" s="43">
        <v>0</v>
      </c>
      <c r="AC3344" s="43">
        <v>1.7999999999999999E-2</v>
      </c>
      <c r="AK3344">
        <v>1656600</v>
      </c>
    </row>
    <row r="3345" spans="1:37" ht="19">
      <c r="A3345" s="39" t="s">
        <v>17</v>
      </c>
      <c r="B3345" s="8">
        <v>2024</v>
      </c>
      <c r="C3345" s="8" t="s">
        <v>109</v>
      </c>
      <c r="D3345" s="9" t="s">
        <v>109</v>
      </c>
      <c r="E3345" s="9" t="s">
        <v>111</v>
      </c>
      <c r="F3345" s="9" t="s">
        <v>111</v>
      </c>
      <c r="I3345" s="9" t="s">
        <v>13</v>
      </c>
      <c r="J3345" s="9" t="s">
        <v>13</v>
      </c>
      <c r="K3345" s="9" t="s">
        <v>2214</v>
      </c>
      <c r="L3345" s="9" t="s">
        <v>1445</v>
      </c>
      <c r="M3345" t="s">
        <v>2324</v>
      </c>
      <c r="O3345" t="s">
        <v>2339</v>
      </c>
      <c r="P3345" t="s">
        <v>2340</v>
      </c>
      <c r="S3345">
        <v>428</v>
      </c>
      <c r="U3345" t="s">
        <v>112</v>
      </c>
      <c r="V3345" t="s">
        <v>112</v>
      </c>
      <c r="X3345" s="43">
        <v>2.35</v>
      </c>
      <c r="AA3345" s="43"/>
      <c r="AB3345" s="43">
        <v>0.1</v>
      </c>
      <c r="AC3345" s="43">
        <v>0.16650000000000001</v>
      </c>
      <c r="AK3345">
        <v>9453664</v>
      </c>
    </row>
    <row r="3346" spans="1:37" ht="19">
      <c r="A3346" s="39" t="s">
        <v>17</v>
      </c>
      <c r="B3346" s="8">
        <v>2024</v>
      </c>
      <c r="C3346" s="8" t="s">
        <v>109</v>
      </c>
      <c r="D3346" s="9" t="s">
        <v>109</v>
      </c>
      <c r="E3346" s="9" t="s">
        <v>111</v>
      </c>
      <c r="F3346" s="9" t="s">
        <v>111</v>
      </c>
      <c r="I3346" s="9" t="s">
        <v>13</v>
      </c>
      <c r="J3346" s="9" t="s">
        <v>13</v>
      </c>
      <c r="K3346" s="9" t="s">
        <v>2214</v>
      </c>
      <c r="L3346" s="9" t="s">
        <v>1445</v>
      </c>
      <c r="M3346" t="s">
        <v>2324</v>
      </c>
      <c r="O3346" t="s">
        <v>2341</v>
      </c>
      <c r="P3346" t="s">
        <v>2342</v>
      </c>
      <c r="S3346">
        <v>251</v>
      </c>
      <c r="U3346" t="s">
        <v>112</v>
      </c>
      <c r="V3346" t="s">
        <v>112</v>
      </c>
      <c r="X3346" s="43">
        <v>1.4</v>
      </c>
      <c r="AA3346" s="43"/>
      <c r="AB3346" s="43">
        <v>0.1</v>
      </c>
      <c r="AC3346" s="43">
        <v>9.9000000000000005E-2</v>
      </c>
      <c r="AK3346">
        <v>5544088</v>
      </c>
    </row>
    <row r="3347" spans="1:37" ht="19">
      <c r="A3347" s="39" t="s">
        <v>17</v>
      </c>
      <c r="B3347" s="8">
        <v>2024</v>
      </c>
      <c r="C3347" s="8" t="s">
        <v>109</v>
      </c>
      <c r="D3347" s="9" t="s">
        <v>109</v>
      </c>
      <c r="E3347" s="9" t="s">
        <v>111</v>
      </c>
      <c r="F3347" s="9" t="s">
        <v>111</v>
      </c>
      <c r="I3347" s="9" t="s">
        <v>13</v>
      </c>
      <c r="J3347" s="9" t="s">
        <v>13</v>
      </c>
      <c r="K3347" s="9" t="s">
        <v>2214</v>
      </c>
      <c r="L3347" s="9" t="s">
        <v>1445</v>
      </c>
      <c r="M3347" t="s">
        <v>2324</v>
      </c>
      <c r="O3347" t="s">
        <v>2341</v>
      </c>
      <c r="P3347" t="s">
        <v>2343</v>
      </c>
      <c r="S3347">
        <v>161</v>
      </c>
      <c r="U3347" t="s">
        <v>112</v>
      </c>
      <c r="V3347" t="s">
        <v>112</v>
      </c>
      <c r="X3347" s="43">
        <v>0.9</v>
      </c>
      <c r="AA3347" s="43"/>
      <c r="AB3347" s="43">
        <v>0.05</v>
      </c>
      <c r="AC3347" s="43">
        <v>6.3E-2</v>
      </c>
      <c r="AK3347">
        <v>3556168</v>
      </c>
    </row>
    <row r="3348" spans="1:37" ht="19">
      <c r="A3348" s="39" t="s">
        <v>17</v>
      </c>
      <c r="B3348" s="8">
        <v>2024</v>
      </c>
      <c r="C3348" s="8" t="s">
        <v>109</v>
      </c>
      <c r="D3348" s="9" t="s">
        <v>109</v>
      </c>
      <c r="E3348" s="9" t="s">
        <v>111</v>
      </c>
      <c r="F3348" s="9" t="s">
        <v>111</v>
      </c>
      <c r="I3348" s="9" t="s">
        <v>13</v>
      </c>
      <c r="J3348" s="9" t="s">
        <v>13</v>
      </c>
      <c r="K3348" s="9" t="s">
        <v>2214</v>
      </c>
      <c r="L3348" s="9" t="s">
        <v>1445</v>
      </c>
      <c r="M3348" t="s">
        <v>2324</v>
      </c>
      <c r="O3348" t="s">
        <v>2341</v>
      </c>
      <c r="P3348" t="s">
        <v>2344</v>
      </c>
      <c r="S3348">
        <v>197</v>
      </c>
      <c r="U3348" t="s">
        <v>112</v>
      </c>
      <c r="V3348" t="s">
        <v>112</v>
      </c>
      <c r="X3348" s="43">
        <v>1.1000000000000001</v>
      </c>
      <c r="AA3348" s="43"/>
      <c r="AB3348" s="43">
        <v>0.05</v>
      </c>
      <c r="AC3348" s="43">
        <v>7.6499999999999999E-2</v>
      </c>
      <c r="AK3348">
        <v>4351336</v>
      </c>
    </row>
    <row r="3349" spans="1:37" ht="19">
      <c r="A3349" s="39" t="s">
        <v>17</v>
      </c>
      <c r="B3349" s="8">
        <v>2024</v>
      </c>
      <c r="C3349" s="8" t="s">
        <v>109</v>
      </c>
      <c r="D3349" s="9" t="s">
        <v>109</v>
      </c>
      <c r="E3349" s="9" t="s">
        <v>111</v>
      </c>
      <c r="F3349" s="9" t="s">
        <v>111</v>
      </c>
      <c r="I3349" s="9" t="s">
        <v>13</v>
      </c>
      <c r="J3349" s="9" t="s">
        <v>13</v>
      </c>
      <c r="K3349" s="9" t="s">
        <v>2214</v>
      </c>
      <c r="L3349" s="9" t="s">
        <v>1445</v>
      </c>
      <c r="M3349" t="s">
        <v>2324</v>
      </c>
      <c r="O3349" t="s">
        <v>2341</v>
      </c>
      <c r="P3349" t="s">
        <v>2345</v>
      </c>
      <c r="S3349">
        <v>512</v>
      </c>
      <c r="U3349" t="s">
        <v>112</v>
      </c>
      <c r="V3349" t="s">
        <v>112</v>
      </c>
      <c r="X3349" s="43">
        <v>2.8</v>
      </c>
      <c r="AA3349" s="43"/>
      <c r="AB3349" s="43">
        <v>0.15</v>
      </c>
      <c r="AC3349" s="43">
        <v>0.20250000000000001</v>
      </c>
      <c r="AK3349">
        <v>11309056</v>
      </c>
    </row>
    <row r="3350" spans="1:37" ht="19">
      <c r="A3350" s="39" t="s">
        <v>17</v>
      </c>
      <c r="B3350" s="8">
        <v>2024</v>
      </c>
      <c r="C3350" s="8" t="s">
        <v>109</v>
      </c>
      <c r="D3350" s="9" t="s">
        <v>109</v>
      </c>
      <c r="E3350" s="9" t="s">
        <v>111</v>
      </c>
      <c r="F3350" s="9" t="s">
        <v>111</v>
      </c>
      <c r="I3350" s="9" t="s">
        <v>13</v>
      </c>
      <c r="J3350" s="9" t="s">
        <v>13</v>
      </c>
      <c r="K3350" s="9" t="s">
        <v>2214</v>
      </c>
      <c r="L3350" s="9" t="s">
        <v>1445</v>
      </c>
      <c r="M3350" t="s">
        <v>2324</v>
      </c>
      <c r="O3350" t="s">
        <v>2346</v>
      </c>
      <c r="P3350" t="s">
        <v>2347</v>
      </c>
      <c r="S3350">
        <v>445</v>
      </c>
      <c r="U3350" t="s">
        <v>112</v>
      </c>
      <c r="V3350" t="s">
        <v>112</v>
      </c>
      <c r="X3350" s="43">
        <v>2.4500000000000002</v>
      </c>
      <c r="AA3350" s="43"/>
      <c r="AB3350" s="43">
        <v>0.1</v>
      </c>
      <c r="AC3350" s="43">
        <v>0.17549999999999999</v>
      </c>
      <c r="AK3350">
        <v>9829160</v>
      </c>
    </row>
    <row r="3351" spans="1:37" ht="19">
      <c r="A3351" s="39" t="s">
        <v>17</v>
      </c>
      <c r="B3351" s="8">
        <v>2024</v>
      </c>
      <c r="C3351" s="8" t="s">
        <v>109</v>
      </c>
      <c r="D3351" s="9" t="s">
        <v>109</v>
      </c>
      <c r="E3351" s="9" t="s">
        <v>111</v>
      </c>
      <c r="F3351" s="9" t="s">
        <v>111</v>
      </c>
      <c r="I3351" s="9" t="s">
        <v>13</v>
      </c>
      <c r="J3351" s="9" t="s">
        <v>13</v>
      </c>
      <c r="K3351" s="9" t="s">
        <v>2214</v>
      </c>
      <c r="L3351" s="9" t="s">
        <v>1445</v>
      </c>
      <c r="M3351" t="s">
        <v>2324</v>
      </c>
      <c r="O3351" t="s">
        <v>2324</v>
      </c>
      <c r="P3351" t="s">
        <v>2348</v>
      </c>
      <c r="S3351">
        <v>538</v>
      </c>
      <c r="U3351" t="s">
        <v>112</v>
      </c>
      <c r="V3351" t="s">
        <v>1484</v>
      </c>
      <c r="X3351" s="43">
        <v>1.75</v>
      </c>
      <c r="AA3351" s="43"/>
      <c r="AB3351" s="43">
        <v>0.1</v>
      </c>
      <c r="AC3351" s="43">
        <v>0.126</v>
      </c>
      <c r="AK3351">
        <v>11883344</v>
      </c>
    </row>
    <row r="3352" spans="1:37" ht="19">
      <c r="A3352" s="39" t="s">
        <v>17</v>
      </c>
      <c r="B3352" s="8">
        <v>2024</v>
      </c>
      <c r="C3352" s="8" t="s">
        <v>109</v>
      </c>
      <c r="D3352" s="9" t="s">
        <v>109</v>
      </c>
      <c r="E3352" s="9" t="s">
        <v>111</v>
      </c>
      <c r="F3352" s="9" t="s">
        <v>111</v>
      </c>
      <c r="I3352" s="9" t="s">
        <v>13</v>
      </c>
      <c r="J3352" s="9" t="s">
        <v>13</v>
      </c>
      <c r="K3352" s="9" t="s">
        <v>2214</v>
      </c>
      <c r="L3352" s="9" t="s">
        <v>1445</v>
      </c>
      <c r="M3352" t="s">
        <v>2324</v>
      </c>
      <c r="O3352" t="s">
        <v>2324</v>
      </c>
      <c r="P3352" t="s">
        <v>2349</v>
      </c>
      <c r="S3352">
        <v>415</v>
      </c>
      <c r="U3352" t="s">
        <v>112</v>
      </c>
      <c r="V3352" t="s">
        <v>1484</v>
      </c>
      <c r="X3352" s="43">
        <v>1.35</v>
      </c>
      <c r="AA3352" s="43"/>
      <c r="AB3352" s="43">
        <v>0.05</v>
      </c>
      <c r="AC3352" s="43">
        <v>9.9000000000000005E-2</v>
      </c>
      <c r="AK3352">
        <v>9166520</v>
      </c>
    </row>
    <row r="3353" spans="1:37" ht="19">
      <c r="A3353" s="39" t="s">
        <v>17</v>
      </c>
      <c r="B3353" s="8">
        <v>2024</v>
      </c>
      <c r="C3353" s="8" t="s">
        <v>109</v>
      </c>
      <c r="D3353" s="9" t="s">
        <v>109</v>
      </c>
      <c r="E3353" s="9" t="s">
        <v>111</v>
      </c>
      <c r="F3353" s="9" t="s">
        <v>111</v>
      </c>
      <c r="I3353" s="9" t="s">
        <v>13</v>
      </c>
      <c r="J3353" s="9" t="s">
        <v>13</v>
      </c>
      <c r="K3353" s="9" t="s">
        <v>2214</v>
      </c>
      <c r="L3353" s="9" t="s">
        <v>1445</v>
      </c>
      <c r="M3353" t="s">
        <v>2324</v>
      </c>
      <c r="O3353" t="s">
        <v>2324</v>
      </c>
      <c r="P3353" t="s">
        <v>2350</v>
      </c>
      <c r="S3353">
        <v>993</v>
      </c>
      <c r="U3353" t="s">
        <v>112</v>
      </c>
      <c r="V3353" t="s">
        <v>1484</v>
      </c>
      <c r="X3353" s="43">
        <v>3.25</v>
      </c>
      <c r="AA3353" s="43"/>
      <c r="AB3353" s="43">
        <v>0.15</v>
      </c>
      <c r="AC3353" s="43">
        <v>0.22950000000000001</v>
      </c>
      <c r="AK3353">
        <v>21933384</v>
      </c>
    </row>
    <row r="3354" spans="1:37" ht="19">
      <c r="A3354" s="39" t="s">
        <v>17</v>
      </c>
      <c r="B3354" s="8">
        <v>2024</v>
      </c>
      <c r="C3354" s="8" t="s">
        <v>109</v>
      </c>
      <c r="D3354" s="9" t="s">
        <v>109</v>
      </c>
      <c r="E3354" s="9" t="s">
        <v>111</v>
      </c>
      <c r="F3354" s="9" t="s">
        <v>111</v>
      </c>
      <c r="I3354" s="9" t="s">
        <v>13</v>
      </c>
      <c r="J3354" s="9" t="s">
        <v>13</v>
      </c>
      <c r="K3354" s="9" t="s">
        <v>2214</v>
      </c>
      <c r="L3354" s="9" t="s">
        <v>1445</v>
      </c>
      <c r="M3354" t="s">
        <v>2324</v>
      </c>
      <c r="O3354" t="s">
        <v>2351</v>
      </c>
      <c r="P3354" t="s">
        <v>429</v>
      </c>
      <c r="S3354">
        <v>359</v>
      </c>
      <c r="U3354" t="s">
        <v>112</v>
      </c>
      <c r="V3354" t="s">
        <v>112</v>
      </c>
      <c r="X3354" s="43">
        <v>1.95</v>
      </c>
      <c r="AA3354" s="43"/>
      <c r="AB3354" s="43">
        <v>0.1</v>
      </c>
      <c r="AC3354" s="43">
        <v>0.13950000000000001</v>
      </c>
      <c r="AK3354">
        <v>7929592</v>
      </c>
    </row>
    <row r="3355" spans="1:37" ht="19">
      <c r="A3355" s="39" t="s">
        <v>17</v>
      </c>
      <c r="B3355" s="8">
        <v>2024</v>
      </c>
      <c r="C3355" s="8" t="s">
        <v>109</v>
      </c>
      <c r="D3355" s="9" t="s">
        <v>109</v>
      </c>
      <c r="E3355" s="9" t="s">
        <v>111</v>
      </c>
      <c r="F3355" s="9" t="s">
        <v>111</v>
      </c>
      <c r="I3355" s="9" t="s">
        <v>13</v>
      </c>
      <c r="J3355" s="9" t="s">
        <v>13</v>
      </c>
      <c r="K3355" s="9" t="s">
        <v>2214</v>
      </c>
      <c r="L3355" s="9" t="s">
        <v>1445</v>
      </c>
      <c r="M3355" t="s">
        <v>2324</v>
      </c>
      <c r="O3355" t="s">
        <v>2352</v>
      </c>
      <c r="P3355" t="s">
        <v>2353</v>
      </c>
      <c r="S3355">
        <v>85</v>
      </c>
      <c r="U3355" t="s">
        <v>112</v>
      </c>
      <c r="V3355" t="s">
        <v>1484</v>
      </c>
      <c r="X3355" s="43">
        <v>0.3</v>
      </c>
      <c r="AA3355" s="43"/>
      <c r="AB3355" s="43">
        <v>0</v>
      </c>
      <c r="AC3355" s="43">
        <v>1.7999999999999999E-2</v>
      </c>
      <c r="AK3355">
        <v>1877480</v>
      </c>
    </row>
    <row r="3356" spans="1:37" ht="19">
      <c r="A3356" s="39" t="s">
        <v>17</v>
      </c>
      <c r="B3356" s="8">
        <v>2024</v>
      </c>
      <c r="C3356" s="8" t="s">
        <v>109</v>
      </c>
      <c r="D3356" s="9" t="s">
        <v>109</v>
      </c>
      <c r="E3356" s="9" t="s">
        <v>111</v>
      </c>
      <c r="F3356" s="9" t="s">
        <v>111</v>
      </c>
      <c r="I3356" s="9" t="s">
        <v>13</v>
      </c>
      <c r="J3356" s="9" t="s">
        <v>13</v>
      </c>
      <c r="K3356" s="9" t="s">
        <v>2214</v>
      </c>
      <c r="L3356" s="9" t="s">
        <v>1445</v>
      </c>
      <c r="M3356" t="s">
        <v>2324</v>
      </c>
      <c r="O3356" t="s">
        <v>2352</v>
      </c>
      <c r="P3356" t="s">
        <v>2354</v>
      </c>
      <c r="S3356">
        <v>368</v>
      </c>
      <c r="U3356" t="s">
        <v>112</v>
      </c>
      <c r="V3356" t="s">
        <v>1484</v>
      </c>
      <c r="X3356" s="43">
        <v>1.25</v>
      </c>
      <c r="AA3356" s="43"/>
      <c r="AB3356" s="43">
        <v>0.05</v>
      </c>
      <c r="AC3356" s="43">
        <v>8.5500000000000007E-2</v>
      </c>
      <c r="AK3356">
        <v>8128384</v>
      </c>
    </row>
    <row r="3357" spans="1:37" ht="19">
      <c r="A3357" s="39" t="s">
        <v>17</v>
      </c>
      <c r="B3357" s="8">
        <v>2024</v>
      </c>
      <c r="C3357" s="8" t="s">
        <v>109</v>
      </c>
      <c r="D3357" s="9" t="s">
        <v>109</v>
      </c>
      <c r="E3357" s="9" t="s">
        <v>111</v>
      </c>
      <c r="F3357" s="9" t="s">
        <v>111</v>
      </c>
      <c r="I3357" s="9" t="s">
        <v>13</v>
      </c>
      <c r="J3357" s="9" t="s">
        <v>13</v>
      </c>
      <c r="K3357" s="9" t="s">
        <v>2214</v>
      </c>
      <c r="L3357" s="9" t="s">
        <v>1445</v>
      </c>
      <c r="M3357" t="s">
        <v>2324</v>
      </c>
      <c r="O3357" t="s">
        <v>2351</v>
      </c>
      <c r="P3357" t="s">
        <v>2355</v>
      </c>
      <c r="S3357">
        <v>170</v>
      </c>
      <c r="U3357" t="s">
        <v>112</v>
      </c>
      <c r="V3357" t="s">
        <v>1484</v>
      </c>
      <c r="X3357" s="43">
        <v>0.55000000000000004</v>
      </c>
      <c r="AA3357" s="43"/>
      <c r="AB3357" s="43">
        <v>0.05</v>
      </c>
      <c r="AC3357" s="43">
        <v>4.0500000000000001E-2</v>
      </c>
      <c r="AK3357">
        <v>3754960</v>
      </c>
    </row>
    <row r="3358" spans="1:37" ht="19">
      <c r="A3358" s="39" t="s">
        <v>17</v>
      </c>
      <c r="B3358" s="8">
        <v>2024</v>
      </c>
      <c r="C3358" s="8" t="s">
        <v>109</v>
      </c>
      <c r="D3358" s="9" t="s">
        <v>109</v>
      </c>
      <c r="E3358" s="9" t="s">
        <v>111</v>
      </c>
      <c r="F3358" s="9" t="s">
        <v>111</v>
      </c>
      <c r="I3358" s="9" t="s">
        <v>13</v>
      </c>
      <c r="J3358" s="9" t="s">
        <v>13</v>
      </c>
      <c r="K3358" s="9" t="s">
        <v>2214</v>
      </c>
      <c r="L3358" s="9" t="s">
        <v>1445</v>
      </c>
      <c r="M3358" t="s">
        <v>2324</v>
      </c>
      <c r="O3358" t="s">
        <v>2356</v>
      </c>
      <c r="P3358" t="s">
        <v>2357</v>
      </c>
      <c r="S3358">
        <v>155</v>
      </c>
      <c r="U3358" t="s">
        <v>112</v>
      </c>
      <c r="V3358" t="s">
        <v>1484</v>
      </c>
      <c r="X3358" s="43">
        <v>0.55000000000000004</v>
      </c>
      <c r="AA3358" s="43"/>
      <c r="AB3358" s="43">
        <v>0.05</v>
      </c>
      <c r="AC3358" s="43">
        <v>3.5999999999999997E-2</v>
      </c>
      <c r="AK3358">
        <v>3423640</v>
      </c>
    </row>
    <row r="3359" spans="1:37" ht="19">
      <c r="A3359" s="39" t="s">
        <v>17</v>
      </c>
      <c r="B3359" s="8">
        <v>2024</v>
      </c>
      <c r="C3359" s="8" t="s">
        <v>109</v>
      </c>
      <c r="D3359" s="9" t="s">
        <v>109</v>
      </c>
      <c r="E3359" s="9" t="s">
        <v>111</v>
      </c>
      <c r="F3359" s="9" t="s">
        <v>111</v>
      </c>
      <c r="I3359" s="9" t="s">
        <v>13</v>
      </c>
      <c r="J3359" s="9" t="s">
        <v>13</v>
      </c>
      <c r="K3359" s="9" t="s">
        <v>2214</v>
      </c>
      <c r="L3359" s="9" t="s">
        <v>1445</v>
      </c>
      <c r="M3359" t="s">
        <v>2324</v>
      </c>
      <c r="O3359" t="s">
        <v>2356</v>
      </c>
      <c r="P3359" t="s">
        <v>2358</v>
      </c>
      <c r="S3359">
        <v>161</v>
      </c>
      <c r="U3359" t="s">
        <v>112</v>
      </c>
      <c r="V3359" t="s">
        <v>1484</v>
      </c>
      <c r="X3359" s="43">
        <v>0.55000000000000004</v>
      </c>
      <c r="AA3359" s="43"/>
      <c r="AB3359" s="43">
        <v>0.05</v>
      </c>
      <c r="AC3359" s="43">
        <v>4.0500000000000001E-2</v>
      </c>
      <c r="AK3359">
        <v>3556168</v>
      </c>
    </row>
    <row r="3360" spans="1:37" ht="19">
      <c r="A3360" s="39" t="s">
        <v>17</v>
      </c>
      <c r="B3360" s="8">
        <v>2024</v>
      </c>
      <c r="C3360" s="8" t="s">
        <v>109</v>
      </c>
      <c r="D3360" s="9" t="s">
        <v>109</v>
      </c>
      <c r="E3360" s="9" t="s">
        <v>111</v>
      </c>
      <c r="F3360" s="9" t="s">
        <v>111</v>
      </c>
      <c r="I3360" s="9" t="s">
        <v>13</v>
      </c>
      <c r="J3360" s="9" t="s">
        <v>13</v>
      </c>
      <c r="K3360" s="9" t="s">
        <v>2214</v>
      </c>
      <c r="L3360" s="9" t="s">
        <v>1445</v>
      </c>
      <c r="M3360" t="s">
        <v>2324</v>
      </c>
      <c r="O3360" t="s">
        <v>2359</v>
      </c>
      <c r="P3360" t="s">
        <v>421</v>
      </c>
      <c r="S3360">
        <v>204</v>
      </c>
      <c r="U3360" t="s">
        <v>112</v>
      </c>
      <c r="V3360" t="s">
        <v>112</v>
      </c>
      <c r="X3360" s="43">
        <v>1.1000000000000001</v>
      </c>
      <c r="AA3360" s="43"/>
      <c r="AB3360" s="43">
        <v>0.05</v>
      </c>
      <c r="AC3360" s="43">
        <v>8.1000000000000003E-2</v>
      </c>
      <c r="AK3360">
        <v>4505952</v>
      </c>
    </row>
    <row r="3361" spans="1:37" ht="19">
      <c r="A3361" s="39" t="s">
        <v>17</v>
      </c>
      <c r="B3361" s="8">
        <v>2024</v>
      </c>
      <c r="C3361" s="8" t="s">
        <v>109</v>
      </c>
      <c r="D3361" s="9" t="s">
        <v>109</v>
      </c>
      <c r="E3361" s="9" t="s">
        <v>111</v>
      </c>
      <c r="F3361" s="9" t="s">
        <v>111</v>
      </c>
      <c r="I3361" s="9" t="s">
        <v>13</v>
      </c>
      <c r="J3361" s="9" t="s">
        <v>13</v>
      </c>
      <c r="K3361" s="9" t="s">
        <v>2214</v>
      </c>
      <c r="L3361" s="9" t="s">
        <v>1445</v>
      </c>
      <c r="M3361" t="s">
        <v>2324</v>
      </c>
      <c r="O3361" t="s">
        <v>2359</v>
      </c>
      <c r="P3361" t="s">
        <v>2360</v>
      </c>
      <c r="S3361">
        <v>244</v>
      </c>
      <c r="U3361" t="s">
        <v>112</v>
      </c>
      <c r="V3361" t="s">
        <v>1484</v>
      </c>
      <c r="X3361" s="43">
        <v>0.85</v>
      </c>
      <c r="AA3361" s="43"/>
      <c r="AB3361" s="43">
        <v>0.05</v>
      </c>
      <c r="AC3361" s="43">
        <v>5.8500000000000003E-2</v>
      </c>
      <c r="AK3361">
        <v>5389472</v>
      </c>
    </row>
    <row r="3362" spans="1:37" ht="19">
      <c r="A3362" s="39" t="s">
        <v>17</v>
      </c>
      <c r="B3362" s="8">
        <v>2024</v>
      </c>
      <c r="C3362" s="8" t="s">
        <v>109</v>
      </c>
      <c r="D3362" s="9" t="s">
        <v>109</v>
      </c>
      <c r="E3362" s="9" t="s">
        <v>111</v>
      </c>
      <c r="F3362" s="9" t="s">
        <v>111</v>
      </c>
      <c r="I3362" s="9" t="s">
        <v>13</v>
      </c>
      <c r="J3362" s="9" t="s">
        <v>13</v>
      </c>
      <c r="K3362" s="9" t="s">
        <v>2214</v>
      </c>
      <c r="L3362" s="9" t="s">
        <v>1445</v>
      </c>
      <c r="M3362" t="s">
        <v>2324</v>
      </c>
      <c r="O3362" t="s">
        <v>2359</v>
      </c>
      <c r="P3362" t="s">
        <v>2361</v>
      </c>
      <c r="S3362">
        <v>77</v>
      </c>
      <c r="U3362" t="s">
        <v>112</v>
      </c>
      <c r="V3362" t="s">
        <v>1484</v>
      </c>
      <c r="X3362" s="43">
        <v>0.3</v>
      </c>
      <c r="AA3362" s="43"/>
      <c r="AB3362" s="43">
        <v>0</v>
      </c>
      <c r="AC3362" s="43">
        <v>1.7999999999999999E-2</v>
      </c>
      <c r="AK3362">
        <v>1700776</v>
      </c>
    </row>
    <row r="3363" spans="1:37" ht="19">
      <c r="A3363" s="39" t="s">
        <v>17</v>
      </c>
      <c r="B3363" s="8">
        <v>2024</v>
      </c>
      <c r="C3363" s="8" t="s">
        <v>109</v>
      </c>
      <c r="D3363" s="9" t="s">
        <v>109</v>
      </c>
      <c r="E3363" s="9" t="s">
        <v>111</v>
      </c>
      <c r="F3363" s="9" t="s">
        <v>111</v>
      </c>
      <c r="I3363" s="9" t="s">
        <v>13</v>
      </c>
      <c r="J3363" s="9" t="s">
        <v>13</v>
      </c>
      <c r="K3363" s="9" t="s">
        <v>2214</v>
      </c>
      <c r="L3363" s="9" t="s">
        <v>1445</v>
      </c>
      <c r="M3363" t="s">
        <v>2324</v>
      </c>
      <c r="O3363" t="s">
        <v>2359</v>
      </c>
      <c r="P3363" t="s">
        <v>2362</v>
      </c>
      <c r="S3363">
        <v>50</v>
      </c>
      <c r="U3363" t="s">
        <v>112</v>
      </c>
      <c r="V3363" t="s">
        <v>1484</v>
      </c>
      <c r="X3363" s="43">
        <v>0.2</v>
      </c>
      <c r="AA3363" s="43"/>
      <c r="AB3363" s="43">
        <v>0</v>
      </c>
      <c r="AC3363" s="43">
        <v>1.35E-2</v>
      </c>
      <c r="AK3363">
        <v>1104400</v>
      </c>
    </row>
    <row r="3364" spans="1:37" ht="19">
      <c r="A3364" s="39" t="s">
        <v>17</v>
      </c>
      <c r="B3364" s="8">
        <v>2024</v>
      </c>
      <c r="C3364" s="8" t="s">
        <v>109</v>
      </c>
      <c r="D3364" s="9" t="s">
        <v>109</v>
      </c>
      <c r="E3364" s="9" t="s">
        <v>111</v>
      </c>
      <c r="F3364" s="9" t="s">
        <v>111</v>
      </c>
      <c r="I3364" s="9" t="s">
        <v>13</v>
      </c>
      <c r="J3364" s="9" t="s">
        <v>13</v>
      </c>
      <c r="K3364" s="9" t="s">
        <v>2214</v>
      </c>
      <c r="L3364" s="9" t="s">
        <v>1445</v>
      </c>
      <c r="M3364" t="s">
        <v>2324</v>
      </c>
      <c r="O3364" t="s">
        <v>2359</v>
      </c>
      <c r="P3364" t="s">
        <v>420</v>
      </c>
      <c r="S3364">
        <v>257</v>
      </c>
      <c r="U3364" t="s">
        <v>112</v>
      </c>
      <c r="V3364" t="s">
        <v>112</v>
      </c>
      <c r="X3364" s="43">
        <v>1.4</v>
      </c>
      <c r="AA3364" s="43"/>
      <c r="AB3364" s="43">
        <v>0.1</v>
      </c>
      <c r="AC3364" s="43">
        <v>9.9000000000000005E-2</v>
      </c>
      <c r="AK3364">
        <v>5676616</v>
      </c>
    </row>
    <row r="3365" spans="1:37" ht="19">
      <c r="A3365" s="39" t="s">
        <v>17</v>
      </c>
      <c r="B3365" s="8">
        <v>2024</v>
      </c>
      <c r="C3365" s="8" t="s">
        <v>109</v>
      </c>
      <c r="D3365" s="9" t="s">
        <v>109</v>
      </c>
      <c r="E3365" s="9" t="s">
        <v>111</v>
      </c>
      <c r="F3365" s="9" t="s">
        <v>111</v>
      </c>
      <c r="I3365" s="9" t="s">
        <v>13</v>
      </c>
      <c r="J3365" s="9" t="s">
        <v>13</v>
      </c>
      <c r="K3365" s="9" t="s">
        <v>2214</v>
      </c>
      <c r="L3365" s="9" t="s">
        <v>1445</v>
      </c>
      <c r="M3365" t="s">
        <v>2324</v>
      </c>
      <c r="O3365" t="s">
        <v>2351</v>
      </c>
      <c r="P3365" t="s">
        <v>2363</v>
      </c>
      <c r="S3365">
        <v>72</v>
      </c>
      <c r="U3365" t="s">
        <v>112</v>
      </c>
      <c r="V3365" t="s">
        <v>112</v>
      </c>
      <c r="X3365" s="43">
        <v>0.4</v>
      </c>
      <c r="AA3365" s="43"/>
      <c r="AB3365" s="43">
        <v>0</v>
      </c>
      <c r="AC3365" s="43">
        <v>2.7E-2</v>
      </c>
      <c r="AK3365">
        <v>1590336</v>
      </c>
    </row>
    <row r="3366" spans="1:37" ht="19">
      <c r="A3366" s="39" t="s">
        <v>17</v>
      </c>
      <c r="B3366" s="8">
        <v>2024</v>
      </c>
      <c r="C3366" s="8" t="s">
        <v>109</v>
      </c>
      <c r="D3366" s="9" t="s">
        <v>109</v>
      </c>
      <c r="E3366" s="9" t="s">
        <v>111</v>
      </c>
      <c r="F3366" s="9" t="s">
        <v>111</v>
      </c>
      <c r="I3366" s="9" t="s">
        <v>13</v>
      </c>
      <c r="J3366" s="9" t="s">
        <v>13</v>
      </c>
      <c r="K3366" s="9" t="s">
        <v>2214</v>
      </c>
      <c r="L3366" s="9" t="s">
        <v>1445</v>
      </c>
      <c r="M3366" t="s">
        <v>2324</v>
      </c>
      <c r="O3366" t="s">
        <v>2364</v>
      </c>
      <c r="P3366" t="s">
        <v>2365</v>
      </c>
      <c r="S3366">
        <v>259</v>
      </c>
      <c r="U3366" t="s">
        <v>112</v>
      </c>
      <c r="V3366" t="s">
        <v>112</v>
      </c>
      <c r="X3366" s="43">
        <v>1.4</v>
      </c>
      <c r="AA3366" s="43"/>
      <c r="AB3366" s="43">
        <v>0.1</v>
      </c>
      <c r="AC3366" s="43">
        <v>0.10349999999999999</v>
      </c>
      <c r="AK3366">
        <v>5720792</v>
      </c>
    </row>
    <row r="3367" spans="1:37" ht="19">
      <c r="A3367" s="39" t="s">
        <v>17</v>
      </c>
      <c r="B3367" s="8">
        <v>2024</v>
      </c>
      <c r="C3367" s="8" t="s">
        <v>109</v>
      </c>
      <c r="D3367" s="9" t="s">
        <v>109</v>
      </c>
      <c r="E3367" s="9" t="s">
        <v>111</v>
      </c>
      <c r="F3367" s="9" t="s">
        <v>111</v>
      </c>
      <c r="I3367" s="9" t="s">
        <v>13</v>
      </c>
      <c r="J3367" s="9" t="s">
        <v>13</v>
      </c>
      <c r="K3367" s="9" t="s">
        <v>2214</v>
      </c>
      <c r="L3367" s="9" t="s">
        <v>1445</v>
      </c>
      <c r="M3367" t="s">
        <v>2324</v>
      </c>
      <c r="O3367" t="s">
        <v>2351</v>
      </c>
      <c r="P3367" t="s">
        <v>2366</v>
      </c>
      <c r="S3367">
        <v>132</v>
      </c>
      <c r="U3367" t="s">
        <v>112</v>
      </c>
      <c r="V3367" t="s">
        <v>112</v>
      </c>
      <c r="X3367" s="43">
        <v>0.75</v>
      </c>
      <c r="AA3367" s="43"/>
      <c r="AB3367" s="43">
        <v>0.05</v>
      </c>
      <c r="AC3367" s="43">
        <v>5.3999999999999999E-2</v>
      </c>
      <c r="AK3367">
        <v>2915616</v>
      </c>
    </row>
    <row r="3368" spans="1:37" ht="19">
      <c r="A3368" s="39" t="s">
        <v>17</v>
      </c>
      <c r="B3368" s="8">
        <v>2024</v>
      </c>
      <c r="C3368" s="8" t="s">
        <v>109</v>
      </c>
      <c r="D3368" s="9" t="s">
        <v>109</v>
      </c>
      <c r="E3368" s="9" t="s">
        <v>111</v>
      </c>
      <c r="F3368" s="9" t="s">
        <v>111</v>
      </c>
      <c r="I3368" s="9" t="s">
        <v>13</v>
      </c>
      <c r="J3368" s="9" t="s">
        <v>13</v>
      </c>
      <c r="K3368" s="9" t="s">
        <v>2214</v>
      </c>
      <c r="L3368" s="9" t="s">
        <v>1445</v>
      </c>
      <c r="M3368" t="s">
        <v>2324</v>
      </c>
      <c r="O3368" t="s">
        <v>2364</v>
      </c>
      <c r="P3368" t="s">
        <v>2367</v>
      </c>
      <c r="S3368">
        <v>175</v>
      </c>
      <c r="U3368" t="s">
        <v>112</v>
      </c>
      <c r="V3368" t="s">
        <v>112</v>
      </c>
      <c r="X3368" s="43">
        <v>0.95</v>
      </c>
      <c r="AA3368" s="43"/>
      <c r="AB3368" s="43">
        <v>0.05</v>
      </c>
      <c r="AC3368" s="43">
        <v>6.7500000000000004E-2</v>
      </c>
      <c r="AK3368">
        <v>3865400</v>
      </c>
    </row>
    <row r="3369" spans="1:37" ht="19">
      <c r="A3369" s="39" t="s">
        <v>17</v>
      </c>
      <c r="B3369" s="8">
        <v>2024</v>
      </c>
      <c r="C3369" s="8" t="s">
        <v>109</v>
      </c>
      <c r="D3369" s="9" t="s">
        <v>109</v>
      </c>
      <c r="E3369" s="9" t="s">
        <v>111</v>
      </c>
      <c r="F3369" s="9" t="s">
        <v>111</v>
      </c>
      <c r="I3369" s="9" t="s">
        <v>13</v>
      </c>
      <c r="J3369" s="9" t="s">
        <v>13</v>
      </c>
      <c r="K3369" s="9" t="s">
        <v>2214</v>
      </c>
      <c r="L3369" s="9" t="s">
        <v>1445</v>
      </c>
      <c r="M3369" t="s">
        <v>2324</v>
      </c>
      <c r="O3369" t="s">
        <v>2351</v>
      </c>
      <c r="P3369" t="s">
        <v>2368</v>
      </c>
      <c r="S3369">
        <v>345</v>
      </c>
      <c r="U3369" t="s">
        <v>112</v>
      </c>
      <c r="V3369" t="s">
        <v>112</v>
      </c>
      <c r="X3369" s="43">
        <v>1.9</v>
      </c>
      <c r="AA3369" s="43"/>
      <c r="AB3369" s="43">
        <v>0.1</v>
      </c>
      <c r="AC3369" s="43">
        <v>0.13500000000000001</v>
      </c>
      <c r="AK3369">
        <v>7620360</v>
      </c>
    </row>
    <row r="3370" spans="1:37" ht="19">
      <c r="A3370" s="39" t="s">
        <v>17</v>
      </c>
      <c r="B3370" s="8">
        <v>2024</v>
      </c>
      <c r="C3370" s="8" t="s">
        <v>109</v>
      </c>
      <c r="D3370" s="9" t="s">
        <v>109</v>
      </c>
      <c r="E3370" s="9" t="s">
        <v>111</v>
      </c>
      <c r="F3370" s="9" t="s">
        <v>111</v>
      </c>
      <c r="I3370" s="9" t="s">
        <v>13</v>
      </c>
      <c r="J3370" s="9" t="s">
        <v>13</v>
      </c>
      <c r="K3370" s="9" t="s">
        <v>2214</v>
      </c>
      <c r="L3370" s="9" t="s">
        <v>1445</v>
      </c>
      <c r="M3370" t="s">
        <v>2324</v>
      </c>
      <c r="O3370" t="s">
        <v>2364</v>
      </c>
      <c r="P3370" t="s">
        <v>2369</v>
      </c>
      <c r="S3370">
        <v>387</v>
      </c>
      <c r="U3370" t="s">
        <v>112</v>
      </c>
      <c r="V3370" t="s">
        <v>112</v>
      </c>
      <c r="X3370" s="43">
        <v>2.15</v>
      </c>
      <c r="AA3370" s="43"/>
      <c r="AB3370" s="43">
        <v>0.1</v>
      </c>
      <c r="AC3370" s="43">
        <v>0.153</v>
      </c>
      <c r="AK3370">
        <v>8548056</v>
      </c>
    </row>
    <row r="3371" spans="1:37" ht="19">
      <c r="A3371" s="39" t="s">
        <v>17</v>
      </c>
      <c r="B3371" s="8">
        <v>2024</v>
      </c>
      <c r="C3371" s="8" t="s">
        <v>109</v>
      </c>
      <c r="D3371" s="9" t="s">
        <v>109</v>
      </c>
      <c r="E3371" s="9" t="s">
        <v>111</v>
      </c>
      <c r="F3371" s="9" t="s">
        <v>111</v>
      </c>
      <c r="I3371" s="9" t="s">
        <v>13</v>
      </c>
      <c r="J3371" s="9" t="s">
        <v>13</v>
      </c>
      <c r="K3371" s="9" t="s">
        <v>2214</v>
      </c>
      <c r="L3371" s="9" t="s">
        <v>1445</v>
      </c>
      <c r="M3371" t="s">
        <v>2324</v>
      </c>
      <c r="O3371" t="s">
        <v>2364</v>
      </c>
      <c r="P3371" t="s">
        <v>2370</v>
      </c>
      <c r="S3371">
        <v>220</v>
      </c>
      <c r="U3371" t="s">
        <v>112</v>
      </c>
      <c r="V3371" t="s">
        <v>1484</v>
      </c>
      <c r="X3371" s="43">
        <v>0.75</v>
      </c>
      <c r="AA3371" s="43"/>
      <c r="AB3371" s="43">
        <v>0.05</v>
      </c>
      <c r="AC3371" s="43">
        <v>5.3999999999999999E-2</v>
      </c>
      <c r="AK3371">
        <v>4859360</v>
      </c>
    </row>
    <row r="3372" spans="1:37" ht="19">
      <c r="A3372" s="39" t="s">
        <v>17</v>
      </c>
      <c r="B3372" s="8">
        <v>2024</v>
      </c>
      <c r="C3372" s="8" t="s">
        <v>109</v>
      </c>
      <c r="D3372" s="9" t="s">
        <v>109</v>
      </c>
      <c r="E3372" s="9" t="s">
        <v>111</v>
      </c>
      <c r="F3372" s="9" t="s">
        <v>111</v>
      </c>
      <c r="I3372" s="9" t="s">
        <v>13</v>
      </c>
      <c r="J3372" s="9" t="s">
        <v>13</v>
      </c>
      <c r="K3372" s="9" t="s">
        <v>2214</v>
      </c>
      <c r="L3372" s="9" t="s">
        <v>1445</v>
      </c>
      <c r="M3372" t="s">
        <v>2324</v>
      </c>
      <c r="O3372" t="s">
        <v>2364</v>
      </c>
      <c r="P3372" t="s">
        <v>2371</v>
      </c>
      <c r="S3372">
        <v>383</v>
      </c>
      <c r="U3372" t="s">
        <v>112</v>
      </c>
      <c r="V3372" t="s">
        <v>112</v>
      </c>
      <c r="X3372" s="43">
        <v>2.1</v>
      </c>
      <c r="AA3372" s="43"/>
      <c r="AB3372" s="43">
        <v>0.1</v>
      </c>
      <c r="AC3372" s="43">
        <v>0.14849999999999999</v>
      </c>
      <c r="AK3372">
        <v>8459704</v>
      </c>
    </row>
    <row r="3373" spans="1:37" ht="19">
      <c r="A3373" s="39" t="s">
        <v>17</v>
      </c>
      <c r="B3373" s="8">
        <v>2024</v>
      </c>
      <c r="C3373" s="8" t="s">
        <v>109</v>
      </c>
      <c r="D3373" s="9" t="s">
        <v>109</v>
      </c>
      <c r="E3373" s="9" t="s">
        <v>111</v>
      </c>
      <c r="F3373" s="9" t="s">
        <v>111</v>
      </c>
      <c r="I3373" s="9" t="s">
        <v>13</v>
      </c>
      <c r="J3373" s="9" t="s">
        <v>13</v>
      </c>
      <c r="K3373" s="9" t="s">
        <v>2214</v>
      </c>
      <c r="L3373" s="9" t="s">
        <v>1445</v>
      </c>
      <c r="M3373" t="s">
        <v>2324</v>
      </c>
      <c r="O3373" t="s">
        <v>2364</v>
      </c>
      <c r="P3373" t="s">
        <v>2372</v>
      </c>
      <c r="S3373">
        <v>168</v>
      </c>
      <c r="U3373" t="s">
        <v>112</v>
      </c>
      <c r="V3373" t="s">
        <v>112</v>
      </c>
      <c r="X3373" s="43">
        <v>0.9</v>
      </c>
      <c r="AA3373" s="43"/>
      <c r="AB3373" s="43">
        <v>0.05</v>
      </c>
      <c r="AC3373" s="43">
        <v>6.7500000000000004E-2</v>
      </c>
      <c r="AK3373">
        <v>3710784</v>
      </c>
    </row>
    <row r="3374" spans="1:37" ht="19">
      <c r="A3374" s="39" t="s">
        <v>17</v>
      </c>
      <c r="B3374" s="8">
        <v>2024</v>
      </c>
      <c r="C3374" s="8" t="s">
        <v>109</v>
      </c>
      <c r="D3374" s="9" t="s">
        <v>109</v>
      </c>
      <c r="E3374" s="9" t="s">
        <v>111</v>
      </c>
      <c r="F3374" s="9" t="s">
        <v>111</v>
      </c>
      <c r="I3374" s="9" t="s">
        <v>13</v>
      </c>
      <c r="J3374" s="9" t="s">
        <v>13</v>
      </c>
      <c r="K3374" s="9" t="s">
        <v>2214</v>
      </c>
      <c r="L3374" s="9" t="s">
        <v>1445</v>
      </c>
      <c r="M3374" t="s">
        <v>2324</v>
      </c>
      <c r="O3374" t="s">
        <v>2364</v>
      </c>
      <c r="P3374" t="s">
        <v>2373</v>
      </c>
      <c r="S3374">
        <v>308</v>
      </c>
      <c r="U3374" t="s">
        <v>112</v>
      </c>
      <c r="V3374" t="s">
        <v>112</v>
      </c>
      <c r="X3374" s="43">
        <v>1.7</v>
      </c>
      <c r="AA3374" s="43"/>
      <c r="AB3374" s="43">
        <v>0.1</v>
      </c>
      <c r="AC3374" s="43">
        <v>0.1215</v>
      </c>
      <c r="AK3374">
        <v>6803104</v>
      </c>
    </row>
    <row r="3375" spans="1:37" ht="19">
      <c r="A3375" s="39" t="s">
        <v>17</v>
      </c>
      <c r="B3375" s="8">
        <v>2024</v>
      </c>
      <c r="C3375" s="8" t="s">
        <v>109</v>
      </c>
      <c r="D3375" s="9" t="s">
        <v>109</v>
      </c>
      <c r="E3375" s="9" t="s">
        <v>111</v>
      </c>
      <c r="F3375" s="9" t="s">
        <v>111</v>
      </c>
      <c r="I3375" s="9" t="s">
        <v>13</v>
      </c>
      <c r="J3375" s="9" t="s">
        <v>13</v>
      </c>
      <c r="K3375" s="9" t="s">
        <v>2214</v>
      </c>
      <c r="L3375" s="9" t="s">
        <v>1445</v>
      </c>
      <c r="M3375" t="s">
        <v>2324</v>
      </c>
      <c r="O3375" t="s">
        <v>2364</v>
      </c>
      <c r="P3375" t="s">
        <v>2374</v>
      </c>
      <c r="S3375">
        <v>300</v>
      </c>
      <c r="U3375" t="s">
        <v>112</v>
      </c>
      <c r="V3375" t="s">
        <v>1484</v>
      </c>
      <c r="X3375" s="43">
        <v>1</v>
      </c>
      <c r="AA3375" s="43"/>
      <c r="AB3375" s="43">
        <v>0</v>
      </c>
      <c r="AC3375" s="43">
        <v>7.1999999999999995E-2</v>
      </c>
      <c r="AK3375">
        <v>6626400</v>
      </c>
    </row>
    <row r="3376" spans="1:37" ht="19">
      <c r="A3376" s="39" t="s">
        <v>17</v>
      </c>
      <c r="B3376" s="8">
        <v>2024</v>
      </c>
      <c r="C3376" s="8" t="s">
        <v>109</v>
      </c>
      <c r="D3376" s="9" t="s">
        <v>109</v>
      </c>
      <c r="E3376" s="9" t="s">
        <v>111</v>
      </c>
      <c r="F3376" s="9" t="s">
        <v>111</v>
      </c>
      <c r="I3376" s="9" t="s">
        <v>13</v>
      </c>
      <c r="J3376" s="9" t="s">
        <v>13</v>
      </c>
      <c r="K3376" s="9" t="s">
        <v>2214</v>
      </c>
      <c r="L3376" s="9" t="s">
        <v>1445</v>
      </c>
      <c r="M3376" t="s">
        <v>2324</v>
      </c>
      <c r="O3376" t="s">
        <v>2375</v>
      </c>
      <c r="P3376" t="s">
        <v>2376</v>
      </c>
      <c r="S3376">
        <v>165</v>
      </c>
      <c r="U3376" t="s">
        <v>112</v>
      </c>
      <c r="V3376" t="s">
        <v>1484</v>
      </c>
      <c r="X3376" s="43">
        <v>0.55000000000000004</v>
      </c>
      <c r="AA3376" s="43"/>
      <c r="AB3376" s="43">
        <v>0.05</v>
      </c>
      <c r="AC3376" s="43">
        <v>4.0500000000000001E-2</v>
      </c>
      <c r="AK3376">
        <v>3644520</v>
      </c>
    </row>
    <row r="3377" spans="1:37" ht="19">
      <c r="A3377" s="39" t="s">
        <v>17</v>
      </c>
      <c r="B3377" s="8">
        <v>2024</v>
      </c>
      <c r="C3377" s="8" t="s">
        <v>109</v>
      </c>
      <c r="D3377" s="9" t="s">
        <v>109</v>
      </c>
      <c r="E3377" s="9" t="s">
        <v>111</v>
      </c>
      <c r="F3377" s="9" t="s">
        <v>111</v>
      </c>
      <c r="I3377" s="9" t="s">
        <v>13</v>
      </c>
      <c r="J3377" s="9" t="s">
        <v>13</v>
      </c>
      <c r="K3377" s="9" t="s">
        <v>2214</v>
      </c>
      <c r="L3377" s="9" t="s">
        <v>1445</v>
      </c>
      <c r="M3377" t="s">
        <v>2324</v>
      </c>
      <c r="O3377" t="s">
        <v>2377</v>
      </c>
      <c r="P3377" t="s">
        <v>2378</v>
      </c>
      <c r="S3377">
        <v>270</v>
      </c>
      <c r="U3377" t="s">
        <v>112</v>
      </c>
      <c r="V3377" t="s">
        <v>1484</v>
      </c>
      <c r="X3377" s="43">
        <v>0.9</v>
      </c>
      <c r="AA3377" s="43"/>
      <c r="AB3377" s="43">
        <v>0.05</v>
      </c>
      <c r="AC3377" s="43">
        <v>6.3E-2</v>
      </c>
      <c r="AK3377">
        <v>5963760</v>
      </c>
    </row>
    <row r="3378" spans="1:37" ht="19">
      <c r="A3378" s="39" t="s">
        <v>17</v>
      </c>
      <c r="B3378" s="8">
        <v>2024</v>
      </c>
      <c r="C3378" s="8" t="s">
        <v>109</v>
      </c>
      <c r="D3378" s="9" t="s">
        <v>109</v>
      </c>
      <c r="E3378" s="9" t="s">
        <v>111</v>
      </c>
      <c r="F3378" s="9" t="s">
        <v>111</v>
      </c>
      <c r="I3378" s="9" t="s">
        <v>13</v>
      </c>
      <c r="J3378" s="9" t="s">
        <v>13</v>
      </c>
      <c r="K3378" s="9" t="s">
        <v>2214</v>
      </c>
      <c r="L3378" s="9" t="s">
        <v>1445</v>
      </c>
      <c r="M3378" t="s">
        <v>2324</v>
      </c>
      <c r="O3378" t="s">
        <v>2359</v>
      </c>
      <c r="P3378" t="s">
        <v>2379</v>
      </c>
      <c r="S3378">
        <v>226</v>
      </c>
      <c r="U3378" t="s">
        <v>112</v>
      </c>
      <c r="V3378" t="s">
        <v>1484</v>
      </c>
      <c r="X3378" s="43">
        <v>0.75</v>
      </c>
      <c r="AA3378" s="43"/>
      <c r="AB3378" s="43">
        <v>0.05</v>
      </c>
      <c r="AC3378" s="43">
        <v>5.3999999999999999E-2</v>
      </c>
      <c r="AK3378">
        <v>4991888</v>
      </c>
    </row>
    <row r="3379" spans="1:37" ht="19">
      <c r="A3379" s="39" t="s">
        <v>17</v>
      </c>
      <c r="B3379" s="8">
        <v>2024</v>
      </c>
      <c r="C3379" s="8" t="s">
        <v>109</v>
      </c>
      <c r="D3379" s="9" t="s">
        <v>109</v>
      </c>
      <c r="E3379" s="9" t="s">
        <v>111</v>
      </c>
      <c r="F3379" s="9" t="s">
        <v>111</v>
      </c>
      <c r="I3379" s="9" t="s">
        <v>13</v>
      </c>
      <c r="J3379" s="9" t="s">
        <v>13</v>
      </c>
      <c r="K3379" s="9" t="s">
        <v>2214</v>
      </c>
      <c r="L3379" s="9" t="s">
        <v>1445</v>
      </c>
      <c r="M3379" t="s">
        <v>2324</v>
      </c>
      <c r="O3379" t="s">
        <v>2380</v>
      </c>
      <c r="P3379" t="s">
        <v>2381</v>
      </c>
      <c r="S3379">
        <v>167</v>
      </c>
      <c r="U3379" t="s">
        <v>112</v>
      </c>
      <c r="V3379" t="s">
        <v>1484</v>
      </c>
      <c r="X3379" s="43">
        <v>0.6</v>
      </c>
      <c r="AA3379" s="43"/>
      <c r="AB3379" s="43">
        <v>0.05</v>
      </c>
      <c r="AC3379" s="43">
        <v>4.0500000000000001E-2</v>
      </c>
      <c r="AK3379">
        <v>3688696</v>
      </c>
    </row>
    <row r="3380" spans="1:37" ht="19">
      <c r="A3380" s="39" t="s">
        <v>17</v>
      </c>
      <c r="B3380" s="8">
        <v>2024</v>
      </c>
      <c r="C3380" s="8" t="s">
        <v>109</v>
      </c>
      <c r="D3380" s="9" t="s">
        <v>109</v>
      </c>
      <c r="E3380" s="9" t="s">
        <v>111</v>
      </c>
      <c r="F3380" s="9" t="s">
        <v>111</v>
      </c>
      <c r="I3380" s="9" t="s">
        <v>14</v>
      </c>
      <c r="J3380" s="14" t="s">
        <v>14</v>
      </c>
      <c r="K3380" s="9" t="s">
        <v>14</v>
      </c>
      <c r="L3380" s="9" t="s">
        <v>209</v>
      </c>
      <c r="M3380" t="s">
        <v>127</v>
      </c>
      <c r="O3380" t="s">
        <v>2382</v>
      </c>
      <c r="P3380" t="s">
        <v>2383</v>
      </c>
      <c r="S3380">
        <v>439</v>
      </c>
      <c r="U3380" s="14" t="s">
        <v>77</v>
      </c>
      <c r="V3380" t="s">
        <v>1720</v>
      </c>
      <c r="X3380" s="43">
        <v>3.4</v>
      </c>
      <c r="AA3380" s="43"/>
      <c r="AB3380" s="43">
        <v>0.75</v>
      </c>
      <c r="AC3380" s="43">
        <v>0.22950000000000001</v>
      </c>
      <c r="AJ3380" s="13">
        <f t="shared" ref="AJ3380:AJ3385" si="301">SUBTOTAL(9,X3380:AI3380)</f>
        <v>4.3795000000000002</v>
      </c>
    </row>
    <row r="3381" spans="1:37" ht="19">
      <c r="A3381" s="39" t="s">
        <v>17</v>
      </c>
      <c r="B3381" s="8">
        <v>2024</v>
      </c>
      <c r="C3381" s="8" t="s">
        <v>109</v>
      </c>
      <c r="D3381" s="9" t="s">
        <v>109</v>
      </c>
      <c r="E3381" s="9" t="s">
        <v>111</v>
      </c>
      <c r="F3381" s="9" t="s">
        <v>111</v>
      </c>
      <c r="I3381" s="9" t="s">
        <v>14</v>
      </c>
      <c r="J3381" s="14" t="s">
        <v>14</v>
      </c>
      <c r="K3381" s="9" t="s">
        <v>14</v>
      </c>
      <c r="L3381" s="9" t="s">
        <v>209</v>
      </c>
      <c r="M3381" t="s">
        <v>127</v>
      </c>
      <c r="O3381" t="s">
        <v>127</v>
      </c>
      <c r="P3381" t="s">
        <v>2384</v>
      </c>
      <c r="S3381">
        <v>492</v>
      </c>
      <c r="U3381" s="14" t="s">
        <v>77</v>
      </c>
      <c r="V3381" t="s">
        <v>1720</v>
      </c>
      <c r="X3381" s="43">
        <v>3.8</v>
      </c>
      <c r="AA3381" s="43"/>
      <c r="AB3381" s="43">
        <v>0.85</v>
      </c>
      <c r="AC3381" s="43">
        <v>0.252</v>
      </c>
      <c r="AJ3381" s="13">
        <f t="shared" si="301"/>
        <v>4.9019999999999992</v>
      </c>
    </row>
    <row r="3382" spans="1:37" ht="19">
      <c r="A3382" s="39" t="s">
        <v>17</v>
      </c>
      <c r="B3382" s="8">
        <v>2024</v>
      </c>
      <c r="C3382" s="8" t="s">
        <v>109</v>
      </c>
      <c r="D3382" s="9" t="s">
        <v>109</v>
      </c>
      <c r="E3382" s="9" t="s">
        <v>111</v>
      </c>
      <c r="F3382" s="9" t="s">
        <v>111</v>
      </c>
      <c r="I3382" s="9" t="s">
        <v>14</v>
      </c>
      <c r="J3382" s="14" t="s">
        <v>14</v>
      </c>
      <c r="K3382" s="9" t="s">
        <v>14</v>
      </c>
      <c r="L3382" s="9" t="s">
        <v>209</v>
      </c>
      <c r="M3382" t="s">
        <v>127</v>
      </c>
      <c r="O3382" t="s">
        <v>2385</v>
      </c>
      <c r="P3382" t="s">
        <v>2386</v>
      </c>
      <c r="S3382">
        <v>585</v>
      </c>
      <c r="U3382" s="14" t="s">
        <v>77</v>
      </c>
      <c r="V3382" t="s">
        <v>1720</v>
      </c>
      <c r="X3382" s="43">
        <v>4.5</v>
      </c>
      <c r="AA3382" s="43"/>
      <c r="AB3382" s="43">
        <v>1</v>
      </c>
      <c r="AC3382" s="43">
        <v>0.32400000000000001</v>
      </c>
      <c r="AJ3382" s="13">
        <f t="shared" si="301"/>
        <v>5.8239999999999998</v>
      </c>
    </row>
    <row r="3383" spans="1:37" ht="19">
      <c r="A3383" s="39" t="s">
        <v>17</v>
      </c>
      <c r="B3383" s="8">
        <v>2024</v>
      </c>
      <c r="C3383" s="8" t="s">
        <v>109</v>
      </c>
      <c r="D3383" s="9" t="s">
        <v>109</v>
      </c>
      <c r="E3383" s="9" t="s">
        <v>111</v>
      </c>
      <c r="F3383" s="9" t="s">
        <v>111</v>
      </c>
      <c r="I3383" s="9" t="s">
        <v>14</v>
      </c>
      <c r="J3383" s="14" t="s">
        <v>14</v>
      </c>
      <c r="K3383" s="9" t="s">
        <v>14</v>
      </c>
      <c r="L3383" s="9" t="s">
        <v>209</v>
      </c>
      <c r="M3383" t="s">
        <v>127</v>
      </c>
      <c r="O3383" t="s">
        <v>2385</v>
      </c>
      <c r="P3383" t="s">
        <v>2387</v>
      </c>
      <c r="S3383">
        <v>0</v>
      </c>
      <c r="U3383" s="14" t="s">
        <v>77</v>
      </c>
      <c r="V3383" t="s">
        <v>1720</v>
      </c>
      <c r="X3383" s="43">
        <v>0</v>
      </c>
      <c r="AA3383" s="43"/>
      <c r="AB3383" s="43">
        <v>0</v>
      </c>
      <c r="AC3383" s="43">
        <v>0</v>
      </c>
      <c r="AJ3383" s="13">
        <f t="shared" si="301"/>
        <v>0</v>
      </c>
    </row>
    <row r="3384" spans="1:37" ht="19">
      <c r="A3384" s="39" t="s">
        <v>17</v>
      </c>
      <c r="B3384" s="8">
        <v>2024</v>
      </c>
      <c r="C3384" s="8" t="s">
        <v>109</v>
      </c>
      <c r="D3384" s="9" t="s">
        <v>109</v>
      </c>
      <c r="E3384" s="9" t="s">
        <v>111</v>
      </c>
      <c r="F3384" s="9" t="s">
        <v>111</v>
      </c>
      <c r="I3384" s="9" t="s">
        <v>14</v>
      </c>
      <c r="J3384" s="14" t="s">
        <v>14</v>
      </c>
      <c r="K3384" s="9" t="s">
        <v>14</v>
      </c>
      <c r="L3384" s="9" t="s">
        <v>209</v>
      </c>
      <c r="M3384" t="s">
        <v>127</v>
      </c>
      <c r="O3384" t="s">
        <v>2385</v>
      </c>
      <c r="P3384" t="s">
        <v>2388</v>
      </c>
      <c r="S3384">
        <v>403</v>
      </c>
      <c r="U3384" s="14" t="s">
        <v>77</v>
      </c>
      <c r="V3384" t="s">
        <v>1720</v>
      </c>
      <c r="X3384" s="43">
        <v>3.1</v>
      </c>
      <c r="AA3384" s="43"/>
      <c r="AB3384" s="43">
        <v>0.7</v>
      </c>
      <c r="AC3384" s="43">
        <v>0.2205</v>
      </c>
      <c r="AJ3384" s="13">
        <f t="shared" si="301"/>
        <v>4.0205000000000002</v>
      </c>
    </row>
    <row r="3385" spans="1:37" ht="19">
      <c r="A3385" s="39" t="s">
        <v>17</v>
      </c>
      <c r="B3385" s="8">
        <v>2024</v>
      </c>
      <c r="C3385" s="8" t="s">
        <v>109</v>
      </c>
      <c r="D3385" s="9" t="s">
        <v>109</v>
      </c>
      <c r="E3385" s="9" t="s">
        <v>111</v>
      </c>
      <c r="F3385" s="9" t="s">
        <v>111</v>
      </c>
      <c r="I3385" s="9" t="s">
        <v>14</v>
      </c>
      <c r="J3385" s="14" t="s">
        <v>14</v>
      </c>
      <c r="K3385" s="9" t="s">
        <v>14</v>
      </c>
      <c r="L3385" s="9" t="s">
        <v>209</v>
      </c>
      <c r="M3385" t="s">
        <v>127</v>
      </c>
      <c r="O3385" t="s">
        <v>2385</v>
      </c>
      <c r="P3385" t="s">
        <v>2389</v>
      </c>
      <c r="S3385">
        <v>384</v>
      </c>
      <c r="U3385" s="14" t="s">
        <v>77</v>
      </c>
      <c r="V3385" t="s">
        <v>1720</v>
      </c>
      <c r="X3385" s="43">
        <v>2.95</v>
      </c>
      <c r="AA3385" s="43"/>
      <c r="AB3385" s="43">
        <v>0.65</v>
      </c>
      <c r="AC3385" s="43">
        <v>0.17549999999999999</v>
      </c>
      <c r="AJ3385" s="13">
        <f t="shared" si="301"/>
        <v>3.7755000000000001</v>
      </c>
    </row>
    <row r="3386" spans="1:37" ht="19">
      <c r="A3386" s="39" t="s">
        <v>17</v>
      </c>
      <c r="B3386" s="8">
        <v>2024</v>
      </c>
      <c r="C3386" s="8" t="s">
        <v>109</v>
      </c>
      <c r="D3386" s="9" t="s">
        <v>109</v>
      </c>
      <c r="E3386" s="9" t="s">
        <v>111</v>
      </c>
      <c r="F3386" s="9" t="s">
        <v>111</v>
      </c>
      <c r="I3386" s="9" t="s">
        <v>116</v>
      </c>
      <c r="J3386" s="9" t="s">
        <v>116</v>
      </c>
      <c r="K3386" s="9" t="s">
        <v>14</v>
      </c>
      <c r="L3386" s="9" t="s">
        <v>209</v>
      </c>
      <c r="M3386" s="14" t="s">
        <v>84</v>
      </c>
      <c r="O3386" t="s">
        <v>2390</v>
      </c>
      <c r="P3386" t="s">
        <v>2391</v>
      </c>
      <c r="S3386">
        <v>213</v>
      </c>
      <c r="U3386" t="s">
        <v>112</v>
      </c>
      <c r="V3386" t="s">
        <v>1484</v>
      </c>
      <c r="X3386" s="43">
        <v>1.45</v>
      </c>
      <c r="AA3386" s="43"/>
      <c r="AB3386" s="43">
        <v>0.1</v>
      </c>
      <c r="AC3386" s="43">
        <v>0.10349999999999999</v>
      </c>
      <c r="AK3386">
        <v>4704744</v>
      </c>
    </row>
    <row r="3387" spans="1:37" ht="19">
      <c r="A3387" s="39" t="s">
        <v>17</v>
      </c>
      <c r="B3387" s="8">
        <v>2024</v>
      </c>
      <c r="C3387" s="8" t="s">
        <v>109</v>
      </c>
      <c r="D3387" s="9" t="s">
        <v>109</v>
      </c>
      <c r="E3387" s="9" t="s">
        <v>111</v>
      </c>
      <c r="F3387" s="9" t="s">
        <v>111</v>
      </c>
      <c r="I3387" s="9" t="s">
        <v>116</v>
      </c>
      <c r="J3387" s="9" t="s">
        <v>116</v>
      </c>
      <c r="K3387" s="9" t="s">
        <v>14</v>
      </c>
      <c r="L3387" s="9" t="s">
        <v>209</v>
      </c>
      <c r="M3387" s="14" t="s">
        <v>84</v>
      </c>
      <c r="O3387" t="s">
        <v>2390</v>
      </c>
      <c r="P3387" t="s">
        <v>2392</v>
      </c>
      <c r="S3387">
        <v>721</v>
      </c>
      <c r="U3387" t="s">
        <v>112</v>
      </c>
      <c r="V3387" t="s">
        <v>1484</v>
      </c>
      <c r="X3387" s="43">
        <v>5.15</v>
      </c>
      <c r="AA3387" s="43"/>
      <c r="AB3387" s="43">
        <v>0.25</v>
      </c>
      <c r="AC3387" s="43">
        <v>0.36899999999999999</v>
      </c>
      <c r="AK3387">
        <v>15925448</v>
      </c>
    </row>
    <row r="3388" spans="1:37" ht="19">
      <c r="A3388" s="39" t="s">
        <v>17</v>
      </c>
      <c r="B3388" s="8">
        <v>2024</v>
      </c>
      <c r="C3388" s="8" t="s">
        <v>109</v>
      </c>
      <c r="D3388" s="9" t="s">
        <v>109</v>
      </c>
      <c r="E3388" s="9" t="s">
        <v>111</v>
      </c>
      <c r="F3388" s="9" t="s">
        <v>111</v>
      </c>
      <c r="I3388" s="9" t="s">
        <v>116</v>
      </c>
      <c r="J3388" s="9" t="s">
        <v>116</v>
      </c>
      <c r="K3388" s="9" t="s">
        <v>14</v>
      </c>
      <c r="L3388" s="9" t="s">
        <v>209</v>
      </c>
      <c r="M3388" s="14" t="s">
        <v>84</v>
      </c>
      <c r="O3388" t="s">
        <v>210</v>
      </c>
      <c r="P3388" t="s">
        <v>1751</v>
      </c>
      <c r="S3388">
        <v>196</v>
      </c>
      <c r="U3388" s="14" t="s">
        <v>77</v>
      </c>
      <c r="V3388" t="s">
        <v>1720</v>
      </c>
      <c r="X3388" s="43">
        <v>1.3</v>
      </c>
      <c r="AA3388" s="43"/>
      <c r="AB3388" s="43">
        <v>0.3</v>
      </c>
      <c r="AC3388" s="43">
        <v>9.4500000000000001E-2</v>
      </c>
      <c r="AJ3388" s="13">
        <f t="shared" ref="AJ3388:AJ3390" si="302">SUBTOTAL(9,X3388:AI3388)</f>
        <v>1.6945000000000001</v>
      </c>
      <c r="AK3388">
        <v>0</v>
      </c>
    </row>
    <row r="3389" spans="1:37" ht="19">
      <c r="A3389" s="39" t="s">
        <v>17</v>
      </c>
      <c r="B3389" s="8">
        <v>2024</v>
      </c>
      <c r="C3389" s="8" t="s">
        <v>109</v>
      </c>
      <c r="D3389" s="9" t="s">
        <v>109</v>
      </c>
      <c r="E3389" s="9" t="s">
        <v>111</v>
      </c>
      <c r="F3389" s="9" t="s">
        <v>111</v>
      </c>
      <c r="I3389" s="9" t="s">
        <v>116</v>
      </c>
      <c r="J3389" s="9" t="s">
        <v>116</v>
      </c>
      <c r="K3389" s="9" t="s">
        <v>14</v>
      </c>
      <c r="L3389" s="9" t="s">
        <v>209</v>
      </c>
      <c r="M3389" s="14" t="s">
        <v>84</v>
      </c>
      <c r="O3389" t="s">
        <v>210</v>
      </c>
      <c r="P3389" t="s">
        <v>2393</v>
      </c>
      <c r="S3389">
        <v>238</v>
      </c>
      <c r="U3389" s="14" t="s">
        <v>77</v>
      </c>
      <c r="V3389" t="s">
        <v>1720</v>
      </c>
      <c r="X3389" s="43">
        <v>1.65</v>
      </c>
      <c r="AA3389" s="43"/>
      <c r="AB3389" s="43">
        <v>0.35</v>
      </c>
      <c r="AC3389" s="43">
        <v>0.11700000000000001</v>
      </c>
      <c r="AJ3389" s="13">
        <f t="shared" si="302"/>
        <v>2.117</v>
      </c>
      <c r="AK3389">
        <v>0</v>
      </c>
    </row>
    <row r="3390" spans="1:37" ht="19">
      <c r="A3390" s="39" t="s">
        <v>17</v>
      </c>
      <c r="B3390" s="8">
        <v>2024</v>
      </c>
      <c r="C3390" s="8" t="s">
        <v>109</v>
      </c>
      <c r="D3390" s="9" t="s">
        <v>109</v>
      </c>
      <c r="E3390" s="9" t="s">
        <v>111</v>
      </c>
      <c r="F3390" s="9" t="s">
        <v>111</v>
      </c>
      <c r="I3390" s="9" t="s">
        <v>116</v>
      </c>
      <c r="J3390" s="9" t="s">
        <v>116</v>
      </c>
      <c r="K3390" s="9" t="s">
        <v>14</v>
      </c>
      <c r="L3390" s="9" t="s">
        <v>209</v>
      </c>
      <c r="M3390" s="14" t="s">
        <v>84</v>
      </c>
      <c r="O3390" t="s">
        <v>210</v>
      </c>
      <c r="P3390" t="s">
        <v>2394</v>
      </c>
      <c r="S3390">
        <v>324</v>
      </c>
      <c r="U3390" s="14" t="s">
        <v>77</v>
      </c>
      <c r="V3390" t="s">
        <v>1720</v>
      </c>
      <c r="X3390" s="43">
        <v>2.2000000000000002</v>
      </c>
      <c r="AA3390" s="43"/>
      <c r="AB3390" s="43">
        <v>0.5</v>
      </c>
      <c r="AC3390" s="43">
        <v>0.1575</v>
      </c>
      <c r="AJ3390" s="13">
        <f t="shared" si="302"/>
        <v>2.8575000000000004</v>
      </c>
      <c r="AK3390">
        <v>0</v>
      </c>
    </row>
    <row r="3391" spans="1:37" ht="19">
      <c r="A3391" s="39" t="s">
        <v>17</v>
      </c>
      <c r="B3391" s="8">
        <v>2024</v>
      </c>
      <c r="C3391" s="8" t="s">
        <v>109</v>
      </c>
      <c r="D3391" s="9" t="s">
        <v>109</v>
      </c>
      <c r="E3391" s="9" t="s">
        <v>111</v>
      </c>
      <c r="F3391" s="9" t="s">
        <v>111</v>
      </c>
      <c r="I3391" s="9" t="s">
        <v>116</v>
      </c>
      <c r="J3391" s="9" t="s">
        <v>116</v>
      </c>
      <c r="K3391" s="9" t="s">
        <v>14</v>
      </c>
      <c r="L3391" s="9" t="s">
        <v>209</v>
      </c>
      <c r="M3391" s="14" t="s">
        <v>84</v>
      </c>
      <c r="O3391" t="s">
        <v>2390</v>
      </c>
      <c r="P3391" t="s">
        <v>2395</v>
      </c>
      <c r="S3391">
        <v>231</v>
      </c>
      <c r="U3391" t="s">
        <v>112</v>
      </c>
      <c r="V3391" t="s">
        <v>1484</v>
      </c>
      <c r="X3391" s="43">
        <v>1.5</v>
      </c>
      <c r="AA3391" s="43"/>
      <c r="AB3391" s="43">
        <v>0.1</v>
      </c>
      <c r="AC3391" s="43">
        <v>0.10349999999999999</v>
      </c>
      <c r="AK3391">
        <v>5102328</v>
      </c>
    </row>
    <row r="3392" spans="1:37" ht="19">
      <c r="A3392" s="39" t="s">
        <v>17</v>
      </c>
      <c r="B3392" s="8">
        <v>2024</v>
      </c>
      <c r="C3392" s="8" t="s">
        <v>109</v>
      </c>
      <c r="D3392" s="9" t="s">
        <v>109</v>
      </c>
      <c r="E3392" s="9" t="s">
        <v>111</v>
      </c>
      <c r="F3392" s="9" t="s">
        <v>111</v>
      </c>
      <c r="I3392" s="9" t="s">
        <v>116</v>
      </c>
      <c r="J3392" s="9" t="s">
        <v>116</v>
      </c>
      <c r="K3392" s="9" t="s">
        <v>14</v>
      </c>
      <c r="L3392" s="9" t="s">
        <v>209</v>
      </c>
      <c r="M3392" s="14" t="s">
        <v>84</v>
      </c>
      <c r="O3392" t="s">
        <v>210</v>
      </c>
      <c r="P3392" t="s">
        <v>2396</v>
      </c>
      <c r="S3392">
        <v>348</v>
      </c>
      <c r="U3392" s="14" t="s">
        <v>77</v>
      </c>
      <c r="V3392" t="s">
        <v>1720</v>
      </c>
      <c r="X3392" s="43">
        <v>2.4</v>
      </c>
      <c r="AA3392" s="43"/>
      <c r="AB3392" s="43">
        <v>0.5</v>
      </c>
      <c r="AC3392" s="43">
        <v>0.17100000000000001</v>
      </c>
      <c r="AJ3392" s="13">
        <f t="shared" ref="AJ3392:AJ3396" si="303">SUBTOTAL(9,X3392:AI3392)</f>
        <v>3.0709999999999997</v>
      </c>
      <c r="AK3392">
        <v>0</v>
      </c>
    </row>
    <row r="3393" spans="1:37" ht="19">
      <c r="A3393" s="39" t="s">
        <v>17</v>
      </c>
      <c r="B3393" s="8">
        <v>2024</v>
      </c>
      <c r="C3393" s="8" t="s">
        <v>109</v>
      </c>
      <c r="D3393" s="9" t="s">
        <v>109</v>
      </c>
      <c r="E3393" s="9" t="s">
        <v>111</v>
      </c>
      <c r="F3393" s="9" t="s">
        <v>111</v>
      </c>
      <c r="I3393" s="9" t="s">
        <v>116</v>
      </c>
      <c r="J3393" s="9" t="s">
        <v>116</v>
      </c>
      <c r="K3393" s="9" t="s">
        <v>14</v>
      </c>
      <c r="L3393" s="9" t="s">
        <v>209</v>
      </c>
      <c r="M3393" s="14" t="s">
        <v>84</v>
      </c>
      <c r="O3393" t="s">
        <v>210</v>
      </c>
      <c r="P3393" t="s">
        <v>2397</v>
      </c>
      <c r="S3393">
        <v>222</v>
      </c>
      <c r="U3393" s="14" t="s">
        <v>77</v>
      </c>
      <c r="V3393" t="s">
        <v>1720</v>
      </c>
      <c r="X3393" s="43">
        <v>1.5</v>
      </c>
      <c r="AA3393" s="43"/>
      <c r="AB3393" s="43">
        <v>0.35</v>
      </c>
      <c r="AC3393" s="43">
        <v>0.108</v>
      </c>
      <c r="AJ3393" s="13">
        <f t="shared" si="303"/>
        <v>1.9580000000000002</v>
      </c>
      <c r="AK3393">
        <v>0</v>
      </c>
    </row>
    <row r="3394" spans="1:37" ht="19">
      <c r="A3394" s="39" t="s">
        <v>17</v>
      </c>
      <c r="B3394" s="8">
        <v>2024</v>
      </c>
      <c r="C3394" s="8" t="s">
        <v>109</v>
      </c>
      <c r="D3394" s="9" t="s">
        <v>109</v>
      </c>
      <c r="E3394" s="9" t="s">
        <v>111</v>
      </c>
      <c r="F3394" s="9" t="s">
        <v>111</v>
      </c>
      <c r="I3394" s="9" t="s">
        <v>116</v>
      </c>
      <c r="J3394" s="9" t="s">
        <v>116</v>
      </c>
      <c r="K3394" s="9" t="s">
        <v>14</v>
      </c>
      <c r="L3394" s="9" t="s">
        <v>209</v>
      </c>
      <c r="M3394" s="14" t="s">
        <v>84</v>
      </c>
      <c r="O3394" t="s">
        <v>12</v>
      </c>
      <c r="P3394" t="s">
        <v>1970</v>
      </c>
      <c r="S3394">
        <v>222</v>
      </c>
      <c r="U3394" s="14" t="s">
        <v>77</v>
      </c>
      <c r="V3394" t="s">
        <v>1720</v>
      </c>
      <c r="X3394" s="43">
        <v>1.4</v>
      </c>
      <c r="AA3394" s="43"/>
      <c r="AB3394" s="43">
        <v>0.3</v>
      </c>
      <c r="AC3394" s="43">
        <v>9.9000000000000005E-2</v>
      </c>
      <c r="AJ3394" s="13">
        <f t="shared" si="303"/>
        <v>1.7989999999999999</v>
      </c>
      <c r="AK3394">
        <v>0</v>
      </c>
    </row>
    <row r="3395" spans="1:37" ht="19">
      <c r="A3395" s="39" t="s">
        <v>17</v>
      </c>
      <c r="B3395" s="8">
        <v>2024</v>
      </c>
      <c r="C3395" s="8" t="s">
        <v>109</v>
      </c>
      <c r="D3395" s="9" t="s">
        <v>109</v>
      </c>
      <c r="E3395" s="9" t="s">
        <v>111</v>
      </c>
      <c r="F3395" s="9" t="s">
        <v>111</v>
      </c>
      <c r="I3395" s="9" t="s">
        <v>116</v>
      </c>
      <c r="J3395" s="9" t="s">
        <v>116</v>
      </c>
      <c r="K3395" s="9" t="s">
        <v>14</v>
      </c>
      <c r="L3395" s="9" t="s">
        <v>209</v>
      </c>
      <c r="M3395" s="14" t="s">
        <v>84</v>
      </c>
      <c r="O3395" t="s">
        <v>12</v>
      </c>
      <c r="P3395" t="s">
        <v>1141</v>
      </c>
      <c r="S3395">
        <v>195</v>
      </c>
      <c r="U3395" s="14" t="s">
        <v>77</v>
      </c>
      <c r="V3395" t="s">
        <v>1720</v>
      </c>
      <c r="X3395" s="43">
        <v>1.3</v>
      </c>
      <c r="AA3395" s="43"/>
      <c r="AB3395" s="43">
        <v>0.3</v>
      </c>
      <c r="AC3395" s="43">
        <v>9.4500000000000001E-2</v>
      </c>
      <c r="AJ3395" s="13">
        <f t="shared" si="303"/>
        <v>1.6945000000000001</v>
      </c>
      <c r="AK3395">
        <v>0</v>
      </c>
    </row>
    <row r="3396" spans="1:37" ht="19">
      <c r="A3396" s="39" t="s">
        <v>17</v>
      </c>
      <c r="B3396" s="8">
        <v>2024</v>
      </c>
      <c r="C3396" s="8" t="s">
        <v>109</v>
      </c>
      <c r="D3396" s="9" t="s">
        <v>109</v>
      </c>
      <c r="E3396" s="9" t="s">
        <v>111</v>
      </c>
      <c r="F3396" s="9" t="s">
        <v>111</v>
      </c>
      <c r="I3396" s="9" t="s">
        <v>116</v>
      </c>
      <c r="J3396" s="9" t="s">
        <v>116</v>
      </c>
      <c r="K3396" s="9" t="s">
        <v>14</v>
      </c>
      <c r="L3396" s="9" t="s">
        <v>209</v>
      </c>
      <c r="M3396" s="14" t="s">
        <v>84</v>
      </c>
      <c r="O3396" t="s">
        <v>12</v>
      </c>
      <c r="P3396" t="s">
        <v>2398</v>
      </c>
      <c r="S3396">
        <v>279</v>
      </c>
      <c r="U3396" s="14" t="s">
        <v>77</v>
      </c>
      <c r="V3396" t="s">
        <v>1720</v>
      </c>
      <c r="X3396" s="43">
        <v>1.85</v>
      </c>
      <c r="AA3396" s="43"/>
      <c r="AB3396" s="43">
        <v>0.4</v>
      </c>
      <c r="AC3396" s="43">
        <v>0.1305</v>
      </c>
      <c r="AJ3396" s="13">
        <f t="shared" si="303"/>
        <v>2.3805000000000001</v>
      </c>
      <c r="AK3396">
        <v>0</v>
      </c>
    </row>
    <row r="3397" spans="1:37" ht="19">
      <c r="A3397" s="39" t="s">
        <v>17</v>
      </c>
      <c r="B3397" s="8">
        <v>2024</v>
      </c>
      <c r="C3397" s="8" t="s">
        <v>109</v>
      </c>
      <c r="D3397" s="9" t="s">
        <v>109</v>
      </c>
      <c r="E3397" s="9" t="s">
        <v>111</v>
      </c>
      <c r="F3397" s="9" t="s">
        <v>111</v>
      </c>
      <c r="I3397" s="9" t="s">
        <v>116</v>
      </c>
      <c r="J3397" s="9" t="s">
        <v>116</v>
      </c>
      <c r="K3397" s="9" t="s">
        <v>14</v>
      </c>
      <c r="L3397" s="9" t="s">
        <v>209</v>
      </c>
      <c r="M3397" s="14" t="s">
        <v>84</v>
      </c>
      <c r="O3397" t="s">
        <v>2399</v>
      </c>
      <c r="P3397" t="s">
        <v>2400</v>
      </c>
      <c r="S3397">
        <v>287</v>
      </c>
      <c r="U3397" t="s">
        <v>112</v>
      </c>
      <c r="V3397" t="s">
        <v>1484</v>
      </c>
      <c r="X3397" s="43">
        <v>1.9</v>
      </c>
      <c r="AA3397" s="43"/>
      <c r="AB3397" s="43">
        <v>0.1</v>
      </c>
      <c r="AC3397" s="43">
        <v>0.13500000000000001</v>
      </c>
      <c r="AK3397">
        <v>6339256</v>
      </c>
    </row>
    <row r="3398" spans="1:37" ht="19">
      <c r="A3398" s="39" t="s">
        <v>17</v>
      </c>
      <c r="B3398" s="8">
        <v>2024</v>
      </c>
      <c r="C3398" s="8" t="s">
        <v>109</v>
      </c>
      <c r="D3398" s="9" t="s">
        <v>109</v>
      </c>
      <c r="E3398" s="9" t="s">
        <v>111</v>
      </c>
      <c r="F3398" s="9" t="s">
        <v>111</v>
      </c>
      <c r="I3398" s="9" t="s">
        <v>116</v>
      </c>
      <c r="J3398" s="9" t="s">
        <v>116</v>
      </c>
      <c r="K3398" s="9" t="s">
        <v>14</v>
      </c>
      <c r="L3398" s="9" t="s">
        <v>209</v>
      </c>
      <c r="M3398" s="14" t="s">
        <v>84</v>
      </c>
      <c r="O3398" t="s">
        <v>12</v>
      </c>
      <c r="P3398" t="s">
        <v>2401</v>
      </c>
      <c r="S3398">
        <v>176</v>
      </c>
      <c r="U3398" s="14" t="s">
        <v>77</v>
      </c>
      <c r="V3398" t="s">
        <v>1720</v>
      </c>
      <c r="X3398" s="43">
        <v>1.1000000000000001</v>
      </c>
      <c r="AA3398" s="43"/>
      <c r="AB3398" s="43">
        <v>0.25</v>
      </c>
      <c r="AC3398" s="43">
        <v>7.6499999999999999E-2</v>
      </c>
      <c r="AJ3398" s="13">
        <f t="shared" ref="AJ3398:AJ3399" si="304">SUBTOTAL(9,X3398:AI3398)</f>
        <v>1.4265000000000001</v>
      </c>
      <c r="AK3398">
        <v>0</v>
      </c>
    </row>
    <row r="3399" spans="1:37" ht="19">
      <c r="A3399" s="39" t="s">
        <v>17</v>
      </c>
      <c r="B3399" s="8">
        <v>2024</v>
      </c>
      <c r="C3399" s="8" t="s">
        <v>109</v>
      </c>
      <c r="D3399" s="9" t="s">
        <v>109</v>
      </c>
      <c r="E3399" s="9" t="s">
        <v>111</v>
      </c>
      <c r="F3399" s="9" t="s">
        <v>111</v>
      </c>
      <c r="I3399" s="9" t="s">
        <v>116</v>
      </c>
      <c r="J3399" s="9" t="s">
        <v>116</v>
      </c>
      <c r="K3399" s="9" t="s">
        <v>14</v>
      </c>
      <c r="L3399" s="9" t="s">
        <v>209</v>
      </c>
      <c r="M3399" s="14" t="s">
        <v>84</v>
      </c>
      <c r="O3399" t="s">
        <v>12</v>
      </c>
      <c r="P3399" t="s">
        <v>2402</v>
      </c>
      <c r="S3399">
        <v>161</v>
      </c>
      <c r="U3399" s="14" t="s">
        <v>77</v>
      </c>
      <c r="V3399" t="s">
        <v>1720</v>
      </c>
      <c r="X3399" s="43">
        <v>1</v>
      </c>
      <c r="AA3399" s="43"/>
      <c r="AB3399" s="43">
        <v>0.25</v>
      </c>
      <c r="AC3399" s="43">
        <v>7.1999999999999995E-2</v>
      </c>
      <c r="AJ3399" s="13">
        <f t="shared" si="304"/>
        <v>1.3220000000000001</v>
      </c>
      <c r="AK3399">
        <v>0</v>
      </c>
    </row>
    <row r="3400" spans="1:37" ht="19">
      <c r="A3400" s="39" t="s">
        <v>17</v>
      </c>
      <c r="B3400" s="8">
        <v>2024</v>
      </c>
      <c r="C3400" s="8" t="s">
        <v>109</v>
      </c>
      <c r="D3400" s="9" t="s">
        <v>109</v>
      </c>
      <c r="E3400" s="9" t="s">
        <v>111</v>
      </c>
      <c r="F3400" s="9" t="s">
        <v>111</v>
      </c>
      <c r="I3400" s="9" t="s">
        <v>116</v>
      </c>
      <c r="J3400" s="9" t="s">
        <v>116</v>
      </c>
      <c r="K3400" s="9" t="s">
        <v>14</v>
      </c>
      <c r="L3400" s="9" t="s">
        <v>209</v>
      </c>
      <c r="M3400" s="14" t="s">
        <v>84</v>
      </c>
      <c r="O3400" t="s">
        <v>2399</v>
      </c>
      <c r="P3400" t="s">
        <v>2403</v>
      </c>
      <c r="S3400">
        <v>742</v>
      </c>
      <c r="U3400" t="s">
        <v>112</v>
      </c>
      <c r="V3400" t="s">
        <v>1484</v>
      </c>
      <c r="X3400" s="43">
        <v>5.5</v>
      </c>
      <c r="AA3400" s="43"/>
      <c r="AB3400" s="43">
        <v>0.25</v>
      </c>
      <c r="AC3400" s="43">
        <v>0.39150000000000001</v>
      </c>
      <c r="AK3400">
        <v>16388971</v>
      </c>
    </row>
    <row r="3401" spans="1:37" ht="19">
      <c r="A3401" s="39" t="s">
        <v>17</v>
      </c>
      <c r="B3401" s="8">
        <v>2024</v>
      </c>
      <c r="C3401" s="8" t="s">
        <v>109</v>
      </c>
      <c r="D3401" s="9" t="s">
        <v>109</v>
      </c>
      <c r="E3401" s="9" t="s">
        <v>111</v>
      </c>
      <c r="F3401" s="9" t="s">
        <v>111</v>
      </c>
      <c r="I3401" s="9" t="s">
        <v>116</v>
      </c>
      <c r="J3401" s="9" t="s">
        <v>116</v>
      </c>
      <c r="K3401" s="9" t="s">
        <v>14</v>
      </c>
      <c r="L3401" s="9" t="s">
        <v>209</v>
      </c>
      <c r="M3401" s="14" t="s">
        <v>84</v>
      </c>
      <c r="O3401" t="s">
        <v>2399</v>
      </c>
      <c r="P3401" t="s">
        <v>2404</v>
      </c>
      <c r="S3401">
        <v>781</v>
      </c>
      <c r="U3401" t="s">
        <v>112</v>
      </c>
      <c r="V3401" t="s">
        <v>1484</v>
      </c>
      <c r="X3401" s="43">
        <v>5.8</v>
      </c>
      <c r="AA3401" s="43"/>
      <c r="AB3401" s="43">
        <v>0.3</v>
      </c>
      <c r="AC3401" s="43">
        <v>0.41399999999999998</v>
      </c>
      <c r="AK3401">
        <v>17241363</v>
      </c>
    </row>
    <row r="3402" spans="1:37" ht="19">
      <c r="A3402" s="39" t="s">
        <v>17</v>
      </c>
      <c r="B3402" s="8">
        <v>2024</v>
      </c>
      <c r="C3402" s="8" t="s">
        <v>109</v>
      </c>
      <c r="D3402" s="9" t="s">
        <v>109</v>
      </c>
      <c r="E3402" s="9" t="s">
        <v>111</v>
      </c>
      <c r="F3402" s="9" t="s">
        <v>111</v>
      </c>
      <c r="I3402" s="9" t="s">
        <v>116</v>
      </c>
      <c r="J3402" s="9" t="s">
        <v>116</v>
      </c>
      <c r="K3402" s="9" t="s">
        <v>14</v>
      </c>
      <c r="L3402" s="9" t="s">
        <v>209</v>
      </c>
      <c r="M3402" s="14" t="s">
        <v>84</v>
      </c>
      <c r="O3402" t="s">
        <v>2399</v>
      </c>
      <c r="P3402" t="s">
        <v>2405</v>
      </c>
      <c r="S3402">
        <v>268</v>
      </c>
      <c r="U3402" t="s">
        <v>112</v>
      </c>
      <c r="V3402" t="s">
        <v>1484</v>
      </c>
      <c r="X3402" s="43">
        <v>1.9</v>
      </c>
      <c r="AA3402" s="43"/>
      <c r="AB3402" s="43">
        <v>0.1</v>
      </c>
      <c r="AC3402" s="43">
        <v>0.13500000000000001</v>
      </c>
      <c r="AK3402">
        <v>5892184</v>
      </c>
    </row>
    <row r="3403" spans="1:37" ht="19">
      <c r="A3403" s="39" t="s">
        <v>17</v>
      </c>
      <c r="B3403" s="8">
        <v>2024</v>
      </c>
      <c r="C3403" s="8" t="s">
        <v>109</v>
      </c>
      <c r="D3403" s="9" t="s">
        <v>109</v>
      </c>
      <c r="E3403" s="9" t="s">
        <v>111</v>
      </c>
      <c r="F3403" s="9" t="s">
        <v>111</v>
      </c>
      <c r="I3403" s="9" t="s">
        <v>116</v>
      </c>
      <c r="J3403" s="9" t="s">
        <v>116</v>
      </c>
      <c r="K3403" s="9" t="s">
        <v>14</v>
      </c>
      <c r="L3403" s="9" t="s">
        <v>209</v>
      </c>
      <c r="M3403" s="14" t="s">
        <v>84</v>
      </c>
      <c r="O3403" t="s">
        <v>12</v>
      </c>
      <c r="P3403" t="s">
        <v>2406</v>
      </c>
      <c r="S3403">
        <v>251</v>
      </c>
      <c r="U3403" s="14" t="s">
        <v>77</v>
      </c>
      <c r="V3403" t="s">
        <v>1720</v>
      </c>
      <c r="X3403" s="43">
        <v>1.75</v>
      </c>
      <c r="AA3403" s="43"/>
      <c r="AB3403" s="43">
        <v>0.4</v>
      </c>
      <c r="AC3403" s="43">
        <v>0.1215</v>
      </c>
      <c r="AJ3403" s="13">
        <f t="shared" ref="AJ3403:AJ3410" si="305">SUBTOTAL(9,X3403:AI3403)</f>
        <v>2.2715000000000001</v>
      </c>
      <c r="AK3403">
        <v>0</v>
      </c>
    </row>
    <row r="3404" spans="1:37" ht="19">
      <c r="A3404" s="39" t="s">
        <v>17</v>
      </c>
      <c r="B3404" s="8">
        <v>2024</v>
      </c>
      <c r="C3404" s="8" t="s">
        <v>109</v>
      </c>
      <c r="D3404" s="9" t="s">
        <v>109</v>
      </c>
      <c r="E3404" s="9" t="s">
        <v>111</v>
      </c>
      <c r="F3404" s="9" t="s">
        <v>111</v>
      </c>
      <c r="I3404" s="9" t="s">
        <v>116</v>
      </c>
      <c r="J3404" s="9" t="s">
        <v>116</v>
      </c>
      <c r="K3404" s="9" t="s">
        <v>14</v>
      </c>
      <c r="L3404" s="9" t="s">
        <v>209</v>
      </c>
      <c r="M3404" s="14" t="s">
        <v>84</v>
      </c>
      <c r="O3404" t="s">
        <v>12</v>
      </c>
      <c r="P3404" t="s">
        <v>2407</v>
      </c>
      <c r="S3404">
        <v>861</v>
      </c>
      <c r="U3404" s="14" t="s">
        <v>77</v>
      </c>
      <c r="V3404" t="s">
        <v>1720</v>
      </c>
      <c r="X3404" s="43">
        <v>6.15</v>
      </c>
      <c r="AA3404" s="43"/>
      <c r="AB3404" s="43">
        <v>1.35</v>
      </c>
      <c r="AC3404" s="43">
        <v>0.4365</v>
      </c>
      <c r="AJ3404" s="13">
        <f t="shared" si="305"/>
        <v>7.9364999999999997</v>
      </c>
      <c r="AK3404">
        <v>0</v>
      </c>
    </row>
    <row r="3405" spans="1:37" ht="19">
      <c r="A3405" s="39" t="s">
        <v>17</v>
      </c>
      <c r="B3405" s="8">
        <v>2024</v>
      </c>
      <c r="C3405" s="8" t="s">
        <v>109</v>
      </c>
      <c r="D3405" s="9" t="s">
        <v>109</v>
      </c>
      <c r="E3405" s="9" t="s">
        <v>111</v>
      </c>
      <c r="F3405" s="9" t="s">
        <v>111</v>
      </c>
      <c r="I3405" s="9" t="s">
        <v>116</v>
      </c>
      <c r="J3405" s="9" t="s">
        <v>116</v>
      </c>
      <c r="K3405" s="9" t="s">
        <v>14</v>
      </c>
      <c r="L3405" s="9" t="s">
        <v>209</v>
      </c>
      <c r="M3405" s="14" t="s">
        <v>84</v>
      </c>
      <c r="O3405" t="s">
        <v>12</v>
      </c>
      <c r="P3405" t="s">
        <v>2408</v>
      </c>
      <c r="S3405">
        <v>211</v>
      </c>
      <c r="U3405" s="14" t="s">
        <v>77</v>
      </c>
      <c r="V3405" t="s">
        <v>1720</v>
      </c>
      <c r="X3405" s="43">
        <v>1.4</v>
      </c>
      <c r="AA3405" s="43"/>
      <c r="AB3405" s="43">
        <v>0.3</v>
      </c>
      <c r="AC3405" s="43">
        <v>0.10349999999999999</v>
      </c>
      <c r="AJ3405" s="13">
        <f t="shared" si="305"/>
        <v>1.8034999999999999</v>
      </c>
      <c r="AK3405">
        <v>0</v>
      </c>
    </row>
    <row r="3406" spans="1:37" ht="19">
      <c r="A3406" s="39" t="s">
        <v>17</v>
      </c>
      <c r="B3406" s="8">
        <v>2024</v>
      </c>
      <c r="C3406" s="8" t="s">
        <v>109</v>
      </c>
      <c r="D3406" s="9" t="s">
        <v>109</v>
      </c>
      <c r="E3406" s="9" t="s">
        <v>111</v>
      </c>
      <c r="F3406" s="9" t="s">
        <v>111</v>
      </c>
      <c r="I3406" s="9" t="s">
        <v>116</v>
      </c>
      <c r="J3406" s="9" t="s">
        <v>116</v>
      </c>
      <c r="K3406" s="9" t="s">
        <v>14</v>
      </c>
      <c r="L3406" s="9" t="s">
        <v>209</v>
      </c>
      <c r="M3406" s="14" t="s">
        <v>84</v>
      </c>
      <c r="O3406" t="s">
        <v>12</v>
      </c>
      <c r="P3406" t="s">
        <v>2409</v>
      </c>
      <c r="S3406">
        <v>304</v>
      </c>
      <c r="U3406" s="14" t="s">
        <v>77</v>
      </c>
      <c r="V3406" t="s">
        <v>1720</v>
      </c>
      <c r="X3406" s="43">
        <v>2.1</v>
      </c>
      <c r="AA3406" s="43"/>
      <c r="AB3406" s="43">
        <v>0.5</v>
      </c>
      <c r="AC3406" s="43">
        <v>0.14849999999999999</v>
      </c>
      <c r="AJ3406" s="13">
        <f t="shared" si="305"/>
        <v>2.7484999999999999</v>
      </c>
      <c r="AK3406">
        <v>0</v>
      </c>
    </row>
    <row r="3407" spans="1:37" ht="19">
      <c r="A3407" s="39" t="s">
        <v>17</v>
      </c>
      <c r="B3407" s="8">
        <v>2024</v>
      </c>
      <c r="C3407" s="8" t="s">
        <v>109</v>
      </c>
      <c r="D3407" s="9" t="s">
        <v>109</v>
      </c>
      <c r="E3407" s="9" t="s">
        <v>111</v>
      </c>
      <c r="F3407" s="9" t="s">
        <v>111</v>
      </c>
      <c r="I3407" s="9" t="s">
        <v>116</v>
      </c>
      <c r="J3407" s="9" t="s">
        <v>116</v>
      </c>
      <c r="K3407" s="9" t="s">
        <v>14</v>
      </c>
      <c r="L3407" s="9" t="s">
        <v>209</v>
      </c>
      <c r="M3407" s="14" t="s">
        <v>84</v>
      </c>
      <c r="O3407" t="s">
        <v>12</v>
      </c>
      <c r="P3407" t="s">
        <v>2410</v>
      </c>
      <c r="S3407">
        <v>300</v>
      </c>
      <c r="U3407" s="14" t="s">
        <v>77</v>
      </c>
      <c r="V3407" t="s">
        <v>1720</v>
      </c>
      <c r="X3407" s="43">
        <v>2</v>
      </c>
      <c r="AA3407" s="43"/>
      <c r="AB3407" s="43">
        <v>0.45</v>
      </c>
      <c r="AC3407" s="43">
        <v>0.14399999999999999</v>
      </c>
      <c r="AJ3407" s="13">
        <f t="shared" si="305"/>
        <v>2.5940000000000003</v>
      </c>
      <c r="AK3407">
        <v>0</v>
      </c>
    </row>
    <row r="3408" spans="1:37" ht="19">
      <c r="A3408" s="39" t="s">
        <v>17</v>
      </c>
      <c r="B3408" s="8">
        <v>2024</v>
      </c>
      <c r="C3408" s="8" t="s">
        <v>109</v>
      </c>
      <c r="D3408" s="9" t="s">
        <v>109</v>
      </c>
      <c r="E3408" s="9" t="s">
        <v>111</v>
      </c>
      <c r="F3408" s="9" t="s">
        <v>111</v>
      </c>
      <c r="I3408" s="9" t="s">
        <v>116</v>
      </c>
      <c r="J3408" s="9" t="s">
        <v>116</v>
      </c>
      <c r="K3408" s="9" t="s">
        <v>14</v>
      </c>
      <c r="L3408" s="9" t="s">
        <v>209</v>
      </c>
      <c r="M3408" s="14" t="s">
        <v>84</v>
      </c>
      <c r="O3408" t="s">
        <v>12</v>
      </c>
      <c r="P3408" t="s">
        <v>2411</v>
      </c>
      <c r="S3408">
        <v>194</v>
      </c>
      <c r="U3408" s="14" t="s">
        <v>77</v>
      </c>
      <c r="V3408" t="s">
        <v>1720</v>
      </c>
      <c r="X3408" s="43">
        <v>1.25</v>
      </c>
      <c r="AA3408" s="43"/>
      <c r="AB3408" s="43">
        <v>0.3</v>
      </c>
      <c r="AC3408" s="43">
        <v>0.09</v>
      </c>
      <c r="AJ3408" s="13">
        <f t="shared" si="305"/>
        <v>1.6400000000000001</v>
      </c>
      <c r="AK3408">
        <v>0</v>
      </c>
    </row>
    <row r="3409" spans="1:37" ht="19">
      <c r="A3409" s="39" t="s">
        <v>17</v>
      </c>
      <c r="B3409" s="8">
        <v>2024</v>
      </c>
      <c r="C3409" s="8" t="s">
        <v>109</v>
      </c>
      <c r="D3409" s="9" t="s">
        <v>109</v>
      </c>
      <c r="E3409" s="9" t="s">
        <v>111</v>
      </c>
      <c r="F3409" s="9" t="s">
        <v>111</v>
      </c>
      <c r="I3409" s="9" t="s">
        <v>116</v>
      </c>
      <c r="J3409" s="9" t="s">
        <v>116</v>
      </c>
      <c r="K3409" s="9" t="s">
        <v>14</v>
      </c>
      <c r="L3409" s="9" t="s">
        <v>209</v>
      </c>
      <c r="M3409" s="14" t="s">
        <v>84</v>
      </c>
      <c r="O3409" t="s">
        <v>12</v>
      </c>
      <c r="P3409" t="s">
        <v>2412</v>
      </c>
      <c r="S3409">
        <v>114</v>
      </c>
      <c r="U3409" s="14" t="s">
        <v>77</v>
      </c>
      <c r="V3409" t="s">
        <v>1720</v>
      </c>
      <c r="X3409" s="43">
        <v>0.7</v>
      </c>
      <c r="AA3409" s="43"/>
      <c r="AB3409" s="43">
        <v>0.15</v>
      </c>
      <c r="AC3409" s="43">
        <v>4.9500000000000002E-2</v>
      </c>
      <c r="AJ3409" s="13">
        <f t="shared" si="305"/>
        <v>0.89949999999999997</v>
      </c>
      <c r="AK3409">
        <v>0</v>
      </c>
    </row>
    <row r="3410" spans="1:37" ht="19">
      <c r="A3410" s="39" t="s">
        <v>17</v>
      </c>
      <c r="B3410" s="8">
        <v>2024</v>
      </c>
      <c r="C3410" s="8" t="s">
        <v>109</v>
      </c>
      <c r="D3410" s="9" t="s">
        <v>109</v>
      </c>
      <c r="E3410" s="9" t="s">
        <v>111</v>
      </c>
      <c r="F3410" s="9" t="s">
        <v>111</v>
      </c>
      <c r="I3410" s="9" t="s">
        <v>116</v>
      </c>
      <c r="J3410" s="9" t="s">
        <v>116</v>
      </c>
      <c r="K3410" s="9" t="s">
        <v>14</v>
      </c>
      <c r="L3410" s="9" t="s">
        <v>209</v>
      </c>
      <c r="M3410" s="14" t="s">
        <v>84</v>
      </c>
      <c r="O3410" t="s">
        <v>214</v>
      </c>
      <c r="P3410" t="s">
        <v>2413</v>
      </c>
      <c r="S3410">
        <v>157</v>
      </c>
      <c r="U3410" s="14" t="s">
        <v>77</v>
      </c>
      <c r="V3410" t="s">
        <v>1720</v>
      </c>
      <c r="X3410" s="43">
        <v>0.7</v>
      </c>
      <c r="AA3410" s="43"/>
      <c r="AB3410" s="43">
        <v>0.2</v>
      </c>
      <c r="AC3410" s="43">
        <v>4.9500000000000002E-2</v>
      </c>
      <c r="AJ3410" s="13">
        <f t="shared" si="305"/>
        <v>0.9494999999999999</v>
      </c>
      <c r="AK3410">
        <v>0</v>
      </c>
    </row>
    <row r="3411" spans="1:37" ht="19">
      <c r="A3411" s="39" t="s">
        <v>17</v>
      </c>
      <c r="B3411" s="8">
        <v>2024</v>
      </c>
      <c r="C3411" s="8" t="s">
        <v>109</v>
      </c>
      <c r="D3411" s="9" t="s">
        <v>109</v>
      </c>
      <c r="E3411" s="9" t="s">
        <v>111</v>
      </c>
      <c r="F3411" s="9" t="s">
        <v>111</v>
      </c>
      <c r="I3411" s="9" t="s">
        <v>116</v>
      </c>
      <c r="J3411" s="9" t="s">
        <v>116</v>
      </c>
      <c r="K3411" s="9" t="s">
        <v>14</v>
      </c>
      <c r="L3411" s="9" t="s">
        <v>209</v>
      </c>
      <c r="M3411" s="14" t="s">
        <v>84</v>
      </c>
      <c r="O3411" t="s">
        <v>1159</v>
      </c>
      <c r="P3411" t="s">
        <v>2414</v>
      </c>
      <c r="S3411">
        <v>159</v>
      </c>
      <c r="U3411" t="s">
        <v>112</v>
      </c>
      <c r="V3411" t="s">
        <v>1484</v>
      </c>
      <c r="X3411" s="43">
        <v>0.9</v>
      </c>
      <c r="AA3411" s="43"/>
      <c r="AB3411" s="43">
        <v>0.1</v>
      </c>
      <c r="AC3411" s="43">
        <v>6.7500000000000004E-2</v>
      </c>
      <c r="AK3411">
        <v>3511992</v>
      </c>
    </row>
    <row r="3412" spans="1:37" ht="19">
      <c r="A3412" s="39" t="s">
        <v>17</v>
      </c>
      <c r="B3412" s="8">
        <v>2024</v>
      </c>
      <c r="C3412" s="8" t="s">
        <v>109</v>
      </c>
      <c r="D3412" s="9" t="s">
        <v>109</v>
      </c>
      <c r="E3412" s="9" t="s">
        <v>111</v>
      </c>
      <c r="F3412" s="9" t="s">
        <v>111</v>
      </c>
      <c r="I3412" s="9" t="s">
        <v>116</v>
      </c>
      <c r="J3412" s="9" t="s">
        <v>116</v>
      </c>
      <c r="K3412" s="9" t="s">
        <v>14</v>
      </c>
      <c r="L3412" s="9" t="s">
        <v>209</v>
      </c>
      <c r="M3412" s="14" t="s">
        <v>84</v>
      </c>
      <c r="O3412" t="s">
        <v>214</v>
      </c>
      <c r="P3412" t="s">
        <v>2415</v>
      </c>
      <c r="S3412">
        <v>216</v>
      </c>
      <c r="U3412" s="14" t="s">
        <v>77</v>
      </c>
      <c r="V3412" t="s">
        <v>1720</v>
      </c>
      <c r="X3412" s="43">
        <v>1.35</v>
      </c>
      <c r="AA3412" s="43"/>
      <c r="AB3412" s="43">
        <v>0.3</v>
      </c>
      <c r="AC3412" s="43">
        <v>9.9000000000000005E-2</v>
      </c>
      <c r="AJ3412" s="13">
        <f>SUBTOTAL(9,X3412:AI3412)</f>
        <v>1.7490000000000001</v>
      </c>
      <c r="AK3412">
        <v>0</v>
      </c>
    </row>
    <row r="3413" spans="1:37" ht="19">
      <c r="A3413" s="39" t="s">
        <v>17</v>
      </c>
      <c r="B3413" s="8">
        <v>2024</v>
      </c>
      <c r="C3413" s="8" t="s">
        <v>109</v>
      </c>
      <c r="D3413" s="9" t="s">
        <v>109</v>
      </c>
      <c r="E3413" s="9" t="s">
        <v>111</v>
      </c>
      <c r="F3413" s="9" t="s">
        <v>111</v>
      </c>
      <c r="I3413" s="9" t="s">
        <v>116</v>
      </c>
      <c r="J3413" s="9" t="s">
        <v>116</v>
      </c>
      <c r="K3413" s="9" t="s">
        <v>14</v>
      </c>
      <c r="L3413" s="9" t="s">
        <v>209</v>
      </c>
      <c r="M3413" s="14" t="s">
        <v>84</v>
      </c>
      <c r="O3413" t="s">
        <v>1159</v>
      </c>
      <c r="P3413" t="s">
        <v>2416</v>
      </c>
      <c r="S3413">
        <v>359</v>
      </c>
      <c r="U3413" t="s">
        <v>112</v>
      </c>
      <c r="V3413" t="s">
        <v>1484</v>
      </c>
      <c r="X3413" s="43">
        <v>2.25</v>
      </c>
      <c r="AA3413" s="43"/>
      <c r="AB3413" s="43">
        <v>0.15</v>
      </c>
      <c r="AC3413" s="43">
        <v>0.16200000000000001</v>
      </c>
      <c r="AK3413">
        <v>7929592</v>
      </c>
    </row>
    <row r="3414" spans="1:37" ht="19">
      <c r="A3414" s="39" t="s">
        <v>17</v>
      </c>
      <c r="B3414" s="8">
        <v>2024</v>
      </c>
      <c r="C3414" s="8" t="s">
        <v>109</v>
      </c>
      <c r="D3414" s="9" t="s">
        <v>109</v>
      </c>
      <c r="E3414" s="9" t="s">
        <v>111</v>
      </c>
      <c r="F3414" s="9" t="s">
        <v>111</v>
      </c>
      <c r="I3414" s="9" t="s">
        <v>116</v>
      </c>
      <c r="J3414" s="9" t="s">
        <v>116</v>
      </c>
      <c r="K3414" s="9" t="s">
        <v>14</v>
      </c>
      <c r="L3414" s="9" t="s">
        <v>209</v>
      </c>
      <c r="M3414" s="14" t="s">
        <v>84</v>
      </c>
      <c r="O3414" t="s">
        <v>214</v>
      </c>
      <c r="P3414" t="s">
        <v>2417</v>
      </c>
      <c r="S3414">
        <v>322</v>
      </c>
      <c r="U3414" s="14" t="s">
        <v>77</v>
      </c>
      <c r="V3414" t="s">
        <v>1720</v>
      </c>
      <c r="X3414" s="43">
        <v>2</v>
      </c>
      <c r="AA3414" s="43"/>
      <c r="AB3414" s="43">
        <v>0.45</v>
      </c>
      <c r="AC3414" s="43">
        <v>0.13950000000000001</v>
      </c>
      <c r="AJ3414" s="13">
        <f t="shared" ref="AJ3414:AJ3415" si="306">SUBTOTAL(9,X3414:AI3414)</f>
        <v>2.5895000000000001</v>
      </c>
      <c r="AK3414">
        <v>0</v>
      </c>
    </row>
    <row r="3415" spans="1:37" ht="19">
      <c r="A3415" s="39" t="s">
        <v>17</v>
      </c>
      <c r="B3415" s="8">
        <v>2024</v>
      </c>
      <c r="C3415" s="8" t="s">
        <v>109</v>
      </c>
      <c r="D3415" s="9" t="s">
        <v>109</v>
      </c>
      <c r="E3415" s="9" t="s">
        <v>111</v>
      </c>
      <c r="F3415" s="9" t="s">
        <v>111</v>
      </c>
      <c r="I3415" s="9" t="s">
        <v>116</v>
      </c>
      <c r="J3415" s="9" t="s">
        <v>116</v>
      </c>
      <c r="K3415" s="9" t="s">
        <v>14</v>
      </c>
      <c r="L3415" s="9" t="s">
        <v>209</v>
      </c>
      <c r="M3415" s="14" t="s">
        <v>84</v>
      </c>
      <c r="O3415" t="s">
        <v>214</v>
      </c>
      <c r="P3415" t="s">
        <v>2418</v>
      </c>
      <c r="S3415">
        <v>307</v>
      </c>
      <c r="U3415" s="14" t="s">
        <v>77</v>
      </c>
      <c r="V3415" t="s">
        <v>1720</v>
      </c>
      <c r="X3415" s="43">
        <v>2.0499999999999998</v>
      </c>
      <c r="AA3415" s="43"/>
      <c r="AB3415" s="43">
        <v>0.45</v>
      </c>
      <c r="AC3415" s="43">
        <v>0.14849999999999999</v>
      </c>
      <c r="AJ3415" s="13">
        <f t="shared" si="306"/>
        <v>2.6484999999999999</v>
      </c>
      <c r="AK3415">
        <v>0</v>
      </c>
    </row>
    <row r="3416" spans="1:37" ht="19">
      <c r="A3416" s="39" t="s">
        <v>17</v>
      </c>
      <c r="B3416" s="8">
        <v>2024</v>
      </c>
      <c r="C3416" s="8" t="s">
        <v>109</v>
      </c>
      <c r="D3416" s="9" t="s">
        <v>109</v>
      </c>
      <c r="E3416" s="9" t="s">
        <v>111</v>
      </c>
      <c r="F3416" s="9" t="s">
        <v>111</v>
      </c>
      <c r="I3416" s="9" t="s">
        <v>116</v>
      </c>
      <c r="J3416" s="9" t="s">
        <v>116</v>
      </c>
      <c r="K3416" s="9" t="s">
        <v>14</v>
      </c>
      <c r="L3416" s="9" t="s">
        <v>209</v>
      </c>
      <c r="M3416" s="14" t="s">
        <v>84</v>
      </c>
      <c r="O3416" t="s">
        <v>1159</v>
      </c>
      <c r="P3416" t="s">
        <v>2419</v>
      </c>
      <c r="S3416">
        <v>266</v>
      </c>
      <c r="U3416" t="s">
        <v>112</v>
      </c>
      <c r="V3416" t="s">
        <v>1484</v>
      </c>
      <c r="X3416" s="43">
        <v>1.55</v>
      </c>
      <c r="AA3416" s="43"/>
      <c r="AB3416" s="43">
        <v>0.1</v>
      </c>
      <c r="AC3416" s="43">
        <v>0.108</v>
      </c>
      <c r="AK3416">
        <v>5875408</v>
      </c>
    </row>
    <row r="3417" spans="1:37" ht="19">
      <c r="A3417" s="39" t="s">
        <v>17</v>
      </c>
      <c r="B3417" s="8">
        <v>2024</v>
      </c>
      <c r="C3417" s="8" t="s">
        <v>109</v>
      </c>
      <c r="D3417" s="9" t="s">
        <v>109</v>
      </c>
      <c r="E3417" s="9" t="s">
        <v>111</v>
      </c>
      <c r="F3417" s="9" t="s">
        <v>111</v>
      </c>
      <c r="I3417" s="9" t="s">
        <v>116</v>
      </c>
      <c r="J3417" s="9" t="s">
        <v>116</v>
      </c>
      <c r="K3417" s="9" t="s">
        <v>14</v>
      </c>
      <c r="L3417" s="9" t="s">
        <v>209</v>
      </c>
      <c r="M3417" s="14" t="s">
        <v>84</v>
      </c>
      <c r="O3417" t="s">
        <v>1159</v>
      </c>
      <c r="P3417" t="s">
        <v>2420</v>
      </c>
      <c r="S3417">
        <v>194</v>
      </c>
      <c r="U3417" t="s">
        <v>112</v>
      </c>
      <c r="V3417" t="s">
        <v>1484</v>
      </c>
      <c r="X3417" s="43">
        <v>1.2</v>
      </c>
      <c r="AA3417" s="43"/>
      <c r="AB3417" s="43">
        <v>0.1</v>
      </c>
      <c r="AC3417" s="43">
        <v>8.5500000000000007E-2</v>
      </c>
      <c r="AK3417">
        <v>4285072</v>
      </c>
    </row>
    <row r="3418" spans="1:37" ht="19">
      <c r="A3418" s="39" t="s">
        <v>17</v>
      </c>
      <c r="B3418" s="8">
        <v>2024</v>
      </c>
      <c r="C3418" s="8" t="s">
        <v>109</v>
      </c>
      <c r="D3418" s="9" t="s">
        <v>109</v>
      </c>
      <c r="E3418" s="9" t="s">
        <v>111</v>
      </c>
      <c r="F3418" s="9" t="s">
        <v>111</v>
      </c>
      <c r="I3418" s="9" t="s">
        <v>116</v>
      </c>
      <c r="J3418" s="9" t="s">
        <v>116</v>
      </c>
      <c r="K3418" s="9" t="s">
        <v>14</v>
      </c>
      <c r="L3418" s="9" t="s">
        <v>209</v>
      </c>
      <c r="M3418" s="14" t="s">
        <v>84</v>
      </c>
      <c r="O3418" t="s">
        <v>214</v>
      </c>
      <c r="P3418" t="s">
        <v>2421</v>
      </c>
      <c r="S3418">
        <v>283</v>
      </c>
      <c r="U3418" s="14" t="s">
        <v>77</v>
      </c>
      <c r="V3418" t="s">
        <v>1720</v>
      </c>
      <c r="X3418" s="43">
        <v>1.9</v>
      </c>
      <c r="AA3418" s="43"/>
      <c r="AB3418" s="43">
        <v>0.4</v>
      </c>
      <c r="AC3418" s="43">
        <v>0.13500000000000001</v>
      </c>
      <c r="AJ3418" s="13">
        <f t="shared" ref="AJ3418:AJ3421" si="307">SUBTOTAL(9,X3418:AI3418)</f>
        <v>2.4349999999999996</v>
      </c>
      <c r="AK3418">
        <v>0</v>
      </c>
    </row>
    <row r="3419" spans="1:37" ht="19">
      <c r="A3419" s="39" t="s">
        <v>17</v>
      </c>
      <c r="B3419" s="8">
        <v>2024</v>
      </c>
      <c r="C3419" s="8" t="s">
        <v>109</v>
      </c>
      <c r="D3419" s="9" t="s">
        <v>109</v>
      </c>
      <c r="E3419" s="9" t="s">
        <v>111</v>
      </c>
      <c r="F3419" s="9" t="s">
        <v>111</v>
      </c>
      <c r="I3419" s="9" t="s">
        <v>116</v>
      </c>
      <c r="J3419" s="9" t="s">
        <v>116</v>
      </c>
      <c r="K3419" s="9" t="s">
        <v>14</v>
      </c>
      <c r="L3419" s="9" t="s">
        <v>209</v>
      </c>
      <c r="M3419" s="14" t="s">
        <v>84</v>
      </c>
      <c r="O3419" t="s">
        <v>214</v>
      </c>
      <c r="P3419" t="s">
        <v>2422</v>
      </c>
      <c r="S3419">
        <v>224</v>
      </c>
      <c r="U3419" s="14" t="s">
        <v>77</v>
      </c>
      <c r="V3419" t="s">
        <v>1720</v>
      </c>
      <c r="X3419" s="43">
        <v>1.5</v>
      </c>
      <c r="AA3419" s="43"/>
      <c r="AB3419" s="43">
        <v>0.35</v>
      </c>
      <c r="AC3419" s="43">
        <v>0.108</v>
      </c>
      <c r="AJ3419" s="13">
        <f t="shared" si="307"/>
        <v>1.9580000000000002</v>
      </c>
      <c r="AK3419">
        <v>0</v>
      </c>
    </row>
    <row r="3420" spans="1:37" ht="19">
      <c r="A3420" s="39" t="s">
        <v>17</v>
      </c>
      <c r="B3420" s="8">
        <v>2024</v>
      </c>
      <c r="C3420" s="8" t="s">
        <v>109</v>
      </c>
      <c r="D3420" s="9" t="s">
        <v>109</v>
      </c>
      <c r="E3420" s="9" t="s">
        <v>111</v>
      </c>
      <c r="F3420" s="9" t="s">
        <v>111</v>
      </c>
      <c r="I3420" s="9" t="s">
        <v>116</v>
      </c>
      <c r="J3420" s="9" t="s">
        <v>116</v>
      </c>
      <c r="K3420" s="9" t="s">
        <v>14</v>
      </c>
      <c r="L3420" s="9" t="s">
        <v>209</v>
      </c>
      <c r="M3420" s="14" t="s">
        <v>84</v>
      </c>
      <c r="O3420" t="s">
        <v>214</v>
      </c>
      <c r="P3420" t="s">
        <v>2423</v>
      </c>
      <c r="S3420">
        <v>293</v>
      </c>
      <c r="U3420" s="14" t="s">
        <v>77</v>
      </c>
      <c r="V3420" t="s">
        <v>1720</v>
      </c>
      <c r="X3420" s="43">
        <v>1.95</v>
      </c>
      <c r="AA3420" s="43"/>
      <c r="AB3420" s="43">
        <v>0.45</v>
      </c>
      <c r="AC3420" s="43">
        <v>0.13950000000000001</v>
      </c>
      <c r="AJ3420" s="13">
        <f t="shared" si="307"/>
        <v>2.5394999999999999</v>
      </c>
      <c r="AK3420">
        <v>0</v>
      </c>
    </row>
    <row r="3421" spans="1:37" ht="19">
      <c r="A3421" s="39" t="s">
        <v>17</v>
      </c>
      <c r="B3421" s="8">
        <v>2024</v>
      </c>
      <c r="C3421" s="8" t="s">
        <v>109</v>
      </c>
      <c r="D3421" s="9" t="s">
        <v>109</v>
      </c>
      <c r="E3421" s="9" t="s">
        <v>111</v>
      </c>
      <c r="F3421" s="9" t="s">
        <v>111</v>
      </c>
      <c r="I3421" s="9" t="s">
        <v>116</v>
      </c>
      <c r="J3421" s="9" t="s">
        <v>116</v>
      </c>
      <c r="K3421" s="9" t="s">
        <v>14</v>
      </c>
      <c r="L3421" s="9" t="s">
        <v>209</v>
      </c>
      <c r="M3421" s="14" t="s">
        <v>84</v>
      </c>
      <c r="O3421" t="s">
        <v>214</v>
      </c>
      <c r="P3421" t="s">
        <v>2424</v>
      </c>
      <c r="S3421">
        <v>171</v>
      </c>
      <c r="U3421" s="14" t="s">
        <v>77</v>
      </c>
      <c r="V3421" t="s">
        <v>1720</v>
      </c>
      <c r="X3421" s="43">
        <v>1.1000000000000001</v>
      </c>
      <c r="AA3421" s="43"/>
      <c r="AB3421" s="43">
        <v>0.25</v>
      </c>
      <c r="AC3421" s="43">
        <v>8.1000000000000003E-2</v>
      </c>
      <c r="AJ3421" s="13">
        <f t="shared" si="307"/>
        <v>1.431</v>
      </c>
      <c r="AK3421">
        <v>0</v>
      </c>
    </row>
    <row r="3422" spans="1:37" ht="19">
      <c r="A3422" s="39" t="s">
        <v>17</v>
      </c>
      <c r="B3422" s="8">
        <v>2024</v>
      </c>
      <c r="C3422" s="8" t="s">
        <v>109</v>
      </c>
      <c r="D3422" s="9" t="s">
        <v>109</v>
      </c>
      <c r="E3422" s="9" t="s">
        <v>111</v>
      </c>
      <c r="F3422" s="9" t="s">
        <v>111</v>
      </c>
      <c r="I3422" s="9" t="s">
        <v>116</v>
      </c>
      <c r="J3422" s="9" t="s">
        <v>116</v>
      </c>
      <c r="K3422" s="9" t="s">
        <v>14</v>
      </c>
      <c r="L3422" s="9" t="s">
        <v>209</v>
      </c>
      <c r="M3422" s="14" t="s">
        <v>84</v>
      </c>
      <c r="O3422" t="s">
        <v>1159</v>
      </c>
      <c r="P3422" t="s">
        <v>2425</v>
      </c>
      <c r="S3422">
        <v>191</v>
      </c>
      <c r="U3422" t="s">
        <v>112</v>
      </c>
      <c r="V3422" t="s">
        <v>1484</v>
      </c>
      <c r="X3422" s="43">
        <v>0.95</v>
      </c>
      <c r="AA3422" s="43"/>
      <c r="AB3422" s="43">
        <v>0.1</v>
      </c>
      <c r="AC3422" s="43">
        <v>6.7500000000000004E-2</v>
      </c>
      <c r="AK3422">
        <v>4218808</v>
      </c>
    </row>
    <row r="3423" spans="1:37" ht="19">
      <c r="A3423" s="39" t="s">
        <v>17</v>
      </c>
      <c r="B3423" s="8">
        <v>2024</v>
      </c>
      <c r="C3423" s="8" t="s">
        <v>109</v>
      </c>
      <c r="D3423" s="9" t="s">
        <v>109</v>
      </c>
      <c r="E3423" s="9" t="s">
        <v>111</v>
      </c>
      <c r="F3423" s="9" t="s">
        <v>111</v>
      </c>
      <c r="I3423" s="9" t="s">
        <v>116</v>
      </c>
      <c r="J3423" s="9" t="s">
        <v>116</v>
      </c>
      <c r="K3423" s="9" t="s">
        <v>14</v>
      </c>
      <c r="L3423" s="9" t="s">
        <v>209</v>
      </c>
      <c r="M3423" s="14" t="s">
        <v>84</v>
      </c>
      <c r="O3423" t="s">
        <v>214</v>
      </c>
      <c r="P3423" t="s">
        <v>829</v>
      </c>
      <c r="S3423">
        <v>284</v>
      </c>
      <c r="U3423" s="14" t="s">
        <v>77</v>
      </c>
      <c r="V3423" t="s">
        <v>1720</v>
      </c>
      <c r="X3423" s="43">
        <v>1.9</v>
      </c>
      <c r="AA3423" s="43"/>
      <c r="AB3423" s="43">
        <v>0.4</v>
      </c>
      <c r="AC3423" s="43">
        <v>0.13500000000000001</v>
      </c>
      <c r="AJ3423" s="13">
        <f t="shared" ref="AJ3423:AJ3433" si="308">SUBTOTAL(9,X3423:AI3423)</f>
        <v>2.4349999999999996</v>
      </c>
      <c r="AK3423">
        <v>0</v>
      </c>
    </row>
    <row r="3424" spans="1:37" ht="19">
      <c r="A3424" s="39" t="s">
        <v>17</v>
      </c>
      <c r="B3424" s="8">
        <v>2024</v>
      </c>
      <c r="C3424" s="8" t="s">
        <v>109</v>
      </c>
      <c r="D3424" s="9" t="s">
        <v>109</v>
      </c>
      <c r="E3424" s="9" t="s">
        <v>111</v>
      </c>
      <c r="F3424" s="9" t="s">
        <v>111</v>
      </c>
      <c r="I3424" s="9" t="s">
        <v>116</v>
      </c>
      <c r="J3424" s="9" t="s">
        <v>116</v>
      </c>
      <c r="K3424" s="9" t="s">
        <v>14</v>
      </c>
      <c r="L3424" s="9" t="s">
        <v>209</v>
      </c>
      <c r="M3424" s="14" t="s">
        <v>84</v>
      </c>
      <c r="O3424" t="s">
        <v>214</v>
      </c>
      <c r="P3424" t="s">
        <v>672</v>
      </c>
      <c r="S3424">
        <v>587</v>
      </c>
      <c r="U3424" s="14" t="s">
        <v>77</v>
      </c>
      <c r="V3424" t="s">
        <v>1720</v>
      </c>
      <c r="X3424" s="43">
        <v>3.9</v>
      </c>
      <c r="AA3424" s="43"/>
      <c r="AB3424" s="43">
        <v>0.85</v>
      </c>
      <c r="AC3424" s="43">
        <v>0.27900000000000003</v>
      </c>
      <c r="AJ3424" s="13">
        <f t="shared" si="308"/>
        <v>5.0289999999999999</v>
      </c>
      <c r="AK3424">
        <v>0</v>
      </c>
    </row>
    <row r="3425" spans="1:37" ht="19">
      <c r="A3425" s="39" t="s">
        <v>17</v>
      </c>
      <c r="B3425" s="8">
        <v>2024</v>
      </c>
      <c r="C3425" s="8" t="s">
        <v>109</v>
      </c>
      <c r="D3425" s="9" t="s">
        <v>109</v>
      </c>
      <c r="E3425" s="9" t="s">
        <v>111</v>
      </c>
      <c r="F3425" s="9" t="s">
        <v>111</v>
      </c>
      <c r="I3425" s="9" t="s">
        <v>116</v>
      </c>
      <c r="J3425" s="9" t="s">
        <v>116</v>
      </c>
      <c r="K3425" s="9" t="s">
        <v>14</v>
      </c>
      <c r="L3425" s="9" t="s">
        <v>209</v>
      </c>
      <c r="M3425" s="14" t="s">
        <v>84</v>
      </c>
      <c r="O3425" t="s">
        <v>214</v>
      </c>
      <c r="P3425" t="s">
        <v>1739</v>
      </c>
      <c r="S3425">
        <v>204</v>
      </c>
      <c r="U3425" s="14" t="s">
        <v>77</v>
      </c>
      <c r="V3425" t="s">
        <v>1720</v>
      </c>
      <c r="X3425" s="43">
        <v>1.05</v>
      </c>
      <c r="AA3425" s="43"/>
      <c r="AB3425" s="43">
        <v>0.25</v>
      </c>
      <c r="AC3425" s="43">
        <v>7.6499999999999999E-2</v>
      </c>
      <c r="AJ3425" s="13">
        <f t="shared" si="308"/>
        <v>1.3765000000000001</v>
      </c>
      <c r="AK3425">
        <v>0</v>
      </c>
    </row>
    <row r="3426" spans="1:37" ht="19">
      <c r="A3426" s="39" t="s">
        <v>17</v>
      </c>
      <c r="B3426" s="8">
        <v>2024</v>
      </c>
      <c r="C3426" s="8" t="s">
        <v>109</v>
      </c>
      <c r="D3426" s="9" t="s">
        <v>109</v>
      </c>
      <c r="E3426" s="9" t="s">
        <v>111</v>
      </c>
      <c r="F3426" s="9" t="s">
        <v>111</v>
      </c>
      <c r="I3426" s="9" t="s">
        <v>116</v>
      </c>
      <c r="J3426" s="9" t="s">
        <v>116</v>
      </c>
      <c r="K3426" s="9" t="s">
        <v>14</v>
      </c>
      <c r="L3426" s="9" t="s">
        <v>209</v>
      </c>
      <c r="M3426" s="14" t="s">
        <v>84</v>
      </c>
      <c r="O3426" t="s">
        <v>214</v>
      </c>
      <c r="P3426" t="s">
        <v>2426</v>
      </c>
      <c r="S3426">
        <v>316</v>
      </c>
      <c r="U3426" s="14" t="s">
        <v>77</v>
      </c>
      <c r="V3426" t="s">
        <v>1720</v>
      </c>
      <c r="X3426" s="43">
        <v>1.95</v>
      </c>
      <c r="AA3426" s="43"/>
      <c r="AB3426" s="43">
        <v>0.45</v>
      </c>
      <c r="AC3426" s="43">
        <v>0.13950000000000001</v>
      </c>
      <c r="AJ3426" s="13">
        <f t="shared" si="308"/>
        <v>2.5394999999999999</v>
      </c>
      <c r="AK3426">
        <v>0</v>
      </c>
    </row>
    <row r="3427" spans="1:37" ht="19">
      <c r="A3427" s="39" t="s">
        <v>17</v>
      </c>
      <c r="B3427" s="8">
        <v>2024</v>
      </c>
      <c r="C3427" s="8" t="s">
        <v>109</v>
      </c>
      <c r="D3427" s="9" t="s">
        <v>109</v>
      </c>
      <c r="E3427" s="9" t="s">
        <v>111</v>
      </c>
      <c r="F3427" s="9" t="s">
        <v>111</v>
      </c>
      <c r="I3427" s="9" t="s">
        <v>116</v>
      </c>
      <c r="J3427" s="9" t="s">
        <v>116</v>
      </c>
      <c r="K3427" s="9" t="s">
        <v>14</v>
      </c>
      <c r="L3427" s="9" t="s">
        <v>209</v>
      </c>
      <c r="M3427" s="14" t="s">
        <v>84</v>
      </c>
      <c r="O3427" t="s">
        <v>214</v>
      </c>
      <c r="P3427" t="s">
        <v>2427</v>
      </c>
      <c r="S3427">
        <v>219</v>
      </c>
      <c r="U3427" s="14" t="s">
        <v>77</v>
      </c>
      <c r="V3427" t="s">
        <v>1720</v>
      </c>
      <c r="X3427" s="43">
        <v>1.4</v>
      </c>
      <c r="AA3427" s="43"/>
      <c r="AB3427" s="43">
        <v>0.3</v>
      </c>
      <c r="AC3427" s="43">
        <v>9.9000000000000005E-2</v>
      </c>
      <c r="AJ3427" s="13">
        <f t="shared" si="308"/>
        <v>1.7989999999999999</v>
      </c>
      <c r="AK3427">
        <v>0</v>
      </c>
    </row>
    <row r="3428" spans="1:37" ht="19">
      <c r="A3428" s="39" t="s">
        <v>17</v>
      </c>
      <c r="B3428" s="8">
        <v>2024</v>
      </c>
      <c r="C3428" s="8" t="s">
        <v>109</v>
      </c>
      <c r="D3428" s="9" t="s">
        <v>109</v>
      </c>
      <c r="E3428" s="9" t="s">
        <v>111</v>
      </c>
      <c r="F3428" s="9" t="s">
        <v>111</v>
      </c>
      <c r="I3428" s="9" t="s">
        <v>116</v>
      </c>
      <c r="J3428" s="9" t="s">
        <v>116</v>
      </c>
      <c r="K3428" s="9" t="s">
        <v>14</v>
      </c>
      <c r="L3428" s="9" t="s">
        <v>209</v>
      </c>
      <c r="M3428" s="14" t="s">
        <v>84</v>
      </c>
      <c r="O3428" t="s">
        <v>214</v>
      </c>
      <c r="P3428" t="s">
        <v>675</v>
      </c>
      <c r="S3428">
        <v>259</v>
      </c>
      <c r="U3428" s="14" t="s">
        <v>77</v>
      </c>
      <c r="V3428" t="s">
        <v>1720</v>
      </c>
      <c r="X3428" s="43">
        <v>1.7</v>
      </c>
      <c r="AA3428" s="43"/>
      <c r="AB3428" s="43">
        <v>0.4</v>
      </c>
      <c r="AC3428" s="43">
        <v>0.1215</v>
      </c>
      <c r="AJ3428" s="13">
        <f t="shared" si="308"/>
        <v>2.2215000000000003</v>
      </c>
      <c r="AK3428">
        <v>0</v>
      </c>
    </row>
    <row r="3429" spans="1:37" ht="19">
      <c r="A3429" s="39" t="s">
        <v>17</v>
      </c>
      <c r="B3429" s="8">
        <v>2024</v>
      </c>
      <c r="C3429" s="8" t="s">
        <v>109</v>
      </c>
      <c r="D3429" s="9" t="s">
        <v>109</v>
      </c>
      <c r="E3429" s="9" t="s">
        <v>111</v>
      </c>
      <c r="F3429" s="9" t="s">
        <v>111</v>
      </c>
      <c r="I3429" s="9" t="s">
        <v>116</v>
      </c>
      <c r="J3429" s="9" t="s">
        <v>116</v>
      </c>
      <c r="K3429" s="9" t="s">
        <v>14</v>
      </c>
      <c r="L3429" s="9" t="s">
        <v>209</v>
      </c>
      <c r="M3429" s="14" t="s">
        <v>84</v>
      </c>
      <c r="O3429" t="s">
        <v>214</v>
      </c>
      <c r="P3429" t="s">
        <v>677</v>
      </c>
      <c r="S3429">
        <v>396</v>
      </c>
      <c r="U3429" s="14" t="s">
        <v>77</v>
      </c>
      <c r="V3429" t="s">
        <v>1720</v>
      </c>
      <c r="X3429" s="43">
        <v>2.75</v>
      </c>
      <c r="AA3429" s="43"/>
      <c r="AB3429" s="43">
        <v>0.6</v>
      </c>
      <c r="AC3429" s="43">
        <v>0.19800000000000001</v>
      </c>
      <c r="AJ3429" s="13">
        <f t="shared" si="308"/>
        <v>3.548</v>
      </c>
      <c r="AK3429">
        <v>0</v>
      </c>
    </row>
    <row r="3430" spans="1:37" ht="19">
      <c r="A3430" s="39" t="s">
        <v>17</v>
      </c>
      <c r="B3430" s="8">
        <v>2024</v>
      </c>
      <c r="C3430" s="8" t="s">
        <v>109</v>
      </c>
      <c r="D3430" s="9" t="s">
        <v>109</v>
      </c>
      <c r="E3430" s="9" t="s">
        <v>111</v>
      </c>
      <c r="F3430" s="9" t="s">
        <v>111</v>
      </c>
      <c r="I3430" s="9" t="s">
        <v>116</v>
      </c>
      <c r="J3430" s="9" t="s">
        <v>116</v>
      </c>
      <c r="K3430" s="9" t="s">
        <v>14</v>
      </c>
      <c r="L3430" s="9" t="s">
        <v>209</v>
      </c>
      <c r="M3430" s="14" t="s">
        <v>84</v>
      </c>
      <c r="O3430" t="s">
        <v>2428</v>
      </c>
      <c r="P3430" t="s">
        <v>2429</v>
      </c>
      <c r="S3430">
        <v>332</v>
      </c>
      <c r="U3430" s="14" t="s">
        <v>77</v>
      </c>
      <c r="V3430" t="s">
        <v>1720</v>
      </c>
      <c r="X3430" s="43">
        <v>2.2999999999999998</v>
      </c>
      <c r="AA3430" s="43"/>
      <c r="AB3430" s="43">
        <v>0.5</v>
      </c>
      <c r="AC3430" s="43">
        <v>0.16650000000000001</v>
      </c>
      <c r="AJ3430" s="13">
        <f t="shared" si="308"/>
        <v>2.9664999999999999</v>
      </c>
      <c r="AK3430">
        <v>0</v>
      </c>
    </row>
    <row r="3431" spans="1:37" ht="19">
      <c r="A3431" s="39" t="s">
        <v>17</v>
      </c>
      <c r="B3431" s="8">
        <v>2024</v>
      </c>
      <c r="C3431" s="8" t="s">
        <v>109</v>
      </c>
      <c r="D3431" s="9" t="s">
        <v>109</v>
      </c>
      <c r="E3431" s="9" t="s">
        <v>111</v>
      </c>
      <c r="F3431" s="9" t="s">
        <v>111</v>
      </c>
      <c r="I3431" s="9" t="s">
        <v>116</v>
      </c>
      <c r="J3431" s="9" t="s">
        <v>116</v>
      </c>
      <c r="K3431" s="9" t="s">
        <v>14</v>
      </c>
      <c r="L3431" s="9" t="s">
        <v>209</v>
      </c>
      <c r="M3431" s="14" t="s">
        <v>84</v>
      </c>
      <c r="O3431" t="s">
        <v>2428</v>
      </c>
      <c r="P3431" t="s">
        <v>2430</v>
      </c>
      <c r="S3431">
        <v>184</v>
      </c>
      <c r="U3431" s="14" t="s">
        <v>77</v>
      </c>
      <c r="V3431" t="s">
        <v>1720</v>
      </c>
      <c r="X3431" s="43">
        <v>1.2</v>
      </c>
      <c r="AA3431" s="43"/>
      <c r="AB3431" s="43">
        <v>0.3</v>
      </c>
      <c r="AC3431" s="43">
        <v>8.5500000000000007E-2</v>
      </c>
      <c r="AJ3431" s="13">
        <f t="shared" si="308"/>
        <v>1.5854999999999999</v>
      </c>
      <c r="AK3431">
        <v>0</v>
      </c>
    </row>
    <row r="3432" spans="1:37" ht="19">
      <c r="A3432" s="39" t="s">
        <v>17</v>
      </c>
      <c r="B3432" s="8">
        <v>2024</v>
      </c>
      <c r="C3432" s="8" t="s">
        <v>109</v>
      </c>
      <c r="D3432" s="9" t="s">
        <v>109</v>
      </c>
      <c r="E3432" s="9" t="s">
        <v>111</v>
      </c>
      <c r="F3432" s="9" t="s">
        <v>111</v>
      </c>
      <c r="I3432" s="9" t="s">
        <v>116</v>
      </c>
      <c r="J3432" s="9" t="s">
        <v>116</v>
      </c>
      <c r="K3432" s="9" t="s">
        <v>14</v>
      </c>
      <c r="L3432" s="9" t="s">
        <v>209</v>
      </c>
      <c r="M3432" s="14" t="s">
        <v>84</v>
      </c>
      <c r="O3432" t="s">
        <v>2428</v>
      </c>
      <c r="P3432" t="s">
        <v>695</v>
      </c>
      <c r="S3432">
        <v>216</v>
      </c>
      <c r="U3432" s="14" t="s">
        <v>77</v>
      </c>
      <c r="V3432" t="s">
        <v>1720</v>
      </c>
      <c r="X3432" s="43">
        <v>1.4</v>
      </c>
      <c r="AA3432" s="43"/>
      <c r="AB3432" s="43">
        <v>0.35</v>
      </c>
      <c r="AC3432" s="43">
        <v>9.9000000000000005E-2</v>
      </c>
      <c r="AJ3432" s="13">
        <f t="shared" si="308"/>
        <v>1.849</v>
      </c>
      <c r="AK3432">
        <v>0</v>
      </c>
    </row>
    <row r="3433" spans="1:37" ht="19">
      <c r="A3433" s="39" t="s">
        <v>17</v>
      </c>
      <c r="B3433" s="8">
        <v>2024</v>
      </c>
      <c r="C3433" s="8" t="s">
        <v>109</v>
      </c>
      <c r="D3433" s="9" t="s">
        <v>109</v>
      </c>
      <c r="E3433" s="9" t="s">
        <v>111</v>
      </c>
      <c r="F3433" s="9" t="s">
        <v>111</v>
      </c>
      <c r="I3433" s="9" t="s">
        <v>116</v>
      </c>
      <c r="J3433" s="9" t="s">
        <v>116</v>
      </c>
      <c r="K3433" s="9" t="s">
        <v>14</v>
      </c>
      <c r="L3433" s="9" t="s">
        <v>209</v>
      </c>
      <c r="M3433" s="14" t="s">
        <v>84</v>
      </c>
      <c r="O3433" t="s">
        <v>2428</v>
      </c>
      <c r="P3433" t="s">
        <v>840</v>
      </c>
      <c r="S3433">
        <v>177</v>
      </c>
      <c r="U3433" s="14" t="s">
        <v>77</v>
      </c>
      <c r="V3433" t="s">
        <v>1720</v>
      </c>
      <c r="X3433" s="43">
        <v>1.1499999999999999</v>
      </c>
      <c r="AA3433" s="43"/>
      <c r="AB3433" s="43">
        <v>0.25</v>
      </c>
      <c r="AC3433" s="43">
        <v>8.1000000000000003E-2</v>
      </c>
      <c r="AJ3433" s="13">
        <f t="shared" si="308"/>
        <v>1.4809999999999999</v>
      </c>
      <c r="AK3433">
        <v>0</v>
      </c>
    </row>
    <row r="3434" spans="1:37" ht="19">
      <c r="A3434" s="39" t="s">
        <v>17</v>
      </c>
      <c r="B3434" s="8">
        <v>2024</v>
      </c>
      <c r="C3434" s="8" t="s">
        <v>109</v>
      </c>
      <c r="D3434" s="9" t="s">
        <v>109</v>
      </c>
      <c r="E3434" s="9" t="s">
        <v>111</v>
      </c>
      <c r="F3434" s="9" t="s">
        <v>111</v>
      </c>
      <c r="I3434" s="9" t="s">
        <v>116</v>
      </c>
      <c r="J3434" s="9" t="s">
        <v>116</v>
      </c>
      <c r="K3434" s="9" t="s">
        <v>14</v>
      </c>
      <c r="L3434" s="9" t="s">
        <v>209</v>
      </c>
      <c r="M3434" s="14" t="s">
        <v>84</v>
      </c>
      <c r="O3434" t="s">
        <v>692</v>
      </c>
      <c r="P3434" t="s">
        <v>2431</v>
      </c>
      <c r="S3434">
        <v>439</v>
      </c>
      <c r="U3434" t="s">
        <v>112</v>
      </c>
      <c r="V3434" t="s">
        <v>1484</v>
      </c>
      <c r="X3434" s="43">
        <v>3</v>
      </c>
      <c r="AA3434" s="43"/>
      <c r="AB3434" s="43">
        <v>0.15</v>
      </c>
      <c r="AC3434" s="43">
        <v>0.21149999999999999</v>
      </c>
      <c r="AK3434">
        <v>9696632</v>
      </c>
    </row>
    <row r="3435" spans="1:37" ht="19">
      <c r="A3435" s="39" t="s">
        <v>17</v>
      </c>
      <c r="B3435" s="8">
        <v>2024</v>
      </c>
      <c r="C3435" s="8" t="s">
        <v>109</v>
      </c>
      <c r="D3435" s="9" t="s">
        <v>109</v>
      </c>
      <c r="E3435" s="9" t="s">
        <v>111</v>
      </c>
      <c r="F3435" s="9" t="s">
        <v>111</v>
      </c>
      <c r="I3435" s="9" t="s">
        <v>116</v>
      </c>
      <c r="J3435" s="9" t="s">
        <v>116</v>
      </c>
      <c r="K3435" s="9" t="s">
        <v>14</v>
      </c>
      <c r="L3435" s="9" t="s">
        <v>209</v>
      </c>
      <c r="M3435" s="14" t="s">
        <v>84</v>
      </c>
      <c r="O3435" t="s">
        <v>2428</v>
      </c>
      <c r="P3435" t="s">
        <v>2432</v>
      </c>
      <c r="S3435">
        <v>223</v>
      </c>
      <c r="U3435" s="14" t="s">
        <v>77</v>
      </c>
      <c r="V3435" t="s">
        <v>1720</v>
      </c>
      <c r="X3435" s="43">
        <v>1.45</v>
      </c>
      <c r="AA3435" s="43"/>
      <c r="AB3435" s="43">
        <v>0.35</v>
      </c>
      <c r="AC3435" s="43">
        <v>0.10349999999999999</v>
      </c>
      <c r="AJ3435" s="13">
        <f t="shared" ref="AJ3435:AJ3453" si="309">SUBTOTAL(9,X3435:AI3435)</f>
        <v>1.9034999999999997</v>
      </c>
      <c r="AK3435">
        <v>0</v>
      </c>
    </row>
    <row r="3436" spans="1:37" ht="19">
      <c r="A3436" s="39" t="s">
        <v>17</v>
      </c>
      <c r="B3436" s="8">
        <v>2024</v>
      </c>
      <c r="C3436" s="8" t="s">
        <v>109</v>
      </c>
      <c r="D3436" s="9" t="s">
        <v>109</v>
      </c>
      <c r="E3436" s="9" t="s">
        <v>111</v>
      </c>
      <c r="F3436" s="9" t="s">
        <v>111</v>
      </c>
      <c r="I3436" s="9" t="s">
        <v>116</v>
      </c>
      <c r="J3436" s="9" t="s">
        <v>116</v>
      </c>
      <c r="K3436" s="9" t="s">
        <v>14</v>
      </c>
      <c r="L3436" s="9" t="s">
        <v>209</v>
      </c>
      <c r="M3436" s="14" t="s">
        <v>84</v>
      </c>
      <c r="O3436" t="s">
        <v>241</v>
      </c>
      <c r="P3436" t="s">
        <v>2433</v>
      </c>
      <c r="S3436">
        <v>188</v>
      </c>
      <c r="U3436" s="14" t="s">
        <v>77</v>
      </c>
      <c r="V3436" t="s">
        <v>1720</v>
      </c>
      <c r="X3436" s="43">
        <v>1.25</v>
      </c>
      <c r="AA3436" s="43"/>
      <c r="AB3436" s="43">
        <v>0.3</v>
      </c>
      <c r="AC3436" s="43">
        <v>0.09</v>
      </c>
      <c r="AJ3436" s="13">
        <f t="shared" si="309"/>
        <v>1.6400000000000001</v>
      </c>
      <c r="AK3436">
        <v>0</v>
      </c>
    </row>
    <row r="3437" spans="1:37" ht="19">
      <c r="A3437" s="39" t="s">
        <v>17</v>
      </c>
      <c r="B3437" s="8">
        <v>2024</v>
      </c>
      <c r="C3437" s="8" t="s">
        <v>109</v>
      </c>
      <c r="D3437" s="9" t="s">
        <v>109</v>
      </c>
      <c r="E3437" s="9" t="s">
        <v>111</v>
      </c>
      <c r="F3437" s="9" t="s">
        <v>111</v>
      </c>
      <c r="I3437" s="9" t="s">
        <v>116</v>
      </c>
      <c r="J3437" s="9" t="s">
        <v>116</v>
      </c>
      <c r="K3437" s="9" t="s">
        <v>14</v>
      </c>
      <c r="L3437" s="9" t="s">
        <v>209</v>
      </c>
      <c r="M3437" s="14" t="s">
        <v>84</v>
      </c>
      <c r="O3437" t="s">
        <v>241</v>
      </c>
      <c r="P3437" t="s">
        <v>2434</v>
      </c>
      <c r="S3437">
        <v>161</v>
      </c>
      <c r="U3437" s="14" t="s">
        <v>77</v>
      </c>
      <c r="V3437" t="s">
        <v>1720</v>
      </c>
      <c r="X3437" s="43">
        <v>1.05</v>
      </c>
      <c r="AA3437" s="43"/>
      <c r="AB3437" s="43">
        <v>0.25</v>
      </c>
      <c r="AC3437" s="43">
        <v>7.1999999999999995E-2</v>
      </c>
      <c r="AJ3437" s="13">
        <f t="shared" si="309"/>
        <v>1.3720000000000001</v>
      </c>
      <c r="AK3437">
        <v>0</v>
      </c>
    </row>
    <row r="3438" spans="1:37" ht="19">
      <c r="A3438" s="39" t="s">
        <v>17</v>
      </c>
      <c r="B3438" s="8">
        <v>2024</v>
      </c>
      <c r="C3438" s="8" t="s">
        <v>109</v>
      </c>
      <c r="D3438" s="9" t="s">
        <v>109</v>
      </c>
      <c r="E3438" s="9" t="s">
        <v>111</v>
      </c>
      <c r="F3438" s="9" t="s">
        <v>111</v>
      </c>
      <c r="I3438" s="9" t="s">
        <v>116</v>
      </c>
      <c r="J3438" s="9" t="s">
        <v>116</v>
      </c>
      <c r="K3438" s="9" t="s">
        <v>14</v>
      </c>
      <c r="L3438" s="9" t="s">
        <v>209</v>
      </c>
      <c r="M3438" s="14" t="s">
        <v>84</v>
      </c>
      <c r="O3438" t="s">
        <v>241</v>
      </c>
      <c r="P3438" t="s">
        <v>721</v>
      </c>
      <c r="S3438">
        <v>148</v>
      </c>
      <c r="U3438" s="14" t="s">
        <v>77</v>
      </c>
      <c r="V3438" t="s">
        <v>1720</v>
      </c>
      <c r="X3438" s="43">
        <v>0.95</v>
      </c>
      <c r="AA3438" s="43"/>
      <c r="AB3438" s="43">
        <v>0.2</v>
      </c>
      <c r="AC3438" s="43">
        <v>6.7500000000000004E-2</v>
      </c>
      <c r="AJ3438" s="13">
        <f t="shared" si="309"/>
        <v>1.2174999999999998</v>
      </c>
      <c r="AK3438">
        <v>0</v>
      </c>
    </row>
    <row r="3439" spans="1:37" ht="19">
      <c r="A3439" s="39" t="s">
        <v>17</v>
      </c>
      <c r="B3439" s="8">
        <v>2024</v>
      </c>
      <c r="C3439" s="8" t="s">
        <v>109</v>
      </c>
      <c r="D3439" s="9" t="s">
        <v>109</v>
      </c>
      <c r="E3439" s="9" t="s">
        <v>111</v>
      </c>
      <c r="F3439" s="9" t="s">
        <v>111</v>
      </c>
      <c r="I3439" s="9" t="s">
        <v>116</v>
      </c>
      <c r="J3439" s="9" t="s">
        <v>116</v>
      </c>
      <c r="K3439" s="9" t="s">
        <v>14</v>
      </c>
      <c r="L3439" s="9" t="s">
        <v>209</v>
      </c>
      <c r="M3439" s="14" t="s">
        <v>84</v>
      </c>
      <c r="O3439" t="s">
        <v>241</v>
      </c>
      <c r="P3439" t="s">
        <v>2435</v>
      </c>
      <c r="S3439">
        <v>235</v>
      </c>
      <c r="U3439" s="14" t="s">
        <v>77</v>
      </c>
      <c r="V3439" t="s">
        <v>1720</v>
      </c>
      <c r="X3439" s="43">
        <v>1.55</v>
      </c>
      <c r="AA3439" s="43"/>
      <c r="AB3439" s="43">
        <v>0.35</v>
      </c>
      <c r="AC3439" s="43">
        <v>0.1125</v>
      </c>
      <c r="AJ3439" s="13">
        <f t="shared" si="309"/>
        <v>2.0124999999999997</v>
      </c>
      <c r="AK3439">
        <v>0</v>
      </c>
    </row>
    <row r="3440" spans="1:37" ht="19">
      <c r="A3440" s="39" t="s">
        <v>17</v>
      </c>
      <c r="B3440" s="8">
        <v>2024</v>
      </c>
      <c r="C3440" s="8" t="s">
        <v>109</v>
      </c>
      <c r="D3440" s="9" t="s">
        <v>109</v>
      </c>
      <c r="E3440" s="9" t="s">
        <v>111</v>
      </c>
      <c r="F3440" s="9" t="s">
        <v>111</v>
      </c>
      <c r="I3440" s="9" t="s">
        <v>116</v>
      </c>
      <c r="J3440" s="9" t="s">
        <v>116</v>
      </c>
      <c r="K3440" s="9" t="s">
        <v>14</v>
      </c>
      <c r="L3440" s="9" t="s">
        <v>209</v>
      </c>
      <c r="M3440" s="14" t="s">
        <v>84</v>
      </c>
      <c r="O3440" t="s">
        <v>241</v>
      </c>
      <c r="P3440" t="s">
        <v>403</v>
      </c>
      <c r="S3440">
        <v>170</v>
      </c>
      <c r="U3440" s="14" t="s">
        <v>77</v>
      </c>
      <c r="V3440" t="s">
        <v>1720</v>
      </c>
      <c r="X3440" s="43">
        <v>1.1000000000000001</v>
      </c>
      <c r="AA3440" s="43"/>
      <c r="AB3440" s="43">
        <v>0.25</v>
      </c>
      <c r="AC3440" s="43">
        <v>8.1000000000000003E-2</v>
      </c>
      <c r="AJ3440" s="13">
        <f t="shared" si="309"/>
        <v>1.431</v>
      </c>
      <c r="AK3440">
        <v>0</v>
      </c>
    </row>
    <row r="3441" spans="1:37" ht="19">
      <c r="A3441" s="39" t="s">
        <v>17</v>
      </c>
      <c r="B3441" s="8">
        <v>2024</v>
      </c>
      <c r="C3441" s="8" t="s">
        <v>109</v>
      </c>
      <c r="D3441" s="9" t="s">
        <v>109</v>
      </c>
      <c r="E3441" s="9" t="s">
        <v>111</v>
      </c>
      <c r="F3441" s="9" t="s">
        <v>111</v>
      </c>
      <c r="I3441" s="9" t="s">
        <v>116</v>
      </c>
      <c r="J3441" s="9" t="s">
        <v>116</v>
      </c>
      <c r="K3441" s="9" t="s">
        <v>14</v>
      </c>
      <c r="L3441" s="9" t="s">
        <v>209</v>
      </c>
      <c r="M3441" s="14" t="s">
        <v>84</v>
      </c>
      <c r="O3441" t="s">
        <v>241</v>
      </c>
      <c r="P3441" t="s">
        <v>710</v>
      </c>
      <c r="S3441">
        <v>188</v>
      </c>
      <c r="U3441" s="14" t="s">
        <v>77</v>
      </c>
      <c r="V3441" t="s">
        <v>1720</v>
      </c>
      <c r="X3441" s="43">
        <v>1.25</v>
      </c>
      <c r="AA3441" s="43"/>
      <c r="AB3441" s="43">
        <v>0.3</v>
      </c>
      <c r="AC3441" s="43">
        <v>0.09</v>
      </c>
      <c r="AJ3441" s="13">
        <f t="shared" si="309"/>
        <v>1.6400000000000001</v>
      </c>
      <c r="AK3441">
        <v>0</v>
      </c>
    </row>
    <row r="3442" spans="1:37" ht="19">
      <c r="A3442" s="39" t="s">
        <v>17</v>
      </c>
      <c r="B3442" s="8">
        <v>2024</v>
      </c>
      <c r="C3442" s="8" t="s">
        <v>109</v>
      </c>
      <c r="D3442" s="9" t="s">
        <v>109</v>
      </c>
      <c r="E3442" s="9" t="s">
        <v>111</v>
      </c>
      <c r="F3442" s="9" t="s">
        <v>111</v>
      </c>
      <c r="I3442" s="9" t="s">
        <v>116</v>
      </c>
      <c r="J3442" s="9" t="s">
        <v>116</v>
      </c>
      <c r="K3442" s="9" t="s">
        <v>14</v>
      </c>
      <c r="L3442" s="9" t="s">
        <v>209</v>
      </c>
      <c r="M3442" s="14" t="s">
        <v>84</v>
      </c>
      <c r="O3442" t="s">
        <v>241</v>
      </c>
      <c r="P3442" t="s">
        <v>687</v>
      </c>
      <c r="S3442">
        <v>174</v>
      </c>
      <c r="U3442" s="14" t="s">
        <v>77</v>
      </c>
      <c r="V3442" t="s">
        <v>1720</v>
      </c>
      <c r="X3442" s="43">
        <v>1.1499999999999999</v>
      </c>
      <c r="AA3442" s="43"/>
      <c r="AB3442" s="43">
        <v>0.25</v>
      </c>
      <c r="AC3442" s="43">
        <v>8.1000000000000003E-2</v>
      </c>
      <c r="AJ3442" s="13">
        <f t="shared" si="309"/>
        <v>1.4809999999999999</v>
      </c>
      <c r="AK3442">
        <v>0</v>
      </c>
    </row>
    <row r="3443" spans="1:37" ht="19">
      <c r="A3443" s="39" t="s">
        <v>17</v>
      </c>
      <c r="B3443" s="8">
        <v>2024</v>
      </c>
      <c r="C3443" s="8" t="s">
        <v>109</v>
      </c>
      <c r="D3443" s="9" t="s">
        <v>109</v>
      </c>
      <c r="E3443" s="9" t="s">
        <v>111</v>
      </c>
      <c r="F3443" s="9" t="s">
        <v>111</v>
      </c>
      <c r="I3443" s="9" t="s">
        <v>116</v>
      </c>
      <c r="J3443" s="9" t="s">
        <v>116</v>
      </c>
      <c r="K3443" s="9" t="s">
        <v>14</v>
      </c>
      <c r="L3443" s="9" t="s">
        <v>209</v>
      </c>
      <c r="M3443" s="14" t="s">
        <v>84</v>
      </c>
      <c r="O3443" t="s">
        <v>241</v>
      </c>
      <c r="P3443" t="s">
        <v>2436</v>
      </c>
      <c r="S3443">
        <v>194</v>
      </c>
      <c r="U3443" s="14" t="s">
        <v>77</v>
      </c>
      <c r="V3443" t="s">
        <v>1720</v>
      </c>
      <c r="X3443" s="43">
        <v>1.3</v>
      </c>
      <c r="AA3443" s="43"/>
      <c r="AB3443" s="43">
        <v>0.3</v>
      </c>
      <c r="AC3443" s="43">
        <v>0.09</v>
      </c>
      <c r="AJ3443" s="13">
        <f t="shared" si="309"/>
        <v>1.6900000000000002</v>
      </c>
      <c r="AK3443">
        <v>0</v>
      </c>
    </row>
    <row r="3444" spans="1:37" ht="19">
      <c r="A3444" s="39" t="s">
        <v>17</v>
      </c>
      <c r="B3444" s="8">
        <v>2024</v>
      </c>
      <c r="C3444" s="8" t="s">
        <v>109</v>
      </c>
      <c r="D3444" s="9" t="s">
        <v>109</v>
      </c>
      <c r="E3444" s="9" t="s">
        <v>111</v>
      </c>
      <c r="F3444" s="9" t="s">
        <v>111</v>
      </c>
      <c r="I3444" s="9" t="s">
        <v>116</v>
      </c>
      <c r="J3444" s="9" t="s">
        <v>116</v>
      </c>
      <c r="K3444" s="9" t="s">
        <v>14</v>
      </c>
      <c r="L3444" s="9" t="s">
        <v>209</v>
      </c>
      <c r="M3444" s="14" t="s">
        <v>84</v>
      </c>
      <c r="O3444" t="s">
        <v>2437</v>
      </c>
      <c r="P3444" t="s">
        <v>2438</v>
      </c>
      <c r="S3444">
        <v>262</v>
      </c>
      <c r="U3444" s="14" t="s">
        <v>77</v>
      </c>
      <c r="V3444" t="s">
        <v>1720</v>
      </c>
      <c r="X3444" s="43">
        <v>1.75</v>
      </c>
      <c r="AA3444" s="43"/>
      <c r="AB3444" s="43">
        <v>0.4</v>
      </c>
      <c r="AC3444" s="43">
        <v>0.126</v>
      </c>
      <c r="AJ3444" s="13">
        <f t="shared" si="309"/>
        <v>2.2759999999999998</v>
      </c>
      <c r="AK3444">
        <v>0</v>
      </c>
    </row>
    <row r="3445" spans="1:37" ht="19">
      <c r="A3445" s="39" t="s">
        <v>17</v>
      </c>
      <c r="B3445" s="8">
        <v>2024</v>
      </c>
      <c r="C3445" s="8" t="s">
        <v>109</v>
      </c>
      <c r="D3445" s="9" t="s">
        <v>109</v>
      </c>
      <c r="E3445" s="9" t="s">
        <v>111</v>
      </c>
      <c r="F3445" s="9" t="s">
        <v>111</v>
      </c>
      <c r="I3445" s="9" t="s">
        <v>116</v>
      </c>
      <c r="J3445" s="9" t="s">
        <v>116</v>
      </c>
      <c r="K3445" s="9" t="s">
        <v>14</v>
      </c>
      <c r="L3445" s="9" t="s">
        <v>209</v>
      </c>
      <c r="M3445" s="14" t="s">
        <v>84</v>
      </c>
      <c r="O3445" t="s">
        <v>2437</v>
      </c>
      <c r="P3445" t="s">
        <v>2439</v>
      </c>
      <c r="S3445">
        <v>279</v>
      </c>
      <c r="U3445" s="14" t="s">
        <v>77</v>
      </c>
      <c r="V3445" t="s">
        <v>1720</v>
      </c>
      <c r="X3445" s="43">
        <v>1.9</v>
      </c>
      <c r="AA3445" s="43"/>
      <c r="AB3445" s="43">
        <v>0.45</v>
      </c>
      <c r="AC3445" s="43">
        <v>0.13500000000000001</v>
      </c>
      <c r="AJ3445" s="13">
        <f t="shared" si="309"/>
        <v>2.4850000000000003</v>
      </c>
      <c r="AK3445">
        <v>0</v>
      </c>
    </row>
    <row r="3446" spans="1:37" ht="19">
      <c r="A3446" s="39" t="s">
        <v>17</v>
      </c>
      <c r="B3446" s="8">
        <v>2024</v>
      </c>
      <c r="C3446" s="8" t="s">
        <v>109</v>
      </c>
      <c r="D3446" s="9" t="s">
        <v>109</v>
      </c>
      <c r="E3446" s="9" t="s">
        <v>111</v>
      </c>
      <c r="F3446" s="9" t="s">
        <v>111</v>
      </c>
      <c r="I3446" s="9" t="s">
        <v>116</v>
      </c>
      <c r="J3446" s="9" t="s">
        <v>116</v>
      </c>
      <c r="K3446" s="9" t="s">
        <v>14</v>
      </c>
      <c r="L3446" s="9" t="s">
        <v>209</v>
      </c>
      <c r="M3446" s="14" t="s">
        <v>84</v>
      </c>
      <c r="O3446" t="s">
        <v>2437</v>
      </c>
      <c r="P3446" t="s">
        <v>764</v>
      </c>
      <c r="S3446">
        <v>414</v>
      </c>
      <c r="U3446" s="14" t="s">
        <v>77</v>
      </c>
      <c r="V3446" t="s">
        <v>1720</v>
      </c>
      <c r="X3446" s="43">
        <v>2.8</v>
      </c>
      <c r="AA3446" s="43"/>
      <c r="AB3446" s="43">
        <v>0.65</v>
      </c>
      <c r="AC3446" s="43">
        <v>0.19800000000000001</v>
      </c>
      <c r="AJ3446" s="13">
        <f t="shared" si="309"/>
        <v>3.6479999999999997</v>
      </c>
      <c r="AK3446">
        <v>0</v>
      </c>
    </row>
    <row r="3447" spans="1:37" ht="19">
      <c r="A3447" s="39" t="s">
        <v>17</v>
      </c>
      <c r="B3447" s="8">
        <v>2024</v>
      </c>
      <c r="C3447" s="8" t="s">
        <v>109</v>
      </c>
      <c r="D3447" s="9" t="s">
        <v>109</v>
      </c>
      <c r="E3447" s="9" t="s">
        <v>111</v>
      </c>
      <c r="F3447" s="9" t="s">
        <v>111</v>
      </c>
      <c r="I3447" s="9" t="s">
        <v>116</v>
      </c>
      <c r="J3447" s="9" t="s">
        <v>116</v>
      </c>
      <c r="K3447" s="9" t="s">
        <v>14</v>
      </c>
      <c r="L3447" s="9" t="s">
        <v>209</v>
      </c>
      <c r="M3447" s="14" t="s">
        <v>84</v>
      </c>
      <c r="O3447" t="s">
        <v>2437</v>
      </c>
      <c r="P3447" t="s">
        <v>2440</v>
      </c>
      <c r="S3447">
        <v>346</v>
      </c>
      <c r="U3447" s="14" t="s">
        <v>77</v>
      </c>
      <c r="V3447" t="s">
        <v>1720</v>
      </c>
      <c r="X3447" s="43">
        <v>2.4</v>
      </c>
      <c r="AA3447" s="43"/>
      <c r="AB3447" s="43">
        <v>0.55000000000000004</v>
      </c>
      <c r="AC3447" s="43">
        <v>0.17100000000000001</v>
      </c>
      <c r="AJ3447" s="13">
        <f t="shared" si="309"/>
        <v>3.121</v>
      </c>
      <c r="AK3447">
        <v>0</v>
      </c>
    </row>
    <row r="3448" spans="1:37" ht="19">
      <c r="A3448" s="39" t="s">
        <v>17</v>
      </c>
      <c r="B3448" s="8">
        <v>2024</v>
      </c>
      <c r="C3448" s="8" t="s">
        <v>109</v>
      </c>
      <c r="D3448" s="9" t="s">
        <v>109</v>
      </c>
      <c r="E3448" s="9" t="s">
        <v>111</v>
      </c>
      <c r="F3448" s="9" t="s">
        <v>111</v>
      </c>
      <c r="I3448" s="9" t="s">
        <v>116</v>
      </c>
      <c r="J3448" s="9" t="s">
        <v>116</v>
      </c>
      <c r="K3448" s="9" t="s">
        <v>14</v>
      </c>
      <c r="L3448" s="9" t="s">
        <v>209</v>
      </c>
      <c r="M3448" s="14" t="s">
        <v>84</v>
      </c>
      <c r="O3448" t="s">
        <v>2437</v>
      </c>
      <c r="P3448" t="s">
        <v>1925</v>
      </c>
      <c r="S3448">
        <v>288</v>
      </c>
      <c r="U3448" s="14" t="s">
        <v>77</v>
      </c>
      <c r="V3448" t="s">
        <v>1720</v>
      </c>
      <c r="X3448" s="43">
        <v>1.95</v>
      </c>
      <c r="AA3448" s="43"/>
      <c r="AB3448" s="43">
        <v>0.45</v>
      </c>
      <c r="AC3448" s="43">
        <v>0.13950000000000001</v>
      </c>
      <c r="AJ3448" s="13">
        <f t="shared" si="309"/>
        <v>2.5394999999999999</v>
      </c>
      <c r="AK3448">
        <v>0</v>
      </c>
    </row>
    <row r="3449" spans="1:37" ht="19">
      <c r="A3449" s="39" t="s">
        <v>17</v>
      </c>
      <c r="B3449" s="8">
        <v>2024</v>
      </c>
      <c r="C3449" s="8" t="s">
        <v>109</v>
      </c>
      <c r="D3449" s="9" t="s">
        <v>109</v>
      </c>
      <c r="E3449" s="9" t="s">
        <v>111</v>
      </c>
      <c r="F3449" s="9" t="s">
        <v>111</v>
      </c>
      <c r="I3449" s="9" t="s">
        <v>116</v>
      </c>
      <c r="J3449" s="9" t="s">
        <v>116</v>
      </c>
      <c r="K3449" s="9" t="s">
        <v>14</v>
      </c>
      <c r="L3449" s="9" t="s">
        <v>209</v>
      </c>
      <c r="M3449" s="14" t="s">
        <v>84</v>
      </c>
      <c r="O3449" t="s">
        <v>2437</v>
      </c>
      <c r="P3449" t="s">
        <v>1206</v>
      </c>
      <c r="S3449">
        <v>370</v>
      </c>
      <c r="U3449" s="14" t="s">
        <v>77</v>
      </c>
      <c r="V3449" t="s">
        <v>1720</v>
      </c>
      <c r="X3449" s="43">
        <v>2.4500000000000002</v>
      </c>
      <c r="AA3449" s="43"/>
      <c r="AB3449" s="43">
        <v>0.55000000000000004</v>
      </c>
      <c r="AC3449" s="43">
        <v>0.17549999999999999</v>
      </c>
      <c r="AJ3449" s="13">
        <f t="shared" si="309"/>
        <v>3.1755</v>
      </c>
      <c r="AK3449">
        <v>0</v>
      </c>
    </row>
    <row r="3450" spans="1:37" ht="19">
      <c r="A3450" s="39" t="s">
        <v>17</v>
      </c>
      <c r="B3450" s="8">
        <v>2024</v>
      </c>
      <c r="C3450" s="8" t="s">
        <v>109</v>
      </c>
      <c r="D3450" s="9" t="s">
        <v>109</v>
      </c>
      <c r="E3450" s="9" t="s">
        <v>111</v>
      </c>
      <c r="F3450" s="9" t="s">
        <v>111</v>
      </c>
      <c r="I3450" s="9" t="s">
        <v>116</v>
      </c>
      <c r="J3450" s="9" t="s">
        <v>116</v>
      </c>
      <c r="K3450" s="9" t="s">
        <v>14</v>
      </c>
      <c r="L3450" s="9" t="s">
        <v>209</v>
      </c>
      <c r="M3450" s="14" t="s">
        <v>84</v>
      </c>
      <c r="O3450" t="s">
        <v>2437</v>
      </c>
      <c r="P3450" t="s">
        <v>761</v>
      </c>
      <c r="S3450">
        <v>298</v>
      </c>
      <c r="U3450" s="14" t="s">
        <v>77</v>
      </c>
      <c r="V3450" t="s">
        <v>1720</v>
      </c>
      <c r="X3450" s="43">
        <v>2.0499999999999998</v>
      </c>
      <c r="AA3450" s="43"/>
      <c r="AB3450" s="43">
        <v>0.45</v>
      </c>
      <c r="AC3450" s="43">
        <v>0.14399999999999999</v>
      </c>
      <c r="AJ3450" s="13">
        <f t="shared" si="309"/>
        <v>2.6440000000000001</v>
      </c>
      <c r="AK3450">
        <v>0</v>
      </c>
    </row>
    <row r="3451" spans="1:37" ht="19">
      <c r="A3451" s="39" t="s">
        <v>17</v>
      </c>
      <c r="B3451" s="8">
        <v>2024</v>
      </c>
      <c r="C3451" s="8" t="s">
        <v>109</v>
      </c>
      <c r="D3451" s="9" t="s">
        <v>109</v>
      </c>
      <c r="E3451" s="9" t="s">
        <v>111</v>
      </c>
      <c r="F3451" s="9" t="s">
        <v>111</v>
      </c>
      <c r="I3451" s="9" t="s">
        <v>116</v>
      </c>
      <c r="J3451" s="9" t="s">
        <v>116</v>
      </c>
      <c r="K3451" s="9" t="s">
        <v>14</v>
      </c>
      <c r="L3451" s="9" t="s">
        <v>209</v>
      </c>
      <c r="M3451" s="14" t="s">
        <v>84</v>
      </c>
      <c r="O3451" t="s">
        <v>2441</v>
      </c>
      <c r="P3451" t="s">
        <v>763</v>
      </c>
      <c r="S3451">
        <v>232</v>
      </c>
      <c r="U3451" s="14" t="s">
        <v>77</v>
      </c>
      <c r="V3451" t="s">
        <v>1720</v>
      </c>
      <c r="X3451" s="43">
        <v>1.55</v>
      </c>
      <c r="AA3451" s="43"/>
      <c r="AB3451" s="43">
        <v>0.35</v>
      </c>
      <c r="AC3451" s="43">
        <v>0.108</v>
      </c>
      <c r="AJ3451" s="13">
        <f t="shared" si="309"/>
        <v>2.008</v>
      </c>
      <c r="AK3451">
        <v>0</v>
      </c>
    </row>
    <row r="3452" spans="1:37" ht="19">
      <c r="A3452" s="39" t="s">
        <v>17</v>
      </c>
      <c r="B3452" s="8">
        <v>2024</v>
      </c>
      <c r="C3452" s="8" t="s">
        <v>109</v>
      </c>
      <c r="D3452" s="9" t="s">
        <v>109</v>
      </c>
      <c r="E3452" s="9" t="s">
        <v>111</v>
      </c>
      <c r="F3452" s="9" t="s">
        <v>111</v>
      </c>
      <c r="I3452" s="9" t="s">
        <v>116</v>
      </c>
      <c r="J3452" s="9" t="s">
        <v>116</v>
      </c>
      <c r="K3452" s="9" t="s">
        <v>14</v>
      </c>
      <c r="L3452" s="9" t="s">
        <v>209</v>
      </c>
      <c r="M3452" s="14" t="s">
        <v>84</v>
      </c>
      <c r="O3452" t="s">
        <v>2441</v>
      </c>
      <c r="P3452" t="s">
        <v>2439</v>
      </c>
      <c r="S3452">
        <v>230</v>
      </c>
      <c r="U3452" s="14" t="s">
        <v>77</v>
      </c>
      <c r="V3452" t="s">
        <v>1720</v>
      </c>
      <c r="X3452" s="43">
        <v>1.5</v>
      </c>
      <c r="AA3452" s="43"/>
      <c r="AB3452" s="43">
        <v>0.35</v>
      </c>
      <c r="AC3452" s="43">
        <v>0.108</v>
      </c>
      <c r="AJ3452" s="13">
        <f t="shared" si="309"/>
        <v>1.9580000000000002</v>
      </c>
      <c r="AK3452">
        <v>0</v>
      </c>
    </row>
    <row r="3453" spans="1:37" ht="19">
      <c r="A3453" s="39" t="s">
        <v>17</v>
      </c>
      <c r="B3453" s="8">
        <v>2024</v>
      </c>
      <c r="C3453" s="8" t="s">
        <v>109</v>
      </c>
      <c r="D3453" s="9" t="s">
        <v>109</v>
      </c>
      <c r="E3453" s="9" t="s">
        <v>111</v>
      </c>
      <c r="F3453" s="9" t="s">
        <v>111</v>
      </c>
      <c r="I3453" s="9" t="s">
        <v>116</v>
      </c>
      <c r="J3453" s="9" t="s">
        <v>116</v>
      </c>
      <c r="K3453" s="9" t="s">
        <v>14</v>
      </c>
      <c r="L3453" s="9" t="s">
        <v>209</v>
      </c>
      <c r="M3453" s="14" t="s">
        <v>84</v>
      </c>
      <c r="O3453" t="s">
        <v>2437</v>
      </c>
      <c r="P3453" t="s">
        <v>2442</v>
      </c>
      <c r="S3453">
        <v>367</v>
      </c>
      <c r="U3453" s="14" t="s">
        <v>77</v>
      </c>
      <c r="V3453" t="s">
        <v>1720</v>
      </c>
      <c r="X3453" s="43">
        <v>2.4500000000000002</v>
      </c>
      <c r="AA3453" s="43"/>
      <c r="AB3453" s="43">
        <v>0.55000000000000004</v>
      </c>
      <c r="AC3453" s="43">
        <v>0.17100000000000001</v>
      </c>
      <c r="AJ3453" s="13">
        <f t="shared" si="309"/>
        <v>3.1709999999999998</v>
      </c>
      <c r="AK3453">
        <v>0</v>
      </c>
    </row>
    <row r="3454" spans="1:37" ht="19">
      <c r="A3454" s="39" t="s">
        <v>17</v>
      </c>
      <c r="B3454" s="8">
        <v>2024</v>
      </c>
      <c r="C3454" s="8" t="s">
        <v>109</v>
      </c>
      <c r="D3454" s="9" t="s">
        <v>109</v>
      </c>
      <c r="E3454" s="9" t="s">
        <v>111</v>
      </c>
      <c r="F3454" s="9" t="s">
        <v>111</v>
      </c>
      <c r="I3454" s="9" t="s">
        <v>116</v>
      </c>
      <c r="J3454" s="9" t="s">
        <v>116</v>
      </c>
      <c r="K3454" s="9" t="s">
        <v>14</v>
      </c>
      <c r="L3454" s="9" t="s">
        <v>209</v>
      </c>
      <c r="M3454" s="14" t="s">
        <v>84</v>
      </c>
      <c r="O3454" t="s">
        <v>761</v>
      </c>
      <c r="P3454" t="s">
        <v>2443</v>
      </c>
      <c r="S3454">
        <v>369</v>
      </c>
      <c r="U3454" t="s">
        <v>112</v>
      </c>
      <c r="V3454" t="s">
        <v>1484</v>
      </c>
      <c r="X3454" s="43">
        <v>2.4500000000000002</v>
      </c>
      <c r="AA3454" s="43"/>
      <c r="AB3454" s="43">
        <v>0.15</v>
      </c>
      <c r="AC3454" s="43">
        <v>0.17549999999999999</v>
      </c>
      <c r="AK3454">
        <v>8150472</v>
      </c>
    </row>
    <row r="3455" spans="1:37" ht="19">
      <c r="A3455" s="39" t="s">
        <v>17</v>
      </c>
      <c r="B3455" s="8">
        <v>2024</v>
      </c>
      <c r="C3455" s="8" t="s">
        <v>109</v>
      </c>
      <c r="D3455" s="9" t="s">
        <v>109</v>
      </c>
      <c r="E3455" s="9" t="s">
        <v>111</v>
      </c>
      <c r="F3455" s="9" t="s">
        <v>111</v>
      </c>
      <c r="I3455" s="9" t="s">
        <v>116</v>
      </c>
      <c r="J3455" s="9" t="s">
        <v>116</v>
      </c>
      <c r="K3455" s="9" t="s">
        <v>14</v>
      </c>
      <c r="L3455" s="9" t="s">
        <v>209</v>
      </c>
      <c r="M3455" s="14" t="s">
        <v>84</v>
      </c>
      <c r="O3455" t="s">
        <v>2437</v>
      </c>
      <c r="P3455" t="s">
        <v>2444</v>
      </c>
      <c r="S3455">
        <v>308</v>
      </c>
      <c r="U3455" s="14" t="s">
        <v>77</v>
      </c>
      <c r="V3455" t="s">
        <v>1720</v>
      </c>
      <c r="X3455" s="43">
        <v>2.1</v>
      </c>
      <c r="AA3455" s="43"/>
      <c r="AB3455" s="43">
        <v>0.5</v>
      </c>
      <c r="AC3455" s="43">
        <v>0.153</v>
      </c>
      <c r="AJ3455" s="13">
        <f>SUBTOTAL(9,X3455:AI3455)</f>
        <v>2.7530000000000001</v>
      </c>
      <c r="AK3455">
        <v>0</v>
      </c>
    </row>
    <row r="3456" spans="1:37" ht="19">
      <c r="A3456" s="39" t="s">
        <v>17</v>
      </c>
      <c r="B3456" s="8">
        <v>2024</v>
      </c>
      <c r="C3456" s="8" t="s">
        <v>109</v>
      </c>
      <c r="D3456" s="9" t="s">
        <v>109</v>
      </c>
      <c r="E3456" s="9" t="s">
        <v>111</v>
      </c>
      <c r="F3456" s="9" t="s">
        <v>111</v>
      </c>
      <c r="I3456" s="9" t="s">
        <v>116</v>
      </c>
      <c r="J3456" s="9" t="s">
        <v>116</v>
      </c>
      <c r="K3456" s="9" t="s">
        <v>14</v>
      </c>
      <c r="L3456" s="9" t="s">
        <v>209</v>
      </c>
      <c r="M3456" s="14" t="s">
        <v>84</v>
      </c>
      <c r="O3456" t="s">
        <v>234</v>
      </c>
      <c r="P3456" t="s">
        <v>2445</v>
      </c>
      <c r="S3456">
        <v>194</v>
      </c>
      <c r="U3456" t="s">
        <v>112</v>
      </c>
      <c r="V3456" t="s">
        <v>1484</v>
      </c>
      <c r="X3456" s="43">
        <v>1.2</v>
      </c>
      <c r="AA3456" s="43"/>
      <c r="AB3456" s="43">
        <v>0.1</v>
      </c>
      <c r="AC3456" s="43">
        <v>8.5500000000000007E-2</v>
      </c>
      <c r="AK3456">
        <v>4200497</v>
      </c>
    </row>
    <row r="3457" spans="1:37" ht="19">
      <c r="A3457" s="39" t="s">
        <v>17</v>
      </c>
      <c r="B3457" s="8">
        <v>2024</v>
      </c>
      <c r="C3457" s="8" t="s">
        <v>109</v>
      </c>
      <c r="D3457" s="9" t="s">
        <v>109</v>
      </c>
      <c r="E3457" s="9" t="s">
        <v>111</v>
      </c>
      <c r="F3457" s="9" t="s">
        <v>111</v>
      </c>
      <c r="I3457" s="9" t="s">
        <v>116</v>
      </c>
      <c r="J3457" s="9" t="s">
        <v>116</v>
      </c>
      <c r="K3457" s="9" t="s">
        <v>14</v>
      </c>
      <c r="L3457" s="9" t="s">
        <v>209</v>
      </c>
      <c r="M3457" s="14" t="s">
        <v>84</v>
      </c>
      <c r="O3457" t="s">
        <v>2437</v>
      </c>
      <c r="P3457" t="s">
        <v>2446</v>
      </c>
      <c r="S3457">
        <v>213</v>
      </c>
      <c r="U3457" s="14" t="s">
        <v>77</v>
      </c>
      <c r="V3457" t="s">
        <v>1720</v>
      </c>
      <c r="X3457" s="43">
        <v>1.45</v>
      </c>
      <c r="AA3457" s="43"/>
      <c r="AB3457" s="43">
        <v>0.35</v>
      </c>
      <c r="AC3457" s="43">
        <v>0.10349999999999999</v>
      </c>
      <c r="AJ3457" s="13">
        <f t="shared" ref="AJ3457:AJ3469" si="310">SUBTOTAL(9,X3457:AI3457)</f>
        <v>1.9034999999999997</v>
      </c>
      <c r="AK3457">
        <v>0</v>
      </c>
    </row>
    <row r="3458" spans="1:37" ht="19">
      <c r="A3458" s="39" t="s">
        <v>17</v>
      </c>
      <c r="B3458" s="8">
        <v>2024</v>
      </c>
      <c r="C3458" s="8" t="s">
        <v>109</v>
      </c>
      <c r="D3458" s="9" t="s">
        <v>109</v>
      </c>
      <c r="E3458" s="9" t="s">
        <v>111</v>
      </c>
      <c r="F3458" s="9" t="s">
        <v>111</v>
      </c>
      <c r="I3458" s="9" t="s">
        <v>116</v>
      </c>
      <c r="J3458" s="9" t="s">
        <v>116</v>
      </c>
      <c r="K3458" s="9" t="s">
        <v>14</v>
      </c>
      <c r="L3458" s="9" t="s">
        <v>209</v>
      </c>
      <c r="M3458" s="14" t="s">
        <v>84</v>
      </c>
      <c r="O3458" t="s">
        <v>2437</v>
      </c>
      <c r="P3458" t="s">
        <v>2447</v>
      </c>
      <c r="S3458">
        <v>232</v>
      </c>
      <c r="U3458" s="14" t="s">
        <v>77</v>
      </c>
      <c r="V3458" t="s">
        <v>1720</v>
      </c>
      <c r="X3458" s="43">
        <v>1.6</v>
      </c>
      <c r="AA3458" s="43"/>
      <c r="AB3458" s="43">
        <v>0.35</v>
      </c>
      <c r="AC3458" s="43">
        <v>0.1125</v>
      </c>
      <c r="AJ3458" s="13">
        <f t="shared" si="310"/>
        <v>2.0625</v>
      </c>
      <c r="AK3458">
        <v>0</v>
      </c>
    </row>
    <row r="3459" spans="1:37" ht="19">
      <c r="A3459" s="39" t="s">
        <v>17</v>
      </c>
      <c r="B3459" s="8">
        <v>2024</v>
      </c>
      <c r="C3459" s="8" t="s">
        <v>109</v>
      </c>
      <c r="D3459" s="9" t="s">
        <v>109</v>
      </c>
      <c r="E3459" s="9" t="s">
        <v>111</v>
      </c>
      <c r="F3459" s="9" t="s">
        <v>111</v>
      </c>
      <c r="I3459" s="9" t="s">
        <v>116</v>
      </c>
      <c r="J3459" s="9" t="s">
        <v>116</v>
      </c>
      <c r="K3459" s="9" t="s">
        <v>14</v>
      </c>
      <c r="L3459" s="9" t="s">
        <v>209</v>
      </c>
      <c r="M3459" s="14" t="s">
        <v>84</v>
      </c>
      <c r="O3459" t="s">
        <v>2437</v>
      </c>
      <c r="P3459" t="s">
        <v>332</v>
      </c>
      <c r="S3459">
        <v>223</v>
      </c>
      <c r="U3459" s="14" t="s">
        <v>77</v>
      </c>
      <c r="V3459" t="s">
        <v>1720</v>
      </c>
      <c r="X3459" s="43">
        <v>1.5</v>
      </c>
      <c r="AA3459" s="43"/>
      <c r="AB3459" s="43">
        <v>0.35</v>
      </c>
      <c r="AC3459" s="43">
        <v>0.108</v>
      </c>
      <c r="AJ3459" s="13">
        <f t="shared" si="310"/>
        <v>1.9580000000000002</v>
      </c>
      <c r="AK3459">
        <v>0</v>
      </c>
    </row>
    <row r="3460" spans="1:37" ht="19">
      <c r="A3460" s="39" t="s">
        <v>17</v>
      </c>
      <c r="B3460" s="8">
        <v>2024</v>
      </c>
      <c r="C3460" s="8" t="s">
        <v>109</v>
      </c>
      <c r="D3460" s="9" t="s">
        <v>109</v>
      </c>
      <c r="E3460" s="9" t="s">
        <v>111</v>
      </c>
      <c r="F3460" s="9" t="s">
        <v>111</v>
      </c>
      <c r="I3460" s="9" t="s">
        <v>116</v>
      </c>
      <c r="J3460" s="9" t="s">
        <v>116</v>
      </c>
      <c r="K3460" s="9" t="s">
        <v>14</v>
      </c>
      <c r="L3460" s="9" t="s">
        <v>209</v>
      </c>
      <c r="M3460" s="14" t="s">
        <v>84</v>
      </c>
      <c r="O3460" t="s">
        <v>2448</v>
      </c>
      <c r="P3460" t="s">
        <v>2449</v>
      </c>
      <c r="S3460">
        <v>187</v>
      </c>
      <c r="U3460" s="14" t="s">
        <v>77</v>
      </c>
      <c r="V3460" t="s">
        <v>1720</v>
      </c>
      <c r="X3460" s="43">
        <v>1.2</v>
      </c>
      <c r="AA3460" s="43"/>
      <c r="AB3460" s="43">
        <v>0.3</v>
      </c>
      <c r="AC3460" s="43">
        <v>8.5500000000000007E-2</v>
      </c>
      <c r="AJ3460" s="13">
        <f t="shared" si="310"/>
        <v>1.5854999999999999</v>
      </c>
      <c r="AK3460">
        <v>0</v>
      </c>
    </row>
    <row r="3461" spans="1:37" ht="19">
      <c r="A3461" s="39" t="s">
        <v>17</v>
      </c>
      <c r="B3461" s="8">
        <v>2024</v>
      </c>
      <c r="C3461" s="8" t="s">
        <v>109</v>
      </c>
      <c r="D3461" s="9" t="s">
        <v>109</v>
      </c>
      <c r="E3461" s="9" t="s">
        <v>111</v>
      </c>
      <c r="F3461" s="9" t="s">
        <v>111</v>
      </c>
      <c r="I3461" s="9" t="s">
        <v>116</v>
      </c>
      <c r="J3461" s="9" t="s">
        <v>116</v>
      </c>
      <c r="K3461" s="9" t="s">
        <v>14</v>
      </c>
      <c r="L3461" s="9" t="s">
        <v>209</v>
      </c>
      <c r="M3461" s="14" t="s">
        <v>84</v>
      </c>
      <c r="O3461" t="s">
        <v>2448</v>
      </c>
      <c r="P3461" t="s">
        <v>2450</v>
      </c>
      <c r="S3461">
        <v>290</v>
      </c>
      <c r="U3461" s="14" t="s">
        <v>77</v>
      </c>
      <c r="V3461" t="s">
        <v>1720</v>
      </c>
      <c r="X3461" s="43">
        <v>2</v>
      </c>
      <c r="AA3461" s="43"/>
      <c r="AB3461" s="43">
        <v>0.45</v>
      </c>
      <c r="AC3461" s="43">
        <v>0.13950000000000001</v>
      </c>
      <c r="AJ3461" s="13">
        <f t="shared" si="310"/>
        <v>2.5895000000000001</v>
      </c>
      <c r="AK3461">
        <v>0</v>
      </c>
    </row>
    <row r="3462" spans="1:37" ht="19">
      <c r="A3462" s="39" t="s">
        <v>17</v>
      </c>
      <c r="B3462" s="8">
        <v>2024</v>
      </c>
      <c r="C3462" s="8" t="s">
        <v>109</v>
      </c>
      <c r="D3462" s="9" t="s">
        <v>109</v>
      </c>
      <c r="E3462" s="9" t="s">
        <v>111</v>
      </c>
      <c r="F3462" s="9" t="s">
        <v>111</v>
      </c>
      <c r="I3462" s="9" t="s">
        <v>116</v>
      </c>
      <c r="J3462" s="9" t="s">
        <v>116</v>
      </c>
      <c r="K3462" s="9" t="s">
        <v>14</v>
      </c>
      <c r="L3462" s="9" t="s">
        <v>209</v>
      </c>
      <c r="M3462" s="14" t="s">
        <v>84</v>
      </c>
      <c r="O3462" t="s">
        <v>2448</v>
      </c>
      <c r="P3462" t="s">
        <v>744</v>
      </c>
      <c r="S3462">
        <v>276</v>
      </c>
      <c r="U3462" s="14" t="s">
        <v>77</v>
      </c>
      <c r="V3462" t="s">
        <v>1720</v>
      </c>
      <c r="X3462" s="43">
        <v>1.75</v>
      </c>
      <c r="AA3462" s="43"/>
      <c r="AB3462" s="43">
        <v>0.4</v>
      </c>
      <c r="AC3462" s="43">
        <v>0.1215</v>
      </c>
      <c r="AJ3462" s="13">
        <f t="shared" si="310"/>
        <v>2.2715000000000001</v>
      </c>
      <c r="AK3462">
        <v>0</v>
      </c>
    </row>
    <row r="3463" spans="1:37" ht="19">
      <c r="A3463" s="39" t="s">
        <v>17</v>
      </c>
      <c r="B3463" s="8">
        <v>2024</v>
      </c>
      <c r="C3463" s="8" t="s">
        <v>109</v>
      </c>
      <c r="D3463" s="9" t="s">
        <v>109</v>
      </c>
      <c r="E3463" s="9" t="s">
        <v>111</v>
      </c>
      <c r="F3463" s="9" t="s">
        <v>111</v>
      </c>
      <c r="I3463" s="9" t="s">
        <v>116</v>
      </c>
      <c r="J3463" s="9" t="s">
        <v>116</v>
      </c>
      <c r="K3463" s="9" t="s">
        <v>14</v>
      </c>
      <c r="L3463" s="9" t="s">
        <v>209</v>
      </c>
      <c r="M3463" s="14" t="s">
        <v>84</v>
      </c>
      <c r="O3463" t="s">
        <v>2448</v>
      </c>
      <c r="P3463" t="s">
        <v>2451</v>
      </c>
      <c r="S3463">
        <v>214</v>
      </c>
      <c r="U3463" s="14" t="s">
        <v>77</v>
      </c>
      <c r="V3463" t="s">
        <v>1720</v>
      </c>
      <c r="X3463" s="43">
        <v>1.4</v>
      </c>
      <c r="AA3463" s="43"/>
      <c r="AB3463" s="43">
        <v>0.35</v>
      </c>
      <c r="AC3463" s="43">
        <v>9.9000000000000005E-2</v>
      </c>
      <c r="AJ3463" s="13">
        <f t="shared" si="310"/>
        <v>1.849</v>
      </c>
      <c r="AK3463">
        <v>0</v>
      </c>
    </row>
    <row r="3464" spans="1:37" ht="19">
      <c r="A3464" s="39" t="s">
        <v>17</v>
      </c>
      <c r="B3464" s="8">
        <v>2024</v>
      </c>
      <c r="C3464" s="8" t="s">
        <v>109</v>
      </c>
      <c r="D3464" s="9" t="s">
        <v>109</v>
      </c>
      <c r="E3464" s="9" t="s">
        <v>111</v>
      </c>
      <c r="F3464" s="9" t="s">
        <v>111</v>
      </c>
      <c r="I3464" s="9" t="s">
        <v>116</v>
      </c>
      <c r="J3464" s="9" t="s">
        <v>116</v>
      </c>
      <c r="K3464" s="9" t="s">
        <v>14</v>
      </c>
      <c r="L3464" s="9" t="s">
        <v>209</v>
      </c>
      <c r="M3464" s="14" t="s">
        <v>84</v>
      </c>
      <c r="O3464" t="s">
        <v>2448</v>
      </c>
      <c r="P3464" t="s">
        <v>1022</v>
      </c>
      <c r="S3464">
        <v>351</v>
      </c>
      <c r="U3464" s="14" t="s">
        <v>77</v>
      </c>
      <c r="V3464" t="s">
        <v>1720</v>
      </c>
      <c r="X3464" s="43">
        <v>2.5</v>
      </c>
      <c r="AA3464" s="43"/>
      <c r="AB3464" s="43">
        <v>0.55000000000000004</v>
      </c>
      <c r="AC3464" s="43">
        <v>0.18</v>
      </c>
      <c r="AJ3464" s="13">
        <f t="shared" si="310"/>
        <v>3.23</v>
      </c>
      <c r="AK3464">
        <v>0</v>
      </c>
    </row>
    <row r="3465" spans="1:37" ht="19">
      <c r="A3465" s="39" t="s">
        <v>17</v>
      </c>
      <c r="B3465" s="8">
        <v>2024</v>
      </c>
      <c r="C3465" s="8" t="s">
        <v>109</v>
      </c>
      <c r="D3465" s="9" t="s">
        <v>109</v>
      </c>
      <c r="E3465" s="9" t="s">
        <v>111</v>
      </c>
      <c r="F3465" s="9" t="s">
        <v>111</v>
      </c>
      <c r="I3465" s="9" t="s">
        <v>116</v>
      </c>
      <c r="J3465" s="9" t="s">
        <v>116</v>
      </c>
      <c r="K3465" s="9" t="s">
        <v>14</v>
      </c>
      <c r="L3465" s="9" t="s">
        <v>209</v>
      </c>
      <c r="M3465" s="14" t="s">
        <v>84</v>
      </c>
      <c r="O3465" t="s">
        <v>2448</v>
      </c>
      <c r="P3465" t="s">
        <v>2452</v>
      </c>
      <c r="S3465">
        <v>310</v>
      </c>
      <c r="U3465" s="14" t="s">
        <v>77</v>
      </c>
      <c r="V3465" t="s">
        <v>1720</v>
      </c>
      <c r="X3465" s="43">
        <v>2</v>
      </c>
      <c r="AA3465" s="43"/>
      <c r="AB3465" s="43">
        <v>0.45</v>
      </c>
      <c r="AC3465" s="43">
        <v>0.13950000000000001</v>
      </c>
      <c r="AJ3465" s="13">
        <f t="shared" si="310"/>
        <v>2.5895000000000001</v>
      </c>
      <c r="AK3465">
        <v>0</v>
      </c>
    </row>
    <row r="3466" spans="1:37" ht="19">
      <c r="A3466" s="39" t="s">
        <v>17</v>
      </c>
      <c r="B3466" s="8">
        <v>2024</v>
      </c>
      <c r="C3466" s="8" t="s">
        <v>109</v>
      </c>
      <c r="D3466" s="9" t="s">
        <v>109</v>
      </c>
      <c r="E3466" s="9" t="s">
        <v>111</v>
      </c>
      <c r="F3466" s="9" t="s">
        <v>111</v>
      </c>
      <c r="I3466" s="9" t="s">
        <v>116</v>
      </c>
      <c r="J3466" s="9" t="s">
        <v>116</v>
      </c>
      <c r="K3466" s="9" t="s">
        <v>14</v>
      </c>
      <c r="L3466" s="9" t="s">
        <v>209</v>
      </c>
      <c r="M3466" s="14" t="s">
        <v>84</v>
      </c>
      <c r="O3466" t="s">
        <v>2448</v>
      </c>
      <c r="P3466" t="s">
        <v>2453</v>
      </c>
      <c r="S3466">
        <v>231</v>
      </c>
      <c r="U3466" s="14" t="s">
        <v>77</v>
      </c>
      <c r="V3466" t="s">
        <v>1720</v>
      </c>
      <c r="X3466" s="43">
        <v>1.5</v>
      </c>
      <c r="AA3466" s="43"/>
      <c r="AB3466" s="43">
        <v>0.35</v>
      </c>
      <c r="AC3466" s="43">
        <v>0.10349999999999999</v>
      </c>
      <c r="AJ3466" s="13">
        <f t="shared" si="310"/>
        <v>1.9535</v>
      </c>
      <c r="AK3466">
        <v>0</v>
      </c>
    </row>
    <row r="3467" spans="1:37" ht="19">
      <c r="A3467" s="39" t="s">
        <v>17</v>
      </c>
      <c r="B3467" s="8">
        <v>2024</v>
      </c>
      <c r="C3467" s="8" t="s">
        <v>109</v>
      </c>
      <c r="D3467" s="9" t="s">
        <v>109</v>
      </c>
      <c r="E3467" s="9" t="s">
        <v>111</v>
      </c>
      <c r="F3467" s="9" t="s">
        <v>111</v>
      </c>
      <c r="I3467" s="9" t="s">
        <v>116</v>
      </c>
      <c r="J3467" s="9" t="s">
        <v>116</v>
      </c>
      <c r="K3467" s="9" t="s">
        <v>14</v>
      </c>
      <c r="L3467" s="9" t="s">
        <v>209</v>
      </c>
      <c r="M3467" s="14" t="s">
        <v>84</v>
      </c>
      <c r="O3467" t="s">
        <v>2448</v>
      </c>
      <c r="P3467" t="s">
        <v>2454</v>
      </c>
      <c r="S3467">
        <v>229</v>
      </c>
      <c r="U3467" s="14" t="s">
        <v>77</v>
      </c>
      <c r="V3467" t="s">
        <v>1720</v>
      </c>
      <c r="X3467" s="43">
        <v>1.4</v>
      </c>
      <c r="AA3467" s="43"/>
      <c r="AB3467" s="43">
        <v>0.35</v>
      </c>
      <c r="AC3467" s="43">
        <v>9.9000000000000005E-2</v>
      </c>
      <c r="AJ3467" s="13">
        <f t="shared" si="310"/>
        <v>1.849</v>
      </c>
      <c r="AK3467">
        <v>0</v>
      </c>
    </row>
    <row r="3468" spans="1:37" ht="19">
      <c r="A3468" s="39" t="s">
        <v>17</v>
      </c>
      <c r="B3468" s="8">
        <v>2024</v>
      </c>
      <c r="C3468" s="8" t="s">
        <v>109</v>
      </c>
      <c r="D3468" s="9" t="s">
        <v>109</v>
      </c>
      <c r="E3468" s="9" t="s">
        <v>111</v>
      </c>
      <c r="F3468" s="9" t="s">
        <v>111</v>
      </c>
      <c r="I3468" s="9" t="s">
        <v>116</v>
      </c>
      <c r="J3468" s="9" t="s">
        <v>116</v>
      </c>
      <c r="K3468" s="9" t="s">
        <v>14</v>
      </c>
      <c r="L3468" s="9" t="s">
        <v>209</v>
      </c>
      <c r="M3468" s="14" t="s">
        <v>84</v>
      </c>
      <c r="O3468" t="s">
        <v>2448</v>
      </c>
      <c r="P3468" t="s">
        <v>2455</v>
      </c>
      <c r="S3468">
        <v>237</v>
      </c>
      <c r="U3468" s="14" t="s">
        <v>77</v>
      </c>
      <c r="V3468" t="s">
        <v>1720</v>
      </c>
      <c r="X3468" s="43">
        <v>1.55</v>
      </c>
      <c r="AA3468" s="43"/>
      <c r="AB3468" s="43">
        <v>0.35</v>
      </c>
      <c r="AC3468" s="43">
        <v>0.1125</v>
      </c>
      <c r="AJ3468" s="13">
        <f t="shared" si="310"/>
        <v>2.0124999999999997</v>
      </c>
      <c r="AK3468">
        <v>0</v>
      </c>
    </row>
    <row r="3469" spans="1:37" ht="19">
      <c r="A3469" s="39" t="s">
        <v>17</v>
      </c>
      <c r="B3469" s="8">
        <v>2024</v>
      </c>
      <c r="C3469" s="8" t="s">
        <v>109</v>
      </c>
      <c r="D3469" s="9" t="s">
        <v>109</v>
      </c>
      <c r="E3469" s="9" t="s">
        <v>111</v>
      </c>
      <c r="F3469" s="9" t="s">
        <v>111</v>
      </c>
      <c r="I3469" s="9" t="s">
        <v>116</v>
      </c>
      <c r="J3469" s="9" t="s">
        <v>116</v>
      </c>
      <c r="K3469" s="9" t="s">
        <v>14</v>
      </c>
      <c r="L3469" s="9" t="s">
        <v>209</v>
      </c>
      <c r="M3469" s="14" t="s">
        <v>84</v>
      </c>
      <c r="O3469" t="s">
        <v>2456</v>
      </c>
      <c r="P3469" t="s">
        <v>2457</v>
      </c>
      <c r="S3469">
        <v>267</v>
      </c>
      <c r="U3469" s="14" t="s">
        <v>77</v>
      </c>
      <c r="V3469" t="s">
        <v>1720</v>
      </c>
      <c r="X3469" s="43">
        <v>1.75</v>
      </c>
      <c r="AA3469" s="43"/>
      <c r="AB3469" s="43">
        <v>0.4</v>
      </c>
      <c r="AC3469" s="43">
        <v>0.126</v>
      </c>
      <c r="AJ3469" s="13">
        <f t="shared" si="310"/>
        <v>2.2759999999999998</v>
      </c>
      <c r="AK3469">
        <v>0</v>
      </c>
    </row>
    <row r="3470" spans="1:37" ht="19">
      <c r="A3470" s="39" t="s">
        <v>17</v>
      </c>
      <c r="B3470" s="8">
        <v>2024</v>
      </c>
      <c r="C3470" s="8" t="s">
        <v>109</v>
      </c>
      <c r="D3470" s="9" t="s">
        <v>109</v>
      </c>
      <c r="E3470" s="9" t="s">
        <v>111</v>
      </c>
      <c r="F3470" s="9" t="s">
        <v>111</v>
      </c>
      <c r="I3470" s="9" t="s">
        <v>116</v>
      </c>
      <c r="J3470" s="9" t="s">
        <v>116</v>
      </c>
      <c r="K3470" s="9" t="s">
        <v>14</v>
      </c>
      <c r="L3470" s="9" t="s">
        <v>209</v>
      </c>
      <c r="M3470" s="14" t="s">
        <v>84</v>
      </c>
      <c r="O3470" t="s">
        <v>2458</v>
      </c>
      <c r="P3470" t="s">
        <v>2459</v>
      </c>
      <c r="S3470">
        <v>236</v>
      </c>
      <c r="U3470" t="s">
        <v>112</v>
      </c>
      <c r="V3470" t="s">
        <v>1484</v>
      </c>
      <c r="X3470" s="43">
        <v>1.5</v>
      </c>
      <c r="AA3470" s="43"/>
      <c r="AB3470" s="43">
        <v>0.1</v>
      </c>
      <c r="AC3470" s="43">
        <v>0.108</v>
      </c>
      <c r="AK3470">
        <v>5212768</v>
      </c>
    </row>
    <row r="3471" spans="1:37" ht="19">
      <c r="A3471" s="39" t="s">
        <v>17</v>
      </c>
      <c r="B3471" s="8">
        <v>2024</v>
      </c>
      <c r="C3471" s="8" t="s">
        <v>109</v>
      </c>
      <c r="D3471" s="9" t="s">
        <v>109</v>
      </c>
      <c r="E3471" s="9" t="s">
        <v>111</v>
      </c>
      <c r="F3471" s="9" t="s">
        <v>111</v>
      </c>
      <c r="I3471" s="9" t="s">
        <v>116</v>
      </c>
      <c r="J3471" s="9" t="s">
        <v>116</v>
      </c>
      <c r="K3471" s="9" t="s">
        <v>14</v>
      </c>
      <c r="L3471" s="9" t="s">
        <v>209</v>
      </c>
      <c r="M3471" s="14" t="s">
        <v>84</v>
      </c>
      <c r="O3471" t="s">
        <v>2456</v>
      </c>
      <c r="P3471" t="s">
        <v>2460</v>
      </c>
      <c r="S3471">
        <v>313</v>
      </c>
      <c r="U3471" s="14" t="s">
        <v>77</v>
      </c>
      <c r="V3471" t="s">
        <v>1720</v>
      </c>
      <c r="X3471" s="43">
        <v>2</v>
      </c>
      <c r="AA3471" s="43"/>
      <c r="AB3471" s="43">
        <v>0.45</v>
      </c>
      <c r="AC3471" s="43">
        <v>0.14399999999999999</v>
      </c>
      <c r="AJ3471" s="13">
        <f t="shared" ref="AJ3471:AJ3475" si="311">SUBTOTAL(9,X3471:AI3471)</f>
        <v>2.5940000000000003</v>
      </c>
      <c r="AK3471">
        <v>0</v>
      </c>
    </row>
    <row r="3472" spans="1:37" ht="19">
      <c r="A3472" s="39" t="s">
        <v>17</v>
      </c>
      <c r="B3472" s="8">
        <v>2024</v>
      </c>
      <c r="C3472" s="8" t="s">
        <v>109</v>
      </c>
      <c r="D3472" s="9" t="s">
        <v>109</v>
      </c>
      <c r="E3472" s="9" t="s">
        <v>111</v>
      </c>
      <c r="F3472" s="9" t="s">
        <v>111</v>
      </c>
      <c r="I3472" s="9" t="s">
        <v>116</v>
      </c>
      <c r="J3472" s="9" t="s">
        <v>116</v>
      </c>
      <c r="K3472" s="9" t="s">
        <v>14</v>
      </c>
      <c r="L3472" s="9" t="s">
        <v>209</v>
      </c>
      <c r="M3472" s="14" t="s">
        <v>84</v>
      </c>
      <c r="O3472" t="s">
        <v>2456</v>
      </c>
      <c r="P3472" t="s">
        <v>2458</v>
      </c>
      <c r="S3472">
        <v>380</v>
      </c>
      <c r="U3472" s="14" t="s">
        <v>77</v>
      </c>
      <c r="V3472" t="s">
        <v>1720</v>
      </c>
      <c r="X3472" s="43">
        <v>2.5499999999999998</v>
      </c>
      <c r="AA3472" s="43"/>
      <c r="AB3472" s="43">
        <v>0.6</v>
      </c>
      <c r="AC3472" s="43">
        <v>0.18</v>
      </c>
      <c r="AJ3472" s="13">
        <f t="shared" si="311"/>
        <v>3.33</v>
      </c>
      <c r="AK3472">
        <v>0</v>
      </c>
    </row>
    <row r="3473" spans="1:37" ht="19">
      <c r="A3473" s="39" t="s">
        <v>17</v>
      </c>
      <c r="B3473" s="8">
        <v>2024</v>
      </c>
      <c r="C3473" s="8" t="s">
        <v>109</v>
      </c>
      <c r="D3473" s="9" t="s">
        <v>109</v>
      </c>
      <c r="E3473" s="9" t="s">
        <v>111</v>
      </c>
      <c r="F3473" s="9" t="s">
        <v>111</v>
      </c>
      <c r="I3473" s="9" t="s">
        <v>116</v>
      </c>
      <c r="J3473" s="9" t="s">
        <v>116</v>
      </c>
      <c r="K3473" s="9" t="s">
        <v>14</v>
      </c>
      <c r="L3473" s="9" t="s">
        <v>209</v>
      </c>
      <c r="M3473" s="14" t="s">
        <v>84</v>
      </c>
      <c r="O3473" t="s">
        <v>2456</v>
      </c>
      <c r="P3473" t="s">
        <v>2461</v>
      </c>
      <c r="S3473">
        <v>343</v>
      </c>
      <c r="U3473" s="14" t="s">
        <v>77</v>
      </c>
      <c r="V3473" t="s">
        <v>1720</v>
      </c>
      <c r="X3473" s="43">
        <v>2.25</v>
      </c>
      <c r="AA3473" s="43"/>
      <c r="AB3473" s="43">
        <v>0.5</v>
      </c>
      <c r="AC3473" s="43">
        <v>0.1575</v>
      </c>
      <c r="AJ3473" s="13">
        <f t="shared" si="311"/>
        <v>2.9075000000000002</v>
      </c>
      <c r="AK3473">
        <v>0</v>
      </c>
    </row>
    <row r="3474" spans="1:37" ht="19">
      <c r="A3474" s="39" t="s">
        <v>17</v>
      </c>
      <c r="B3474" s="8">
        <v>2024</v>
      </c>
      <c r="C3474" s="8" t="s">
        <v>109</v>
      </c>
      <c r="D3474" s="9" t="s">
        <v>109</v>
      </c>
      <c r="E3474" s="9" t="s">
        <v>111</v>
      </c>
      <c r="F3474" s="9" t="s">
        <v>111</v>
      </c>
      <c r="I3474" s="9" t="s">
        <v>116</v>
      </c>
      <c r="J3474" s="9" t="s">
        <v>116</v>
      </c>
      <c r="K3474" s="9" t="s">
        <v>14</v>
      </c>
      <c r="L3474" s="9" t="s">
        <v>209</v>
      </c>
      <c r="M3474" s="14" t="s">
        <v>84</v>
      </c>
      <c r="O3474" t="s">
        <v>2456</v>
      </c>
      <c r="P3474" t="s">
        <v>2462</v>
      </c>
      <c r="S3474">
        <v>131</v>
      </c>
      <c r="U3474" s="14" t="s">
        <v>77</v>
      </c>
      <c r="V3474" t="s">
        <v>1720</v>
      </c>
      <c r="X3474" s="43">
        <v>0.85</v>
      </c>
      <c r="AA3474" s="43"/>
      <c r="AB3474" s="43">
        <v>0.2</v>
      </c>
      <c r="AC3474" s="43">
        <v>6.3E-2</v>
      </c>
      <c r="AJ3474" s="13">
        <f t="shared" si="311"/>
        <v>1.113</v>
      </c>
      <c r="AK3474">
        <v>0</v>
      </c>
    </row>
    <row r="3475" spans="1:37" ht="19">
      <c r="A3475" s="39" t="s">
        <v>17</v>
      </c>
      <c r="B3475" s="8">
        <v>2024</v>
      </c>
      <c r="C3475" s="8" t="s">
        <v>109</v>
      </c>
      <c r="D3475" s="9" t="s">
        <v>109</v>
      </c>
      <c r="E3475" s="9" t="s">
        <v>111</v>
      </c>
      <c r="F3475" s="9" t="s">
        <v>111</v>
      </c>
      <c r="I3475" s="9" t="s">
        <v>116</v>
      </c>
      <c r="J3475" s="9" t="s">
        <v>116</v>
      </c>
      <c r="K3475" s="9" t="s">
        <v>14</v>
      </c>
      <c r="L3475" s="9" t="s">
        <v>209</v>
      </c>
      <c r="M3475" s="14" t="s">
        <v>84</v>
      </c>
      <c r="O3475" t="s">
        <v>2463</v>
      </c>
      <c r="P3475" t="s">
        <v>2464</v>
      </c>
      <c r="S3475">
        <v>215</v>
      </c>
      <c r="U3475" s="14" t="s">
        <v>77</v>
      </c>
      <c r="V3475" t="s">
        <v>1720</v>
      </c>
      <c r="X3475" s="43">
        <v>1.55</v>
      </c>
      <c r="AA3475" s="43"/>
      <c r="AB3475" s="43">
        <v>0.35</v>
      </c>
      <c r="AC3475" s="43">
        <v>0.1125</v>
      </c>
      <c r="AJ3475" s="13">
        <f t="shared" si="311"/>
        <v>2.0124999999999997</v>
      </c>
      <c r="AK3475">
        <v>0</v>
      </c>
    </row>
    <row r="3476" spans="1:37" ht="19">
      <c r="A3476" s="39" t="s">
        <v>17</v>
      </c>
      <c r="B3476" s="8">
        <v>2024</v>
      </c>
      <c r="C3476" s="8" t="s">
        <v>109</v>
      </c>
      <c r="D3476" s="9" t="s">
        <v>109</v>
      </c>
      <c r="E3476" s="9" t="s">
        <v>111</v>
      </c>
      <c r="F3476" s="9" t="s">
        <v>111</v>
      </c>
      <c r="I3476" s="9" t="s">
        <v>116</v>
      </c>
      <c r="J3476" s="9" t="s">
        <v>116</v>
      </c>
      <c r="K3476" s="9" t="s">
        <v>14</v>
      </c>
      <c r="L3476" s="9" t="s">
        <v>209</v>
      </c>
      <c r="M3476" s="14" t="s">
        <v>84</v>
      </c>
      <c r="O3476" t="s">
        <v>2465</v>
      </c>
      <c r="P3476" t="s">
        <v>2466</v>
      </c>
      <c r="S3476">
        <v>276</v>
      </c>
      <c r="U3476" t="s">
        <v>112</v>
      </c>
      <c r="V3476" t="s">
        <v>1484</v>
      </c>
      <c r="X3476" s="43">
        <v>1.95</v>
      </c>
      <c r="AA3476" s="43"/>
      <c r="AB3476" s="43">
        <v>0.1</v>
      </c>
      <c r="AC3476" s="43">
        <v>0.13500000000000001</v>
      </c>
      <c r="AK3476">
        <v>6096288</v>
      </c>
    </row>
    <row r="3477" spans="1:37" ht="19">
      <c r="A3477" s="39" t="s">
        <v>17</v>
      </c>
      <c r="B3477" s="8">
        <v>2024</v>
      </c>
      <c r="C3477" s="8" t="s">
        <v>109</v>
      </c>
      <c r="D3477" s="9" t="s">
        <v>109</v>
      </c>
      <c r="E3477" s="9" t="s">
        <v>111</v>
      </c>
      <c r="F3477" s="9" t="s">
        <v>111</v>
      </c>
      <c r="I3477" s="9" t="s">
        <v>116</v>
      </c>
      <c r="J3477" s="9" t="s">
        <v>116</v>
      </c>
      <c r="K3477" s="9" t="s">
        <v>14</v>
      </c>
      <c r="L3477" s="9" t="s">
        <v>209</v>
      </c>
      <c r="M3477" s="14" t="s">
        <v>84</v>
      </c>
      <c r="O3477" t="s">
        <v>2465</v>
      </c>
      <c r="P3477" t="s">
        <v>2467</v>
      </c>
      <c r="S3477">
        <v>276</v>
      </c>
      <c r="U3477" t="s">
        <v>112</v>
      </c>
      <c r="V3477" t="s">
        <v>1484</v>
      </c>
      <c r="X3477" s="43">
        <v>2.0499999999999998</v>
      </c>
      <c r="AA3477" s="43"/>
      <c r="AB3477" s="43">
        <v>0.1</v>
      </c>
      <c r="AC3477" s="43">
        <v>0.14399999999999999</v>
      </c>
      <c r="AK3477">
        <v>6096288</v>
      </c>
    </row>
    <row r="3478" spans="1:37" ht="19">
      <c r="A3478" s="39" t="s">
        <v>17</v>
      </c>
      <c r="B3478" s="8">
        <v>2024</v>
      </c>
      <c r="C3478" s="8" t="s">
        <v>109</v>
      </c>
      <c r="D3478" s="9" t="s">
        <v>109</v>
      </c>
      <c r="E3478" s="9" t="s">
        <v>111</v>
      </c>
      <c r="F3478" s="9" t="s">
        <v>111</v>
      </c>
      <c r="I3478" s="9" t="s">
        <v>116</v>
      </c>
      <c r="J3478" s="9" t="s">
        <v>116</v>
      </c>
      <c r="K3478" s="9" t="s">
        <v>14</v>
      </c>
      <c r="L3478" s="9" t="s">
        <v>209</v>
      </c>
      <c r="M3478" s="14" t="s">
        <v>84</v>
      </c>
      <c r="O3478" t="s">
        <v>2468</v>
      </c>
      <c r="P3478" t="s">
        <v>2469</v>
      </c>
      <c r="S3478">
        <v>202</v>
      </c>
      <c r="U3478" s="14" t="s">
        <v>77</v>
      </c>
      <c r="V3478" t="s">
        <v>1720</v>
      </c>
      <c r="X3478" s="43">
        <v>1.45</v>
      </c>
      <c r="AA3478" s="43"/>
      <c r="AB3478" s="43">
        <v>0.35</v>
      </c>
      <c r="AC3478" s="43">
        <v>0.10349999999999999</v>
      </c>
      <c r="AJ3478" s="13">
        <f t="shared" ref="AJ3478:AJ3479" si="312">SUBTOTAL(9,X3478:AI3478)</f>
        <v>1.9034999999999997</v>
      </c>
      <c r="AK3478">
        <v>0</v>
      </c>
    </row>
    <row r="3479" spans="1:37" ht="19">
      <c r="A3479" s="39" t="s">
        <v>17</v>
      </c>
      <c r="B3479" s="8">
        <v>2024</v>
      </c>
      <c r="C3479" s="8" t="s">
        <v>109</v>
      </c>
      <c r="D3479" s="9" t="s">
        <v>109</v>
      </c>
      <c r="E3479" s="9" t="s">
        <v>111</v>
      </c>
      <c r="F3479" s="9" t="s">
        <v>111</v>
      </c>
      <c r="I3479" s="9" t="s">
        <v>116</v>
      </c>
      <c r="J3479" s="9" t="s">
        <v>116</v>
      </c>
      <c r="K3479" s="9" t="s">
        <v>14</v>
      </c>
      <c r="L3479" s="9" t="s">
        <v>209</v>
      </c>
      <c r="M3479" s="14" t="s">
        <v>84</v>
      </c>
      <c r="O3479" t="s">
        <v>2463</v>
      </c>
      <c r="P3479" t="s">
        <v>2470</v>
      </c>
      <c r="S3479">
        <v>221</v>
      </c>
      <c r="U3479" s="14" t="s">
        <v>77</v>
      </c>
      <c r="V3479" t="s">
        <v>1720</v>
      </c>
      <c r="X3479" s="43">
        <v>1.6</v>
      </c>
      <c r="AA3479" s="43"/>
      <c r="AB3479" s="43">
        <v>0.35</v>
      </c>
      <c r="AC3479" s="43">
        <v>0.1125</v>
      </c>
      <c r="AJ3479" s="13">
        <f t="shared" si="312"/>
        <v>2.0625</v>
      </c>
      <c r="AK3479">
        <v>0</v>
      </c>
    </row>
    <row r="3480" spans="1:37" ht="19">
      <c r="A3480" s="39" t="s">
        <v>17</v>
      </c>
      <c r="B3480" s="8">
        <v>2024</v>
      </c>
      <c r="C3480" s="8" t="s">
        <v>109</v>
      </c>
      <c r="D3480" s="9" t="s">
        <v>109</v>
      </c>
      <c r="E3480" s="9" t="s">
        <v>111</v>
      </c>
      <c r="F3480" s="9" t="s">
        <v>111</v>
      </c>
      <c r="I3480" s="9" t="s">
        <v>116</v>
      </c>
      <c r="J3480" s="9" t="s">
        <v>116</v>
      </c>
      <c r="K3480" s="9" t="s">
        <v>14</v>
      </c>
      <c r="L3480" s="9" t="s">
        <v>209</v>
      </c>
      <c r="M3480" s="14" t="s">
        <v>84</v>
      </c>
      <c r="O3480" t="s">
        <v>2471</v>
      </c>
      <c r="P3480" t="s">
        <v>2472</v>
      </c>
      <c r="S3480">
        <v>253</v>
      </c>
      <c r="U3480" t="s">
        <v>112</v>
      </c>
      <c r="V3480" t="s">
        <v>1484</v>
      </c>
      <c r="X3480" s="43">
        <v>1.8</v>
      </c>
      <c r="AA3480" s="43"/>
      <c r="AB3480" s="43">
        <v>0.1</v>
      </c>
      <c r="AC3480" s="43">
        <v>0.126</v>
      </c>
      <c r="AK3480">
        <v>5588264</v>
      </c>
    </row>
    <row r="3481" spans="1:37" ht="19">
      <c r="A3481" s="39" t="s">
        <v>17</v>
      </c>
      <c r="B3481" s="8">
        <v>2024</v>
      </c>
      <c r="C3481" s="8" t="s">
        <v>109</v>
      </c>
      <c r="D3481" s="9" t="s">
        <v>109</v>
      </c>
      <c r="E3481" s="9" t="s">
        <v>111</v>
      </c>
      <c r="F3481" s="9" t="s">
        <v>111</v>
      </c>
      <c r="I3481" s="9" t="s">
        <v>116</v>
      </c>
      <c r="J3481" s="9" t="s">
        <v>116</v>
      </c>
      <c r="K3481" s="9" t="s">
        <v>14</v>
      </c>
      <c r="L3481" s="9" t="s">
        <v>209</v>
      </c>
      <c r="M3481" s="14" t="s">
        <v>84</v>
      </c>
      <c r="O3481" t="s">
        <v>2463</v>
      </c>
      <c r="P3481" t="s">
        <v>775</v>
      </c>
      <c r="S3481">
        <v>327</v>
      </c>
      <c r="U3481" s="14" t="s">
        <v>77</v>
      </c>
      <c r="V3481" t="s">
        <v>1720</v>
      </c>
      <c r="X3481" s="43">
        <v>2.35</v>
      </c>
      <c r="AA3481" s="43"/>
      <c r="AB3481" s="43">
        <v>0.55000000000000004</v>
      </c>
      <c r="AC3481" s="43">
        <v>0.17100000000000001</v>
      </c>
      <c r="AJ3481" s="13">
        <f t="shared" ref="AJ3481:AJ3484" si="313">SUBTOTAL(9,X3481:AI3481)</f>
        <v>3.0710000000000002</v>
      </c>
      <c r="AK3481">
        <v>0</v>
      </c>
    </row>
    <row r="3482" spans="1:37" ht="19">
      <c r="A3482" s="39" t="s">
        <v>17</v>
      </c>
      <c r="B3482" s="8">
        <v>2024</v>
      </c>
      <c r="C3482" s="8" t="s">
        <v>109</v>
      </c>
      <c r="D3482" s="9" t="s">
        <v>109</v>
      </c>
      <c r="E3482" s="9" t="s">
        <v>111</v>
      </c>
      <c r="F3482" s="9" t="s">
        <v>111</v>
      </c>
      <c r="I3482" s="9" t="s">
        <v>116</v>
      </c>
      <c r="J3482" s="9" t="s">
        <v>116</v>
      </c>
      <c r="K3482" s="9" t="s">
        <v>14</v>
      </c>
      <c r="L3482" s="9" t="s">
        <v>209</v>
      </c>
      <c r="M3482" s="14" t="s">
        <v>84</v>
      </c>
      <c r="O3482" t="s">
        <v>2463</v>
      </c>
      <c r="P3482" t="s">
        <v>778</v>
      </c>
      <c r="S3482">
        <v>322</v>
      </c>
      <c r="U3482" s="14" t="s">
        <v>77</v>
      </c>
      <c r="V3482" t="s">
        <v>1720</v>
      </c>
      <c r="X3482" s="43">
        <v>2.35</v>
      </c>
      <c r="AA3482" s="43"/>
      <c r="AB3482" s="43">
        <v>0.55000000000000004</v>
      </c>
      <c r="AC3482" s="43">
        <v>0.16650000000000001</v>
      </c>
      <c r="AJ3482" s="13">
        <f t="shared" si="313"/>
        <v>3.0665000000000004</v>
      </c>
      <c r="AK3482">
        <v>0</v>
      </c>
    </row>
    <row r="3483" spans="1:37" ht="19">
      <c r="A3483" s="39" t="s">
        <v>17</v>
      </c>
      <c r="B3483" s="8">
        <v>2024</v>
      </c>
      <c r="C3483" s="8" t="s">
        <v>109</v>
      </c>
      <c r="D3483" s="9" t="s">
        <v>109</v>
      </c>
      <c r="E3483" s="9" t="s">
        <v>111</v>
      </c>
      <c r="F3483" s="9" t="s">
        <v>111</v>
      </c>
      <c r="I3483" s="9" t="s">
        <v>116</v>
      </c>
      <c r="J3483" s="9" t="s">
        <v>116</v>
      </c>
      <c r="K3483" s="9" t="s">
        <v>14</v>
      </c>
      <c r="L3483" s="9" t="s">
        <v>209</v>
      </c>
      <c r="M3483" s="14" t="s">
        <v>84</v>
      </c>
      <c r="O3483" t="s">
        <v>2468</v>
      </c>
      <c r="P3483" t="s">
        <v>2473</v>
      </c>
      <c r="S3483">
        <v>336</v>
      </c>
      <c r="U3483" s="14" t="s">
        <v>77</v>
      </c>
      <c r="V3483" t="s">
        <v>1720</v>
      </c>
      <c r="X3483" s="43">
        <v>2.6</v>
      </c>
      <c r="AA3483" s="43"/>
      <c r="AB3483" s="43">
        <v>0.6</v>
      </c>
      <c r="AC3483" s="43">
        <v>0.1845</v>
      </c>
      <c r="AJ3483" s="13">
        <f t="shared" si="313"/>
        <v>3.3845000000000001</v>
      </c>
      <c r="AK3483">
        <v>0</v>
      </c>
    </row>
    <row r="3484" spans="1:37" ht="19">
      <c r="A3484" s="39" t="s">
        <v>17</v>
      </c>
      <c r="B3484" s="8">
        <v>2024</v>
      </c>
      <c r="C3484" s="8" t="s">
        <v>109</v>
      </c>
      <c r="D3484" s="9" t="s">
        <v>109</v>
      </c>
      <c r="E3484" s="9" t="s">
        <v>111</v>
      </c>
      <c r="F3484" s="9" t="s">
        <v>111</v>
      </c>
      <c r="I3484" s="9" t="s">
        <v>116</v>
      </c>
      <c r="J3484" s="9" t="s">
        <v>116</v>
      </c>
      <c r="K3484" s="9" t="s">
        <v>14</v>
      </c>
      <c r="L3484" s="9" t="s">
        <v>209</v>
      </c>
      <c r="M3484" s="14" t="s">
        <v>84</v>
      </c>
      <c r="O3484" t="s">
        <v>2463</v>
      </c>
      <c r="P3484" t="s">
        <v>2474</v>
      </c>
      <c r="S3484">
        <v>276</v>
      </c>
      <c r="U3484" s="14" t="s">
        <v>77</v>
      </c>
      <c r="V3484" t="s">
        <v>1720</v>
      </c>
      <c r="X3484" s="43">
        <v>2.0499999999999998</v>
      </c>
      <c r="AA3484" s="43"/>
      <c r="AB3484" s="43">
        <v>0.45</v>
      </c>
      <c r="AC3484" s="43">
        <v>0.14399999999999999</v>
      </c>
      <c r="AJ3484" s="13">
        <f t="shared" si="313"/>
        <v>2.6440000000000001</v>
      </c>
      <c r="AK3484">
        <v>0</v>
      </c>
    </row>
    <row r="3485" spans="1:37" ht="19">
      <c r="A3485" s="39" t="s">
        <v>17</v>
      </c>
      <c r="B3485" s="8">
        <v>2024</v>
      </c>
      <c r="C3485" s="8" t="s">
        <v>109</v>
      </c>
      <c r="D3485" s="9" t="s">
        <v>109</v>
      </c>
      <c r="E3485" s="9" t="s">
        <v>111</v>
      </c>
      <c r="F3485" s="9" t="s">
        <v>111</v>
      </c>
      <c r="I3485" s="9" t="s">
        <v>116</v>
      </c>
      <c r="J3485" s="9" t="s">
        <v>116</v>
      </c>
      <c r="K3485" s="9" t="s">
        <v>14</v>
      </c>
      <c r="L3485" s="9" t="s">
        <v>209</v>
      </c>
      <c r="M3485" s="14" t="s">
        <v>84</v>
      </c>
      <c r="O3485" t="s">
        <v>2463</v>
      </c>
      <c r="P3485" t="s">
        <v>2475</v>
      </c>
      <c r="S3485">
        <v>487</v>
      </c>
      <c r="U3485" t="s">
        <v>112</v>
      </c>
      <c r="V3485" t="s">
        <v>1484</v>
      </c>
      <c r="X3485" s="43">
        <v>3.55</v>
      </c>
      <c r="AA3485" s="43"/>
      <c r="AB3485" s="43">
        <v>0.2</v>
      </c>
      <c r="AC3485" s="43">
        <v>0.252</v>
      </c>
      <c r="AK3485">
        <v>10756856</v>
      </c>
    </row>
    <row r="3486" spans="1:37" ht="19">
      <c r="A3486" s="39" t="s">
        <v>17</v>
      </c>
      <c r="B3486" s="8">
        <v>2024</v>
      </c>
      <c r="C3486" s="8" t="s">
        <v>109</v>
      </c>
      <c r="D3486" s="9" t="s">
        <v>109</v>
      </c>
      <c r="E3486" s="9" t="s">
        <v>111</v>
      </c>
      <c r="F3486" s="9" t="s">
        <v>111</v>
      </c>
      <c r="I3486" s="9" t="s">
        <v>116</v>
      </c>
      <c r="J3486" s="9" t="s">
        <v>116</v>
      </c>
      <c r="K3486" s="9" t="s">
        <v>14</v>
      </c>
      <c r="L3486" s="9" t="s">
        <v>209</v>
      </c>
      <c r="M3486" s="14" t="s">
        <v>84</v>
      </c>
      <c r="O3486" t="s">
        <v>2468</v>
      </c>
      <c r="P3486" t="s">
        <v>2476</v>
      </c>
      <c r="S3486">
        <v>436</v>
      </c>
      <c r="U3486" s="14" t="s">
        <v>77</v>
      </c>
      <c r="V3486" t="s">
        <v>1720</v>
      </c>
      <c r="X3486" s="43">
        <v>3</v>
      </c>
      <c r="AA3486" s="43"/>
      <c r="AB3486" s="43">
        <v>0.65</v>
      </c>
      <c r="AC3486" s="43">
        <v>0.216</v>
      </c>
      <c r="AJ3486" s="13">
        <f t="shared" ref="AJ3486:AJ3487" si="314">SUBTOTAL(9,X3486:AI3486)</f>
        <v>3.8660000000000001</v>
      </c>
      <c r="AK3486">
        <v>0</v>
      </c>
    </row>
    <row r="3487" spans="1:37" ht="19">
      <c r="A3487" s="39" t="s">
        <v>17</v>
      </c>
      <c r="B3487" s="8">
        <v>2024</v>
      </c>
      <c r="C3487" s="8" t="s">
        <v>109</v>
      </c>
      <c r="D3487" s="9" t="s">
        <v>109</v>
      </c>
      <c r="E3487" s="9" t="s">
        <v>111</v>
      </c>
      <c r="F3487" s="9" t="s">
        <v>111</v>
      </c>
      <c r="I3487" s="9" t="s">
        <v>116</v>
      </c>
      <c r="J3487" s="9" t="s">
        <v>116</v>
      </c>
      <c r="K3487" s="9" t="s">
        <v>14</v>
      </c>
      <c r="L3487" s="9" t="s">
        <v>209</v>
      </c>
      <c r="M3487" s="14" t="s">
        <v>84</v>
      </c>
      <c r="O3487" t="s">
        <v>2463</v>
      </c>
      <c r="P3487" t="s">
        <v>2477</v>
      </c>
      <c r="S3487">
        <v>447</v>
      </c>
      <c r="U3487" s="14" t="s">
        <v>77</v>
      </c>
      <c r="V3487" t="s">
        <v>1720</v>
      </c>
      <c r="X3487" s="43">
        <v>3.25</v>
      </c>
      <c r="AA3487" s="43"/>
      <c r="AB3487" s="43">
        <v>0.7</v>
      </c>
      <c r="AC3487" s="43">
        <v>0.22950000000000001</v>
      </c>
      <c r="AJ3487" s="13">
        <f t="shared" si="314"/>
        <v>4.1795</v>
      </c>
      <c r="AK3487">
        <v>0</v>
      </c>
    </row>
    <row r="3488" spans="1:37" ht="19">
      <c r="A3488" s="39" t="s">
        <v>17</v>
      </c>
      <c r="B3488" s="8">
        <v>2024</v>
      </c>
      <c r="C3488" s="8" t="s">
        <v>109</v>
      </c>
      <c r="D3488" s="9" t="s">
        <v>109</v>
      </c>
      <c r="E3488" s="9" t="s">
        <v>111</v>
      </c>
      <c r="F3488" s="9" t="s">
        <v>111</v>
      </c>
      <c r="I3488" s="9" t="s">
        <v>116</v>
      </c>
      <c r="J3488" s="9" t="s">
        <v>116</v>
      </c>
      <c r="K3488" s="9" t="s">
        <v>14</v>
      </c>
      <c r="L3488" s="9" t="s">
        <v>209</v>
      </c>
      <c r="M3488" s="14" t="s">
        <v>84</v>
      </c>
      <c r="O3488" t="s">
        <v>2465</v>
      </c>
      <c r="P3488" t="s">
        <v>2478</v>
      </c>
      <c r="S3488">
        <v>322</v>
      </c>
      <c r="U3488" t="s">
        <v>112</v>
      </c>
      <c r="V3488" t="s">
        <v>1484</v>
      </c>
      <c r="X3488" s="43">
        <v>2.25</v>
      </c>
      <c r="AA3488" s="43"/>
      <c r="AB3488" s="43">
        <v>0.15</v>
      </c>
      <c r="AC3488" s="43">
        <v>0.1575</v>
      </c>
      <c r="AK3488">
        <v>7112336</v>
      </c>
    </row>
    <row r="3489" spans="1:37" ht="19">
      <c r="A3489" s="39" t="s">
        <v>17</v>
      </c>
      <c r="B3489" s="8">
        <v>2024</v>
      </c>
      <c r="C3489" s="8" t="s">
        <v>109</v>
      </c>
      <c r="D3489" s="9" t="s">
        <v>109</v>
      </c>
      <c r="E3489" s="9" t="s">
        <v>111</v>
      </c>
      <c r="F3489" s="9" t="s">
        <v>111</v>
      </c>
      <c r="I3489" s="9" t="s">
        <v>116</v>
      </c>
      <c r="J3489" s="9" t="s">
        <v>116</v>
      </c>
      <c r="K3489" s="9" t="s">
        <v>14</v>
      </c>
      <c r="L3489" s="9" t="s">
        <v>209</v>
      </c>
      <c r="M3489" s="14" t="s">
        <v>84</v>
      </c>
      <c r="O3489" t="s">
        <v>2471</v>
      </c>
      <c r="P3489" t="s">
        <v>2479</v>
      </c>
      <c r="S3489">
        <v>1194</v>
      </c>
      <c r="U3489" t="s">
        <v>112</v>
      </c>
      <c r="V3489" t="s">
        <v>1484</v>
      </c>
      <c r="X3489" s="43">
        <v>8.3000000000000007</v>
      </c>
      <c r="AA3489" s="43"/>
      <c r="AB3489" s="43">
        <v>0.4</v>
      </c>
      <c r="AC3489" s="43">
        <v>0.58950000000000002</v>
      </c>
      <c r="AK3489">
        <v>26373072</v>
      </c>
    </row>
    <row r="3490" spans="1:37" ht="19">
      <c r="A3490" s="39" t="s">
        <v>17</v>
      </c>
      <c r="B3490" s="8">
        <v>2024</v>
      </c>
      <c r="C3490" s="8" t="s">
        <v>109</v>
      </c>
      <c r="D3490" s="9" t="s">
        <v>109</v>
      </c>
      <c r="E3490" s="9" t="s">
        <v>111</v>
      </c>
      <c r="F3490" s="9" t="s">
        <v>111</v>
      </c>
      <c r="I3490" s="9" t="s">
        <v>116</v>
      </c>
      <c r="J3490" s="9" t="s">
        <v>116</v>
      </c>
      <c r="K3490" s="9" t="s">
        <v>14</v>
      </c>
      <c r="L3490" s="9" t="s">
        <v>209</v>
      </c>
      <c r="M3490" s="14" t="s">
        <v>84</v>
      </c>
      <c r="O3490" t="s">
        <v>2468</v>
      </c>
      <c r="P3490" t="s">
        <v>782</v>
      </c>
      <c r="S3490">
        <v>413</v>
      </c>
      <c r="U3490" t="s">
        <v>112</v>
      </c>
      <c r="V3490" t="s">
        <v>1484</v>
      </c>
      <c r="X3490" s="43">
        <v>3.2</v>
      </c>
      <c r="AA3490" s="43"/>
      <c r="AB3490" s="43">
        <v>0.15</v>
      </c>
      <c r="AC3490" s="43">
        <v>0.22500000000000001</v>
      </c>
      <c r="AK3490">
        <v>9120790</v>
      </c>
    </row>
    <row r="3491" spans="1:37" ht="19">
      <c r="A3491" s="39" t="s">
        <v>17</v>
      </c>
      <c r="B3491" s="8">
        <v>2024</v>
      </c>
      <c r="C3491" s="8" t="s">
        <v>109</v>
      </c>
      <c r="D3491" s="9" t="s">
        <v>109</v>
      </c>
      <c r="E3491" s="9" t="s">
        <v>111</v>
      </c>
      <c r="F3491" s="9" t="s">
        <v>111</v>
      </c>
      <c r="I3491" s="9" t="s">
        <v>116</v>
      </c>
      <c r="J3491" s="9" t="s">
        <v>116</v>
      </c>
      <c r="K3491" s="9" t="s">
        <v>14</v>
      </c>
      <c r="L3491" s="9" t="s">
        <v>209</v>
      </c>
      <c r="M3491" s="14" t="s">
        <v>84</v>
      </c>
      <c r="O3491" t="s">
        <v>2463</v>
      </c>
      <c r="P3491" t="s">
        <v>785</v>
      </c>
      <c r="S3491">
        <v>258</v>
      </c>
      <c r="U3491" t="s">
        <v>112</v>
      </c>
      <c r="V3491" t="s">
        <v>1484</v>
      </c>
      <c r="X3491" s="43">
        <v>1.9</v>
      </c>
      <c r="AA3491" s="43"/>
      <c r="AB3491" s="43">
        <v>0.1</v>
      </c>
      <c r="AC3491" s="43">
        <v>0.13500000000000001</v>
      </c>
      <c r="AK3491">
        <v>5698304</v>
      </c>
    </row>
    <row r="3492" spans="1:37" ht="19">
      <c r="A3492" s="39" t="s">
        <v>17</v>
      </c>
      <c r="B3492" s="8">
        <v>2024</v>
      </c>
      <c r="C3492" s="8" t="s">
        <v>109</v>
      </c>
      <c r="D3492" s="9" t="s">
        <v>109</v>
      </c>
      <c r="E3492" s="9" t="s">
        <v>111</v>
      </c>
      <c r="F3492" s="9" t="s">
        <v>111</v>
      </c>
      <c r="I3492" s="9" t="s">
        <v>116</v>
      </c>
      <c r="J3492" s="9" t="s">
        <v>116</v>
      </c>
      <c r="K3492" s="9" t="s">
        <v>14</v>
      </c>
      <c r="L3492" s="9" t="s">
        <v>209</v>
      </c>
      <c r="M3492" s="14" t="s">
        <v>84</v>
      </c>
      <c r="O3492" t="s">
        <v>2463</v>
      </c>
      <c r="P3492" t="s">
        <v>2057</v>
      </c>
      <c r="S3492">
        <v>286</v>
      </c>
      <c r="U3492" t="s">
        <v>112</v>
      </c>
      <c r="V3492" t="s">
        <v>1484</v>
      </c>
      <c r="X3492" s="43">
        <v>2.0499999999999998</v>
      </c>
      <c r="AA3492" s="43"/>
      <c r="AB3492" s="43">
        <v>0.1</v>
      </c>
      <c r="AC3492" s="43">
        <v>0.14849999999999999</v>
      </c>
      <c r="AK3492">
        <v>6317168</v>
      </c>
    </row>
    <row r="3493" spans="1:37" ht="19">
      <c r="A3493" s="39" t="s">
        <v>17</v>
      </c>
      <c r="B3493" s="8">
        <v>2024</v>
      </c>
      <c r="C3493" s="8" t="s">
        <v>109</v>
      </c>
      <c r="D3493" s="9" t="s">
        <v>109</v>
      </c>
      <c r="E3493" s="9" t="s">
        <v>111</v>
      </c>
      <c r="F3493" s="9" t="s">
        <v>111</v>
      </c>
      <c r="I3493" s="9" t="s">
        <v>116</v>
      </c>
      <c r="J3493" s="9" t="s">
        <v>116</v>
      </c>
      <c r="K3493" s="9" t="s">
        <v>14</v>
      </c>
      <c r="L3493" s="9" t="s">
        <v>209</v>
      </c>
      <c r="M3493" s="14" t="s">
        <v>84</v>
      </c>
      <c r="O3493" t="s">
        <v>2468</v>
      </c>
      <c r="P3493" t="s">
        <v>2480</v>
      </c>
      <c r="S3493">
        <v>412</v>
      </c>
      <c r="U3493" t="s">
        <v>112</v>
      </c>
      <c r="V3493" t="s">
        <v>1484</v>
      </c>
      <c r="X3493" s="43">
        <v>2.9</v>
      </c>
      <c r="AA3493" s="43"/>
      <c r="AB3493" s="43">
        <v>0.15</v>
      </c>
      <c r="AC3493" s="43">
        <v>0.20699999999999999</v>
      </c>
      <c r="AK3493">
        <v>9072461</v>
      </c>
    </row>
    <row r="3494" spans="1:37" ht="19">
      <c r="A3494" s="39" t="s">
        <v>17</v>
      </c>
      <c r="B3494" s="8">
        <v>2024</v>
      </c>
      <c r="C3494" s="8" t="s">
        <v>109</v>
      </c>
      <c r="D3494" s="9" t="s">
        <v>109</v>
      </c>
      <c r="E3494" s="9" t="s">
        <v>111</v>
      </c>
      <c r="F3494" s="9" t="s">
        <v>111</v>
      </c>
      <c r="I3494" s="9" t="s">
        <v>116</v>
      </c>
      <c r="J3494" s="9" t="s">
        <v>116</v>
      </c>
      <c r="K3494" s="9" t="s">
        <v>14</v>
      </c>
      <c r="L3494" s="9" t="s">
        <v>209</v>
      </c>
      <c r="M3494" s="14" t="s">
        <v>84</v>
      </c>
      <c r="O3494" t="s">
        <v>2468</v>
      </c>
      <c r="P3494" t="s">
        <v>339</v>
      </c>
      <c r="S3494">
        <v>260</v>
      </c>
      <c r="U3494" t="s">
        <v>112</v>
      </c>
      <c r="V3494" t="s">
        <v>1484</v>
      </c>
      <c r="X3494" s="43">
        <v>2</v>
      </c>
      <c r="AA3494" s="43"/>
      <c r="AB3494" s="43">
        <v>0.1</v>
      </c>
      <c r="AC3494" s="43">
        <v>0.14399999999999999</v>
      </c>
      <c r="AK3494">
        <v>5694950</v>
      </c>
    </row>
    <row r="3495" spans="1:37" ht="19">
      <c r="A3495" s="39" t="s">
        <v>17</v>
      </c>
      <c r="B3495" s="8">
        <v>2024</v>
      </c>
      <c r="C3495" s="8" t="s">
        <v>109</v>
      </c>
      <c r="D3495" s="9" t="s">
        <v>109</v>
      </c>
      <c r="E3495" s="9" t="s">
        <v>111</v>
      </c>
      <c r="F3495" s="9" t="s">
        <v>111</v>
      </c>
      <c r="I3495" s="9" t="s">
        <v>116</v>
      </c>
      <c r="J3495" s="9" t="s">
        <v>116</v>
      </c>
      <c r="K3495" s="9" t="s">
        <v>14</v>
      </c>
      <c r="L3495" s="9" t="s">
        <v>209</v>
      </c>
      <c r="M3495" s="14" t="s">
        <v>84</v>
      </c>
      <c r="O3495" t="s">
        <v>2463</v>
      </c>
      <c r="P3495" t="s">
        <v>2481</v>
      </c>
      <c r="S3495">
        <v>318</v>
      </c>
      <c r="U3495" s="14" t="s">
        <v>77</v>
      </c>
      <c r="V3495" t="s">
        <v>1720</v>
      </c>
      <c r="X3495" s="43">
        <v>2.15</v>
      </c>
      <c r="AA3495" s="43"/>
      <c r="AB3495" s="43">
        <v>0.45</v>
      </c>
      <c r="AC3495" s="43">
        <v>0.153</v>
      </c>
      <c r="AJ3495" s="13">
        <f t="shared" ref="AJ3495:AJ3496" si="315">SUBTOTAL(9,X3495:AI3495)</f>
        <v>2.7530000000000001</v>
      </c>
      <c r="AK3495">
        <v>0</v>
      </c>
    </row>
    <row r="3496" spans="1:37" ht="19">
      <c r="A3496" s="39" t="s">
        <v>17</v>
      </c>
      <c r="B3496" s="8">
        <v>2024</v>
      </c>
      <c r="C3496" s="8" t="s">
        <v>109</v>
      </c>
      <c r="D3496" s="9" t="s">
        <v>109</v>
      </c>
      <c r="E3496" s="9" t="s">
        <v>111</v>
      </c>
      <c r="F3496" s="9" t="s">
        <v>111</v>
      </c>
      <c r="I3496" s="9" t="s">
        <v>116</v>
      </c>
      <c r="J3496" s="9" t="s">
        <v>116</v>
      </c>
      <c r="K3496" s="9" t="s">
        <v>14</v>
      </c>
      <c r="L3496" s="9" t="s">
        <v>209</v>
      </c>
      <c r="M3496" s="14" t="s">
        <v>84</v>
      </c>
      <c r="O3496" t="s">
        <v>2463</v>
      </c>
      <c r="P3496" t="s">
        <v>2482</v>
      </c>
      <c r="S3496">
        <v>266</v>
      </c>
      <c r="U3496" s="14" t="s">
        <v>77</v>
      </c>
      <c r="V3496" t="s">
        <v>1720</v>
      </c>
      <c r="X3496" s="43">
        <v>1.85</v>
      </c>
      <c r="AA3496" s="43"/>
      <c r="AB3496" s="43">
        <v>0.4</v>
      </c>
      <c r="AC3496" s="43">
        <v>0.1305</v>
      </c>
      <c r="AJ3496" s="13">
        <f t="shared" si="315"/>
        <v>2.3805000000000001</v>
      </c>
      <c r="AK3496">
        <v>0</v>
      </c>
    </row>
    <row r="3497" spans="1:37" ht="19">
      <c r="A3497" s="39" t="s">
        <v>17</v>
      </c>
      <c r="B3497" s="8">
        <v>2024</v>
      </c>
      <c r="C3497" s="8" t="s">
        <v>109</v>
      </c>
      <c r="D3497" s="9" t="s">
        <v>109</v>
      </c>
      <c r="E3497" s="9" t="s">
        <v>111</v>
      </c>
      <c r="F3497" s="9" t="s">
        <v>111</v>
      </c>
      <c r="I3497" s="9" t="s">
        <v>116</v>
      </c>
      <c r="J3497" s="9" t="s">
        <v>116</v>
      </c>
      <c r="K3497" s="9" t="s">
        <v>14</v>
      </c>
      <c r="L3497" s="9" t="s">
        <v>209</v>
      </c>
      <c r="M3497" s="14" t="s">
        <v>84</v>
      </c>
      <c r="O3497" t="s">
        <v>2468</v>
      </c>
      <c r="P3497" t="s">
        <v>2483</v>
      </c>
      <c r="S3497">
        <v>434</v>
      </c>
      <c r="U3497" t="s">
        <v>112</v>
      </c>
      <c r="V3497" t="s">
        <v>1484</v>
      </c>
      <c r="X3497" s="43">
        <v>3.2</v>
      </c>
      <c r="AA3497" s="43"/>
      <c r="AB3497" s="43">
        <v>0.15</v>
      </c>
      <c r="AC3497" s="43">
        <v>0.22950000000000001</v>
      </c>
      <c r="AK3497">
        <v>9586062</v>
      </c>
    </row>
    <row r="3498" spans="1:37" ht="19">
      <c r="A3498" s="39" t="s">
        <v>17</v>
      </c>
      <c r="B3498" s="8">
        <v>2024</v>
      </c>
      <c r="C3498" s="8" t="s">
        <v>109</v>
      </c>
      <c r="D3498" s="9" t="s">
        <v>109</v>
      </c>
      <c r="E3498" s="9" t="s">
        <v>111</v>
      </c>
      <c r="F3498" s="9" t="s">
        <v>111</v>
      </c>
      <c r="I3498" s="9" t="s">
        <v>116</v>
      </c>
      <c r="J3498" s="9" t="s">
        <v>116</v>
      </c>
      <c r="K3498" s="9" t="s">
        <v>14</v>
      </c>
      <c r="L3498" s="9" t="s">
        <v>209</v>
      </c>
      <c r="M3498" s="14" t="s">
        <v>84</v>
      </c>
      <c r="O3498" t="s">
        <v>2468</v>
      </c>
      <c r="P3498" t="s">
        <v>761</v>
      </c>
      <c r="S3498">
        <v>385</v>
      </c>
      <c r="U3498" s="14" t="s">
        <v>77</v>
      </c>
      <c r="V3498" t="s">
        <v>1720</v>
      </c>
      <c r="X3498" s="43">
        <v>2.95</v>
      </c>
      <c r="AA3498" s="43"/>
      <c r="AB3498" s="43">
        <v>0.65</v>
      </c>
      <c r="AC3498" s="43">
        <v>0.21149999999999999</v>
      </c>
      <c r="AJ3498" s="13">
        <f>SUBTOTAL(9,X3498:AI3498)</f>
        <v>3.8115000000000001</v>
      </c>
      <c r="AK3498">
        <v>0</v>
      </c>
    </row>
    <row r="3499" spans="1:37" ht="19">
      <c r="A3499" s="39" t="s">
        <v>17</v>
      </c>
      <c r="B3499" s="8">
        <v>2024</v>
      </c>
      <c r="C3499" s="8" t="s">
        <v>109</v>
      </c>
      <c r="D3499" s="9" t="s">
        <v>109</v>
      </c>
      <c r="E3499" s="9" t="s">
        <v>111</v>
      </c>
      <c r="F3499" s="9" t="s">
        <v>111</v>
      </c>
      <c r="I3499" s="9" t="s">
        <v>116</v>
      </c>
      <c r="J3499" s="9" t="s">
        <v>116</v>
      </c>
      <c r="K3499" s="9" t="s">
        <v>14</v>
      </c>
      <c r="L3499" s="9" t="s">
        <v>209</v>
      </c>
      <c r="M3499" s="14" t="s">
        <v>84</v>
      </c>
      <c r="O3499" t="s">
        <v>2484</v>
      </c>
      <c r="P3499" t="s">
        <v>302</v>
      </c>
      <c r="S3499">
        <v>145</v>
      </c>
      <c r="U3499" t="s">
        <v>112</v>
      </c>
      <c r="V3499" t="s">
        <v>1484</v>
      </c>
      <c r="X3499" s="43">
        <v>0.95</v>
      </c>
      <c r="AA3499" s="43"/>
      <c r="AB3499" s="43">
        <v>0.05</v>
      </c>
      <c r="AC3499" s="43">
        <v>6.7500000000000004E-2</v>
      </c>
      <c r="AK3499">
        <v>3200460</v>
      </c>
    </row>
    <row r="3500" spans="1:37" ht="19">
      <c r="A3500" s="39" t="s">
        <v>17</v>
      </c>
      <c r="B3500" s="8">
        <v>2024</v>
      </c>
      <c r="C3500" s="8" t="s">
        <v>109</v>
      </c>
      <c r="D3500" s="9" t="s">
        <v>109</v>
      </c>
      <c r="E3500" s="9" t="s">
        <v>111</v>
      </c>
      <c r="F3500" s="9" t="s">
        <v>111</v>
      </c>
      <c r="I3500" s="9" t="s">
        <v>116</v>
      </c>
      <c r="J3500" s="9" t="s">
        <v>116</v>
      </c>
      <c r="K3500" s="9" t="s">
        <v>14</v>
      </c>
      <c r="L3500" s="9" t="s">
        <v>209</v>
      </c>
      <c r="M3500" s="14" t="s">
        <v>84</v>
      </c>
      <c r="O3500" t="s">
        <v>296</v>
      </c>
      <c r="P3500" t="s">
        <v>1837</v>
      </c>
      <c r="S3500">
        <v>136</v>
      </c>
      <c r="U3500" t="s">
        <v>112</v>
      </c>
      <c r="V3500" t="s">
        <v>1484</v>
      </c>
      <c r="X3500" s="43">
        <v>0.85</v>
      </c>
      <c r="AA3500" s="43"/>
      <c r="AB3500" s="43">
        <v>0.05</v>
      </c>
      <c r="AC3500" s="43">
        <v>5.8500000000000003E-2</v>
      </c>
      <c r="AK3500">
        <v>3003512</v>
      </c>
    </row>
    <row r="3501" spans="1:37" ht="19">
      <c r="A3501" s="39" t="s">
        <v>17</v>
      </c>
      <c r="B3501" s="8">
        <v>2024</v>
      </c>
      <c r="C3501" s="8" t="s">
        <v>109</v>
      </c>
      <c r="D3501" s="9" t="s">
        <v>109</v>
      </c>
      <c r="E3501" s="9" t="s">
        <v>111</v>
      </c>
      <c r="F3501" s="9" t="s">
        <v>111</v>
      </c>
      <c r="I3501" s="9" t="s">
        <v>116</v>
      </c>
      <c r="J3501" s="9" t="s">
        <v>116</v>
      </c>
      <c r="K3501" s="9" t="s">
        <v>14</v>
      </c>
      <c r="L3501" s="9" t="s">
        <v>209</v>
      </c>
      <c r="M3501" s="14" t="s">
        <v>84</v>
      </c>
      <c r="O3501" t="s">
        <v>2484</v>
      </c>
      <c r="P3501" t="s">
        <v>2485</v>
      </c>
      <c r="S3501">
        <v>211</v>
      </c>
      <c r="U3501" t="s">
        <v>112</v>
      </c>
      <c r="V3501" t="s">
        <v>1484</v>
      </c>
      <c r="X3501" s="43">
        <v>1.25</v>
      </c>
      <c r="AA3501" s="43"/>
      <c r="AB3501" s="43">
        <v>0.1</v>
      </c>
      <c r="AC3501" s="43">
        <v>0.09</v>
      </c>
      <c r="AK3501">
        <v>4650868</v>
      </c>
    </row>
    <row r="3502" spans="1:37" ht="19">
      <c r="A3502" s="39" t="s">
        <v>17</v>
      </c>
      <c r="B3502" s="8">
        <v>2024</v>
      </c>
      <c r="C3502" s="8" t="s">
        <v>109</v>
      </c>
      <c r="D3502" s="9" t="s">
        <v>109</v>
      </c>
      <c r="E3502" s="9" t="s">
        <v>111</v>
      </c>
      <c r="F3502" s="9" t="s">
        <v>111</v>
      </c>
      <c r="I3502" s="9" t="s">
        <v>116</v>
      </c>
      <c r="J3502" s="9" t="s">
        <v>116</v>
      </c>
      <c r="K3502" s="9" t="s">
        <v>14</v>
      </c>
      <c r="L3502" s="9" t="s">
        <v>209</v>
      </c>
      <c r="M3502" s="14" t="s">
        <v>84</v>
      </c>
      <c r="O3502" t="s">
        <v>2484</v>
      </c>
      <c r="P3502" t="s">
        <v>309</v>
      </c>
      <c r="S3502">
        <v>257</v>
      </c>
      <c r="U3502" t="s">
        <v>112</v>
      </c>
      <c r="V3502" t="s">
        <v>1484</v>
      </c>
      <c r="X3502" s="43">
        <v>1.65</v>
      </c>
      <c r="AA3502" s="43"/>
      <c r="AB3502" s="43">
        <v>0.1</v>
      </c>
      <c r="AC3502" s="43">
        <v>0.11700000000000001</v>
      </c>
      <c r="AK3502">
        <v>5676616</v>
      </c>
    </row>
    <row r="3503" spans="1:37" ht="19">
      <c r="A3503" s="39" t="s">
        <v>17</v>
      </c>
      <c r="B3503" s="8">
        <v>2024</v>
      </c>
      <c r="C3503" s="8" t="s">
        <v>109</v>
      </c>
      <c r="D3503" s="9" t="s">
        <v>109</v>
      </c>
      <c r="E3503" s="9" t="s">
        <v>111</v>
      </c>
      <c r="F3503" s="9" t="s">
        <v>111</v>
      </c>
      <c r="I3503" s="9" t="s">
        <v>116</v>
      </c>
      <c r="J3503" s="9" t="s">
        <v>116</v>
      </c>
      <c r="K3503" s="9" t="s">
        <v>14</v>
      </c>
      <c r="L3503" s="9" t="s">
        <v>209</v>
      </c>
      <c r="M3503" s="14" t="s">
        <v>84</v>
      </c>
      <c r="O3503" t="s">
        <v>2484</v>
      </c>
      <c r="P3503" t="s">
        <v>2486</v>
      </c>
      <c r="S3503">
        <v>211</v>
      </c>
      <c r="U3503" t="s">
        <v>112</v>
      </c>
      <c r="V3503" t="s">
        <v>1484</v>
      </c>
      <c r="X3503" s="43">
        <v>1.25</v>
      </c>
      <c r="AA3503" s="43"/>
      <c r="AB3503" s="43">
        <v>0.1</v>
      </c>
      <c r="AC3503" s="43">
        <v>0.09</v>
      </c>
      <c r="AK3503">
        <v>4616768</v>
      </c>
    </row>
    <row r="3504" spans="1:37" ht="19">
      <c r="A3504" s="39" t="s">
        <v>17</v>
      </c>
      <c r="B3504" s="8">
        <v>2024</v>
      </c>
      <c r="C3504" s="8" t="s">
        <v>109</v>
      </c>
      <c r="D3504" s="9" t="s">
        <v>109</v>
      </c>
      <c r="E3504" s="9" t="s">
        <v>111</v>
      </c>
      <c r="F3504" s="9" t="s">
        <v>111</v>
      </c>
      <c r="I3504" s="9" t="s">
        <v>116</v>
      </c>
      <c r="J3504" s="9" t="s">
        <v>116</v>
      </c>
      <c r="K3504" s="9" t="s">
        <v>14</v>
      </c>
      <c r="L3504" s="9" t="s">
        <v>209</v>
      </c>
      <c r="M3504" s="14" t="s">
        <v>84</v>
      </c>
      <c r="O3504" t="s">
        <v>296</v>
      </c>
      <c r="P3504" t="s">
        <v>2487</v>
      </c>
      <c r="S3504">
        <v>154</v>
      </c>
      <c r="U3504" t="s">
        <v>112</v>
      </c>
      <c r="V3504" t="s">
        <v>1484</v>
      </c>
      <c r="X3504" s="43">
        <v>0.85</v>
      </c>
      <c r="AA3504" s="43"/>
      <c r="AB3504" s="43">
        <v>0.1</v>
      </c>
      <c r="AC3504" s="43">
        <v>5.8500000000000003E-2</v>
      </c>
      <c r="AK3504">
        <v>3401552</v>
      </c>
    </row>
    <row r="3505" spans="1:37" ht="19">
      <c r="A3505" s="39" t="s">
        <v>17</v>
      </c>
      <c r="B3505" s="8">
        <v>2024</v>
      </c>
      <c r="C3505" s="8" t="s">
        <v>109</v>
      </c>
      <c r="D3505" s="9" t="s">
        <v>109</v>
      </c>
      <c r="E3505" s="9" t="s">
        <v>111</v>
      </c>
      <c r="F3505" s="9" t="s">
        <v>111</v>
      </c>
      <c r="I3505" s="9" t="s">
        <v>116</v>
      </c>
      <c r="J3505" s="9" t="s">
        <v>116</v>
      </c>
      <c r="K3505" s="9" t="s">
        <v>14</v>
      </c>
      <c r="L3505" s="9" t="s">
        <v>209</v>
      </c>
      <c r="M3505" s="14" t="s">
        <v>84</v>
      </c>
      <c r="O3505" t="s">
        <v>2488</v>
      </c>
      <c r="P3505" t="s">
        <v>339</v>
      </c>
      <c r="S3505">
        <v>251</v>
      </c>
      <c r="U3505" s="14" t="s">
        <v>77</v>
      </c>
      <c r="V3505" t="s">
        <v>1720</v>
      </c>
      <c r="X3505" s="43">
        <v>1.7</v>
      </c>
      <c r="AA3505" s="43"/>
      <c r="AB3505" s="43">
        <v>0.4</v>
      </c>
      <c r="AC3505" s="43">
        <v>0.1215</v>
      </c>
      <c r="AJ3505" s="13">
        <f>SUBTOTAL(9,X3505:AI3505)</f>
        <v>2.2215000000000003</v>
      </c>
      <c r="AK3505">
        <v>0</v>
      </c>
    </row>
    <row r="3506" spans="1:37" ht="19">
      <c r="A3506" s="39" t="s">
        <v>17</v>
      </c>
      <c r="B3506" s="8">
        <v>2024</v>
      </c>
      <c r="C3506" s="8" t="s">
        <v>109</v>
      </c>
      <c r="D3506" s="9" t="s">
        <v>109</v>
      </c>
      <c r="E3506" s="9" t="s">
        <v>111</v>
      </c>
      <c r="F3506" s="9" t="s">
        <v>111</v>
      </c>
      <c r="I3506" s="9" t="s">
        <v>116</v>
      </c>
      <c r="J3506" s="9" t="s">
        <v>116</v>
      </c>
      <c r="K3506" s="9" t="s">
        <v>14</v>
      </c>
      <c r="L3506" s="9" t="s">
        <v>209</v>
      </c>
      <c r="M3506" s="14" t="s">
        <v>84</v>
      </c>
      <c r="O3506" t="s">
        <v>296</v>
      </c>
      <c r="P3506" t="s">
        <v>2489</v>
      </c>
      <c r="S3506">
        <v>160</v>
      </c>
      <c r="U3506" t="s">
        <v>112</v>
      </c>
      <c r="V3506" t="s">
        <v>1484</v>
      </c>
      <c r="X3506" s="43">
        <v>1</v>
      </c>
      <c r="AA3506" s="43"/>
      <c r="AB3506" s="43">
        <v>0.1</v>
      </c>
      <c r="AC3506" s="43">
        <v>7.1999999999999995E-2</v>
      </c>
      <c r="AK3506">
        <v>3534080</v>
      </c>
    </row>
    <row r="3507" spans="1:37" ht="19">
      <c r="A3507" s="39" t="s">
        <v>17</v>
      </c>
      <c r="B3507" s="8">
        <v>2024</v>
      </c>
      <c r="C3507" s="8" t="s">
        <v>109</v>
      </c>
      <c r="D3507" s="9" t="s">
        <v>109</v>
      </c>
      <c r="E3507" s="9" t="s">
        <v>111</v>
      </c>
      <c r="F3507" s="9" t="s">
        <v>111</v>
      </c>
      <c r="I3507" s="9" t="s">
        <v>116</v>
      </c>
      <c r="J3507" s="9" t="s">
        <v>116</v>
      </c>
      <c r="K3507" s="9" t="s">
        <v>14</v>
      </c>
      <c r="L3507" s="9" t="s">
        <v>209</v>
      </c>
      <c r="M3507" s="14" t="s">
        <v>84</v>
      </c>
      <c r="O3507" t="s">
        <v>296</v>
      </c>
      <c r="P3507" t="s">
        <v>2490</v>
      </c>
      <c r="S3507">
        <v>307</v>
      </c>
      <c r="U3507" t="s">
        <v>112</v>
      </c>
      <c r="V3507" t="s">
        <v>1484</v>
      </c>
      <c r="X3507" s="43">
        <v>1.95</v>
      </c>
      <c r="AA3507" s="43"/>
      <c r="AB3507" s="43">
        <v>0.15</v>
      </c>
      <c r="AC3507" s="43">
        <v>0.13950000000000001</v>
      </c>
      <c r="AK3507">
        <v>6757016</v>
      </c>
    </row>
    <row r="3508" spans="1:37" ht="19">
      <c r="A3508" s="39" t="s">
        <v>17</v>
      </c>
      <c r="B3508" s="8">
        <v>2024</v>
      </c>
      <c r="C3508" s="8" t="s">
        <v>109</v>
      </c>
      <c r="D3508" s="9" t="s">
        <v>109</v>
      </c>
      <c r="E3508" s="9" t="s">
        <v>111</v>
      </c>
      <c r="F3508" s="9" t="s">
        <v>111</v>
      </c>
      <c r="I3508" s="9" t="s">
        <v>116</v>
      </c>
      <c r="J3508" s="9" t="s">
        <v>116</v>
      </c>
      <c r="K3508" s="9" t="s">
        <v>14</v>
      </c>
      <c r="L3508" s="9" t="s">
        <v>209</v>
      </c>
      <c r="M3508" s="14" t="s">
        <v>84</v>
      </c>
      <c r="O3508" t="s">
        <v>2484</v>
      </c>
      <c r="P3508" t="s">
        <v>2491</v>
      </c>
      <c r="S3508">
        <v>145</v>
      </c>
      <c r="U3508" t="s">
        <v>112</v>
      </c>
      <c r="V3508" t="s">
        <v>1484</v>
      </c>
      <c r="X3508" s="43">
        <v>0.95</v>
      </c>
      <c r="AA3508" s="43"/>
      <c r="AB3508" s="43">
        <v>0.05</v>
      </c>
      <c r="AC3508" s="43">
        <v>6.7500000000000004E-2</v>
      </c>
      <c r="AK3508">
        <v>3201815</v>
      </c>
    </row>
    <row r="3509" spans="1:37" ht="19">
      <c r="A3509" s="39" t="s">
        <v>17</v>
      </c>
      <c r="B3509" s="8">
        <v>2024</v>
      </c>
      <c r="C3509" s="8" t="s">
        <v>109</v>
      </c>
      <c r="D3509" s="9" t="s">
        <v>109</v>
      </c>
      <c r="E3509" s="9" t="s">
        <v>111</v>
      </c>
      <c r="F3509" s="9" t="s">
        <v>111</v>
      </c>
      <c r="I3509" s="9" t="s">
        <v>116</v>
      </c>
      <c r="J3509" s="9" t="s">
        <v>116</v>
      </c>
      <c r="K3509" s="9" t="s">
        <v>14</v>
      </c>
      <c r="L3509" s="9" t="s">
        <v>209</v>
      </c>
      <c r="M3509" s="14" t="s">
        <v>84</v>
      </c>
      <c r="O3509" t="s">
        <v>2488</v>
      </c>
      <c r="P3509" t="s">
        <v>650</v>
      </c>
      <c r="S3509">
        <v>271</v>
      </c>
      <c r="U3509" s="14" t="s">
        <v>77</v>
      </c>
      <c r="V3509" t="s">
        <v>1720</v>
      </c>
      <c r="X3509" s="43">
        <v>1.8</v>
      </c>
      <c r="AA3509" s="43"/>
      <c r="AB3509" s="43">
        <v>0.4</v>
      </c>
      <c r="AC3509" s="43">
        <v>0.126</v>
      </c>
      <c r="AJ3509" s="13">
        <f>SUBTOTAL(9,X3509:AI3509)</f>
        <v>2.3260000000000001</v>
      </c>
      <c r="AK3509">
        <v>0</v>
      </c>
    </row>
    <row r="3510" spans="1:37" ht="19">
      <c r="A3510" s="39" t="s">
        <v>17</v>
      </c>
      <c r="B3510" s="8">
        <v>2024</v>
      </c>
      <c r="C3510" s="8" t="s">
        <v>109</v>
      </c>
      <c r="D3510" s="9" t="s">
        <v>109</v>
      </c>
      <c r="E3510" s="9" t="s">
        <v>111</v>
      </c>
      <c r="F3510" s="9" t="s">
        <v>111</v>
      </c>
      <c r="I3510" s="9" t="s">
        <v>116</v>
      </c>
      <c r="J3510" s="9" t="s">
        <v>116</v>
      </c>
      <c r="K3510" s="9" t="s">
        <v>14</v>
      </c>
      <c r="L3510" s="9" t="s">
        <v>209</v>
      </c>
      <c r="M3510" s="14" t="s">
        <v>84</v>
      </c>
      <c r="O3510" t="s">
        <v>2484</v>
      </c>
      <c r="P3510" t="s">
        <v>2492</v>
      </c>
      <c r="S3510">
        <v>148</v>
      </c>
      <c r="U3510" t="s">
        <v>112</v>
      </c>
      <c r="V3510" t="s">
        <v>1484</v>
      </c>
      <c r="X3510" s="43">
        <v>1</v>
      </c>
      <c r="AA3510" s="43"/>
      <c r="AB3510" s="43">
        <v>0.05</v>
      </c>
      <c r="AC3510" s="43">
        <v>7.1999999999999995E-2</v>
      </c>
      <c r="AK3510">
        <v>3233684</v>
      </c>
    </row>
    <row r="3511" spans="1:37" ht="19">
      <c r="A3511" s="39" t="s">
        <v>17</v>
      </c>
      <c r="B3511" s="8">
        <v>2024</v>
      </c>
      <c r="C3511" s="8" t="s">
        <v>109</v>
      </c>
      <c r="D3511" s="9" t="s">
        <v>109</v>
      </c>
      <c r="E3511" s="9" t="s">
        <v>111</v>
      </c>
      <c r="F3511" s="9" t="s">
        <v>111</v>
      </c>
      <c r="I3511" s="9" t="s">
        <v>116</v>
      </c>
      <c r="J3511" s="9" t="s">
        <v>116</v>
      </c>
      <c r="K3511" s="9" t="s">
        <v>14</v>
      </c>
      <c r="L3511" s="9" t="s">
        <v>209</v>
      </c>
      <c r="M3511" s="14" t="s">
        <v>84</v>
      </c>
      <c r="O3511" t="s">
        <v>2484</v>
      </c>
      <c r="P3511" t="s">
        <v>310</v>
      </c>
      <c r="S3511">
        <v>241</v>
      </c>
      <c r="U3511" t="s">
        <v>112</v>
      </c>
      <c r="V3511" t="s">
        <v>1484</v>
      </c>
      <c r="X3511" s="43">
        <v>1.55</v>
      </c>
      <c r="AA3511" s="43"/>
      <c r="AB3511" s="43">
        <v>0.1</v>
      </c>
      <c r="AC3511" s="43">
        <v>0.1125</v>
      </c>
      <c r="AK3511">
        <v>5323208</v>
      </c>
    </row>
    <row r="3512" spans="1:37" ht="19">
      <c r="A3512" s="39" t="s">
        <v>17</v>
      </c>
      <c r="B3512" s="8">
        <v>2024</v>
      </c>
      <c r="C3512" s="8" t="s">
        <v>109</v>
      </c>
      <c r="D3512" s="9" t="s">
        <v>109</v>
      </c>
      <c r="E3512" s="9" t="s">
        <v>111</v>
      </c>
      <c r="F3512" s="9" t="s">
        <v>111</v>
      </c>
      <c r="I3512" s="9" t="s">
        <v>116</v>
      </c>
      <c r="J3512" s="9" t="s">
        <v>116</v>
      </c>
      <c r="K3512" s="9" t="s">
        <v>14</v>
      </c>
      <c r="L3512" s="9" t="s">
        <v>209</v>
      </c>
      <c r="M3512" s="14" t="s">
        <v>84</v>
      </c>
      <c r="O3512" t="s">
        <v>2484</v>
      </c>
      <c r="P3512" t="s">
        <v>2493</v>
      </c>
      <c r="S3512">
        <v>252</v>
      </c>
      <c r="U3512" t="s">
        <v>112</v>
      </c>
      <c r="V3512" t="s">
        <v>1484</v>
      </c>
      <c r="X3512" s="43">
        <v>1.65</v>
      </c>
      <c r="AA3512" s="43"/>
      <c r="AB3512" s="43">
        <v>0.1</v>
      </c>
      <c r="AC3512" s="43">
        <v>0.11700000000000001</v>
      </c>
      <c r="AK3512">
        <v>5566176</v>
      </c>
    </row>
    <row r="3513" spans="1:37" ht="19">
      <c r="A3513" s="39" t="s">
        <v>17</v>
      </c>
      <c r="B3513" s="8">
        <v>2024</v>
      </c>
      <c r="C3513" s="8" t="s">
        <v>109</v>
      </c>
      <c r="D3513" s="9" t="s">
        <v>109</v>
      </c>
      <c r="E3513" s="9" t="s">
        <v>111</v>
      </c>
      <c r="F3513" s="9" t="s">
        <v>111</v>
      </c>
      <c r="I3513" s="9" t="s">
        <v>116</v>
      </c>
      <c r="J3513" s="9" t="s">
        <v>116</v>
      </c>
      <c r="K3513" s="9" t="s">
        <v>14</v>
      </c>
      <c r="L3513" s="9" t="s">
        <v>209</v>
      </c>
      <c r="M3513" s="14" t="s">
        <v>84</v>
      </c>
      <c r="O3513" t="s">
        <v>2484</v>
      </c>
      <c r="P3513" t="s">
        <v>2494</v>
      </c>
      <c r="S3513">
        <v>102</v>
      </c>
      <c r="U3513" s="14" t="s">
        <v>77</v>
      </c>
      <c r="V3513" t="s">
        <v>1720</v>
      </c>
      <c r="X3513" s="43">
        <v>0.55000000000000004</v>
      </c>
      <c r="AA3513" s="43"/>
      <c r="AB3513" s="43">
        <v>0</v>
      </c>
      <c r="AC3513" s="43">
        <v>3.5999999999999997E-2</v>
      </c>
      <c r="AJ3513" s="13">
        <f>SUBTOTAL(9,X3513:AI3513)</f>
        <v>0.58600000000000008</v>
      </c>
      <c r="AK3513">
        <v>0</v>
      </c>
    </row>
    <row r="3514" spans="1:37" ht="19">
      <c r="A3514" s="39" t="s">
        <v>17</v>
      </c>
      <c r="B3514" s="8">
        <v>2024</v>
      </c>
      <c r="C3514" s="8" t="s">
        <v>109</v>
      </c>
      <c r="D3514" s="9" t="s">
        <v>109</v>
      </c>
      <c r="E3514" s="9" t="s">
        <v>111</v>
      </c>
      <c r="F3514" s="9" t="s">
        <v>111</v>
      </c>
      <c r="I3514" s="9" t="s">
        <v>116</v>
      </c>
      <c r="J3514" s="9" t="s">
        <v>116</v>
      </c>
      <c r="K3514" s="9" t="s">
        <v>14</v>
      </c>
      <c r="L3514" s="9" t="s">
        <v>209</v>
      </c>
      <c r="M3514" s="14" t="s">
        <v>84</v>
      </c>
      <c r="O3514" t="s">
        <v>296</v>
      </c>
      <c r="P3514" t="s">
        <v>2495</v>
      </c>
      <c r="S3514">
        <v>228</v>
      </c>
      <c r="U3514" t="s">
        <v>112</v>
      </c>
      <c r="V3514" t="s">
        <v>1484</v>
      </c>
      <c r="X3514" s="43">
        <v>1.45</v>
      </c>
      <c r="AA3514" s="43"/>
      <c r="AB3514" s="43">
        <v>0.1</v>
      </c>
      <c r="AC3514" s="43">
        <v>0.10349999999999999</v>
      </c>
      <c r="AK3514">
        <v>5036064</v>
      </c>
    </row>
    <row r="3515" spans="1:37" ht="19">
      <c r="A3515" s="39" t="s">
        <v>17</v>
      </c>
      <c r="B3515" s="8">
        <v>2024</v>
      </c>
      <c r="C3515" s="8" t="s">
        <v>109</v>
      </c>
      <c r="D3515" s="9" t="s">
        <v>109</v>
      </c>
      <c r="E3515" s="9" t="s">
        <v>111</v>
      </c>
      <c r="F3515" s="9" t="s">
        <v>111</v>
      </c>
      <c r="I3515" s="9" t="s">
        <v>116</v>
      </c>
      <c r="J3515" s="9" t="s">
        <v>116</v>
      </c>
      <c r="K3515" s="9" t="s">
        <v>14</v>
      </c>
      <c r="L3515" s="9" t="s">
        <v>209</v>
      </c>
      <c r="M3515" s="14" t="s">
        <v>84</v>
      </c>
      <c r="O3515" t="s">
        <v>296</v>
      </c>
      <c r="P3515" t="s">
        <v>2496</v>
      </c>
      <c r="S3515">
        <v>171</v>
      </c>
      <c r="U3515" t="s">
        <v>112</v>
      </c>
      <c r="V3515" t="s">
        <v>1484</v>
      </c>
      <c r="X3515" s="43">
        <v>1.05</v>
      </c>
      <c r="AA3515" s="43"/>
      <c r="AB3515" s="43">
        <v>0.1</v>
      </c>
      <c r="AC3515" s="43">
        <v>7.6499999999999999E-2</v>
      </c>
      <c r="AK3515">
        <v>3777048</v>
      </c>
    </row>
    <row r="3516" spans="1:37" ht="19">
      <c r="A3516" s="39" t="s">
        <v>17</v>
      </c>
      <c r="B3516" s="8">
        <v>2024</v>
      </c>
      <c r="C3516" s="8" t="s">
        <v>109</v>
      </c>
      <c r="D3516" s="9" t="s">
        <v>109</v>
      </c>
      <c r="E3516" s="9" t="s">
        <v>111</v>
      </c>
      <c r="F3516" s="9" t="s">
        <v>111</v>
      </c>
      <c r="I3516" s="9" t="s">
        <v>116</v>
      </c>
      <c r="J3516" s="9" t="s">
        <v>116</v>
      </c>
      <c r="K3516" s="9" t="s">
        <v>14</v>
      </c>
      <c r="L3516" s="9" t="s">
        <v>209</v>
      </c>
      <c r="M3516" s="14" t="s">
        <v>84</v>
      </c>
      <c r="O3516" t="s">
        <v>2484</v>
      </c>
      <c r="P3516" t="s">
        <v>2497</v>
      </c>
      <c r="S3516">
        <v>153</v>
      </c>
      <c r="U3516" t="s">
        <v>112</v>
      </c>
      <c r="V3516" t="s">
        <v>1484</v>
      </c>
      <c r="X3516" s="43">
        <v>0.9</v>
      </c>
      <c r="AA3516" s="43"/>
      <c r="AB3516" s="43">
        <v>0.1</v>
      </c>
      <c r="AC3516" s="43">
        <v>6.3E-2</v>
      </c>
      <c r="AK3516">
        <v>3326564</v>
      </c>
    </row>
    <row r="3517" spans="1:37" ht="19">
      <c r="A3517" s="39" t="s">
        <v>17</v>
      </c>
      <c r="B3517" s="8">
        <v>2024</v>
      </c>
      <c r="C3517" s="8" t="s">
        <v>109</v>
      </c>
      <c r="D3517" s="9" t="s">
        <v>109</v>
      </c>
      <c r="E3517" s="9" t="s">
        <v>111</v>
      </c>
      <c r="F3517" s="9" t="s">
        <v>111</v>
      </c>
      <c r="I3517" s="9" t="s">
        <v>116</v>
      </c>
      <c r="J3517" s="9" t="s">
        <v>116</v>
      </c>
      <c r="K3517" s="9" t="s">
        <v>14</v>
      </c>
      <c r="L3517" s="9" t="s">
        <v>209</v>
      </c>
      <c r="M3517" s="14" t="s">
        <v>84</v>
      </c>
      <c r="O3517" t="s">
        <v>296</v>
      </c>
      <c r="P3517" t="s">
        <v>2498</v>
      </c>
      <c r="S3517">
        <v>896</v>
      </c>
      <c r="U3517" t="s">
        <v>112</v>
      </c>
      <c r="V3517" t="s">
        <v>1484</v>
      </c>
      <c r="X3517" s="43">
        <v>5.5</v>
      </c>
      <c r="AA3517" s="43"/>
      <c r="AB3517" s="43">
        <v>0.3</v>
      </c>
      <c r="AC3517" s="43">
        <v>0.39150000000000001</v>
      </c>
      <c r="AK3517">
        <v>19790848</v>
      </c>
    </row>
    <row r="3518" spans="1:37" ht="19">
      <c r="A3518" s="39" t="s">
        <v>17</v>
      </c>
      <c r="B3518" s="8">
        <v>2024</v>
      </c>
      <c r="C3518" s="8" t="s">
        <v>109</v>
      </c>
      <c r="D3518" s="9" t="s">
        <v>109</v>
      </c>
      <c r="E3518" s="9" t="s">
        <v>111</v>
      </c>
      <c r="F3518" s="9" t="s">
        <v>111</v>
      </c>
      <c r="I3518" s="9" t="s">
        <v>116</v>
      </c>
      <c r="J3518" s="9" t="s">
        <v>116</v>
      </c>
      <c r="K3518" s="9" t="s">
        <v>14</v>
      </c>
      <c r="L3518" s="9" t="s">
        <v>209</v>
      </c>
      <c r="M3518" s="14" t="s">
        <v>84</v>
      </c>
      <c r="O3518" t="s">
        <v>296</v>
      </c>
      <c r="P3518" t="s">
        <v>2499</v>
      </c>
      <c r="S3518">
        <v>174</v>
      </c>
      <c r="U3518" t="s">
        <v>112</v>
      </c>
      <c r="V3518" t="s">
        <v>1484</v>
      </c>
      <c r="X3518" s="43">
        <v>1.1000000000000001</v>
      </c>
      <c r="AA3518" s="43"/>
      <c r="AB3518" s="43">
        <v>0.1</v>
      </c>
      <c r="AC3518" s="43">
        <v>7.6499999999999999E-2</v>
      </c>
      <c r="AK3518">
        <v>3831412</v>
      </c>
    </row>
    <row r="3519" spans="1:37" ht="19">
      <c r="A3519" s="39" t="s">
        <v>17</v>
      </c>
      <c r="B3519" s="8">
        <v>2024</v>
      </c>
      <c r="C3519" s="8" t="s">
        <v>109</v>
      </c>
      <c r="D3519" s="9" t="s">
        <v>109</v>
      </c>
      <c r="E3519" s="9" t="s">
        <v>111</v>
      </c>
      <c r="F3519" s="9" t="s">
        <v>111</v>
      </c>
      <c r="I3519" s="9" t="s">
        <v>116</v>
      </c>
      <c r="J3519" s="9" t="s">
        <v>116</v>
      </c>
      <c r="K3519" s="9" t="s">
        <v>14</v>
      </c>
      <c r="L3519" s="9" t="s">
        <v>209</v>
      </c>
      <c r="M3519" s="14" t="s">
        <v>84</v>
      </c>
      <c r="O3519" t="s">
        <v>2484</v>
      </c>
      <c r="P3519" t="s">
        <v>2500</v>
      </c>
      <c r="S3519">
        <v>251</v>
      </c>
      <c r="U3519" s="14" t="s">
        <v>77</v>
      </c>
      <c r="V3519" t="s">
        <v>1720</v>
      </c>
      <c r="X3519" s="43">
        <v>1.7</v>
      </c>
      <c r="AA3519" s="43"/>
      <c r="AB3519" s="43">
        <v>0.4</v>
      </c>
      <c r="AC3519" s="43">
        <v>0.1215</v>
      </c>
      <c r="AJ3519" s="13">
        <f t="shared" ref="AJ3519:AJ3520" si="316">SUBTOTAL(9,X3519:AI3519)</f>
        <v>2.2215000000000003</v>
      </c>
      <c r="AK3519">
        <v>0</v>
      </c>
    </row>
    <row r="3520" spans="1:37" ht="19">
      <c r="A3520" s="39" t="s">
        <v>17</v>
      </c>
      <c r="B3520" s="8">
        <v>2024</v>
      </c>
      <c r="C3520" s="8" t="s">
        <v>109</v>
      </c>
      <c r="D3520" s="9" t="s">
        <v>109</v>
      </c>
      <c r="E3520" s="9" t="s">
        <v>111</v>
      </c>
      <c r="F3520" s="9" t="s">
        <v>111</v>
      </c>
      <c r="I3520" s="9" t="s">
        <v>116</v>
      </c>
      <c r="J3520" s="9" t="s">
        <v>116</v>
      </c>
      <c r="K3520" s="9" t="s">
        <v>14</v>
      </c>
      <c r="L3520" s="9" t="s">
        <v>209</v>
      </c>
      <c r="M3520" s="14" t="s">
        <v>84</v>
      </c>
      <c r="O3520" t="s">
        <v>2484</v>
      </c>
      <c r="P3520" t="s">
        <v>792</v>
      </c>
      <c r="S3520">
        <v>203</v>
      </c>
      <c r="U3520" s="14" t="s">
        <v>77</v>
      </c>
      <c r="V3520" t="s">
        <v>1720</v>
      </c>
      <c r="X3520" s="43">
        <v>1.3</v>
      </c>
      <c r="AA3520" s="43"/>
      <c r="AB3520" s="43">
        <v>0.3</v>
      </c>
      <c r="AC3520" s="43">
        <v>9.4500000000000001E-2</v>
      </c>
      <c r="AJ3520" s="13">
        <f t="shared" si="316"/>
        <v>1.6945000000000001</v>
      </c>
      <c r="AK3520">
        <v>0</v>
      </c>
    </row>
    <row r="3521" spans="1:37" ht="19">
      <c r="A3521" s="39" t="s">
        <v>17</v>
      </c>
      <c r="B3521" s="8">
        <v>2024</v>
      </c>
      <c r="C3521" s="8" t="s">
        <v>109</v>
      </c>
      <c r="D3521" s="9" t="s">
        <v>109</v>
      </c>
      <c r="E3521" s="9" t="s">
        <v>111</v>
      </c>
      <c r="F3521" s="9" t="s">
        <v>111</v>
      </c>
      <c r="I3521" s="9" t="s">
        <v>116</v>
      </c>
      <c r="J3521" s="9" t="s">
        <v>116</v>
      </c>
      <c r="K3521" s="9" t="s">
        <v>14</v>
      </c>
      <c r="L3521" s="9" t="s">
        <v>209</v>
      </c>
      <c r="M3521" s="14" t="s">
        <v>84</v>
      </c>
      <c r="O3521" t="s">
        <v>296</v>
      </c>
      <c r="P3521" t="s">
        <v>2501</v>
      </c>
      <c r="S3521">
        <v>166</v>
      </c>
      <c r="U3521" t="s">
        <v>112</v>
      </c>
      <c r="V3521" t="s">
        <v>1484</v>
      </c>
      <c r="X3521" s="43">
        <v>1.05</v>
      </c>
      <c r="AA3521" s="43"/>
      <c r="AB3521" s="43">
        <v>0.1</v>
      </c>
      <c r="AC3521" s="43">
        <v>7.1999999999999995E-2</v>
      </c>
      <c r="AK3521">
        <v>3666608</v>
      </c>
    </row>
    <row r="3522" spans="1:37" ht="19">
      <c r="A3522" s="39" t="s">
        <v>17</v>
      </c>
      <c r="B3522" s="8">
        <v>2024</v>
      </c>
      <c r="C3522" s="8" t="s">
        <v>109</v>
      </c>
      <c r="D3522" s="9" t="s">
        <v>109</v>
      </c>
      <c r="E3522" s="9" t="s">
        <v>111</v>
      </c>
      <c r="F3522" s="9" t="s">
        <v>111</v>
      </c>
      <c r="I3522" s="9" t="s">
        <v>116</v>
      </c>
      <c r="J3522" s="9" t="s">
        <v>116</v>
      </c>
      <c r="K3522" s="9" t="s">
        <v>14</v>
      </c>
      <c r="L3522" s="9" t="s">
        <v>209</v>
      </c>
      <c r="M3522" s="14" t="s">
        <v>84</v>
      </c>
      <c r="O3522" t="s">
        <v>2484</v>
      </c>
      <c r="P3522" t="s">
        <v>2502</v>
      </c>
      <c r="S3522">
        <v>299</v>
      </c>
      <c r="U3522" t="s">
        <v>112</v>
      </c>
      <c r="V3522" t="s">
        <v>1484</v>
      </c>
      <c r="X3522" s="43">
        <v>2</v>
      </c>
      <c r="AA3522" s="43"/>
      <c r="AB3522" s="43">
        <v>0.1</v>
      </c>
      <c r="AC3522" s="43">
        <v>0.14399999999999999</v>
      </c>
      <c r="AK3522">
        <v>6604312</v>
      </c>
    </row>
    <row r="3523" spans="1:37" ht="19">
      <c r="A3523" s="39" t="s">
        <v>17</v>
      </c>
      <c r="B3523" s="8">
        <v>2024</v>
      </c>
      <c r="C3523" s="8" t="s">
        <v>109</v>
      </c>
      <c r="D3523" s="9" t="s">
        <v>109</v>
      </c>
      <c r="E3523" s="9" t="s">
        <v>111</v>
      </c>
      <c r="F3523" s="9" t="s">
        <v>111</v>
      </c>
      <c r="I3523" s="9" t="s">
        <v>116</v>
      </c>
      <c r="J3523" s="9" t="s">
        <v>116</v>
      </c>
      <c r="K3523" s="9" t="s">
        <v>14</v>
      </c>
      <c r="L3523" s="9" t="s">
        <v>209</v>
      </c>
      <c r="M3523" s="14" t="s">
        <v>84</v>
      </c>
      <c r="O3523" t="s">
        <v>296</v>
      </c>
      <c r="P3523" t="s">
        <v>2503</v>
      </c>
      <c r="S3523">
        <v>267</v>
      </c>
      <c r="U3523" t="s">
        <v>112</v>
      </c>
      <c r="V3523" t="s">
        <v>1484</v>
      </c>
      <c r="X3523" s="43">
        <v>1.75</v>
      </c>
      <c r="AA3523" s="43"/>
      <c r="AB3523" s="43">
        <v>0.1</v>
      </c>
      <c r="AC3523" s="43">
        <v>0.126</v>
      </c>
      <c r="AK3523">
        <v>5893596</v>
      </c>
    </row>
    <row r="3524" spans="1:37" ht="19">
      <c r="A3524" s="39" t="s">
        <v>17</v>
      </c>
      <c r="B3524" s="8">
        <v>2024</v>
      </c>
      <c r="C3524" s="8" t="s">
        <v>109</v>
      </c>
      <c r="D3524" s="9" t="s">
        <v>109</v>
      </c>
      <c r="E3524" s="9" t="s">
        <v>111</v>
      </c>
      <c r="F3524" s="9" t="s">
        <v>111</v>
      </c>
      <c r="I3524" s="9" t="s">
        <v>116</v>
      </c>
      <c r="J3524" s="9" t="s">
        <v>116</v>
      </c>
      <c r="K3524" s="9" t="s">
        <v>14</v>
      </c>
      <c r="L3524" s="9" t="s">
        <v>209</v>
      </c>
      <c r="M3524" s="14" t="s">
        <v>84</v>
      </c>
      <c r="O3524" t="s">
        <v>2484</v>
      </c>
      <c r="P3524" t="s">
        <v>2504</v>
      </c>
      <c r="S3524">
        <v>202</v>
      </c>
      <c r="U3524" t="s">
        <v>112</v>
      </c>
      <c r="V3524" t="s">
        <v>1484</v>
      </c>
      <c r="X3524" s="43">
        <v>1.3</v>
      </c>
      <c r="AA3524" s="43"/>
      <c r="AB3524" s="43">
        <v>0.1</v>
      </c>
      <c r="AC3524" s="43">
        <v>9.4500000000000001E-2</v>
      </c>
      <c r="AK3524">
        <v>4453746</v>
      </c>
    </row>
    <row r="3525" spans="1:37" ht="19">
      <c r="A3525" s="39" t="s">
        <v>17</v>
      </c>
      <c r="B3525" s="8">
        <v>2024</v>
      </c>
      <c r="C3525" s="8" t="s">
        <v>109</v>
      </c>
      <c r="D3525" s="9" t="s">
        <v>109</v>
      </c>
      <c r="E3525" s="9" t="s">
        <v>111</v>
      </c>
      <c r="F3525" s="9" t="s">
        <v>111</v>
      </c>
      <c r="I3525" s="9" t="s">
        <v>116</v>
      </c>
      <c r="J3525" s="9" t="s">
        <v>116</v>
      </c>
      <c r="K3525" s="9" t="s">
        <v>14</v>
      </c>
      <c r="L3525" s="9" t="s">
        <v>209</v>
      </c>
      <c r="M3525" s="14" t="s">
        <v>84</v>
      </c>
      <c r="O3525" t="s">
        <v>799</v>
      </c>
      <c r="P3525" t="s">
        <v>2505</v>
      </c>
      <c r="S3525">
        <v>187</v>
      </c>
      <c r="U3525" t="s">
        <v>112</v>
      </c>
      <c r="V3525" t="s">
        <v>1484</v>
      </c>
      <c r="X3525" s="43">
        <v>1.25</v>
      </c>
      <c r="AA3525" s="43"/>
      <c r="AB3525" s="43">
        <v>0.1</v>
      </c>
      <c r="AC3525" s="43">
        <v>0.09</v>
      </c>
      <c r="AK3525">
        <v>4130456</v>
      </c>
    </row>
    <row r="3526" spans="1:37" ht="19">
      <c r="A3526" s="39" t="s">
        <v>17</v>
      </c>
      <c r="B3526" s="8">
        <v>2024</v>
      </c>
      <c r="C3526" s="8" t="s">
        <v>109</v>
      </c>
      <c r="D3526" s="9" t="s">
        <v>109</v>
      </c>
      <c r="E3526" s="9" t="s">
        <v>111</v>
      </c>
      <c r="F3526" s="9" t="s">
        <v>111</v>
      </c>
      <c r="I3526" s="9" t="s">
        <v>116</v>
      </c>
      <c r="J3526" s="9" t="s">
        <v>116</v>
      </c>
      <c r="K3526" s="9" t="s">
        <v>14</v>
      </c>
      <c r="L3526" s="9" t="s">
        <v>209</v>
      </c>
      <c r="M3526" s="14" t="s">
        <v>84</v>
      </c>
      <c r="O3526" t="s">
        <v>234</v>
      </c>
      <c r="P3526" t="s">
        <v>800</v>
      </c>
      <c r="S3526">
        <v>192</v>
      </c>
      <c r="U3526" s="14" t="s">
        <v>77</v>
      </c>
      <c r="V3526" t="s">
        <v>1720</v>
      </c>
      <c r="X3526" s="43">
        <v>1.2</v>
      </c>
      <c r="AA3526" s="43"/>
      <c r="AB3526" s="43">
        <v>0.25</v>
      </c>
      <c r="AC3526" s="43">
        <v>8.5500000000000007E-2</v>
      </c>
      <c r="AJ3526" s="13">
        <f t="shared" ref="AJ3526:AJ3532" si="317">SUBTOTAL(9,X3526:AI3526)</f>
        <v>1.5354999999999999</v>
      </c>
      <c r="AK3526">
        <v>0</v>
      </c>
    </row>
    <row r="3527" spans="1:37" ht="19">
      <c r="A3527" s="39" t="s">
        <v>17</v>
      </c>
      <c r="B3527" s="8">
        <v>2024</v>
      </c>
      <c r="C3527" s="8" t="s">
        <v>109</v>
      </c>
      <c r="D3527" s="9" t="s">
        <v>109</v>
      </c>
      <c r="E3527" s="9" t="s">
        <v>111</v>
      </c>
      <c r="F3527" s="9" t="s">
        <v>111</v>
      </c>
      <c r="I3527" s="9" t="s">
        <v>116</v>
      </c>
      <c r="J3527" s="9" t="s">
        <v>116</v>
      </c>
      <c r="K3527" s="9" t="s">
        <v>14</v>
      </c>
      <c r="L3527" s="9" t="s">
        <v>209</v>
      </c>
      <c r="M3527" s="14" t="s">
        <v>84</v>
      </c>
      <c r="O3527" t="s">
        <v>234</v>
      </c>
      <c r="P3527" t="s">
        <v>2069</v>
      </c>
      <c r="S3527">
        <v>198</v>
      </c>
      <c r="U3527" s="14" t="s">
        <v>77</v>
      </c>
      <c r="V3527" t="s">
        <v>1720</v>
      </c>
      <c r="X3527" s="43">
        <v>1.3</v>
      </c>
      <c r="AA3527" s="43"/>
      <c r="AB3527" s="43">
        <v>0.3</v>
      </c>
      <c r="AC3527" s="43">
        <v>9.4500000000000001E-2</v>
      </c>
      <c r="AJ3527" s="13">
        <f t="shared" si="317"/>
        <v>1.6945000000000001</v>
      </c>
      <c r="AK3527">
        <v>0</v>
      </c>
    </row>
    <row r="3528" spans="1:37" ht="19">
      <c r="A3528" s="39" t="s">
        <v>17</v>
      </c>
      <c r="B3528" s="8">
        <v>2024</v>
      </c>
      <c r="C3528" s="8" t="s">
        <v>109</v>
      </c>
      <c r="D3528" s="9" t="s">
        <v>109</v>
      </c>
      <c r="E3528" s="9" t="s">
        <v>111</v>
      </c>
      <c r="F3528" s="9" t="s">
        <v>111</v>
      </c>
      <c r="I3528" s="9" t="s">
        <v>116</v>
      </c>
      <c r="J3528" s="9" t="s">
        <v>116</v>
      </c>
      <c r="K3528" s="9" t="s">
        <v>14</v>
      </c>
      <c r="L3528" s="9" t="s">
        <v>209</v>
      </c>
      <c r="M3528" s="14" t="s">
        <v>84</v>
      </c>
      <c r="O3528" t="s">
        <v>234</v>
      </c>
      <c r="P3528" t="s">
        <v>801</v>
      </c>
      <c r="S3528">
        <v>272</v>
      </c>
      <c r="U3528" s="14" t="s">
        <v>77</v>
      </c>
      <c r="V3528" t="s">
        <v>1720</v>
      </c>
      <c r="X3528" s="43">
        <v>1.75</v>
      </c>
      <c r="AA3528" s="43"/>
      <c r="AB3528" s="43">
        <v>0.4</v>
      </c>
      <c r="AC3528" s="43">
        <v>0.126</v>
      </c>
      <c r="AJ3528" s="13">
        <f t="shared" si="317"/>
        <v>2.2759999999999998</v>
      </c>
      <c r="AK3528">
        <v>0</v>
      </c>
    </row>
    <row r="3529" spans="1:37" ht="19">
      <c r="A3529" s="39" t="s">
        <v>17</v>
      </c>
      <c r="B3529" s="8">
        <v>2024</v>
      </c>
      <c r="C3529" s="8" t="s">
        <v>109</v>
      </c>
      <c r="D3529" s="9" t="s">
        <v>109</v>
      </c>
      <c r="E3529" s="9" t="s">
        <v>111</v>
      </c>
      <c r="F3529" s="9" t="s">
        <v>111</v>
      </c>
      <c r="I3529" s="9" t="s">
        <v>116</v>
      </c>
      <c r="J3529" s="9" t="s">
        <v>116</v>
      </c>
      <c r="K3529" s="9" t="s">
        <v>14</v>
      </c>
      <c r="L3529" s="9" t="s">
        <v>209</v>
      </c>
      <c r="M3529" s="14" t="s">
        <v>84</v>
      </c>
      <c r="O3529" t="s">
        <v>234</v>
      </c>
      <c r="P3529" t="s">
        <v>803</v>
      </c>
      <c r="S3529">
        <v>210</v>
      </c>
      <c r="U3529" s="14" t="s">
        <v>77</v>
      </c>
      <c r="V3529" t="s">
        <v>1720</v>
      </c>
      <c r="X3529" s="43">
        <v>1.4</v>
      </c>
      <c r="AA3529" s="43"/>
      <c r="AB3529" s="43">
        <v>0.3</v>
      </c>
      <c r="AC3529" s="43">
        <v>9.9000000000000005E-2</v>
      </c>
      <c r="AJ3529" s="13">
        <f t="shared" si="317"/>
        <v>1.7989999999999999</v>
      </c>
      <c r="AK3529">
        <v>0</v>
      </c>
    </row>
    <row r="3530" spans="1:37" ht="19">
      <c r="A3530" s="39" t="s">
        <v>17</v>
      </c>
      <c r="B3530" s="8">
        <v>2024</v>
      </c>
      <c r="C3530" s="8" t="s">
        <v>109</v>
      </c>
      <c r="D3530" s="9" t="s">
        <v>109</v>
      </c>
      <c r="E3530" s="9" t="s">
        <v>111</v>
      </c>
      <c r="F3530" s="9" t="s">
        <v>111</v>
      </c>
      <c r="I3530" s="9" t="s">
        <v>116</v>
      </c>
      <c r="J3530" s="9" t="s">
        <v>116</v>
      </c>
      <c r="K3530" s="9" t="s">
        <v>14</v>
      </c>
      <c r="L3530" s="9" t="s">
        <v>209</v>
      </c>
      <c r="M3530" s="14" t="s">
        <v>84</v>
      </c>
      <c r="O3530" t="s">
        <v>234</v>
      </c>
      <c r="P3530" t="s">
        <v>2506</v>
      </c>
      <c r="S3530">
        <v>177</v>
      </c>
      <c r="U3530" s="14" t="s">
        <v>77</v>
      </c>
      <c r="V3530" t="s">
        <v>1720</v>
      </c>
      <c r="X3530" s="43">
        <v>1.1000000000000001</v>
      </c>
      <c r="AA3530" s="43"/>
      <c r="AB3530" s="43">
        <v>0.25</v>
      </c>
      <c r="AC3530" s="43">
        <v>8.1000000000000003E-2</v>
      </c>
      <c r="AJ3530" s="13">
        <f t="shared" si="317"/>
        <v>1.431</v>
      </c>
      <c r="AK3530">
        <v>0</v>
      </c>
    </row>
    <row r="3531" spans="1:37" ht="19">
      <c r="A3531" s="39" t="s">
        <v>17</v>
      </c>
      <c r="B3531" s="8">
        <v>2024</v>
      </c>
      <c r="C3531" s="8" t="s">
        <v>109</v>
      </c>
      <c r="D3531" s="9" t="s">
        <v>109</v>
      </c>
      <c r="E3531" s="9" t="s">
        <v>111</v>
      </c>
      <c r="F3531" s="9" t="s">
        <v>111</v>
      </c>
      <c r="I3531" s="9" t="s">
        <v>116</v>
      </c>
      <c r="J3531" s="9" t="s">
        <v>116</v>
      </c>
      <c r="K3531" s="9" t="s">
        <v>14</v>
      </c>
      <c r="L3531" s="9" t="s">
        <v>209</v>
      </c>
      <c r="M3531" s="14" t="s">
        <v>84</v>
      </c>
      <c r="O3531" t="s">
        <v>234</v>
      </c>
      <c r="P3531" t="s">
        <v>799</v>
      </c>
      <c r="S3531">
        <v>351</v>
      </c>
      <c r="U3531" s="14" t="s">
        <v>77</v>
      </c>
      <c r="V3531" t="s">
        <v>1720</v>
      </c>
      <c r="X3531" s="43">
        <v>2.15</v>
      </c>
      <c r="AA3531" s="43"/>
      <c r="AB3531" s="43">
        <v>0.5</v>
      </c>
      <c r="AC3531" s="43">
        <v>0.153</v>
      </c>
      <c r="AJ3531" s="13">
        <f t="shared" si="317"/>
        <v>2.8029999999999999</v>
      </c>
      <c r="AK3531">
        <v>0</v>
      </c>
    </row>
    <row r="3532" spans="1:37" ht="19">
      <c r="A3532" s="39" t="s">
        <v>17</v>
      </c>
      <c r="B3532" s="8">
        <v>2024</v>
      </c>
      <c r="C3532" s="8" t="s">
        <v>109</v>
      </c>
      <c r="D3532" s="9" t="s">
        <v>109</v>
      </c>
      <c r="E3532" s="9" t="s">
        <v>111</v>
      </c>
      <c r="F3532" s="9" t="s">
        <v>111</v>
      </c>
      <c r="I3532" s="9" t="s">
        <v>116</v>
      </c>
      <c r="J3532" s="9" t="s">
        <v>116</v>
      </c>
      <c r="K3532" s="9" t="s">
        <v>14</v>
      </c>
      <c r="L3532" s="9" t="s">
        <v>209</v>
      </c>
      <c r="M3532" s="14" t="s">
        <v>84</v>
      </c>
      <c r="O3532" t="s">
        <v>234</v>
      </c>
      <c r="P3532" t="s">
        <v>2507</v>
      </c>
      <c r="S3532">
        <v>186</v>
      </c>
      <c r="U3532" s="14" t="s">
        <v>77</v>
      </c>
      <c r="V3532" t="s">
        <v>1720</v>
      </c>
      <c r="X3532" s="43">
        <v>1.25</v>
      </c>
      <c r="AA3532" s="43"/>
      <c r="AB3532" s="43">
        <v>0.3</v>
      </c>
      <c r="AC3532" s="43">
        <v>8.5500000000000007E-2</v>
      </c>
      <c r="AJ3532" s="13">
        <f t="shared" si="317"/>
        <v>1.6355</v>
      </c>
      <c r="AK3532">
        <v>0</v>
      </c>
    </row>
    <row r="3533" spans="1:37" ht="19">
      <c r="A3533" s="39" t="s">
        <v>17</v>
      </c>
      <c r="B3533" s="8">
        <v>2024</v>
      </c>
      <c r="C3533" s="8" t="s">
        <v>109</v>
      </c>
      <c r="D3533" s="9" t="s">
        <v>109</v>
      </c>
      <c r="E3533" s="9" t="s">
        <v>111</v>
      </c>
      <c r="F3533" s="9" t="s">
        <v>111</v>
      </c>
      <c r="I3533" s="9" t="s">
        <v>116</v>
      </c>
      <c r="J3533" s="9" t="s">
        <v>116</v>
      </c>
      <c r="K3533" s="9" t="s">
        <v>14</v>
      </c>
      <c r="L3533" s="9" t="s">
        <v>209</v>
      </c>
      <c r="M3533" s="14" t="s">
        <v>84</v>
      </c>
      <c r="O3533" t="s">
        <v>799</v>
      </c>
      <c r="P3533" t="s">
        <v>2508</v>
      </c>
      <c r="S3533">
        <v>141</v>
      </c>
      <c r="U3533" t="s">
        <v>112</v>
      </c>
      <c r="V3533" t="s">
        <v>1484</v>
      </c>
      <c r="X3533" s="43">
        <v>0.9</v>
      </c>
      <c r="AA3533" s="43"/>
      <c r="AB3533" s="43">
        <v>0.05</v>
      </c>
      <c r="AC3533" s="43">
        <v>6.3E-2</v>
      </c>
      <c r="AK3533">
        <v>3114408</v>
      </c>
    </row>
    <row r="3534" spans="1:37" ht="19">
      <c r="A3534" s="39" t="s">
        <v>17</v>
      </c>
      <c r="B3534" s="8">
        <v>2024</v>
      </c>
      <c r="C3534" s="8" t="s">
        <v>109</v>
      </c>
      <c r="D3534" s="9" t="s">
        <v>109</v>
      </c>
      <c r="E3534" s="9" t="s">
        <v>111</v>
      </c>
      <c r="F3534" s="9" t="s">
        <v>111</v>
      </c>
      <c r="I3534" s="9" t="s">
        <v>116</v>
      </c>
      <c r="J3534" s="9" t="s">
        <v>116</v>
      </c>
      <c r="K3534" s="9" t="s">
        <v>14</v>
      </c>
      <c r="L3534" s="9" t="s">
        <v>209</v>
      </c>
      <c r="M3534" s="14" t="s">
        <v>84</v>
      </c>
      <c r="O3534" t="s">
        <v>2509</v>
      </c>
      <c r="P3534" t="s">
        <v>287</v>
      </c>
      <c r="S3534">
        <v>473</v>
      </c>
      <c r="U3534" s="14" t="s">
        <v>77</v>
      </c>
      <c r="V3534" t="s">
        <v>1720</v>
      </c>
      <c r="X3534" s="43">
        <v>2.9</v>
      </c>
      <c r="AA3534" s="43"/>
      <c r="AB3534" s="43">
        <v>0.65</v>
      </c>
      <c r="AC3534" s="43">
        <v>0.20699999999999999</v>
      </c>
      <c r="AJ3534" s="13">
        <f t="shared" ref="AJ3534:AJ3537" si="318">SUBTOTAL(9,X3534:AI3534)</f>
        <v>3.7569999999999997</v>
      </c>
      <c r="AK3534">
        <v>0</v>
      </c>
    </row>
    <row r="3535" spans="1:37" ht="19">
      <c r="A3535" s="39" t="s">
        <v>17</v>
      </c>
      <c r="B3535" s="8">
        <v>2024</v>
      </c>
      <c r="C3535" s="8" t="s">
        <v>109</v>
      </c>
      <c r="D3535" s="9" t="s">
        <v>109</v>
      </c>
      <c r="E3535" s="9" t="s">
        <v>111</v>
      </c>
      <c r="F3535" s="9" t="s">
        <v>111</v>
      </c>
      <c r="I3535" s="9" t="s">
        <v>116</v>
      </c>
      <c r="J3535" s="9" t="s">
        <v>116</v>
      </c>
      <c r="K3535" s="9" t="s">
        <v>14</v>
      </c>
      <c r="L3535" s="9" t="s">
        <v>209</v>
      </c>
      <c r="M3535" s="14" t="s">
        <v>84</v>
      </c>
      <c r="O3535" t="s">
        <v>2509</v>
      </c>
      <c r="P3535" t="s">
        <v>2510</v>
      </c>
      <c r="S3535">
        <v>250</v>
      </c>
      <c r="U3535" s="14" t="s">
        <v>77</v>
      </c>
      <c r="V3535" t="s">
        <v>1720</v>
      </c>
      <c r="X3535" s="43">
        <v>1.55</v>
      </c>
      <c r="AA3535" s="43"/>
      <c r="AB3535" s="43">
        <v>0.35</v>
      </c>
      <c r="AC3535" s="43">
        <v>0.108</v>
      </c>
      <c r="AJ3535" s="13">
        <f t="shared" si="318"/>
        <v>2.008</v>
      </c>
      <c r="AK3535">
        <v>0</v>
      </c>
    </row>
    <row r="3536" spans="1:37" ht="19">
      <c r="A3536" s="39" t="s">
        <v>17</v>
      </c>
      <c r="B3536" s="8">
        <v>2024</v>
      </c>
      <c r="C3536" s="8" t="s">
        <v>109</v>
      </c>
      <c r="D3536" s="9" t="s">
        <v>109</v>
      </c>
      <c r="E3536" s="9" t="s">
        <v>111</v>
      </c>
      <c r="F3536" s="9" t="s">
        <v>111</v>
      </c>
      <c r="I3536" s="9" t="s">
        <v>116</v>
      </c>
      <c r="J3536" s="9" t="s">
        <v>116</v>
      </c>
      <c r="K3536" s="9" t="s">
        <v>14</v>
      </c>
      <c r="L3536" s="9" t="s">
        <v>209</v>
      </c>
      <c r="M3536" s="14" t="s">
        <v>84</v>
      </c>
      <c r="O3536" t="s">
        <v>2509</v>
      </c>
      <c r="P3536" t="s">
        <v>2511</v>
      </c>
      <c r="S3536">
        <v>369</v>
      </c>
      <c r="U3536" s="14" t="s">
        <v>77</v>
      </c>
      <c r="V3536" t="s">
        <v>1720</v>
      </c>
      <c r="X3536" s="43">
        <v>2.25</v>
      </c>
      <c r="AA3536" s="43"/>
      <c r="AB3536" s="43">
        <v>0.5</v>
      </c>
      <c r="AC3536" s="43">
        <v>0.1575</v>
      </c>
      <c r="AJ3536" s="13">
        <f t="shared" si="318"/>
        <v>2.9075000000000002</v>
      </c>
      <c r="AK3536">
        <v>0</v>
      </c>
    </row>
    <row r="3537" spans="1:37" ht="19">
      <c r="A3537" s="39" t="s">
        <v>17</v>
      </c>
      <c r="B3537" s="8">
        <v>2024</v>
      </c>
      <c r="C3537" s="8" t="s">
        <v>109</v>
      </c>
      <c r="D3537" s="9" t="s">
        <v>109</v>
      </c>
      <c r="E3537" s="9" t="s">
        <v>111</v>
      </c>
      <c r="F3537" s="9" t="s">
        <v>111</v>
      </c>
      <c r="I3537" s="9" t="s">
        <v>116</v>
      </c>
      <c r="J3537" s="9" t="s">
        <v>116</v>
      </c>
      <c r="K3537" s="9" t="s">
        <v>14</v>
      </c>
      <c r="L3537" s="9" t="s">
        <v>209</v>
      </c>
      <c r="M3537" s="14" t="s">
        <v>84</v>
      </c>
      <c r="O3537" t="s">
        <v>2512</v>
      </c>
      <c r="P3537" t="s">
        <v>2513</v>
      </c>
      <c r="S3537">
        <v>601</v>
      </c>
      <c r="U3537" s="14" t="s">
        <v>77</v>
      </c>
      <c r="V3537" t="s">
        <v>1720</v>
      </c>
      <c r="X3537" s="43">
        <v>4.05</v>
      </c>
      <c r="AA3537" s="43"/>
      <c r="AB3537" s="43">
        <v>0.9</v>
      </c>
      <c r="AC3537" s="43">
        <v>0.28799999999999998</v>
      </c>
      <c r="AJ3537" s="13">
        <f t="shared" si="318"/>
        <v>5.2380000000000004</v>
      </c>
      <c r="AK3537">
        <v>0</v>
      </c>
    </row>
    <row r="3538" spans="1:37" ht="19">
      <c r="A3538" s="39" t="s">
        <v>17</v>
      </c>
      <c r="B3538" s="8">
        <v>2024</v>
      </c>
      <c r="C3538" s="8" t="s">
        <v>109</v>
      </c>
      <c r="D3538" s="9" t="s">
        <v>109</v>
      </c>
      <c r="E3538" s="9" t="s">
        <v>111</v>
      </c>
      <c r="F3538" s="9" t="s">
        <v>111</v>
      </c>
      <c r="I3538" s="9" t="s">
        <v>116</v>
      </c>
      <c r="J3538" s="9" t="s">
        <v>116</v>
      </c>
      <c r="K3538" s="9" t="s">
        <v>14</v>
      </c>
      <c r="L3538" s="9" t="s">
        <v>209</v>
      </c>
      <c r="M3538" s="14" t="s">
        <v>84</v>
      </c>
      <c r="O3538" t="s">
        <v>2509</v>
      </c>
      <c r="P3538" t="s">
        <v>2514</v>
      </c>
      <c r="S3538">
        <v>345</v>
      </c>
      <c r="U3538" t="s">
        <v>112</v>
      </c>
      <c r="V3538" t="s">
        <v>112</v>
      </c>
      <c r="X3538" s="43">
        <v>2.0499999999999998</v>
      </c>
      <c r="AA3538" s="43"/>
      <c r="AB3538" s="43">
        <v>0.15</v>
      </c>
      <c r="AC3538" s="43">
        <v>0.14399999999999999</v>
      </c>
      <c r="AK3538">
        <v>7620360</v>
      </c>
    </row>
    <row r="3539" spans="1:37" ht="19">
      <c r="A3539" s="39" t="s">
        <v>17</v>
      </c>
      <c r="B3539" s="8">
        <v>2024</v>
      </c>
      <c r="C3539" s="8" t="s">
        <v>109</v>
      </c>
      <c r="D3539" s="9" t="s">
        <v>109</v>
      </c>
      <c r="E3539" s="9" t="s">
        <v>111</v>
      </c>
      <c r="F3539" s="9" t="s">
        <v>111</v>
      </c>
      <c r="I3539" s="9" t="s">
        <v>116</v>
      </c>
      <c r="J3539" s="9" t="s">
        <v>116</v>
      </c>
      <c r="K3539" s="9" t="s">
        <v>14</v>
      </c>
      <c r="L3539" s="9" t="s">
        <v>209</v>
      </c>
      <c r="M3539" s="14" t="s">
        <v>84</v>
      </c>
      <c r="O3539" t="s">
        <v>2512</v>
      </c>
      <c r="P3539" t="s">
        <v>2515</v>
      </c>
      <c r="S3539">
        <v>568</v>
      </c>
      <c r="U3539" s="14" t="s">
        <v>77</v>
      </c>
      <c r="V3539" t="s">
        <v>1720</v>
      </c>
      <c r="X3539" s="43">
        <v>3.6</v>
      </c>
      <c r="AA3539" s="43"/>
      <c r="AB3539" s="43">
        <v>0.8</v>
      </c>
      <c r="AC3539" s="43">
        <v>0.25650000000000001</v>
      </c>
      <c r="AJ3539" s="13">
        <f t="shared" ref="AJ3539:AJ3543" si="319">SUBTOTAL(9,X3539:AI3539)</f>
        <v>4.6565000000000003</v>
      </c>
      <c r="AK3539">
        <v>0</v>
      </c>
    </row>
    <row r="3540" spans="1:37" ht="19">
      <c r="A3540" s="39" t="s">
        <v>17</v>
      </c>
      <c r="B3540" s="8">
        <v>2024</v>
      </c>
      <c r="C3540" s="8" t="s">
        <v>109</v>
      </c>
      <c r="D3540" s="9" t="s">
        <v>109</v>
      </c>
      <c r="E3540" s="9" t="s">
        <v>111</v>
      </c>
      <c r="F3540" s="9" t="s">
        <v>111</v>
      </c>
      <c r="I3540" s="9" t="s">
        <v>116</v>
      </c>
      <c r="J3540" s="9" t="s">
        <v>116</v>
      </c>
      <c r="K3540" s="9" t="s">
        <v>14</v>
      </c>
      <c r="L3540" s="9" t="s">
        <v>209</v>
      </c>
      <c r="M3540" s="14" t="s">
        <v>84</v>
      </c>
      <c r="O3540" t="s">
        <v>2468</v>
      </c>
      <c r="P3540" t="s">
        <v>281</v>
      </c>
      <c r="S3540">
        <v>297</v>
      </c>
      <c r="U3540" s="14" t="s">
        <v>77</v>
      </c>
      <c r="V3540" t="s">
        <v>1720</v>
      </c>
      <c r="X3540" s="43">
        <v>2.2999999999999998</v>
      </c>
      <c r="AA3540" s="43"/>
      <c r="AB3540" s="43">
        <v>0.5</v>
      </c>
      <c r="AC3540" s="43">
        <v>0.16200000000000001</v>
      </c>
      <c r="AJ3540" s="13">
        <f t="shared" si="319"/>
        <v>2.9619999999999997</v>
      </c>
      <c r="AK3540">
        <v>0</v>
      </c>
    </row>
    <row r="3541" spans="1:37" ht="19">
      <c r="A3541" s="39" t="s">
        <v>17</v>
      </c>
      <c r="B3541" s="8">
        <v>2024</v>
      </c>
      <c r="C3541" s="8" t="s">
        <v>109</v>
      </c>
      <c r="D3541" s="9" t="s">
        <v>109</v>
      </c>
      <c r="E3541" s="9" t="s">
        <v>111</v>
      </c>
      <c r="F3541" s="9" t="s">
        <v>111</v>
      </c>
      <c r="I3541" s="9" t="s">
        <v>116</v>
      </c>
      <c r="J3541" s="9" t="s">
        <v>116</v>
      </c>
      <c r="K3541" s="9" t="s">
        <v>14</v>
      </c>
      <c r="L3541" s="9" t="s">
        <v>209</v>
      </c>
      <c r="M3541" s="14" t="s">
        <v>84</v>
      </c>
      <c r="O3541" t="s">
        <v>2512</v>
      </c>
      <c r="P3541" t="s">
        <v>290</v>
      </c>
      <c r="S3541">
        <v>432</v>
      </c>
      <c r="U3541" s="14" t="s">
        <v>77</v>
      </c>
      <c r="V3541" t="s">
        <v>1720</v>
      </c>
      <c r="X3541" s="43">
        <v>3.05</v>
      </c>
      <c r="AA3541" s="43"/>
      <c r="AB3541" s="43">
        <v>0.65</v>
      </c>
      <c r="AC3541" s="43">
        <v>0.216</v>
      </c>
      <c r="AJ3541" s="13">
        <f t="shared" si="319"/>
        <v>3.9159999999999999</v>
      </c>
      <c r="AK3541">
        <v>0</v>
      </c>
    </row>
    <row r="3542" spans="1:37" ht="19">
      <c r="A3542" s="39" t="s">
        <v>17</v>
      </c>
      <c r="B3542" s="8">
        <v>2024</v>
      </c>
      <c r="C3542" s="8" t="s">
        <v>109</v>
      </c>
      <c r="D3542" s="9" t="s">
        <v>109</v>
      </c>
      <c r="E3542" s="9" t="s">
        <v>111</v>
      </c>
      <c r="F3542" s="9" t="s">
        <v>111</v>
      </c>
      <c r="I3542" s="9" t="s">
        <v>116</v>
      </c>
      <c r="J3542" s="9" t="s">
        <v>116</v>
      </c>
      <c r="K3542" s="9" t="s">
        <v>14</v>
      </c>
      <c r="L3542" s="9" t="s">
        <v>209</v>
      </c>
      <c r="M3542" s="14" t="s">
        <v>84</v>
      </c>
      <c r="O3542" t="s">
        <v>2512</v>
      </c>
      <c r="P3542" t="s">
        <v>278</v>
      </c>
      <c r="S3542">
        <v>441</v>
      </c>
      <c r="U3542" s="14" t="s">
        <v>77</v>
      </c>
      <c r="V3542" t="s">
        <v>1720</v>
      </c>
      <c r="X3542" s="43">
        <v>2.8</v>
      </c>
      <c r="AA3542" s="43"/>
      <c r="AB3542" s="43">
        <v>0.65</v>
      </c>
      <c r="AC3542" s="43">
        <v>0.19800000000000001</v>
      </c>
      <c r="AJ3542" s="13">
        <f t="shared" si="319"/>
        <v>3.6479999999999997</v>
      </c>
      <c r="AK3542">
        <v>0</v>
      </c>
    </row>
    <row r="3543" spans="1:37" ht="19">
      <c r="A3543" s="39" t="s">
        <v>17</v>
      </c>
      <c r="B3543" s="8">
        <v>2024</v>
      </c>
      <c r="C3543" s="8" t="s">
        <v>109</v>
      </c>
      <c r="D3543" s="9" t="s">
        <v>109</v>
      </c>
      <c r="E3543" s="9" t="s">
        <v>111</v>
      </c>
      <c r="F3543" s="9" t="s">
        <v>111</v>
      </c>
      <c r="I3543" s="9" t="s">
        <v>116</v>
      </c>
      <c r="J3543" s="9" t="s">
        <v>116</v>
      </c>
      <c r="K3543" s="9" t="s">
        <v>14</v>
      </c>
      <c r="L3543" s="9" t="s">
        <v>209</v>
      </c>
      <c r="M3543" s="14" t="s">
        <v>84</v>
      </c>
      <c r="O3543" t="s">
        <v>2509</v>
      </c>
      <c r="P3543" t="s">
        <v>2516</v>
      </c>
      <c r="S3543">
        <v>283</v>
      </c>
      <c r="U3543" s="14" t="s">
        <v>77</v>
      </c>
      <c r="V3543" t="s">
        <v>1720</v>
      </c>
      <c r="X3543" s="43">
        <v>1.8</v>
      </c>
      <c r="AA3543" s="43"/>
      <c r="AB3543" s="43">
        <v>0.4</v>
      </c>
      <c r="AC3543" s="43">
        <v>0.126</v>
      </c>
      <c r="AJ3543" s="13">
        <f t="shared" si="319"/>
        <v>2.3260000000000001</v>
      </c>
      <c r="AK3543">
        <v>0</v>
      </c>
    </row>
    <row r="3544" spans="1:37" ht="19">
      <c r="A3544" s="39" t="s">
        <v>17</v>
      </c>
      <c r="B3544" s="8">
        <v>2024</v>
      </c>
      <c r="C3544" s="8" t="s">
        <v>109</v>
      </c>
      <c r="D3544" s="9" t="s">
        <v>109</v>
      </c>
      <c r="E3544" s="9" t="s">
        <v>111</v>
      </c>
      <c r="F3544" s="9" t="s">
        <v>111</v>
      </c>
      <c r="I3544" s="9" t="s">
        <v>116</v>
      </c>
      <c r="J3544" s="9" t="s">
        <v>116</v>
      </c>
      <c r="K3544" s="9" t="s">
        <v>14</v>
      </c>
      <c r="L3544" s="9" t="s">
        <v>209</v>
      </c>
      <c r="M3544" s="14" t="s">
        <v>84</v>
      </c>
      <c r="O3544" t="s">
        <v>2509</v>
      </c>
      <c r="P3544" t="s">
        <v>2517</v>
      </c>
      <c r="S3544">
        <v>243</v>
      </c>
      <c r="U3544" t="s">
        <v>112</v>
      </c>
      <c r="V3544" t="s">
        <v>112</v>
      </c>
      <c r="X3544" s="43">
        <v>1.45</v>
      </c>
      <c r="AA3544" s="43"/>
      <c r="AB3544" s="43">
        <v>0.1</v>
      </c>
      <c r="AC3544" s="43">
        <v>0.10349999999999999</v>
      </c>
      <c r="AK3544">
        <v>4467384</v>
      </c>
    </row>
    <row r="3545" spans="1:37" ht="19">
      <c r="A3545" s="39" t="s">
        <v>17</v>
      </c>
      <c r="B3545" s="8">
        <v>2024</v>
      </c>
      <c r="C3545" s="8" t="s">
        <v>109</v>
      </c>
      <c r="D3545" s="9" t="s">
        <v>109</v>
      </c>
      <c r="E3545" s="9" t="s">
        <v>111</v>
      </c>
      <c r="F3545" s="9" t="s">
        <v>111</v>
      </c>
      <c r="I3545" s="9" t="s">
        <v>116</v>
      </c>
      <c r="J3545" s="9" t="s">
        <v>116</v>
      </c>
      <c r="K3545" s="9" t="s">
        <v>14</v>
      </c>
      <c r="L3545" s="9" t="s">
        <v>209</v>
      </c>
      <c r="M3545" s="14" t="s">
        <v>84</v>
      </c>
      <c r="O3545" t="s">
        <v>2512</v>
      </c>
      <c r="P3545" t="s">
        <v>666</v>
      </c>
      <c r="S3545">
        <v>435</v>
      </c>
      <c r="U3545" s="14" t="s">
        <v>77</v>
      </c>
      <c r="V3545" t="s">
        <v>1720</v>
      </c>
      <c r="X3545" s="43">
        <v>2.85</v>
      </c>
      <c r="AA3545" s="43"/>
      <c r="AB3545" s="43">
        <v>0.65</v>
      </c>
      <c r="AC3545" s="43">
        <v>0.20250000000000001</v>
      </c>
      <c r="AJ3545" s="13">
        <f>SUBTOTAL(9,X3545:AI3545)</f>
        <v>3.7025000000000001</v>
      </c>
      <c r="AK3545">
        <v>0</v>
      </c>
    </row>
    <row r="3546" spans="1:37" ht="19">
      <c r="A3546" s="39" t="s">
        <v>17</v>
      </c>
      <c r="B3546" s="8">
        <v>2024</v>
      </c>
      <c r="C3546" s="8" t="s">
        <v>109</v>
      </c>
      <c r="D3546" s="9" t="s">
        <v>109</v>
      </c>
      <c r="E3546" s="9" t="s">
        <v>111</v>
      </c>
      <c r="F3546" s="9" t="s">
        <v>111</v>
      </c>
      <c r="I3546" s="9" t="s">
        <v>116</v>
      </c>
      <c r="J3546" s="9" t="s">
        <v>116</v>
      </c>
      <c r="K3546" s="9" t="s">
        <v>14</v>
      </c>
      <c r="L3546" s="9" t="s">
        <v>209</v>
      </c>
      <c r="M3546" s="14" t="s">
        <v>84</v>
      </c>
      <c r="O3546" t="s">
        <v>2509</v>
      </c>
      <c r="P3546" t="s">
        <v>2518</v>
      </c>
      <c r="S3546">
        <v>305</v>
      </c>
      <c r="U3546" t="s">
        <v>112</v>
      </c>
      <c r="V3546" t="s">
        <v>112</v>
      </c>
      <c r="X3546" s="43">
        <v>1.75</v>
      </c>
      <c r="AA3546" s="43"/>
      <c r="AB3546" s="43">
        <v>0.15</v>
      </c>
      <c r="AC3546" s="43">
        <v>0.126</v>
      </c>
      <c r="AK3546">
        <v>6686840</v>
      </c>
    </row>
    <row r="3547" spans="1:37" ht="19">
      <c r="A3547" s="39" t="s">
        <v>17</v>
      </c>
      <c r="B3547" s="8">
        <v>2024</v>
      </c>
      <c r="C3547" s="8" t="s">
        <v>109</v>
      </c>
      <c r="D3547" s="9" t="s">
        <v>109</v>
      </c>
      <c r="E3547" s="9" t="s">
        <v>111</v>
      </c>
      <c r="F3547" s="9" t="s">
        <v>111</v>
      </c>
      <c r="I3547" s="9" t="s">
        <v>116</v>
      </c>
      <c r="J3547" s="9" t="s">
        <v>116</v>
      </c>
      <c r="K3547" s="9" t="s">
        <v>14</v>
      </c>
      <c r="L3547" s="9" t="s">
        <v>209</v>
      </c>
      <c r="M3547" s="14" t="s">
        <v>84</v>
      </c>
      <c r="O3547" t="s">
        <v>2512</v>
      </c>
      <c r="P3547" t="s">
        <v>2519</v>
      </c>
      <c r="S3547">
        <v>620</v>
      </c>
      <c r="U3547" s="14" t="s">
        <v>77</v>
      </c>
      <c r="V3547" t="s">
        <v>1720</v>
      </c>
      <c r="X3547" s="43">
        <v>4</v>
      </c>
      <c r="AA3547" s="43"/>
      <c r="AB3547" s="43">
        <v>0.9</v>
      </c>
      <c r="AC3547" s="43">
        <v>0.28799999999999998</v>
      </c>
      <c r="AJ3547" s="13">
        <f>SUBTOTAL(9,X3547:AI3547)</f>
        <v>5.1880000000000006</v>
      </c>
      <c r="AK3547">
        <v>0</v>
      </c>
    </row>
    <row r="3548" spans="1:37" ht="19">
      <c r="A3548" s="39" t="s">
        <v>17</v>
      </c>
      <c r="B3548" s="8">
        <v>2024</v>
      </c>
      <c r="C3548" s="8" t="s">
        <v>109</v>
      </c>
      <c r="D3548" s="9" t="s">
        <v>109</v>
      </c>
      <c r="E3548" s="9" t="s">
        <v>111</v>
      </c>
      <c r="F3548" s="9" t="s">
        <v>111</v>
      </c>
      <c r="I3548" s="9" t="s">
        <v>116</v>
      </c>
      <c r="J3548" s="9" t="s">
        <v>116</v>
      </c>
      <c r="K3548" s="9" t="s">
        <v>14</v>
      </c>
      <c r="L3548" s="9" t="s">
        <v>209</v>
      </c>
      <c r="M3548" s="14" t="s">
        <v>84</v>
      </c>
      <c r="O3548" t="s">
        <v>272</v>
      </c>
      <c r="P3548" t="s">
        <v>2520</v>
      </c>
      <c r="S3548">
        <v>544</v>
      </c>
      <c r="U3548" t="s">
        <v>112</v>
      </c>
      <c r="V3548" t="s">
        <v>1484</v>
      </c>
      <c r="X3548" s="43">
        <v>3.3</v>
      </c>
      <c r="AA3548" s="43"/>
      <c r="AB3548" s="43">
        <v>0.2</v>
      </c>
      <c r="AC3548" s="43">
        <v>0.23400000000000001</v>
      </c>
      <c r="AK3548">
        <v>11938183</v>
      </c>
    </row>
    <row r="3549" spans="1:37" ht="19">
      <c r="A3549" s="39" t="s">
        <v>17</v>
      </c>
      <c r="B3549" s="8">
        <v>2024</v>
      </c>
      <c r="C3549" s="8" t="s">
        <v>109</v>
      </c>
      <c r="D3549" s="9" t="s">
        <v>109</v>
      </c>
      <c r="E3549" s="9" t="s">
        <v>111</v>
      </c>
      <c r="F3549" s="9" t="s">
        <v>111</v>
      </c>
      <c r="I3549" s="9" t="s">
        <v>116</v>
      </c>
      <c r="J3549" s="9" t="s">
        <v>116</v>
      </c>
      <c r="K3549" s="9" t="s">
        <v>14</v>
      </c>
      <c r="L3549" s="9" t="s">
        <v>209</v>
      </c>
      <c r="M3549" s="14" t="s">
        <v>84</v>
      </c>
      <c r="O3549" t="s">
        <v>2509</v>
      </c>
      <c r="P3549" t="s">
        <v>282</v>
      </c>
      <c r="S3549">
        <v>353</v>
      </c>
      <c r="U3549" t="s">
        <v>112</v>
      </c>
      <c r="V3549" t="s">
        <v>112</v>
      </c>
      <c r="X3549" s="43">
        <v>2.1</v>
      </c>
      <c r="AA3549" s="43"/>
      <c r="AB3549" s="43">
        <v>0.15</v>
      </c>
      <c r="AC3549" s="43">
        <v>0.14849999999999999</v>
      </c>
      <c r="AK3549">
        <v>7553664</v>
      </c>
    </row>
    <row r="3550" spans="1:37" ht="19">
      <c r="A3550" s="39" t="s">
        <v>17</v>
      </c>
      <c r="B3550" s="8">
        <v>2024</v>
      </c>
      <c r="C3550" s="8" t="s">
        <v>109</v>
      </c>
      <c r="D3550" s="9" t="s">
        <v>109</v>
      </c>
      <c r="E3550" s="9" t="s">
        <v>111</v>
      </c>
      <c r="F3550" s="9" t="s">
        <v>111</v>
      </c>
      <c r="I3550" s="9" t="s">
        <v>116</v>
      </c>
      <c r="J3550" s="9" t="s">
        <v>116</v>
      </c>
      <c r="K3550" s="9" t="s">
        <v>14</v>
      </c>
      <c r="L3550" s="9" t="s">
        <v>209</v>
      </c>
      <c r="M3550" s="14" t="s">
        <v>84</v>
      </c>
      <c r="O3550" t="s">
        <v>2509</v>
      </c>
      <c r="P3550" t="s">
        <v>285</v>
      </c>
      <c r="S3550">
        <v>303</v>
      </c>
      <c r="U3550" t="s">
        <v>112</v>
      </c>
      <c r="V3550" t="s">
        <v>112</v>
      </c>
      <c r="X3550" s="43">
        <v>1.75</v>
      </c>
      <c r="AA3550" s="43"/>
      <c r="AB3550" s="43">
        <v>0.1</v>
      </c>
      <c r="AC3550" s="43">
        <v>0.1215</v>
      </c>
      <c r="AK3550">
        <v>6692664</v>
      </c>
    </row>
    <row r="3551" spans="1:37" ht="19">
      <c r="A3551" s="39" t="s">
        <v>17</v>
      </c>
      <c r="B3551" s="8">
        <v>2024</v>
      </c>
      <c r="C3551" s="8" t="s">
        <v>109</v>
      </c>
      <c r="D3551" s="9" t="s">
        <v>109</v>
      </c>
      <c r="E3551" s="9" t="s">
        <v>111</v>
      </c>
      <c r="F3551" s="9" t="s">
        <v>111</v>
      </c>
      <c r="I3551" s="9" t="s">
        <v>116</v>
      </c>
      <c r="J3551" s="9" t="s">
        <v>116</v>
      </c>
      <c r="K3551" s="9" t="s">
        <v>14</v>
      </c>
      <c r="L3551" s="9" t="s">
        <v>209</v>
      </c>
      <c r="M3551" s="14" t="s">
        <v>84</v>
      </c>
      <c r="O3551" t="s">
        <v>2509</v>
      </c>
      <c r="P3551" t="s">
        <v>1274</v>
      </c>
      <c r="S3551">
        <v>290</v>
      </c>
      <c r="U3551" s="14" t="s">
        <v>77</v>
      </c>
      <c r="V3551" t="s">
        <v>1720</v>
      </c>
      <c r="X3551" s="43">
        <v>1.85</v>
      </c>
      <c r="AA3551" s="43"/>
      <c r="AB3551" s="43">
        <v>0.45</v>
      </c>
      <c r="AC3551" s="43">
        <v>0.1305</v>
      </c>
      <c r="AJ3551" s="13">
        <f t="shared" ref="AJ3551:AJ3553" si="320">SUBTOTAL(9,X3551:AI3551)</f>
        <v>2.4305000000000003</v>
      </c>
      <c r="AK3551">
        <v>0</v>
      </c>
    </row>
    <row r="3552" spans="1:37" ht="19">
      <c r="A3552" s="39" t="s">
        <v>17</v>
      </c>
      <c r="B3552" s="8">
        <v>2024</v>
      </c>
      <c r="C3552" s="8" t="s">
        <v>109</v>
      </c>
      <c r="D3552" s="9" t="s">
        <v>109</v>
      </c>
      <c r="E3552" s="9" t="s">
        <v>111</v>
      </c>
      <c r="F3552" s="9" t="s">
        <v>111</v>
      </c>
      <c r="I3552" s="9" t="s">
        <v>116</v>
      </c>
      <c r="J3552" s="9" t="s">
        <v>116</v>
      </c>
      <c r="K3552" s="9" t="s">
        <v>14</v>
      </c>
      <c r="L3552" s="9" t="s">
        <v>209</v>
      </c>
      <c r="M3552" s="14" t="s">
        <v>84</v>
      </c>
      <c r="O3552" t="s">
        <v>2509</v>
      </c>
      <c r="P3552" t="s">
        <v>2521</v>
      </c>
      <c r="S3552">
        <v>533</v>
      </c>
      <c r="U3552" s="14" t="s">
        <v>77</v>
      </c>
      <c r="V3552" t="s">
        <v>1720</v>
      </c>
      <c r="X3552" s="43">
        <v>3.2</v>
      </c>
      <c r="AA3552" s="43"/>
      <c r="AB3552" s="43">
        <v>0.75</v>
      </c>
      <c r="AC3552" s="43">
        <v>0.22950000000000001</v>
      </c>
      <c r="AJ3552" s="13">
        <f t="shared" si="320"/>
        <v>4.1795</v>
      </c>
      <c r="AK3552">
        <v>0</v>
      </c>
    </row>
    <row r="3553" spans="1:37" ht="19">
      <c r="A3553" s="39" t="s">
        <v>17</v>
      </c>
      <c r="B3553" s="8">
        <v>2024</v>
      </c>
      <c r="C3553" s="8" t="s">
        <v>109</v>
      </c>
      <c r="D3553" s="9" t="s">
        <v>109</v>
      </c>
      <c r="E3553" s="9" t="s">
        <v>111</v>
      </c>
      <c r="F3553" s="9" t="s">
        <v>111</v>
      </c>
      <c r="I3553" s="9" t="s">
        <v>116</v>
      </c>
      <c r="J3553" s="9" t="s">
        <v>116</v>
      </c>
      <c r="K3553" s="9" t="s">
        <v>14</v>
      </c>
      <c r="L3553" s="9" t="s">
        <v>209</v>
      </c>
      <c r="M3553" s="14" t="s">
        <v>84</v>
      </c>
      <c r="O3553" t="s">
        <v>2509</v>
      </c>
      <c r="P3553" t="s">
        <v>2522</v>
      </c>
      <c r="S3553">
        <v>381</v>
      </c>
      <c r="U3553" s="14" t="s">
        <v>77</v>
      </c>
      <c r="V3553" t="s">
        <v>1720</v>
      </c>
      <c r="X3553" s="43">
        <v>2.35</v>
      </c>
      <c r="AA3553" s="43"/>
      <c r="AB3553" s="43">
        <v>0.55000000000000004</v>
      </c>
      <c r="AC3553" s="43">
        <v>0.16650000000000001</v>
      </c>
      <c r="AJ3553" s="13">
        <f t="shared" si="320"/>
        <v>3.0665000000000004</v>
      </c>
      <c r="AK3553">
        <v>0</v>
      </c>
    </row>
    <row r="3554" spans="1:37" ht="19">
      <c r="A3554" s="39" t="s">
        <v>17</v>
      </c>
      <c r="B3554" s="8">
        <v>2024</v>
      </c>
      <c r="C3554" s="8" t="s">
        <v>109</v>
      </c>
      <c r="D3554" s="9" t="s">
        <v>109</v>
      </c>
      <c r="E3554" s="9" t="s">
        <v>111</v>
      </c>
      <c r="F3554" s="9" t="s">
        <v>111</v>
      </c>
      <c r="I3554" s="9" t="s">
        <v>116</v>
      </c>
      <c r="J3554" s="9" t="s">
        <v>116</v>
      </c>
      <c r="K3554" s="9" t="s">
        <v>14</v>
      </c>
      <c r="L3554" s="9" t="s">
        <v>209</v>
      </c>
      <c r="M3554" s="14" t="s">
        <v>84</v>
      </c>
      <c r="O3554" t="s">
        <v>2523</v>
      </c>
      <c r="P3554" t="s">
        <v>838</v>
      </c>
      <c r="S3554">
        <v>213</v>
      </c>
      <c r="U3554" t="s">
        <v>112</v>
      </c>
      <c r="V3554" t="s">
        <v>1484</v>
      </c>
      <c r="X3554" s="43">
        <v>1.6</v>
      </c>
      <c r="AA3554" s="43"/>
      <c r="AB3554" s="43">
        <v>0.1</v>
      </c>
      <c r="AC3554" s="43">
        <v>0.1125</v>
      </c>
      <c r="AK3554">
        <v>4704734</v>
      </c>
    </row>
    <row r="3555" spans="1:37" ht="19">
      <c r="A3555" s="39" t="s">
        <v>17</v>
      </c>
      <c r="B3555" s="8">
        <v>2024</v>
      </c>
      <c r="C3555" s="8" t="s">
        <v>109</v>
      </c>
      <c r="D3555" s="9" t="s">
        <v>109</v>
      </c>
      <c r="E3555" s="9" t="s">
        <v>111</v>
      </c>
      <c r="F3555" s="9" t="s">
        <v>111</v>
      </c>
      <c r="I3555" s="9" t="s">
        <v>116</v>
      </c>
      <c r="J3555" s="9" t="s">
        <v>116</v>
      </c>
      <c r="K3555" s="9" t="s">
        <v>14</v>
      </c>
      <c r="L3555" s="9" t="s">
        <v>209</v>
      </c>
      <c r="M3555" s="14" t="s">
        <v>84</v>
      </c>
      <c r="O3555" t="s">
        <v>2523</v>
      </c>
      <c r="P3555" t="s">
        <v>2524</v>
      </c>
      <c r="S3555">
        <v>213</v>
      </c>
      <c r="U3555" t="s">
        <v>112</v>
      </c>
      <c r="V3555" t="s">
        <v>1484</v>
      </c>
      <c r="X3555" s="43">
        <v>1.6</v>
      </c>
      <c r="AA3555" s="43"/>
      <c r="AB3555" s="43">
        <v>0.1</v>
      </c>
      <c r="AC3555" s="43">
        <v>0.1125</v>
      </c>
      <c r="AK3555">
        <v>4704639</v>
      </c>
    </row>
    <row r="3556" spans="1:37" ht="19">
      <c r="A3556" s="39" t="s">
        <v>17</v>
      </c>
      <c r="B3556" s="8">
        <v>2024</v>
      </c>
      <c r="C3556" s="8" t="s">
        <v>109</v>
      </c>
      <c r="D3556" s="9" t="s">
        <v>109</v>
      </c>
      <c r="E3556" s="9" t="s">
        <v>111</v>
      </c>
      <c r="F3556" s="9" t="s">
        <v>111</v>
      </c>
      <c r="I3556" s="9" t="s">
        <v>116</v>
      </c>
      <c r="J3556" s="9" t="s">
        <v>116</v>
      </c>
      <c r="K3556" s="9" t="s">
        <v>14</v>
      </c>
      <c r="L3556" s="9" t="s">
        <v>209</v>
      </c>
      <c r="M3556" s="14" t="s">
        <v>84</v>
      </c>
      <c r="O3556" t="s">
        <v>837</v>
      </c>
      <c r="P3556" t="s">
        <v>2525</v>
      </c>
      <c r="S3556">
        <v>190</v>
      </c>
      <c r="U3556" t="s">
        <v>112</v>
      </c>
      <c r="V3556" t="s">
        <v>1484</v>
      </c>
      <c r="X3556" s="43">
        <v>1.4</v>
      </c>
      <c r="AA3556" s="43"/>
      <c r="AB3556" s="43">
        <v>0.1</v>
      </c>
      <c r="AC3556" s="43">
        <v>9.9000000000000005E-2</v>
      </c>
      <c r="AK3556">
        <v>4196720</v>
      </c>
    </row>
    <row r="3557" spans="1:37" ht="19">
      <c r="A3557" s="39" t="s">
        <v>17</v>
      </c>
      <c r="B3557" s="8">
        <v>2024</v>
      </c>
      <c r="C3557" s="8" t="s">
        <v>109</v>
      </c>
      <c r="D3557" s="9" t="s">
        <v>109</v>
      </c>
      <c r="E3557" s="9" t="s">
        <v>111</v>
      </c>
      <c r="F3557" s="9" t="s">
        <v>111</v>
      </c>
      <c r="I3557" s="9" t="s">
        <v>116</v>
      </c>
      <c r="J3557" s="9" t="s">
        <v>116</v>
      </c>
      <c r="K3557" s="9" t="s">
        <v>14</v>
      </c>
      <c r="L3557" s="9" t="s">
        <v>209</v>
      </c>
      <c r="M3557" s="14" t="s">
        <v>84</v>
      </c>
      <c r="O3557" t="s">
        <v>837</v>
      </c>
      <c r="P3557" t="s">
        <v>2526</v>
      </c>
      <c r="S3557">
        <v>339</v>
      </c>
      <c r="U3557" t="s">
        <v>112</v>
      </c>
      <c r="V3557" t="s">
        <v>1484</v>
      </c>
      <c r="X3557" s="43">
        <v>2.5</v>
      </c>
      <c r="AA3557" s="43"/>
      <c r="AB3557" s="43">
        <v>0.15</v>
      </c>
      <c r="AC3557" s="43">
        <v>0.18</v>
      </c>
      <c r="AK3557">
        <v>7447500</v>
      </c>
    </row>
    <row r="3558" spans="1:37" ht="19">
      <c r="A3558" s="39" t="s">
        <v>17</v>
      </c>
      <c r="B3558" s="8">
        <v>2024</v>
      </c>
      <c r="C3558" s="8" t="s">
        <v>109</v>
      </c>
      <c r="D3558" s="9" t="s">
        <v>109</v>
      </c>
      <c r="E3558" s="9" t="s">
        <v>111</v>
      </c>
      <c r="F3558" s="9" t="s">
        <v>111</v>
      </c>
      <c r="I3558" s="9" t="s">
        <v>116</v>
      </c>
      <c r="J3558" s="9" t="s">
        <v>116</v>
      </c>
      <c r="K3558" s="9" t="s">
        <v>14</v>
      </c>
      <c r="L3558" s="9" t="s">
        <v>209</v>
      </c>
      <c r="M3558" s="14" t="s">
        <v>84</v>
      </c>
      <c r="O3558" t="s">
        <v>2523</v>
      </c>
      <c r="P3558" t="s">
        <v>839</v>
      </c>
      <c r="S3558">
        <v>195</v>
      </c>
      <c r="U3558" t="s">
        <v>112</v>
      </c>
      <c r="V3558" t="s">
        <v>1484</v>
      </c>
      <c r="X3558" s="43">
        <v>1.45</v>
      </c>
      <c r="AA3558" s="43"/>
      <c r="AB3558" s="43">
        <v>0.1</v>
      </c>
      <c r="AC3558" s="43">
        <v>0.10349999999999999</v>
      </c>
      <c r="AK3558">
        <v>4307160</v>
      </c>
    </row>
    <row r="3559" spans="1:37" ht="19">
      <c r="A3559" s="39" t="s">
        <v>17</v>
      </c>
      <c r="B3559" s="8">
        <v>2024</v>
      </c>
      <c r="C3559" s="8" t="s">
        <v>109</v>
      </c>
      <c r="D3559" s="9" t="s">
        <v>109</v>
      </c>
      <c r="E3559" s="9" t="s">
        <v>111</v>
      </c>
      <c r="F3559" s="9" t="s">
        <v>111</v>
      </c>
      <c r="I3559" s="9" t="s">
        <v>116</v>
      </c>
      <c r="J3559" s="9" t="s">
        <v>116</v>
      </c>
      <c r="K3559" s="9" t="s">
        <v>14</v>
      </c>
      <c r="L3559" s="9" t="s">
        <v>209</v>
      </c>
      <c r="M3559" s="14" t="s">
        <v>84</v>
      </c>
      <c r="O3559" t="s">
        <v>837</v>
      </c>
      <c r="P3559" t="s">
        <v>2527</v>
      </c>
      <c r="S3559">
        <v>234</v>
      </c>
      <c r="U3559" t="s">
        <v>112</v>
      </c>
      <c r="V3559" t="s">
        <v>1484</v>
      </c>
      <c r="X3559" s="43">
        <v>1.75</v>
      </c>
      <c r="AA3559" s="43"/>
      <c r="AB3559" s="43">
        <v>0.1</v>
      </c>
      <c r="AC3559" s="43">
        <v>0.126</v>
      </c>
      <c r="AK3559">
        <v>5168592</v>
      </c>
    </row>
    <row r="3560" spans="1:37" ht="19">
      <c r="A3560" s="39" t="s">
        <v>17</v>
      </c>
      <c r="B3560" s="8">
        <v>2024</v>
      </c>
      <c r="C3560" s="8" t="s">
        <v>109</v>
      </c>
      <c r="D3560" s="9" t="s">
        <v>109</v>
      </c>
      <c r="E3560" s="9" t="s">
        <v>111</v>
      </c>
      <c r="F3560" s="9" t="s">
        <v>111</v>
      </c>
      <c r="I3560" s="9" t="s">
        <v>116</v>
      </c>
      <c r="J3560" s="9" t="s">
        <v>116</v>
      </c>
      <c r="K3560" s="9" t="s">
        <v>14</v>
      </c>
      <c r="L3560" s="9" t="s">
        <v>209</v>
      </c>
      <c r="M3560" s="14" t="s">
        <v>84</v>
      </c>
      <c r="O3560" t="s">
        <v>2523</v>
      </c>
      <c r="P3560" t="s">
        <v>852</v>
      </c>
      <c r="S3560">
        <v>207</v>
      </c>
      <c r="U3560" s="14" t="s">
        <v>77</v>
      </c>
      <c r="V3560" t="s">
        <v>1720</v>
      </c>
      <c r="X3560" s="43">
        <v>1.25</v>
      </c>
      <c r="AA3560" s="43"/>
      <c r="AB3560" s="43">
        <v>0.3</v>
      </c>
      <c r="AC3560" s="43">
        <v>0.09</v>
      </c>
      <c r="AJ3560" s="13">
        <f>SUBTOTAL(9,X3560:AI3560)</f>
        <v>1.6400000000000001</v>
      </c>
      <c r="AK3560">
        <v>0</v>
      </c>
    </row>
    <row r="3561" spans="1:37" ht="19">
      <c r="A3561" s="39" t="s">
        <v>17</v>
      </c>
      <c r="B3561" s="8">
        <v>2024</v>
      </c>
      <c r="C3561" s="8" t="s">
        <v>109</v>
      </c>
      <c r="D3561" s="9" t="s">
        <v>109</v>
      </c>
      <c r="E3561" s="9" t="s">
        <v>111</v>
      </c>
      <c r="F3561" s="9" t="s">
        <v>111</v>
      </c>
      <c r="I3561" s="9" t="s">
        <v>116</v>
      </c>
      <c r="J3561" s="9" t="s">
        <v>116</v>
      </c>
      <c r="K3561" s="9" t="s">
        <v>14</v>
      </c>
      <c r="L3561" s="9" t="s">
        <v>209</v>
      </c>
      <c r="M3561" s="14" t="s">
        <v>84</v>
      </c>
      <c r="O3561" t="s">
        <v>2523</v>
      </c>
      <c r="P3561" t="s">
        <v>837</v>
      </c>
      <c r="S3561">
        <v>329</v>
      </c>
      <c r="U3561" t="s">
        <v>112</v>
      </c>
      <c r="V3561" t="s">
        <v>1484</v>
      </c>
      <c r="X3561" s="43">
        <v>2.4500000000000002</v>
      </c>
      <c r="AA3561" s="43"/>
      <c r="AB3561" s="43">
        <v>0.15</v>
      </c>
      <c r="AC3561" s="43">
        <v>0.17549999999999999</v>
      </c>
      <c r="AK3561">
        <v>7262752</v>
      </c>
    </row>
    <row r="3562" spans="1:37" ht="19">
      <c r="A3562" s="39" t="s">
        <v>17</v>
      </c>
      <c r="B3562" s="8">
        <v>2024</v>
      </c>
      <c r="C3562" s="8" t="s">
        <v>109</v>
      </c>
      <c r="D3562" s="9" t="s">
        <v>109</v>
      </c>
      <c r="E3562" s="9" t="s">
        <v>111</v>
      </c>
      <c r="F3562" s="9" t="s">
        <v>111</v>
      </c>
      <c r="I3562" s="9" t="s">
        <v>116</v>
      </c>
      <c r="J3562" s="9" t="s">
        <v>116</v>
      </c>
      <c r="K3562" s="9" t="s">
        <v>14</v>
      </c>
      <c r="L3562" s="9" t="s">
        <v>209</v>
      </c>
      <c r="M3562" s="14" t="s">
        <v>84</v>
      </c>
      <c r="O3562" t="s">
        <v>381</v>
      </c>
      <c r="P3562" t="s">
        <v>2528</v>
      </c>
      <c r="S3562">
        <v>192</v>
      </c>
      <c r="U3562" s="14" t="s">
        <v>77</v>
      </c>
      <c r="V3562" t="s">
        <v>1720</v>
      </c>
      <c r="X3562" s="43">
        <v>1.2</v>
      </c>
      <c r="AA3562" s="43"/>
      <c r="AB3562" s="43">
        <v>0.25</v>
      </c>
      <c r="AC3562" s="43">
        <v>8.5500000000000007E-2</v>
      </c>
      <c r="AJ3562" s="13">
        <f t="shared" ref="AJ3562:AJ3563" si="321">SUBTOTAL(9,X3562:AI3562)</f>
        <v>1.5354999999999999</v>
      </c>
      <c r="AK3562">
        <v>0</v>
      </c>
    </row>
    <row r="3563" spans="1:37" ht="19">
      <c r="A3563" s="39" t="s">
        <v>17</v>
      </c>
      <c r="B3563" s="8">
        <v>2024</v>
      </c>
      <c r="C3563" s="8" t="s">
        <v>109</v>
      </c>
      <c r="D3563" s="9" t="s">
        <v>109</v>
      </c>
      <c r="E3563" s="9" t="s">
        <v>111</v>
      </c>
      <c r="F3563" s="9" t="s">
        <v>111</v>
      </c>
      <c r="I3563" s="9" t="s">
        <v>116</v>
      </c>
      <c r="J3563" s="9" t="s">
        <v>116</v>
      </c>
      <c r="K3563" s="9" t="s">
        <v>14</v>
      </c>
      <c r="L3563" s="9" t="s">
        <v>209</v>
      </c>
      <c r="M3563" s="14" t="s">
        <v>84</v>
      </c>
      <c r="O3563" t="s">
        <v>381</v>
      </c>
      <c r="P3563" t="s">
        <v>2529</v>
      </c>
      <c r="S3563">
        <v>256</v>
      </c>
      <c r="U3563" s="14" t="s">
        <v>77</v>
      </c>
      <c r="V3563" t="s">
        <v>1720</v>
      </c>
      <c r="X3563" s="43">
        <v>1.55</v>
      </c>
      <c r="AA3563" s="43"/>
      <c r="AB3563" s="43">
        <v>0.35</v>
      </c>
      <c r="AC3563" s="43">
        <v>0.1125</v>
      </c>
      <c r="AJ3563" s="13">
        <f t="shared" si="321"/>
        <v>2.0124999999999997</v>
      </c>
      <c r="AK3563">
        <v>0</v>
      </c>
    </row>
    <row r="3564" spans="1:37" ht="19">
      <c r="A3564" s="39" t="s">
        <v>17</v>
      </c>
      <c r="B3564" s="8">
        <v>2024</v>
      </c>
      <c r="C3564" s="8" t="s">
        <v>109</v>
      </c>
      <c r="D3564" s="9" t="s">
        <v>109</v>
      </c>
      <c r="E3564" s="9" t="s">
        <v>111</v>
      </c>
      <c r="F3564" s="9" t="s">
        <v>111</v>
      </c>
      <c r="I3564" s="9" t="s">
        <v>116</v>
      </c>
      <c r="J3564" s="9" t="s">
        <v>116</v>
      </c>
      <c r="K3564" s="9" t="s">
        <v>14</v>
      </c>
      <c r="L3564" s="9" t="s">
        <v>209</v>
      </c>
      <c r="M3564" s="14" t="s">
        <v>84</v>
      </c>
      <c r="O3564" t="s">
        <v>818</v>
      </c>
      <c r="P3564" t="s">
        <v>2530</v>
      </c>
      <c r="S3564">
        <v>176</v>
      </c>
      <c r="U3564" t="s">
        <v>112</v>
      </c>
      <c r="V3564" t="s">
        <v>1484</v>
      </c>
      <c r="X3564" s="43">
        <v>1.05</v>
      </c>
      <c r="AA3564" s="43"/>
      <c r="AB3564" s="43">
        <v>0.1</v>
      </c>
      <c r="AC3564" s="43">
        <v>7.6499999999999999E-2</v>
      </c>
      <c r="AK3564">
        <v>3887488</v>
      </c>
    </row>
    <row r="3565" spans="1:37" ht="19">
      <c r="A3565" s="39" t="s">
        <v>17</v>
      </c>
      <c r="B3565" s="8">
        <v>2024</v>
      </c>
      <c r="C3565" s="8" t="s">
        <v>109</v>
      </c>
      <c r="D3565" s="9" t="s">
        <v>109</v>
      </c>
      <c r="E3565" s="9" t="s">
        <v>111</v>
      </c>
      <c r="F3565" s="9" t="s">
        <v>111</v>
      </c>
      <c r="I3565" s="9" t="s">
        <v>116</v>
      </c>
      <c r="J3565" s="9" t="s">
        <v>116</v>
      </c>
      <c r="K3565" s="9" t="s">
        <v>14</v>
      </c>
      <c r="L3565" s="9" t="s">
        <v>209</v>
      </c>
      <c r="M3565" s="14" t="s">
        <v>84</v>
      </c>
      <c r="O3565" t="s">
        <v>381</v>
      </c>
      <c r="P3565" t="s">
        <v>2531</v>
      </c>
      <c r="S3565">
        <v>200</v>
      </c>
      <c r="U3565" s="14" t="s">
        <v>77</v>
      </c>
      <c r="V3565" t="s">
        <v>1720</v>
      </c>
      <c r="X3565" s="43">
        <v>1.35</v>
      </c>
      <c r="AA3565" s="43"/>
      <c r="AB3565" s="43">
        <v>0.3</v>
      </c>
      <c r="AC3565" s="43">
        <v>9.4500000000000001E-2</v>
      </c>
      <c r="AJ3565" s="13">
        <f t="shared" ref="AJ3565:AJ3570" si="322">SUBTOTAL(9,X3565:AI3565)</f>
        <v>1.7445000000000002</v>
      </c>
      <c r="AK3565">
        <v>0</v>
      </c>
    </row>
    <row r="3566" spans="1:37" ht="19">
      <c r="A3566" s="39" t="s">
        <v>17</v>
      </c>
      <c r="B3566" s="8">
        <v>2024</v>
      </c>
      <c r="C3566" s="8" t="s">
        <v>109</v>
      </c>
      <c r="D3566" s="9" t="s">
        <v>109</v>
      </c>
      <c r="E3566" s="9" t="s">
        <v>111</v>
      </c>
      <c r="F3566" s="9" t="s">
        <v>111</v>
      </c>
      <c r="I3566" s="9" t="s">
        <v>116</v>
      </c>
      <c r="J3566" s="9" t="s">
        <v>116</v>
      </c>
      <c r="K3566" s="9" t="s">
        <v>14</v>
      </c>
      <c r="L3566" s="9" t="s">
        <v>209</v>
      </c>
      <c r="M3566" s="14" t="s">
        <v>84</v>
      </c>
      <c r="O3566" t="s">
        <v>381</v>
      </c>
      <c r="P3566" t="s">
        <v>2532</v>
      </c>
      <c r="S3566">
        <v>202</v>
      </c>
      <c r="U3566" s="14" t="s">
        <v>77</v>
      </c>
      <c r="V3566" t="s">
        <v>1720</v>
      </c>
      <c r="X3566" s="43">
        <v>1.4</v>
      </c>
      <c r="AA3566" s="43"/>
      <c r="AB3566" s="43">
        <v>0.35</v>
      </c>
      <c r="AC3566" s="43">
        <v>9.9000000000000005E-2</v>
      </c>
      <c r="AJ3566" s="13">
        <f t="shared" si="322"/>
        <v>1.849</v>
      </c>
      <c r="AK3566">
        <v>0</v>
      </c>
    </row>
    <row r="3567" spans="1:37" ht="19">
      <c r="A3567" s="39" t="s">
        <v>17</v>
      </c>
      <c r="B3567" s="8">
        <v>2024</v>
      </c>
      <c r="C3567" s="8" t="s">
        <v>109</v>
      </c>
      <c r="D3567" s="9" t="s">
        <v>109</v>
      </c>
      <c r="E3567" s="9" t="s">
        <v>111</v>
      </c>
      <c r="F3567" s="9" t="s">
        <v>111</v>
      </c>
      <c r="I3567" s="9" t="s">
        <v>116</v>
      </c>
      <c r="J3567" s="9" t="s">
        <v>116</v>
      </c>
      <c r="K3567" s="9" t="s">
        <v>14</v>
      </c>
      <c r="L3567" s="9" t="s">
        <v>209</v>
      </c>
      <c r="M3567" s="14" t="s">
        <v>84</v>
      </c>
      <c r="O3567" t="s">
        <v>381</v>
      </c>
      <c r="P3567" t="s">
        <v>828</v>
      </c>
      <c r="S3567">
        <v>141</v>
      </c>
      <c r="U3567" s="14" t="s">
        <v>77</v>
      </c>
      <c r="V3567" t="s">
        <v>1720</v>
      </c>
      <c r="X3567" s="43">
        <v>0.85</v>
      </c>
      <c r="AA3567" s="43"/>
      <c r="AB3567" s="43">
        <v>0.2</v>
      </c>
      <c r="AC3567" s="43">
        <v>5.8500000000000003E-2</v>
      </c>
      <c r="AJ3567" s="13">
        <f t="shared" si="322"/>
        <v>1.1085</v>
      </c>
      <c r="AK3567">
        <v>0</v>
      </c>
    </row>
    <row r="3568" spans="1:37" ht="19">
      <c r="A3568" s="39" t="s">
        <v>17</v>
      </c>
      <c r="B3568" s="8">
        <v>2024</v>
      </c>
      <c r="C3568" s="8" t="s">
        <v>109</v>
      </c>
      <c r="D3568" s="9" t="s">
        <v>109</v>
      </c>
      <c r="E3568" s="9" t="s">
        <v>111</v>
      </c>
      <c r="F3568" s="9" t="s">
        <v>111</v>
      </c>
      <c r="I3568" s="9" t="s">
        <v>116</v>
      </c>
      <c r="J3568" s="9" t="s">
        <v>116</v>
      </c>
      <c r="K3568" s="9" t="s">
        <v>14</v>
      </c>
      <c r="L3568" s="9" t="s">
        <v>209</v>
      </c>
      <c r="M3568" s="14" t="s">
        <v>84</v>
      </c>
      <c r="O3568" t="s">
        <v>225</v>
      </c>
      <c r="P3568" t="s">
        <v>2533</v>
      </c>
      <c r="S3568">
        <v>182</v>
      </c>
      <c r="U3568" s="14" t="s">
        <v>77</v>
      </c>
      <c r="V3568" t="s">
        <v>1720</v>
      </c>
      <c r="X3568" s="43">
        <v>1.2</v>
      </c>
      <c r="AA3568" s="43"/>
      <c r="AB3568" s="43">
        <v>0.3</v>
      </c>
      <c r="AC3568" s="43">
        <v>8.5500000000000007E-2</v>
      </c>
      <c r="AJ3568" s="13">
        <f t="shared" si="322"/>
        <v>1.5854999999999999</v>
      </c>
      <c r="AK3568">
        <v>0</v>
      </c>
    </row>
    <row r="3569" spans="1:37" ht="19">
      <c r="A3569" s="39" t="s">
        <v>17</v>
      </c>
      <c r="B3569" s="8">
        <v>2024</v>
      </c>
      <c r="C3569" s="8" t="s">
        <v>109</v>
      </c>
      <c r="D3569" s="9" t="s">
        <v>109</v>
      </c>
      <c r="E3569" s="9" t="s">
        <v>111</v>
      </c>
      <c r="F3569" s="9" t="s">
        <v>111</v>
      </c>
      <c r="I3569" s="9" t="s">
        <v>116</v>
      </c>
      <c r="J3569" s="9" t="s">
        <v>116</v>
      </c>
      <c r="K3569" s="9" t="s">
        <v>14</v>
      </c>
      <c r="L3569" s="9" t="s">
        <v>209</v>
      </c>
      <c r="M3569" s="14" t="s">
        <v>84</v>
      </c>
      <c r="O3569" t="s">
        <v>225</v>
      </c>
      <c r="P3569" t="s">
        <v>2534</v>
      </c>
      <c r="S3569">
        <v>129</v>
      </c>
      <c r="U3569" s="14" t="s">
        <v>77</v>
      </c>
      <c r="V3569" t="s">
        <v>1720</v>
      </c>
      <c r="X3569" s="43">
        <v>0.8</v>
      </c>
      <c r="AA3569" s="43"/>
      <c r="AB3569" s="43">
        <v>0.2</v>
      </c>
      <c r="AC3569" s="43">
        <v>5.8500000000000003E-2</v>
      </c>
      <c r="AJ3569" s="13">
        <f t="shared" si="322"/>
        <v>1.0585</v>
      </c>
      <c r="AK3569">
        <v>0</v>
      </c>
    </row>
    <row r="3570" spans="1:37" ht="19">
      <c r="A3570" s="39" t="s">
        <v>17</v>
      </c>
      <c r="B3570" s="8">
        <v>2024</v>
      </c>
      <c r="C3570" s="8" t="s">
        <v>109</v>
      </c>
      <c r="D3570" s="9" t="s">
        <v>109</v>
      </c>
      <c r="E3570" s="9" t="s">
        <v>111</v>
      </c>
      <c r="F3570" s="9" t="s">
        <v>111</v>
      </c>
      <c r="I3570" s="9" t="s">
        <v>116</v>
      </c>
      <c r="J3570" s="9" t="s">
        <v>116</v>
      </c>
      <c r="K3570" s="9" t="s">
        <v>14</v>
      </c>
      <c r="L3570" s="9" t="s">
        <v>209</v>
      </c>
      <c r="M3570" s="14" t="s">
        <v>84</v>
      </c>
      <c r="O3570" t="s">
        <v>225</v>
      </c>
      <c r="P3570" t="s">
        <v>685</v>
      </c>
      <c r="S3570">
        <v>318</v>
      </c>
      <c r="U3570" s="14" t="s">
        <v>77</v>
      </c>
      <c r="V3570" t="s">
        <v>1720</v>
      </c>
      <c r="X3570" s="43">
        <v>2.25</v>
      </c>
      <c r="AA3570" s="43"/>
      <c r="AB3570" s="43">
        <v>0.5</v>
      </c>
      <c r="AC3570" s="43">
        <v>0.16200000000000001</v>
      </c>
      <c r="AJ3570" s="13">
        <f t="shared" si="322"/>
        <v>2.9119999999999999</v>
      </c>
      <c r="AK3570">
        <v>0</v>
      </c>
    </row>
    <row r="3571" spans="1:37" ht="19">
      <c r="A3571" s="39" t="s">
        <v>17</v>
      </c>
      <c r="B3571" s="8">
        <v>2024</v>
      </c>
      <c r="C3571" s="8" t="s">
        <v>109</v>
      </c>
      <c r="D3571" s="9" t="s">
        <v>109</v>
      </c>
      <c r="E3571" s="9" t="s">
        <v>111</v>
      </c>
      <c r="F3571" s="9" t="s">
        <v>111</v>
      </c>
      <c r="I3571" s="9" t="s">
        <v>116</v>
      </c>
      <c r="J3571" s="9" t="s">
        <v>116</v>
      </c>
      <c r="K3571" s="9" t="s">
        <v>14</v>
      </c>
      <c r="L3571" s="9" t="s">
        <v>209</v>
      </c>
      <c r="M3571" s="14" t="s">
        <v>84</v>
      </c>
      <c r="O3571" t="s">
        <v>678</v>
      </c>
      <c r="P3571" t="s">
        <v>2535</v>
      </c>
      <c r="S3571">
        <v>272</v>
      </c>
      <c r="U3571" t="s">
        <v>112</v>
      </c>
      <c r="V3571" t="s">
        <v>1484</v>
      </c>
      <c r="X3571" s="43">
        <v>1.85</v>
      </c>
      <c r="AA3571" s="43"/>
      <c r="AB3571" s="43">
        <v>0.1</v>
      </c>
      <c r="AC3571" s="43">
        <v>0.1305</v>
      </c>
      <c r="AK3571">
        <v>6007936</v>
      </c>
    </row>
    <row r="3572" spans="1:37" ht="19">
      <c r="A3572" s="39" t="s">
        <v>17</v>
      </c>
      <c r="B3572" s="8">
        <v>2024</v>
      </c>
      <c r="C3572" s="8" t="s">
        <v>109</v>
      </c>
      <c r="D3572" s="9" t="s">
        <v>109</v>
      </c>
      <c r="E3572" s="9" t="s">
        <v>111</v>
      </c>
      <c r="F3572" s="9" t="s">
        <v>111</v>
      </c>
      <c r="I3572" s="9" t="s">
        <v>116</v>
      </c>
      <c r="J3572" s="9" t="s">
        <v>116</v>
      </c>
      <c r="K3572" s="9" t="s">
        <v>14</v>
      </c>
      <c r="L3572" s="9" t="s">
        <v>209</v>
      </c>
      <c r="M3572" s="14" t="s">
        <v>84</v>
      </c>
      <c r="O3572" t="s">
        <v>225</v>
      </c>
      <c r="P3572" t="s">
        <v>682</v>
      </c>
      <c r="S3572">
        <v>136</v>
      </c>
      <c r="U3572" s="14" t="s">
        <v>77</v>
      </c>
      <c r="V3572" t="s">
        <v>1720</v>
      </c>
      <c r="X3572" s="43">
        <v>0.9</v>
      </c>
      <c r="AA3572" s="43"/>
      <c r="AB3572" s="43">
        <v>0.2</v>
      </c>
      <c r="AC3572" s="43">
        <v>6.3E-2</v>
      </c>
      <c r="AJ3572" s="13">
        <f>SUBTOTAL(9,X3572:AI3572)</f>
        <v>1.163</v>
      </c>
      <c r="AK3572">
        <v>0</v>
      </c>
    </row>
    <row r="3573" spans="1:37" ht="19">
      <c r="A3573" s="39" t="s">
        <v>17</v>
      </c>
      <c r="B3573" s="8">
        <v>2024</v>
      </c>
      <c r="C3573" s="8" t="s">
        <v>109</v>
      </c>
      <c r="D3573" s="9" t="s">
        <v>109</v>
      </c>
      <c r="E3573" s="9" t="s">
        <v>111</v>
      </c>
      <c r="F3573" s="9" t="s">
        <v>111</v>
      </c>
      <c r="I3573" s="9" t="s">
        <v>116</v>
      </c>
      <c r="J3573" s="9" t="s">
        <v>116</v>
      </c>
      <c r="K3573" s="9" t="s">
        <v>14</v>
      </c>
      <c r="L3573" s="9" t="s">
        <v>209</v>
      </c>
      <c r="M3573" s="14" t="s">
        <v>84</v>
      </c>
      <c r="O3573" t="s">
        <v>678</v>
      </c>
      <c r="P3573" t="s">
        <v>2536</v>
      </c>
      <c r="S3573">
        <v>209</v>
      </c>
      <c r="U3573" t="s">
        <v>112</v>
      </c>
      <c r="V3573" t="s">
        <v>1484</v>
      </c>
      <c r="X3573" s="43">
        <v>1.4</v>
      </c>
      <c r="AA3573" s="43"/>
      <c r="AB3573" s="43">
        <v>0.1</v>
      </c>
      <c r="AC3573" s="43">
        <v>9.9000000000000005E-2</v>
      </c>
      <c r="AK3573">
        <v>4616392</v>
      </c>
    </row>
    <row r="3574" spans="1:37" ht="19">
      <c r="A3574" s="39" t="s">
        <v>17</v>
      </c>
      <c r="B3574" s="8">
        <v>2024</v>
      </c>
      <c r="C3574" s="8" t="s">
        <v>109</v>
      </c>
      <c r="D3574" s="9" t="s">
        <v>109</v>
      </c>
      <c r="E3574" s="9" t="s">
        <v>111</v>
      </c>
      <c r="F3574" s="9" t="s">
        <v>111</v>
      </c>
      <c r="I3574" s="9" t="s">
        <v>116</v>
      </c>
      <c r="J3574" s="9" t="s">
        <v>116</v>
      </c>
      <c r="K3574" s="9" t="s">
        <v>14</v>
      </c>
      <c r="L3574" s="9" t="s">
        <v>209</v>
      </c>
      <c r="M3574" s="14" t="s">
        <v>84</v>
      </c>
      <c r="O3574" t="s">
        <v>225</v>
      </c>
      <c r="P3574" t="s">
        <v>683</v>
      </c>
      <c r="S3574">
        <v>299</v>
      </c>
      <c r="U3574" t="s">
        <v>112</v>
      </c>
      <c r="V3574" t="s">
        <v>1484</v>
      </c>
      <c r="X3574" s="43">
        <v>2.2999999999999998</v>
      </c>
      <c r="AA3574" s="43"/>
      <c r="AB3574" s="43">
        <v>0.1</v>
      </c>
      <c r="AC3574" s="43">
        <v>0.16650000000000001</v>
      </c>
      <c r="AK3574">
        <v>6604312</v>
      </c>
    </row>
    <row r="3575" spans="1:37" ht="19">
      <c r="A3575" s="39" t="s">
        <v>17</v>
      </c>
      <c r="B3575" s="8">
        <v>2024</v>
      </c>
      <c r="C3575" s="8" t="s">
        <v>109</v>
      </c>
      <c r="D3575" s="9" t="s">
        <v>109</v>
      </c>
      <c r="E3575" s="9" t="s">
        <v>111</v>
      </c>
      <c r="F3575" s="9" t="s">
        <v>111</v>
      </c>
      <c r="I3575" s="9" t="s">
        <v>116</v>
      </c>
      <c r="J3575" s="9" t="s">
        <v>116</v>
      </c>
      <c r="K3575" s="9" t="s">
        <v>14</v>
      </c>
      <c r="L3575" s="9" t="s">
        <v>209</v>
      </c>
      <c r="M3575" s="14" t="s">
        <v>84</v>
      </c>
      <c r="O3575" t="s">
        <v>225</v>
      </c>
      <c r="P3575" t="s">
        <v>690</v>
      </c>
      <c r="S3575">
        <v>209</v>
      </c>
      <c r="U3575" s="14" t="s">
        <v>77</v>
      </c>
      <c r="V3575" t="s">
        <v>1720</v>
      </c>
      <c r="X3575" s="43">
        <v>1.4</v>
      </c>
      <c r="AA3575" s="43"/>
      <c r="AB3575" s="43">
        <v>0.3</v>
      </c>
      <c r="AC3575" s="43">
        <v>9.9000000000000005E-2</v>
      </c>
      <c r="AJ3575" s="13">
        <f t="shared" ref="AJ3575:AJ3577" si="323">SUBTOTAL(9,X3575:AI3575)</f>
        <v>1.7989999999999999</v>
      </c>
      <c r="AK3575">
        <v>0</v>
      </c>
    </row>
    <row r="3576" spans="1:37" ht="19">
      <c r="A3576" s="39" t="s">
        <v>17</v>
      </c>
      <c r="B3576" s="8">
        <v>2024</v>
      </c>
      <c r="C3576" s="8" t="s">
        <v>109</v>
      </c>
      <c r="D3576" s="9" t="s">
        <v>109</v>
      </c>
      <c r="E3576" s="9" t="s">
        <v>111</v>
      </c>
      <c r="F3576" s="9" t="s">
        <v>111</v>
      </c>
      <c r="I3576" s="9" t="s">
        <v>116</v>
      </c>
      <c r="J3576" s="9" t="s">
        <v>116</v>
      </c>
      <c r="K3576" s="9" t="s">
        <v>14</v>
      </c>
      <c r="L3576" s="9" t="s">
        <v>209</v>
      </c>
      <c r="M3576" s="14" t="s">
        <v>84</v>
      </c>
      <c r="O3576" t="s">
        <v>225</v>
      </c>
      <c r="P3576" t="s">
        <v>2537</v>
      </c>
      <c r="S3576">
        <v>189</v>
      </c>
      <c r="U3576" s="14" t="s">
        <v>77</v>
      </c>
      <c r="V3576" t="s">
        <v>1720</v>
      </c>
      <c r="X3576" s="43">
        <v>1.25</v>
      </c>
      <c r="AA3576" s="43"/>
      <c r="AB3576" s="43">
        <v>0.3</v>
      </c>
      <c r="AC3576" s="43">
        <v>0.09</v>
      </c>
      <c r="AJ3576" s="13">
        <f t="shared" si="323"/>
        <v>1.6400000000000001</v>
      </c>
      <c r="AK3576">
        <v>0</v>
      </c>
    </row>
    <row r="3577" spans="1:37" ht="19">
      <c r="A3577" s="39" t="s">
        <v>17</v>
      </c>
      <c r="B3577" s="8">
        <v>2024</v>
      </c>
      <c r="C3577" s="8" t="s">
        <v>109</v>
      </c>
      <c r="D3577" s="9" t="s">
        <v>109</v>
      </c>
      <c r="E3577" s="9" t="s">
        <v>111</v>
      </c>
      <c r="F3577" s="9" t="s">
        <v>111</v>
      </c>
      <c r="I3577" s="9" t="s">
        <v>116</v>
      </c>
      <c r="J3577" s="9" t="s">
        <v>116</v>
      </c>
      <c r="K3577" s="9" t="s">
        <v>14</v>
      </c>
      <c r="L3577" s="9" t="s">
        <v>209</v>
      </c>
      <c r="M3577" s="14" t="s">
        <v>84</v>
      </c>
      <c r="O3577" t="s">
        <v>2538</v>
      </c>
      <c r="P3577" t="s">
        <v>2539</v>
      </c>
      <c r="S3577">
        <v>293</v>
      </c>
      <c r="U3577" s="14" t="s">
        <v>77</v>
      </c>
      <c r="V3577" t="s">
        <v>1720</v>
      </c>
      <c r="X3577" s="43">
        <v>2</v>
      </c>
      <c r="AA3577" s="43"/>
      <c r="AB3577" s="43">
        <v>0.45</v>
      </c>
      <c r="AC3577" s="43">
        <v>0.14399999999999999</v>
      </c>
      <c r="AJ3577" s="13">
        <f t="shared" si="323"/>
        <v>2.5940000000000003</v>
      </c>
      <c r="AK3577">
        <v>0</v>
      </c>
    </row>
    <row r="3578" spans="1:37" ht="19">
      <c r="A3578" s="39" t="s">
        <v>17</v>
      </c>
      <c r="B3578" s="8">
        <v>2024</v>
      </c>
      <c r="C3578" s="8" t="s">
        <v>109</v>
      </c>
      <c r="D3578" s="9" t="s">
        <v>109</v>
      </c>
      <c r="E3578" s="9" t="s">
        <v>111</v>
      </c>
      <c r="F3578" s="9" t="s">
        <v>111</v>
      </c>
      <c r="I3578" s="9" t="s">
        <v>116</v>
      </c>
      <c r="J3578" s="9" t="s">
        <v>116</v>
      </c>
      <c r="K3578" s="9" t="s">
        <v>14</v>
      </c>
      <c r="L3578" s="9" t="s">
        <v>209</v>
      </c>
      <c r="M3578" s="14" t="s">
        <v>84</v>
      </c>
      <c r="O3578" t="s">
        <v>2540</v>
      </c>
      <c r="P3578" t="s">
        <v>2541</v>
      </c>
      <c r="S3578">
        <v>268</v>
      </c>
      <c r="U3578" t="s">
        <v>112</v>
      </c>
      <c r="V3578" t="s">
        <v>1484</v>
      </c>
      <c r="X3578" s="43">
        <v>1.85</v>
      </c>
      <c r="AA3578" s="43"/>
      <c r="AB3578" s="43">
        <v>0.1</v>
      </c>
      <c r="AC3578" s="43">
        <v>0.13500000000000001</v>
      </c>
      <c r="AK3578">
        <v>5919584</v>
      </c>
    </row>
    <row r="3579" spans="1:37" ht="19">
      <c r="A3579" s="39" t="s">
        <v>17</v>
      </c>
      <c r="B3579" s="8">
        <v>2024</v>
      </c>
      <c r="C3579" s="8" t="s">
        <v>109</v>
      </c>
      <c r="D3579" s="9" t="s">
        <v>109</v>
      </c>
      <c r="E3579" s="9" t="s">
        <v>111</v>
      </c>
      <c r="F3579" s="9" t="s">
        <v>111</v>
      </c>
      <c r="I3579" s="9" t="s">
        <v>116</v>
      </c>
      <c r="J3579" s="9" t="s">
        <v>116</v>
      </c>
      <c r="K3579" s="9" t="s">
        <v>14</v>
      </c>
      <c r="L3579" s="9" t="s">
        <v>209</v>
      </c>
      <c r="M3579" s="14" t="s">
        <v>84</v>
      </c>
      <c r="O3579" t="s">
        <v>2538</v>
      </c>
      <c r="P3579" t="s">
        <v>2542</v>
      </c>
      <c r="S3579">
        <v>295</v>
      </c>
      <c r="U3579" s="14" t="s">
        <v>77</v>
      </c>
      <c r="V3579" t="s">
        <v>1720</v>
      </c>
      <c r="X3579" s="43">
        <v>2</v>
      </c>
      <c r="AA3579" s="43"/>
      <c r="AB3579" s="43">
        <v>0.45</v>
      </c>
      <c r="AC3579" s="43">
        <v>0.14399999999999999</v>
      </c>
      <c r="AJ3579" s="13">
        <f t="shared" ref="AJ3579:AJ3582" si="324">SUBTOTAL(9,X3579:AI3579)</f>
        <v>2.5940000000000003</v>
      </c>
      <c r="AK3579">
        <v>0</v>
      </c>
    </row>
    <row r="3580" spans="1:37" ht="19">
      <c r="A3580" s="39" t="s">
        <v>17</v>
      </c>
      <c r="B3580" s="8">
        <v>2024</v>
      </c>
      <c r="C3580" s="8" t="s">
        <v>109</v>
      </c>
      <c r="D3580" s="9" t="s">
        <v>109</v>
      </c>
      <c r="E3580" s="9" t="s">
        <v>111</v>
      </c>
      <c r="F3580" s="9" t="s">
        <v>111</v>
      </c>
      <c r="I3580" s="9" t="s">
        <v>116</v>
      </c>
      <c r="J3580" s="9" t="s">
        <v>116</v>
      </c>
      <c r="K3580" s="9" t="s">
        <v>14</v>
      </c>
      <c r="L3580" s="9" t="s">
        <v>209</v>
      </c>
      <c r="M3580" s="14" t="s">
        <v>84</v>
      </c>
      <c r="O3580" t="s">
        <v>2538</v>
      </c>
      <c r="P3580" t="s">
        <v>2543</v>
      </c>
      <c r="S3580">
        <v>287</v>
      </c>
      <c r="U3580" s="14" t="s">
        <v>77</v>
      </c>
      <c r="V3580" t="s">
        <v>1720</v>
      </c>
      <c r="X3580" s="43">
        <v>1.95</v>
      </c>
      <c r="AA3580" s="43"/>
      <c r="AB3580" s="43">
        <v>0.45</v>
      </c>
      <c r="AC3580" s="43">
        <v>0.13950000000000001</v>
      </c>
      <c r="AJ3580" s="13">
        <f t="shared" si="324"/>
        <v>2.5394999999999999</v>
      </c>
      <c r="AK3580">
        <v>0</v>
      </c>
    </row>
    <row r="3581" spans="1:37" ht="19">
      <c r="A3581" s="39" t="s">
        <v>17</v>
      </c>
      <c r="B3581" s="8">
        <v>2024</v>
      </c>
      <c r="C3581" s="8" t="s">
        <v>109</v>
      </c>
      <c r="D3581" s="9" t="s">
        <v>109</v>
      </c>
      <c r="E3581" s="9" t="s">
        <v>111</v>
      </c>
      <c r="F3581" s="9" t="s">
        <v>111</v>
      </c>
      <c r="I3581" s="9" t="s">
        <v>116</v>
      </c>
      <c r="J3581" s="9" t="s">
        <v>116</v>
      </c>
      <c r="K3581" s="9" t="s">
        <v>14</v>
      </c>
      <c r="L3581" s="9" t="s">
        <v>209</v>
      </c>
      <c r="M3581" s="14" t="s">
        <v>84</v>
      </c>
      <c r="O3581" t="s">
        <v>2538</v>
      </c>
      <c r="P3581" t="s">
        <v>2544</v>
      </c>
      <c r="S3581">
        <v>290</v>
      </c>
      <c r="U3581" s="14" t="s">
        <v>77</v>
      </c>
      <c r="V3581" t="s">
        <v>1720</v>
      </c>
      <c r="X3581" s="43">
        <v>2.0499999999999998</v>
      </c>
      <c r="AA3581" s="43"/>
      <c r="AB3581" s="43">
        <v>0.45</v>
      </c>
      <c r="AC3581" s="43">
        <v>0.14399999999999999</v>
      </c>
      <c r="AJ3581" s="13">
        <f t="shared" si="324"/>
        <v>2.6440000000000001</v>
      </c>
      <c r="AK3581">
        <v>0</v>
      </c>
    </row>
    <row r="3582" spans="1:37" ht="19">
      <c r="A3582" s="39" t="s">
        <v>17</v>
      </c>
      <c r="B3582" s="8">
        <v>2024</v>
      </c>
      <c r="C3582" s="8" t="s">
        <v>109</v>
      </c>
      <c r="D3582" s="9" t="s">
        <v>109</v>
      </c>
      <c r="E3582" s="9" t="s">
        <v>111</v>
      </c>
      <c r="F3582" s="9" t="s">
        <v>111</v>
      </c>
      <c r="I3582" s="9" t="s">
        <v>116</v>
      </c>
      <c r="J3582" s="9" t="s">
        <v>116</v>
      </c>
      <c r="K3582" s="9" t="s">
        <v>14</v>
      </c>
      <c r="L3582" s="9" t="s">
        <v>209</v>
      </c>
      <c r="M3582" s="14" t="s">
        <v>84</v>
      </c>
      <c r="O3582" t="s">
        <v>2538</v>
      </c>
      <c r="P3582" t="s">
        <v>2545</v>
      </c>
      <c r="S3582">
        <v>197</v>
      </c>
      <c r="U3582" s="14" t="s">
        <v>77</v>
      </c>
      <c r="V3582" t="s">
        <v>1720</v>
      </c>
      <c r="X3582" s="43">
        <v>1.3</v>
      </c>
      <c r="AA3582" s="43"/>
      <c r="AB3582" s="43">
        <v>0.3</v>
      </c>
      <c r="AC3582" s="43">
        <v>9.4500000000000001E-2</v>
      </c>
      <c r="AJ3582" s="13">
        <f t="shared" si="324"/>
        <v>1.6945000000000001</v>
      </c>
      <c r="AK3582">
        <v>0</v>
      </c>
    </row>
    <row r="3583" spans="1:37" ht="19">
      <c r="A3583" s="39" t="s">
        <v>17</v>
      </c>
      <c r="B3583" s="8">
        <v>2024</v>
      </c>
      <c r="C3583" s="8" t="s">
        <v>109</v>
      </c>
      <c r="D3583" s="9" t="s">
        <v>109</v>
      </c>
      <c r="E3583" s="9" t="s">
        <v>111</v>
      </c>
      <c r="F3583" s="9" t="s">
        <v>111</v>
      </c>
      <c r="I3583" s="9" t="s">
        <v>116</v>
      </c>
      <c r="J3583" s="9" t="s">
        <v>116</v>
      </c>
      <c r="K3583" s="9" t="s">
        <v>14</v>
      </c>
      <c r="L3583" s="9" t="s">
        <v>209</v>
      </c>
      <c r="M3583" s="14" t="s">
        <v>84</v>
      </c>
      <c r="O3583" t="s">
        <v>2540</v>
      </c>
      <c r="P3583" t="s">
        <v>2546</v>
      </c>
      <c r="S3583">
        <v>201</v>
      </c>
      <c r="U3583" t="s">
        <v>112</v>
      </c>
      <c r="V3583" t="s">
        <v>1484</v>
      </c>
      <c r="X3583" s="43">
        <v>1.35</v>
      </c>
      <c r="AA3583" s="43"/>
      <c r="AB3583" s="43">
        <v>0.1</v>
      </c>
      <c r="AC3583" s="43">
        <v>9.4500000000000001E-2</v>
      </c>
      <c r="AK3583">
        <v>4439688</v>
      </c>
    </row>
    <row r="3584" spans="1:37" ht="19">
      <c r="A3584" s="39" t="s">
        <v>17</v>
      </c>
      <c r="B3584" s="8">
        <v>2024</v>
      </c>
      <c r="C3584" s="8" t="s">
        <v>109</v>
      </c>
      <c r="D3584" s="9" t="s">
        <v>109</v>
      </c>
      <c r="E3584" s="9" t="s">
        <v>111</v>
      </c>
      <c r="F3584" s="9" t="s">
        <v>111</v>
      </c>
      <c r="I3584" s="9" t="s">
        <v>116</v>
      </c>
      <c r="J3584" s="9" t="s">
        <v>116</v>
      </c>
      <c r="K3584" s="9" t="s">
        <v>14</v>
      </c>
      <c r="L3584" s="9" t="s">
        <v>209</v>
      </c>
      <c r="M3584" s="14" t="s">
        <v>84</v>
      </c>
      <c r="O3584" t="s">
        <v>2538</v>
      </c>
      <c r="P3584" t="s">
        <v>2547</v>
      </c>
      <c r="S3584">
        <v>235</v>
      </c>
      <c r="U3584" s="14" t="s">
        <v>77</v>
      </c>
      <c r="V3584" t="s">
        <v>1720</v>
      </c>
      <c r="X3584" s="43">
        <v>1.6</v>
      </c>
      <c r="AA3584" s="43"/>
      <c r="AB3584" s="43">
        <v>0.35</v>
      </c>
      <c r="AC3584" s="43">
        <v>0.1125</v>
      </c>
      <c r="AJ3584" s="13">
        <f t="shared" ref="AJ3584:AJ3585" si="325">SUBTOTAL(9,X3584:AI3584)</f>
        <v>2.0625</v>
      </c>
      <c r="AK3584">
        <v>0</v>
      </c>
    </row>
    <row r="3585" spans="1:37" ht="19">
      <c r="A3585" s="39" t="s">
        <v>17</v>
      </c>
      <c r="B3585" s="8">
        <v>2024</v>
      </c>
      <c r="C3585" s="8" t="s">
        <v>109</v>
      </c>
      <c r="D3585" s="9" t="s">
        <v>109</v>
      </c>
      <c r="E3585" s="9" t="s">
        <v>111</v>
      </c>
      <c r="F3585" s="9" t="s">
        <v>111</v>
      </c>
      <c r="I3585" s="9" t="s">
        <v>116</v>
      </c>
      <c r="J3585" s="9" t="s">
        <v>116</v>
      </c>
      <c r="K3585" s="9" t="s">
        <v>14</v>
      </c>
      <c r="L3585" s="9" t="s">
        <v>209</v>
      </c>
      <c r="M3585" s="14" t="s">
        <v>84</v>
      </c>
      <c r="O3585" t="s">
        <v>2538</v>
      </c>
      <c r="P3585" t="s">
        <v>2548</v>
      </c>
      <c r="S3585">
        <v>396</v>
      </c>
      <c r="U3585" s="14" t="s">
        <v>77</v>
      </c>
      <c r="V3585" t="s">
        <v>1720</v>
      </c>
      <c r="X3585" s="43">
        <v>2.75</v>
      </c>
      <c r="AA3585" s="43"/>
      <c r="AB3585" s="43">
        <v>0.6</v>
      </c>
      <c r="AC3585" s="43">
        <v>0.19800000000000001</v>
      </c>
      <c r="AJ3585" s="13">
        <f t="shared" si="325"/>
        <v>3.548</v>
      </c>
      <c r="AK3585">
        <v>0</v>
      </c>
    </row>
    <row r="3586" spans="1:37" ht="19">
      <c r="A3586" s="39" t="s">
        <v>17</v>
      </c>
      <c r="B3586" s="8">
        <v>2024</v>
      </c>
      <c r="C3586" s="8" t="s">
        <v>109</v>
      </c>
      <c r="D3586" s="9" t="s">
        <v>109</v>
      </c>
      <c r="E3586" s="9" t="s">
        <v>111</v>
      </c>
      <c r="F3586" s="9" t="s">
        <v>111</v>
      </c>
      <c r="I3586" s="9" t="s">
        <v>116</v>
      </c>
      <c r="J3586" s="9" t="s">
        <v>116</v>
      </c>
      <c r="K3586" s="9" t="s">
        <v>14</v>
      </c>
      <c r="L3586" s="9" t="s">
        <v>209</v>
      </c>
      <c r="M3586" s="14" t="s">
        <v>84</v>
      </c>
      <c r="O3586" t="s">
        <v>2540</v>
      </c>
      <c r="P3586" t="s">
        <v>2549</v>
      </c>
      <c r="S3586">
        <v>258</v>
      </c>
      <c r="U3586" t="s">
        <v>112</v>
      </c>
      <c r="V3586" t="s">
        <v>1484</v>
      </c>
      <c r="X3586" s="43">
        <v>1.75</v>
      </c>
      <c r="AA3586" s="43"/>
      <c r="AB3586" s="43">
        <v>0.1</v>
      </c>
      <c r="AC3586" s="43">
        <v>0.1215</v>
      </c>
      <c r="AK3586">
        <v>5698704</v>
      </c>
    </row>
    <row r="3587" spans="1:37" ht="19">
      <c r="A3587" s="39" t="s">
        <v>17</v>
      </c>
      <c r="B3587" s="8">
        <v>2024</v>
      </c>
      <c r="C3587" s="8" t="s">
        <v>109</v>
      </c>
      <c r="D3587" s="9" t="s">
        <v>109</v>
      </c>
      <c r="E3587" s="9" t="s">
        <v>111</v>
      </c>
      <c r="F3587" s="9" t="s">
        <v>111</v>
      </c>
      <c r="I3587" s="9" t="s">
        <v>116</v>
      </c>
      <c r="J3587" s="9" t="s">
        <v>116</v>
      </c>
      <c r="K3587" s="9" t="s">
        <v>14</v>
      </c>
      <c r="L3587" s="9" t="s">
        <v>209</v>
      </c>
      <c r="M3587" s="14" t="s">
        <v>84</v>
      </c>
      <c r="O3587" t="s">
        <v>2540</v>
      </c>
      <c r="P3587" t="s">
        <v>2550</v>
      </c>
      <c r="S3587">
        <v>299</v>
      </c>
      <c r="U3587" t="s">
        <v>112</v>
      </c>
      <c r="V3587" t="s">
        <v>1484</v>
      </c>
      <c r="X3587" s="43">
        <v>2.0499999999999998</v>
      </c>
      <c r="AA3587" s="43"/>
      <c r="AB3587" s="43">
        <v>0.1</v>
      </c>
      <c r="AC3587" s="43">
        <v>0.14849999999999999</v>
      </c>
      <c r="AK3587">
        <v>6604312</v>
      </c>
    </row>
    <row r="3588" spans="1:37" ht="19">
      <c r="A3588" s="39" t="s">
        <v>17</v>
      </c>
      <c r="B3588" s="8">
        <v>2024</v>
      </c>
      <c r="C3588" s="8" t="s">
        <v>109</v>
      </c>
      <c r="D3588" s="9" t="s">
        <v>109</v>
      </c>
      <c r="E3588" s="9" t="s">
        <v>111</v>
      </c>
      <c r="F3588" s="9" t="s">
        <v>111</v>
      </c>
      <c r="I3588" s="9" t="s">
        <v>116</v>
      </c>
      <c r="J3588" s="9" t="s">
        <v>116</v>
      </c>
      <c r="K3588" s="9" t="s">
        <v>14</v>
      </c>
      <c r="L3588" s="9" t="s">
        <v>209</v>
      </c>
      <c r="M3588" s="14" t="s">
        <v>84</v>
      </c>
      <c r="O3588" t="s">
        <v>2538</v>
      </c>
      <c r="P3588" t="s">
        <v>2551</v>
      </c>
      <c r="S3588">
        <v>328</v>
      </c>
      <c r="U3588" s="14" t="s">
        <v>77</v>
      </c>
      <c r="V3588" t="s">
        <v>1720</v>
      </c>
      <c r="X3588" s="43">
        <v>2.2999999999999998</v>
      </c>
      <c r="AA3588" s="43"/>
      <c r="AB3588" s="43">
        <v>0.5</v>
      </c>
      <c r="AC3588" s="43">
        <v>0.16200000000000001</v>
      </c>
      <c r="AJ3588" s="13">
        <f t="shared" ref="AJ3588:AJ3590" si="326">SUBTOTAL(9,X3588:AI3588)</f>
        <v>2.9619999999999997</v>
      </c>
      <c r="AK3588">
        <v>0</v>
      </c>
    </row>
    <row r="3589" spans="1:37" ht="19">
      <c r="A3589" s="39" t="s">
        <v>17</v>
      </c>
      <c r="B3589" s="8">
        <v>2024</v>
      </c>
      <c r="C3589" s="8" t="s">
        <v>109</v>
      </c>
      <c r="D3589" s="9" t="s">
        <v>109</v>
      </c>
      <c r="E3589" s="9" t="s">
        <v>111</v>
      </c>
      <c r="F3589" s="9" t="s">
        <v>111</v>
      </c>
      <c r="I3589" s="9" t="s">
        <v>116</v>
      </c>
      <c r="J3589" s="9" t="s">
        <v>116</v>
      </c>
      <c r="K3589" s="9" t="s">
        <v>14</v>
      </c>
      <c r="L3589" s="9" t="s">
        <v>209</v>
      </c>
      <c r="M3589" s="14" t="s">
        <v>84</v>
      </c>
      <c r="O3589" t="s">
        <v>2538</v>
      </c>
      <c r="P3589" t="s">
        <v>2552</v>
      </c>
      <c r="S3589">
        <v>255</v>
      </c>
      <c r="U3589" s="14" t="s">
        <v>77</v>
      </c>
      <c r="V3589" t="s">
        <v>1720</v>
      </c>
      <c r="X3589" s="43">
        <v>1.7</v>
      </c>
      <c r="AA3589" s="43"/>
      <c r="AB3589" s="43">
        <v>0.4</v>
      </c>
      <c r="AC3589" s="43">
        <v>0.1215</v>
      </c>
      <c r="AJ3589" s="13">
        <f t="shared" si="326"/>
        <v>2.2215000000000003</v>
      </c>
      <c r="AK3589">
        <v>0</v>
      </c>
    </row>
    <row r="3590" spans="1:37" ht="19">
      <c r="A3590" s="39" t="s">
        <v>17</v>
      </c>
      <c r="B3590" s="8">
        <v>2024</v>
      </c>
      <c r="C3590" s="8" t="s">
        <v>109</v>
      </c>
      <c r="D3590" s="9" t="s">
        <v>109</v>
      </c>
      <c r="E3590" s="9" t="s">
        <v>111</v>
      </c>
      <c r="F3590" s="9" t="s">
        <v>111</v>
      </c>
      <c r="I3590" s="9" t="s">
        <v>116</v>
      </c>
      <c r="J3590" s="9" t="s">
        <v>116</v>
      </c>
      <c r="K3590" s="9" t="s">
        <v>14</v>
      </c>
      <c r="L3590" s="9" t="s">
        <v>209</v>
      </c>
      <c r="M3590" s="14" t="s">
        <v>84</v>
      </c>
      <c r="O3590" t="s">
        <v>2538</v>
      </c>
      <c r="P3590" t="s">
        <v>2553</v>
      </c>
      <c r="S3590">
        <v>295</v>
      </c>
      <c r="U3590" s="14" t="s">
        <v>77</v>
      </c>
      <c r="V3590" t="s">
        <v>1720</v>
      </c>
      <c r="X3590" s="43">
        <v>2</v>
      </c>
      <c r="AA3590" s="43"/>
      <c r="AB3590" s="43">
        <v>0.45</v>
      </c>
      <c r="AC3590" s="43">
        <v>0.14399999999999999</v>
      </c>
      <c r="AJ3590" s="13">
        <f t="shared" si="326"/>
        <v>2.5940000000000003</v>
      </c>
      <c r="AK3590">
        <v>0</v>
      </c>
    </row>
    <row r="3591" spans="1:37" ht="19">
      <c r="A3591" s="39" t="s">
        <v>17</v>
      </c>
      <c r="B3591" s="8">
        <v>2024</v>
      </c>
      <c r="C3591" s="8" t="s">
        <v>109</v>
      </c>
      <c r="D3591" s="9" t="s">
        <v>109</v>
      </c>
      <c r="E3591" s="9" t="s">
        <v>111</v>
      </c>
      <c r="F3591" s="9" t="s">
        <v>111</v>
      </c>
      <c r="I3591" s="9" t="s">
        <v>116</v>
      </c>
      <c r="J3591" s="9" t="s">
        <v>116</v>
      </c>
      <c r="K3591" s="9" t="s">
        <v>14</v>
      </c>
      <c r="L3591" s="9" t="s">
        <v>209</v>
      </c>
      <c r="M3591" s="14" t="s">
        <v>84</v>
      </c>
      <c r="O3591" t="s">
        <v>2540</v>
      </c>
      <c r="P3591" t="s">
        <v>2554</v>
      </c>
      <c r="S3591">
        <v>271</v>
      </c>
      <c r="U3591" t="s">
        <v>112</v>
      </c>
      <c r="V3591" t="s">
        <v>1484</v>
      </c>
      <c r="X3591" s="43">
        <v>1.85</v>
      </c>
      <c r="AA3591" s="43"/>
      <c r="AB3591" s="43">
        <v>0.1</v>
      </c>
      <c r="AC3591" s="43">
        <v>0.1305</v>
      </c>
      <c r="AK3591">
        <v>5985848</v>
      </c>
    </row>
    <row r="3592" spans="1:37" ht="19">
      <c r="A3592" s="39" t="s">
        <v>17</v>
      </c>
      <c r="B3592" s="8">
        <v>2024</v>
      </c>
      <c r="C3592" s="8" t="s">
        <v>109</v>
      </c>
      <c r="D3592" s="9" t="s">
        <v>109</v>
      </c>
      <c r="E3592" s="9" t="s">
        <v>111</v>
      </c>
      <c r="F3592" s="9" t="s">
        <v>111</v>
      </c>
      <c r="I3592" s="9" t="s">
        <v>116</v>
      </c>
      <c r="J3592" s="9" t="s">
        <v>116</v>
      </c>
      <c r="K3592" s="9" t="s">
        <v>14</v>
      </c>
      <c r="L3592" s="9" t="s">
        <v>209</v>
      </c>
      <c r="M3592" s="14" t="s">
        <v>84</v>
      </c>
      <c r="O3592" t="s">
        <v>2540</v>
      </c>
      <c r="P3592" t="s">
        <v>2555</v>
      </c>
      <c r="S3592">
        <v>189</v>
      </c>
      <c r="U3592" t="s">
        <v>112</v>
      </c>
      <c r="V3592" t="s">
        <v>1484</v>
      </c>
      <c r="X3592" s="43">
        <v>1.2</v>
      </c>
      <c r="AA3592" s="43"/>
      <c r="AB3592" s="43">
        <v>0.1</v>
      </c>
      <c r="AC3592" s="43">
        <v>8.5500000000000007E-2</v>
      </c>
      <c r="AK3592">
        <v>4174632</v>
      </c>
    </row>
    <row r="3593" spans="1:37" ht="19">
      <c r="A3593" s="39" t="s">
        <v>17</v>
      </c>
      <c r="B3593" s="8">
        <v>2024</v>
      </c>
      <c r="C3593" s="8" t="s">
        <v>109</v>
      </c>
      <c r="D3593" s="9" t="s">
        <v>109</v>
      </c>
      <c r="E3593" s="9" t="s">
        <v>111</v>
      </c>
      <c r="F3593" s="9" t="s">
        <v>111</v>
      </c>
      <c r="I3593" s="9" t="s">
        <v>116</v>
      </c>
      <c r="J3593" s="9" t="s">
        <v>116</v>
      </c>
      <c r="K3593" s="9" t="s">
        <v>14</v>
      </c>
      <c r="L3593" s="9" t="s">
        <v>209</v>
      </c>
      <c r="M3593" s="14" t="s">
        <v>84</v>
      </c>
      <c r="O3593" t="s">
        <v>2538</v>
      </c>
      <c r="P3593" t="s">
        <v>2556</v>
      </c>
      <c r="S3593">
        <v>203</v>
      </c>
      <c r="U3593" s="14" t="s">
        <v>77</v>
      </c>
      <c r="V3593" t="s">
        <v>1720</v>
      </c>
      <c r="X3593" s="43">
        <v>1.35</v>
      </c>
      <c r="AA3593" s="43"/>
      <c r="AB3593" s="43">
        <v>0.3</v>
      </c>
      <c r="AC3593" s="43">
        <v>9.9000000000000005E-2</v>
      </c>
      <c r="AJ3593" s="13">
        <f t="shared" ref="AJ3593:AJ3596" si="327">SUBTOTAL(9,X3593:AI3593)</f>
        <v>1.7490000000000001</v>
      </c>
      <c r="AK3593">
        <v>0</v>
      </c>
    </row>
    <row r="3594" spans="1:37" ht="19">
      <c r="A3594" s="39" t="s">
        <v>17</v>
      </c>
      <c r="B3594" s="8">
        <v>2024</v>
      </c>
      <c r="C3594" s="8" t="s">
        <v>109</v>
      </c>
      <c r="D3594" s="9" t="s">
        <v>109</v>
      </c>
      <c r="E3594" s="9" t="s">
        <v>111</v>
      </c>
      <c r="F3594" s="9" t="s">
        <v>111</v>
      </c>
      <c r="I3594" s="9" t="s">
        <v>116</v>
      </c>
      <c r="J3594" s="9" t="s">
        <v>116</v>
      </c>
      <c r="K3594" s="9" t="s">
        <v>14</v>
      </c>
      <c r="L3594" s="9" t="s">
        <v>209</v>
      </c>
      <c r="M3594" s="14" t="s">
        <v>84</v>
      </c>
      <c r="O3594" t="s">
        <v>214</v>
      </c>
      <c r="P3594" t="s">
        <v>671</v>
      </c>
      <c r="S3594">
        <v>237</v>
      </c>
      <c r="U3594" s="14" t="s">
        <v>77</v>
      </c>
      <c r="V3594" t="s">
        <v>1720</v>
      </c>
      <c r="X3594" s="43">
        <v>1.45</v>
      </c>
      <c r="AA3594" s="43"/>
      <c r="AB3594" s="43">
        <v>0.35</v>
      </c>
      <c r="AC3594" s="43">
        <v>0.10349999999999999</v>
      </c>
      <c r="AJ3594" s="13">
        <f t="shared" si="327"/>
        <v>1.9034999999999997</v>
      </c>
      <c r="AK3594">
        <v>0</v>
      </c>
    </row>
    <row r="3595" spans="1:37" ht="19">
      <c r="A3595" s="39" t="s">
        <v>17</v>
      </c>
      <c r="B3595" s="8">
        <v>2024</v>
      </c>
      <c r="C3595" s="8" t="s">
        <v>109</v>
      </c>
      <c r="D3595" s="9" t="s">
        <v>109</v>
      </c>
      <c r="E3595" s="9" t="s">
        <v>111</v>
      </c>
      <c r="F3595" s="9" t="s">
        <v>111</v>
      </c>
      <c r="I3595" s="9" t="s">
        <v>116</v>
      </c>
      <c r="J3595" s="9" t="s">
        <v>116</v>
      </c>
      <c r="K3595" s="9" t="s">
        <v>14</v>
      </c>
      <c r="L3595" s="9" t="s">
        <v>209</v>
      </c>
      <c r="M3595" s="14" t="s">
        <v>84</v>
      </c>
      <c r="O3595" t="s">
        <v>2509</v>
      </c>
      <c r="P3595" t="s">
        <v>2557</v>
      </c>
      <c r="S3595">
        <v>487</v>
      </c>
      <c r="U3595" s="14" t="s">
        <v>77</v>
      </c>
      <c r="V3595" t="s">
        <v>1720</v>
      </c>
      <c r="X3595" s="43">
        <v>3</v>
      </c>
      <c r="AA3595" s="43"/>
      <c r="AB3595" s="43">
        <v>0.7</v>
      </c>
      <c r="AC3595" s="43">
        <v>0.21149999999999999</v>
      </c>
      <c r="AJ3595" s="13">
        <f t="shared" si="327"/>
        <v>3.9115000000000002</v>
      </c>
      <c r="AK3595">
        <v>0</v>
      </c>
    </row>
    <row r="3596" spans="1:37" ht="19">
      <c r="A3596" s="39" t="s">
        <v>17</v>
      </c>
      <c r="B3596" s="8">
        <v>2024</v>
      </c>
      <c r="C3596" s="8" t="s">
        <v>109</v>
      </c>
      <c r="D3596" s="9" t="s">
        <v>109</v>
      </c>
      <c r="E3596" s="9" t="s">
        <v>111</v>
      </c>
      <c r="F3596" s="9" t="s">
        <v>111</v>
      </c>
      <c r="I3596" s="9" t="s">
        <v>116</v>
      </c>
      <c r="J3596" s="9" t="s">
        <v>116</v>
      </c>
      <c r="K3596" s="9" t="s">
        <v>14</v>
      </c>
      <c r="L3596" s="9" t="s">
        <v>209</v>
      </c>
      <c r="M3596" s="14" t="s">
        <v>84</v>
      </c>
      <c r="O3596" t="s">
        <v>678</v>
      </c>
      <c r="P3596" t="s">
        <v>2558</v>
      </c>
      <c r="S3596">
        <v>282</v>
      </c>
      <c r="U3596" s="14" t="s">
        <v>77</v>
      </c>
      <c r="V3596" t="s">
        <v>1720</v>
      </c>
      <c r="X3596" s="43">
        <v>2.15</v>
      </c>
      <c r="AA3596" s="43"/>
      <c r="AB3596" s="43">
        <v>0.5</v>
      </c>
      <c r="AC3596" s="43">
        <v>0.153</v>
      </c>
      <c r="AJ3596" s="13">
        <f t="shared" si="327"/>
        <v>2.8029999999999999</v>
      </c>
      <c r="AK3596">
        <v>0</v>
      </c>
    </row>
    <row r="3597" spans="1:37" ht="19">
      <c r="A3597" s="39" t="s">
        <v>17</v>
      </c>
      <c r="B3597" s="8">
        <v>2024</v>
      </c>
      <c r="C3597" s="8" t="s">
        <v>109</v>
      </c>
      <c r="D3597" s="9" t="s">
        <v>109</v>
      </c>
      <c r="E3597" s="9" t="s">
        <v>111</v>
      </c>
      <c r="F3597" s="9" t="s">
        <v>111</v>
      </c>
      <c r="I3597" s="9" t="s">
        <v>116</v>
      </c>
      <c r="J3597" s="9" t="s">
        <v>116</v>
      </c>
      <c r="K3597" s="9" t="s">
        <v>14</v>
      </c>
      <c r="L3597" s="9" t="s">
        <v>209</v>
      </c>
      <c r="M3597" t="s">
        <v>116</v>
      </c>
      <c r="O3597" t="s">
        <v>2540</v>
      </c>
      <c r="P3597" t="s">
        <v>2559</v>
      </c>
      <c r="S3597">
        <v>650</v>
      </c>
      <c r="U3597" t="s">
        <v>112</v>
      </c>
      <c r="V3597" t="s">
        <v>1484</v>
      </c>
      <c r="X3597" s="43">
        <v>4.5</v>
      </c>
      <c r="AA3597" s="43"/>
      <c r="AB3597" s="43">
        <v>0.15</v>
      </c>
      <c r="AC3597" s="43">
        <v>0.31950000000000001</v>
      </c>
      <c r="AK3597">
        <v>14357200</v>
      </c>
    </row>
    <row r="3598" spans="1:37" ht="19">
      <c r="A3598" s="39" t="s">
        <v>17</v>
      </c>
      <c r="B3598" s="8">
        <v>2024</v>
      </c>
      <c r="C3598" s="8" t="s">
        <v>109</v>
      </c>
      <c r="D3598" s="9" t="s">
        <v>109</v>
      </c>
      <c r="E3598" s="9" t="s">
        <v>111</v>
      </c>
      <c r="F3598" s="9" t="s">
        <v>111</v>
      </c>
      <c r="I3598" s="9" t="s">
        <v>14</v>
      </c>
      <c r="J3598" s="14" t="s">
        <v>14</v>
      </c>
      <c r="K3598" s="9" t="s">
        <v>14</v>
      </c>
      <c r="L3598" s="9" t="s">
        <v>209</v>
      </c>
      <c r="M3598" t="s">
        <v>129</v>
      </c>
      <c r="O3598" t="s">
        <v>2560</v>
      </c>
      <c r="P3598" t="s">
        <v>2561</v>
      </c>
      <c r="S3598">
        <v>321</v>
      </c>
      <c r="U3598" t="s">
        <v>112</v>
      </c>
      <c r="V3598" t="s">
        <v>1484</v>
      </c>
      <c r="X3598" s="43">
        <v>0.9</v>
      </c>
      <c r="AA3598" s="43"/>
      <c r="AB3598" s="43">
        <v>0.15</v>
      </c>
      <c r="AC3598" s="43">
        <v>0.1215</v>
      </c>
      <c r="AK3598">
        <v>7070248</v>
      </c>
    </row>
    <row r="3599" spans="1:37" ht="19">
      <c r="A3599" s="39" t="s">
        <v>17</v>
      </c>
      <c r="B3599" s="8">
        <v>2024</v>
      </c>
      <c r="C3599" s="8" t="s">
        <v>109</v>
      </c>
      <c r="D3599" s="9" t="s">
        <v>109</v>
      </c>
      <c r="E3599" s="9" t="s">
        <v>111</v>
      </c>
      <c r="F3599" s="9" t="s">
        <v>111</v>
      </c>
      <c r="I3599" s="9" t="s">
        <v>14</v>
      </c>
      <c r="J3599" s="14" t="s">
        <v>14</v>
      </c>
      <c r="K3599" s="9" t="s">
        <v>14</v>
      </c>
      <c r="L3599" s="9" t="s">
        <v>209</v>
      </c>
      <c r="M3599" t="s">
        <v>129</v>
      </c>
      <c r="O3599" t="s">
        <v>2560</v>
      </c>
      <c r="P3599" t="s">
        <v>2560</v>
      </c>
      <c r="S3599">
        <v>578</v>
      </c>
      <c r="U3599" t="s">
        <v>112</v>
      </c>
      <c r="V3599" t="s">
        <v>112</v>
      </c>
      <c r="X3599" s="43">
        <v>3.9</v>
      </c>
      <c r="AA3599" s="43"/>
      <c r="AB3599" s="43">
        <v>0.2</v>
      </c>
      <c r="AC3599" s="43">
        <v>0.27900000000000003</v>
      </c>
      <c r="AK3599">
        <v>12746900</v>
      </c>
    </row>
    <row r="3600" spans="1:37" ht="19">
      <c r="A3600" s="39" t="s">
        <v>17</v>
      </c>
      <c r="B3600" s="8">
        <v>2024</v>
      </c>
      <c r="C3600" s="8" t="s">
        <v>109</v>
      </c>
      <c r="D3600" s="9" t="s">
        <v>109</v>
      </c>
      <c r="E3600" s="9" t="s">
        <v>111</v>
      </c>
      <c r="F3600" s="9" t="s">
        <v>111</v>
      </c>
      <c r="I3600" s="9" t="s">
        <v>14</v>
      </c>
      <c r="J3600" s="14" t="s">
        <v>14</v>
      </c>
      <c r="K3600" s="9" t="s">
        <v>14</v>
      </c>
      <c r="L3600" s="9" t="s">
        <v>209</v>
      </c>
      <c r="M3600" t="s">
        <v>129</v>
      </c>
      <c r="O3600" t="s">
        <v>2560</v>
      </c>
      <c r="P3600" t="s">
        <v>2562</v>
      </c>
      <c r="S3600">
        <v>394</v>
      </c>
      <c r="U3600" t="s">
        <v>112</v>
      </c>
      <c r="V3600" t="s">
        <v>1484</v>
      </c>
      <c r="X3600" s="43">
        <v>2.2000000000000002</v>
      </c>
      <c r="AA3600" s="43"/>
      <c r="AB3600" s="43">
        <v>0.15</v>
      </c>
      <c r="AC3600" s="43">
        <v>0.153</v>
      </c>
      <c r="AK3600">
        <v>8702672</v>
      </c>
    </row>
    <row r="3601" spans="1:37" ht="19">
      <c r="A3601" s="39" t="s">
        <v>17</v>
      </c>
      <c r="B3601" s="8">
        <v>2024</v>
      </c>
      <c r="C3601" s="8" t="s">
        <v>109</v>
      </c>
      <c r="D3601" s="9" t="s">
        <v>109</v>
      </c>
      <c r="E3601" s="9" t="s">
        <v>111</v>
      </c>
      <c r="F3601" s="9" t="s">
        <v>111</v>
      </c>
      <c r="I3601" s="9" t="s">
        <v>14</v>
      </c>
      <c r="J3601" s="14" t="s">
        <v>14</v>
      </c>
      <c r="K3601" s="9" t="s">
        <v>14</v>
      </c>
      <c r="L3601" s="9" t="s">
        <v>209</v>
      </c>
      <c r="M3601" t="s">
        <v>129</v>
      </c>
      <c r="O3601" t="s">
        <v>2560</v>
      </c>
      <c r="P3601" t="s">
        <v>2563</v>
      </c>
      <c r="S3601">
        <v>387</v>
      </c>
      <c r="U3601" t="s">
        <v>112</v>
      </c>
      <c r="V3601" t="s">
        <v>1484</v>
      </c>
      <c r="X3601" s="43">
        <v>2.25</v>
      </c>
      <c r="AA3601" s="43"/>
      <c r="AB3601" s="43">
        <v>0.15</v>
      </c>
      <c r="AC3601" s="43">
        <v>0.1575</v>
      </c>
      <c r="AK3601">
        <v>6848056</v>
      </c>
    </row>
    <row r="3602" spans="1:37" ht="19">
      <c r="A3602" s="39" t="s">
        <v>17</v>
      </c>
      <c r="B3602" s="8">
        <v>2024</v>
      </c>
      <c r="C3602" s="8" t="s">
        <v>109</v>
      </c>
      <c r="D3602" s="9" t="s">
        <v>109</v>
      </c>
      <c r="E3602" s="9" t="s">
        <v>111</v>
      </c>
      <c r="F3602" s="9" t="s">
        <v>111</v>
      </c>
      <c r="I3602" s="9" t="s">
        <v>14</v>
      </c>
      <c r="J3602" s="14" t="s">
        <v>14</v>
      </c>
      <c r="K3602" s="9" t="s">
        <v>14</v>
      </c>
      <c r="L3602" s="9" t="s">
        <v>209</v>
      </c>
      <c r="M3602" t="s">
        <v>129</v>
      </c>
      <c r="O3602" t="s">
        <v>2564</v>
      </c>
      <c r="P3602" t="s">
        <v>2565</v>
      </c>
      <c r="S3602">
        <v>603</v>
      </c>
      <c r="U3602" t="s">
        <v>112</v>
      </c>
      <c r="V3602" t="s">
        <v>1484</v>
      </c>
      <c r="X3602" s="43">
        <v>4.55</v>
      </c>
      <c r="AA3602" s="43"/>
      <c r="AB3602" s="43">
        <v>0.2</v>
      </c>
      <c r="AC3602" s="43">
        <v>0.32400000000000001</v>
      </c>
      <c r="AK3602">
        <v>12691979</v>
      </c>
    </row>
    <row r="3603" spans="1:37" ht="19">
      <c r="A3603" s="39" t="s">
        <v>17</v>
      </c>
      <c r="B3603" s="8">
        <v>2024</v>
      </c>
      <c r="C3603" s="8" t="s">
        <v>109</v>
      </c>
      <c r="D3603" s="9" t="s">
        <v>109</v>
      </c>
      <c r="E3603" s="9" t="s">
        <v>111</v>
      </c>
      <c r="F3603" s="9" t="s">
        <v>111</v>
      </c>
      <c r="I3603" s="9" t="s">
        <v>14</v>
      </c>
      <c r="J3603" s="14" t="s">
        <v>14</v>
      </c>
      <c r="K3603" s="9" t="s">
        <v>14</v>
      </c>
      <c r="L3603" s="9" t="s">
        <v>209</v>
      </c>
      <c r="M3603" t="s">
        <v>129</v>
      </c>
      <c r="O3603" t="s">
        <v>2566</v>
      </c>
      <c r="P3603" t="s">
        <v>2567</v>
      </c>
      <c r="S3603">
        <v>257</v>
      </c>
      <c r="U3603" t="s">
        <v>112</v>
      </c>
      <c r="V3603" t="s">
        <v>1484</v>
      </c>
      <c r="X3603" s="43">
        <v>1.4</v>
      </c>
      <c r="AA3603" s="43"/>
      <c r="AB3603" s="43">
        <v>0.1</v>
      </c>
      <c r="AC3603" s="43">
        <v>0.1305</v>
      </c>
      <c r="AK3603">
        <v>5676616</v>
      </c>
    </row>
    <row r="3604" spans="1:37" ht="19">
      <c r="A3604" s="39" t="s">
        <v>17</v>
      </c>
      <c r="B3604" s="8">
        <v>2024</v>
      </c>
      <c r="C3604" s="8" t="s">
        <v>109</v>
      </c>
      <c r="D3604" s="9" t="s">
        <v>109</v>
      </c>
      <c r="E3604" s="9" t="s">
        <v>111</v>
      </c>
      <c r="F3604" s="9" t="s">
        <v>111</v>
      </c>
      <c r="I3604" s="9" t="s">
        <v>14</v>
      </c>
      <c r="J3604" s="14" t="s">
        <v>14</v>
      </c>
      <c r="K3604" s="9" t="s">
        <v>14</v>
      </c>
      <c r="L3604" s="9" t="s">
        <v>209</v>
      </c>
      <c r="M3604" t="s">
        <v>129</v>
      </c>
      <c r="O3604" t="s">
        <v>2566</v>
      </c>
      <c r="P3604" t="s">
        <v>2568</v>
      </c>
      <c r="S3604">
        <v>1027</v>
      </c>
      <c r="U3604" t="s">
        <v>112</v>
      </c>
      <c r="V3604" t="s">
        <v>1484</v>
      </c>
      <c r="X3604" s="43">
        <v>7.9</v>
      </c>
      <c r="AA3604" s="43"/>
      <c r="AB3604" s="43">
        <v>0.35</v>
      </c>
      <c r="AC3604" s="43">
        <v>0.56699999999999995</v>
      </c>
      <c r="AK3604">
        <v>22684376</v>
      </c>
    </row>
    <row r="3605" spans="1:37" ht="19">
      <c r="A3605" s="39" t="s">
        <v>17</v>
      </c>
      <c r="B3605" s="8">
        <v>2024</v>
      </c>
      <c r="C3605" s="8" t="s">
        <v>109</v>
      </c>
      <c r="D3605" s="9" t="s">
        <v>109</v>
      </c>
      <c r="E3605" s="9" t="s">
        <v>111</v>
      </c>
      <c r="F3605" s="9" t="s">
        <v>111</v>
      </c>
      <c r="I3605" s="9" t="s">
        <v>14</v>
      </c>
      <c r="J3605" s="14" t="s">
        <v>14</v>
      </c>
      <c r="K3605" s="9" t="s">
        <v>14</v>
      </c>
      <c r="L3605" s="9" t="s">
        <v>209</v>
      </c>
      <c r="M3605" t="s">
        <v>129</v>
      </c>
      <c r="O3605" t="s">
        <v>2569</v>
      </c>
      <c r="P3605" t="s">
        <v>2570</v>
      </c>
      <c r="S3605">
        <v>725</v>
      </c>
      <c r="U3605" t="s">
        <v>112</v>
      </c>
      <c r="V3605" t="s">
        <v>1484</v>
      </c>
      <c r="X3605" s="43">
        <v>4.95</v>
      </c>
      <c r="AA3605" s="43"/>
      <c r="AB3605" s="43">
        <v>0.25</v>
      </c>
      <c r="AC3605" s="43">
        <v>0.35099999999999998</v>
      </c>
      <c r="AK3605">
        <v>16013800</v>
      </c>
    </row>
    <row r="3606" spans="1:37" ht="19">
      <c r="A3606" s="39" t="s">
        <v>17</v>
      </c>
      <c r="B3606" s="8">
        <v>2024</v>
      </c>
      <c r="C3606" s="8" t="s">
        <v>109</v>
      </c>
      <c r="D3606" s="9" t="s">
        <v>109</v>
      </c>
      <c r="E3606" s="9" t="s">
        <v>111</v>
      </c>
      <c r="F3606" s="9" t="s">
        <v>111</v>
      </c>
      <c r="I3606" s="9" t="s">
        <v>14</v>
      </c>
      <c r="J3606" s="14" t="s">
        <v>14</v>
      </c>
      <c r="K3606" s="9" t="s">
        <v>14</v>
      </c>
      <c r="L3606" s="9" t="s">
        <v>209</v>
      </c>
      <c r="M3606" t="s">
        <v>129</v>
      </c>
      <c r="O3606" t="s">
        <v>2569</v>
      </c>
      <c r="P3606" t="s">
        <v>2571</v>
      </c>
      <c r="S3606">
        <v>630</v>
      </c>
      <c r="U3606" t="s">
        <v>112</v>
      </c>
      <c r="V3606" t="s">
        <v>1484</v>
      </c>
      <c r="X3606" s="43">
        <v>3.55</v>
      </c>
      <c r="AA3606" s="43"/>
      <c r="AB3606" s="43">
        <v>0.25</v>
      </c>
      <c r="AC3606" s="43">
        <v>0.22500000000000001</v>
      </c>
      <c r="AK3606">
        <v>13915440</v>
      </c>
    </row>
    <row r="3607" spans="1:37" ht="19">
      <c r="A3607" s="39" t="s">
        <v>17</v>
      </c>
      <c r="B3607" s="8">
        <v>2024</v>
      </c>
      <c r="C3607" s="8" t="s">
        <v>109</v>
      </c>
      <c r="D3607" s="9" t="s">
        <v>109</v>
      </c>
      <c r="E3607" s="9" t="s">
        <v>111</v>
      </c>
      <c r="F3607" s="9" t="s">
        <v>111</v>
      </c>
      <c r="I3607" s="9" t="s">
        <v>14</v>
      </c>
      <c r="J3607" s="14" t="s">
        <v>14</v>
      </c>
      <c r="K3607" s="9" t="s">
        <v>14</v>
      </c>
      <c r="L3607" s="9" t="s">
        <v>209</v>
      </c>
      <c r="M3607" t="s">
        <v>129</v>
      </c>
      <c r="O3607" t="s">
        <v>2569</v>
      </c>
      <c r="P3607" t="s">
        <v>2572</v>
      </c>
      <c r="S3607">
        <v>908</v>
      </c>
      <c r="U3607" t="s">
        <v>112</v>
      </c>
      <c r="V3607" t="s">
        <v>112</v>
      </c>
      <c r="X3607" s="43">
        <v>5.05</v>
      </c>
      <c r="AA3607" s="43"/>
      <c r="AB3607" s="43">
        <v>0.3</v>
      </c>
      <c r="AC3607" s="43">
        <v>0.2475</v>
      </c>
      <c r="AK3607">
        <v>20055904</v>
      </c>
    </row>
    <row r="3608" spans="1:37" ht="19">
      <c r="A3608" s="39" t="s">
        <v>17</v>
      </c>
      <c r="B3608" s="8">
        <v>2024</v>
      </c>
      <c r="C3608" s="8" t="s">
        <v>109</v>
      </c>
      <c r="D3608" s="9" t="s">
        <v>109</v>
      </c>
      <c r="E3608" s="9" t="s">
        <v>111</v>
      </c>
      <c r="F3608" s="9" t="s">
        <v>111</v>
      </c>
      <c r="I3608" s="9" t="s">
        <v>14</v>
      </c>
      <c r="J3608" s="14" t="s">
        <v>14</v>
      </c>
      <c r="K3608" s="9" t="s">
        <v>14</v>
      </c>
      <c r="L3608" s="9" t="s">
        <v>209</v>
      </c>
      <c r="M3608" t="s">
        <v>129</v>
      </c>
      <c r="O3608" t="s">
        <v>2569</v>
      </c>
      <c r="P3608" t="s">
        <v>2573</v>
      </c>
      <c r="S3608">
        <v>591</v>
      </c>
      <c r="U3608" t="s">
        <v>112</v>
      </c>
      <c r="V3608" t="s">
        <v>112</v>
      </c>
      <c r="X3608" s="43">
        <v>4.55</v>
      </c>
      <c r="AA3608" s="43"/>
      <c r="AB3608" s="43">
        <v>0.2</v>
      </c>
      <c r="AC3608" s="43">
        <v>0.32400000000000001</v>
      </c>
      <c r="AK3608">
        <v>13054008</v>
      </c>
    </row>
    <row r="3609" spans="1:37" ht="19">
      <c r="A3609" s="39" t="s">
        <v>17</v>
      </c>
      <c r="B3609" s="8">
        <v>2024</v>
      </c>
      <c r="C3609" s="8" t="s">
        <v>109</v>
      </c>
      <c r="D3609" s="9" t="s">
        <v>109</v>
      </c>
      <c r="E3609" s="9" t="s">
        <v>111</v>
      </c>
      <c r="F3609" s="9" t="s">
        <v>111</v>
      </c>
      <c r="I3609" s="9" t="s">
        <v>14</v>
      </c>
      <c r="J3609" s="14" t="s">
        <v>14</v>
      </c>
      <c r="K3609" s="9" t="s">
        <v>14</v>
      </c>
      <c r="L3609" s="9" t="s">
        <v>209</v>
      </c>
      <c r="M3609" t="s">
        <v>129</v>
      </c>
      <c r="O3609" t="s">
        <v>2574</v>
      </c>
      <c r="P3609" t="s">
        <v>2575</v>
      </c>
      <c r="S3609">
        <v>822</v>
      </c>
      <c r="U3609" t="s">
        <v>112</v>
      </c>
      <c r="V3609" t="s">
        <v>1484</v>
      </c>
      <c r="X3609" s="43">
        <v>5.9</v>
      </c>
      <c r="AA3609" s="43"/>
      <c r="AB3609" s="43">
        <v>0.3</v>
      </c>
      <c r="AC3609" s="43">
        <v>0.30599999999999999</v>
      </c>
      <c r="AK3609">
        <v>18156336</v>
      </c>
    </row>
    <row r="3610" spans="1:37" ht="19">
      <c r="A3610" s="39" t="s">
        <v>17</v>
      </c>
      <c r="B3610" s="8">
        <v>2024</v>
      </c>
      <c r="C3610" s="8" t="s">
        <v>109</v>
      </c>
      <c r="D3610" s="9" t="s">
        <v>109</v>
      </c>
      <c r="E3610" s="9" t="s">
        <v>111</v>
      </c>
      <c r="F3610" s="9" t="s">
        <v>111</v>
      </c>
      <c r="I3610" s="9" t="s">
        <v>14</v>
      </c>
      <c r="J3610" s="14" t="s">
        <v>14</v>
      </c>
      <c r="K3610" s="9" t="s">
        <v>14</v>
      </c>
      <c r="L3610" s="9" t="s">
        <v>209</v>
      </c>
      <c r="M3610" t="s">
        <v>129</v>
      </c>
      <c r="O3610" t="s">
        <v>2574</v>
      </c>
      <c r="P3610" t="s">
        <v>2576</v>
      </c>
      <c r="S3610">
        <v>609</v>
      </c>
      <c r="U3610" t="s">
        <v>112</v>
      </c>
      <c r="V3610" t="s">
        <v>1484</v>
      </c>
      <c r="X3610" s="43">
        <v>3.45</v>
      </c>
      <c r="AA3610" s="43"/>
      <c r="AB3610" s="43">
        <v>0.25</v>
      </c>
      <c r="AC3610" s="43">
        <v>0.17549999999999999</v>
      </c>
      <c r="AK3610">
        <v>13451592</v>
      </c>
    </row>
    <row r="3611" spans="1:37" ht="19">
      <c r="A3611" s="39" t="s">
        <v>17</v>
      </c>
      <c r="B3611" s="8">
        <v>2024</v>
      </c>
      <c r="C3611" s="8" t="s">
        <v>109</v>
      </c>
      <c r="D3611" s="9" t="s">
        <v>109</v>
      </c>
      <c r="E3611" s="9" t="s">
        <v>111</v>
      </c>
      <c r="F3611" s="9" t="s">
        <v>111</v>
      </c>
      <c r="I3611" s="9" t="s">
        <v>14</v>
      </c>
      <c r="J3611" s="14" t="s">
        <v>14</v>
      </c>
      <c r="K3611" s="9" t="s">
        <v>14</v>
      </c>
      <c r="L3611" s="9" t="s">
        <v>209</v>
      </c>
      <c r="M3611" t="s">
        <v>129</v>
      </c>
      <c r="O3611" t="s">
        <v>2574</v>
      </c>
      <c r="P3611" t="s">
        <v>2577</v>
      </c>
      <c r="S3611">
        <v>876</v>
      </c>
      <c r="U3611" t="s">
        <v>112</v>
      </c>
      <c r="V3611" t="s">
        <v>112</v>
      </c>
      <c r="X3611" s="43">
        <v>6.75</v>
      </c>
      <c r="AA3611" s="43"/>
      <c r="AB3611" s="43">
        <v>0.3</v>
      </c>
      <c r="AC3611" s="43">
        <v>0.48149999999999998</v>
      </c>
      <c r="AK3611">
        <v>19348998</v>
      </c>
    </row>
    <row r="3612" spans="1:37" ht="19">
      <c r="A3612" s="39" t="s">
        <v>17</v>
      </c>
      <c r="B3612" s="8">
        <v>2024</v>
      </c>
      <c r="C3612" s="8" t="s">
        <v>109</v>
      </c>
      <c r="D3612" s="9" t="s">
        <v>109</v>
      </c>
      <c r="E3612" s="9" t="s">
        <v>111</v>
      </c>
      <c r="F3612" s="9" t="s">
        <v>111</v>
      </c>
      <c r="I3612" s="9" t="s">
        <v>14</v>
      </c>
      <c r="J3612" s="14" t="s">
        <v>14</v>
      </c>
      <c r="K3612" s="9" t="s">
        <v>14</v>
      </c>
      <c r="L3612" s="9" t="s">
        <v>209</v>
      </c>
      <c r="M3612" t="s">
        <v>129</v>
      </c>
      <c r="O3612" t="s">
        <v>2574</v>
      </c>
      <c r="P3612" t="s">
        <v>2578</v>
      </c>
      <c r="S3612">
        <v>262</v>
      </c>
      <c r="U3612" t="s">
        <v>112</v>
      </c>
      <c r="V3612" t="s">
        <v>1484</v>
      </c>
      <c r="X3612" s="43">
        <v>1</v>
      </c>
      <c r="AA3612" s="43"/>
      <c r="AB3612" s="43">
        <v>0.1</v>
      </c>
      <c r="AC3612" s="43">
        <v>4.4999999999999998E-2</v>
      </c>
      <c r="AK3612">
        <v>5787056</v>
      </c>
    </row>
    <row r="3613" spans="1:37" ht="19">
      <c r="A3613" s="39" t="s">
        <v>17</v>
      </c>
      <c r="B3613" s="8">
        <v>2024</v>
      </c>
      <c r="C3613" s="8" t="s">
        <v>109</v>
      </c>
      <c r="D3613" s="9" t="s">
        <v>109</v>
      </c>
      <c r="E3613" s="9" t="s">
        <v>111</v>
      </c>
      <c r="F3613" s="9" t="s">
        <v>111</v>
      </c>
      <c r="I3613" s="9" t="s">
        <v>14</v>
      </c>
      <c r="J3613" s="14" t="s">
        <v>14</v>
      </c>
      <c r="K3613" s="9" t="s">
        <v>14</v>
      </c>
      <c r="L3613" s="9" t="s">
        <v>209</v>
      </c>
      <c r="M3613" t="s">
        <v>129</v>
      </c>
      <c r="O3613" t="s">
        <v>2574</v>
      </c>
      <c r="P3613" t="s">
        <v>2579</v>
      </c>
      <c r="S3613">
        <v>380</v>
      </c>
      <c r="U3613" t="s">
        <v>112</v>
      </c>
      <c r="V3613" t="s">
        <v>1484</v>
      </c>
      <c r="X3613" s="43">
        <v>2.75</v>
      </c>
      <c r="AA3613" s="43"/>
      <c r="AB3613" s="43">
        <v>0.15</v>
      </c>
      <c r="AC3613" s="43">
        <v>0.14399999999999999</v>
      </c>
      <c r="AK3613">
        <v>8393440</v>
      </c>
    </row>
    <row r="3614" spans="1:37" ht="19">
      <c r="A3614" s="39" t="s">
        <v>17</v>
      </c>
      <c r="B3614" s="8">
        <v>2024</v>
      </c>
      <c r="C3614" s="8" t="s">
        <v>109</v>
      </c>
      <c r="D3614" s="9" t="s">
        <v>109</v>
      </c>
      <c r="E3614" s="9" t="s">
        <v>111</v>
      </c>
      <c r="F3614" s="9" t="s">
        <v>111</v>
      </c>
      <c r="I3614" s="9" t="s">
        <v>14</v>
      </c>
      <c r="J3614" s="14" t="s">
        <v>14</v>
      </c>
      <c r="K3614" s="9" t="s">
        <v>14</v>
      </c>
      <c r="L3614" s="9" t="s">
        <v>209</v>
      </c>
      <c r="M3614" t="s">
        <v>129</v>
      </c>
      <c r="O3614" t="s">
        <v>2574</v>
      </c>
      <c r="P3614" t="s">
        <v>2580</v>
      </c>
      <c r="S3614">
        <v>504</v>
      </c>
      <c r="U3614" t="s">
        <v>112</v>
      </c>
      <c r="V3614" t="s">
        <v>1484</v>
      </c>
      <c r="X3614" s="43">
        <v>2.8</v>
      </c>
      <c r="AA3614" s="43"/>
      <c r="AB3614" s="43">
        <v>0.2</v>
      </c>
      <c r="AC3614" s="43">
        <v>0.13500000000000001</v>
      </c>
      <c r="AK3614">
        <v>11132352</v>
      </c>
    </row>
    <row r="3615" spans="1:37" ht="19">
      <c r="A3615" s="39" t="s">
        <v>17</v>
      </c>
      <c r="B3615" s="8">
        <v>2024</v>
      </c>
      <c r="C3615" s="8" t="s">
        <v>109</v>
      </c>
      <c r="D3615" s="9" t="s">
        <v>109</v>
      </c>
      <c r="E3615" s="9" t="s">
        <v>111</v>
      </c>
      <c r="F3615" s="9" t="s">
        <v>111</v>
      </c>
      <c r="I3615" s="9" t="s">
        <v>14</v>
      </c>
      <c r="J3615" s="14" t="s">
        <v>14</v>
      </c>
      <c r="K3615" s="9" t="s">
        <v>14</v>
      </c>
      <c r="L3615" s="9" t="s">
        <v>209</v>
      </c>
      <c r="M3615" t="s">
        <v>129</v>
      </c>
      <c r="O3615" t="s">
        <v>2574</v>
      </c>
      <c r="P3615" t="s">
        <v>2581</v>
      </c>
      <c r="S3615">
        <v>618</v>
      </c>
      <c r="U3615" t="s">
        <v>112</v>
      </c>
      <c r="V3615" t="s">
        <v>112</v>
      </c>
      <c r="X3615" s="43">
        <v>4.75</v>
      </c>
      <c r="AA3615" s="43"/>
      <c r="AB3615" s="43">
        <v>0.25</v>
      </c>
      <c r="AC3615" s="43">
        <v>0.34200000000000003</v>
      </c>
      <c r="AK3615">
        <v>12990694</v>
      </c>
    </row>
    <row r="3616" spans="1:37" ht="19">
      <c r="A3616" s="39" t="s">
        <v>17</v>
      </c>
      <c r="B3616" s="8">
        <v>2024</v>
      </c>
      <c r="C3616" s="8" t="s">
        <v>109</v>
      </c>
      <c r="D3616" s="9" t="s">
        <v>109</v>
      </c>
      <c r="E3616" s="9" t="s">
        <v>111</v>
      </c>
      <c r="F3616" s="9" t="s">
        <v>111</v>
      </c>
      <c r="I3616" s="9" t="s">
        <v>14</v>
      </c>
      <c r="J3616" s="14" t="s">
        <v>14</v>
      </c>
      <c r="K3616" s="9" t="s">
        <v>14</v>
      </c>
      <c r="L3616" s="9" t="s">
        <v>209</v>
      </c>
      <c r="M3616" t="s">
        <v>129</v>
      </c>
      <c r="O3616" t="s">
        <v>2582</v>
      </c>
      <c r="P3616" t="s">
        <v>2583</v>
      </c>
      <c r="S3616">
        <v>300</v>
      </c>
      <c r="U3616" t="s">
        <v>112</v>
      </c>
      <c r="V3616" t="s">
        <v>1484</v>
      </c>
      <c r="X3616" s="43">
        <v>1.75</v>
      </c>
      <c r="AA3616" s="43"/>
      <c r="AB3616" s="43">
        <v>0.1</v>
      </c>
      <c r="AC3616" s="43">
        <v>0.126</v>
      </c>
      <c r="AK3616">
        <v>6626400</v>
      </c>
    </row>
    <row r="3617" spans="1:37" ht="19">
      <c r="A3617" s="39" t="s">
        <v>17</v>
      </c>
      <c r="B3617" s="8">
        <v>2024</v>
      </c>
      <c r="C3617" s="8" t="s">
        <v>109</v>
      </c>
      <c r="D3617" s="9" t="s">
        <v>109</v>
      </c>
      <c r="E3617" s="9" t="s">
        <v>111</v>
      </c>
      <c r="F3617" s="9" t="s">
        <v>111</v>
      </c>
      <c r="I3617" s="9" t="s">
        <v>14</v>
      </c>
      <c r="J3617" s="14" t="s">
        <v>14</v>
      </c>
      <c r="K3617" s="9" t="s">
        <v>14</v>
      </c>
      <c r="L3617" s="9" t="s">
        <v>209</v>
      </c>
      <c r="M3617" t="s">
        <v>129</v>
      </c>
      <c r="O3617" t="s">
        <v>2582</v>
      </c>
      <c r="P3617" t="s">
        <v>2584</v>
      </c>
      <c r="S3617">
        <v>304</v>
      </c>
      <c r="U3617" s="14" t="s">
        <v>77</v>
      </c>
      <c r="V3617" t="s">
        <v>1720</v>
      </c>
      <c r="X3617" s="43">
        <v>2.35</v>
      </c>
      <c r="AA3617" s="43"/>
      <c r="AB3617" s="43">
        <v>0.55000000000000004</v>
      </c>
      <c r="AC3617" s="43">
        <v>0.16650000000000001</v>
      </c>
      <c r="AJ3617" s="13">
        <f t="shared" ref="AJ3617:AJ3620" si="328">SUBTOTAL(9,X3617:AI3617)</f>
        <v>3.0665000000000004</v>
      </c>
      <c r="AK3617">
        <v>0</v>
      </c>
    </row>
    <row r="3618" spans="1:37" ht="19">
      <c r="A3618" s="39" t="s">
        <v>17</v>
      </c>
      <c r="B3618" s="8">
        <v>2024</v>
      </c>
      <c r="C3618" s="8" t="s">
        <v>109</v>
      </c>
      <c r="D3618" s="9" t="s">
        <v>109</v>
      </c>
      <c r="E3618" s="9" t="s">
        <v>111</v>
      </c>
      <c r="F3618" s="9" t="s">
        <v>111</v>
      </c>
      <c r="I3618" s="9" t="s">
        <v>14</v>
      </c>
      <c r="J3618" s="14" t="s">
        <v>14</v>
      </c>
      <c r="K3618" s="9" t="s">
        <v>14</v>
      </c>
      <c r="L3618" s="9" t="s">
        <v>209</v>
      </c>
      <c r="M3618" t="s">
        <v>129</v>
      </c>
      <c r="O3618" t="s">
        <v>2585</v>
      </c>
      <c r="P3618" t="s">
        <v>2586</v>
      </c>
      <c r="S3618">
        <v>542</v>
      </c>
      <c r="U3618" s="14" t="s">
        <v>77</v>
      </c>
      <c r="V3618" t="s">
        <v>1720</v>
      </c>
      <c r="X3618" s="43">
        <v>4.1500000000000004</v>
      </c>
      <c r="AA3618" s="43"/>
      <c r="AB3618" s="43">
        <v>0.9</v>
      </c>
      <c r="AC3618" s="43">
        <v>0.29699999999999999</v>
      </c>
      <c r="AJ3618" s="13">
        <f t="shared" si="328"/>
        <v>5.3470000000000004</v>
      </c>
      <c r="AK3618">
        <v>0</v>
      </c>
    </row>
    <row r="3619" spans="1:37" ht="19">
      <c r="A3619" s="39" t="s">
        <v>17</v>
      </c>
      <c r="B3619" s="8">
        <v>2024</v>
      </c>
      <c r="C3619" s="8" t="s">
        <v>109</v>
      </c>
      <c r="D3619" s="9" t="s">
        <v>109</v>
      </c>
      <c r="E3619" s="9" t="s">
        <v>111</v>
      </c>
      <c r="F3619" s="9" t="s">
        <v>111</v>
      </c>
      <c r="I3619" s="9" t="s">
        <v>14</v>
      </c>
      <c r="J3619" s="14" t="s">
        <v>14</v>
      </c>
      <c r="K3619" s="9" t="s">
        <v>14</v>
      </c>
      <c r="L3619" s="9" t="s">
        <v>209</v>
      </c>
      <c r="M3619" t="s">
        <v>129</v>
      </c>
      <c r="O3619" t="s">
        <v>2582</v>
      </c>
      <c r="P3619" t="s">
        <v>2587</v>
      </c>
      <c r="S3619">
        <v>395</v>
      </c>
      <c r="U3619" s="14" t="s">
        <v>77</v>
      </c>
      <c r="V3619" t="s">
        <v>1720</v>
      </c>
      <c r="X3619" s="43">
        <v>3.05</v>
      </c>
      <c r="AA3619" s="43"/>
      <c r="AB3619" s="43">
        <v>0.7</v>
      </c>
      <c r="AC3619" s="43">
        <v>0.216</v>
      </c>
      <c r="AJ3619" s="13">
        <f t="shared" si="328"/>
        <v>3.9660000000000002</v>
      </c>
      <c r="AK3619">
        <v>0</v>
      </c>
    </row>
    <row r="3620" spans="1:37" ht="19">
      <c r="A3620" s="39" t="s">
        <v>17</v>
      </c>
      <c r="B3620" s="8">
        <v>2024</v>
      </c>
      <c r="C3620" s="8" t="s">
        <v>109</v>
      </c>
      <c r="D3620" s="9" t="s">
        <v>109</v>
      </c>
      <c r="E3620" s="9" t="s">
        <v>111</v>
      </c>
      <c r="F3620" s="9" t="s">
        <v>111</v>
      </c>
      <c r="I3620" s="9" t="s">
        <v>14</v>
      </c>
      <c r="J3620" s="14" t="s">
        <v>14</v>
      </c>
      <c r="K3620" s="9" t="s">
        <v>14</v>
      </c>
      <c r="L3620" s="9" t="s">
        <v>209</v>
      </c>
      <c r="M3620" t="s">
        <v>129</v>
      </c>
      <c r="O3620" t="s">
        <v>2582</v>
      </c>
      <c r="P3620" t="s">
        <v>2588</v>
      </c>
      <c r="S3620">
        <v>562</v>
      </c>
      <c r="U3620" s="14" t="s">
        <v>77</v>
      </c>
      <c r="V3620" t="s">
        <v>1720</v>
      </c>
      <c r="X3620" s="43">
        <v>4.3499999999999996</v>
      </c>
      <c r="AA3620" s="43"/>
      <c r="AB3620" s="43">
        <v>0.95</v>
      </c>
      <c r="AC3620" s="43">
        <v>0.3105</v>
      </c>
      <c r="AJ3620" s="13">
        <f t="shared" si="328"/>
        <v>5.6105</v>
      </c>
      <c r="AK3620">
        <v>0</v>
      </c>
    </row>
    <row r="3621" spans="1:37" ht="19">
      <c r="A3621" s="39" t="s">
        <v>17</v>
      </c>
      <c r="B3621" s="8">
        <v>2024</v>
      </c>
      <c r="C3621" s="8" t="s">
        <v>109</v>
      </c>
      <c r="D3621" s="9" t="s">
        <v>109</v>
      </c>
      <c r="E3621" s="9" t="s">
        <v>111</v>
      </c>
      <c r="F3621" s="9" t="s">
        <v>111</v>
      </c>
      <c r="I3621" s="9" t="s">
        <v>14</v>
      </c>
      <c r="J3621" s="14" t="s">
        <v>14</v>
      </c>
      <c r="K3621" s="9" t="s">
        <v>14</v>
      </c>
      <c r="L3621" s="9" t="s">
        <v>209</v>
      </c>
      <c r="M3621" t="s">
        <v>129</v>
      </c>
      <c r="O3621" t="s">
        <v>2589</v>
      </c>
      <c r="P3621" t="s">
        <v>2590</v>
      </c>
      <c r="S3621">
        <v>340</v>
      </c>
      <c r="U3621" t="s">
        <v>112</v>
      </c>
      <c r="V3621" t="s">
        <v>112</v>
      </c>
      <c r="X3621" s="43">
        <v>2.5</v>
      </c>
      <c r="AA3621" s="43"/>
      <c r="AB3621" s="43">
        <v>0.15</v>
      </c>
      <c r="AC3621" s="43">
        <v>0.1845</v>
      </c>
      <c r="AK3621">
        <v>7509920</v>
      </c>
    </row>
    <row r="3622" spans="1:37" ht="19">
      <c r="A3622" s="39" t="s">
        <v>17</v>
      </c>
      <c r="B3622" s="8">
        <v>2024</v>
      </c>
      <c r="C3622" s="8" t="s">
        <v>109</v>
      </c>
      <c r="D3622" s="9" t="s">
        <v>109</v>
      </c>
      <c r="E3622" s="9" t="s">
        <v>111</v>
      </c>
      <c r="F3622" s="9" t="s">
        <v>111</v>
      </c>
      <c r="I3622" s="9" t="s">
        <v>14</v>
      </c>
      <c r="J3622" s="14" t="s">
        <v>14</v>
      </c>
      <c r="K3622" s="9" t="s">
        <v>14</v>
      </c>
      <c r="L3622" s="9" t="s">
        <v>209</v>
      </c>
      <c r="M3622" t="s">
        <v>129</v>
      </c>
      <c r="O3622" t="s">
        <v>2589</v>
      </c>
      <c r="P3622" t="s">
        <v>2591</v>
      </c>
      <c r="S3622">
        <v>340</v>
      </c>
      <c r="U3622" t="s">
        <v>112</v>
      </c>
      <c r="V3622" t="s">
        <v>112</v>
      </c>
      <c r="X3622" s="43">
        <v>2.6</v>
      </c>
      <c r="AA3622" s="43"/>
      <c r="AB3622" s="43">
        <v>0.15</v>
      </c>
      <c r="AC3622" s="43">
        <v>0.189</v>
      </c>
      <c r="AK3622">
        <v>7509920</v>
      </c>
    </row>
    <row r="3623" spans="1:37" ht="19">
      <c r="A3623" s="39" t="s">
        <v>17</v>
      </c>
      <c r="B3623" s="8">
        <v>2024</v>
      </c>
      <c r="C3623" s="8" t="s">
        <v>109</v>
      </c>
      <c r="D3623" s="9" t="s">
        <v>109</v>
      </c>
      <c r="E3623" s="9" t="s">
        <v>111</v>
      </c>
      <c r="F3623" s="9" t="s">
        <v>111</v>
      </c>
      <c r="I3623" s="9" t="s">
        <v>14</v>
      </c>
      <c r="J3623" s="14" t="s">
        <v>14</v>
      </c>
      <c r="K3623" s="9" t="s">
        <v>14</v>
      </c>
      <c r="L3623" s="9" t="s">
        <v>209</v>
      </c>
      <c r="M3623" t="s">
        <v>129</v>
      </c>
      <c r="O3623" t="s">
        <v>2589</v>
      </c>
      <c r="P3623" t="s">
        <v>2589</v>
      </c>
      <c r="S3623">
        <v>488</v>
      </c>
      <c r="U3623" t="s">
        <v>112</v>
      </c>
      <c r="V3623" t="s">
        <v>112</v>
      </c>
      <c r="X3623" s="43">
        <v>3.15</v>
      </c>
      <c r="AA3623" s="43"/>
      <c r="AB3623" s="43">
        <v>0.2</v>
      </c>
      <c r="AC3623" s="43">
        <v>0.22500000000000001</v>
      </c>
      <c r="AK3623">
        <v>10537034</v>
      </c>
    </row>
    <row r="3624" spans="1:37" ht="19">
      <c r="A3624" s="39" t="s">
        <v>17</v>
      </c>
      <c r="B3624" s="8">
        <v>2024</v>
      </c>
      <c r="C3624" s="8" t="s">
        <v>109</v>
      </c>
      <c r="D3624" s="9" t="s">
        <v>109</v>
      </c>
      <c r="E3624" s="9" t="s">
        <v>111</v>
      </c>
      <c r="F3624" s="9" t="s">
        <v>111</v>
      </c>
      <c r="I3624" s="9" t="s">
        <v>14</v>
      </c>
      <c r="J3624" s="14" t="s">
        <v>14</v>
      </c>
      <c r="K3624" s="9" t="s">
        <v>14</v>
      </c>
      <c r="L3624" s="9" t="s">
        <v>209</v>
      </c>
      <c r="M3624" t="s">
        <v>129</v>
      </c>
      <c r="O3624" t="s">
        <v>2589</v>
      </c>
      <c r="P3624" t="s">
        <v>2592</v>
      </c>
      <c r="S3624">
        <v>592</v>
      </c>
      <c r="U3624" t="s">
        <v>112</v>
      </c>
      <c r="V3624" t="s">
        <v>112</v>
      </c>
      <c r="X3624" s="43">
        <v>4.3</v>
      </c>
      <c r="AA3624" s="43"/>
      <c r="AB3624" s="43">
        <v>0.2</v>
      </c>
      <c r="AC3624" s="43">
        <v>0.3105</v>
      </c>
      <c r="AK3624">
        <v>13062596</v>
      </c>
    </row>
    <row r="3625" spans="1:37" ht="19">
      <c r="A3625" s="39" t="s">
        <v>17</v>
      </c>
      <c r="B3625" s="8">
        <v>2024</v>
      </c>
      <c r="C3625" s="8" t="s">
        <v>109</v>
      </c>
      <c r="D3625" s="9" t="s">
        <v>109</v>
      </c>
      <c r="E3625" s="9" t="s">
        <v>111</v>
      </c>
      <c r="F3625" s="9" t="s">
        <v>111</v>
      </c>
      <c r="I3625" s="9" t="s">
        <v>14</v>
      </c>
      <c r="J3625" s="14" t="s">
        <v>14</v>
      </c>
      <c r="K3625" s="9" t="s">
        <v>14</v>
      </c>
      <c r="L3625" s="9" t="s">
        <v>209</v>
      </c>
      <c r="M3625" t="s">
        <v>129</v>
      </c>
      <c r="O3625" t="s">
        <v>2593</v>
      </c>
      <c r="P3625" t="s">
        <v>2594</v>
      </c>
      <c r="S3625">
        <v>616</v>
      </c>
      <c r="U3625" t="s">
        <v>112</v>
      </c>
      <c r="V3625" t="s">
        <v>112</v>
      </c>
      <c r="X3625" s="43">
        <v>4.75</v>
      </c>
      <c r="AA3625" s="43"/>
      <c r="AB3625" s="43">
        <v>0.25</v>
      </c>
      <c r="AC3625" s="43">
        <v>0.33750000000000002</v>
      </c>
      <c r="AK3625">
        <v>13606208</v>
      </c>
    </row>
    <row r="3626" spans="1:37" ht="19">
      <c r="A3626" s="39" t="s">
        <v>17</v>
      </c>
      <c r="B3626" s="8">
        <v>2024</v>
      </c>
      <c r="C3626" s="8" t="s">
        <v>109</v>
      </c>
      <c r="D3626" s="9" t="s">
        <v>109</v>
      </c>
      <c r="E3626" s="9" t="s">
        <v>111</v>
      </c>
      <c r="F3626" s="9" t="s">
        <v>111</v>
      </c>
      <c r="I3626" s="9" t="s">
        <v>14</v>
      </c>
      <c r="J3626" s="14" t="s">
        <v>14</v>
      </c>
      <c r="K3626" s="9" t="s">
        <v>14</v>
      </c>
      <c r="L3626" s="9" t="s">
        <v>209</v>
      </c>
      <c r="M3626" t="s">
        <v>129</v>
      </c>
      <c r="O3626" t="s">
        <v>2593</v>
      </c>
      <c r="P3626" t="s">
        <v>2595</v>
      </c>
      <c r="S3626">
        <v>439</v>
      </c>
      <c r="U3626" t="s">
        <v>112</v>
      </c>
      <c r="V3626" t="s">
        <v>1484</v>
      </c>
      <c r="X3626" s="43">
        <v>3.4</v>
      </c>
      <c r="AA3626" s="43"/>
      <c r="AB3626" s="43">
        <v>0.15</v>
      </c>
      <c r="AC3626" s="43">
        <v>0.24299999999999999</v>
      </c>
      <c r="AK3626">
        <v>9696632</v>
      </c>
    </row>
    <row r="3627" spans="1:37" ht="19">
      <c r="A3627" s="39" t="s">
        <v>17</v>
      </c>
      <c r="B3627" s="8">
        <v>2024</v>
      </c>
      <c r="C3627" s="8" t="s">
        <v>109</v>
      </c>
      <c r="D3627" s="9" t="s">
        <v>109</v>
      </c>
      <c r="E3627" s="9" t="s">
        <v>111</v>
      </c>
      <c r="F3627" s="9" t="s">
        <v>111</v>
      </c>
      <c r="I3627" s="9" t="s">
        <v>14</v>
      </c>
      <c r="J3627" s="14" t="s">
        <v>14</v>
      </c>
      <c r="K3627" s="9" t="s">
        <v>14</v>
      </c>
      <c r="L3627" s="9" t="s">
        <v>209</v>
      </c>
      <c r="M3627" t="s">
        <v>129</v>
      </c>
      <c r="O3627" t="s">
        <v>2593</v>
      </c>
      <c r="P3627" t="s">
        <v>2596</v>
      </c>
      <c r="S3627">
        <v>355</v>
      </c>
      <c r="U3627" t="s">
        <v>112</v>
      </c>
      <c r="V3627" t="s">
        <v>1484</v>
      </c>
      <c r="X3627" s="43">
        <v>2.25</v>
      </c>
      <c r="AA3627" s="43"/>
      <c r="AB3627" s="43">
        <v>0.15</v>
      </c>
      <c r="AC3627" s="43">
        <v>0.11700000000000001</v>
      </c>
      <c r="AK3627">
        <v>7841240</v>
      </c>
    </row>
    <row r="3628" spans="1:37" ht="19">
      <c r="A3628" s="39" t="s">
        <v>17</v>
      </c>
      <c r="B3628" s="8">
        <v>2024</v>
      </c>
      <c r="C3628" s="8" t="s">
        <v>109</v>
      </c>
      <c r="D3628" s="9" t="s">
        <v>109</v>
      </c>
      <c r="E3628" s="9" t="s">
        <v>111</v>
      </c>
      <c r="F3628" s="9" t="s">
        <v>111</v>
      </c>
      <c r="I3628" s="9" t="s">
        <v>14</v>
      </c>
      <c r="J3628" s="14" t="s">
        <v>14</v>
      </c>
      <c r="K3628" s="9" t="s">
        <v>14</v>
      </c>
      <c r="L3628" s="9" t="s">
        <v>209</v>
      </c>
      <c r="M3628" t="s">
        <v>129</v>
      </c>
      <c r="O3628" t="s">
        <v>2593</v>
      </c>
      <c r="P3628" t="s">
        <v>2597</v>
      </c>
      <c r="S3628">
        <v>598</v>
      </c>
      <c r="U3628" t="s">
        <v>112</v>
      </c>
      <c r="V3628" t="s">
        <v>112</v>
      </c>
      <c r="X3628" s="43">
        <v>4.3</v>
      </c>
      <c r="AA3628" s="43"/>
      <c r="AB3628" s="43">
        <v>0.2</v>
      </c>
      <c r="AC3628" s="43">
        <v>0.3105</v>
      </c>
      <c r="AK3628">
        <v>13208624</v>
      </c>
    </row>
    <row r="3629" spans="1:37" ht="19">
      <c r="A3629" s="39" t="s">
        <v>17</v>
      </c>
      <c r="B3629" s="8">
        <v>2024</v>
      </c>
      <c r="C3629" s="8" t="s">
        <v>109</v>
      </c>
      <c r="D3629" s="9" t="s">
        <v>109</v>
      </c>
      <c r="E3629" s="9" t="s">
        <v>111</v>
      </c>
      <c r="F3629" s="9" t="s">
        <v>111</v>
      </c>
      <c r="I3629" s="9" t="s">
        <v>14</v>
      </c>
      <c r="J3629" s="14" t="s">
        <v>14</v>
      </c>
      <c r="K3629" s="9" t="s">
        <v>14</v>
      </c>
      <c r="L3629" s="9" t="s">
        <v>209</v>
      </c>
      <c r="M3629" t="s">
        <v>129</v>
      </c>
      <c r="O3629" t="s">
        <v>2593</v>
      </c>
      <c r="P3629" t="s">
        <v>2598</v>
      </c>
      <c r="S3629">
        <v>850</v>
      </c>
      <c r="U3629" t="s">
        <v>112</v>
      </c>
      <c r="V3629" t="s">
        <v>1484</v>
      </c>
      <c r="X3629" s="43">
        <v>6.05</v>
      </c>
      <c r="AA3629" s="43"/>
      <c r="AB3629" s="43">
        <v>0.3</v>
      </c>
      <c r="AC3629" s="43">
        <v>0.2475</v>
      </c>
      <c r="AK3629">
        <v>18774800</v>
      </c>
    </row>
    <row r="3630" spans="1:37" ht="19">
      <c r="A3630" s="39" t="s">
        <v>17</v>
      </c>
      <c r="B3630" s="8">
        <v>2024</v>
      </c>
      <c r="C3630" s="8" t="s">
        <v>109</v>
      </c>
      <c r="D3630" s="9" t="s">
        <v>109</v>
      </c>
      <c r="E3630" s="9" t="s">
        <v>111</v>
      </c>
      <c r="F3630" s="9" t="s">
        <v>111</v>
      </c>
      <c r="I3630" s="9" t="s">
        <v>14</v>
      </c>
      <c r="J3630" s="14" t="s">
        <v>14</v>
      </c>
      <c r="K3630" s="9" t="s">
        <v>14</v>
      </c>
      <c r="L3630" s="9" t="s">
        <v>209</v>
      </c>
      <c r="M3630" t="s">
        <v>129</v>
      </c>
      <c r="O3630" t="s">
        <v>2593</v>
      </c>
      <c r="P3630" t="s">
        <v>327</v>
      </c>
      <c r="S3630">
        <v>524</v>
      </c>
      <c r="U3630" t="s">
        <v>112</v>
      </c>
      <c r="V3630" t="s">
        <v>112</v>
      </c>
      <c r="X3630" s="43">
        <v>4.05</v>
      </c>
      <c r="AA3630" s="43"/>
      <c r="AB3630" s="43">
        <v>0.2</v>
      </c>
      <c r="AC3630" s="43">
        <v>0.28799999999999998</v>
      </c>
      <c r="AK3630">
        <v>11560112</v>
      </c>
    </row>
    <row r="3631" spans="1:37" ht="19">
      <c r="A3631" s="39" t="s">
        <v>17</v>
      </c>
      <c r="B3631" s="8">
        <v>2024</v>
      </c>
      <c r="C3631" s="8" t="s">
        <v>109</v>
      </c>
      <c r="D3631" s="9" t="s">
        <v>109</v>
      </c>
      <c r="E3631" s="9" t="s">
        <v>111</v>
      </c>
      <c r="F3631" s="9" t="s">
        <v>111</v>
      </c>
      <c r="I3631" s="9" t="s">
        <v>14</v>
      </c>
      <c r="J3631" s="14" t="s">
        <v>14</v>
      </c>
      <c r="K3631" s="9" t="s">
        <v>14</v>
      </c>
      <c r="L3631" s="9" t="s">
        <v>209</v>
      </c>
      <c r="M3631" t="s">
        <v>129</v>
      </c>
      <c r="O3631" t="s">
        <v>2599</v>
      </c>
      <c r="P3631" t="s">
        <v>2600</v>
      </c>
      <c r="S3631">
        <v>440</v>
      </c>
      <c r="U3631" t="s">
        <v>112</v>
      </c>
      <c r="V3631" t="s">
        <v>1484</v>
      </c>
      <c r="X3631" s="43">
        <v>2.4</v>
      </c>
      <c r="AA3631" s="43"/>
      <c r="AB3631" s="43">
        <v>0.15</v>
      </c>
      <c r="AC3631" s="43">
        <v>0.1215</v>
      </c>
      <c r="AK3631">
        <v>9718720</v>
      </c>
    </row>
    <row r="3632" spans="1:37" ht="19">
      <c r="A3632" s="39" t="s">
        <v>17</v>
      </c>
      <c r="B3632" s="8">
        <v>2024</v>
      </c>
      <c r="C3632" s="8" t="s">
        <v>109</v>
      </c>
      <c r="D3632" s="9" t="s">
        <v>109</v>
      </c>
      <c r="E3632" s="9" t="s">
        <v>111</v>
      </c>
      <c r="F3632" s="9" t="s">
        <v>111</v>
      </c>
      <c r="I3632" s="9" t="s">
        <v>14</v>
      </c>
      <c r="J3632" s="14" t="s">
        <v>14</v>
      </c>
      <c r="K3632" s="9" t="s">
        <v>14</v>
      </c>
      <c r="L3632" s="9" t="s">
        <v>209</v>
      </c>
      <c r="M3632" t="s">
        <v>129</v>
      </c>
      <c r="O3632" t="s">
        <v>2599</v>
      </c>
      <c r="P3632" t="s">
        <v>2601</v>
      </c>
      <c r="S3632">
        <v>634</v>
      </c>
      <c r="U3632" t="s">
        <v>112</v>
      </c>
      <c r="V3632" t="s">
        <v>1484</v>
      </c>
      <c r="X3632" s="43">
        <v>3.85</v>
      </c>
      <c r="AA3632" s="43"/>
      <c r="AB3632" s="43">
        <v>0.25</v>
      </c>
      <c r="AC3632" s="43">
        <v>0.19800000000000001</v>
      </c>
      <c r="AK3632">
        <v>14003792</v>
      </c>
    </row>
    <row r="3633" spans="1:37" ht="19">
      <c r="A3633" s="39" t="s">
        <v>17</v>
      </c>
      <c r="B3633" s="8">
        <v>2024</v>
      </c>
      <c r="C3633" s="8" t="s">
        <v>109</v>
      </c>
      <c r="D3633" s="9" t="s">
        <v>109</v>
      </c>
      <c r="E3633" s="9" t="s">
        <v>111</v>
      </c>
      <c r="F3633" s="9" t="s">
        <v>111</v>
      </c>
      <c r="I3633" s="9" t="s">
        <v>14</v>
      </c>
      <c r="J3633" s="14" t="s">
        <v>14</v>
      </c>
      <c r="K3633" s="9" t="s">
        <v>14</v>
      </c>
      <c r="L3633" s="9" t="s">
        <v>209</v>
      </c>
      <c r="M3633" t="s">
        <v>129</v>
      </c>
      <c r="O3633" t="s">
        <v>2599</v>
      </c>
      <c r="P3633" t="s">
        <v>2602</v>
      </c>
      <c r="S3633">
        <v>398</v>
      </c>
      <c r="U3633" t="s">
        <v>112</v>
      </c>
      <c r="V3633" t="s">
        <v>1484</v>
      </c>
      <c r="X3633" s="43">
        <v>2.2000000000000002</v>
      </c>
      <c r="AA3633" s="43"/>
      <c r="AB3633" s="43">
        <v>0.15</v>
      </c>
      <c r="AC3633" s="43">
        <v>0.1125</v>
      </c>
      <c r="AK3633">
        <v>8791024</v>
      </c>
    </row>
    <row r="3634" spans="1:37" ht="19">
      <c r="A3634" s="39" t="s">
        <v>17</v>
      </c>
      <c r="B3634" s="8">
        <v>2024</v>
      </c>
      <c r="C3634" s="8" t="s">
        <v>109</v>
      </c>
      <c r="D3634" s="9" t="s">
        <v>109</v>
      </c>
      <c r="E3634" s="9" t="s">
        <v>111</v>
      </c>
      <c r="F3634" s="9" t="s">
        <v>111</v>
      </c>
      <c r="I3634" s="9" t="s">
        <v>14</v>
      </c>
      <c r="J3634" s="14" t="s">
        <v>14</v>
      </c>
      <c r="K3634" s="9" t="s">
        <v>14</v>
      </c>
      <c r="L3634" s="9" t="s">
        <v>209</v>
      </c>
      <c r="M3634" t="s">
        <v>129</v>
      </c>
      <c r="O3634" t="s">
        <v>2603</v>
      </c>
      <c r="P3634" t="s">
        <v>2604</v>
      </c>
      <c r="S3634">
        <v>353</v>
      </c>
      <c r="U3634" t="s">
        <v>112</v>
      </c>
      <c r="V3634" t="s">
        <v>1484</v>
      </c>
      <c r="X3634" s="43">
        <v>2.65</v>
      </c>
      <c r="AA3634" s="43"/>
      <c r="AB3634" s="43">
        <v>0.15</v>
      </c>
      <c r="AC3634" s="43">
        <v>0.13500000000000001</v>
      </c>
      <c r="AK3634">
        <v>7797064</v>
      </c>
    </row>
    <row r="3635" spans="1:37" ht="19">
      <c r="A3635" s="39" t="s">
        <v>17</v>
      </c>
      <c r="B3635" s="8">
        <v>2024</v>
      </c>
      <c r="C3635" s="8" t="s">
        <v>109</v>
      </c>
      <c r="D3635" s="9" t="s">
        <v>109</v>
      </c>
      <c r="E3635" s="9" t="s">
        <v>111</v>
      </c>
      <c r="F3635" s="9" t="s">
        <v>111</v>
      </c>
      <c r="I3635" s="9" t="s">
        <v>14</v>
      </c>
      <c r="J3635" s="14" t="s">
        <v>14</v>
      </c>
      <c r="K3635" s="9" t="s">
        <v>14</v>
      </c>
      <c r="L3635" s="9" t="s">
        <v>209</v>
      </c>
      <c r="M3635" t="s">
        <v>129</v>
      </c>
      <c r="O3635" t="s">
        <v>2605</v>
      </c>
      <c r="P3635" t="s">
        <v>2606</v>
      </c>
      <c r="S3635">
        <v>662</v>
      </c>
      <c r="U3635" t="s">
        <v>112</v>
      </c>
      <c r="V3635" t="s">
        <v>1484</v>
      </c>
      <c r="X3635" s="43">
        <v>5.0999999999999996</v>
      </c>
      <c r="AA3635" s="43"/>
      <c r="AB3635" s="43">
        <v>0.25</v>
      </c>
      <c r="AC3635" s="43">
        <v>0.36449999999999999</v>
      </c>
      <c r="AK3635">
        <v>14611004</v>
      </c>
    </row>
    <row r="3636" spans="1:37" ht="19">
      <c r="A3636" s="39" t="s">
        <v>17</v>
      </c>
      <c r="B3636" s="8">
        <v>2024</v>
      </c>
      <c r="C3636" s="8" t="s">
        <v>109</v>
      </c>
      <c r="D3636" s="9" t="s">
        <v>109</v>
      </c>
      <c r="E3636" s="9" t="s">
        <v>111</v>
      </c>
      <c r="F3636" s="9" t="s">
        <v>111</v>
      </c>
      <c r="I3636" s="9" t="s">
        <v>14</v>
      </c>
      <c r="J3636" s="14" t="s">
        <v>14</v>
      </c>
      <c r="K3636" s="9" t="s">
        <v>14</v>
      </c>
      <c r="L3636" s="9" t="s">
        <v>209</v>
      </c>
      <c r="M3636" t="s">
        <v>129</v>
      </c>
      <c r="O3636" t="s">
        <v>2605</v>
      </c>
      <c r="P3636" t="s">
        <v>2607</v>
      </c>
      <c r="S3636">
        <v>546</v>
      </c>
      <c r="U3636" t="s">
        <v>112</v>
      </c>
      <c r="V3636" t="s">
        <v>1484</v>
      </c>
      <c r="X3636" s="43">
        <v>4.2</v>
      </c>
      <c r="AA3636" s="43"/>
      <c r="AB3636" s="43">
        <v>0.2</v>
      </c>
      <c r="AC3636" s="43">
        <v>0.25650000000000001</v>
      </c>
      <c r="AK3636">
        <v>12060048</v>
      </c>
    </row>
    <row r="3637" spans="1:37" ht="19">
      <c r="A3637" s="39" t="s">
        <v>17</v>
      </c>
      <c r="B3637" s="8">
        <v>2024</v>
      </c>
      <c r="C3637" s="8" t="s">
        <v>109</v>
      </c>
      <c r="D3637" s="9" t="s">
        <v>109</v>
      </c>
      <c r="E3637" s="9" t="s">
        <v>111</v>
      </c>
      <c r="F3637" s="9" t="s">
        <v>111</v>
      </c>
      <c r="I3637" s="9" t="s">
        <v>14</v>
      </c>
      <c r="J3637" s="14" t="s">
        <v>14</v>
      </c>
      <c r="K3637" s="9" t="s">
        <v>14</v>
      </c>
      <c r="L3637" s="9" t="s">
        <v>209</v>
      </c>
      <c r="M3637" t="s">
        <v>129</v>
      </c>
      <c r="O3637" t="s">
        <v>2608</v>
      </c>
      <c r="P3637" t="s">
        <v>2608</v>
      </c>
      <c r="S3637">
        <v>635</v>
      </c>
      <c r="U3637" s="14" t="s">
        <v>77</v>
      </c>
      <c r="V3637" t="s">
        <v>1720</v>
      </c>
      <c r="X3637" s="43">
        <v>4.9000000000000004</v>
      </c>
      <c r="AA3637" s="43"/>
      <c r="AB3637" s="43">
        <v>1.05</v>
      </c>
      <c r="AC3637" s="43">
        <v>0.35099999999999998</v>
      </c>
      <c r="AJ3637" s="13">
        <f>SUBTOTAL(9,X3637:AI3637)</f>
        <v>6.3010000000000002</v>
      </c>
      <c r="AK3637">
        <v>0</v>
      </c>
    </row>
    <row r="3638" spans="1:37" ht="19">
      <c r="A3638" s="39" t="s">
        <v>17</v>
      </c>
      <c r="B3638" s="8">
        <v>2024</v>
      </c>
      <c r="C3638" s="8" t="s">
        <v>109</v>
      </c>
      <c r="D3638" s="9" t="s">
        <v>109</v>
      </c>
      <c r="E3638" s="9" t="s">
        <v>111</v>
      </c>
      <c r="F3638" s="9" t="s">
        <v>111</v>
      </c>
      <c r="I3638" s="9" t="s">
        <v>14</v>
      </c>
      <c r="J3638" s="14" t="s">
        <v>14</v>
      </c>
      <c r="K3638" s="9" t="s">
        <v>14</v>
      </c>
      <c r="L3638" s="9" t="s">
        <v>209</v>
      </c>
      <c r="M3638" t="s">
        <v>129</v>
      </c>
      <c r="O3638" t="s">
        <v>2608</v>
      </c>
      <c r="P3638" t="s">
        <v>2609</v>
      </c>
      <c r="S3638">
        <v>98</v>
      </c>
      <c r="U3638" t="s">
        <v>112</v>
      </c>
      <c r="V3638" t="s">
        <v>1484</v>
      </c>
      <c r="X3638" s="43">
        <v>0.55000000000000004</v>
      </c>
      <c r="AA3638" s="43"/>
      <c r="AB3638" s="43">
        <v>0.05</v>
      </c>
      <c r="AC3638" s="43">
        <v>3.5999999999999997E-2</v>
      </c>
      <c r="AK3638">
        <v>2164624</v>
      </c>
    </row>
    <row r="3639" spans="1:37" ht="19">
      <c r="A3639" s="39" t="s">
        <v>17</v>
      </c>
      <c r="B3639" s="8">
        <v>2024</v>
      </c>
      <c r="C3639" s="8" t="s">
        <v>109</v>
      </c>
      <c r="D3639" s="9" t="s">
        <v>109</v>
      </c>
      <c r="E3639" s="9" t="s">
        <v>111</v>
      </c>
      <c r="F3639" s="9" t="s">
        <v>111</v>
      </c>
      <c r="I3639" s="9" t="s">
        <v>14</v>
      </c>
      <c r="J3639" s="14" t="s">
        <v>14</v>
      </c>
      <c r="K3639" s="9" t="s">
        <v>14</v>
      </c>
      <c r="L3639" s="9" t="s">
        <v>209</v>
      </c>
      <c r="M3639" t="s">
        <v>129</v>
      </c>
      <c r="O3639" t="s">
        <v>2608</v>
      </c>
      <c r="P3639" t="s">
        <v>2610</v>
      </c>
      <c r="S3639">
        <v>151</v>
      </c>
      <c r="U3639" s="14" t="s">
        <v>77</v>
      </c>
      <c r="V3639" t="s">
        <v>1720</v>
      </c>
      <c r="X3639" s="43">
        <v>1.1499999999999999</v>
      </c>
      <c r="AA3639" s="43"/>
      <c r="AB3639" s="43">
        <v>0.25</v>
      </c>
      <c r="AC3639" s="43">
        <v>8.1000000000000003E-2</v>
      </c>
      <c r="AJ3639" s="13">
        <f t="shared" ref="AJ3639:AJ3640" si="329">SUBTOTAL(9,X3639:AI3639)</f>
        <v>1.4809999999999999</v>
      </c>
      <c r="AK3639">
        <v>0</v>
      </c>
    </row>
    <row r="3640" spans="1:37" ht="19">
      <c r="A3640" s="39" t="s">
        <v>17</v>
      </c>
      <c r="B3640" s="8">
        <v>2024</v>
      </c>
      <c r="C3640" s="8" t="s">
        <v>109</v>
      </c>
      <c r="D3640" s="9" t="s">
        <v>109</v>
      </c>
      <c r="E3640" s="9" t="s">
        <v>111</v>
      </c>
      <c r="F3640" s="9" t="s">
        <v>111</v>
      </c>
      <c r="I3640" s="9" t="s">
        <v>14</v>
      </c>
      <c r="J3640" s="14" t="s">
        <v>14</v>
      </c>
      <c r="K3640" s="9" t="s">
        <v>14</v>
      </c>
      <c r="L3640" s="9" t="s">
        <v>209</v>
      </c>
      <c r="M3640" t="s">
        <v>129</v>
      </c>
      <c r="O3640" t="s">
        <v>2611</v>
      </c>
      <c r="P3640" t="s">
        <v>2611</v>
      </c>
      <c r="S3640">
        <v>446</v>
      </c>
      <c r="U3640" s="14" t="s">
        <v>77</v>
      </c>
      <c r="V3640" t="s">
        <v>1720</v>
      </c>
      <c r="X3640" s="43">
        <v>2.7</v>
      </c>
      <c r="AA3640" s="43"/>
      <c r="AB3640" s="43">
        <v>0.55000000000000004</v>
      </c>
      <c r="AC3640" s="43">
        <v>0.189</v>
      </c>
      <c r="AJ3640" s="13">
        <f t="shared" si="329"/>
        <v>3.4390000000000001</v>
      </c>
      <c r="AK3640">
        <v>0</v>
      </c>
    </row>
    <row r="3641" spans="1:37" ht="19">
      <c r="A3641" s="39" t="s">
        <v>17</v>
      </c>
      <c r="B3641" s="8">
        <v>2024</v>
      </c>
      <c r="C3641" s="8" t="s">
        <v>109</v>
      </c>
      <c r="D3641" s="9" t="s">
        <v>109</v>
      </c>
      <c r="E3641" s="9" t="s">
        <v>111</v>
      </c>
      <c r="F3641" s="9" t="s">
        <v>111</v>
      </c>
      <c r="I3641" s="9" t="s">
        <v>14</v>
      </c>
      <c r="J3641" s="14" t="s">
        <v>14</v>
      </c>
      <c r="K3641" s="9" t="s">
        <v>14</v>
      </c>
      <c r="L3641" s="9" t="s">
        <v>209</v>
      </c>
      <c r="M3641" t="s">
        <v>129</v>
      </c>
      <c r="O3641" t="s">
        <v>2611</v>
      </c>
      <c r="P3641" t="s">
        <v>2612</v>
      </c>
      <c r="S3641">
        <v>381</v>
      </c>
      <c r="U3641" t="s">
        <v>112</v>
      </c>
      <c r="V3641" t="s">
        <v>1484</v>
      </c>
      <c r="X3641" s="43">
        <v>2.85</v>
      </c>
      <c r="AA3641" s="43"/>
      <c r="AB3641" s="43">
        <v>0.15</v>
      </c>
      <c r="AC3641" s="43">
        <v>0.20250000000000001</v>
      </c>
      <c r="AK3641">
        <v>8415528</v>
      </c>
    </row>
    <row r="3642" spans="1:37" ht="19">
      <c r="A3642" s="39" t="s">
        <v>17</v>
      </c>
      <c r="B3642" s="8">
        <v>2024</v>
      </c>
      <c r="C3642" s="8" t="s">
        <v>109</v>
      </c>
      <c r="D3642" s="9" t="s">
        <v>109</v>
      </c>
      <c r="E3642" s="9" t="s">
        <v>111</v>
      </c>
      <c r="F3642" s="9" t="s">
        <v>111</v>
      </c>
      <c r="I3642" s="9" t="s">
        <v>14</v>
      </c>
      <c r="J3642" s="14" t="s">
        <v>14</v>
      </c>
      <c r="K3642" s="9" t="s">
        <v>14</v>
      </c>
      <c r="L3642" s="9" t="s">
        <v>209</v>
      </c>
      <c r="M3642" t="s">
        <v>129</v>
      </c>
      <c r="O3642" t="s">
        <v>2613</v>
      </c>
      <c r="P3642" t="s">
        <v>2614</v>
      </c>
      <c r="S3642">
        <v>858</v>
      </c>
      <c r="U3642" t="s">
        <v>112</v>
      </c>
      <c r="V3642" t="s">
        <v>1484</v>
      </c>
      <c r="X3642" s="43">
        <v>6.5</v>
      </c>
      <c r="AA3642" s="43"/>
      <c r="AB3642" s="43">
        <v>0.3</v>
      </c>
      <c r="AC3642" s="43">
        <v>0.34649999999999997</v>
      </c>
      <c r="AK3642">
        <v>18951504</v>
      </c>
    </row>
    <row r="3643" spans="1:37" ht="19">
      <c r="A3643" s="39" t="s">
        <v>17</v>
      </c>
      <c r="B3643" s="8">
        <v>2024</v>
      </c>
      <c r="C3643" s="8" t="s">
        <v>109</v>
      </c>
      <c r="D3643" s="9" t="s">
        <v>109</v>
      </c>
      <c r="E3643" s="9" t="s">
        <v>111</v>
      </c>
      <c r="F3643" s="9" t="s">
        <v>111</v>
      </c>
      <c r="I3643" s="9" t="s">
        <v>14</v>
      </c>
      <c r="J3643" s="14" t="s">
        <v>14</v>
      </c>
      <c r="K3643" s="9" t="s">
        <v>14</v>
      </c>
      <c r="L3643" s="9" t="s">
        <v>209</v>
      </c>
      <c r="M3643" t="s">
        <v>129</v>
      </c>
      <c r="O3643" t="s">
        <v>2613</v>
      </c>
      <c r="P3643" t="s">
        <v>2615</v>
      </c>
      <c r="S3643">
        <v>960</v>
      </c>
      <c r="U3643" t="s">
        <v>112</v>
      </c>
      <c r="V3643" t="s">
        <v>112</v>
      </c>
      <c r="X3643" s="43">
        <v>6.3</v>
      </c>
      <c r="AA3643" s="43"/>
      <c r="AB3643" s="43">
        <v>0.35</v>
      </c>
      <c r="AC3643" s="43">
        <v>0.32400000000000001</v>
      </c>
      <c r="AK3643">
        <v>21204480</v>
      </c>
    </row>
    <row r="3644" spans="1:37" ht="19">
      <c r="A3644" s="39" t="s">
        <v>17</v>
      </c>
      <c r="B3644" s="8">
        <v>2024</v>
      </c>
      <c r="C3644" s="8" t="s">
        <v>109</v>
      </c>
      <c r="D3644" s="9" t="s">
        <v>109</v>
      </c>
      <c r="E3644" s="9" t="s">
        <v>111</v>
      </c>
      <c r="F3644" s="9" t="s">
        <v>111</v>
      </c>
      <c r="I3644" s="9" t="s">
        <v>14</v>
      </c>
      <c r="J3644" s="14" t="s">
        <v>14</v>
      </c>
      <c r="K3644" s="9" t="s">
        <v>14</v>
      </c>
      <c r="L3644" s="9" t="s">
        <v>209</v>
      </c>
      <c r="M3644" t="s">
        <v>129</v>
      </c>
      <c r="O3644" t="s">
        <v>2616</v>
      </c>
      <c r="P3644" t="s">
        <v>2617</v>
      </c>
      <c r="S3644">
        <v>327</v>
      </c>
      <c r="U3644" t="s">
        <v>112</v>
      </c>
      <c r="V3644" t="s">
        <v>1484</v>
      </c>
      <c r="X3644" s="43">
        <v>2.0499999999999998</v>
      </c>
      <c r="AA3644" s="43"/>
      <c r="AB3644" s="43">
        <v>0.15</v>
      </c>
      <c r="AC3644" s="43">
        <v>0.108</v>
      </c>
      <c r="AK3644">
        <v>7222776</v>
      </c>
    </row>
    <row r="3645" spans="1:37" ht="19">
      <c r="A3645" s="39" t="s">
        <v>17</v>
      </c>
      <c r="B3645" s="8">
        <v>2024</v>
      </c>
      <c r="C3645" s="8" t="s">
        <v>109</v>
      </c>
      <c r="D3645" s="9" t="s">
        <v>109</v>
      </c>
      <c r="E3645" s="9" t="s">
        <v>111</v>
      </c>
      <c r="F3645" s="9" t="s">
        <v>111</v>
      </c>
      <c r="I3645" s="9" t="s">
        <v>14</v>
      </c>
      <c r="J3645" s="14" t="s">
        <v>14</v>
      </c>
      <c r="K3645" s="9" t="s">
        <v>14</v>
      </c>
      <c r="L3645" s="9" t="s">
        <v>209</v>
      </c>
      <c r="M3645" t="s">
        <v>129</v>
      </c>
      <c r="O3645" t="s">
        <v>2616</v>
      </c>
      <c r="P3645" t="s">
        <v>2396</v>
      </c>
      <c r="S3645">
        <v>320</v>
      </c>
      <c r="U3645" s="14" t="s">
        <v>77</v>
      </c>
      <c r="V3645" t="s">
        <v>1720</v>
      </c>
      <c r="X3645" s="43">
        <v>2.4500000000000002</v>
      </c>
      <c r="AA3645" s="43"/>
      <c r="AB3645" s="43">
        <v>0.5</v>
      </c>
      <c r="AC3645" s="43">
        <v>0.17549999999999999</v>
      </c>
      <c r="AJ3645" s="13">
        <f t="shared" ref="AJ3645:AJ3646" si="330">SUBTOTAL(9,X3645:AI3645)</f>
        <v>3.1255000000000002</v>
      </c>
      <c r="AK3645">
        <v>0</v>
      </c>
    </row>
    <row r="3646" spans="1:37" ht="19">
      <c r="A3646" s="39" t="s">
        <v>17</v>
      </c>
      <c r="B3646" s="8">
        <v>2024</v>
      </c>
      <c r="C3646" s="8" t="s">
        <v>109</v>
      </c>
      <c r="D3646" s="9" t="s">
        <v>109</v>
      </c>
      <c r="E3646" s="9" t="s">
        <v>111</v>
      </c>
      <c r="F3646" s="9" t="s">
        <v>111</v>
      </c>
      <c r="I3646" s="9" t="s">
        <v>14</v>
      </c>
      <c r="J3646" s="14" t="s">
        <v>14</v>
      </c>
      <c r="K3646" s="9" t="s">
        <v>14</v>
      </c>
      <c r="L3646" s="9" t="s">
        <v>209</v>
      </c>
      <c r="M3646" t="s">
        <v>129</v>
      </c>
      <c r="O3646" t="s">
        <v>2618</v>
      </c>
      <c r="P3646" t="s">
        <v>807</v>
      </c>
      <c r="S3646">
        <v>280</v>
      </c>
      <c r="U3646" s="14" t="s">
        <v>77</v>
      </c>
      <c r="V3646" t="s">
        <v>1720</v>
      </c>
      <c r="X3646" s="43">
        <v>1.85</v>
      </c>
      <c r="AA3646" s="43"/>
      <c r="AB3646" s="43">
        <v>0.5</v>
      </c>
      <c r="AC3646" s="43">
        <v>0.1215</v>
      </c>
      <c r="AJ3646" s="13">
        <f t="shared" si="330"/>
        <v>2.4715000000000003</v>
      </c>
      <c r="AK3646">
        <v>0</v>
      </c>
    </row>
    <row r="3647" spans="1:37" ht="19">
      <c r="A3647" s="39" t="s">
        <v>17</v>
      </c>
      <c r="B3647" s="8">
        <v>2024</v>
      </c>
      <c r="C3647" s="8" t="s">
        <v>109</v>
      </c>
      <c r="D3647" s="9" t="s">
        <v>109</v>
      </c>
      <c r="E3647" s="9" t="s">
        <v>111</v>
      </c>
      <c r="F3647" s="9" t="s">
        <v>111</v>
      </c>
      <c r="I3647" s="9" t="s">
        <v>14</v>
      </c>
      <c r="J3647" s="14" t="s">
        <v>14</v>
      </c>
      <c r="K3647" s="9" t="s">
        <v>14</v>
      </c>
      <c r="L3647" s="9" t="s">
        <v>209</v>
      </c>
      <c r="M3647" t="s">
        <v>129</v>
      </c>
      <c r="O3647" t="s">
        <v>2618</v>
      </c>
      <c r="P3647" t="s">
        <v>2619</v>
      </c>
      <c r="S3647">
        <v>235</v>
      </c>
      <c r="U3647" t="s">
        <v>112</v>
      </c>
      <c r="V3647" t="s">
        <v>1484</v>
      </c>
      <c r="X3647" s="43">
        <v>1.3</v>
      </c>
      <c r="AA3647" s="43"/>
      <c r="AB3647" s="43">
        <v>0.1</v>
      </c>
      <c r="AC3647" s="43">
        <v>6.3E-2</v>
      </c>
      <c r="AK3647">
        <v>5190680</v>
      </c>
    </row>
    <row r="3648" spans="1:37" ht="19">
      <c r="A3648" s="39" t="s">
        <v>17</v>
      </c>
      <c r="B3648" s="8">
        <v>2024</v>
      </c>
      <c r="C3648" s="8" t="s">
        <v>109</v>
      </c>
      <c r="D3648" s="9" t="s">
        <v>109</v>
      </c>
      <c r="E3648" s="9" t="s">
        <v>111</v>
      </c>
      <c r="F3648" s="9" t="s">
        <v>111</v>
      </c>
      <c r="I3648" s="9" t="s">
        <v>14</v>
      </c>
      <c r="J3648" s="14" t="s">
        <v>14</v>
      </c>
      <c r="K3648" s="9" t="s">
        <v>14</v>
      </c>
      <c r="L3648" s="9" t="s">
        <v>209</v>
      </c>
      <c r="M3648" t="s">
        <v>129</v>
      </c>
      <c r="O3648" t="s">
        <v>2620</v>
      </c>
      <c r="P3648" t="s">
        <v>2621</v>
      </c>
      <c r="S3648">
        <v>435</v>
      </c>
      <c r="U3648" t="s">
        <v>112</v>
      </c>
      <c r="V3648" t="s">
        <v>112</v>
      </c>
      <c r="X3648" s="43">
        <v>3.3</v>
      </c>
      <c r="AA3648" s="43"/>
      <c r="AB3648" s="43">
        <v>0.15</v>
      </c>
      <c r="AC3648" s="43">
        <v>0.23849999999999999</v>
      </c>
      <c r="AK3648">
        <v>9608280</v>
      </c>
    </row>
    <row r="3649" spans="1:37" ht="19">
      <c r="A3649" s="39" t="s">
        <v>17</v>
      </c>
      <c r="B3649" s="8">
        <v>2024</v>
      </c>
      <c r="C3649" s="8" t="s">
        <v>109</v>
      </c>
      <c r="D3649" s="9" t="s">
        <v>109</v>
      </c>
      <c r="E3649" s="9" t="s">
        <v>111</v>
      </c>
      <c r="F3649" s="9" t="s">
        <v>111</v>
      </c>
      <c r="I3649" s="9" t="s">
        <v>14</v>
      </c>
      <c r="J3649" s="14" t="s">
        <v>14</v>
      </c>
      <c r="K3649" s="9" t="s">
        <v>14</v>
      </c>
      <c r="L3649" s="9" t="s">
        <v>209</v>
      </c>
      <c r="M3649" t="s">
        <v>129</v>
      </c>
      <c r="O3649" t="s">
        <v>2620</v>
      </c>
      <c r="P3649" t="s">
        <v>2622</v>
      </c>
      <c r="S3649">
        <v>440</v>
      </c>
      <c r="U3649" t="s">
        <v>112</v>
      </c>
      <c r="V3649" t="s">
        <v>1484</v>
      </c>
      <c r="X3649" s="43">
        <v>3.4</v>
      </c>
      <c r="AA3649" s="43"/>
      <c r="AB3649" s="43">
        <v>0.15</v>
      </c>
      <c r="AC3649" s="43">
        <v>0.24299999999999999</v>
      </c>
      <c r="AK3649">
        <v>9718720</v>
      </c>
    </row>
    <row r="3650" spans="1:37" ht="19">
      <c r="A3650" s="39" t="s">
        <v>17</v>
      </c>
      <c r="B3650" s="8">
        <v>2024</v>
      </c>
      <c r="C3650" s="8" t="s">
        <v>109</v>
      </c>
      <c r="D3650" s="9" t="s">
        <v>109</v>
      </c>
      <c r="E3650" s="9" t="s">
        <v>111</v>
      </c>
      <c r="F3650" s="9" t="s">
        <v>111</v>
      </c>
      <c r="I3650" s="9" t="s">
        <v>14</v>
      </c>
      <c r="J3650" s="14" t="s">
        <v>14</v>
      </c>
      <c r="K3650" s="9" t="s">
        <v>14</v>
      </c>
      <c r="L3650" s="9" t="s">
        <v>209</v>
      </c>
      <c r="M3650" t="s">
        <v>128</v>
      </c>
      <c r="O3650" t="s">
        <v>2623</v>
      </c>
      <c r="P3650" t="s">
        <v>2624</v>
      </c>
      <c r="S3650">
        <v>69</v>
      </c>
      <c r="U3650" t="s">
        <v>112</v>
      </c>
      <c r="V3650" t="s">
        <v>112</v>
      </c>
      <c r="X3650" s="43">
        <v>0.55000000000000004</v>
      </c>
      <c r="AA3650" s="43"/>
      <c r="AB3650" s="43">
        <v>0.05</v>
      </c>
      <c r="AC3650" s="43">
        <v>3.5999999999999997E-2</v>
      </c>
      <c r="AK3650">
        <v>1524072</v>
      </c>
    </row>
    <row r="3651" spans="1:37" ht="19">
      <c r="A3651" s="39" t="s">
        <v>17</v>
      </c>
      <c r="B3651" s="8">
        <v>2024</v>
      </c>
      <c r="C3651" s="8" t="s">
        <v>109</v>
      </c>
      <c r="D3651" s="9" t="s">
        <v>109</v>
      </c>
      <c r="E3651" s="9" t="s">
        <v>111</v>
      </c>
      <c r="F3651" s="9" t="s">
        <v>111</v>
      </c>
      <c r="I3651" s="9" t="s">
        <v>14</v>
      </c>
      <c r="J3651" s="14" t="s">
        <v>14</v>
      </c>
      <c r="K3651" s="9" t="s">
        <v>14</v>
      </c>
      <c r="L3651" s="9" t="s">
        <v>209</v>
      </c>
      <c r="M3651" t="s">
        <v>128</v>
      </c>
      <c r="O3651" t="s">
        <v>2625</v>
      </c>
      <c r="P3651" t="s">
        <v>2625</v>
      </c>
      <c r="S3651">
        <v>1077</v>
      </c>
      <c r="U3651" t="s">
        <v>112</v>
      </c>
      <c r="V3651" t="s">
        <v>112</v>
      </c>
      <c r="X3651" s="43">
        <v>7.15</v>
      </c>
      <c r="AA3651" s="43"/>
      <c r="AB3651" s="43">
        <v>0.4</v>
      </c>
      <c r="AC3651" s="43">
        <v>0.38700000000000001</v>
      </c>
      <c r="AK3651">
        <v>23788776</v>
      </c>
    </row>
    <row r="3652" spans="1:37" ht="19">
      <c r="A3652" s="39" t="s">
        <v>17</v>
      </c>
      <c r="B3652" s="8">
        <v>2024</v>
      </c>
      <c r="C3652" s="8" t="s">
        <v>109</v>
      </c>
      <c r="D3652" s="9" t="s">
        <v>109</v>
      </c>
      <c r="E3652" s="9" t="s">
        <v>111</v>
      </c>
      <c r="F3652" s="9" t="s">
        <v>111</v>
      </c>
      <c r="I3652" s="9" t="s">
        <v>14</v>
      </c>
      <c r="J3652" s="14" t="s">
        <v>14</v>
      </c>
      <c r="K3652" s="9" t="s">
        <v>14</v>
      </c>
      <c r="L3652" s="9" t="s">
        <v>209</v>
      </c>
      <c r="M3652" t="s">
        <v>128</v>
      </c>
      <c r="O3652" t="s">
        <v>2626</v>
      </c>
      <c r="P3652" t="s">
        <v>2627</v>
      </c>
      <c r="S3652">
        <v>1352</v>
      </c>
      <c r="U3652" s="14" t="s">
        <v>77</v>
      </c>
      <c r="V3652" t="s">
        <v>1720</v>
      </c>
      <c r="X3652" s="43">
        <v>9.9</v>
      </c>
      <c r="AA3652" s="43"/>
      <c r="AB3652" s="43">
        <v>2.1</v>
      </c>
      <c r="AC3652" s="43">
        <v>0.70650000000000002</v>
      </c>
      <c r="AJ3652" s="13">
        <f>SUBTOTAL(9,X3652:AI3652)</f>
        <v>12.7065</v>
      </c>
      <c r="AK3652">
        <v>0</v>
      </c>
    </row>
    <row r="3653" spans="1:37" ht="19">
      <c r="A3653" s="39" t="s">
        <v>17</v>
      </c>
      <c r="B3653" s="8">
        <v>2024</v>
      </c>
      <c r="C3653" s="8" t="s">
        <v>109</v>
      </c>
      <c r="D3653" s="9" t="s">
        <v>109</v>
      </c>
      <c r="E3653" s="9" t="s">
        <v>111</v>
      </c>
      <c r="F3653" s="9" t="s">
        <v>111</v>
      </c>
      <c r="I3653" s="9" t="s">
        <v>14</v>
      </c>
      <c r="J3653" s="14" t="s">
        <v>14</v>
      </c>
      <c r="K3653" s="9" t="s">
        <v>14</v>
      </c>
      <c r="L3653" s="9" t="s">
        <v>209</v>
      </c>
      <c r="M3653" t="s">
        <v>128</v>
      </c>
      <c r="O3653" t="s">
        <v>2625</v>
      </c>
      <c r="P3653" t="s">
        <v>2628</v>
      </c>
      <c r="S3653">
        <v>529</v>
      </c>
      <c r="U3653" t="s">
        <v>112</v>
      </c>
      <c r="V3653" t="s">
        <v>1484</v>
      </c>
      <c r="X3653" s="43">
        <v>4.05</v>
      </c>
      <c r="AA3653" s="43"/>
      <c r="AB3653" s="43">
        <v>0.2</v>
      </c>
      <c r="AC3653" s="43">
        <v>0.29249999999999998</v>
      </c>
      <c r="AK3653">
        <v>11684552</v>
      </c>
    </row>
    <row r="3654" spans="1:37" ht="19">
      <c r="A3654" s="39" t="s">
        <v>17</v>
      </c>
      <c r="B3654" s="8">
        <v>2024</v>
      </c>
      <c r="C3654" s="8" t="s">
        <v>109</v>
      </c>
      <c r="D3654" s="9" t="s">
        <v>109</v>
      </c>
      <c r="E3654" s="9" t="s">
        <v>111</v>
      </c>
      <c r="F3654" s="9" t="s">
        <v>111</v>
      </c>
      <c r="I3654" s="9" t="s">
        <v>14</v>
      </c>
      <c r="J3654" s="14" t="s">
        <v>14</v>
      </c>
      <c r="K3654" s="9" t="s">
        <v>14</v>
      </c>
      <c r="L3654" s="9" t="s">
        <v>209</v>
      </c>
      <c r="M3654" t="s">
        <v>128</v>
      </c>
      <c r="O3654" t="s">
        <v>309</v>
      </c>
      <c r="P3654" t="s">
        <v>2629</v>
      </c>
      <c r="S3654">
        <v>822</v>
      </c>
      <c r="U3654" t="s">
        <v>112</v>
      </c>
      <c r="V3654" t="s">
        <v>112</v>
      </c>
      <c r="X3654" s="43">
        <v>5</v>
      </c>
      <c r="AA3654" s="43"/>
      <c r="AB3654" s="43">
        <v>0.3</v>
      </c>
      <c r="AC3654" s="43">
        <v>0.35549999999999998</v>
      </c>
      <c r="AK3654">
        <v>18155136</v>
      </c>
    </row>
    <row r="3655" spans="1:37" ht="19">
      <c r="A3655" s="39" t="s">
        <v>17</v>
      </c>
      <c r="B3655" s="8">
        <v>2024</v>
      </c>
      <c r="C3655" s="8" t="s">
        <v>109</v>
      </c>
      <c r="D3655" s="9" t="s">
        <v>109</v>
      </c>
      <c r="E3655" s="9" t="s">
        <v>111</v>
      </c>
      <c r="F3655" s="9" t="s">
        <v>111</v>
      </c>
      <c r="I3655" s="9" t="s">
        <v>14</v>
      </c>
      <c r="J3655" s="14" t="s">
        <v>14</v>
      </c>
      <c r="K3655" s="9" t="s">
        <v>14</v>
      </c>
      <c r="L3655" s="9" t="s">
        <v>209</v>
      </c>
      <c r="M3655" t="s">
        <v>128</v>
      </c>
      <c r="O3655" t="s">
        <v>309</v>
      </c>
      <c r="P3655" t="s">
        <v>2630</v>
      </c>
      <c r="S3655">
        <v>287</v>
      </c>
      <c r="U3655" t="s">
        <v>112</v>
      </c>
      <c r="V3655" t="s">
        <v>112</v>
      </c>
      <c r="X3655" s="43">
        <v>1.6</v>
      </c>
      <c r="AA3655" s="43"/>
      <c r="AB3655" s="43">
        <v>0.1</v>
      </c>
      <c r="AC3655" s="43">
        <v>0.1125</v>
      </c>
      <c r="AK3655">
        <v>6302841</v>
      </c>
    </row>
    <row r="3656" spans="1:37" ht="19">
      <c r="A3656" s="39" t="s">
        <v>17</v>
      </c>
      <c r="B3656" s="8">
        <v>2024</v>
      </c>
      <c r="C3656" s="8" t="s">
        <v>109</v>
      </c>
      <c r="D3656" s="9" t="s">
        <v>109</v>
      </c>
      <c r="E3656" s="9" t="s">
        <v>111</v>
      </c>
      <c r="F3656" s="9" t="s">
        <v>111</v>
      </c>
      <c r="I3656" s="9" t="s">
        <v>14</v>
      </c>
      <c r="J3656" s="14" t="s">
        <v>14</v>
      </c>
      <c r="K3656" s="9" t="s">
        <v>14</v>
      </c>
      <c r="L3656" s="9" t="s">
        <v>209</v>
      </c>
      <c r="M3656" t="s">
        <v>128</v>
      </c>
      <c r="O3656" t="s">
        <v>2625</v>
      </c>
      <c r="P3656" t="s">
        <v>2631</v>
      </c>
      <c r="S3656">
        <v>586</v>
      </c>
      <c r="U3656" t="s">
        <v>112</v>
      </c>
      <c r="V3656" t="s">
        <v>112</v>
      </c>
      <c r="X3656" s="43">
        <v>4.3</v>
      </c>
      <c r="AA3656" s="43"/>
      <c r="AB3656" s="43">
        <v>0.2</v>
      </c>
      <c r="AC3656" s="43">
        <v>0.30599999999999999</v>
      </c>
      <c r="AK3656">
        <v>12932168</v>
      </c>
    </row>
    <row r="3657" spans="1:37" ht="19">
      <c r="A3657" s="39" t="s">
        <v>17</v>
      </c>
      <c r="B3657" s="8">
        <v>2024</v>
      </c>
      <c r="C3657" s="8" t="s">
        <v>109</v>
      </c>
      <c r="D3657" s="9" t="s">
        <v>109</v>
      </c>
      <c r="E3657" s="9" t="s">
        <v>111</v>
      </c>
      <c r="F3657" s="9" t="s">
        <v>111</v>
      </c>
      <c r="I3657" s="9" t="s">
        <v>14</v>
      </c>
      <c r="J3657" s="14" t="s">
        <v>14</v>
      </c>
      <c r="K3657" s="9" t="s">
        <v>14</v>
      </c>
      <c r="L3657" s="9" t="s">
        <v>209</v>
      </c>
      <c r="M3657" t="s">
        <v>128</v>
      </c>
      <c r="O3657" t="s">
        <v>2625</v>
      </c>
      <c r="P3657" t="s">
        <v>2632</v>
      </c>
      <c r="S3657">
        <v>312</v>
      </c>
      <c r="U3657" t="s">
        <v>112</v>
      </c>
      <c r="V3657" t="s">
        <v>1484</v>
      </c>
      <c r="X3657" s="43">
        <v>1.75</v>
      </c>
      <c r="AA3657" s="43"/>
      <c r="AB3657" s="43">
        <v>0.15</v>
      </c>
      <c r="AC3657" s="43">
        <v>0.17100000000000001</v>
      </c>
      <c r="AK3657">
        <v>6864456</v>
      </c>
    </row>
    <row r="3658" spans="1:37" ht="19">
      <c r="A3658" s="39" t="s">
        <v>17</v>
      </c>
      <c r="B3658" s="8">
        <v>2024</v>
      </c>
      <c r="C3658" s="8" t="s">
        <v>109</v>
      </c>
      <c r="D3658" s="9" t="s">
        <v>109</v>
      </c>
      <c r="E3658" s="9" t="s">
        <v>111</v>
      </c>
      <c r="F3658" s="9" t="s">
        <v>111</v>
      </c>
      <c r="I3658" s="9" t="s">
        <v>14</v>
      </c>
      <c r="J3658" s="14" t="s">
        <v>14</v>
      </c>
      <c r="K3658" s="9" t="s">
        <v>14</v>
      </c>
      <c r="L3658" s="9" t="s">
        <v>209</v>
      </c>
      <c r="M3658" t="s">
        <v>125</v>
      </c>
      <c r="O3658" t="s">
        <v>312</v>
      </c>
      <c r="P3658" t="s">
        <v>2633</v>
      </c>
      <c r="S3658">
        <v>477</v>
      </c>
      <c r="U3658" s="14" t="s">
        <v>77</v>
      </c>
      <c r="V3658" t="s">
        <v>1720</v>
      </c>
      <c r="X3658" s="43">
        <v>3.65</v>
      </c>
      <c r="AA3658" s="43"/>
      <c r="AB3658" s="43">
        <v>0.8</v>
      </c>
      <c r="AC3658" s="43">
        <v>0.26100000000000001</v>
      </c>
      <c r="AJ3658" s="13">
        <f>SUBTOTAL(9,X3658:AI3658)</f>
        <v>4.7110000000000003</v>
      </c>
      <c r="AK3658">
        <v>0</v>
      </c>
    </row>
    <row r="3659" spans="1:37" ht="19">
      <c r="A3659" s="39" t="s">
        <v>17</v>
      </c>
      <c r="B3659" s="8">
        <v>2024</v>
      </c>
      <c r="C3659" s="8" t="s">
        <v>109</v>
      </c>
      <c r="D3659" s="9" t="s">
        <v>109</v>
      </c>
      <c r="E3659" s="9" t="s">
        <v>111</v>
      </c>
      <c r="F3659" s="9" t="s">
        <v>111</v>
      </c>
      <c r="I3659" s="9" t="s">
        <v>14</v>
      </c>
      <c r="J3659" s="14" t="s">
        <v>14</v>
      </c>
      <c r="K3659" s="9" t="s">
        <v>14</v>
      </c>
      <c r="L3659" s="9" t="s">
        <v>209</v>
      </c>
      <c r="M3659" t="s">
        <v>125</v>
      </c>
      <c r="O3659" t="s">
        <v>312</v>
      </c>
      <c r="P3659" t="s">
        <v>2634</v>
      </c>
      <c r="S3659">
        <v>408</v>
      </c>
      <c r="U3659" t="s">
        <v>112</v>
      </c>
      <c r="V3659" t="s">
        <v>1484</v>
      </c>
      <c r="X3659" s="43">
        <v>2.25</v>
      </c>
      <c r="AA3659" s="43"/>
      <c r="AB3659" s="43">
        <v>0.15</v>
      </c>
      <c r="AC3659" s="43">
        <v>0.1575</v>
      </c>
      <c r="AK3659">
        <v>9011904</v>
      </c>
    </row>
    <row r="3660" spans="1:37" ht="19">
      <c r="A3660" s="39" t="s">
        <v>17</v>
      </c>
      <c r="B3660" s="8">
        <v>2024</v>
      </c>
      <c r="C3660" s="8" t="s">
        <v>109</v>
      </c>
      <c r="D3660" s="9" t="s">
        <v>109</v>
      </c>
      <c r="E3660" s="9" t="s">
        <v>111</v>
      </c>
      <c r="F3660" s="9" t="s">
        <v>111</v>
      </c>
      <c r="I3660" s="9" t="s">
        <v>14</v>
      </c>
      <c r="J3660" s="14" t="s">
        <v>14</v>
      </c>
      <c r="K3660" s="9" t="s">
        <v>14</v>
      </c>
      <c r="L3660" s="9" t="s">
        <v>209</v>
      </c>
      <c r="M3660" t="s">
        <v>125</v>
      </c>
      <c r="O3660" t="s">
        <v>312</v>
      </c>
      <c r="P3660" t="s">
        <v>2635</v>
      </c>
      <c r="S3660">
        <v>355</v>
      </c>
      <c r="U3660" t="s">
        <v>112</v>
      </c>
      <c r="V3660" t="s">
        <v>1484</v>
      </c>
      <c r="X3660" s="43">
        <v>2</v>
      </c>
      <c r="AA3660" s="43"/>
      <c r="AB3660" s="43">
        <v>0.15</v>
      </c>
      <c r="AC3660" s="43">
        <v>0.13950000000000001</v>
      </c>
      <c r="AK3660">
        <v>7841240</v>
      </c>
    </row>
    <row r="3661" spans="1:37" ht="19">
      <c r="A3661" s="39" t="s">
        <v>17</v>
      </c>
      <c r="B3661" s="8">
        <v>2024</v>
      </c>
      <c r="C3661" s="8" t="s">
        <v>109</v>
      </c>
      <c r="D3661" s="9" t="s">
        <v>109</v>
      </c>
      <c r="E3661" s="9" t="s">
        <v>111</v>
      </c>
      <c r="F3661" s="9" t="s">
        <v>111</v>
      </c>
      <c r="I3661" s="9" t="s">
        <v>14</v>
      </c>
      <c r="J3661" s="14" t="s">
        <v>14</v>
      </c>
      <c r="K3661" s="9" t="s">
        <v>14</v>
      </c>
      <c r="L3661" s="9" t="s">
        <v>209</v>
      </c>
      <c r="M3661" t="s">
        <v>125</v>
      </c>
      <c r="O3661" t="s">
        <v>312</v>
      </c>
      <c r="P3661" t="s">
        <v>2636</v>
      </c>
      <c r="S3661">
        <v>276</v>
      </c>
      <c r="U3661" t="s">
        <v>112</v>
      </c>
      <c r="V3661" t="s">
        <v>1484</v>
      </c>
      <c r="X3661" s="43">
        <v>1.55</v>
      </c>
      <c r="AA3661" s="43"/>
      <c r="AB3661" s="43">
        <v>0.1</v>
      </c>
      <c r="AC3661" s="43">
        <v>0.108</v>
      </c>
      <c r="AK3661">
        <v>6096288</v>
      </c>
    </row>
    <row r="3662" spans="1:37" ht="19">
      <c r="A3662" s="39" t="s">
        <v>17</v>
      </c>
      <c r="B3662" s="8">
        <v>2024</v>
      </c>
      <c r="C3662" s="8" t="s">
        <v>109</v>
      </c>
      <c r="D3662" s="9" t="s">
        <v>109</v>
      </c>
      <c r="E3662" s="9" t="s">
        <v>111</v>
      </c>
      <c r="F3662" s="9" t="s">
        <v>111</v>
      </c>
      <c r="I3662" s="9" t="s">
        <v>14</v>
      </c>
      <c r="J3662" s="14" t="s">
        <v>14</v>
      </c>
      <c r="K3662" s="9" t="s">
        <v>14</v>
      </c>
      <c r="L3662" s="9" t="s">
        <v>209</v>
      </c>
      <c r="M3662" t="s">
        <v>125</v>
      </c>
      <c r="O3662" t="s">
        <v>312</v>
      </c>
      <c r="P3662" t="s">
        <v>2637</v>
      </c>
      <c r="S3662">
        <v>313</v>
      </c>
      <c r="U3662" t="s">
        <v>112</v>
      </c>
      <c r="V3662" t="s">
        <v>1484</v>
      </c>
      <c r="X3662" s="43">
        <v>1.7</v>
      </c>
      <c r="AA3662" s="43"/>
      <c r="AB3662" s="43">
        <v>0.15</v>
      </c>
      <c r="AC3662" s="43">
        <v>0.126</v>
      </c>
      <c r="AK3662">
        <v>6913544</v>
      </c>
    </row>
    <row r="3663" spans="1:37" ht="19">
      <c r="A3663" s="39" t="s">
        <v>17</v>
      </c>
      <c r="B3663" s="8">
        <v>2024</v>
      </c>
      <c r="C3663" s="8" t="s">
        <v>109</v>
      </c>
      <c r="D3663" s="9" t="s">
        <v>109</v>
      </c>
      <c r="E3663" s="9" t="s">
        <v>111</v>
      </c>
      <c r="F3663" s="9" t="s">
        <v>111</v>
      </c>
      <c r="I3663" s="9" t="s">
        <v>14</v>
      </c>
      <c r="J3663" s="14" t="s">
        <v>14</v>
      </c>
      <c r="K3663" s="9" t="s">
        <v>14</v>
      </c>
      <c r="L3663" s="9" t="s">
        <v>209</v>
      </c>
      <c r="M3663" t="s">
        <v>125</v>
      </c>
      <c r="O3663" t="s">
        <v>312</v>
      </c>
      <c r="P3663" t="s">
        <v>2638</v>
      </c>
      <c r="S3663">
        <v>299</v>
      </c>
      <c r="U3663" t="s">
        <v>112</v>
      </c>
      <c r="V3663" t="s">
        <v>1484</v>
      </c>
      <c r="X3663" s="43">
        <v>1.65</v>
      </c>
      <c r="AA3663" s="43"/>
      <c r="AB3663" s="43">
        <v>0.1</v>
      </c>
      <c r="AC3663" s="43">
        <v>0.11700000000000001</v>
      </c>
      <c r="AK3663">
        <v>6604312</v>
      </c>
    </row>
    <row r="3664" spans="1:37" ht="19">
      <c r="A3664" s="39" t="s">
        <v>17</v>
      </c>
      <c r="B3664" s="8">
        <v>2024</v>
      </c>
      <c r="C3664" s="8" t="s">
        <v>109</v>
      </c>
      <c r="D3664" s="9" t="s">
        <v>109</v>
      </c>
      <c r="E3664" s="9" t="s">
        <v>111</v>
      </c>
      <c r="F3664" s="9" t="s">
        <v>111</v>
      </c>
      <c r="I3664" s="9" t="s">
        <v>14</v>
      </c>
      <c r="J3664" s="14" t="s">
        <v>14</v>
      </c>
      <c r="K3664" s="9" t="s">
        <v>14</v>
      </c>
      <c r="L3664" s="9" t="s">
        <v>209</v>
      </c>
      <c r="M3664" t="s">
        <v>125</v>
      </c>
      <c r="O3664" t="s">
        <v>2639</v>
      </c>
      <c r="P3664" t="s">
        <v>2640</v>
      </c>
      <c r="S3664">
        <v>609</v>
      </c>
      <c r="U3664" s="14" t="s">
        <v>77</v>
      </c>
      <c r="V3664" t="s">
        <v>1720</v>
      </c>
      <c r="X3664" s="43">
        <v>4.25</v>
      </c>
      <c r="AA3664" s="43"/>
      <c r="AB3664" s="43">
        <v>0.95</v>
      </c>
      <c r="AC3664" s="43">
        <v>0.33300000000000002</v>
      </c>
      <c r="AJ3664" s="13">
        <f t="shared" ref="AJ3664:AJ3665" si="331">SUBTOTAL(9,X3664:AI3664)</f>
        <v>5.5330000000000004</v>
      </c>
      <c r="AK3664">
        <v>0</v>
      </c>
    </row>
    <row r="3665" spans="1:37" ht="19">
      <c r="A3665" s="39" t="s">
        <v>17</v>
      </c>
      <c r="B3665" s="8">
        <v>2024</v>
      </c>
      <c r="C3665" s="8" t="s">
        <v>109</v>
      </c>
      <c r="D3665" s="9" t="s">
        <v>109</v>
      </c>
      <c r="E3665" s="9" t="s">
        <v>111</v>
      </c>
      <c r="F3665" s="9" t="s">
        <v>111</v>
      </c>
      <c r="I3665" s="9" t="s">
        <v>14</v>
      </c>
      <c r="J3665" s="14" t="s">
        <v>14</v>
      </c>
      <c r="K3665" s="9" t="s">
        <v>14</v>
      </c>
      <c r="L3665" s="9" t="s">
        <v>209</v>
      </c>
      <c r="M3665" t="s">
        <v>125</v>
      </c>
      <c r="O3665" t="s">
        <v>2639</v>
      </c>
      <c r="P3665" t="s">
        <v>2641</v>
      </c>
      <c r="S3665">
        <v>601</v>
      </c>
      <c r="U3665" s="14" t="s">
        <v>77</v>
      </c>
      <c r="V3665" t="s">
        <v>1720</v>
      </c>
      <c r="X3665" s="43">
        <v>3.55</v>
      </c>
      <c r="AA3665" s="43"/>
      <c r="AB3665" s="43">
        <v>0.75</v>
      </c>
      <c r="AC3665" s="43">
        <v>0.32850000000000001</v>
      </c>
      <c r="AJ3665" s="13">
        <f t="shared" si="331"/>
        <v>4.6284999999999998</v>
      </c>
      <c r="AK3665">
        <v>0</v>
      </c>
    </row>
    <row r="3666" spans="1:37" ht="19">
      <c r="A3666" s="39" t="s">
        <v>17</v>
      </c>
      <c r="B3666" s="8">
        <v>2024</v>
      </c>
      <c r="C3666" s="8" t="s">
        <v>109</v>
      </c>
      <c r="D3666" s="9" t="s">
        <v>109</v>
      </c>
      <c r="E3666" s="9" t="s">
        <v>111</v>
      </c>
      <c r="F3666" s="9" t="s">
        <v>111</v>
      </c>
      <c r="I3666" s="9" t="s">
        <v>14</v>
      </c>
      <c r="J3666" s="14" t="s">
        <v>14</v>
      </c>
      <c r="K3666" s="9" t="s">
        <v>14</v>
      </c>
      <c r="L3666" s="9" t="s">
        <v>209</v>
      </c>
      <c r="M3666" t="s">
        <v>125</v>
      </c>
      <c r="O3666" t="s">
        <v>2639</v>
      </c>
      <c r="P3666" t="s">
        <v>2642</v>
      </c>
      <c r="S3666">
        <v>424</v>
      </c>
      <c r="U3666" t="s">
        <v>112</v>
      </c>
      <c r="V3666" t="s">
        <v>1484</v>
      </c>
      <c r="X3666" s="43">
        <v>3.25</v>
      </c>
      <c r="AA3666" s="43"/>
      <c r="AB3666" s="43">
        <v>0.15</v>
      </c>
      <c r="AC3666" s="43">
        <v>0.23400000000000001</v>
      </c>
      <c r="AK3666">
        <v>9365312</v>
      </c>
    </row>
    <row r="3667" spans="1:37" ht="19">
      <c r="A3667" s="39" t="s">
        <v>17</v>
      </c>
      <c r="B3667" s="8">
        <v>2024</v>
      </c>
      <c r="C3667" s="8" t="s">
        <v>109</v>
      </c>
      <c r="D3667" s="9" t="s">
        <v>109</v>
      </c>
      <c r="E3667" s="9" t="s">
        <v>111</v>
      </c>
      <c r="F3667" s="9" t="s">
        <v>111</v>
      </c>
      <c r="I3667" s="9" t="s">
        <v>14</v>
      </c>
      <c r="J3667" s="14" t="s">
        <v>14</v>
      </c>
      <c r="K3667" s="9" t="s">
        <v>14</v>
      </c>
      <c r="L3667" s="9" t="s">
        <v>209</v>
      </c>
      <c r="M3667" t="s">
        <v>125</v>
      </c>
      <c r="O3667" t="s">
        <v>500</v>
      </c>
      <c r="P3667" t="s">
        <v>2643</v>
      </c>
      <c r="S3667">
        <v>380</v>
      </c>
      <c r="U3667" t="s">
        <v>112</v>
      </c>
      <c r="V3667" t="s">
        <v>1484</v>
      </c>
      <c r="X3667" s="43">
        <v>2.95</v>
      </c>
      <c r="AA3667" s="43"/>
      <c r="AB3667" s="43">
        <v>0.15</v>
      </c>
      <c r="AC3667" s="43">
        <v>0.20699999999999999</v>
      </c>
      <c r="AK3667">
        <v>8368940</v>
      </c>
    </row>
    <row r="3668" spans="1:37" ht="19">
      <c r="A3668" s="39" t="s">
        <v>17</v>
      </c>
      <c r="B3668" s="8">
        <v>2024</v>
      </c>
      <c r="C3668" s="8" t="s">
        <v>109</v>
      </c>
      <c r="D3668" s="9" t="s">
        <v>109</v>
      </c>
      <c r="E3668" s="9" t="s">
        <v>111</v>
      </c>
      <c r="F3668" s="9" t="s">
        <v>111</v>
      </c>
      <c r="I3668" s="9" t="s">
        <v>14</v>
      </c>
      <c r="J3668" s="14" t="s">
        <v>14</v>
      </c>
      <c r="K3668" s="9" t="s">
        <v>14</v>
      </c>
      <c r="L3668" s="9" t="s">
        <v>209</v>
      </c>
      <c r="M3668" t="s">
        <v>125</v>
      </c>
      <c r="O3668" t="s">
        <v>2442</v>
      </c>
      <c r="P3668" t="s">
        <v>2644</v>
      </c>
      <c r="S3668">
        <v>379</v>
      </c>
      <c r="U3668" t="s">
        <v>112</v>
      </c>
      <c r="V3668" t="s">
        <v>1484</v>
      </c>
      <c r="X3668" s="43">
        <v>2.1</v>
      </c>
      <c r="AA3668" s="43"/>
      <c r="AB3668" s="43">
        <v>0.15</v>
      </c>
      <c r="AC3668" s="43">
        <v>0.153</v>
      </c>
      <c r="AK3668">
        <v>8371352</v>
      </c>
    </row>
    <row r="3669" spans="1:37" ht="19">
      <c r="A3669" s="39" t="s">
        <v>17</v>
      </c>
      <c r="B3669" s="8">
        <v>2024</v>
      </c>
      <c r="C3669" s="8" t="s">
        <v>109</v>
      </c>
      <c r="D3669" s="9" t="s">
        <v>109</v>
      </c>
      <c r="E3669" s="9" t="s">
        <v>111</v>
      </c>
      <c r="F3669" s="9" t="s">
        <v>111</v>
      </c>
      <c r="I3669" s="9" t="s">
        <v>14</v>
      </c>
      <c r="J3669" s="14" t="s">
        <v>14</v>
      </c>
      <c r="K3669" s="9" t="s">
        <v>14</v>
      </c>
      <c r="L3669" s="9" t="s">
        <v>209</v>
      </c>
      <c r="M3669" t="s">
        <v>125</v>
      </c>
      <c r="O3669" t="s">
        <v>2645</v>
      </c>
      <c r="P3669" t="s">
        <v>2646</v>
      </c>
      <c r="S3669">
        <v>586</v>
      </c>
      <c r="U3669" s="14" t="s">
        <v>77</v>
      </c>
      <c r="V3669" t="s">
        <v>1720</v>
      </c>
      <c r="X3669" s="43">
        <v>4.5</v>
      </c>
      <c r="AA3669" s="43"/>
      <c r="AB3669" s="43">
        <v>0.6</v>
      </c>
      <c r="AC3669" s="43">
        <v>0.32400000000000001</v>
      </c>
      <c r="AJ3669" s="13">
        <f>SUBTOTAL(9,X3669:AI3669)</f>
        <v>5.4239999999999995</v>
      </c>
      <c r="AK3669">
        <v>0</v>
      </c>
    </row>
    <row r="3670" spans="1:37" ht="19">
      <c r="A3670" s="39" t="s">
        <v>17</v>
      </c>
      <c r="B3670" s="8">
        <v>2024</v>
      </c>
      <c r="C3670" s="8" t="s">
        <v>109</v>
      </c>
      <c r="D3670" s="9" t="s">
        <v>109</v>
      </c>
      <c r="E3670" s="9" t="s">
        <v>111</v>
      </c>
      <c r="F3670" s="9" t="s">
        <v>111</v>
      </c>
      <c r="I3670" s="9" t="s">
        <v>14</v>
      </c>
      <c r="J3670" s="14" t="s">
        <v>14</v>
      </c>
      <c r="K3670" s="9" t="s">
        <v>14</v>
      </c>
      <c r="L3670" s="9" t="s">
        <v>209</v>
      </c>
      <c r="M3670" t="s">
        <v>125</v>
      </c>
      <c r="O3670" t="s">
        <v>2647</v>
      </c>
      <c r="P3670" t="s">
        <v>2648</v>
      </c>
      <c r="S3670">
        <v>479</v>
      </c>
      <c r="U3670" t="s">
        <v>112</v>
      </c>
      <c r="V3670" t="s">
        <v>1484</v>
      </c>
      <c r="X3670" s="43">
        <v>3.7</v>
      </c>
      <c r="AA3670" s="43"/>
      <c r="AB3670" s="43">
        <v>0.2</v>
      </c>
      <c r="AC3670" s="43">
        <v>0.26550000000000001</v>
      </c>
      <c r="AK3670">
        <v>10545152</v>
      </c>
    </row>
    <row r="3671" spans="1:37" ht="19">
      <c r="A3671" s="39" t="s">
        <v>17</v>
      </c>
      <c r="B3671" s="8">
        <v>2024</v>
      </c>
      <c r="C3671" s="8" t="s">
        <v>109</v>
      </c>
      <c r="D3671" s="9" t="s">
        <v>109</v>
      </c>
      <c r="E3671" s="9" t="s">
        <v>111</v>
      </c>
      <c r="F3671" s="9" t="s">
        <v>111</v>
      </c>
      <c r="I3671" s="9" t="s">
        <v>14</v>
      </c>
      <c r="J3671" s="14" t="s">
        <v>14</v>
      </c>
      <c r="K3671" s="9" t="s">
        <v>14</v>
      </c>
      <c r="L3671" s="9" t="s">
        <v>209</v>
      </c>
      <c r="M3671" t="s">
        <v>125</v>
      </c>
      <c r="O3671" t="s">
        <v>2647</v>
      </c>
      <c r="P3671" t="s">
        <v>2649</v>
      </c>
      <c r="S3671">
        <v>365</v>
      </c>
      <c r="U3671" t="s">
        <v>112</v>
      </c>
      <c r="V3671" t="s">
        <v>1484</v>
      </c>
      <c r="X3671" s="43">
        <v>2.1</v>
      </c>
      <c r="AA3671" s="43"/>
      <c r="AB3671" s="43">
        <v>0.15</v>
      </c>
      <c r="AC3671" s="43">
        <v>0.1845</v>
      </c>
      <c r="AK3671">
        <v>8062120</v>
      </c>
    </row>
    <row r="3672" spans="1:37" ht="19">
      <c r="A3672" s="39" t="s">
        <v>17</v>
      </c>
      <c r="B3672" s="8">
        <v>2024</v>
      </c>
      <c r="C3672" s="8" t="s">
        <v>109</v>
      </c>
      <c r="D3672" s="9" t="s">
        <v>109</v>
      </c>
      <c r="E3672" s="9" t="s">
        <v>111</v>
      </c>
      <c r="F3672" s="9" t="s">
        <v>111</v>
      </c>
      <c r="I3672" s="9" t="s">
        <v>14</v>
      </c>
      <c r="J3672" s="14" t="s">
        <v>14</v>
      </c>
      <c r="K3672" s="9" t="s">
        <v>14</v>
      </c>
      <c r="L3672" s="9" t="s">
        <v>209</v>
      </c>
      <c r="M3672" t="s">
        <v>125</v>
      </c>
      <c r="O3672" t="s">
        <v>2650</v>
      </c>
      <c r="P3672" t="s">
        <v>2651</v>
      </c>
      <c r="S3672">
        <v>262</v>
      </c>
      <c r="U3672" t="s">
        <v>112</v>
      </c>
      <c r="V3672" t="s">
        <v>1484</v>
      </c>
      <c r="X3672" s="43">
        <v>1.5</v>
      </c>
      <c r="AA3672" s="43"/>
      <c r="AB3672" s="43">
        <v>0.1</v>
      </c>
      <c r="AC3672" s="43">
        <v>0.108</v>
      </c>
      <c r="AK3672">
        <v>5787056</v>
      </c>
    </row>
    <row r="3673" spans="1:37" ht="19">
      <c r="A3673" s="39" t="s">
        <v>17</v>
      </c>
      <c r="B3673" s="8">
        <v>2024</v>
      </c>
      <c r="C3673" s="8" t="s">
        <v>109</v>
      </c>
      <c r="D3673" s="9" t="s">
        <v>109</v>
      </c>
      <c r="E3673" s="9" t="s">
        <v>111</v>
      </c>
      <c r="F3673" s="9" t="s">
        <v>111</v>
      </c>
      <c r="I3673" s="9" t="s">
        <v>14</v>
      </c>
      <c r="J3673" s="14" t="s">
        <v>14</v>
      </c>
      <c r="K3673" s="9" t="s">
        <v>14</v>
      </c>
      <c r="L3673" s="9" t="s">
        <v>209</v>
      </c>
      <c r="M3673" t="s">
        <v>125</v>
      </c>
      <c r="O3673" t="s">
        <v>2652</v>
      </c>
      <c r="P3673" t="s">
        <v>1556</v>
      </c>
      <c r="S3673">
        <v>133</v>
      </c>
      <c r="U3673" t="s">
        <v>112</v>
      </c>
      <c r="V3673" t="s">
        <v>1484</v>
      </c>
      <c r="X3673" s="43">
        <v>0.8</v>
      </c>
      <c r="AA3673" s="43"/>
      <c r="AB3673" s="43">
        <v>0.05</v>
      </c>
      <c r="AC3673" s="43">
        <v>5.8500000000000003E-2</v>
      </c>
      <c r="AK3673">
        <v>2937704</v>
      </c>
    </row>
    <row r="3674" spans="1:37" ht="19">
      <c r="A3674" s="39" t="s">
        <v>17</v>
      </c>
      <c r="B3674" s="8">
        <v>2024</v>
      </c>
      <c r="C3674" s="8" t="s">
        <v>109</v>
      </c>
      <c r="D3674" s="9" t="s">
        <v>109</v>
      </c>
      <c r="E3674" s="9" t="s">
        <v>111</v>
      </c>
      <c r="F3674" s="9" t="s">
        <v>111</v>
      </c>
      <c r="I3674" s="9" t="s">
        <v>14</v>
      </c>
      <c r="J3674" s="14" t="s">
        <v>14</v>
      </c>
      <c r="K3674" s="9" t="s">
        <v>14</v>
      </c>
      <c r="L3674" s="9" t="s">
        <v>209</v>
      </c>
      <c r="M3674" t="s">
        <v>125</v>
      </c>
      <c r="O3674" t="s">
        <v>2652</v>
      </c>
      <c r="P3674" t="s">
        <v>2653</v>
      </c>
      <c r="S3674">
        <v>150</v>
      </c>
      <c r="U3674" t="s">
        <v>112</v>
      </c>
      <c r="V3674" t="s">
        <v>1484</v>
      </c>
      <c r="X3674" s="43">
        <v>0.9</v>
      </c>
      <c r="AA3674" s="43"/>
      <c r="AB3674" s="43">
        <v>0.05</v>
      </c>
      <c r="AC3674" s="43">
        <v>6.3E-2</v>
      </c>
      <c r="AK3674">
        <v>3313200</v>
      </c>
    </row>
    <row r="3675" spans="1:37" ht="19">
      <c r="A3675" s="39" t="s">
        <v>17</v>
      </c>
      <c r="B3675" s="8">
        <v>2024</v>
      </c>
      <c r="C3675" s="8" t="s">
        <v>109</v>
      </c>
      <c r="D3675" s="9" t="s">
        <v>109</v>
      </c>
      <c r="E3675" s="9" t="s">
        <v>111</v>
      </c>
      <c r="F3675" s="9" t="s">
        <v>111</v>
      </c>
      <c r="I3675" s="9" t="s">
        <v>14</v>
      </c>
      <c r="J3675" s="14" t="s">
        <v>14</v>
      </c>
      <c r="K3675" s="9" t="s">
        <v>14</v>
      </c>
      <c r="L3675" s="9" t="s">
        <v>209</v>
      </c>
      <c r="M3675" t="s">
        <v>125</v>
      </c>
      <c r="O3675" t="s">
        <v>2650</v>
      </c>
      <c r="P3675" t="s">
        <v>2654</v>
      </c>
      <c r="S3675">
        <v>431</v>
      </c>
      <c r="U3675" t="s">
        <v>112</v>
      </c>
      <c r="V3675" t="s">
        <v>1484</v>
      </c>
      <c r="X3675" s="43">
        <v>3.3</v>
      </c>
      <c r="AA3675" s="43"/>
      <c r="AB3675" s="43">
        <v>0.15</v>
      </c>
      <c r="AC3675" s="43">
        <v>0.23849999999999999</v>
      </c>
      <c r="AK3675">
        <v>9519928</v>
      </c>
    </row>
    <row r="3676" spans="1:37" ht="19">
      <c r="A3676" s="39" t="s">
        <v>17</v>
      </c>
      <c r="B3676" s="8">
        <v>2024</v>
      </c>
      <c r="C3676" s="8" t="s">
        <v>109</v>
      </c>
      <c r="D3676" s="9" t="s">
        <v>109</v>
      </c>
      <c r="E3676" s="9" t="s">
        <v>111</v>
      </c>
      <c r="F3676" s="9" t="s">
        <v>111</v>
      </c>
      <c r="I3676" s="9" t="s">
        <v>14</v>
      </c>
      <c r="J3676" s="14" t="s">
        <v>14</v>
      </c>
      <c r="K3676" s="9" t="s">
        <v>14</v>
      </c>
      <c r="L3676" s="9" t="s">
        <v>209</v>
      </c>
      <c r="M3676" t="s">
        <v>125</v>
      </c>
      <c r="O3676" t="s">
        <v>2650</v>
      </c>
      <c r="P3676" t="s">
        <v>2655</v>
      </c>
      <c r="S3676">
        <v>266</v>
      </c>
      <c r="U3676" t="s">
        <v>112</v>
      </c>
      <c r="V3676" t="s">
        <v>1484</v>
      </c>
      <c r="X3676" s="43">
        <v>2.0499999999999998</v>
      </c>
      <c r="AA3676" s="43"/>
      <c r="AB3676" s="43">
        <v>0.1</v>
      </c>
      <c r="AC3676" s="43">
        <v>0.14849999999999999</v>
      </c>
      <c r="AK3676">
        <v>5875408</v>
      </c>
    </row>
    <row r="3677" spans="1:37" ht="19">
      <c r="A3677" s="39" t="s">
        <v>17</v>
      </c>
      <c r="B3677" s="8">
        <v>2024</v>
      </c>
      <c r="C3677" s="8" t="s">
        <v>109</v>
      </c>
      <c r="D3677" s="9" t="s">
        <v>109</v>
      </c>
      <c r="E3677" s="9" t="s">
        <v>111</v>
      </c>
      <c r="F3677" s="9" t="s">
        <v>111</v>
      </c>
      <c r="I3677" s="9" t="s">
        <v>14</v>
      </c>
      <c r="J3677" s="14" t="s">
        <v>14</v>
      </c>
      <c r="K3677" s="9" t="s">
        <v>14</v>
      </c>
      <c r="L3677" s="9" t="s">
        <v>209</v>
      </c>
      <c r="M3677" t="s">
        <v>125</v>
      </c>
      <c r="O3677" t="s">
        <v>2650</v>
      </c>
      <c r="P3677" t="s">
        <v>2656</v>
      </c>
      <c r="S3677">
        <v>501</v>
      </c>
      <c r="U3677" t="s">
        <v>112</v>
      </c>
      <c r="V3677" t="s">
        <v>1484</v>
      </c>
      <c r="X3677" s="43">
        <v>3.05</v>
      </c>
      <c r="AA3677" s="43"/>
      <c r="AB3677" s="43">
        <v>0.2</v>
      </c>
      <c r="AC3677" s="43">
        <v>0.2205</v>
      </c>
      <c r="AK3677">
        <v>11066088</v>
      </c>
    </row>
    <row r="3678" spans="1:37" ht="19">
      <c r="A3678" s="39" t="s">
        <v>17</v>
      </c>
      <c r="B3678" s="8">
        <v>2024</v>
      </c>
      <c r="C3678" s="8" t="s">
        <v>109</v>
      </c>
      <c r="D3678" s="9" t="s">
        <v>109</v>
      </c>
      <c r="E3678" s="9" t="s">
        <v>111</v>
      </c>
      <c r="F3678" s="9" t="s">
        <v>111</v>
      </c>
      <c r="I3678" s="9" t="s">
        <v>14</v>
      </c>
      <c r="J3678" s="14" t="s">
        <v>14</v>
      </c>
      <c r="K3678" s="9" t="s">
        <v>14</v>
      </c>
      <c r="L3678" s="9" t="s">
        <v>209</v>
      </c>
      <c r="M3678" t="s">
        <v>125</v>
      </c>
      <c r="O3678" t="s">
        <v>2650</v>
      </c>
      <c r="P3678" t="s">
        <v>2657</v>
      </c>
      <c r="S3678">
        <v>281</v>
      </c>
      <c r="U3678" t="s">
        <v>112</v>
      </c>
      <c r="V3678" t="s">
        <v>1484</v>
      </c>
      <c r="X3678" s="43">
        <v>1.95</v>
      </c>
      <c r="AA3678" s="43"/>
      <c r="AB3678" s="43">
        <v>0.1</v>
      </c>
      <c r="AC3678" s="43">
        <v>0.13950000000000001</v>
      </c>
      <c r="AK3678">
        <v>6206728</v>
      </c>
    </row>
    <row r="3679" spans="1:37" ht="19">
      <c r="A3679" s="39" t="s">
        <v>17</v>
      </c>
      <c r="B3679" s="8">
        <v>2024</v>
      </c>
      <c r="C3679" s="8" t="s">
        <v>109</v>
      </c>
      <c r="D3679" s="9" t="s">
        <v>109</v>
      </c>
      <c r="E3679" s="9" t="s">
        <v>111</v>
      </c>
      <c r="F3679" s="9" t="s">
        <v>111</v>
      </c>
      <c r="I3679" s="9" t="s">
        <v>14</v>
      </c>
      <c r="J3679" s="14" t="s">
        <v>14</v>
      </c>
      <c r="K3679" s="9" t="s">
        <v>14</v>
      </c>
      <c r="L3679" s="9" t="s">
        <v>209</v>
      </c>
      <c r="M3679" t="s">
        <v>125</v>
      </c>
      <c r="O3679" t="s">
        <v>2650</v>
      </c>
      <c r="P3679" t="s">
        <v>2658</v>
      </c>
      <c r="S3679">
        <v>343</v>
      </c>
      <c r="U3679" t="s">
        <v>112</v>
      </c>
      <c r="V3679" t="s">
        <v>1484</v>
      </c>
      <c r="X3679" s="43">
        <v>2.4500000000000002</v>
      </c>
      <c r="AA3679" s="43"/>
      <c r="AB3679" s="43">
        <v>0.15</v>
      </c>
      <c r="AC3679" s="43">
        <v>0.16200000000000001</v>
      </c>
      <c r="AK3679">
        <v>7576184</v>
      </c>
    </row>
    <row r="3680" spans="1:37" ht="19">
      <c r="A3680" s="39" t="s">
        <v>17</v>
      </c>
      <c r="B3680" s="8">
        <v>2024</v>
      </c>
      <c r="C3680" s="8" t="s">
        <v>109</v>
      </c>
      <c r="D3680" s="9" t="s">
        <v>109</v>
      </c>
      <c r="E3680" s="9" t="s">
        <v>111</v>
      </c>
      <c r="F3680" s="9" t="s">
        <v>111</v>
      </c>
      <c r="I3680" s="9" t="s">
        <v>14</v>
      </c>
      <c r="J3680" s="14" t="s">
        <v>14</v>
      </c>
      <c r="K3680" s="9" t="s">
        <v>14</v>
      </c>
      <c r="L3680" s="9" t="s">
        <v>209</v>
      </c>
      <c r="M3680" t="s">
        <v>125</v>
      </c>
      <c r="O3680" t="s">
        <v>2659</v>
      </c>
      <c r="P3680" t="s">
        <v>2660</v>
      </c>
      <c r="S3680">
        <v>295</v>
      </c>
      <c r="U3680" t="s">
        <v>112</v>
      </c>
      <c r="V3680" t="s">
        <v>1484</v>
      </c>
      <c r="X3680" s="43">
        <v>1.8</v>
      </c>
      <c r="AA3680" s="43"/>
      <c r="AB3680" s="43">
        <v>0.1</v>
      </c>
      <c r="AC3680" s="43">
        <v>6.7500000000000004E-2</v>
      </c>
      <c r="AK3680">
        <v>6515960</v>
      </c>
    </row>
    <row r="3681" spans="1:37" ht="19">
      <c r="A3681" s="39" t="s">
        <v>17</v>
      </c>
      <c r="B3681" s="8">
        <v>2024</v>
      </c>
      <c r="C3681" s="8" t="s">
        <v>109</v>
      </c>
      <c r="D3681" s="9" t="s">
        <v>109</v>
      </c>
      <c r="E3681" s="9" t="s">
        <v>111</v>
      </c>
      <c r="F3681" s="9" t="s">
        <v>111</v>
      </c>
      <c r="I3681" s="9" t="s">
        <v>14</v>
      </c>
      <c r="J3681" s="14" t="s">
        <v>14</v>
      </c>
      <c r="K3681" s="9" t="s">
        <v>14</v>
      </c>
      <c r="L3681" s="9" t="s">
        <v>209</v>
      </c>
      <c r="M3681" t="s">
        <v>125</v>
      </c>
      <c r="O3681" t="s">
        <v>2659</v>
      </c>
      <c r="P3681" t="s">
        <v>2661</v>
      </c>
      <c r="S3681">
        <v>265</v>
      </c>
      <c r="U3681" t="s">
        <v>112</v>
      </c>
      <c r="V3681" t="s">
        <v>1484</v>
      </c>
      <c r="X3681" s="43">
        <v>1.5</v>
      </c>
      <c r="AA3681" s="43"/>
      <c r="AB3681" s="43">
        <v>0.1</v>
      </c>
      <c r="AC3681" s="43">
        <v>0.108</v>
      </c>
      <c r="AK3681">
        <v>5853320</v>
      </c>
    </row>
    <row r="3682" spans="1:37" ht="19">
      <c r="A3682" s="39" t="s">
        <v>17</v>
      </c>
      <c r="B3682" s="8">
        <v>2024</v>
      </c>
      <c r="C3682" s="8" t="s">
        <v>109</v>
      </c>
      <c r="D3682" s="9" t="s">
        <v>109</v>
      </c>
      <c r="E3682" s="9" t="s">
        <v>111</v>
      </c>
      <c r="F3682" s="9" t="s">
        <v>111</v>
      </c>
      <c r="I3682" s="9" t="s">
        <v>14</v>
      </c>
      <c r="J3682" s="14" t="s">
        <v>14</v>
      </c>
      <c r="K3682" s="9" t="s">
        <v>14</v>
      </c>
      <c r="L3682" s="9" t="s">
        <v>209</v>
      </c>
      <c r="M3682" t="s">
        <v>125</v>
      </c>
      <c r="O3682" t="s">
        <v>2659</v>
      </c>
      <c r="P3682" t="s">
        <v>2662</v>
      </c>
      <c r="S3682">
        <v>570</v>
      </c>
      <c r="U3682" t="s">
        <v>112</v>
      </c>
      <c r="V3682" t="s">
        <v>1484</v>
      </c>
      <c r="X3682" s="43">
        <v>4.4000000000000004</v>
      </c>
      <c r="AA3682" s="43"/>
      <c r="AB3682" s="43">
        <v>0.2</v>
      </c>
      <c r="AC3682" s="43">
        <v>0.315</v>
      </c>
      <c r="AK3682">
        <v>12590160</v>
      </c>
    </row>
    <row r="3683" spans="1:37" ht="19">
      <c r="A3683" s="39" t="s">
        <v>17</v>
      </c>
      <c r="B3683" s="8">
        <v>2024</v>
      </c>
      <c r="C3683" s="8" t="s">
        <v>109</v>
      </c>
      <c r="D3683" s="9" t="s">
        <v>109</v>
      </c>
      <c r="E3683" s="9" t="s">
        <v>111</v>
      </c>
      <c r="F3683" s="9" t="s">
        <v>111</v>
      </c>
      <c r="I3683" s="9" t="s">
        <v>14</v>
      </c>
      <c r="J3683" s="14" t="s">
        <v>14</v>
      </c>
      <c r="K3683" s="9" t="s">
        <v>14</v>
      </c>
      <c r="L3683" s="9" t="s">
        <v>209</v>
      </c>
      <c r="M3683" t="s">
        <v>125</v>
      </c>
      <c r="O3683" t="s">
        <v>2659</v>
      </c>
      <c r="P3683" t="s">
        <v>2663</v>
      </c>
      <c r="S3683">
        <v>304</v>
      </c>
      <c r="U3683" t="s">
        <v>112</v>
      </c>
      <c r="V3683" t="s">
        <v>1484</v>
      </c>
      <c r="X3683" s="43">
        <v>1.7</v>
      </c>
      <c r="AA3683" s="43"/>
      <c r="AB3683" s="43">
        <v>0.15</v>
      </c>
      <c r="AC3683" s="43">
        <v>0.126</v>
      </c>
      <c r="AK3683">
        <v>6714752</v>
      </c>
    </row>
    <row r="3684" spans="1:37" ht="19">
      <c r="A3684" s="39" t="s">
        <v>17</v>
      </c>
      <c r="B3684" s="8">
        <v>2024</v>
      </c>
      <c r="C3684" s="8" t="s">
        <v>109</v>
      </c>
      <c r="D3684" s="9" t="s">
        <v>109</v>
      </c>
      <c r="E3684" s="9" t="s">
        <v>111</v>
      </c>
      <c r="F3684" s="9" t="s">
        <v>111</v>
      </c>
      <c r="I3684" s="9" t="s">
        <v>14</v>
      </c>
      <c r="J3684" s="14" t="s">
        <v>14</v>
      </c>
      <c r="K3684" s="9" t="s">
        <v>14</v>
      </c>
      <c r="L3684" s="9" t="s">
        <v>209</v>
      </c>
      <c r="M3684" t="s">
        <v>125</v>
      </c>
      <c r="O3684" t="s">
        <v>2659</v>
      </c>
      <c r="P3684" t="s">
        <v>2664</v>
      </c>
      <c r="S3684">
        <v>195</v>
      </c>
      <c r="U3684" t="s">
        <v>112</v>
      </c>
      <c r="V3684" t="s">
        <v>1484</v>
      </c>
      <c r="X3684" s="43">
        <v>1.1000000000000001</v>
      </c>
      <c r="AA3684" s="43"/>
      <c r="AB3684" s="43">
        <v>0.1</v>
      </c>
      <c r="AC3684" s="43">
        <v>8.1000000000000003E-2</v>
      </c>
      <c r="AK3684">
        <v>4307160</v>
      </c>
    </row>
    <row r="3685" spans="1:37" ht="19">
      <c r="A3685" s="39" t="s">
        <v>17</v>
      </c>
      <c r="B3685" s="8">
        <v>2024</v>
      </c>
      <c r="C3685" s="8" t="s">
        <v>109</v>
      </c>
      <c r="D3685" s="9" t="s">
        <v>109</v>
      </c>
      <c r="E3685" s="9" t="s">
        <v>111</v>
      </c>
      <c r="F3685" s="9" t="s">
        <v>111</v>
      </c>
      <c r="I3685" s="9" t="s">
        <v>14</v>
      </c>
      <c r="J3685" s="14" t="s">
        <v>14</v>
      </c>
      <c r="K3685" s="9" t="s">
        <v>14</v>
      </c>
      <c r="L3685" s="9" t="s">
        <v>209</v>
      </c>
      <c r="M3685" t="s">
        <v>125</v>
      </c>
      <c r="O3685" t="s">
        <v>2665</v>
      </c>
      <c r="P3685" t="s">
        <v>2665</v>
      </c>
      <c r="S3685">
        <v>256</v>
      </c>
      <c r="U3685" s="14" t="s">
        <v>77</v>
      </c>
      <c r="V3685" t="s">
        <v>1720</v>
      </c>
      <c r="X3685" s="43">
        <v>1.1499999999999999</v>
      </c>
      <c r="AA3685" s="43"/>
      <c r="AB3685" s="43">
        <v>0.2</v>
      </c>
      <c r="AC3685" s="43">
        <v>8.1000000000000003E-2</v>
      </c>
      <c r="AJ3685" s="13">
        <f t="shared" ref="AJ3685:AJ3686" si="332">SUBTOTAL(9,X3685:AI3685)</f>
        <v>1.4309999999999998</v>
      </c>
      <c r="AK3685">
        <v>0</v>
      </c>
    </row>
    <row r="3686" spans="1:37" ht="19">
      <c r="A3686" s="39" t="s">
        <v>17</v>
      </c>
      <c r="B3686" s="8">
        <v>2024</v>
      </c>
      <c r="C3686" s="8" t="s">
        <v>109</v>
      </c>
      <c r="D3686" s="9" t="s">
        <v>109</v>
      </c>
      <c r="E3686" s="9" t="s">
        <v>111</v>
      </c>
      <c r="F3686" s="9" t="s">
        <v>111</v>
      </c>
      <c r="I3686" s="9" t="s">
        <v>14</v>
      </c>
      <c r="J3686" s="14" t="s">
        <v>14</v>
      </c>
      <c r="K3686" s="9" t="s">
        <v>14</v>
      </c>
      <c r="L3686" s="9" t="s">
        <v>209</v>
      </c>
      <c r="M3686" t="s">
        <v>125</v>
      </c>
      <c r="O3686" t="s">
        <v>399</v>
      </c>
      <c r="P3686" t="s">
        <v>301</v>
      </c>
      <c r="S3686">
        <v>614</v>
      </c>
      <c r="U3686" s="14" t="s">
        <v>77</v>
      </c>
      <c r="V3686" t="s">
        <v>1720</v>
      </c>
      <c r="X3686" s="43">
        <v>3.45</v>
      </c>
      <c r="AA3686" s="43"/>
      <c r="AB3686" s="43">
        <v>0.75</v>
      </c>
      <c r="AC3686" s="43">
        <v>0.2475</v>
      </c>
      <c r="AJ3686" s="13">
        <f t="shared" si="332"/>
        <v>4.4474999999999998</v>
      </c>
      <c r="AK3686">
        <v>0</v>
      </c>
    </row>
    <row r="3687" spans="1:37" ht="19">
      <c r="A3687" s="39" t="s">
        <v>17</v>
      </c>
      <c r="B3687" s="8">
        <v>2024</v>
      </c>
      <c r="C3687" s="8" t="s">
        <v>109</v>
      </c>
      <c r="D3687" s="9" t="s">
        <v>109</v>
      </c>
      <c r="E3687" s="9" t="s">
        <v>111</v>
      </c>
      <c r="F3687" s="9" t="s">
        <v>111</v>
      </c>
      <c r="I3687" s="9" t="s">
        <v>14</v>
      </c>
      <c r="J3687" s="14" t="s">
        <v>14</v>
      </c>
      <c r="K3687" s="9" t="s">
        <v>14</v>
      </c>
      <c r="L3687" s="9" t="s">
        <v>209</v>
      </c>
      <c r="M3687" t="s">
        <v>125</v>
      </c>
      <c r="O3687" t="s">
        <v>2666</v>
      </c>
      <c r="P3687" t="s">
        <v>2667</v>
      </c>
      <c r="S3687">
        <v>516</v>
      </c>
      <c r="U3687" t="s">
        <v>112</v>
      </c>
      <c r="V3687" t="s">
        <v>1484</v>
      </c>
      <c r="X3687" s="43">
        <v>3.55</v>
      </c>
      <c r="AA3687" s="43"/>
      <c r="AB3687" s="43">
        <v>0.2</v>
      </c>
      <c r="AC3687" s="43">
        <v>0.26100000000000001</v>
      </c>
      <c r="AK3687">
        <v>11397408</v>
      </c>
    </row>
    <row r="3688" spans="1:37" ht="19">
      <c r="A3688" s="39" t="s">
        <v>17</v>
      </c>
      <c r="B3688" s="8">
        <v>2024</v>
      </c>
      <c r="C3688" s="8" t="s">
        <v>109</v>
      </c>
      <c r="D3688" s="9" t="s">
        <v>109</v>
      </c>
      <c r="E3688" s="9" t="s">
        <v>111</v>
      </c>
      <c r="F3688" s="9" t="s">
        <v>111</v>
      </c>
      <c r="I3688" s="9" t="s">
        <v>14</v>
      </c>
      <c r="J3688" s="14" t="s">
        <v>14</v>
      </c>
      <c r="K3688" s="9" t="s">
        <v>14</v>
      </c>
      <c r="L3688" s="9" t="s">
        <v>209</v>
      </c>
      <c r="M3688" t="s">
        <v>125</v>
      </c>
      <c r="O3688" t="s">
        <v>2666</v>
      </c>
      <c r="P3688" t="s">
        <v>263</v>
      </c>
      <c r="S3688">
        <v>578</v>
      </c>
      <c r="U3688" t="s">
        <v>112</v>
      </c>
      <c r="V3688" t="s">
        <v>1484</v>
      </c>
      <c r="X3688" s="43">
        <v>4.05</v>
      </c>
      <c r="AA3688" s="43"/>
      <c r="AB3688" s="43">
        <v>0.2</v>
      </c>
      <c r="AC3688" s="43">
        <v>0.28799999999999998</v>
      </c>
      <c r="AK3688">
        <v>12766864</v>
      </c>
    </row>
    <row r="3689" spans="1:37" ht="19">
      <c r="A3689" s="39" t="s">
        <v>17</v>
      </c>
      <c r="B3689" s="8">
        <v>2024</v>
      </c>
      <c r="C3689" s="8" t="s">
        <v>109</v>
      </c>
      <c r="D3689" s="9" t="s">
        <v>109</v>
      </c>
      <c r="E3689" s="9" t="s">
        <v>111</v>
      </c>
      <c r="F3689" s="9" t="s">
        <v>111</v>
      </c>
      <c r="I3689" s="9" t="s">
        <v>14</v>
      </c>
      <c r="J3689" s="14" t="s">
        <v>14</v>
      </c>
      <c r="K3689" s="9" t="s">
        <v>14</v>
      </c>
      <c r="L3689" s="9" t="s">
        <v>209</v>
      </c>
      <c r="M3689" t="s">
        <v>125</v>
      </c>
      <c r="O3689" t="s">
        <v>2668</v>
      </c>
      <c r="P3689" t="s">
        <v>2669</v>
      </c>
      <c r="S3689">
        <v>258</v>
      </c>
      <c r="U3689" s="14" t="s">
        <v>77</v>
      </c>
      <c r="V3689" t="s">
        <v>1720</v>
      </c>
      <c r="X3689" s="43">
        <v>1.55</v>
      </c>
      <c r="AA3689" s="43"/>
      <c r="AB3689" s="43">
        <v>0.3</v>
      </c>
      <c r="AC3689" s="43">
        <v>0.108</v>
      </c>
      <c r="AJ3689" s="13">
        <f>SUBTOTAL(9,X3689:AI3689)</f>
        <v>1.9580000000000002</v>
      </c>
      <c r="AK3689">
        <v>0</v>
      </c>
    </row>
    <row r="3690" spans="1:37" ht="19">
      <c r="A3690" s="39" t="s">
        <v>17</v>
      </c>
      <c r="B3690" s="8">
        <v>2024</v>
      </c>
      <c r="C3690" s="8" t="s">
        <v>109</v>
      </c>
      <c r="D3690" s="9" t="s">
        <v>109</v>
      </c>
      <c r="E3690" s="9" t="s">
        <v>111</v>
      </c>
      <c r="F3690" s="9" t="s">
        <v>111</v>
      </c>
      <c r="I3690" s="9" t="s">
        <v>14</v>
      </c>
      <c r="J3690" s="14" t="s">
        <v>14</v>
      </c>
      <c r="K3690" s="9" t="s">
        <v>14</v>
      </c>
      <c r="L3690" s="9" t="s">
        <v>209</v>
      </c>
      <c r="M3690" t="s">
        <v>125</v>
      </c>
      <c r="O3690" t="s">
        <v>2668</v>
      </c>
      <c r="P3690" t="s">
        <v>2670</v>
      </c>
      <c r="S3690">
        <v>471</v>
      </c>
      <c r="U3690" t="s">
        <v>112</v>
      </c>
      <c r="V3690" t="s">
        <v>1484</v>
      </c>
      <c r="X3690" s="43">
        <v>2.65</v>
      </c>
      <c r="AA3690" s="43"/>
      <c r="AB3690" s="43">
        <v>0.2</v>
      </c>
      <c r="AC3690" s="43">
        <v>0.189</v>
      </c>
      <c r="AK3690">
        <v>10403448</v>
      </c>
    </row>
    <row r="3691" spans="1:37" ht="19">
      <c r="A3691" s="39" t="s">
        <v>17</v>
      </c>
      <c r="B3691" s="8">
        <v>2024</v>
      </c>
      <c r="C3691" s="8" t="s">
        <v>109</v>
      </c>
      <c r="D3691" s="9" t="s">
        <v>109</v>
      </c>
      <c r="E3691" s="9" t="s">
        <v>111</v>
      </c>
      <c r="F3691" s="9" t="s">
        <v>111</v>
      </c>
      <c r="I3691" s="9" t="s">
        <v>14</v>
      </c>
      <c r="J3691" s="14" t="s">
        <v>14</v>
      </c>
      <c r="K3691" s="9" t="s">
        <v>14</v>
      </c>
      <c r="L3691" s="9" t="s">
        <v>209</v>
      </c>
      <c r="M3691" t="s">
        <v>125</v>
      </c>
      <c r="O3691" t="s">
        <v>2668</v>
      </c>
      <c r="P3691" t="s">
        <v>2671</v>
      </c>
      <c r="S3691">
        <v>532</v>
      </c>
      <c r="U3691" s="14" t="s">
        <v>77</v>
      </c>
      <c r="V3691" t="s">
        <v>1720</v>
      </c>
      <c r="X3691" s="43">
        <v>2.85</v>
      </c>
      <c r="AA3691" s="43"/>
      <c r="AB3691" s="43">
        <v>0.6</v>
      </c>
      <c r="AC3691" s="43">
        <v>0.20250000000000001</v>
      </c>
      <c r="AJ3691" s="13">
        <f t="shared" ref="AJ3691:AJ3692" si="333">SUBTOTAL(9,X3691:AI3691)</f>
        <v>3.6525000000000003</v>
      </c>
      <c r="AK3691">
        <v>0</v>
      </c>
    </row>
    <row r="3692" spans="1:37" ht="19">
      <c r="A3692" s="39" t="s">
        <v>17</v>
      </c>
      <c r="B3692" s="8">
        <v>2024</v>
      </c>
      <c r="C3692" s="8" t="s">
        <v>109</v>
      </c>
      <c r="D3692" s="9" t="s">
        <v>109</v>
      </c>
      <c r="E3692" s="9" t="s">
        <v>111</v>
      </c>
      <c r="F3692" s="9" t="s">
        <v>111</v>
      </c>
      <c r="I3692" s="9" t="s">
        <v>14</v>
      </c>
      <c r="J3692" s="14" t="s">
        <v>14</v>
      </c>
      <c r="K3692" s="9" t="s">
        <v>14</v>
      </c>
      <c r="L3692" s="9" t="s">
        <v>209</v>
      </c>
      <c r="M3692" t="s">
        <v>125</v>
      </c>
      <c r="O3692" t="s">
        <v>2672</v>
      </c>
      <c r="P3692" t="s">
        <v>2672</v>
      </c>
      <c r="S3692">
        <v>242</v>
      </c>
      <c r="U3692" s="14" t="s">
        <v>77</v>
      </c>
      <c r="V3692" t="s">
        <v>1720</v>
      </c>
      <c r="X3692" s="43">
        <v>1.1499999999999999</v>
      </c>
      <c r="AA3692" s="43"/>
      <c r="AB3692" s="43">
        <v>0.25</v>
      </c>
      <c r="AC3692" s="43">
        <v>8.1000000000000003E-2</v>
      </c>
      <c r="AJ3692" s="13">
        <f t="shared" si="333"/>
        <v>1.4809999999999999</v>
      </c>
      <c r="AK3692">
        <v>0</v>
      </c>
    </row>
    <row r="3693" spans="1:37" ht="19">
      <c r="A3693" s="39" t="s">
        <v>17</v>
      </c>
      <c r="B3693" s="8">
        <v>2024</v>
      </c>
      <c r="C3693" s="8" t="s">
        <v>109</v>
      </c>
      <c r="D3693" s="9" t="s">
        <v>109</v>
      </c>
      <c r="E3693" s="9" t="s">
        <v>111</v>
      </c>
      <c r="F3693" s="9" t="s">
        <v>111</v>
      </c>
      <c r="I3693" s="9" t="s">
        <v>14</v>
      </c>
      <c r="J3693" s="14" t="s">
        <v>14</v>
      </c>
      <c r="K3693" s="9" t="s">
        <v>14</v>
      </c>
      <c r="L3693" s="9" t="s">
        <v>209</v>
      </c>
      <c r="M3693" t="s">
        <v>125</v>
      </c>
      <c r="O3693" t="s">
        <v>2673</v>
      </c>
      <c r="P3693" t="s">
        <v>2674</v>
      </c>
      <c r="S3693">
        <v>371</v>
      </c>
      <c r="U3693" t="s">
        <v>112</v>
      </c>
      <c r="V3693" t="s">
        <v>1484</v>
      </c>
      <c r="X3693" s="43">
        <v>2.2000000000000002</v>
      </c>
      <c r="AA3693" s="43"/>
      <c r="AB3693" s="43">
        <v>0.15</v>
      </c>
      <c r="AC3693" s="43">
        <v>0.16200000000000001</v>
      </c>
      <c r="AK3693">
        <v>8194648</v>
      </c>
    </row>
    <row r="3694" spans="1:37" ht="19">
      <c r="A3694" s="39" t="s">
        <v>17</v>
      </c>
      <c r="B3694" s="8">
        <v>2024</v>
      </c>
      <c r="C3694" s="8" t="s">
        <v>109</v>
      </c>
      <c r="D3694" s="9" t="s">
        <v>109</v>
      </c>
      <c r="E3694" s="9" t="s">
        <v>111</v>
      </c>
      <c r="F3694" s="9" t="s">
        <v>111</v>
      </c>
      <c r="I3694" s="9" t="s">
        <v>14</v>
      </c>
      <c r="J3694" s="14" t="s">
        <v>14</v>
      </c>
      <c r="K3694" s="9" t="s">
        <v>14</v>
      </c>
      <c r="L3694" s="9" t="s">
        <v>209</v>
      </c>
      <c r="M3694" t="s">
        <v>125</v>
      </c>
      <c r="O3694" t="s">
        <v>2673</v>
      </c>
      <c r="P3694" t="s">
        <v>2675</v>
      </c>
      <c r="S3694">
        <v>525</v>
      </c>
      <c r="U3694" t="s">
        <v>112</v>
      </c>
      <c r="V3694" t="s">
        <v>1484</v>
      </c>
      <c r="X3694" s="43">
        <v>4.05</v>
      </c>
      <c r="AA3694" s="43"/>
      <c r="AB3694" s="43">
        <v>0.2</v>
      </c>
      <c r="AC3694" s="43">
        <v>0.28799999999999998</v>
      </c>
      <c r="AK3694">
        <v>11576200</v>
      </c>
    </row>
    <row r="3695" spans="1:37" ht="19">
      <c r="A3695" s="39" t="s">
        <v>17</v>
      </c>
      <c r="B3695" s="8">
        <v>2024</v>
      </c>
      <c r="C3695" s="8" t="s">
        <v>109</v>
      </c>
      <c r="D3695" s="9" t="s">
        <v>109</v>
      </c>
      <c r="E3695" s="9" t="s">
        <v>111</v>
      </c>
      <c r="F3695" s="9" t="s">
        <v>111</v>
      </c>
      <c r="I3695" s="9" t="s">
        <v>14</v>
      </c>
      <c r="J3695" s="14" t="s">
        <v>14</v>
      </c>
      <c r="K3695" s="9" t="s">
        <v>14</v>
      </c>
      <c r="L3695" s="9" t="s">
        <v>209</v>
      </c>
      <c r="M3695" t="s">
        <v>125</v>
      </c>
      <c r="O3695" t="s">
        <v>2673</v>
      </c>
      <c r="P3695" t="s">
        <v>2676</v>
      </c>
      <c r="S3695">
        <v>592</v>
      </c>
      <c r="U3695" s="14" t="s">
        <v>77</v>
      </c>
      <c r="V3695" t="s">
        <v>1720</v>
      </c>
      <c r="X3695" s="43">
        <v>3.85</v>
      </c>
      <c r="AA3695" s="43"/>
      <c r="AB3695" s="43">
        <v>0.8</v>
      </c>
      <c r="AC3695" s="43">
        <v>0.27900000000000003</v>
      </c>
      <c r="AJ3695" s="13">
        <f>SUBTOTAL(9,X3695:AI3695)</f>
        <v>4.9290000000000003</v>
      </c>
      <c r="AK3695">
        <v>0</v>
      </c>
    </row>
    <row r="3696" spans="1:37" ht="19">
      <c r="A3696" s="39" t="s">
        <v>17</v>
      </c>
      <c r="B3696" s="8">
        <v>2024</v>
      </c>
      <c r="C3696" s="8" t="s">
        <v>109</v>
      </c>
      <c r="D3696" s="9" t="s">
        <v>109</v>
      </c>
      <c r="E3696" s="9" t="s">
        <v>111</v>
      </c>
      <c r="F3696" s="9" t="s">
        <v>111</v>
      </c>
      <c r="I3696" s="9" t="s">
        <v>14</v>
      </c>
      <c r="J3696" s="14" t="s">
        <v>14</v>
      </c>
      <c r="K3696" s="9" t="s">
        <v>14</v>
      </c>
      <c r="L3696" s="9" t="s">
        <v>209</v>
      </c>
      <c r="M3696" t="s">
        <v>125</v>
      </c>
      <c r="O3696" t="s">
        <v>2673</v>
      </c>
      <c r="P3696" t="s">
        <v>2677</v>
      </c>
      <c r="S3696">
        <v>258</v>
      </c>
      <c r="U3696" t="s">
        <v>112</v>
      </c>
      <c r="V3696" t="s">
        <v>1484</v>
      </c>
      <c r="X3696" s="43">
        <v>2</v>
      </c>
      <c r="AA3696" s="43"/>
      <c r="AB3696" s="43">
        <v>0.1</v>
      </c>
      <c r="AC3696" s="43">
        <v>0.14399999999999999</v>
      </c>
      <c r="AK3696">
        <v>5696204</v>
      </c>
    </row>
    <row r="3697" spans="1:37" ht="19">
      <c r="A3697" s="39" t="s">
        <v>17</v>
      </c>
      <c r="B3697" s="8">
        <v>2024</v>
      </c>
      <c r="C3697" s="8" t="s">
        <v>109</v>
      </c>
      <c r="D3697" s="9" t="s">
        <v>109</v>
      </c>
      <c r="E3697" s="9" t="s">
        <v>111</v>
      </c>
      <c r="F3697" s="9" t="s">
        <v>111</v>
      </c>
      <c r="I3697" s="9" t="s">
        <v>14</v>
      </c>
      <c r="J3697" s="14" t="s">
        <v>14</v>
      </c>
      <c r="K3697" s="9" t="s">
        <v>14</v>
      </c>
      <c r="L3697" s="9" t="s">
        <v>209</v>
      </c>
      <c r="M3697" t="s">
        <v>125</v>
      </c>
      <c r="O3697" t="s">
        <v>2673</v>
      </c>
      <c r="P3697" t="s">
        <v>2678</v>
      </c>
      <c r="S3697">
        <v>318</v>
      </c>
      <c r="U3697" t="s">
        <v>112</v>
      </c>
      <c r="V3697" t="s">
        <v>1484</v>
      </c>
      <c r="X3697" s="43">
        <v>2.4500000000000002</v>
      </c>
      <c r="AA3697" s="43"/>
      <c r="AB3697" s="43">
        <v>0.15</v>
      </c>
      <c r="AC3697" s="43">
        <v>0.17549999999999999</v>
      </c>
      <c r="AK3697">
        <v>7023984</v>
      </c>
    </row>
    <row r="3698" spans="1:37" ht="19">
      <c r="A3698" s="39" t="s">
        <v>17</v>
      </c>
      <c r="B3698" s="8">
        <v>2024</v>
      </c>
      <c r="C3698" s="8" t="s">
        <v>109</v>
      </c>
      <c r="D3698" s="9" t="s">
        <v>109</v>
      </c>
      <c r="E3698" s="9" t="s">
        <v>111</v>
      </c>
      <c r="F3698" s="9" t="s">
        <v>111</v>
      </c>
      <c r="I3698" s="9" t="s">
        <v>14</v>
      </c>
      <c r="J3698" s="14" t="s">
        <v>14</v>
      </c>
      <c r="K3698" s="9" t="s">
        <v>14</v>
      </c>
      <c r="L3698" s="9" t="s">
        <v>209</v>
      </c>
      <c r="M3698" t="s">
        <v>125</v>
      </c>
      <c r="O3698" t="s">
        <v>2673</v>
      </c>
      <c r="P3698" t="s">
        <v>2673</v>
      </c>
      <c r="S3698">
        <v>663</v>
      </c>
      <c r="U3698" s="14" t="s">
        <v>77</v>
      </c>
      <c r="V3698" t="s">
        <v>1720</v>
      </c>
      <c r="X3698" s="43">
        <v>4.9000000000000004</v>
      </c>
      <c r="AA3698" s="43"/>
      <c r="AB3698" s="43">
        <v>1.05</v>
      </c>
      <c r="AC3698" s="43">
        <v>0.34649999999999997</v>
      </c>
      <c r="AJ3698" s="13">
        <f>SUBTOTAL(9,X3698:AI3698)</f>
        <v>6.2965</v>
      </c>
      <c r="AK3698">
        <v>0</v>
      </c>
    </row>
    <row r="3699" spans="1:37" ht="19">
      <c r="A3699" s="39" t="s">
        <v>17</v>
      </c>
      <c r="B3699" s="8">
        <v>2024</v>
      </c>
      <c r="C3699" s="8" t="s">
        <v>109</v>
      </c>
      <c r="D3699" s="9" t="s">
        <v>109</v>
      </c>
      <c r="E3699" s="9" t="s">
        <v>111</v>
      </c>
      <c r="F3699" s="9" t="s">
        <v>111</v>
      </c>
      <c r="I3699" s="9" t="s">
        <v>14</v>
      </c>
      <c r="J3699" s="14" t="s">
        <v>14</v>
      </c>
      <c r="K3699" s="9" t="s">
        <v>14</v>
      </c>
      <c r="L3699" s="9" t="s">
        <v>209</v>
      </c>
      <c r="M3699" t="s">
        <v>125</v>
      </c>
      <c r="O3699" t="s">
        <v>2673</v>
      </c>
      <c r="P3699" t="s">
        <v>2679</v>
      </c>
      <c r="S3699">
        <v>229</v>
      </c>
      <c r="U3699" t="s">
        <v>112</v>
      </c>
      <c r="V3699" t="s">
        <v>1484</v>
      </c>
      <c r="X3699" s="43">
        <v>1.45</v>
      </c>
      <c r="AA3699" s="43"/>
      <c r="AB3699" s="43">
        <v>0.1</v>
      </c>
      <c r="AC3699" s="43">
        <v>8.5500000000000007E-2</v>
      </c>
      <c r="AK3699">
        <v>5057152</v>
      </c>
    </row>
    <row r="3700" spans="1:37" ht="19">
      <c r="A3700" s="39" t="s">
        <v>17</v>
      </c>
      <c r="B3700" s="8">
        <v>2024</v>
      </c>
      <c r="C3700" s="8" t="s">
        <v>109</v>
      </c>
      <c r="D3700" s="9" t="s">
        <v>109</v>
      </c>
      <c r="E3700" s="9" t="s">
        <v>111</v>
      </c>
      <c r="F3700" s="9" t="s">
        <v>111</v>
      </c>
      <c r="I3700" s="9" t="s">
        <v>14</v>
      </c>
      <c r="J3700" s="14" t="s">
        <v>14</v>
      </c>
      <c r="K3700" s="9" t="s">
        <v>14</v>
      </c>
      <c r="L3700" s="9" t="s">
        <v>209</v>
      </c>
      <c r="M3700" t="s">
        <v>125</v>
      </c>
      <c r="O3700" t="s">
        <v>2673</v>
      </c>
      <c r="P3700" t="s">
        <v>2680</v>
      </c>
      <c r="S3700">
        <v>484</v>
      </c>
      <c r="U3700" t="s">
        <v>112</v>
      </c>
      <c r="V3700" t="s">
        <v>1484</v>
      </c>
      <c r="X3700" s="43">
        <v>3.05</v>
      </c>
      <c r="AA3700" s="43"/>
      <c r="AB3700" s="43">
        <v>0.2</v>
      </c>
      <c r="AC3700" s="43">
        <v>0.21149999999999999</v>
      </c>
      <c r="AK3700">
        <v>10683562</v>
      </c>
    </row>
    <row r="3701" spans="1:37" ht="19">
      <c r="A3701" s="39" t="s">
        <v>17</v>
      </c>
      <c r="B3701" s="8">
        <v>2024</v>
      </c>
      <c r="C3701" s="8" t="s">
        <v>109</v>
      </c>
      <c r="D3701" s="9" t="s">
        <v>109</v>
      </c>
      <c r="E3701" s="9" t="s">
        <v>111</v>
      </c>
      <c r="F3701" s="9" t="s">
        <v>111</v>
      </c>
      <c r="I3701" s="9" t="s">
        <v>14</v>
      </c>
      <c r="J3701" s="14" t="s">
        <v>14</v>
      </c>
      <c r="K3701" s="9" t="s">
        <v>14</v>
      </c>
      <c r="L3701" s="9" t="s">
        <v>209</v>
      </c>
      <c r="M3701" t="s">
        <v>125</v>
      </c>
      <c r="O3701" t="s">
        <v>2673</v>
      </c>
      <c r="P3701" t="s">
        <v>2681</v>
      </c>
      <c r="S3701">
        <v>291</v>
      </c>
      <c r="U3701" t="s">
        <v>112</v>
      </c>
      <c r="V3701" t="s">
        <v>1484</v>
      </c>
      <c r="X3701" s="43">
        <v>2.25</v>
      </c>
      <c r="AA3701" s="43"/>
      <c r="AB3701" s="43">
        <v>0.1</v>
      </c>
      <c r="AC3701" s="43">
        <v>0.16200000000000001</v>
      </c>
      <c r="AK3701">
        <v>6427608</v>
      </c>
    </row>
    <row r="3702" spans="1:37" ht="19">
      <c r="A3702" s="39" t="s">
        <v>17</v>
      </c>
      <c r="B3702" s="8">
        <v>2024</v>
      </c>
      <c r="C3702" s="8" t="s">
        <v>109</v>
      </c>
      <c r="D3702" s="9" t="s">
        <v>109</v>
      </c>
      <c r="E3702" s="9" t="s">
        <v>111</v>
      </c>
      <c r="F3702" s="9" t="s">
        <v>111</v>
      </c>
      <c r="I3702" s="9" t="s">
        <v>14</v>
      </c>
      <c r="J3702" s="14" t="s">
        <v>14</v>
      </c>
      <c r="K3702" s="9" t="s">
        <v>14</v>
      </c>
      <c r="L3702" s="9" t="s">
        <v>209</v>
      </c>
      <c r="M3702" t="s">
        <v>125</v>
      </c>
      <c r="O3702" t="s">
        <v>2682</v>
      </c>
      <c r="P3702" t="s">
        <v>2683</v>
      </c>
      <c r="S3702">
        <v>383</v>
      </c>
      <c r="U3702" t="s">
        <v>112</v>
      </c>
      <c r="V3702" t="s">
        <v>1484</v>
      </c>
      <c r="X3702" s="43">
        <v>2.4500000000000002</v>
      </c>
      <c r="AA3702" s="43"/>
      <c r="AB3702" s="43">
        <v>0.15</v>
      </c>
      <c r="AC3702" s="43">
        <v>0.16200000000000001</v>
      </c>
      <c r="AK3702">
        <v>8459704</v>
      </c>
    </row>
    <row r="3703" spans="1:37" ht="19">
      <c r="A3703" s="39" t="s">
        <v>17</v>
      </c>
      <c r="B3703" s="8">
        <v>2024</v>
      </c>
      <c r="C3703" s="8" t="s">
        <v>109</v>
      </c>
      <c r="D3703" s="9" t="s">
        <v>109</v>
      </c>
      <c r="E3703" s="9" t="s">
        <v>111</v>
      </c>
      <c r="F3703" s="9" t="s">
        <v>111</v>
      </c>
      <c r="I3703" s="9" t="s">
        <v>14</v>
      </c>
      <c r="J3703" s="14" t="s">
        <v>14</v>
      </c>
      <c r="K3703" s="9" t="s">
        <v>14</v>
      </c>
      <c r="L3703" s="9" t="s">
        <v>209</v>
      </c>
      <c r="M3703" t="s">
        <v>125</v>
      </c>
      <c r="O3703" t="s">
        <v>2682</v>
      </c>
      <c r="P3703" t="s">
        <v>2684</v>
      </c>
      <c r="S3703">
        <v>272</v>
      </c>
      <c r="U3703" t="s">
        <v>112</v>
      </c>
      <c r="V3703" t="s">
        <v>1484</v>
      </c>
      <c r="X3703" s="43">
        <v>1.5</v>
      </c>
      <c r="AA3703" s="43"/>
      <c r="AB3703" s="43">
        <v>0.1</v>
      </c>
      <c r="AC3703" s="43">
        <v>0.10349999999999999</v>
      </c>
      <c r="AK3703">
        <v>6007936</v>
      </c>
    </row>
    <row r="3704" spans="1:37" ht="19">
      <c r="A3704" s="39" t="s">
        <v>17</v>
      </c>
      <c r="B3704" s="8">
        <v>2024</v>
      </c>
      <c r="C3704" s="8" t="s">
        <v>109</v>
      </c>
      <c r="D3704" s="9" t="s">
        <v>109</v>
      </c>
      <c r="E3704" s="9" t="s">
        <v>111</v>
      </c>
      <c r="F3704" s="9" t="s">
        <v>111</v>
      </c>
      <c r="I3704" s="9" t="s">
        <v>14</v>
      </c>
      <c r="J3704" s="14" t="s">
        <v>14</v>
      </c>
      <c r="K3704" s="9" t="s">
        <v>14</v>
      </c>
      <c r="L3704" s="9" t="s">
        <v>209</v>
      </c>
      <c r="M3704" t="s">
        <v>125</v>
      </c>
      <c r="O3704" t="s">
        <v>2682</v>
      </c>
      <c r="P3704" t="s">
        <v>2685</v>
      </c>
      <c r="S3704">
        <v>655</v>
      </c>
      <c r="U3704" t="s">
        <v>112</v>
      </c>
      <c r="V3704" t="s">
        <v>1484</v>
      </c>
      <c r="X3704" s="43">
        <v>5.05</v>
      </c>
      <c r="AA3704" s="43"/>
      <c r="AB3704" s="43">
        <v>0.25</v>
      </c>
      <c r="AC3704" s="43">
        <v>0.36</v>
      </c>
      <c r="AK3704">
        <v>14467180</v>
      </c>
    </row>
    <row r="3705" spans="1:37" ht="19">
      <c r="A3705" s="39" t="s">
        <v>17</v>
      </c>
      <c r="B3705" s="8">
        <v>2024</v>
      </c>
      <c r="C3705" s="8" t="s">
        <v>109</v>
      </c>
      <c r="D3705" s="9" t="s">
        <v>109</v>
      </c>
      <c r="E3705" s="9" t="s">
        <v>111</v>
      </c>
      <c r="F3705" s="9" t="s">
        <v>111</v>
      </c>
      <c r="I3705" s="9" t="s">
        <v>14</v>
      </c>
      <c r="J3705" s="14" t="s">
        <v>14</v>
      </c>
      <c r="K3705" s="9" t="s">
        <v>14</v>
      </c>
      <c r="L3705" s="9" t="s">
        <v>209</v>
      </c>
      <c r="M3705" t="s">
        <v>125</v>
      </c>
      <c r="O3705" t="s">
        <v>2682</v>
      </c>
      <c r="P3705" t="s">
        <v>2400</v>
      </c>
      <c r="S3705">
        <v>266</v>
      </c>
      <c r="U3705" t="s">
        <v>112</v>
      </c>
      <c r="V3705" t="s">
        <v>1484</v>
      </c>
      <c r="X3705" s="43">
        <v>2.0499999999999998</v>
      </c>
      <c r="AA3705" s="43"/>
      <c r="AB3705" s="43">
        <v>0.1</v>
      </c>
      <c r="AC3705" s="43">
        <v>0.14849999999999999</v>
      </c>
      <c r="AK3705">
        <v>5875408</v>
      </c>
    </row>
    <row r="3706" spans="1:37" ht="19">
      <c r="A3706" s="39" t="s">
        <v>17</v>
      </c>
      <c r="B3706" s="8">
        <v>2024</v>
      </c>
      <c r="C3706" s="8" t="s">
        <v>109</v>
      </c>
      <c r="D3706" s="9" t="s">
        <v>109</v>
      </c>
      <c r="E3706" s="9" t="s">
        <v>111</v>
      </c>
      <c r="F3706" s="9" t="s">
        <v>111</v>
      </c>
      <c r="I3706" s="9" t="s">
        <v>14</v>
      </c>
      <c r="J3706" s="14" t="s">
        <v>14</v>
      </c>
      <c r="K3706" s="9" t="s">
        <v>14</v>
      </c>
      <c r="L3706" s="9" t="s">
        <v>209</v>
      </c>
      <c r="M3706" t="s">
        <v>125</v>
      </c>
      <c r="O3706" t="s">
        <v>511</v>
      </c>
      <c r="P3706" t="s">
        <v>2686</v>
      </c>
      <c r="S3706">
        <v>625</v>
      </c>
      <c r="U3706" t="s">
        <v>112</v>
      </c>
      <c r="V3706" t="s">
        <v>112</v>
      </c>
      <c r="X3706" s="43">
        <v>4.1500000000000004</v>
      </c>
      <c r="AA3706" s="43"/>
      <c r="AB3706" s="43">
        <v>0.25</v>
      </c>
      <c r="AC3706" s="43">
        <v>0.29699999999999999</v>
      </c>
      <c r="AK3706">
        <v>13664640</v>
      </c>
    </row>
    <row r="3707" spans="1:37" ht="19">
      <c r="A3707" s="39" t="s">
        <v>17</v>
      </c>
      <c r="B3707" s="8">
        <v>2024</v>
      </c>
      <c r="C3707" s="8" t="s">
        <v>109</v>
      </c>
      <c r="D3707" s="9" t="s">
        <v>109</v>
      </c>
      <c r="E3707" s="9" t="s">
        <v>111</v>
      </c>
      <c r="F3707" s="9" t="s">
        <v>111</v>
      </c>
      <c r="I3707" s="9" t="s">
        <v>14</v>
      </c>
      <c r="J3707" s="14" t="s">
        <v>14</v>
      </c>
      <c r="K3707" s="9" t="s">
        <v>14</v>
      </c>
      <c r="L3707" s="9" t="s">
        <v>209</v>
      </c>
      <c r="M3707" t="s">
        <v>125</v>
      </c>
      <c r="O3707" t="s">
        <v>511</v>
      </c>
      <c r="P3707" t="s">
        <v>2687</v>
      </c>
      <c r="S3707">
        <v>228</v>
      </c>
      <c r="U3707" t="s">
        <v>112</v>
      </c>
      <c r="V3707" t="s">
        <v>112</v>
      </c>
      <c r="X3707" s="43">
        <v>1.75</v>
      </c>
      <c r="AA3707" s="43"/>
      <c r="AB3707" s="43">
        <v>0.1</v>
      </c>
      <c r="AC3707" s="43">
        <v>0.126</v>
      </c>
      <c r="AK3707">
        <v>4951664</v>
      </c>
    </row>
    <row r="3708" spans="1:37" ht="19">
      <c r="A3708" s="39" t="s">
        <v>17</v>
      </c>
      <c r="B3708" s="8">
        <v>2024</v>
      </c>
      <c r="C3708" s="8" t="s">
        <v>109</v>
      </c>
      <c r="D3708" s="9" t="s">
        <v>109</v>
      </c>
      <c r="E3708" s="9" t="s">
        <v>111</v>
      </c>
      <c r="F3708" s="9" t="s">
        <v>111</v>
      </c>
      <c r="I3708" s="9" t="s">
        <v>14</v>
      </c>
      <c r="J3708" s="14" t="s">
        <v>14</v>
      </c>
      <c r="K3708" s="9" t="s">
        <v>14</v>
      </c>
      <c r="L3708" s="9" t="s">
        <v>209</v>
      </c>
      <c r="M3708" t="s">
        <v>125</v>
      </c>
      <c r="O3708" t="s">
        <v>511</v>
      </c>
      <c r="P3708" t="s">
        <v>2688</v>
      </c>
      <c r="S3708">
        <v>367</v>
      </c>
      <c r="U3708" t="s">
        <v>112</v>
      </c>
      <c r="V3708" t="s">
        <v>112</v>
      </c>
      <c r="X3708" s="43">
        <v>2.65</v>
      </c>
      <c r="AA3708" s="43"/>
      <c r="AB3708" s="43">
        <v>0.15</v>
      </c>
      <c r="AC3708" s="43">
        <v>0.189</v>
      </c>
      <c r="AK3708">
        <v>6306296</v>
      </c>
    </row>
    <row r="3709" spans="1:37" ht="19">
      <c r="A3709" s="39" t="s">
        <v>17</v>
      </c>
      <c r="B3709" s="8">
        <v>2024</v>
      </c>
      <c r="C3709" s="8" t="s">
        <v>109</v>
      </c>
      <c r="D3709" s="9" t="s">
        <v>109</v>
      </c>
      <c r="E3709" s="9" t="s">
        <v>111</v>
      </c>
      <c r="F3709" s="9" t="s">
        <v>111</v>
      </c>
      <c r="I3709" s="9" t="s">
        <v>14</v>
      </c>
      <c r="J3709" s="14" t="s">
        <v>14</v>
      </c>
      <c r="K3709" s="9" t="s">
        <v>14</v>
      </c>
      <c r="L3709" s="9" t="s">
        <v>209</v>
      </c>
      <c r="M3709" t="s">
        <v>125</v>
      </c>
      <c r="O3709" t="s">
        <v>2689</v>
      </c>
      <c r="P3709" t="s">
        <v>2690</v>
      </c>
      <c r="S3709">
        <v>300</v>
      </c>
      <c r="U3709" t="s">
        <v>112</v>
      </c>
      <c r="V3709" t="s">
        <v>1484</v>
      </c>
      <c r="X3709" s="43">
        <v>1.7</v>
      </c>
      <c r="AA3709" s="43"/>
      <c r="AB3709" s="43">
        <v>0.1</v>
      </c>
      <c r="AC3709" s="43">
        <v>0.11700000000000001</v>
      </c>
      <c r="AK3709">
        <v>6626400</v>
      </c>
    </row>
    <row r="3710" spans="1:37" ht="19">
      <c r="A3710" s="39" t="s">
        <v>17</v>
      </c>
      <c r="B3710" s="8">
        <v>2024</v>
      </c>
      <c r="C3710" s="8" t="s">
        <v>109</v>
      </c>
      <c r="D3710" s="9" t="s">
        <v>109</v>
      </c>
      <c r="E3710" s="9" t="s">
        <v>111</v>
      </c>
      <c r="F3710" s="9" t="s">
        <v>111</v>
      </c>
      <c r="I3710" s="9" t="s">
        <v>14</v>
      </c>
      <c r="J3710" s="14" t="s">
        <v>14</v>
      </c>
      <c r="K3710" s="9" t="s">
        <v>14</v>
      </c>
      <c r="L3710" s="9" t="s">
        <v>209</v>
      </c>
      <c r="M3710" t="s">
        <v>125</v>
      </c>
      <c r="O3710" t="s">
        <v>2691</v>
      </c>
      <c r="P3710" t="s">
        <v>2692</v>
      </c>
      <c r="S3710">
        <v>385</v>
      </c>
      <c r="U3710" t="s">
        <v>112</v>
      </c>
      <c r="V3710" t="s">
        <v>1484</v>
      </c>
      <c r="X3710" s="43">
        <v>2.7</v>
      </c>
      <c r="AA3710" s="43"/>
      <c r="AB3710" s="43">
        <v>0.15</v>
      </c>
      <c r="AC3710" s="43">
        <v>0.21149999999999999</v>
      </c>
      <c r="AK3710">
        <v>8503880</v>
      </c>
    </row>
    <row r="3711" spans="1:37" ht="19">
      <c r="A3711" s="39" t="s">
        <v>17</v>
      </c>
      <c r="B3711" s="8">
        <v>2024</v>
      </c>
      <c r="C3711" s="8" t="s">
        <v>109</v>
      </c>
      <c r="D3711" s="9" t="s">
        <v>109</v>
      </c>
      <c r="E3711" s="9" t="s">
        <v>111</v>
      </c>
      <c r="F3711" s="9" t="s">
        <v>111</v>
      </c>
      <c r="I3711" s="9" t="s">
        <v>14</v>
      </c>
      <c r="J3711" s="14" t="s">
        <v>14</v>
      </c>
      <c r="K3711" s="9" t="s">
        <v>14</v>
      </c>
      <c r="L3711" s="9" t="s">
        <v>209</v>
      </c>
      <c r="M3711" t="s">
        <v>125</v>
      </c>
      <c r="O3711" t="s">
        <v>2691</v>
      </c>
      <c r="P3711" t="s">
        <v>2691</v>
      </c>
      <c r="S3711">
        <v>523</v>
      </c>
      <c r="U3711" s="14" t="s">
        <v>77</v>
      </c>
      <c r="V3711" t="s">
        <v>1720</v>
      </c>
      <c r="X3711" s="43">
        <v>4.05</v>
      </c>
      <c r="AA3711" s="43"/>
      <c r="AB3711" s="43">
        <v>0.9</v>
      </c>
      <c r="AC3711" s="43">
        <v>0.28799999999999998</v>
      </c>
      <c r="AJ3711" s="13">
        <f>SUBTOTAL(9,X3711:AI3711)</f>
        <v>5.2380000000000004</v>
      </c>
      <c r="AK3711">
        <v>0</v>
      </c>
    </row>
    <row r="3712" spans="1:37" ht="19">
      <c r="A3712" s="39" t="s">
        <v>17</v>
      </c>
      <c r="B3712" s="8">
        <v>2024</v>
      </c>
      <c r="C3712" s="8" t="s">
        <v>109</v>
      </c>
      <c r="D3712" s="9" t="s">
        <v>109</v>
      </c>
      <c r="E3712" s="9" t="s">
        <v>111</v>
      </c>
      <c r="F3712" s="9" t="s">
        <v>111</v>
      </c>
      <c r="I3712" s="9" t="s">
        <v>14</v>
      </c>
      <c r="J3712" s="14" t="s">
        <v>14</v>
      </c>
      <c r="K3712" s="9" t="s">
        <v>14</v>
      </c>
      <c r="L3712" s="9" t="s">
        <v>209</v>
      </c>
      <c r="M3712" t="s">
        <v>125</v>
      </c>
      <c r="O3712" t="s">
        <v>2691</v>
      </c>
      <c r="P3712" t="s">
        <v>2549</v>
      </c>
      <c r="S3712">
        <v>455</v>
      </c>
      <c r="U3712" t="s">
        <v>112</v>
      </c>
      <c r="V3712" t="s">
        <v>1484</v>
      </c>
      <c r="X3712" s="43">
        <v>3</v>
      </c>
      <c r="AA3712" s="43"/>
      <c r="AB3712" s="43">
        <v>0.2</v>
      </c>
      <c r="AC3712" s="43">
        <v>0.216</v>
      </c>
      <c r="AK3712">
        <v>10050040</v>
      </c>
    </row>
    <row r="3713" spans="1:37" ht="19">
      <c r="A3713" s="39" t="s">
        <v>17</v>
      </c>
      <c r="B3713" s="8">
        <v>2024</v>
      </c>
      <c r="C3713" s="8" t="s">
        <v>109</v>
      </c>
      <c r="D3713" s="9" t="s">
        <v>109</v>
      </c>
      <c r="E3713" s="9" t="s">
        <v>111</v>
      </c>
      <c r="F3713" s="9" t="s">
        <v>111</v>
      </c>
      <c r="I3713" s="9" t="s">
        <v>14</v>
      </c>
      <c r="J3713" s="14" t="s">
        <v>14</v>
      </c>
      <c r="K3713" s="9" t="s">
        <v>14</v>
      </c>
      <c r="L3713" s="9" t="s">
        <v>209</v>
      </c>
      <c r="M3713" t="s">
        <v>125</v>
      </c>
      <c r="O3713" t="s">
        <v>2691</v>
      </c>
      <c r="P3713" t="s">
        <v>2693</v>
      </c>
      <c r="S3713">
        <v>482</v>
      </c>
      <c r="U3713" s="14" t="s">
        <v>77</v>
      </c>
      <c r="V3713" t="s">
        <v>1720</v>
      </c>
      <c r="X3713" s="43">
        <v>2.75</v>
      </c>
      <c r="AA3713" s="43"/>
      <c r="AB3713" s="43">
        <v>0.6</v>
      </c>
      <c r="AC3713" s="43">
        <v>0.19800000000000001</v>
      </c>
      <c r="AJ3713" s="13">
        <f t="shared" ref="AJ3713:AJ3714" si="334">SUBTOTAL(9,X3713:AI3713)</f>
        <v>3.548</v>
      </c>
      <c r="AK3713">
        <v>0</v>
      </c>
    </row>
    <row r="3714" spans="1:37" ht="19">
      <c r="A3714" s="39" t="s">
        <v>17</v>
      </c>
      <c r="B3714" s="8">
        <v>2024</v>
      </c>
      <c r="C3714" s="8" t="s">
        <v>109</v>
      </c>
      <c r="D3714" s="9" t="s">
        <v>109</v>
      </c>
      <c r="E3714" s="9" t="s">
        <v>111</v>
      </c>
      <c r="F3714" s="9" t="s">
        <v>111</v>
      </c>
      <c r="I3714" s="9" t="s">
        <v>14</v>
      </c>
      <c r="J3714" s="14" t="s">
        <v>14</v>
      </c>
      <c r="K3714" s="9" t="s">
        <v>14</v>
      </c>
      <c r="L3714" s="9" t="s">
        <v>209</v>
      </c>
      <c r="M3714" t="s">
        <v>125</v>
      </c>
      <c r="O3714" t="s">
        <v>2694</v>
      </c>
      <c r="P3714" t="s">
        <v>2694</v>
      </c>
      <c r="S3714">
        <v>416</v>
      </c>
      <c r="U3714" s="14" t="s">
        <v>77</v>
      </c>
      <c r="V3714" t="s">
        <v>1720</v>
      </c>
      <c r="X3714" s="43">
        <v>2.7</v>
      </c>
      <c r="AA3714" s="43"/>
      <c r="AB3714" s="43">
        <v>0.6</v>
      </c>
      <c r="AC3714" s="43">
        <v>0.19350000000000001</v>
      </c>
      <c r="AJ3714" s="13">
        <f t="shared" si="334"/>
        <v>3.4935</v>
      </c>
      <c r="AK3714">
        <v>0</v>
      </c>
    </row>
    <row r="3715" spans="1:37" ht="19">
      <c r="A3715" s="39" t="s">
        <v>17</v>
      </c>
      <c r="B3715" s="8">
        <v>2024</v>
      </c>
      <c r="C3715" s="8" t="s">
        <v>109</v>
      </c>
      <c r="D3715" s="9" t="s">
        <v>109</v>
      </c>
      <c r="E3715" s="9" t="s">
        <v>111</v>
      </c>
      <c r="F3715" s="9" t="s">
        <v>111</v>
      </c>
      <c r="I3715" s="9" t="s">
        <v>14</v>
      </c>
      <c r="J3715" s="14" t="s">
        <v>14</v>
      </c>
      <c r="K3715" s="9" t="s">
        <v>14</v>
      </c>
      <c r="L3715" s="9" t="s">
        <v>209</v>
      </c>
      <c r="M3715" t="s">
        <v>125</v>
      </c>
      <c r="O3715" t="s">
        <v>555</v>
      </c>
      <c r="P3715" t="s">
        <v>2695</v>
      </c>
      <c r="S3715">
        <v>338</v>
      </c>
      <c r="U3715" t="s">
        <v>112</v>
      </c>
      <c r="V3715" t="s">
        <v>1484</v>
      </c>
      <c r="X3715" s="43">
        <v>1.95</v>
      </c>
      <c r="AA3715" s="43"/>
      <c r="AB3715" s="43">
        <v>0.15</v>
      </c>
      <c r="AC3715" s="43">
        <v>0.14399999999999999</v>
      </c>
      <c r="AK3715">
        <v>7465744</v>
      </c>
    </row>
    <row r="3716" spans="1:37" ht="19">
      <c r="A3716" s="39" t="s">
        <v>17</v>
      </c>
      <c r="B3716" s="8">
        <v>2024</v>
      </c>
      <c r="C3716" s="8" t="s">
        <v>109</v>
      </c>
      <c r="D3716" s="9" t="s">
        <v>109</v>
      </c>
      <c r="E3716" s="9" t="s">
        <v>111</v>
      </c>
      <c r="F3716" s="9" t="s">
        <v>111</v>
      </c>
      <c r="I3716" s="9" t="s">
        <v>14</v>
      </c>
      <c r="J3716" s="14" t="s">
        <v>14</v>
      </c>
      <c r="K3716" s="9" t="s">
        <v>14</v>
      </c>
      <c r="L3716" s="9" t="s">
        <v>209</v>
      </c>
      <c r="M3716" t="s">
        <v>125</v>
      </c>
      <c r="O3716" t="s">
        <v>2694</v>
      </c>
      <c r="P3716" t="s">
        <v>2696</v>
      </c>
      <c r="S3716">
        <v>457</v>
      </c>
      <c r="U3716" s="14" t="s">
        <v>77</v>
      </c>
      <c r="V3716" t="s">
        <v>1720</v>
      </c>
      <c r="X3716" s="43">
        <v>3.4</v>
      </c>
      <c r="AA3716" s="43"/>
      <c r="AB3716" s="43">
        <v>0.75</v>
      </c>
      <c r="AC3716" s="43">
        <v>0.24299999999999999</v>
      </c>
      <c r="AJ3716" s="13">
        <f t="shared" ref="AJ3716:AJ3717" si="335">SUBTOTAL(9,X3716:AI3716)</f>
        <v>4.3930000000000007</v>
      </c>
      <c r="AK3716">
        <v>0</v>
      </c>
    </row>
    <row r="3717" spans="1:37" ht="19">
      <c r="A3717" s="39" t="s">
        <v>17</v>
      </c>
      <c r="B3717" s="8">
        <v>2024</v>
      </c>
      <c r="C3717" s="8" t="s">
        <v>109</v>
      </c>
      <c r="D3717" s="9" t="s">
        <v>109</v>
      </c>
      <c r="E3717" s="9" t="s">
        <v>111</v>
      </c>
      <c r="F3717" s="9" t="s">
        <v>111</v>
      </c>
      <c r="I3717" s="9" t="s">
        <v>14</v>
      </c>
      <c r="J3717" s="14" t="s">
        <v>14</v>
      </c>
      <c r="K3717" s="9" t="s">
        <v>14</v>
      </c>
      <c r="L3717" s="9" t="s">
        <v>209</v>
      </c>
      <c r="M3717" t="s">
        <v>125</v>
      </c>
      <c r="O3717" t="s">
        <v>478</v>
      </c>
      <c r="P3717" t="s">
        <v>2697</v>
      </c>
      <c r="S3717">
        <v>485</v>
      </c>
      <c r="U3717" s="14" t="s">
        <v>77</v>
      </c>
      <c r="V3717" t="s">
        <v>1720</v>
      </c>
      <c r="X3717" s="43">
        <v>3.75</v>
      </c>
      <c r="AA3717" s="43"/>
      <c r="AB3717" s="43">
        <v>0.85</v>
      </c>
      <c r="AC3717" s="43">
        <v>0.26550000000000001</v>
      </c>
      <c r="AJ3717" s="13">
        <f t="shared" si="335"/>
        <v>4.8654999999999999</v>
      </c>
      <c r="AK3717">
        <v>0</v>
      </c>
    </row>
    <row r="3718" spans="1:37" ht="19">
      <c r="A3718" s="39" t="s">
        <v>17</v>
      </c>
      <c r="B3718" s="8">
        <v>2024</v>
      </c>
      <c r="C3718" s="8" t="s">
        <v>109</v>
      </c>
      <c r="D3718" s="9" t="s">
        <v>109</v>
      </c>
      <c r="E3718" s="9" t="s">
        <v>111</v>
      </c>
      <c r="F3718" s="9" t="s">
        <v>111</v>
      </c>
      <c r="I3718" s="9" t="s">
        <v>14</v>
      </c>
      <c r="J3718" s="14" t="s">
        <v>14</v>
      </c>
      <c r="K3718" s="9" t="s">
        <v>14</v>
      </c>
      <c r="L3718" s="9" t="s">
        <v>209</v>
      </c>
      <c r="M3718" t="s">
        <v>125</v>
      </c>
      <c r="O3718" t="s">
        <v>2698</v>
      </c>
      <c r="P3718" t="s">
        <v>2699</v>
      </c>
      <c r="S3718">
        <v>309</v>
      </c>
      <c r="U3718" t="s">
        <v>112</v>
      </c>
      <c r="V3718" t="s">
        <v>1484</v>
      </c>
      <c r="X3718" s="43">
        <v>1.7</v>
      </c>
      <c r="AA3718" s="43"/>
      <c r="AB3718" s="43">
        <v>0.15</v>
      </c>
      <c r="AC3718" s="43">
        <v>0.126</v>
      </c>
      <c r="AK3718">
        <v>6825192</v>
      </c>
    </row>
    <row r="3719" spans="1:37" ht="19">
      <c r="A3719" s="39" t="s">
        <v>17</v>
      </c>
      <c r="B3719" s="8">
        <v>2024</v>
      </c>
      <c r="C3719" s="8" t="s">
        <v>109</v>
      </c>
      <c r="D3719" s="9" t="s">
        <v>109</v>
      </c>
      <c r="E3719" s="9" t="s">
        <v>111</v>
      </c>
      <c r="F3719" s="9" t="s">
        <v>111</v>
      </c>
      <c r="I3719" s="9" t="s">
        <v>14</v>
      </c>
      <c r="J3719" s="14" t="s">
        <v>14</v>
      </c>
      <c r="K3719" s="9" t="s">
        <v>14</v>
      </c>
      <c r="L3719" s="9" t="s">
        <v>209</v>
      </c>
      <c r="M3719" t="s">
        <v>125</v>
      </c>
      <c r="O3719" t="s">
        <v>2698</v>
      </c>
      <c r="P3719" t="s">
        <v>2700</v>
      </c>
      <c r="S3719">
        <v>207</v>
      </c>
      <c r="U3719" t="s">
        <v>112</v>
      </c>
      <c r="V3719" t="s">
        <v>1484</v>
      </c>
      <c r="X3719" s="43">
        <v>0</v>
      </c>
      <c r="AA3719" s="43"/>
      <c r="AB3719" s="43">
        <v>0</v>
      </c>
      <c r="AC3719" s="43">
        <v>0</v>
      </c>
      <c r="AK3719">
        <v>4572216</v>
      </c>
    </row>
    <row r="3720" spans="1:37" ht="19">
      <c r="A3720" s="39" t="s">
        <v>17</v>
      </c>
      <c r="B3720" s="8">
        <v>2024</v>
      </c>
      <c r="C3720" s="8" t="s">
        <v>109</v>
      </c>
      <c r="D3720" s="9" t="s">
        <v>109</v>
      </c>
      <c r="E3720" s="9" t="s">
        <v>111</v>
      </c>
      <c r="F3720" s="9" t="s">
        <v>111</v>
      </c>
      <c r="I3720" s="9" t="s">
        <v>14</v>
      </c>
      <c r="J3720" s="14" t="s">
        <v>14</v>
      </c>
      <c r="K3720" s="9" t="s">
        <v>14</v>
      </c>
      <c r="L3720" s="9" t="s">
        <v>209</v>
      </c>
      <c r="M3720" t="s">
        <v>125</v>
      </c>
      <c r="O3720" t="s">
        <v>2672</v>
      </c>
      <c r="P3720" t="s">
        <v>2701</v>
      </c>
      <c r="S3720">
        <v>192</v>
      </c>
      <c r="U3720" s="14" t="s">
        <v>77</v>
      </c>
      <c r="V3720" t="s">
        <v>1720</v>
      </c>
      <c r="X3720" s="43">
        <v>1.05</v>
      </c>
      <c r="AA3720" s="43"/>
      <c r="AB3720" s="43">
        <v>0.35</v>
      </c>
      <c r="AC3720" s="43">
        <v>7.6499999999999999E-2</v>
      </c>
      <c r="AJ3720" s="13">
        <f>SUBTOTAL(9,X3720:AI3720)</f>
        <v>1.4764999999999999</v>
      </c>
      <c r="AK3720">
        <v>0</v>
      </c>
    </row>
    <row r="3721" spans="1:37" ht="19">
      <c r="A3721" s="39" t="s">
        <v>17</v>
      </c>
      <c r="B3721" s="8">
        <v>2024</v>
      </c>
      <c r="C3721" s="8" t="s">
        <v>109</v>
      </c>
      <c r="D3721" s="9" t="s">
        <v>109</v>
      </c>
      <c r="E3721" s="9" t="s">
        <v>111</v>
      </c>
      <c r="F3721" s="9" t="s">
        <v>111</v>
      </c>
      <c r="I3721" s="9" t="s">
        <v>14</v>
      </c>
      <c r="J3721" s="14" t="s">
        <v>14</v>
      </c>
      <c r="K3721" s="9" t="s">
        <v>14</v>
      </c>
      <c r="L3721" s="9" t="s">
        <v>209</v>
      </c>
      <c r="M3721" t="s">
        <v>126</v>
      </c>
      <c r="O3721" t="s">
        <v>2702</v>
      </c>
      <c r="P3721" t="s">
        <v>2703</v>
      </c>
      <c r="S3721">
        <v>654</v>
      </c>
      <c r="U3721" t="s">
        <v>112</v>
      </c>
      <c r="V3721" t="s">
        <v>112</v>
      </c>
      <c r="X3721" s="43">
        <v>4.1500000000000004</v>
      </c>
      <c r="AA3721" s="43"/>
      <c r="AB3721" s="43">
        <v>0.25</v>
      </c>
      <c r="AC3721" s="43">
        <v>0.36</v>
      </c>
      <c r="AK3721">
        <v>14445552</v>
      </c>
    </row>
    <row r="3722" spans="1:37" ht="19">
      <c r="A3722" s="39" t="s">
        <v>17</v>
      </c>
      <c r="B3722" s="8">
        <v>2024</v>
      </c>
      <c r="C3722" s="8" t="s">
        <v>109</v>
      </c>
      <c r="D3722" s="9" t="s">
        <v>109</v>
      </c>
      <c r="E3722" s="9" t="s">
        <v>111</v>
      </c>
      <c r="F3722" s="9" t="s">
        <v>111</v>
      </c>
      <c r="I3722" s="9" t="s">
        <v>14</v>
      </c>
      <c r="J3722" s="14" t="s">
        <v>14</v>
      </c>
      <c r="K3722" s="9" t="s">
        <v>14</v>
      </c>
      <c r="L3722" s="9" t="s">
        <v>209</v>
      </c>
      <c r="M3722" t="s">
        <v>126</v>
      </c>
      <c r="O3722" t="s">
        <v>2704</v>
      </c>
      <c r="P3722" t="s">
        <v>2705</v>
      </c>
      <c r="S3722">
        <v>268</v>
      </c>
      <c r="U3722" t="s">
        <v>112</v>
      </c>
      <c r="V3722" t="s">
        <v>112</v>
      </c>
      <c r="X3722" s="43">
        <v>2.0499999999999998</v>
      </c>
      <c r="AA3722" s="43"/>
      <c r="AB3722" s="43">
        <v>0.1</v>
      </c>
      <c r="AC3722" s="43">
        <v>0.14849999999999999</v>
      </c>
      <c r="AK3722">
        <v>5919584</v>
      </c>
    </row>
    <row r="3723" spans="1:37" ht="19">
      <c r="A3723" s="39" t="s">
        <v>17</v>
      </c>
      <c r="B3723" s="8">
        <v>2024</v>
      </c>
      <c r="C3723" s="8" t="s">
        <v>109</v>
      </c>
      <c r="D3723" s="9" t="s">
        <v>109</v>
      </c>
      <c r="E3723" s="9" t="s">
        <v>111</v>
      </c>
      <c r="F3723" s="9" t="s">
        <v>111</v>
      </c>
      <c r="I3723" s="9" t="s">
        <v>14</v>
      </c>
      <c r="J3723" s="14" t="s">
        <v>14</v>
      </c>
      <c r="K3723" s="9" t="s">
        <v>14</v>
      </c>
      <c r="L3723" s="9" t="s">
        <v>209</v>
      </c>
      <c r="M3723" t="s">
        <v>126</v>
      </c>
      <c r="O3723" t="s">
        <v>2704</v>
      </c>
      <c r="P3723" t="s">
        <v>2706</v>
      </c>
      <c r="S3723">
        <v>247</v>
      </c>
      <c r="U3723" t="s">
        <v>112</v>
      </c>
      <c r="V3723" t="s">
        <v>1484</v>
      </c>
      <c r="X3723" s="43">
        <v>1.55</v>
      </c>
      <c r="AA3723" s="43"/>
      <c r="AB3723" s="43">
        <v>0.1</v>
      </c>
      <c r="AC3723" s="43">
        <v>0.13500000000000001</v>
      </c>
      <c r="AK3723">
        <v>5455736</v>
      </c>
    </row>
    <row r="3724" spans="1:37" ht="19">
      <c r="A3724" s="39" t="s">
        <v>17</v>
      </c>
      <c r="B3724" s="8">
        <v>2024</v>
      </c>
      <c r="C3724" s="8" t="s">
        <v>109</v>
      </c>
      <c r="D3724" s="9" t="s">
        <v>109</v>
      </c>
      <c r="E3724" s="9" t="s">
        <v>111</v>
      </c>
      <c r="F3724" s="9" t="s">
        <v>111</v>
      </c>
      <c r="I3724" s="9" t="s">
        <v>14</v>
      </c>
      <c r="J3724" s="14" t="s">
        <v>14</v>
      </c>
      <c r="K3724" s="9" t="s">
        <v>14</v>
      </c>
      <c r="L3724" s="9" t="s">
        <v>209</v>
      </c>
      <c r="M3724" t="s">
        <v>126</v>
      </c>
      <c r="O3724" t="s">
        <v>2702</v>
      </c>
      <c r="P3724" t="s">
        <v>2707</v>
      </c>
      <c r="S3724">
        <v>410</v>
      </c>
      <c r="U3724" t="s">
        <v>112</v>
      </c>
      <c r="V3724" t="s">
        <v>112</v>
      </c>
      <c r="X3724" s="43">
        <v>2.75</v>
      </c>
      <c r="AA3724" s="43"/>
      <c r="AB3724" s="43">
        <v>0.15</v>
      </c>
      <c r="AC3724" s="43">
        <v>0.22500000000000001</v>
      </c>
      <c r="AK3724">
        <v>9056080</v>
      </c>
    </row>
    <row r="3725" spans="1:37" ht="19">
      <c r="A3725" s="39" t="s">
        <v>17</v>
      </c>
      <c r="B3725" s="8">
        <v>2024</v>
      </c>
      <c r="C3725" s="8" t="s">
        <v>109</v>
      </c>
      <c r="D3725" s="9" t="s">
        <v>109</v>
      </c>
      <c r="E3725" s="9" t="s">
        <v>111</v>
      </c>
      <c r="F3725" s="9" t="s">
        <v>111</v>
      </c>
      <c r="I3725" s="9" t="s">
        <v>14</v>
      </c>
      <c r="J3725" s="14" t="s">
        <v>14</v>
      </c>
      <c r="K3725" s="9" t="s">
        <v>14</v>
      </c>
      <c r="L3725" s="9" t="s">
        <v>209</v>
      </c>
      <c r="M3725" t="s">
        <v>126</v>
      </c>
      <c r="O3725" t="s">
        <v>2704</v>
      </c>
      <c r="P3725" t="s">
        <v>2708</v>
      </c>
      <c r="S3725">
        <v>1770</v>
      </c>
      <c r="U3725" t="s">
        <v>112</v>
      </c>
      <c r="V3725" t="s">
        <v>112</v>
      </c>
      <c r="X3725" s="43">
        <v>11.75</v>
      </c>
      <c r="AA3725" s="43"/>
      <c r="AB3725" s="43">
        <v>0.6</v>
      </c>
      <c r="AC3725" s="43">
        <v>0.97199999999999998</v>
      </c>
      <c r="AK3725">
        <v>39069110</v>
      </c>
    </row>
    <row r="3726" spans="1:37" ht="19">
      <c r="A3726" s="39" t="s">
        <v>17</v>
      </c>
      <c r="B3726" s="8">
        <v>2024</v>
      </c>
      <c r="C3726" s="8" t="s">
        <v>109</v>
      </c>
      <c r="D3726" s="9" t="s">
        <v>109</v>
      </c>
      <c r="E3726" s="9" t="s">
        <v>111</v>
      </c>
      <c r="F3726" s="9" t="s">
        <v>111</v>
      </c>
      <c r="I3726" s="9" t="s">
        <v>14</v>
      </c>
      <c r="J3726" s="14" t="s">
        <v>14</v>
      </c>
      <c r="K3726" s="9" t="s">
        <v>14</v>
      </c>
      <c r="L3726" s="9" t="s">
        <v>209</v>
      </c>
      <c r="M3726" t="s">
        <v>126</v>
      </c>
      <c r="O3726" t="s">
        <v>2704</v>
      </c>
      <c r="P3726" t="s">
        <v>2709</v>
      </c>
      <c r="S3726">
        <v>390</v>
      </c>
      <c r="U3726" t="s">
        <v>112</v>
      </c>
      <c r="V3726" t="s">
        <v>1484</v>
      </c>
      <c r="X3726" s="43">
        <v>2.6</v>
      </c>
      <c r="AA3726" s="43"/>
      <c r="AB3726" s="43">
        <v>0.15</v>
      </c>
      <c r="AC3726" s="43">
        <v>0.216</v>
      </c>
      <c r="AK3726">
        <v>8614320</v>
      </c>
    </row>
    <row r="3727" spans="1:37" ht="19">
      <c r="A3727" s="39" t="s">
        <v>17</v>
      </c>
      <c r="B3727" s="8">
        <v>2024</v>
      </c>
      <c r="C3727" s="8" t="s">
        <v>109</v>
      </c>
      <c r="D3727" s="9" t="s">
        <v>109</v>
      </c>
      <c r="E3727" s="9" t="s">
        <v>111</v>
      </c>
      <c r="F3727" s="9" t="s">
        <v>111</v>
      </c>
      <c r="I3727" s="9" t="s">
        <v>14</v>
      </c>
      <c r="J3727" s="14" t="s">
        <v>14</v>
      </c>
      <c r="K3727" s="9" t="s">
        <v>14</v>
      </c>
      <c r="L3727" s="9" t="s">
        <v>209</v>
      </c>
      <c r="M3727" t="s">
        <v>126</v>
      </c>
      <c r="O3727" t="s">
        <v>2710</v>
      </c>
      <c r="P3727" t="s">
        <v>2711</v>
      </c>
      <c r="S3727">
        <v>208</v>
      </c>
      <c r="U3727" t="s">
        <v>112</v>
      </c>
      <c r="V3727" t="s">
        <v>1484</v>
      </c>
      <c r="X3727" s="43">
        <v>1.2</v>
      </c>
      <c r="AA3727" s="43"/>
      <c r="AB3727" s="43">
        <v>0.1</v>
      </c>
      <c r="AC3727" s="43">
        <v>0.1125</v>
      </c>
      <c r="AK3727">
        <v>4594304</v>
      </c>
    </row>
    <row r="3728" spans="1:37" ht="19">
      <c r="A3728" s="39" t="s">
        <v>17</v>
      </c>
      <c r="B3728" s="8">
        <v>2024</v>
      </c>
      <c r="C3728" s="8" t="s">
        <v>109</v>
      </c>
      <c r="D3728" s="9" t="s">
        <v>109</v>
      </c>
      <c r="E3728" s="9" t="s">
        <v>111</v>
      </c>
      <c r="F3728" s="9" t="s">
        <v>111</v>
      </c>
      <c r="I3728" s="9" t="s">
        <v>14</v>
      </c>
      <c r="J3728" s="14" t="s">
        <v>14</v>
      </c>
      <c r="K3728" s="9" t="s">
        <v>14</v>
      </c>
      <c r="L3728" s="9" t="s">
        <v>209</v>
      </c>
      <c r="M3728" t="s">
        <v>126</v>
      </c>
      <c r="O3728" t="s">
        <v>2712</v>
      </c>
      <c r="P3728" t="s">
        <v>2713</v>
      </c>
      <c r="S3728">
        <v>892</v>
      </c>
      <c r="U3728" t="s">
        <v>112</v>
      </c>
      <c r="V3728" t="s">
        <v>1484</v>
      </c>
      <c r="X3728" s="43">
        <v>5</v>
      </c>
      <c r="AA3728" s="43"/>
      <c r="AB3728" s="43">
        <v>0.3</v>
      </c>
      <c r="AC3728" s="43">
        <v>0.49049999999999999</v>
      </c>
      <c r="AK3728">
        <v>19702496</v>
      </c>
    </row>
    <row r="3729" spans="1:37" ht="19">
      <c r="A3729" s="39" t="s">
        <v>17</v>
      </c>
      <c r="B3729" s="8">
        <v>2024</v>
      </c>
      <c r="C3729" s="8" t="s">
        <v>109</v>
      </c>
      <c r="D3729" s="9" t="s">
        <v>109</v>
      </c>
      <c r="E3729" s="9" t="s">
        <v>111</v>
      </c>
      <c r="F3729" s="9" t="s">
        <v>111</v>
      </c>
      <c r="I3729" s="9" t="s">
        <v>14</v>
      </c>
      <c r="J3729" s="14" t="s">
        <v>14</v>
      </c>
      <c r="K3729" s="9" t="s">
        <v>14</v>
      </c>
      <c r="L3729" s="9" t="s">
        <v>209</v>
      </c>
      <c r="M3729" t="s">
        <v>126</v>
      </c>
      <c r="O3729" t="s">
        <v>2712</v>
      </c>
      <c r="P3729" t="s">
        <v>2714</v>
      </c>
      <c r="S3729">
        <v>225</v>
      </c>
      <c r="U3729" t="s">
        <v>112</v>
      </c>
      <c r="V3729" t="s">
        <v>1484</v>
      </c>
      <c r="X3729" s="43">
        <v>1.2</v>
      </c>
      <c r="AA3729" s="43"/>
      <c r="AB3729" s="43">
        <v>0.1</v>
      </c>
      <c r="AC3729" s="43">
        <v>0.126</v>
      </c>
      <c r="AK3729">
        <v>4969800</v>
      </c>
    </row>
    <row r="3730" spans="1:37" ht="19">
      <c r="A3730" s="39" t="s">
        <v>17</v>
      </c>
      <c r="B3730" s="8">
        <v>2024</v>
      </c>
      <c r="C3730" s="8" t="s">
        <v>109</v>
      </c>
      <c r="D3730" s="9" t="s">
        <v>109</v>
      </c>
      <c r="E3730" s="9" t="s">
        <v>111</v>
      </c>
      <c r="F3730" s="9" t="s">
        <v>111</v>
      </c>
      <c r="I3730" s="9" t="s">
        <v>14</v>
      </c>
      <c r="J3730" s="14" t="s">
        <v>14</v>
      </c>
      <c r="K3730" s="9" t="s">
        <v>14</v>
      </c>
      <c r="L3730" s="9" t="s">
        <v>209</v>
      </c>
      <c r="M3730" t="s">
        <v>126</v>
      </c>
      <c r="O3730" t="s">
        <v>2712</v>
      </c>
      <c r="P3730" t="s">
        <v>2715</v>
      </c>
      <c r="S3730">
        <v>330</v>
      </c>
      <c r="U3730" t="s">
        <v>112</v>
      </c>
      <c r="V3730" t="s">
        <v>1484</v>
      </c>
      <c r="X3730" s="43">
        <v>1.9</v>
      </c>
      <c r="AA3730" s="43"/>
      <c r="AB3730" s="43">
        <v>0.15</v>
      </c>
      <c r="AC3730" s="43">
        <v>0.18</v>
      </c>
      <c r="AK3730">
        <v>7289040</v>
      </c>
    </row>
    <row r="3731" spans="1:37" ht="19">
      <c r="A3731" s="39" t="s">
        <v>17</v>
      </c>
      <c r="B3731" s="8">
        <v>2024</v>
      </c>
      <c r="C3731" s="8" t="s">
        <v>109</v>
      </c>
      <c r="D3731" s="9" t="s">
        <v>109</v>
      </c>
      <c r="E3731" s="9" t="s">
        <v>111</v>
      </c>
      <c r="F3731" s="9" t="s">
        <v>111</v>
      </c>
      <c r="I3731" s="9" t="s">
        <v>14</v>
      </c>
      <c r="J3731" s="14" t="s">
        <v>14</v>
      </c>
      <c r="K3731" s="9" t="s">
        <v>14</v>
      </c>
      <c r="L3731" s="9" t="s">
        <v>209</v>
      </c>
      <c r="M3731" t="s">
        <v>126</v>
      </c>
      <c r="O3731" t="s">
        <v>2716</v>
      </c>
      <c r="P3731" t="s">
        <v>2717</v>
      </c>
      <c r="S3731">
        <v>330</v>
      </c>
      <c r="U3731" t="s">
        <v>112</v>
      </c>
      <c r="V3731" t="s">
        <v>112</v>
      </c>
      <c r="X3731" s="43">
        <v>2</v>
      </c>
      <c r="AA3731" s="43"/>
      <c r="AB3731" s="43">
        <v>0.15</v>
      </c>
      <c r="AC3731" s="43">
        <v>0.18</v>
      </c>
      <c r="AK3731">
        <v>7289040</v>
      </c>
    </row>
    <row r="3732" spans="1:37" ht="19">
      <c r="A3732" s="39" t="s">
        <v>17</v>
      </c>
      <c r="B3732" s="8">
        <v>2024</v>
      </c>
      <c r="C3732" s="8" t="s">
        <v>109</v>
      </c>
      <c r="D3732" s="9" t="s">
        <v>109</v>
      </c>
      <c r="E3732" s="9" t="s">
        <v>111</v>
      </c>
      <c r="F3732" s="9" t="s">
        <v>111</v>
      </c>
      <c r="I3732" s="9" t="s">
        <v>14</v>
      </c>
      <c r="J3732" s="14" t="s">
        <v>14</v>
      </c>
      <c r="K3732" s="9" t="s">
        <v>14</v>
      </c>
      <c r="L3732" s="9" t="s">
        <v>209</v>
      </c>
      <c r="M3732" t="s">
        <v>126</v>
      </c>
      <c r="O3732" t="s">
        <v>2718</v>
      </c>
      <c r="P3732" t="s">
        <v>2719</v>
      </c>
      <c r="S3732">
        <v>204</v>
      </c>
      <c r="U3732" t="s">
        <v>112</v>
      </c>
      <c r="V3732" t="s">
        <v>1484</v>
      </c>
      <c r="X3732" s="43">
        <v>1.55</v>
      </c>
      <c r="AA3732" s="43"/>
      <c r="AB3732" s="43">
        <v>0.1</v>
      </c>
      <c r="AC3732" s="43">
        <v>0</v>
      </c>
      <c r="AK3732">
        <v>4505952</v>
      </c>
    </row>
    <row r="3733" spans="1:37" ht="19">
      <c r="A3733" s="39" t="s">
        <v>17</v>
      </c>
      <c r="B3733" s="8">
        <v>2024</v>
      </c>
      <c r="C3733" s="8" t="s">
        <v>109</v>
      </c>
      <c r="D3733" s="9" t="s">
        <v>109</v>
      </c>
      <c r="E3733" s="9" t="s">
        <v>111</v>
      </c>
      <c r="F3733" s="9" t="s">
        <v>111</v>
      </c>
      <c r="I3733" s="9" t="s">
        <v>14</v>
      </c>
      <c r="J3733" s="14" t="s">
        <v>14</v>
      </c>
      <c r="K3733" s="9" t="s">
        <v>14</v>
      </c>
      <c r="L3733" s="9" t="s">
        <v>209</v>
      </c>
      <c r="M3733" t="s">
        <v>126</v>
      </c>
      <c r="O3733" t="s">
        <v>2718</v>
      </c>
      <c r="P3733" t="s">
        <v>2720</v>
      </c>
      <c r="S3733">
        <v>129</v>
      </c>
      <c r="U3733" t="s">
        <v>112</v>
      </c>
      <c r="V3733" t="s">
        <v>1484</v>
      </c>
      <c r="X3733" s="43">
        <v>0.8</v>
      </c>
      <c r="AA3733" s="43"/>
      <c r="AB3733" s="43">
        <v>0.05</v>
      </c>
      <c r="AC3733" s="43">
        <v>7.1999999999999995E-2</v>
      </c>
      <c r="AK3733">
        <v>2849352</v>
      </c>
    </row>
    <row r="3734" spans="1:37" ht="19">
      <c r="A3734" s="39" t="s">
        <v>17</v>
      </c>
      <c r="B3734" s="8">
        <v>2024</v>
      </c>
      <c r="C3734" s="8" t="s">
        <v>109</v>
      </c>
      <c r="D3734" s="9" t="s">
        <v>109</v>
      </c>
      <c r="E3734" s="9" t="s">
        <v>111</v>
      </c>
      <c r="F3734" s="9" t="s">
        <v>111</v>
      </c>
      <c r="I3734" s="9" t="s">
        <v>14</v>
      </c>
      <c r="J3734" s="14" t="s">
        <v>14</v>
      </c>
      <c r="K3734" s="9" t="s">
        <v>14</v>
      </c>
      <c r="L3734" s="9" t="s">
        <v>209</v>
      </c>
      <c r="M3734" t="s">
        <v>126</v>
      </c>
      <c r="O3734" t="s">
        <v>2721</v>
      </c>
      <c r="P3734" t="s">
        <v>2722</v>
      </c>
      <c r="S3734">
        <v>225</v>
      </c>
      <c r="U3734" t="s">
        <v>112</v>
      </c>
      <c r="V3734" t="s">
        <v>1484</v>
      </c>
      <c r="X3734" s="43">
        <v>1.25</v>
      </c>
      <c r="AA3734" s="43"/>
      <c r="AB3734" s="43">
        <v>0.1</v>
      </c>
      <c r="AC3734" s="43">
        <v>0.126</v>
      </c>
      <c r="AK3734">
        <v>4969800</v>
      </c>
    </row>
    <row r="3735" spans="1:37" ht="19">
      <c r="A3735" s="39" t="s">
        <v>17</v>
      </c>
      <c r="B3735" s="8">
        <v>2024</v>
      </c>
      <c r="C3735" s="8" t="s">
        <v>109</v>
      </c>
      <c r="D3735" s="9" t="s">
        <v>109</v>
      </c>
      <c r="E3735" s="9" t="s">
        <v>111</v>
      </c>
      <c r="F3735" s="9" t="s">
        <v>111</v>
      </c>
      <c r="I3735" s="9" t="s">
        <v>14</v>
      </c>
      <c r="J3735" s="14" t="s">
        <v>14</v>
      </c>
      <c r="K3735" s="9" t="s">
        <v>14</v>
      </c>
      <c r="L3735" s="9" t="s">
        <v>209</v>
      </c>
      <c r="M3735" t="s">
        <v>126</v>
      </c>
      <c r="O3735" t="s">
        <v>126</v>
      </c>
      <c r="P3735" t="s">
        <v>2723</v>
      </c>
      <c r="S3735">
        <v>273</v>
      </c>
      <c r="U3735" t="s">
        <v>112</v>
      </c>
      <c r="V3735" t="s">
        <v>1484</v>
      </c>
      <c r="X3735" s="43">
        <v>2.1</v>
      </c>
      <c r="AA3735" s="43"/>
      <c r="AB3735" s="43">
        <v>0.1</v>
      </c>
      <c r="AC3735" s="43">
        <v>0</v>
      </c>
      <c r="AK3735">
        <v>6030024</v>
      </c>
    </row>
    <row r="3736" spans="1:37" ht="19">
      <c r="A3736" s="39" t="s">
        <v>17</v>
      </c>
      <c r="B3736" s="8">
        <v>2024</v>
      </c>
      <c r="C3736" s="8" t="s">
        <v>109</v>
      </c>
      <c r="D3736" s="9" t="s">
        <v>109</v>
      </c>
      <c r="E3736" s="9" t="s">
        <v>111</v>
      </c>
      <c r="F3736" s="9" t="s">
        <v>111</v>
      </c>
      <c r="I3736" s="9" t="s">
        <v>14</v>
      </c>
      <c r="J3736" s="14" t="s">
        <v>14</v>
      </c>
      <c r="K3736" s="9" t="s">
        <v>14</v>
      </c>
      <c r="L3736" s="9" t="s">
        <v>209</v>
      </c>
      <c r="M3736" t="s">
        <v>126</v>
      </c>
      <c r="O3736" t="s">
        <v>126</v>
      </c>
      <c r="P3736" t="s">
        <v>2724</v>
      </c>
      <c r="S3736">
        <v>537</v>
      </c>
      <c r="U3736" t="s">
        <v>112</v>
      </c>
      <c r="V3736" t="s">
        <v>1484</v>
      </c>
      <c r="X3736" s="43">
        <v>4.1500000000000004</v>
      </c>
      <c r="AA3736" s="43"/>
      <c r="AB3736" s="43">
        <v>0.2</v>
      </c>
      <c r="AC3736" s="43">
        <v>0</v>
      </c>
      <c r="AK3736">
        <v>11861256</v>
      </c>
    </row>
    <row r="3737" spans="1:37" ht="19">
      <c r="A3737" s="39" t="s">
        <v>17</v>
      </c>
      <c r="B3737" s="8">
        <v>2024</v>
      </c>
      <c r="C3737" s="8" t="s">
        <v>109</v>
      </c>
      <c r="D3737" s="9" t="s">
        <v>109</v>
      </c>
      <c r="E3737" s="9" t="s">
        <v>111</v>
      </c>
      <c r="F3737" s="9" t="s">
        <v>111</v>
      </c>
      <c r="I3737" s="9" t="s">
        <v>14</v>
      </c>
      <c r="J3737" s="14" t="s">
        <v>14</v>
      </c>
      <c r="K3737" s="9" t="s">
        <v>14</v>
      </c>
      <c r="L3737" s="9" t="s">
        <v>209</v>
      </c>
      <c r="M3737" t="s">
        <v>126</v>
      </c>
      <c r="O3737" t="s">
        <v>2725</v>
      </c>
      <c r="P3737" t="s">
        <v>2726</v>
      </c>
      <c r="S3737">
        <v>424</v>
      </c>
      <c r="U3737" t="s">
        <v>112</v>
      </c>
      <c r="V3737" t="s">
        <v>112</v>
      </c>
      <c r="X3737" s="43">
        <v>2.65</v>
      </c>
      <c r="AA3737" s="43"/>
      <c r="AB3737" s="43">
        <v>0.15</v>
      </c>
      <c r="AC3737" s="43">
        <v>0.23400000000000001</v>
      </c>
      <c r="AK3737">
        <v>9365312</v>
      </c>
    </row>
    <row r="3738" spans="1:37" ht="19">
      <c r="A3738" s="39" t="s">
        <v>17</v>
      </c>
      <c r="B3738" s="8">
        <v>2024</v>
      </c>
      <c r="C3738" s="8" t="s">
        <v>109</v>
      </c>
      <c r="D3738" s="9" t="s">
        <v>109</v>
      </c>
      <c r="E3738" s="9" t="s">
        <v>111</v>
      </c>
      <c r="F3738" s="9" t="s">
        <v>111</v>
      </c>
      <c r="I3738" s="9" t="s">
        <v>14</v>
      </c>
      <c r="J3738" s="14" t="s">
        <v>14</v>
      </c>
      <c r="K3738" s="9" t="s">
        <v>14</v>
      </c>
      <c r="L3738" s="9" t="s">
        <v>209</v>
      </c>
      <c r="M3738" t="s">
        <v>126</v>
      </c>
      <c r="O3738" t="s">
        <v>2727</v>
      </c>
      <c r="P3738" t="s">
        <v>2728</v>
      </c>
      <c r="S3738">
        <v>165</v>
      </c>
      <c r="U3738" t="s">
        <v>112</v>
      </c>
      <c r="V3738" t="s">
        <v>1484</v>
      </c>
      <c r="X3738" s="43">
        <v>0.95</v>
      </c>
      <c r="AA3738" s="43"/>
      <c r="AB3738" s="43">
        <v>0.1</v>
      </c>
      <c r="AC3738" s="43">
        <v>0.09</v>
      </c>
      <c r="AK3738">
        <v>3644520</v>
      </c>
    </row>
    <row r="3739" spans="1:37" ht="19">
      <c r="A3739" s="39" t="s">
        <v>17</v>
      </c>
      <c r="B3739" s="8">
        <v>2024</v>
      </c>
      <c r="C3739" s="8" t="s">
        <v>109</v>
      </c>
      <c r="D3739" s="9" t="s">
        <v>109</v>
      </c>
      <c r="E3739" s="9" t="s">
        <v>111</v>
      </c>
      <c r="F3739" s="9" t="s">
        <v>111</v>
      </c>
      <c r="I3739" s="9" t="s">
        <v>14</v>
      </c>
      <c r="J3739" s="14" t="s">
        <v>14</v>
      </c>
      <c r="K3739" s="9" t="s">
        <v>14</v>
      </c>
      <c r="L3739" s="9" t="s">
        <v>209</v>
      </c>
      <c r="M3739" t="s">
        <v>126</v>
      </c>
      <c r="O3739" t="s">
        <v>2727</v>
      </c>
      <c r="P3739" t="s">
        <v>2729</v>
      </c>
      <c r="S3739">
        <v>306</v>
      </c>
      <c r="U3739" t="s">
        <v>112</v>
      </c>
      <c r="V3739" t="s">
        <v>1484</v>
      </c>
      <c r="X3739" s="43">
        <v>1.9</v>
      </c>
      <c r="AA3739" s="43"/>
      <c r="AB3739" s="43">
        <v>0.15</v>
      </c>
      <c r="AC3739" s="43">
        <v>0.16650000000000001</v>
      </c>
      <c r="AK3739">
        <v>6758928</v>
      </c>
    </row>
    <row r="3740" spans="1:37" ht="19">
      <c r="A3740" s="39" t="s">
        <v>17</v>
      </c>
      <c r="B3740" s="8">
        <v>2024</v>
      </c>
      <c r="C3740" s="8" t="s">
        <v>109</v>
      </c>
      <c r="D3740" s="9" t="s">
        <v>109</v>
      </c>
      <c r="E3740" s="9" t="s">
        <v>111</v>
      </c>
      <c r="F3740" s="9" t="s">
        <v>111</v>
      </c>
      <c r="I3740" s="9" t="s">
        <v>14</v>
      </c>
      <c r="J3740" s="14" t="s">
        <v>14</v>
      </c>
      <c r="K3740" s="9" t="s">
        <v>14</v>
      </c>
      <c r="L3740" s="9" t="s">
        <v>209</v>
      </c>
      <c r="M3740" t="s">
        <v>126</v>
      </c>
      <c r="O3740" t="s">
        <v>2730</v>
      </c>
      <c r="P3740" t="s">
        <v>2731</v>
      </c>
      <c r="S3740">
        <v>366</v>
      </c>
      <c r="U3740" t="s">
        <v>112</v>
      </c>
      <c r="V3740" t="s">
        <v>1484</v>
      </c>
      <c r="X3740" s="43">
        <v>2.4500000000000002</v>
      </c>
      <c r="AA3740" s="43"/>
      <c r="AB3740" s="43">
        <v>0.15</v>
      </c>
      <c r="AC3740" s="43">
        <v>0.20250000000000001</v>
      </c>
      <c r="AK3740">
        <v>8084208</v>
      </c>
    </row>
    <row r="3741" spans="1:37" ht="19">
      <c r="A3741" s="39" t="s">
        <v>17</v>
      </c>
      <c r="B3741" s="8">
        <v>2024</v>
      </c>
      <c r="C3741" s="8" t="s">
        <v>109</v>
      </c>
      <c r="D3741" s="9" t="s">
        <v>109</v>
      </c>
      <c r="E3741" s="9" t="s">
        <v>111</v>
      </c>
      <c r="F3741" s="9" t="s">
        <v>111</v>
      </c>
      <c r="I3741" s="9" t="s">
        <v>14</v>
      </c>
      <c r="J3741" s="14" t="s">
        <v>14</v>
      </c>
      <c r="K3741" s="9" t="s">
        <v>14</v>
      </c>
      <c r="L3741" s="9" t="s">
        <v>209</v>
      </c>
      <c r="M3741" t="s">
        <v>126</v>
      </c>
      <c r="O3741" t="s">
        <v>2732</v>
      </c>
      <c r="P3741" t="s">
        <v>2733</v>
      </c>
      <c r="S3741">
        <v>102</v>
      </c>
      <c r="U3741" t="s">
        <v>112</v>
      </c>
      <c r="V3741" t="s">
        <v>112</v>
      </c>
      <c r="X3741" s="43">
        <v>0.75</v>
      </c>
      <c r="AA3741" s="43"/>
      <c r="AB3741" s="43">
        <v>0.05</v>
      </c>
      <c r="AC3741" s="43">
        <v>4.9500000000000002E-2</v>
      </c>
      <c r="AK3741">
        <v>2252976</v>
      </c>
    </row>
    <row r="3742" spans="1:37" ht="19">
      <c r="A3742" s="39" t="s">
        <v>17</v>
      </c>
      <c r="B3742" s="8">
        <v>2024</v>
      </c>
      <c r="C3742" s="8" t="s">
        <v>109</v>
      </c>
      <c r="D3742" s="9" t="s">
        <v>109</v>
      </c>
      <c r="E3742" s="9" t="s">
        <v>111</v>
      </c>
      <c r="F3742" s="9" t="s">
        <v>111</v>
      </c>
      <c r="I3742" s="9" t="s">
        <v>14</v>
      </c>
      <c r="J3742" s="14" t="s">
        <v>14</v>
      </c>
      <c r="K3742" s="9" t="s">
        <v>14</v>
      </c>
      <c r="L3742" s="9" t="s">
        <v>209</v>
      </c>
      <c r="M3742" t="s">
        <v>126</v>
      </c>
      <c r="O3742" t="s">
        <v>2730</v>
      </c>
      <c r="P3742" t="s">
        <v>2734</v>
      </c>
      <c r="S3742">
        <v>438</v>
      </c>
      <c r="U3742" t="s">
        <v>112</v>
      </c>
      <c r="V3742" t="s">
        <v>1484</v>
      </c>
      <c r="X3742" s="43">
        <v>2.85</v>
      </c>
      <c r="AA3742" s="43"/>
      <c r="AB3742" s="43">
        <v>0.15</v>
      </c>
      <c r="AC3742" s="43">
        <v>0.24299999999999999</v>
      </c>
      <c r="AK3742">
        <v>9674544</v>
      </c>
    </row>
    <row r="3743" spans="1:37" ht="19">
      <c r="A3743" s="39" t="s">
        <v>17</v>
      </c>
      <c r="B3743" s="8">
        <v>2024</v>
      </c>
      <c r="C3743" s="8" t="s">
        <v>109</v>
      </c>
      <c r="D3743" s="9" t="s">
        <v>109</v>
      </c>
      <c r="E3743" s="9" t="s">
        <v>111</v>
      </c>
      <c r="F3743" s="9" t="s">
        <v>111</v>
      </c>
      <c r="I3743" s="9" t="s">
        <v>14</v>
      </c>
      <c r="J3743" s="14" t="s">
        <v>14</v>
      </c>
      <c r="K3743" s="9" t="s">
        <v>14</v>
      </c>
      <c r="L3743" s="9" t="s">
        <v>209</v>
      </c>
      <c r="M3743" t="s">
        <v>126</v>
      </c>
      <c r="O3743" t="s">
        <v>2732</v>
      </c>
      <c r="P3743" t="s">
        <v>2735</v>
      </c>
      <c r="S3743">
        <v>53</v>
      </c>
      <c r="U3743" t="s">
        <v>112</v>
      </c>
      <c r="V3743" t="s">
        <v>112</v>
      </c>
      <c r="X3743" s="43">
        <v>0.3</v>
      </c>
      <c r="AA3743" s="43"/>
      <c r="AB3743" s="43">
        <v>0.05</v>
      </c>
      <c r="AC3743" s="43">
        <v>2.7E-2</v>
      </c>
      <c r="AK3743">
        <v>1170664</v>
      </c>
    </row>
    <row r="3744" spans="1:37" ht="19">
      <c r="A3744" s="39" t="s">
        <v>17</v>
      </c>
      <c r="B3744" s="8">
        <v>2024</v>
      </c>
      <c r="C3744" s="8" t="s">
        <v>109</v>
      </c>
      <c r="D3744" s="9" t="s">
        <v>109</v>
      </c>
      <c r="E3744" s="9" t="s">
        <v>111</v>
      </c>
      <c r="F3744" s="9" t="s">
        <v>111</v>
      </c>
      <c r="I3744" s="9" t="s">
        <v>14</v>
      </c>
      <c r="J3744" s="14" t="s">
        <v>14</v>
      </c>
      <c r="K3744" s="9" t="s">
        <v>14</v>
      </c>
      <c r="L3744" s="9" t="s">
        <v>209</v>
      </c>
      <c r="M3744" t="s">
        <v>126</v>
      </c>
      <c r="O3744" t="s">
        <v>2704</v>
      </c>
      <c r="P3744" t="s">
        <v>2736</v>
      </c>
      <c r="S3744">
        <v>211</v>
      </c>
      <c r="U3744" t="s">
        <v>112</v>
      </c>
      <c r="V3744" t="s">
        <v>1484</v>
      </c>
      <c r="X3744" s="43">
        <v>1.6</v>
      </c>
      <c r="AA3744" s="43"/>
      <c r="AB3744" s="43">
        <v>0.1</v>
      </c>
      <c r="AC3744" s="43">
        <v>1.35E-2</v>
      </c>
      <c r="AK3744">
        <v>4660568</v>
      </c>
    </row>
    <row r="3745" spans="1:37" ht="19">
      <c r="A3745" s="39" t="s">
        <v>17</v>
      </c>
      <c r="B3745" s="8">
        <v>2024</v>
      </c>
      <c r="C3745" s="8" t="s">
        <v>109</v>
      </c>
      <c r="D3745" s="9" t="s">
        <v>109</v>
      </c>
      <c r="E3745" s="9" t="s">
        <v>111</v>
      </c>
      <c r="F3745" s="9" t="s">
        <v>111</v>
      </c>
      <c r="I3745" s="9" t="s">
        <v>14</v>
      </c>
      <c r="J3745" s="14" t="s">
        <v>14</v>
      </c>
      <c r="K3745" s="9" t="s">
        <v>14</v>
      </c>
      <c r="L3745" s="9" t="s">
        <v>209</v>
      </c>
      <c r="M3745" t="s">
        <v>126</v>
      </c>
      <c r="O3745" t="s">
        <v>2704</v>
      </c>
      <c r="P3745" t="s">
        <v>2737</v>
      </c>
      <c r="S3745">
        <v>261</v>
      </c>
      <c r="U3745" t="s">
        <v>112</v>
      </c>
      <c r="V3745" t="s">
        <v>112</v>
      </c>
      <c r="X3745" s="43">
        <v>1.85</v>
      </c>
      <c r="AA3745" s="43"/>
      <c r="AB3745" s="43">
        <v>0.1</v>
      </c>
      <c r="AC3745" s="43">
        <v>0.14399999999999999</v>
      </c>
      <c r="AK3745">
        <v>5764968</v>
      </c>
    </row>
    <row r="3746" spans="1:37" ht="19">
      <c r="A3746" s="14" t="s">
        <v>19</v>
      </c>
      <c r="B3746" s="8">
        <v>2024</v>
      </c>
      <c r="C3746" s="8" t="s">
        <v>24</v>
      </c>
      <c r="D3746" s="9" t="s">
        <v>206</v>
      </c>
      <c r="E3746" s="166" t="s">
        <v>102</v>
      </c>
      <c r="F3746" s="16" t="s">
        <v>207</v>
      </c>
      <c r="G3746" s="14">
        <v>1</v>
      </c>
      <c r="I3746" s="9" t="s">
        <v>13</v>
      </c>
      <c r="J3746" s="9" t="s">
        <v>13</v>
      </c>
      <c r="K3746" s="9" t="s">
        <v>2214</v>
      </c>
      <c r="L3746" s="166" t="s">
        <v>178</v>
      </c>
      <c r="M3746" s="166" t="s">
        <v>105</v>
      </c>
      <c r="N3746" s="166" t="s">
        <v>2738</v>
      </c>
      <c r="O3746" s="162" t="s">
        <v>2739</v>
      </c>
      <c r="S3746" s="179">
        <v>5698</v>
      </c>
      <c r="T3746" s="172">
        <v>1140</v>
      </c>
      <c r="U3746" s="14" t="s">
        <v>77</v>
      </c>
      <c r="W3746" s="29">
        <v>15</v>
      </c>
      <c r="X3746" s="43">
        <f t="shared" ref="X3746:X3765" si="336">+T3746*W3746*2/1000</f>
        <v>34.200000000000003</v>
      </c>
      <c r="AB3746" s="165">
        <f t="shared" ref="AB3746:AB3765" si="337">+T3746*W3746*0.3/1000</f>
        <v>5.13</v>
      </c>
      <c r="AC3746" s="159">
        <f t="shared" ref="AC3746:AC3765" si="338">+T3746*W3746*0.175/1000</f>
        <v>2.9925000000000002</v>
      </c>
      <c r="AJ3746" s="165">
        <f t="shared" ref="AJ3746:AJ3765" si="339">SUBTOTAL(9,X3746:AI3746)</f>
        <v>42.322500000000005</v>
      </c>
    </row>
    <row r="3747" spans="1:37" ht="19">
      <c r="A3747" s="14" t="s">
        <v>19</v>
      </c>
      <c r="B3747" s="8">
        <v>2024</v>
      </c>
      <c r="C3747" s="8" t="s">
        <v>24</v>
      </c>
      <c r="D3747" s="9" t="s">
        <v>206</v>
      </c>
      <c r="E3747" s="166" t="s">
        <v>102</v>
      </c>
      <c r="F3747" s="16" t="s">
        <v>207</v>
      </c>
      <c r="G3747" s="14">
        <v>1</v>
      </c>
      <c r="I3747" s="9" t="s">
        <v>13</v>
      </c>
      <c r="J3747" s="9" t="s">
        <v>13</v>
      </c>
      <c r="K3747" s="9" t="s">
        <v>2214</v>
      </c>
      <c r="L3747" s="166" t="s">
        <v>178</v>
      </c>
      <c r="M3747" s="166" t="s">
        <v>105</v>
      </c>
      <c r="N3747" s="166" t="s">
        <v>2738</v>
      </c>
      <c r="O3747" s="162" t="s">
        <v>2740</v>
      </c>
      <c r="S3747" s="179">
        <v>11170</v>
      </c>
      <c r="T3747" s="172">
        <v>2234</v>
      </c>
      <c r="U3747" s="14" t="s">
        <v>77</v>
      </c>
      <c r="W3747" s="29">
        <v>15</v>
      </c>
      <c r="X3747" s="43">
        <f t="shared" si="336"/>
        <v>67.02</v>
      </c>
      <c r="AB3747" s="165">
        <f t="shared" si="337"/>
        <v>10.053000000000001</v>
      </c>
      <c r="AC3747" s="165">
        <f t="shared" si="338"/>
        <v>5.8642500000000002</v>
      </c>
      <c r="AJ3747" s="165">
        <f t="shared" si="339"/>
        <v>82.937249999999992</v>
      </c>
    </row>
    <row r="3748" spans="1:37" ht="19">
      <c r="A3748" s="14" t="s">
        <v>19</v>
      </c>
      <c r="B3748" s="8">
        <v>2024</v>
      </c>
      <c r="C3748" s="8" t="s">
        <v>24</v>
      </c>
      <c r="D3748" s="9" t="s">
        <v>206</v>
      </c>
      <c r="E3748" s="166" t="s">
        <v>102</v>
      </c>
      <c r="F3748" s="16" t="s">
        <v>207</v>
      </c>
      <c r="G3748" s="14">
        <v>1</v>
      </c>
      <c r="I3748" s="9" t="s">
        <v>13</v>
      </c>
      <c r="J3748" s="9" t="s">
        <v>13</v>
      </c>
      <c r="K3748" s="9" t="s">
        <v>2214</v>
      </c>
      <c r="L3748" s="166" t="s">
        <v>178</v>
      </c>
      <c r="M3748" s="166" t="s">
        <v>105</v>
      </c>
      <c r="N3748" s="166" t="s">
        <v>2738</v>
      </c>
      <c r="O3748" s="162" t="s">
        <v>2741</v>
      </c>
      <c r="S3748" s="179">
        <v>9795</v>
      </c>
      <c r="T3748" s="172">
        <v>1959</v>
      </c>
      <c r="U3748" s="14" t="s">
        <v>77</v>
      </c>
      <c r="W3748" s="29">
        <v>15</v>
      </c>
      <c r="X3748" s="43">
        <f t="shared" si="336"/>
        <v>58.77</v>
      </c>
      <c r="AB3748" s="165">
        <f t="shared" si="337"/>
        <v>8.8155000000000001</v>
      </c>
      <c r="AC3748" s="165">
        <f t="shared" si="338"/>
        <v>5.1423750000000004</v>
      </c>
      <c r="AJ3748" s="165">
        <f t="shared" si="339"/>
        <v>72.727874999999997</v>
      </c>
    </row>
    <row r="3749" spans="1:37" ht="19">
      <c r="A3749" s="14" t="s">
        <v>19</v>
      </c>
      <c r="B3749" s="8">
        <v>2024</v>
      </c>
      <c r="C3749" s="8" t="s">
        <v>24</v>
      </c>
      <c r="D3749" s="9" t="s">
        <v>206</v>
      </c>
      <c r="E3749" s="166" t="s">
        <v>102</v>
      </c>
      <c r="F3749" s="16" t="s">
        <v>207</v>
      </c>
      <c r="G3749" s="14">
        <v>1</v>
      </c>
      <c r="I3749" s="9" t="s">
        <v>13</v>
      </c>
      <c r="J3749" s="9" t="s">
        <v>13</v>
      </c>
      <c r="K3749" s="9" t="s">
        <v>2214</v>
      </c>
      <c r="L3749" s="166" t="s">
        <v>178</v>
      </c>
      <c r="M3749" s="166" t="s">
        <v>105</v>
      </c>
      <c r="N3749" s="166" t="s">
        <v>2738</v>
      </c>
      <c r="O3749" s="162" t="s">
        <v>2742</v>
      </c>
      <c r="S3749" s="179">
        <v>3388</v>
      </c>
      <c r="T3749" s="166">
        <v>677</v>
      </c>
      <c r="U3749" s="14" t="s">
        <v>77</v>
      </c>
      <c r="W3749" s="29">
        <v>15</v>
      </c>
      <c r="X3749" s="43">
        <f t="shared" si="336"/>
        <v>20.309999999999999</v>
      </c>
      <c r="AB3749" s="165">
        <f t="shared" si="337"/>
        <v>3.0465</v>
      </c>
      <c r="AC3749" s="165">
        <f t="shared" si="338"/>
        <v>1.7771250000000001</v>
      </c>
      <c r="AJ3749" s="165">
        <f t="shared" si="339"/>
        <v>25.133624999999999</v>
      </c>
    </row>
    <row r="3750" spans="1:37" ht="19">
      <c r="A3750" s="14" t="s">
        <v>19</v>
      </c>
      <c r="B3750" s="8">
        <v>2024</v>
      </c>
      <c r="C3750" s="8" t="s">
        <v>24</v>
      </c>
      <c r="D3750" s="9" t="s">
        <v>206</v>
      </c>
      <c r="E3750" s="166" t="s">
        <v>102</v>
      </c>
      <c r="F3750" s="16" t="s">
        <v>207</v>
      </c>
      <c r="G3750" s="14">
        <v>1</v>
      </c>
      <c r="I3750" s="9" t="s">
        <v>13</v>
      </c>
      <c r="J3750" s="9" t="s">
        <v>13</v>
      </c>
      <c r="K3750" s="9" t="s">
        <v>2214</v>
      </c>
      <c r="L3750" s="166" t="s">
        <v>178</v>
      </c>
      <c r="M3750" s="166" t="s">
        <v>105</v>
      </c>
      <c r="N3750" s="166" t="s">
        <v>2738</v>
      </c>
      <c r="O3750" s="162" t="s">
        <v>2743</v>
      </c>
      <c r="S3750" s="179">
        <v>7523</v>
      </c>
      <c r="T3750" s="172">
        <v>1505</v>
      </c>
      <c r="U3750" s="14" t="s">
        <v>77</v>
      </c>
      <c r="W3750" s="29">
        <v>15</v>
      </c>
      <c r="X3750" s="43">
        <f t="shared" si="336"/>
        <v>45.15</v>
      </c>
      <c r="AB3750" s="165">
        <f t="shared" si="337"/>
        <v>6.7725</v>
      </c>
      <c r="AC3750" s="165">
        <f t="shared" si="338"/>
        <v>3.9506249999999996</v>
      </c>
      <c r="AJ3750" s="165">
        <f t="shared" si="339"/>
        <v>55.873125000000002</v>
      </c>
    </row>
    <row r="3751" spans="1:37" ht="19">
      <c r="A3751" s="14" t="s">
        <v>19</v>
      </c>
      <c r="B3751" s="8">
        <v>2024</v>
      </c>
      <c r="C3751" s="8" t="s">
        <v>24</v>
      </c>
      <c r="D3751" s="9" t="s">
        <v>206</v>
      </c>
      <c r="E3751" s="166" t="s">
        <v>102</v>
      </c>
      <c r="F3751" s="16" t="s">
        <v>207</v>
      </c>
      <c r="G3751" s="14">
        <v>1</v>
      </c>
      <c r="I3751" s="9" t="s">
        <v>13</v>
      </c>
      <c r="J3751" s="9" t="s">
        <v>13</v>
      </c>
      <c r="K3751" s="9" t="s">
        <v>2214</v>
      </c>
      <c r="L3751" s="166" t="s">
        <v>178</v>
      </c>
      <c r="M3751" s="166" t="s">
        <v>105</v>
      </c>
      <c r="N3751" s="166" t="s">
        <v>2738</v>
      </c>
      <c r="O3751" s="162" t="s">
        <v>2744</v>
      </c>
      <c r="S3751" s="179">
        <v>6950</v>
      </c>
      <c r="T3751" s="172">
        <v>1390</v>
      </c>
      <c r="U3751" s="14" t="s">
        <v>77</v>
      </c>
      <c r="W3751" s="29">
        <v>15</v>
      </c>
      <c r="X3751" s="43">
        <f t="shared" si="336"/>
        <v>41.7</v>
      </c>
      <c r="AB3751" s="165">
        <f t="shared" si="337"/>
        <v>6.2549999999999999</v>
      </c>
      <c r="AC3751" s="165">
        <f t="shared" si="338"/>
        <v>3.6487499999999997</v>
      </c>
      <c r="AJ3751" s="165">
        <f t="shared" si="339"/>
        <v>51.603750000000005</v>
      </c>
    </row>
    <row r="3752" spans="1:37" ht="19">
      <c r="A3752" s="14" t="s">
        <v>19</v>
      </c>
      <c r="B3752" s="8">
        <v>2024</v>
      </c>
      <c r="C3752" s="8" t="s">
        <v>24</v>
      </c>
      <c r="D3752" s="9" t="s">
        <v>206</v>
      </c>
      <c r="E3752" s="166" t="s">
        <v>102</v>
      </c>
      <c r="F3752" s="16" t="s">
        <v>207</v>
      </c>
      <c r="G3752" s="14">
        <v>1</v>
      </c>
      <c r="I3752" s="9" t="s">
        <v>13</v>
      </c>
      <c r="J3752" s="9" t="s">
        <v>13</v>
      </c>
      <c r="K3752" s="9" t="s">
        <v>2214</v>
      </c>
      <c r="L3752" s="166" t="s">
        <v>178</v>
      </c>
      <c r="M3752" s="166" t="s">
        <v>105</v>
      </c>
      <c r="N3752" s="166" t="s">
        <v>2738</v>
      </c>
      <c r="O3752" s="162" t="s">
        <v>2745</v>
      </c>
      <c r="S3752" s="179">
        <v>6908</v>
      </c>
      <c r="T3752" s="172">
        <v>1382</v>
      </c>
      <c r="U3752" s="14" t="s">
        <v>77</v>
      </c>
      <c r="W3752" s="29">
        <v>15</v>
      </c>
      <c r="X3752" s="43">
        <f t="shared" si="336"/>
        <v>41.46</v>
      </c>
      <c r="AB3752" s="165">
        <f t="shared" si="337"/>
        <v>6.2190000000000003</v>
      </c>
      <c r="AC3752" s="165">
        <f t="shared" si="338"/>
        <v>3.6277499999999994</v>
      </c>
      <c r="AJ3752" s="165">
        <f t="shared" si="339"/>
        <v>51.306750000000001</v>
      </c>
    </row>
    <row r="3753" spans="1:37" ht="19">
      <c r="A3753" s="14" t="s">
        <v>19</v>
      </c>
      <c r="B3753" s="8">
        <v>2024</v>
      </c>
      <c r="C3753" s="8" t="s">
        <v>24</v>
      </c>
      <c r="D3753" s="9" t="s">
        <v>206</v>
      </c>
      <c r="E3753" s="166" t="s">
        <v>102</v>
      </c>
      <c r="F3753" s="16" t="s">
        <v>207</v>
      </c>
      <c r="G3753" s="14">
        <v>1</v>
      </c>
      <c r="I3753" s="9" t="s">
        <v>13</v>
      </c>
      <c r="J3753" s="9" t="s">
        <v>13</v>
      </c>
      <c r="K3753" s="9" t="s">
        <v>2214</v>
      </c>
      <c r="L3753" s="166" t="s">
        <v>178</v>
      </c>
      <c r="M3753" s="166" t="s">
        <v>105</v>
      </c>
      <c r="N3753" s="166" t="s">
        <v>2738</v>
      </c>
      <c r="O3753" s="162" t="s">
        <v>2746</v>
      </c>
      <c r="S3753" s="179">
        <v>10214</v>
      </c>
      <c r="T3753" s="172">
        <v>2043</v>
      </c>
      <c r="U3753" s="14" t="s">
        <v>77</v>
      </c>
      <c r="W3753" s="29">
        <v>15</v>
      </c>
      <c r="X3753" s="43">
        <f t="shared" si="336"/>
        <v>61.29</v>
      </c>
      <c r="AB3753" s="165">
        <f t="shared" si="337"/>
        <v>9.1935000000000002</v>
      </c>
      <c r="AC3753" s="165">
        <f t="shared" si="338"/>
        <v>5.3628749999999998</v>
      </c>
      <c r="AJ3753" s="165">
        <f t="shared" si="339"/>
        <v>75.846374999999995</v>
      </c>
    </row>
    <row r="3754" spans="1:37" ht="19">
      <c r="A3754" s="14" t="s">
        <v>19</v>
      </c>
      <c r="B3754" s="8">
        <v>2024</v>
      </c>
      <c r="C3754" s="8" t="s">
        <v>24</v>
      </c>
      <c r="D3754" s="9" t="s">
        <v>206</v>
      </c>
      <c r="E3754" s="166" t="s">
        <v>102</v>
      </c>
      <c r="F3754" s="16" t="s">
        <v>207</v>
      </c>
      <c r="G3754" s="14">
        <v>1</v>
      </c>
      <c r="I3754" s="9" t="s">
        <v>13</v>
      </c>
      <c r="J3754" s="9" t="s">
        <v>13</v>
      </c>
      <c r="K3754" s="9" t="s">
        <v>2214</v>
      </c>
      <c r="L3754" s="166" t="s">
        <v>178</v>
      </c>
      <c r="M3754" s="166" t="s">
        <v>105</v>
      </c>
      <c r="N3754" s="166" t="s">
        <v>2738</v>
      </c>
      <c r="O3754" s="162" t="s">
        <v>2747</v>
      </c>
      <c r="S3754" s="179">
        <v>6367</v>
      </c>
      <c r="T3754" s="172">
        <v>1273</v>
      </c>
      <c r="U3754" s="14" t="s">
        <v>77</v>
      </c>
      <c r="W3754" s="29">
        <v>15</v>
      </c>
      <c r="X3754" s="43">
        <f t="shared" si="336"/>
        <v>38.19</v>
      </c>
      <c r="AB3754" s="165">
        <f t="shared" si="337"/>
        <v>5.7285000000000004</v>
      </c>
      <c r="AC3754" s="165">
        <f t="shared" si="338"/>
        <v>3.3416250000000001</v>
      </c>
      <c r="AJ3754" s="165">
        <f t="shared" si="339"/>
        <v>47.260124999999995</v>
      </c>
    </row>
    <row r="3755" spans="1:37" ht="19">
      <c r="A3755" s="14" t="s">
        <v>19</v>
      </c>
      <c r="B3755" s="8">
        <v>2024</v>
      </c>
      <c r="C3755" s="8" t="s">
        <v>24</v>
      </c>
      <c r="D3755" s="9" t="s">
        <v>206</v>
      </c>
      <c r="E3755" s="166" t="s">
        <v>102</v>
      </c>
      <c r="F3755" s="16" t="s">
        <v>207</v>
      </c>
      <c r="G3755" s="14">
        <v>1</v>
      </c>
      <c r="I3755" s="9" t="s">
        <v>13</v>
      </c>
      <c r="J3755" s="9" t="s">
        <v>13</v>
      </c>
      <c r="K3755" s="9" t="s">
        <v>2214</v>
      </c>
      <c r="L3755" s="166" t="s">
        <v>215</v>
      </c>
      <c r="M3755" s="166" t="s">
        <v>92</v>
      </c>
      <c r="N3755" s="166" t="s">
        <v>266</v>
      </c>
      <c r="O3755" s="162" t="s">
        <v>2748</v>
      </c>
      <c r="S3755" s="179">
        <v>5470</v>
      </c>
      <c r="T3755" s="172">
        <v>1094</v>
      </c>
      <c r="U3755" s="14" t="s">
        <v>77</v>
      </c>
      <c r="W3755" s="29">
        <v>15</v>
      </c>
      <c r="X3755" s="43">
        <f t="shared" si="336"/>
        <v>32.82</v>
      </c>
      <c r="AB3755" s="165">
        <f t="shared" si="337"/>
        <v>4.923</v>
      </c>
      <c r="AC3755" s="165">
        <f t="shared" si="338"/>
        <v>2.87175</v>
      </c>
      <c r="AJ3755" s="165">
        <f t="shared" si="339"/>
        <v>40.614750000000001</v>
      </c>
    </row>
    <row r="3756" spans="1:37" ht="19">
      <c r="A3756" s="14" t="s">
        <v>19</v>
      </c>
      <c r="B3756" s="8">
        <v>2024</v>
      </c>
      <c r="C3756" s="8" t="s">
        <v>24</v>
      </c>
      <c r="D3756" s="9" t="s">
        <v>206</v>
      </c>
      <c r="E3756" s="166" t="s">
        <v>102</v>
      </c>
      <c r="F3756" s="16" t="s">
        <v>207</v>
      </c>
      <c r="G3756" s="14">
        <v>1</v>
      </c>
      <c r="I3756" s="9" t="s">
        <v>13</v>
      </c>
      <c r="J3756" s="9" t="s">
        <v>13</v>
      </c>
      <c r="K3756" s="9" t="s">
        <v>2214</v>
      </c>
      <c r="L3756" s="166" t="s">
        <v>1445</v>
      </c>
      <c r="M3756" s="166" t="s">
        <v>96</v>
      </c>
      <c r="N3756" s="166" t="s">
        <v>267</v>
      </c>
      <c r="O3756" s="162" t="s">
        <v>2749</v>
      </c>
      <c r="S3756" s="179">
        <v>10850</v>
      </c>
      <c r="T3756" s="172">
        <v>2170</v>
      </c>
      <c r="U3756" s="14" t="s">
        <v>77</v>
      </c>
      <c r="W3756" s="29">
        <v>15</v>
      </c>
      <c r="X3756" s="43">
        <f t="shared" si="336"/>
        <v>65.099999999999994</v>
      </c>
      <c r="AB3756" s="165">
        <f t="shared" si="337"/>
        <v>9.7650000000000006</v>
      </c>
      <c r="AC3756" s="165">
        <f t="shared" si="338"/>
        <v>5.69625</v>
      </c>
      <c r="AJ3756" s="165">
        <f t="shared" si="339"/>
        <v>80.561250000000001</v>
      </c>
    </row>
    <row r="3757" spans="1:37" ht="19">
      <c r="A3757" s="14" t="s">
        <v>19</v>
      </c>
      <c r="B3757" s="8">
        <v>2024</v>
      </c>
      <c r="C3757" s="8" t="s">
        <v>24</v>
      </c>
      <c r="D3757" s="9" t="s">
        <v>206</v>
      </c>
      <c r="E3757" s="166" t="s">
        <v>102</v>
      </c>
      <c r="F3757" s="16" t="s">
        <v>207</v>
      </c>
      <c r="G3757" s="14">
        <v>1</v>
      </c>
      <c r="I3757" s="9" t="s">
        <v>13</v>
      </c>
      <c r="J3757" s="9" t="s">
        <v>13</v>
      </c>
      <c r="K3757" s="9" t="s">
        <v>2214</v>
      </c>
      <c r="L3757" s="166" t="s">
        <v>1445</v>
      </c>
      <c r="M3757" s="166" t="s">
        <v>96</v>
      </c>
      <c r="N3757" s="166" t="s">
        <v>267</v>
      </c>
      <c r="O3757" s="162" t="s">
        <v>2750</v>
      </c>
      <c r="S3757" s="179">
        <v>12000</v>
      </c>
      <c r="T3757" s="172">
        <v>2400</v>
      </c>
      <c r="U3757" s="14" t="s">
        <v>77</v>
      </c>
      <c r="W3757" s="29">
        <v>15</v>
      </c>
      <c r="X3757" s="43">
        <f t="shared" si="336"/>
        <v>72</v>
      </c>
      <c r="AB3757" s="165">
        <f t="shared" si="337"/>
        <v>10.8</v>
      </c>
      <c r="AC3757" s="165">
        <f t="shared" si="338"/>
        <v>6.3</v>
      </c>
      <c r="AJ3757" s="165">
        <f t="shared" si="339"/>
        <v>89.1</v>
      </c>
    </row>
    <row r="3758" spans="1:37" ht="19">
      <c r="A3758" s="14" t="s">
        <v>19</v>
      </c>
      <c r="B3758" s="8">
        <v>2024</v>
      </c>
      <c r="C3758" s="8" t="s">
        <v>24</v>
      </c>
      <c r="D3758" s="9" t="s">
        <v>206</v>
      </c>
      <c r="E3758" s="166" t="s">
        <v>102</v>
      </c>
      <c r="F3758" s="16" t="s">
        <v>207</v>
      </c>
      <c r="G3758" s="14">
        <v>1</v>
      </c>
      <c r="I3758" s="9" t="s">
        <v>13</v>
      </c>
      <c r="J3758" s="9" t="s">
        <v>13</v>
      </c>
      <c r="K3758" s="9" t="s">
        <v>2214</v>
      </c>
      <c r="L3758" s="166" t="s">
        <v>1445</v>
      </c>
      <c r="M3758" s="166" t="s">
        <v>96</v>
      </c>
      <c r="N3758" s="166" t="s">
        <v>267</v>
      </c>
      <c r="O3758" s="162" t="s">
        <v>2751</v>
      </c>
      <c r="S3758" s="180">
        <v>6900</v>
      </c>
      <c r="T3758" s="172">
        <v>1380</v>
      </c>
      <c r="U3758" s="14" t="s">
        <v>77</v>
      </c>
      <c r="W3758" s="29">
        <v>15</v>
      </c>
      <c r="X3758" s="43">
        <f t="shared" si="336"/>
        <v>41.4</v>
      </c>
      <c r="AB3758" s="165">
        <f t="shared" si="337"/>
        <v>6.21</v>
      </c>
      <c r="AC3758" s="165">
        <f t="shared" si="338"/>
        <v>3.6224999999999996</v>
      </c>
      <c r="AJ3758" s="165">
        <f t="shared" si="339"/>
        <v>51.232500000000002</v>
      </c>
    </row>
    <row r="3759" spans="1:37" ht="19">
      <c r="A3759" s="14" t="s">
        <v>19</v>
      </c>
      <c r="B3759" s="8">
        <v>2024</v>
      </c>
      <c r="C3759" s="8" t="s">
        <v>24</v>
      </c>
      <c r="D3759" s="9" t="s">
        <v>206</v>
      </c>
      <c r="E3759" s="166" t="s">
        <v>102</v>
      </c>
      <c r="F3759" s="16" t="s">
        <v>207</v>
      </c>
      <c r="G3759" s="14">
        <v>1</v>
      </c>
      <c r="I3759" s="9" t="s">
        <v>13</v>
      </c>
      <c r="J3759" s="9" t="s">
        <v>13</v>
      </c>
      <c r="K3759" s="9" t="s">
        <v>2214</v>
      </c>
      <c r="L3759" s="166" t="s">
        <v>1445</v>
      </c>
      <c r="M3759" s="166" t="s">
        <v>96</v>
      </c>
      <c r="N3759" s="166" t="s">
        <v>267</v>
      </c>
      <c r="O3759" s="162" t="s">
        <v>2752</v>
      </c>
      <c r="S3759" s="179">
        <v>9000</v>
      </c>
      <c r="T3759" s="172">
        <v>1800</v>
      </c>
      <c r="U3759" s="14" t="s">
        <v>77</v>
      </c>
      <c r="W3759" s="29">
        <v>15</v>
      </c>
      <c r="X3759" s="43">
        <f t="shared" si="336"/>
        <v>54</v>
      </c>
      <c r="AB3759" s="165">
        <f t="shared" si="337"/>
        <v>8.1</v>
      </c>
      <c r="AC3759" s="165">
        <f t="shared" si="338"/>
        <v>4.7249999999999996</v>
      </c>
      <c r="AJ3759" s="165">
        <f t="shared" si="339"/>
        <v>66.825000000000003</v>
      </c>
    </row>
    <row r="3760" spans="1:37" ht="19">
      <c r="A3760" s="14" t="s">
        <v>19</v>
      </c>
      <c r="B3760" s="8">
        <v>2024</v>
      </c>
      <c r="C3760" s="8" t="s">
        <v>24</v>
      </c>
      <c r="D3760" s="9" t="s">
        <v>206</v>
      </c>
      <c r="E3760" s="166" t="s">
        <v>102</v>
      </c>
      <c r="F3760" s="16" t="s">
        <v>207</v>
      </c>
      <c r="G3760" s="14">
        <v>1</v>
      </c>
      <c r="I3760" s="9" t="s">
        <v>13</v>
      </c>
      <c r="J3760" s="9" t="s">
        <v>13</v>
      </c>
      <c r="K3760" s="9" t="s">
        <v>2214</v>
      </c>
      <c r="L3760" s="166" t="s">
        <v>1445</v>
      </c>
      <c r="M3760" s="166" t="s">
        <v>96</v>
      </c>
      <c r="N3760" s="166" t="s">
        <v>267</v>
      </c>
      <c r="O3760" s="162" t="s">
        <v>2753</v>
      </c>
      <c r="S3760" s="179">
        <v>17000</v>
      </c>
      <c r="T3760" s="172">
        <v>3400</v>
      </c>
      <c r="U3760" s="14" t="s">
        <v>77</v>
      </c>
      <c r="W3760" s="29">
        <v>15</v>
      </c>
      <c r="X3760" s="43">
        <f t="shared" si="336"/>
        <v>102</v>
      </c>
      <c r="AB3760" s="165">
        <f t="shared" si="337"/>
        <v>15.3</v>
      </c>
      <c r="AC3760" s="165">
        <f t="shared" si="338"/>
        <v>8.9250000000000007</v>
      </c>
      <c r="AJ3760" s="165">
        <f t="shared" si="339"/>
        <v>126.22499999999999</v>
      </c>
    </row>
    <row r="3761" spans="1:38" ht="19">
      <c r="A3761" s="14" t="s">
        <v>19</v>
      </c>
      <c r="B3761" s="8">
        <v>2024</v>
      </c>
      <c r="C3761" s="8" t="s">
        <v>24</v>
      </c>
      <c r="D3761" s="9" t="s">
        <v>206</v>
      </c>
      <c r="E3761" s="166" t="s">
        <v>102</v>
      </c>
      <c r="F3761" s="16" t="s">
        <v>207</v>
      </c>
      <c r="G3761" s="14">
        <v>1</v>
      </c>
      <c r="I3761" s="9" t="s">
        <v>13</v>
      </c>
      <c r="J3761" s="9" t="s">
        <v>13</v>
      </c>
      <c r="K3761" s="9" t="s">
        <v>2214</v>
      </c>
      <c r="L3761" s="166" t="s">
        <v>1445</v>
      </c>
      <c r="M3761" s="166" t="s">
        <v>97</v>
      </c>
      <c r="N3761" s="166" t="s">
        <v>267</v>
      </c>
      <c r="O3761" s="162" t="s">
        <v>2754</v>
      </c>
      <c r="S3761" s="180">
        <v>6495</v>
      </c>
      <c r="T3761" s="173">
        <v>1299</v>
      </c>
      <c r="U3761" s="14" t="s">
        <v>77</v>
      </c>
      <c r="W3761" s="29">
        <v>15</v>
      </c>
      <c r="X3761" s="43">
        <f t="shared" si="336"/>
        <v>38.97</v>
      </c>
      <c r="AB3761" s="165">
        <f t="shared" si="337"/>
        <v>5.8455000000000004</v>
      </c>
      <c r="AC3761" s="165">
        <f t="shared" si="338"/>
        <v>3.409875</v>
      </c>
      <c r="AJ3761" s="165">
        <f t="shared" si="339"/>
        <v>48.225375</v>
      </c>
    </row>
    <row r="3762" spans="1:38" ht="19">
      <c r="A3762" s="14" t="s">
        <v>19</v>
      </c>
      <c r="B3762" s="8">
        <v>2024</v>
      </c>
      <c r="C3762" s="8" t="s">
        <v>24</v>
      </c>
      <c r="D3762" s="9" t="s">
        <v>206</v>
      </c>
      <c r="E3762" s="166" t="s">
        <v>102</v>
      </c>
      <c r="F3762" s="16" t="s">
        <v>207</v>
      </c>
      <c r="G3762" s="14">
        <v>1</v>
      </c>
      <c r="I3762" s="9" t="s">
        <v>13</v>
      </c>
      <c r="J3762" s="9" t="s">
        <v>13</v>
      </c>
      <c r="K3762" s="9" t="s">
        <v>2214</v>
      </c>
      <c r="L3762" s="166" t="s">
        <v>178</v>
      </c>
      <c r="M3762" s="166" t="s">
        <v>106</v>
      </c>
      <c r="N3762" s="166" t="s">
        <v>2738</v>
      </c>
      <c r="O3762" s="163" t="s">
        <v>2755</v>
      </c>
      <c r="S3762" s="180">
        <v>3046</v>
      </c>
      <c r="T3762" s="174">
        <v>609</v>
      </c>
      <c r="U3762" s="14" t="s">
        <v>77</v>
      </c>
      <c r="W3762" s="29">
        <v>15</v>
      </c>
      <c r="X3762" s="43">
        <f t="shared" si="336"/>
        <v>18.27</v>
      </c>
      <c r="AB3762" s="165">
        <f t="shared" si="337"/>
        <v>2.7404999999999999</v>
      </c>
      <c r="AC3762" s="165">
        <f t="shared" si="338"/>
        <v>1.598625</v>
      </c>
      <c r="AJ3762" s="165">
        <f t="shared" si="339"/>
        <v>22.609124999999999</v>
      </c>
    </row>
    <row r="3763" spans="1:38" ht="19">
      <c r="A3763" s="14" t="s">
        <v>19</v>
      </c>
      <c r="B3763" s="8">
        <v>2024</v>
      </c>
      <c r="C3763" s="8" t="s">
        <v>24</v>
      </c>
      <c r="D3763" s="9" t="s">
        <v>206</v>
      </c>
      <c r="E3763" s="166" t="s">
        <v>102</v>
      </c>
      <c r="F3763" s="16" t="s">
        <v>207</v>
      </c>
      <c r="G3763" s="14">
        <v>1</v>
      </c>
      <c r="I3763" s="9" t="s">
        <v>13</v>
      </c>
      <c r="J3763" s="9" t="s">
        <v>13</v>
      </c>
      <c r="K3763" s="9" t="s">
        <v>2214</v>
      </c>
      <c r="L3763" s="166" t="s">
        <v>178</v>
      </c>
      <c r="M3763" s="166" t="s">
        <v>106</v>
      </c>
      <c r="N3763" s="166" t="s">
        <v>2738</v>
      </c>
      <c r="O3763" s="164" t="s">
        <v>2756</v>
      </c>
      <c r="S3763" s="180">
        <v>2915</v>
      </c>
      <c r="T3763" s="174">
        <v>583</v>
      </c>
      <c r="U3763" s="14" t="s">
        <v>77</v>
      </c>
      <c r="W3763" s="29">
        <v>15</v>
      </c>
      <c r="X3763" s="43">
        <f t="shared" si="336"/>
        <v>17.489999999999998</v>
      </c>
      <c r="AB3763" s="165">
        <f t="shared" si="337"/>
        <v>2.6234999999999999</v>
      </c>
      <c r="AC3763" s="165">
        <f t="shared" si="338"/>
        <v>1.530375</v>
      </c>
      <c r="AJ3763" s="165">
        <f t="shared" si="339"/>
        <v>21.643874999999998</v>
      </c>
    </row>
    <row r="3764" spans="1:38" ht="19">
      <c r="A3764" s="14" t="s">
        <v>19</v>
      </c>
      <c r="B3764" s="8">
        <v>2024</v>
      </c>
      <c r="C3764" s="8" t="s">
        <v>24</v>
      </c>
      <c r="D3764" s="9" t="s">
        <v>206</v>
      </c>
      <c r="E3764" s="166" t="s">
        <v>102</v>
      </c>
      <c r="F3764" s="16" t="s">
        <v>207</v>
      </c>
      <c r="G3764" s="14">
        <v>1</v>
      </c>
      <c r="I3764" s="9" t="s">
        <v>13</v>
      </c>
      <c r="J3764" s="9" t="s">
        <v>13</v>
      </c>
      <c r="K3764" s="9" t="s">
        <v>2214</v>
      </c>
      <c r="L3764" s="166" t="s">
        <v>178</v>
      </c>
      <c r="M3764" s="166" t="s">
        <v>106</v>
      </c>
      <c r="N3764" s="166" t="s">
        <v>2738</v>
      </c>
      <c r="O3764" s="162" t="s">
        <v>2757</v>
      </c>
      <c r="S3764" s="180">
        <v>6514</v>
      </c>
      <c r="T3764" s="173">
        <v>1303</v>
      </c>
      <c r="U3764" s="14" t="s">
        <v>77</v>
      </c>
      <c r="W3764" s="29">
        <v>15</v>
      </c>
      <c r="X3764" s="43">
        <f t="shared" si="336"/>
        <v>39.090000000000003</v>
      </c>
      <c r="AB3764" s="165">
        <f t="shared" si="337"/>
        <v>5.8635000000000002</v>
      </c>
      <c r="AC3764" s="165">
        <f t="shared" si="338"/>
        <v>3.4203749999999999</v>
      </c>
      <c r="AJ3764" s="165">
        <f t="shared" si="339"/>
        <v>48.373875000000005</v>
      </c>
    </row>
    <row r="3765" spans="1:38" ht="19">
      <c r="A3765" s="14" t="s">
        <v>19</v>
      </c>
      <c r="B3765" s="8">
        <v>2024</v>
      </c>
      <c r="C3765" s="8" t="s">
        <v>24</v>
      </c>
      <c r="D3765" s="9" t="s">
        <v>206</v>
      </c>
      <c r="E3765" s="166" t="s">
        <v>102</v>
      </c>
      <c r="F3765" s="16" t="s">
        <v>207</v>
      </c>
      <c r="G3765" s="14">
        <v>1</v>
      </c>
      <c r="I3765" s="9" t="s">
        <v>13</v>
      </c>
      <c r="J3765" s="9" t="s">
        <v>13</v>
      </c>
      <c r="K3765" s="9" t="s">
        <v>2214</v>
      </c>
      <c r="L3765" s="166" t="s">
        <v>178</v>
      </c>
      <c r="M3765" s="166" t="s">
        <v>106</v>
      </c>
      <c r="N3765" s="166" t="s">
        <v>2738</v>
      </c>
      <c r="O3765" s="162" t="s">
        <v>2758</v>
      </c>
      <c r="S3765" s="180">
        <v>3012</v>
      </c>
      <c r="T3765" s="174">
        <v>602</v>
      </c>
      <c r="U3765" s="14" t="s">
        <v>77</v>
      </c>
      <c r="W3765" s="29">
        <v>15</v>
      </c>
      <c r="X3765" s="43">
        <f t="shared" si="336"/>
        <v>18.059999999999999</v>
      </c>
      <c r="AB3765" s="165">
        <f t="shared" si="337"/>
        <v>2.7090000000000001</v>
      </c>
      <c r="AC3765" s="165">
        <f t="shared" si="338"/>
        <v>1.5802499999999999</v>
      </c>
      <c r="AJ3765" s="165">
        <f t="shared" si="339"/>
        <v>22.349249999999998</v>
      </c>
    </row>
    <row r="3766" spans="1:38" ht="19">
      <c r="A3766" s="14" t="s">
        <v>19</v>
      </c>
      <c r="B3766" s="8">
        <v>2024</v>
      </c>
      <c r="C3766" s="8" t="s">
        <v>24</v>
      </c>
      <c r="D3766" s="9" t="s">
        <v>206</v>
      </c>
      <c r="E3766" s="166" t="s">
        <v>102</v>
      </c>
      <c r="F3766" s="16" t="s">
        <v>207</v>
      </c>
      <c r="G3766" s="14">
        <v>1</v>
      </c>
      <c r="I3766" s="9" t="s">
        <v>13</v>
      </c>
      <c r="J3766" s="9" t="s">
        <v>13</v>
      </c>
      <c r="K3766" s="9" t="s">
        <v>2214</v>
      </c>
      <c r="L3766" s="166" t="s">
        <v>178</v>
      </c>
      <c r="M3766" s="166" t="s">
        <v>101</v>
      </c>
      <c r="N3766" s="175" t="s">
        <v>2759</v>
      </c>
      <c r="O3766" s="175" t="s">
        <v>2760</v>
      </c>
      <c r="S3766" s="180">
        <v>7317</v>
      </c>
      <c r="T3766" s="172">
        <v>3965</v>
      </c>
      <c r="U3766" s="14" t="s">
        <v>76</v>
      </c>
      <c r="W3766" s="29">
        <v>20</v>
      </c>
      <c r="AB3766" s="165"/>
      <c r="AC3766" s="165"/>
      <c r="AJ3766" s="165"/>
      <c r="AK3766" s="48">
        <f t="shared" ref="AK3766:AK3778" si="340">+T3766*120000</f>
        <v>475800000</v>
      </c>
      <c r="AL3766" s="48">
        <f t="shared" ref="AL3766:AL3778" si="341">+AK3766/$AL$4</f>
        <v>104361.78753010435</v>
      </c>
    </row>
    <row r="3767" spans="1:38" ht="19">
      <c r="A3767" s="14" t="s">
        <v>19</v>
      </c>
      <c r="B3767" s="8">
        <v>2024</v>
      </c>
      <c r="C3767" s="8" t="s">
        <v>24</v>
      </c>
      <c r="D3767" s="9" t="s">
        <v>206</v>
      </c>
      <c r="E3767" s="166" t="s">
        <v>102</v>
      </c>
      <c r="F3767" s="16" t="s">
        <v>207</v>
      </c>
      <c r="G3767" s="14">
        <v>1</v>
      </c>
      <c r="I3767" s="9" t="s">
        <v>13</v>
      </c>
      <c r="J3767" s="9" t="s">
        <v>13</v>
      </c>
      <c r="K3767" s="9" t="s">
        <v>2214</v>
      </c>
      <c r="L3767" s="166" t="s">
        <v>178</v>
      </c>
      <c r="M3767" s="166" t="s">
        <v>101</v>
      </c>
      <c r="N3767" s="175" t="s">
        <v>2759</v>
      </c>
      <c r="O3767" s="175" t="s">
        <v>2761</v>
      </c>
      <c r="S3767" s="180">
        <v>15170</v>
      </c>
      <c r="T3767" s="172">
        <v>3504</v>
      </c>
      <c r="U3767" s="14" t="s">
        <v>76</v>
      </c>
      <c r="W3767" s="29">
        <v>20</v>
      </c>
      <c r="AB3767" s="165"/>
      <c r="AC3767" s="165"/>
      <c r="AJ3767" s="165"/>
      <c r="AK3767" s="48">
        <f t="shared" si="340"/>
        <v>420480000</v>
      </c>
      <c r="AL3767" s="48">
        <f t="shared" si="341"/>
        <v>92227.920177928288</v>
      </c>
    </row>
    <row r="3768" spans="1:38" ht="19">
      <c r="A3768" s="14" t="s">
        <v>19</v>
      </c>
      <c r="B3768" s="8">
        <v>2024</v>
      </c>
      <c r="C3768" s="8" t="s">
        <v>24</v>
      </c>
      <c r="D3768" s="9" t="s">
        <v>206</v>
      </c>
      <c r="E3768" s="166" t="s">
        <v>102</v>
      </c>
      <c r="F3768" s="16" t="s">
        <v>207</v>
      </c>
      <c r="G3768" s="14">
        <v>1</v>
      </c>
      <c r="I3768" s="9" t="s">
        <v>13</v>
      </c>
      <c r="J3768" s="9" t="s">
        <v>13</v>
      </c>
      <c r="K3768" s="9" t="s">
        <v>2214</v>
      </c>
      <c r="L3768" s="166" t="s">
        <v>215</v>
      </c>
      <c r="M3768" s="166" t="s">
        <v>92</v>
      </c>
      <c r="N3768" s="166" t="s">
        <v>266</v>
      </c>
      <c r="O3768" s="162" t="s">
        <v>2762</v>
      </c>
      <c r="S3768" s="180">
        <v>5725</v>
      </c>
      <c r="T3768" s="172">
        <v>1145</v>
      </c>
      <c r="U3768" s="14" t="s">
        <v>76</v>
      </c>
      <c r="W3768" s="29">
        <v>20</v>
      </c>
      <c r="AB3768" s="165"/>
      <c r="AC3768" s="165"/>
      <c r="AJ3768" s="165"/>
      <c r="AK3768" s="48">
        <f t="shared" si="340"/>
        <v>137400000</v>
      </c>
      <c r="AL3768" s="48">
        <f t="shared" si="341"/>
        <v>30137.262729374397</v>
      </c>
    </row>
    <row r="3769" spans="1:38" ht="19">
      <c r="A3769" s="14" t="s">
        <v>19</v>
      </c>
      <c r="B3769" s="8">
        <v>2024</v>
      </c>
      <c r="C3769" s="8" t="s">
        <v>24</v>
      </c>
      <c r="D3769" s="9" t="s">
        <v>206</v>
      </c>
      <c r="E3769" s="166" t="s">
        <v>102</v>
      </c>
      <c r="F3769" s="16" t="s">
        <v>207</v>
      </c>
      <c r="G3769" s="14">
        <v>1</v>
      </c>
      <c r="I3769" s="9" t="s">
        <v>13</v>
      </c>
      <c r="J3769" s="9" t="s">
        <v>13</v>
      </c>
      <c r="K3769" s="9" t="s">
        <v>2214</v>
      </c>
      <c r="L3769" s="166" t="s">
        <v>215</v>
      </c>
      <c r="M3769" s="166" t="s">
        <v>92</v>
      </c>
      <c r="N3769" s="166" t="s">
        <v>266</v>
      </c>
      <c r="O3769" s="162" t="s">
        <v>2763</v>
      </c>
      <c r="S3769" s="180">
        <v>8529</v>
      </c>
      <c r="T3769" s="172">
        <v>1706</v>
      </c>
      <c r="U3769" s="14" t="s">
        <v>76</v>
      </c>
      <c r="W3769" s="29">
        <v>20</v>
      </c>
      <c r="AB3769" s="165"/>
      <c r="AC3769" s="165"/>
      <c r="AJ3769" s="165"/>
      <c r="AK3769" s="48">
        <f t="shared" si="340"/>
        <v>204720000</v>
      </c>
      <c r="AL3769" s="48">
        <f t="shared" si="341"/>
        <v>44903.20542909408</v>
      </c>
    </row>
    <row r="3770" spans="1:38" ht="19">
      <c r="A3770" s="14" t="s">
        <v>19</v>
      </c>
      <c r="B3770" s="8">
        <v>2024</v>
      </c>
      <c r="C3770" s="8" t="s">
        <v>24</v>
      </c>
      <c r="D3770" s="9" t="s">
        <v>206</v>
      </c>
      <c r="E3770" s="166" t="s">
        <v>102</v>
      </c>
      <c r="F3770" s="16" t="s">
        <v>207</v>
      </c>
      <c r="G3770" s="14">
        <v>1</v>
      </c>
      <c r="I3770" s="9" t="s">
        <v>13</v>
      </c>
      <c r="J3770" s="9" t="s">
        <v>13</v>
      </c>
      <c r="K3770" s="9" t="s">
        <v>2214</v>
      </c>
      <c r="L3770" s="166" t="s">
        <v>215</v>
      </c>
      <c r="M3770" s="166" t="s">
        <v>92</v>
      </c>
      <c r="N3770" s="166" t="s">
        <v>266</v>
      </c>
      <c r="O3770" s="162" t="s">
        <v>2764</v>
      </c>
      <c r="S3770" s="180">
        <v>3600</v>
      </c>
      <c r="T3770" s="166">
        <v>720</v>
      </c>
      <c r="U3770" s="14" t="s">
        <v>76</v>
      </c>
      <c r="W3770" s="29">
        <v>20</v>
      </c>
      <c r="AB3770" s="165"/>
      <c r="AC3770" s="165"/>
      <c r="AJ3770" s="165"/>
      <c r="AK3770" s="48">
        <f t="shared" si="340"/>
        <v>86400000</v>
      </c>
      <c r="AL3770" s="48">
        <f t="shared" si="341"/>
        <v>18950.942502314032</v>
      </c>
    </row>
    <row r="3771" spans="1:38" ht="19">
      <c r="A3771" s="14" t="s">
        <v>19</v>
      </c>
      <c r="B3771" s="8">
        <v>2024</v>
      </c>
      <c r="C3771" s="8" t="s">
        <v>24</v>
      </c>
      <c r="D3771" s="9" t="s">
        <v>206</v>
      </c>
      <c r="E3771" s="166" t="s">
        <v>102</v>
      </c>
      <c r="F3771" s="16" t="s">
        <v>207</v>
      </c>
      <c r="G3771" s="14">
        <v>1</v>
      </c>
      <c r="I3771" s="9" t="s">
        <v>13</v>
      </c>
      <c r="J3771" s="9" t="s">
        <v>13</v>
      </c>
      <c r="K3771" s="9" t="s">
        <v>2214</v>
      </c>
      <c r="L3771" s="166" t="s">
        <v>215</v>
      </c>
      <c r="M3771" s="166" t="s">
        <v>92</v>
      </c>
      <c r="N3771" s="166" t="s">
        <v>266</v>
      </c>
      <c r="O3771" s="162" t="s">
        <v>2765</v>
      </c>
      <c r="S3771" s="180">
        <v>6151</v>
      </c>
      <c r="T3771" s="172">
        <v>1230</v>
      </c>
      <c r="U3771" s="14" t="s">
        <v>76</v>
      </c>
      <c r="W3771" s="29">
        <v>20</v>
      </c>
      <c r="AB3771" s="165"/>
      <c r="AC3771" s="165"/>
      <c r="AJ3771" s="165"/>
      <c r="AK3771" s="48">
        <f t="shared" si="340"/>
        <v>147600000</v>
      </c>
      <c r="AL3771" s="48">
        <f t="shared" si="341"/>
        <v>32374.526774786471</v>
      </c>
    </row>
    <row r="3772" spans="1:38" ht="19">
      <c r="A3772" s="14" t="s">
        <v>19</v>
      </c>
      <c r="B3772" s="8">
        <v>2024</v>
      </c>
      <c r="C3772" s="8" t="s">
        <v>24</v>
      </c>
      <c r="D3772" s="9" t="s">
        <v>206</v>
      </c>
      <c r="E3772" s="166" t="s">
        <v>102</v>
      </c>
      <c r="F3772" s="16" t="s">
        <v>207</v>
      </c>
      <c r="G3772" s="14">
        <v>1</v>
      </c>
      <c r="I3772" s="9" t="s">
        <v>13</v>
      </c>
      <c r="J3772" s="9" t="s">
        <v>13</v>
      </c>
      <c r="K3772" s="9" t="s">
        <v>2214</v>
      </c>
      <c r="L3772" s="166" t="s">
        <v>215</v>
      </c>
      <c r="M3772" s="166" t="s">
        <v>92</v>
      </c>
      <c r="N3772" s="166" t="s">
        <v>266</v>
      </c>
      <c r="O3772" s="162" t="s">
        <v>2766</v>
      </c>
      <c r="S3772" s="180">
        <v>5984</v>
      </c>
      <c r="T3772" s="172">
        <v>1197</v>
      </c>
      <c r="U3772" s="14" t="s">
        <v>76</v>
      </c>
      <c r="W3772" s="29">
        <v>20</v>
      </c>
      <c r="AB3772" s="165"/>
      <c r="AC3772" s="165"/>
      <c r="AJ3772" s="165"/>
      <c r="AK3772" s="48">
        <f t="shared" si="340"/>
        <v>143640000</v>
      </c>
      <c r="AL3772" s="48">
        <f t="shared" si="341"/>
        <v>31505.941910097077</v>
      </c>
    </row>
    <row r="3773" spans="1:38" ht="19">
      <c r="A3773" s="14" t="s">
        <v>19</v>
      </c>
      <c r="B3773" s="8">
        <v>2024</v>
      </c>
      <c r="C3773" s="8" t="s">
        <v>24</v>
      </c>
      <c r="D3773" s="9" t="s">
        <v>206</v>
      </c>
      <c r="E3773" s="166" t="s">
        <v>102</v>
      </c>
      <c r="F3773" s="16" t="s">
        <v>207</v>
      </c>
      <c r="G3773" s="14">
        <v>1</v>
      </c>
      <c r="I3773" s="9" t="s">
        <v>13</v>
      </c>
      <c r="J3773" s="9" t="s">
        <v>13</v>
      </c>
      <c r="K3773" s="9" t="s">
        <v>2214</v>
      </c>
      <c r="L3773" s="166" t="s">
        <v>215</v>
      </c>
      <c r="M3773" s="166" t="s">
        <v>92</v>
      </c>
      <c r="N3773" s="166" t="s">
        <v>266</v>
      </c>
      <c r="O3773" s="162" t="s">
        <v>2767</v>
      </c>
      <c r="S3773" s="180">
        <v>9182</v>
      </c>
      <c r="T3773" s="172">
        <v>1836</v>
      </c>
      <c r="U3773" s="14" t="s">
        <v>76</v>
      </c>
      <c r="W3773" s="29">
        <v>20</v>
      </c>
      <c r="AB3773" s="165"/>
      <c r="AC3773" s="165"/>
      <c r="AJ3773" s="165"/>
      <c r="AK3773" s="48">
        <f t="shared" si="340"/>
        <v>220320000</v>
      </c>
      <c r="AL3773" s="48">
        <f t="shared" si="341"/>
        <v>48324.903380900781</v>
      </c>
    </row>
    <row r="3774" spans="1:38" ht="19">
      <c r="A3774" s="14" t="s">
        <v>19</v>
      </c>
      <c r="B3774" s="8">
        <v>2024</v>
      </c>
      <c r="C3774" s="8" t="s">
        <v>24</v>
      </c>
      <c r="D3774" s="9" t="s">
        <v>206</v>
      </c>
      <c r="E3774" s="166" t="s">
        <v>102</v>
      </c>
      <c r="F3774" s="16" t="s">
        <v>207</v>
      </c>
      <c r="G3774" s="14">
        <v>1</v>
      </c>
      <c r="I3774" s="9" t="s">
        <v>13</v>
      </c>
      <c r="J3774" s="9" t="s">
        <v>13</v>
      </c>
      <c r="K3774" s="9" t="s">
        <v>2214</v>
      </c>
      <c r="L3774" s="166" t="s">
        <v>215</v>
      </c>
      <c r="M3774" s="166" t="s">
        <v>92</v>
      </c>
      <c r="N3774" s="166" t="s">
        <v>266</v>
      </c>
      <c r="O3774" s="162" t="s">
        <v>2768</v>
      </c>
      <c r="S3774" s="180">
        <v>6618</v>
      </c>
      <c r="T3774" s="172">
        <v>1324</v>
      </c>
      <c r="U3774" s="14" t="s">
        <v>76</v>
      </c>
      <c r="W3774" s="29">
        <v>20</v>
      </c>
      <c r="AB3774" s="165"/>
      <c r="AC3774" s="165"/>
      <c r="AJ3774" s="165"/>
      <c r="AK3774" s="48">
        <f t="shared" si="340"/>
        <v>158880000</v>
      </c>
      <c r="AL3774" s="48">
        <f t="shared" si="341"/>
        <v>34848.677601477466</v>
      </c>
    </row>
    <row r="3775" spans="1:38" ht="19">
      <c r="A3775" s="14" t="s">
        <v>19</v>
      </c>
      <c r="B3775" s="8">
        <v>2024</v>
      </c>
      <c r="C3775" s="8" t="s">
        <v>24</v>
      </c>
      <c r="D3775" s="9" t="s">
        <v>206</v>
      </c>
      <c r="E3775" s="166" t="s">
        <v>102</v>
      </c>
      <c r="F3775" s="16" t="s">
        <v>207</v>
      </c>
      <c r="G3775" s="14">
        <v>1</v>
      </c>
      <c r="I3775" s="9" t="s">
        <v>13</v>
      </c>
      <c r="J3775" s="9" t="s">
        <v>13</v>
      </c>
      <c r="K3775" s="9" t="s">
        <v>2214</v>
      </c>
      <c r="L3775" s="166" t="s">
        <v>1445</v>
      </c>
      <c r="M3775" s="166" t="s">
        <v>96</v>
      </c>
      <c r="N3775" s="166" t="s">
        <v>267</v>
      </c>
      <c r="O3775" s="162" t="s">
        <v>2769</v>
      </c>
      <c r="S3775" s="180">
        <v>6666</v>
      </c>
      <c r="T3775" s="172">
        <v>1333</v>
      </c>
      <c r="U3775" s="14" t="s">
        <v>76</v>
      </c>
      <c r="W3775" s="29">
        <v>20</v>
      </c>
      <c r="AB3775" s="165"/>
      <c r="AC3775" s="165"/>
      <c r="AJ3775" s="165"/>
      <c r="AK3775" s="48">
        <f t="shared" si="340"/>
        <v>159960000</v>
      </c>
      <c r="AL3775" s="48">
        <f t="shared" si="341"/>
        <v>35085.564382756398</v>
      </c>
    </row>
    <row r="3776" spans="1:38" ht="19">
      <c r="A3776" s="14" t="s">
        <v>19</v>
      </c>
      <c r="B3776" s="8">
        <v>2024</v>
      </c>
      <c r="C3776" s="8" t="s">
        <v>24</v>
      </c>
      <c r="D3776" s="9" t="s">
        <v>206</v>
      </c>
      <c r="E3776" s="166" t="s">
        <v>102</v>
      </c>
      <c r="F3776" s="16" t="s">
        <v>207</v>
      </c>
      <c r="G3776" s="14">
        <v>1</v>
      </c>
      <c r="I3776" s="9" t="s">
        <v>13</v>
      </c>
      <c r="J3776" s="9" t="s">
        <v>13</v>
      </c>
      <c r="K3776" s="9" t="s">
        <v>2214</v>
      </c>
      <c r="L3776" s="166" t="s">
        <v>1445</v>
      </c>
      <c r="M3776" s="166" t="s">
        <v>96</v>
      </c>
      <c r="N3776" s="166" t="s">
        <v>267</v>
      </c>
      <c r="O3776" s="162" t="s">
        <v>2770</v>
      </c>
      <c r="S3776" s="180">
        <v>5589</v>
      </c>
      <c r="T3776" s="172">
        <v>1118</v>
      </c>
      <c r="U3776" s="14" t="s">
        <v>76</v>
      </c>
      <c r="W3776" s="29">
        <v>20</v>
      </c>
      <c r="AB3776" s="165"/>
      <c r="AC3776" s="165"/>
      <c r="AJ3776" s="165"/>
      <c r="AK3776" s="48">
        <f t="shared" si="340"/>
        <v>134160000</v>
      </c>
      <c r="AL3776" s="48">
        <f t="shared" si="341"/>
        <v>29426.602385537622</v>
      </c>
    </row>
    <row r="3777" spans="1:38" ht="19">
      <c r="A3777" s="14" t="s">
        <v>19</v>
      </c>
      <c r="B3777" s="8">
        <v>2024</v>
      </c>
      <c r="C3777" s="8" t="s">
        <v>24</v>
      </c>
      <c r="D3777" s="9" t="s">
        <v>206</v>
      </c>
      <c r="E3777" s="166" t="s">
        <v>102</v>
      </c>
      <c r="F3777" s="16" t="s">
        <v>207</v>
      </c>
      <c r="G3777" s="14">
        <v>1</v>
      </c>
      <c r="I3777" s="9" t="s">
        <v>13</v>
      </c>
      <c r="J3777" s="9" t="s">
        <v>13</v>
      </c>
      <c r="K3777" s="9" t="s">
        <v>2214</v>
      </c>
      <c r="L3777" s="166" t="s">
        <v>1445</v>
      </c>
      <c r="M3777" s="166" t="s">
        <v>96</v>
      </c>
      <c r="N3777" s="166" t="s">
        <v>267</v>
      </c>
      <c r="O3777" s="162" t="s">
        <v>2771</v>
      </c>
      <c r="S3777" s="180">
        <v>5449</v>
      </c>
      <c r="T3777" s="172">
        <v>1090</v>
      </c>
      <c r="U3777" s="14" t="s">
        <v>76</v>
      </c>
      <c r="W3777" s="29">
        <v>20</v>
      </c>
      <c r="AB3777" s="165"/>
      <c r="AC3777" s="165"/>
      <c r="AJ3777" s="165"/>
      <c r="AK3777" s="48">
        <f t="shared" si="340"/>
        <v>130800000</v>
      </c>
      <c r="AL3777" s="48">
        <f t="shared" si="341"/>
        <v>28689.621288225408</v>
      </c>
    </row>
    <row r="3778" spans="1:38" ht="19">
      <c r="A3778" s="14" t="s">
        <v>19</v>
      </c>
      <c r="B3778" s="8">
        <v>2024</v>
      </c>
      <c r="C3778" s="8" t="s">
        <v>24</v>
      </c>
      <c r="D3778" s="9" t="s">
        <v>206</v>
      </c>
      <c r="E3778" s="166" t="s">
        <v>102</v>
      </c>
      <c r="F3778" s="16" t="s">
        <v>207</v>
      </c>
      <c r="G3778" s="14">
        <v>1</v>
      </c>
      <c r="I3778" s="9" t="s">
        <v>13</v>
      </c>
      <c r="J3778" s="9" t="s">
        <v>13</v>
      </c>
      <c r="K3778" s="9" t="s">
        <v>2214</v>
      </c>
      <c r="L3778" s="166" t="s">
        <v>1445</v>
      </c>
      <c r="M3778" s="166" t="s">
        <v>96</v>
      </c>
      <c r="N3778" s="166" t="s">
        <v>267</v>
      </c>
      <c r="O3778" s="162" t="s">
        <v>2772</v>
      </c>
      <c r="S3778" s="180">
        <v>12200</v>
      </c>
      <c r="T3778" s="172">
        <v>2440</v>
      </c>
      <c r="U3778" s="14" t="s">
        <v>76</v>
      </c>
      <c r="W3778" s="29">
        <v>20</v>
      </c>
      <c r="AB3778" s="165"/>
      <c r="AC3778" s="165"/>
      <c r="AJ3778" s="165"/>
      <c r="AK3778" s="48">
        <f t="shared" si="340"/>
        <v>292800000</v>
      </c>
      <c r="AL3778" s="48">
        <f t="shared" si="341"/>
        <v>64222.638480064219</v>
      </c>
    </row>
    <row r="3779" spans="1:38" ht="19">
      <c r="A3779" s="166" t="s">
        <v>19</v>
      </c>
      <c r="B3779" s="166">
        <v>2025</v>
      </c>
      <c r="C3779" s="166" t="s">
        <v>24</v>
      </c>
      <c r="D3779" s="166" t="s">
        <v>185</v>
      </c>
      <c r="E3779" s="166" t="s">
        <v>103</v>
      </c>
      <c r="F3779" s="16" t="s">
        <v>265</v>
      </c>
      <c r="G3779" s="166">
        <v>2</v>
      </c>
      <c r="H3779" s="166" t="s">
        <v>2773</v>
      </c>
      <c r="I3779" s="166" t="s">
        <v>13</v>
      </c>
      <c r="J3779" s="166" t="s">
        <v>13</v>
      </c>
      <c r="K3779" s="16" t="s">
        <v>2773</v>
      </c>
      <c r="L3779" s="166" t="s">
        <v>178</v>
      </c>
      <c r="M3779" s="166" t="s">
        <v>101</v>
      </c>
      <c r="N3779" s="175" t="s">
        <v>2774</v>
      </c>
      <c r="O3779" s="175" t="s">
        <v>2775</v>
      </c>
      <c r="P3779" s="175" t="s">
        <v>2776</v>
      </c>
      <c r="Q3779" s="166" t="s">
        <v>2773</v>
      </c>
      <c r="R3779" s="166" t="s">
        <v>2773</v>
      </c>
      <c r="S3779" s="209">
        <v>439</v>
      </c>
      <c r="T3779" s="211">
        <f>S3779</f>
        <v>439</v>
      </c>
      <c r="U3779" s="14" t="s">
        <v>77</v>
      </c>
      <c r="W3779" s="166">
        <v>30</v>
      </c>
      <c r="X3779" s="166" t="s">
        <v>2777</v>
      </c>
      <c r="Y3779" s="166" t="s">
        <v>2777</v>
      </c>
      <c r="Z3779" s="166" t="s">
        <v>2777</v>
      </c>
      <c r="AA3779" s="166" t="s">
        <v>2778</v>
      </c>
      <c r="AB3779" s="166" t="s">
        <v>2778</v>
      </c>
      <c r="AC3779" s="166" t="s">
        <v>2777</v>
      </c>
      <c r="AD3779" s="166" t="s">
        <v>2779</v>
      </c>
      <c r="AE3779" s="166" t="s">
        <v>2780</v>
      </c>
      <c r="AF3779" s="166" t="s">
        <v>2777</v>
      </c>
      <c r="AG3779" s="166"/>
      <c r="AH3779" s="166">
        <f>+S3779*W3779*50/1000000</f>
        <v>0.65849999999999997</v>
      </c>
      <c r="AI3779" s="166"/>
      <c r="AJ3779" s="166" t="s">
        <v>2773</v>
      </c>
      <c r="AK3779" s="166" t="s">
        <v>2773</v>
      </c>
    </row>
    <row r="3780" spans="1:38" ht="19">
      <c r="A3780" s="166" t="s">
        <v>19</v>
      </c>
      <c r="B3780" s="166">
        <v>2025</v>
      </c>
      <c r="C3780" s="166" t="s">
        <v>24</v>
      </c>
      <c r="D3780" s="166" t="s">
        <v>185</v>
      </c>
      <c r="E3780" s="166" t="s">
        <v>103</v>
      </c>
      <c r="F3780" s="16" t="s">
        <v>265</v>
      </c>
      <c r="G3780" s="166">
        <v>2</v>
      </c>
      <c r="H3780" s="166" t="s">
        <v>2773</v>
      </c>
      <c r="I3780" s="166" t="s">
        <v>13</v>
      </c>
      <c r="J3780" s="166" t="s">
        <v>13</v>
      </c>
      <c r="K3780" s="16" t="s">
        <v>2773</v>
      </c>
      <c r="L3780" s="166" t="s">
        <v>178</v>
      </c>
      <c r="M3780" s="166" t="s">
        <v>101</v>
      </c>
      <c r="N3780" s="175" t="s">
        <v>2774</v>
      </c>
      <c r="O3780" s="175" t="s">
        <v>2761</v>
      </c>
      <c r="P3780" s="175" t="s">
        <v>2776</v>
      </c>
      <c r="Q3780" s="166" t="s">
        <v>2773</v>
      </c>
      <c r="R3780" s="166" t="s">
        <v>2773</v>
      </c>
      <c r="S3780" s="209">
        <v>910</v>
      </c>
      <c r="T3780" s="211">
        <f t="shared" ref="T3780:T3801" si="342">S3780</f>
        <v>910</v>
      </c>
      <c r="U3780" s="14" t="s">
        <v>77</v>
      </c>
      <c r="W3780" s="166">
        <v>30</v>
      </c>
      <c r="X3780" s="166" t="s">
        <v>2777</v>
      </c>
      <c r="Y3780" s="166" t="s">
        <v>2777</v>
      </c>
      <c r="Z3780" s="166" t="s">
        <v>2777</v>
      </c>
      <c r="AA3780" s="166" t="s">
        <v>2778</v>
      </c>
      <c r="AB3780" s="166" t="s">
        <v>2778</v>
      </c>
      <c r="AC3780" s="166" t="s">
        <v>2777</v>
      </c>
      <c r="AD3780" s="166" t="s">
        <v>2779</v>
      </c>
      <c r="AE3780" s="166" t="s">
        <v>2780</v>
      </c>
      <c r="AF3780" s="166" t="s">
        <v>2777</v>
      </c>
      <c r="AG3780" s="166"/>
      <c r="AH3780" s="166">
        <f t="shared" ref="AH3780:AH3801" si="343">+S3780*W3780*50/1000000</f>
        <v>1.365</v>
      </c>
      <c r="AI3780" s="166"/>
      <c r="AJ3780" s="166" t="s">
        <v>2773</v>
      </c>
      <c r="AK3780" s="166" t="s">
        <v>2773</v>
      </c>
    </row>
    <row r="3781" spans="1:38" ht="19">
      <c r="A3781" s="166" t="s">
        <v>19</v>
      </c>
      <c r="B3781" s="166">
        <v>2025</v>
      </c>
      <c r="C3781" s="166" t="s">
        <v>24</v>
      </c>
      <c r="D3781" s="166" t="s">
        <v>185</v>
      </c>
      <c r="E3781" s="166" t="s">
        <v>103</v>
      </c>
      <c r="F3781" s="16" t="s">
        <v>265</v>
      </c>
      <c r="G3781" s="166">
        <v>1</v>
      </c>
      <c r="H3781" s="166" t="s">
        <v>2773</v>
      </c>
      <c r="I3781" s="166" t="s">
        <v>13</v>
      </c>
      <c r="J3781" s="166" t="s">
        <v>13</v>
      </c>
      <c r="K3781" s="16" t="s">
        <v>2773</v>
      </c>
      <c r="L3781" s="166" t="s">
        <v>178</v>
      </c>
      <c r="M3781" s="166" t="s">
        <v>105</v>
      </c>
      <c r="N3781" s="175" t="s">
        <v>2776</v>
      </c>
      <c r="O3781" s="175" t="s">
        <v>2739</v>
      </c>
      <c r="P3781" s="175" t="s">
        <v>2776</v>
      </c>
      <c r="Q3781" s="166" t="s">
        <v>2773</v>
      </c>
      <c r="R3781" s="166" t="s">
        <v>2773</v>
      </c>
      <c r="S3781" s="166">
        <v>342</v>
      </c>
      <c r="T3781" s="211">
        <f t="shared" si="342"/>
        <v>342</v>
      </c>
      <c r="U3781" s="14" t="s">
        <v>77</v>
      </c>
      <c r="W3781" s="166">
        <v>30</v>
      </c>
      <c r="X3781" s="166" t="s">
        <v>2777</v>
      </c>
      <c r="Y3781" s="166" t="s">
        <v>2777</v>
      </c>
      <c r="Z3781" s="166" t="s">
        <v>2777</v>
      </c>
      <c r="AA3781" s="166" t="s">
        <v>2778</v>
      </c>
      <c r="AB3781" s="166" t="s">
        <v>2778</v>
      </c>
      <c r="AC3781" s="166" t="s">
        <v>2777</v>
      </c>
      <c r="AD3781" s="166" t="s">
        <v>2779</v>
      </c>
      <c r="AE3781" s="166" t="s">
        <v>2780</v>
      </c>
      <c r="AF3781" s="166" t="s">
        <v>2777</v>
      </c>
      <c r="AG3781" s="166"/>
      <c r="AH3781" s="166">
        <f t="shared" si="343"/>
        <v>0.51300000000000001</v>
      </c>
      <c r="AI3781" s="166"/>
      <c r="AJ3781" s="166" t="s">
        <v>2773</v>
      </c>
      <c r="AK3781" s="166" t="s">
        <v>2781</v>
      </c>
    </row>
    <row r="3782" spans="1:38" ht="19">
      <c r="A3782" s="166" t="s">
        <v>19</v>
      </c>
      <c r="B3782" s="166">
        <v>2025</v>
      </c>
      <c r="C3782" s="166" t="s">
        <v>24</v>
      </c>
      <c r="D3782" s="166" t="s">
        <v>185</v>
      </c>
      <c r="E3782" s="166" t="s">
        <v>103</v>
      </c>
      <c r="F3782" s="16" t="s">
        <v>265</v>
      </c>
      <c r="G3782" s="166">
        <v>1</v>
      </c>
      <c r="H3782" s="166" t="s">
        <v>2773</v>
      </c>
      <c r="I3782" s="166" t="s">
        <v>13</v>
      </c>
      <c r="J3782" s="166" t="s">
        <v>13</v>
      </c>
      <c r="K3782" s="16" t="s">
        <v>2773</v>
      </c>
      <c r="L3782" s="166" t="s">
        <v>178</v>
      </c>
      <c r="M3782" s="166" t="s">
        <v>105</v>
      </c>
      <c r="N3782" s="166" t="s">
        <v>2776</v>
      </c>
      <c r="O3782" s="166" t="s">
        <v>2740</v>
      </c>
      <c r="P3782" s="175" t="s">
        <v>2776</v>
      </c>
      <c r="Q3782" s="166" t="s">
        <v>2773</v>
      </c>
      <c r="R3782" s="166" t="s">
        <v>2773</v>
      </c>
      <c r="S3782" s="166">
        <v>670</v>
      </c>
      <c r="T3782" s="211">
        <f t="shared" si="342"/>
        <v>670</v>
      </c>
      <c r="U3782" s="14" t="s">
        <v>77</v>
      </c>
      <c r="W3782" s="166">
        <v>30</v>
      </c>
      <c r="X3782" s="166" t="s">
        <v>2777</v>
      </c>
      <c r="Y3782" s="166" t="s">
        <v>2777</v>
      </c>
      <c r="Z3782" s="166" t="s">
        <v>2777</v>
      </c>
      <c r="AA3782" s="166" t="s">
        <v>2778</v>
      </c>
      <c r="AB3782" s="166" t="s">
        <v>2778</v>
      </c>
      <c r="AC3782" s="166" t="s">
        <v>2777</v>
      </c>
      <c r="AD3782" s="166" t="s">
        <v>2779</v>
      </c>
      <c r="AE3782" s="166" t="s">
        <v>2780</v>
      </c>
      <c r="AF3782" s="166" t="s">
        <v>2777</v>
      </c>
      <c r="AG3782" s="172"/>
      <c r="AH3782" s="166">
        <f t="shared" si="343"/>
        <v>1.0049999999999999</v>
      </c>
      <c r="AI3782" s="172"/>
      <c r="AJ3782" s="166" t="s">
        <v>2773</v>
      </c>
      <c r="AK3782" s="166" t="s">
        <v>2781</v>
      </c>
    </row>
    <row r="3783" spans="1:38" ht="19">
      <c r="A3783" s="166" t="s">
        <v>19</v>
      </c>
      <c r="B3783" s="166">
        <v>2025</v>
      </c>
      <c r="C3783" s="166" t="s">
        <v>24</v>
      </c>
      <c r="D3783" s="166" t="s">
        <v>185</v>
      </c>
      <c r="E3783" s="166" t="s">
        <v>103</v>
      </c>
      <c r="F3783" s="16" t="s">
        <v>265</v>
      </c>
      <c r="G3783" s="166">
        <v>1</v>
      </c>
      <c r="H3783" s="166" t="s">
        <v>2773</v>
      </c>
      <c r="I3783" s="166" t="s">
        <v>13</v>
      </c>
      <c r="J3783" s="166" t="s">
        <v>13</v>
      </c>
      <c r="K3783" s="16" t="s">
        <v>2773</v>
      </c>
      <c r="L3783" s="166" t="s">
        <v>178</v>
      </c>
      <c r="M3783" s="166" t="s">
        <v>105</v>
      </c>
      <c r="N3783" s="175" t="s">
        <v>2776</v>
      </c>
      <c r="O3783" s="175" t="s">
        <v>2741</v>
      </c>
      <c r="P3783" s="175" t="s">
        <v>2776</v>
      </c>
      <c r="Q3783" s="166" t="s">
        <v>2773</v>
      </c>
      <c r="R3783" s="166" t="s">
        <v>2773</v>
      </c>
      <c r="S3783" s="166">
        <v>588</v>
      </c>
      <c r="T3783" s="211">
        <f t="shared" si="342"/>
        <v>588</v>
      </c>
      <c r="U3783" s="14" t="s">
        <v>77</v>
      </c>
      <c r="W3783" s="166">
        <v>30</v>
      </c>
      <c r="X3783" s="166" t="s">
        <v>2777</v>
      </c>
      <c r="Y3783" s="166" t="s">
        <v>2777</v>
      </c>
      <c r="Z3783" s="166" t="s">
        <v>2777</v>
      </c>
      <c r="AA3783" s="166" t="s">
        <v>2778</v>
      </c>
      <c r="AB3783" s="166" t="s">
        <v>2778</v>
      </c>
      <c r="AC3783" s="166" t="s">
        <v>2777</v>
      </c>
      <c r="AD3783" s="166" t="s">
        <v>2779</v>
      </c>
      <c r="AE3783" s="166" t="s">
        <v>2780</v>
      </c>
      <c r="AF3783" s="166" t="s">
        <v>2777</v>
      </c>
      <c r="AG3783" s="166"/>
      <c r="AH3783" s="166">
        <f t="shared" si="343"/>
        <v>0.88200000000000001</v>
      </c>
      <c r="AI3783" s="166"/>
      <c r="AJ3783" s="166" t="s">
        <v>2773</v>
      </c>
      <c r="AK3783" s="166" t="s">
        <v>2781</v>
      </c>
    </row>
    <row r="3784" spans="1:38" ht="19">
      <c r="A3784" s="166" t="s">
        <v>19</v>
      </c>
      <c r="B3784" s="166">
        <v>2025</v>
      </c>
      <c r="C3784" s="166" t="s">
        <v>24</v>
      </c>
      <c r="D3784" s="166" t="s">
        <v>185</v>
      </c>
      <c r="E3784" s="166" t="s">
        <v>103</v>
      </c>
      <c r="F3784" s="16" t="s">
        <v>265</v>
      </c>
      <c r="G3784" s="166">
        <v>1</v>
      </c>
      <c r="H3784" s="166" t="s">
        <v>2773</v>
      </c>
      <c r="I3784" s="166" t="s">
        <v>13</v>
      </c>
      <c r="J3784" s="166" t="s">
        <v>13</v>
      </c>
      <c r="K3784" s="16" t="s">
        <v>2773</v>
      </c>
      <c r="L3784" s="166" t="s">
        <v>178</v>
      </c>
      <c r="M3784" s="166" t="s">
        <v>105</v>
      </c>
      <c r="N3784" s="175" t="s">
        <v>2776</v>
      </c>
      <c r="O3784" s="175" t="s">
        <v>2742</v>
      </c>
      <c r="P3784" s="175" t="s">
        <v>2776</v>
      </c>
      <c r="Q3784" s="166" t="s">
        <v>2773</v>
      </c>
      <c r="R3784" s="166" t="s">
        <v>2773</v>
      </c>
      <c r="S3784" s="166">
        <v>203</v>
      </c>
      <c r="T3784" s="211">
        <f t="shared" si="342"/>
        <v>203</v>
      </c>
      <c r="U3784" s="14" t="s">
        <v>77</v>
      </c>
      <c r="W3784" s="166">
        <v>30</v>
      </c>
      <c r="X3784" s="166" t="s">
        <v>2777</v>
      </c>
      <c r="Y3784" s="166" t="s">
        <v>2777</v>
      </c>
      <c r="Z3784" s="166" t="s">
        <v>2777</v>
      </c>
      <c r="AA3784" s="166" t="s">
        <v>2778</v>
      </c>
      <c r="AB3784" s="166" t="s">
        <v>2778</v>
      </c>
      <c r="AC3784" s="166" t="s">
        <v>2777</v>
      </c>
      <c r="AD3784" s="166" t="s">
        <v>2779</v>
      </c>
      <c r="AE3784" s="166" t="s">
        <v>2780</v>
      </c>
      <c r="AF3784" s="166" t="s">
        <v>2777</v>
      </c>
      <c r="AG3784" s="166"/>
      <c r="AH3784" s="166">
        <f t="shared" si="343"/>
        <v>0.30449999999999999</v>
      </c>
      <c r="AI3784" s="166"/>
      <c r="AJ3784" s="166" t="s">
        <v>2773</v>
      </c>
      <c r="AK3784" s="166" t="s">
        <v>2781</v>
      </c>
    </row>
    <row r="3785" spans="1:38" ht="19">
      <c r="A3785" s="166" t="s">
        <v>19</v>
      </c>
      <c r="B3785" s="166">
        <v>2025</v>
      </c>
      <c r="C3785" s="166" t="s">
        <v>24</v>
      </c>
      <c r="D3785" s="166" t="s">
        <v>185</v>
      </c>
      <c r="E3785" s="166" t="s">
        <v>103</v>
      </c>
      <c r="F3785" s="16" t="s">
        <v>265</v>
      </c>
      <c r="G3785" s="166">
        <v>2</v>
      </c>
      <c r="H3785" s="166" t="s">
        <v>2773</v>
      </c>
      <c r="I3785" s="166" t="s">
        <v>13</v>
      </c>
      <c r="J3785" s="166" t="s">
        <v>13</v>
      </c>
      <c r="K3785" s="16" t="s">
        <v>2773</v>
      </c>
      <c r="L3785" s="166" t="s">
        <v>178</v>
      </c>
      <c r="M3785" s="166" t="s">
        <v>105</v>
      </c>
      <c r="N3785" s="175" t="s">
        <v>2776</v>
      </c>
      <c r="O3785" s="175" t="s">
        <v>2782</v>
      </c>
      <c r="P3785" s="175" t="s">
        <v>2776</v>
      </c>
      <c r="Q3785" s="166" t="s">
        <v>2773</v>
      </c>
      <c r="R3785" s="166" t="s">
        <v>2773</v>
      </c>
      <c r="S3785" s="166">
        <v>451</v>
      </c>
      <c r="T3785" s="211">
        <f t="shared" si="342"/>
        <v>451</v>
      </c>
      <c r="U3785" s="14" t="s">
        <v>77</v>
      </c>
      <c r="W3785" s="166">
        <v>30</v>
      </c>
      <c r="X3785" s="166" t="s">
        <v>2777</v>
      </c>
      <c r="Y3785" s="166" t="s">
        <v>2777</v>
      </c>
      <c r="Z3785" s="166" t="s">
        <v>2777</v>
      </c>
      <c r="AA3785" s="166" t="s">
        <v>2778</v>
      </c>
      <c r="AB3785" s="166" t="s">
        <v>2778</v>
      </c>
      <c r="AC3785" s="166" t="s">
        <v>2777</v>
      </c>
      <c r="AD3785" s="166" t="s">
        <v>2779</v>
      </c>
      <c r="AE3785" s="166" t="s">
        <v>2780</v>
      </c>
      <c r="AF3785" s="166" t="s">
        <v>2777</v>
      </c>
      <c r="AG3785" s="166"/>
      <c r="AH3785" s="166">
        <f t="shared" si="343"/>
        <v>0.67649999999999999</v>
      </c>
      <c r="AI3785" s="166"/>
      <c r="AJ3785" s="166" t="s">
        <v>2773</v>
      </c>
      <c r="AK3785" s="166" t="s">
        <v>2781</v>
      </c>
    </row>
    <row r="3786" spans="1:38" ht="19">
      <c r="A3786" s="166" t="s">
        <v>19</v>
      </c>
      <c r="B3786" s="166">
        <v>2025</v>
      </c>
      <c r="C3786" s="166" t="s">
        <v>24</v>
      </c>
      <c r="D3786" s="166" t="s">
        <v>185</v>
      </c>
      <c r="E3786" s="166" t="s">
        <v>103</v>
      </c>
      <c r="F3786" s="16" t="s">
        <v>265</v>
      </c>
      <c r="G3786" s="166">
        <v>1</v>
      </c>
      <c r="H3786" s="166" t="s">
        <v>2773</v>
      </c>
      <c r="I3786" s="166" t="s">
        <v>13</v>
      </c>
      <c r="J3786" s="166" t="s">
        <v>13</v>
      </c>
      <c r="K3786" s="16" t="s">
        <v>2773</v>
      </c>
      <c r="L3786" s="166" t="s">
        <v>178</v>
      </c>
      <c r="M3786" s="166" t="s">
        <v>105</v>
      </c>
      <c r="N3786" s="166" t="s">
        <v>2776</v>
      </c>
      <c r="O3786" s="166" t="s">
        <v>2744</v>
      </c>
      <c r="P3786" s="175" t="s">
        <v>2776</v>
      </c>
      <c r="Q3786" s="166" t="s">
        <v>2773</v>
      </c>
      <c r="R3786" s="166" t="s">
        <v>2773</v>
      </c>
      <c r="S3786" s="166">
        <v>417</v>
      </c>
      <c r="T3786" s="211">
        <f t="shared" si="342"/>
        <v>417</v>
      </c>
      <c r="U3786" s="14" t="s">
        <v>77</v>
      </c>
      <c r="W3786" s="166">
        <v>30</v>
      </c>
      <c r="X3786" s="166" t="s">
        <v>2777</v>
      </c>
      <c r="Y3786" s="166" t="s">
        <v>2777</v>
      </c>
      <c r="Z3786" s="166" t="s">
        <v>2777</v>
      </c>
      <c r="AA3786" s="166" t="s">
        <v>2778</v>
      </c>
      <c r="AB3786" s="166" t="s">
        <v>2778</v>
      </c>
      <c r="AC3786" s="166" t="s">
        <v>2777</v>
      </c>
      <c r="AD3786" s="166" t="s">
        <v>2779</v>
      </c>
      <c r="AE3786" s="166" t="s">
        <v>2780</v>
      </c>
      <c r="AF3786" s="166" t="s">
        <v>2777</v>
      </c>
      <c r="AG3786" s="166"/>
      <c r="AH3786" s="166">
        <f t="shared" si="343"/>
        <v>0.62549999999999994</v>
      </c>
      <c r="AI3786" s="166"/>
      <c r="AJ3786" s="166" t="s">
        <v>2773</v>
      </c>
      <c r="AK3786" s="166" t="s">
        <v>2781</v>
      </c>
    </row>
    <row r="3787" spans="1:38" ht="19">
      <c r="A3787" s="166" t="s">
        <v>19</v>
      </c>
      <c r="B3787" s="166">
        <v>2025</v>
      </c>
      <c r="C3787" s="166" t="s">
        <v>24</v>
      </c>
      <c r="D3787" s="166" t="s">
        <v>185</v>
      </c>
      <c r="E3787" s="166" t="s">
        <v>103</v>
      </c>
      <c r="F3787" s="16" t="s">
        <v>265</v>
      </c>
      <c r="G3787" s="166">
        <v>1</v>
      </c>
      <c r="H3787" s="166" t="s">
        <v>2773</v>
      </c>
      <c r="I3787" s="166" t="s">
        <v>13</v>
      </c>
      <c r="J3787" s="166" t="s">
        <v>13</v>
      </c>
      <c r="K3787" s="16" t="s">
        <v>2773</v>
      </c>
      <c r="L3787" s="166" t="s">
        <v>178</v>
      </c>
      <c r="M3787" s="166" t="s">
        <v>105</v>
      </c>
      <c r="N3787" s="166" t="s">
        <v>2776</v>
      </c>
      <c r="O3787" s="166" t="s">
        <v>2745</v>
      </c>
      <c r="P3787" s="175" t="s">
        <v>2776</v>
      </c>
      <c r="Q3787" s="166" t="s">
        <v>2773</v>
      </c>
      <c r="R3787" s="166" t="s">
        <v>2773</v>
      </c>
      <c r="S3787" s="209">
        <v>414</v>
      </c>
      <c r="T3787" s="211">
        <f t="shared" si="342"/>
        <v>414</v>
      </c>
      <c r="U3787" s="14" t="s">
        <v>77</v>
      </c>
      <c r="W3787" s="166">
        <v>30</v>
      </c>
      <c r="X3787" s="166" t="s">
        <v>2777</v>
      </c>
      <c r="Y3787" s="166" t="s">
        <v>2777</v>
      </c>
      <c r="Z3787" s="166" t="s">
        <v>2777</v>
      </c>
      <c r="AA3787" s="166" t="s">
        <v>2778</v>
      </c>
      <c r="AB3787" s="166" t="s">
        <v>2778</v>
      </c>
      <c r="AC3787" s="166" t="s">
        <v>2777</v>
      </c>
      <c r="AD3787" s="166" t="s">
        <v>2779</v>
      </c>
      <c r="AE3787" s="166" t="s">
        <v>2780</v>
      </c>
      <c r="AF3787" s="166" t="s">
        <v>2777</v>
      </c>
      <c r="AG3787" s="166"/>
      <c r="AH3787" s="166">
        <f t="shared" si="343"/>
        <v>0.621</v>
      </c>
      <c r="AI3787" s="166"/>
      <c r="AJ3787" s="166" t="s">
        <v>2773</v>
      </c>
      <c r="AK3787" s="166" t="s">
        <v>2781</v>
      </c>
    </row>
    <row r="3788" spans="1:38" ht="19">
      <c r="A3788" s="166" t="s">
        <v>19</v>
      </c>
      <c r="B3788" s="166">
        <v>2025</v>
      </c>
      <c r="C3788" s="166" t="s">
        <v>24</v>
      </c>
      <c r="D3788" s="166" t="s">
        <v>185</v>
      </c>
      <c r="E3788" s="166" t="s">
        <v>103</v>
      </c>
      <c r="F3788" s="16" t="s">
        <v>265</v>
      </c>
      <c r="G3788" s="166">
        <v>2</v>
      </c>
      <c r="H3788" s="166" t="s">
        <v>2773</v>
      </c>
      <c r="I3788" s="166" t="s">
        <v>13</v>
      </c>
      <c r="J3788" s="166" t="s">
        <v>13</v>
      </c>
      <c r="K3788" s="16" t="s">
        <v>2773</v>
      </c>
      <c r="L3788" s="166" t="s">
        <v>178</v>
      </c>
      <c r="M3788" s="166" t="s">
        <v>105</v>
      </c>
      <c r="N3788" s="175" t="s">
        <v>2776</v>
      </c>
      <c r="O3788" s="175" t="s">
        <v>2746</v>
      </c>
      <c r="P3788" s="175" t="s">
        <v>2776</v>
      </c>
      <c r="Q3788" s="166" t="s">
        <v>2773</v>
      </c>
      <c r="R3788" s="166" t="s">
        <v>2773</v>
      </c>
      <c r="S3788" s="209">
        <v>613</v>
      </c>
      <c r="T3788" s="211">
        <f t="shared" si="342"/>
        <v>613</v>
      </c>
      <c r="U3788" s="14" t="s">
        <v>77</v>
      </c>
      <c r="W3788" s="166">
        <v>30</v>
      </c>
      <c r="X3788" s="166" t="s">
        <v>2777</v>
      </c>
      <c r="Y3788" s="166" t="s">
        <v>2777</v>
      </c>
      <c r="Z3788" s="166" t="s">
        <v>2777</v>
      </c>
      <c r="AA3788" s="166" t="s">
        <v>2778</v>
      </c>
      <c r="AB3788" s="166" t="s">
        <v>2778</v>
      </c>
      <c r="AC3788" s="166" t="s">
        <v>2777</v>
      </c>
      <c r="AD3788" s="166" t="s">
        <v>2779</v>
      </c>
      <c r="AE3788" s="166" t="s">
        <v>2780</v>
      </c>
      <c r="AF3788" s="166" t="s">
        <v>2777</v>
      </c>
      <c r="AG3788" s="166"/>
      <c r="AH3788" s="166">
        <f t="shared" si="343"/>
        <v>0.91949999999999998</v>
      </c>
      <c r="AI3788" s="166"/>
      <c r="AJ3788" s="166" t="s">
        <v>2773</v>
      </c>
      <c r="AK3788" s="166" t="s">
        <v>2781</v>
      </c>
    </row>
    <row r="3789" spans="1:38" ht="19">
      <c r="A3789" s="166" t="s">
        <v>19</v>
      </c>
      <c r="B3789" s="166">
        <v>2025</v>
      </c>
      <c r="C3789" s="166" t="s">
        <v>24</v>
      </c>
      <c r="D3789" s="166" t="s">
        <v>185</v>
      </c>
      <c r="E3789" s="166" t="s">
        <v>103</v>
      </c>
      <c r="F3789" s="16" t="s">
        <v>265</v>
      </c>
      <c r="G3789" s="166">
        <v>1</v>
      </c>
      <c r="H3789" s="166" t="s">
        <v>2773</v>
      </c>
      <c r="I3789" s="166" t="s">
        <v>13</v>
      </c>
      <c r="J3789" s="166" t="s">
        <v>13</v>
      </c>
      <c r="K3789" s="16" t="s">
        <v>2773</v>
      </c>
      <c r="L3789" s="166" t="s">
        <v>178</v>
      </c>
      <c r="M3789" s="166" t="s">
        <v>105</v>
      </c>
      <c r="N3789" s="166" t="s">
        <v>2776</v>
      </c>
      <c r="O3789" s="166" t="s">
        <v>2747</v>
      </c>
      <c r="P3789" s="175" t="s">
        <v>2776</v>
      </c>
      <c r="Q3789" s="166" t="s">
        <v>2773</v>
      </c>
      <c r="R3789" s="166" t="s">
        <v>2773</v>
      </c>
      <c r="S3789" s="209">
        <v>382</v>
      </c>
      <c r="T3789" s="211">
        <f t="shared" si="342"/>
        <v>382</v>
      </c>
      <c r="U3789" s="14" t="s">
        <v>77</v>
      </c>
      <c r="W3789" s="166">
        <v>30</v>
      </c>
      <c r="X3789" s="166" t="s">
        <v>2777</v>
      </c>
      <c r="Y3789" s="166" t="s">
        <v>2777</v>
      </c>
      <c r="Z3789" s="166" t="s">
        <v>2777</v>
      </c>
      <c r="AA3789" s="166" t="s">
        <v>2778</v>
      </c>
      <c r="AB3789" s="166" t="s">
        <v>2778</v>
      </c>
      <c r="AC3789" s="166" t="s">
        <v>2777</v>
      </c>
      <c r="AD3789" s="166" t="s">
        <v>2779</v>
      </c>
      <c r="AE3789" s="166" t="s">
        <v>2780</v>
      </c>
      <c r="AF3789" s="166" t="s">
        <v>2777</v>
      </c>
      <c r="AG3789" s="166"/>
      <c r="AH3789" s="166">
        <f t="shared" si="343"/>
        <v>0.57299999999999995</v>
      </c>
      <c r="AI3789" s="166"/>
      <c r="AJ3789" s="166" t="s">
        <v>2773</v>
      </c>
      <c r="AK3789" s="166" t="s">
        <v>2781</v>
      </c>
    </row>
    <row r="3790" spans="1:38" ht="19">
      <c r="A3790" s="166" t="s">
        <v>19</v>
      </c>
      <c r="B3790" s="166">
        <v>2025</v>
      </c>
      <c r="C3790" s="166" t="s">
        <v>24</v>
      </c>
      <c r="D3790" s="166" t="s">
        <v>185</v>
      </c>
      <c r="E3790" s="166" t="s">
        <v>103</v>
      </c>
      <c r="F3790" s="16" t="s">
        <v>265</v>
      </c>
      <c r="G3790" s="166">
        <v>2</v>
      </c>
      <c r="H3790" s="166" t="s">
        <v>2773</v>
      </c>
      <c r="I3790" s="166" t="s">
        <v>13</v>
      </c>
      <c r="J3790" s="166" t="s">
        <v>13</v>
      </c>
      <c r="K3790" s="16" t="s">
        <v>2773</v>
      </c>
      <c r="L3790" s="166" t="s">
        <v>215</v>
      </c>
      <c r="M3790" s="166" t="s">
        <v>92</v>
      </c>
      <c r="N3790" s="166" t="s">
        <v>2783</v>
      </c>
      <c r="O3790" s="166" t="s">
        <v>2784</v>
      </c>
      <c r="P3790" s="175" t="s">
        <v>2776</v>
      </c>
      <c r="Q3790" s="166" t="s">
        <v>2773</v>
      </c>
      <c r="R3790" s="166" t="s">
        <v>2773</v>
      </c>
      <c r="S3790" s="209">
        <v>344</v>
      </c>
      <c r="T3790" s="211">
        <f t="shared" si="342"/>
        <v>344</v>
      </c>
      <c r="U3790" s="14" t="s">
        <v>77</v>
      </c>
      <c r="W3790" s="166">
        <v>30</v>
      </c>
      <c r="X3790" s="166" t="s">
        <v>2777</v>
      </c>
      <c r="Y3790" s="166" t="s">
        <v>2777</v>
      </c>
      <c r="Z3790" s="166" t="s">
        <v>2777</v>
      </c>
      <c r="AA3790" s="166" t="s">
        <v>2778</v>
      </c>
      <c r="AB3790" s="166" t="s">
        <v>2778</v>
      </c>
      <c r="AC3790" s="166" t="s">
        <v>2777</v>
      </c>
      <c r="AD3790" s="166" t="s">
        <v>2779</v>
      </c>
      <c r="AE3790" s="166" t="s">
        <v>2780</v>
      </c>
      <c r="AF3790" s="166" t="s">
        <v>2777</v>
      </c>
      <c r="AG3790" s="166"/>
      <c r="AH3790" s="166">
        <f t="shared" si="343"/>
        <v>0.51600000000000001</v>
      </c>
      <c r="AI3790" s="166"/>
      <c r="AJ3790" s="166" t="s">
        <v>2773</v>
      </c>
      <c r="AK3790" s="166" t="s">
        <v>2781</v>
      </c>
    </row>
    <row r="3791" spans="1:38" ht="19">
      <c r="A3791" s="166" t="s">
        <v>19</v>
      </c>
      <c r="B3791" s="166">
        <v>2025</v>
      </c>
      <c r="C3791" s="166" t="s">
        <v>24</v>
      </c>
      <c r="D3791" s="166" t="s">
        <v>185</v>
      </c>
      <c r="E3791" s="166" t="s">
        <v>103</v>
      </c>
      <c r="F3791" s="16" t="s">
        <v>265</v>
      </c>
      <c r="G3791" s="166">
        <v>1</v>
      </c>
      <c r="H3791" s="166" t="s">
        <v>2773</v>
      </c>
      <c r="I3791" s="166" t="s">
        <v>13</v>
      </c>
      <c r="J3791" s="166" t="s">
        <v>13</v>
      </c>
      <c r="K3791" s="16" t="s">
        <v>2773</v>
      </c>
      <c r="L3791" s="166" t="s">
        <v>215</v>
      </c>
      <c r="M3791" s="166" t="s">
        <v>92</v>
      </c>
      <c r="N3791" s="175" t="s">
        <v>2783</v>
      </c>
      <c r="O3791" s="175" t="s">
        <v>2763</v>
      </c>
      <c r="P3791" s="175" t="s">
        <v>2776</v>
      </c>
      <c r="Q3791" s="166" t="s">
        <v>2773</v>
      </c>
      <c r="R3791" s="166" t="s">
        <v>2773</v>
      </c>
      <c r="S3791" s="209">
        <v>512</v>
      </c>
      <c r="T3791" s="211">
        <f t="shared" si="342"/>
        <v>512</v>
      </c>
      <c r="U3791" s="14" t="s">
        <v>77</v>
      </c>
      <c r="W3791" s="166">
        <v>30</v>
      </c>
      <c r="X3791" s="166" t="s">
        <v>2777</v>
      </c>
      <c r="Y3791" s="166" t="s">
        <v>2777</v>
      </c>
      <c r="Z3791" s="166" t="s">
        <v>2777</v>
      </c>
      <c r="AA3791" s="166" t="s">
        <v>2778</v>
      </c>
      <c r="AB3791" s="166" t="s">
        <v>2778</v>
      </c>
      <c r="AC3791" s="166" t="s">
        <v>2777</v>
      </c>
      <c r="AD3791" s="166" t="s">
        <v>2779</v>
      </c>
      <c r="AE3791" s="166" t="s">
        <v>2780</v>
      </c>
      <c r="AF3791" s="166" t="s">
        <v>2777</v>
      </c>
      <c r="AG3791" s="166"/>
      <c r="AH3791" s="166">
        <f t="shared" si="343"/>
        <v>0.76800000000000002</v>
      </c>
      <c r="AI3791" s="166"/>
      <c r="AJ3791" s="166" t="s">
        <v>2773</v>
      </c>
      <c r="AK3791" s="166" t="s">
        <v>2781</v>
      </c>
    </row>
    <row r="3792" spans="1:38" ht="19">
      <c r="A3792" s="166" t="s">
        <v>19</v>
      </c>
      <c r="B3792" s="166">
        <v>2025</v>
      </c>
      <c r="C3792" s="166" t="s">
        <v>24</v>
      </c>
      <c r="D3792" s="166" t="s">
        <v>185</v>
      </c>
      <c r="E3792" s="166" t="s">
        <v>103</v>
      </c>
      <c r="F3792" s="16" t="s">
        <v>265</v>
      </c>
      <c r="G3792" s="166">
        <v>1</v>
      </c>
      <c r="H3792" s="166" t="s">
        <v>2773</v>
      </c>
      <c r="I3792" s="166" t="s">
        <v>13</v>
      </c>
      <c r="J3792" s="166" t="s">
        <v>13</v>
      </c>
      <c r="K3792" s="16" t="s">
        <v>2773</v>
      </c>
      <c r="L3792" s="166" t="s">
        <v>215</v>
      </c>
      <c r="M3792" s="166" t="s">
        <v>92</v>
      </c>
      <c r="N3792" s="166" t="s">
        <v>2783</v>
      </c>
      <c r="O3792" s="166" t="s">
        <v>2785</v>
      </c>
      <c r="P3792" s="175" t="s">
        <v>2776</v>
      </c>
      <c r="Q3792" s="166" t="s">
        <v>2773</v>
      </c>
      <c r="R3792" s="166" t="s">
        <v>2773</v>
      </c>
      <c r="S3792" s="209">
        <v>216</v>
      </c>
      <c r="T3792" s="211">
        <f t="shared" si="342"/>
        <v>216</v>
      </c>
      <c r="U3792" s="14" t="s">
        <v>77</v>
      </c>
      <c r="W3792" s="166">
        <v>30</v>
      </c>
      <c r="X3792" s="166" t="s">
        <v>2777</v>
      </c>
      <c r="Y3792" s="166" t="s">
        <v>2777</v>
      </c>
      <c r="Z3792" s="166" t="s">
        <v>2777</v>
      </c>
      <c r="AA3792" s="166" t="s">
        <v>2778</v>
      </c>
      <c r="AB3792" s="166" t="s">
        <v>2778</v>
      </c>
      <c r="AC3792" s="166" t="s">
        <v>2777</v>
      </c>
      <c r="AD3792" s="166" t="s">
        <v>2779</v>
      </c>
      <c r="AE3792" s="166" t="s">
        <v>2780</v>
      </c>
      <c r="AF3792" s="166" t="s">
        <v>2777</v>
      </c>
      <c r="AG3792" s="166"/>
      <c r="AH3792" s="166">
        <f t="shared" si="343"/>
        <v>0.32400000000000001</v>
      </c>
      <c r="AI3792" s="166"/>
      <c r="AJ3792" s="166" t="s">
        <v>2773</v>
      </c>
      <c r="AK3792" s="166" t="s">
        <v>2781</v>
      </c>
    </row>
    <row r="3793" spans="1:37" ht="19">
      <c r="A3793" s="166" t="s">
        <v>19</v>
      </c>
      <c r="B3793" s="166">
        <v>2025</v>
      </c>
      <c r="C3793" s="166" t="s">
        <v>24</v>
      </c>
      <c r="D3793" s="166" t="s">
        <v>185</v>
      </c>
      <c r="E3793" s="166" t="s">
        <v>103</v>
      </c>
      <c r="F3793" s="16" t="s">
        <v>265</v>
      </c>
      <c r="G3793" s="166">
        <v>1</v>
      </c>
      <c r="H3793" s="166" t="s">
        <v>2773</v>
      </c>
      <c r="I3793" s="166" t="s">
        <v>13</v>
      </c>
      <c r="J3793" s="166" t="s">
        <v>13</v>
      </c>
      <c r="K3793" s="16" t="s">
        <v>2773</v>
      </c>
      <c r="L3793" s="166" t="s">
        <v>215</v>
      </c>
      <c r="M3793" s="166" t="s">
        <v>92</v>
      </c>
      <c r="N3793" s="166" t="s">
        <v>2783</v>
      </c>
      <c r="O3793" s="166" t="s">
        <v>2765</v>
      </c>
      <c r="P3793" s="175" t="s">
        <v>2776</v>
      </c>
      <c r="Q3793" s="166" t="s">
        <v>2773</v>
      </c>
      <c r="R3793" s="166" t="s">
        <v>2773</v>
      </c>
      <c r="S3793" s="209">
        <v>369</v>
      </c>
      <c r="T3793" s="211">
        <f t="shared" si="342"/>
        <v>369</v>
      </c>
      <c r="U3793" s="14" t="s">
        <v>77</v>
      </c>
      <c r="W3793" s="166">
        <v>30</v>
      </c>
      <c r="X3793" s="166" t="s">
        <v>2777</v>
      </c>
      <c r="Y3793" s="166" t="s">
        <v>2777</v>
      </c>
      <c r="Z3793" s="166" t="s">
        <v>2777</v>
      </c>
      <c r="AA3793" s="166" t="s">
        <v>2778</v>
      </c>
      <c r="AB3793" s="166" t="s">
        <v>2778</v>
      </c>
      <c r="AC3793" s="166" t="s">
        <v>2777</v>
      </c>
      <c r="AD3793" s="166" t="s">
        <v>2779</v>
      </c>
      <c r="AE3793" s="166" t="s">
        <v>2780</v>
      </c>
      <c r="AF3793" s="166" t="s">
        <v>2777</v>
      </c>
      <c r="AG3793" s="166"/>
      <c r="AH3793" s="166">
        <f t="shared" ref="AH3793" si="344">+S3793*W3793*50/1000000</f>
        <v>0.55349999999999999</v>
      </c>
      <c r="AI3793" s="166"/>
      <c r="AJ3793" s="166" t="s">
        <v>2773</v>
      </c>
      <c r="AK3793" s="166" t="s">
        <v>2781</v>
      </c>
    </row>
    <row r="3794" spans="1:37" ht="19">
      <c r="A3794" s="166" t="s">
        <v>19</v>
      </c>
      <c r="B3794" s="166">
        <v>2025</v>
      </c>
      <c r="C3794" s="166" t="s">
        <v>24</v>
      </c>
      <c r="D3794" s="166" t="s">
        <v>185</v>
      </c>
      <c r="E3794" s="166" t="s">
        <v>103</v>
      </c>
      <c r="F3794" s="16" t="s">
        <v>265</v>
      </c>
      <c r="G3794" s="166">
        <v>1</v>
      </c>
      <c r="H3794" s="166" t="s">
        <v>2773</v>
      </c>
      <c r="I3794" s="166" t="s">
        <v>13</v>
      </c>
      <c r="J3794" s="166" t="s">
        <v>13</v>
      </c>
      <c r="K3794" s="16" t="s">
        <v>2773</v>
      </c>
      <c r="L3794" s="166" t="s">
        <v>215</v>
      </c>
      <c r="M3794" s="166" t="s">
        <v>92</v>
      </c>
      <c r="N3794" s="166" t="s">
        <v>2783</v>
      </c>
      <c r="O3794" s="166" t="s">
        <v>2766</v>
      </c>
      <c r="P3794" s="175" t="s">
        <v>2776</v>
      </c>
      <c r="Q3794" s="166" t="s">
        <v>2773</v>
      </c>
      <c r="R3794" s="166" t="s">
        <v>2773</v>
      </c>
      <c r="S3794" s="209">
        <v>359</v>
      </c>
      <c r="T3794" s="211">
        <f t="shared" si="342"/>
        <v>359</v>
      </c>
      <c r="U3794" s="14" t="s">
        <v>77</v>
      </c>
      <c r="W3794" s="166">
        <v>30</v>
      </c>
      <c r="X3794" s="166" t="s">
        <v>2777</v>
      </c>
      <c r="Y3794" s="166" t="s">
        <v>2777</v>
      </c>
      <c r="Z3794" s="166" t="s">
        <v>2777</v>
      </c>
      <c r="AA3794" s="166" t="s">
        <v>2778</v>
      </c>
      <c r="AB3794" s="166" t="s">
        <v>2778</v>
      </c>
      <c r="AC3794" s="166" t="s">
        <v>2777</v>
      </c>
      <c r="AD3794" s="166" t="s">
        <v>2779</v>
      </c>
      <c r="AE3794" s="166" t="s">
        <v>2780</v>
      </c>
      <c r="AF3794" s="166" t="s">
        <v>2777</v>
      </c>
      <c r="AG3794" s="166"/>
      <c r="AH3794" s="166">
        <f t="shared" si="343"/>
        <v>0.53849999999999998</v>
      </c>
      <c r="AI3794" s="166"/>
      <c r="AJ3794" s="166" t="s">
        <v>2773</v>
      </c>
      <c r="AK3794" s="166" t="s">
        <v>2781</v>
      </c>
    </row>
    <row r="3795" spans="1:37" ht="19">
      <c r="A3795" s="166" t="s">
        <v>19</v>
      </c>
      <c r="B3795" s="166">
        <v>2025</v>
      </c>
      <c r="C3795" s="166" t="s">
        <v>24</v>
      </c>
      <c r="D3795" s="166" t="s">
        <v>185</v>
      </c>
      <c r="E3795" s="166" t="s">
        <v>103</v>
      </c>
      <c r="F3795" s="16" t="s">
        <v>265</v>
      </c>
      <c r="G3795" s="166">
        <v>1</v>
      </c>
      <c r="H3795" s="166" t="s">
        <v>2773</v>
      </c>
      <c r="I3795" s="166" t="s">
        <v>13</v>
      </c>
      <c r="J3795" s="166" t="s">
        <v>13</v>
      </c>
      <c r="K3795" s="16" t="s">
        <v>2773</v>
      </c>
      <c r="L3795" s="166" t="s">
        <v>215</v>
      </c>
      <c r="M3795" s="166" t="s">
        <v>92</v>
      </c>
      <c r="N3795" s="166" t="s">
        <v>2783</v>
      </c>
      <c r="O3795" s="166" t="s">
        <v>2767</v>
      </c>
      <c r="P3795" s="175" t="s">
        <v>2776</v>
      </c>
      <c r="Q3795" s="166" t="s">
        <v>2773</v>
      </c>
      <c r="R3795" s="166" t="s">
        <v>2773</v>
      </c>
      <c r="S3795" s="209">
        <v>551</v>
      </c>
      <c r="T3795" s="211">
        <f t="shared" si="342"/>
        <v>551</v>
      </c>
      <c r="U3795" s="14" t="s">
        <v>77</v>
      </c>
      <c r="W3795" s="166">
        <v>30</v>
      </c>
      <c r="X3795" s="166" t="s">
        <v>2777</v>
      </c>
      <c r="Y3795" s="166" t="s">
        <v>2777</v>
      </c>
      <c r="Z3795" s="166" t="s">
        <v>2777</v>
      </c>
      <c r="AA3795" s="166" t="s">
        <v>2778</v>
      </c>
      <c r="AB3795" s="166" t="s">
        <v>2778</v>
      </c>
      <c r="AC3795" s="166" t="s">
        <v>2777</v>
      </c>
      <c r="AD3795" s="166" t="s">
        <v>2779</v>
      </c>
      <c r="AE3795" s="166" t="s">
        <v>2780</v>
      </c>
      <c r="AF3795" s="166" t="s">
        <v>2777</v>
      </c>
      <c r="AG3795" s="166"/>
      <c r="AH3795" s="166">
        <f t="shared" si="343"/>
        <v>0.82650000000000001</v>
      </c>
      <c r="AI3795" s="166"/>
      <c r="AJ3795" s="166" t="s">
        <v>2773</v>
      </c>
      <c r="AK3795" s="166" t="s">
        <v>2773</v>
      </c>
    </row>
    <row r="3796" spans="1:37" ht="19">
      <c r="A3796" s="166" t="s">
        <v>19</v>
      </c>
      <c r="B3796" s="166">
        <v>2025</v>
      </c>
      <c r="C3796" s="166" t="s">
        <v>24</v>
      </c>
      <c r="D3796" s="166" t="s">
        <v>185</v>
      </c>
      <c r="E3796" s="166" t="s">
        <v>103</v>
      </c>
      <c r="F3796" s="16" t="s">
        <v>265</v>
      </c>
      <c r="G3796" s="166">
        <v>1</v>
      </c>
      <c r="H3796" s="166" t="s">
        <v>2773</v>
      </c>
      <c r="I3796" s="166" t="s">
        <v>13</v>
      </c>
      <c r="J3796" s="166" t="s">
        <v>13</v>
      </c>
      <c r="K3796" s="16" t="s">
        <v>2773</v>
      </c>
      <c r="L3796" s="166" t="s">
        <v>215</v>
      </c>
      <c r="M3796" s="166" t="s">
        <v>92</v>
      </c>
      <c r="N3796" s="175" t="s">
        <v>2783</v>
      </c>
      <c r="O3796" s="175" t="s">
        <v>2768</v>
      </c>
      <c r="P3796" s="175" t="s">
        <v>2776</v>
      </c>
      <c r="Q3796" s="166" t="s">
        <v>2773</v>
      </c>
      <c r="R3796" s="166" t="s">
        <v>2773</v>
      </c>
      <c r="S3796" s="209">
        <v>397</v>
      </c>
      <c r="T3796" s="211">
        <f t="shared" si="342"/>
        <v>397</v>
      </c>
      <c r="U3796" s="14" t="s">
        <v>77</v>
      </c>
      <c r="W3796" s="166">
        <v>30</v>
      </c>
      <c r="X3796" s="166" t="s">
        <v>2777</v>
      </c>
      <c r="Y3796" s="166" t="s">
        <v>2777</v>
      </c>
      <c r="Z3796" s="166" t="s">
        <v>2777</v>
      </c>
      <c r="AA3796" s="166" t="s">
        <v>2778</v>
      </c>
      <c r="AB3796" s="166" t="s">
        <v>2778</v>
      </c>
      <c r="AC3796" s="166" t="s">
        <v>2777</v>
      </c>
      <c r="AD3796" s="166" t="s">
        <v>2779</v>
      </c>
      <c r="AE3796" s="166" t="s">
        <v>2780</v>
      </c>
      <c r="AF3796" s="166" t="s">
        <v>2777</v>
      </c>
      <c r="AG3796" s="166"/>
      <c r="AH3796" s="166">
        <f t="shared" si="343"/>
        <v>0.59550000000000003</v>
      </c>
      <c r="AI3796" s="166"/>
      <c r="AJ3796" s="166" t="s">
        <v>2773</v>
      </c>
      <c r="AK3796" s="166" t="s">
        <v>2781</v>
      </c>
    </row>
    <row r="3797" spans="1:37" ht="19">
      <c r="A3797" s="166" t="s">
        <v>19</v>
      </c>
      <c r="B3797" s="166">
        <v>2025</v>
      </c>
      <c r="C3797" s="166" t="s">
        <v>24</v>
      </c>
      <c r="D3797" s="166" t="s">
        <v>185</v>
      </c>
      <c r="E3797" s="166" t="s">
        <v>103</v>
      </c>
      <c r="F3797" s="16" t="s">
        <v>265</v>
      </c>
      <c r="G3797" s="166">
        <v>2</v>
      </c>
      <c r="H3797" s="166" t="s">
        <v>2773</v>
      </c>
      <c r="I3797" s="166" t="s">
        <v>13</v>
      </c>
      <c r="J3797" s="166" t="s">
        <v>13</v>
      </c>
      <c r="K3797" s="16" t="s">
        <v>2773</v>
      </c>
      <c r="L3797" s="166" t="s">
        <v>215</v>
      </c>
      <c r="M3797" s="166" t="s">
        <v>92</v>
      </c>
      <c r="N3797" s="175" t="s">
        <v>2783</v>
      </c>
      <c r="O3797" s="175" t="s">
        <v>2748</v>
      </c>
      <c r="P3797" s="175" t="s">
        <v>2776</v>
      </c>
      <c r="Q3797" s="166" t="s">
        <v>2773</v>
      </c>
      <c r="R3797" s="166" t="s">
        <v>2773</v>
      </c>
      <c r="S3797" s="209">
        <v>320</v>
      </c>
      <c r="T3797" s="211">
        <f t="shared" si="342"/>
        <v>320</v>
      </c>
      <c r="U3797" s="14" t="s">
        <v>77</v>
      </c>
      <c r="W3797" s="166">
        <v>30</v>
      </c>
      <c r="X3797" s="166" t="s">
        <v>2777</v>
      </c>
      <c r="Y3797" s="166" t="s">
        <v>2777</v>
      </c>
      <c r="Z3797" s="166" t="s">
        <v>2777</v>
      </c>
      <c r="AA3797" s="166" t="s">
        <v>2778</v>
      </c>
      <c r="AB3797" s="166" t="s">
        <v>2778</v>
      </c>
      <c r="AC3797" s="166" t="s">
        <v>2777</v>
      </c>
      <c r="AD3797" s="166" t="s">
        <v>2779</v>
      </c>
      <c r="AE3797" s="166" t="s">
        <v>2780</v>
      </c>
      <c r="AF3797" s="166" t="s">
        <v>2777</v>
      </c>
      <c r="AG3797" s="166"/>
      <c r="AH3797" s="166">
        <f t="shared" si="343"/>
        <v>0.48</v>
      </c>
      <c r="AI3797" s="166"/>
      <c r="AJ3797" s="166" t="s">
        <v>2773</v>
      </c>
      <c r="AK3797" s="166" t="s">
        <v>2781</v>
      </c>
    </row>
    <row r="3798" spans="1:37" ht="19">
      <c r="A3798" s="166" t="s">
        <v>19</v>
      </c>
      <c r="B3798" s="166">
        <v>2025</v>
      </c>
      <c r="C3798" s="166" t="s">
        <v>24</v>
      </c>
      <c r="D3798" s="166" t="s">
        <v>185</v>
      </c>
      <c r="E3798" s="166" t="s">
        <v>103</v>
      </c>
      <c r="F3798" s="16" t="s">
        <v>265</v>
      </c>
      <c r="G3798" s="166">
        <v>1</v>
      </c>
      <c r="H3798" s="166" t="s">
        <v>2773</v>
      </c>
      <c r="I3798" s="166" t="s">
        <v>13</v>
      </c>
      <c r="J3798" s="166" t="s">
        <v>13</v>
      </c>
      <c r="K3798" s="16" t="s">
        <v>2773</v>
      </c>
      <c r="L3798" s="166" t="s">
        <v>178</v>
      </c>
      <c r="M3798" s="166" t="s">
        <v>106</v>
      </c>
      <c r="N3798" s="175" t="s">
        <v>2786</v>
      </c>
      <c r="O3798" s="175" t="s">
        <v>2755</v>
      </c>
      <c r="P3798" s="175" t="s">
        <v>2776</v>
      </c>
      <c r="Q3798" s="166" t="s">
        <v>2773</v>
      </c>
      <c r="R3798" s="166" t="s">
        <v>2773</v>
      </c>
      <c r="S3798" s="209">
        <v>183</v>
      </c>
      <c r="T3798" s="211">
        <f t="shared" si="342"/>
        <v>183</v>
      </c>
      <c r="U3798" s="14" t="s">
        <v>77</v>
      </c>
      <c r="W3798" s="166">
        <v>30</v>
      </c>
      <c r="X3798" s="166" t="s">
        <v>2777</v>
      </c>
      <c r="Y3798" s="166" t="s">
        <v>2777</v>
      </c>
      <c r="Z3798" s="166" t="s">
        <v>2777</v>
      </c>
      <c r="AA3798" s="166" t="s">
        <v>2778</v>
      </c>
      <c r="AB3798" s="166" t="s">
        <v>2778</v>
      </c>
      <c r="AC3798" s="166" t="s">
        <v>2777</v>
      </c>
      <c r="AD3798" s="166" t="s">
        <v>2779</v>
      </c>
      <c r="AE3798" s="166" t="s">
        <v>2780</v>
      </c>
      <c r="AF3798" s="166" t="s">
        <v>2777</v>
      </c>
      <c r="AG3798" s="166"/>
      <c r="AH3798" s="166">
        <f t="shared" si="343"/>
        <v>0.27450000000000002</v>
      </c>
      <c r="AI3798" s="166"/>
      <c r="AJ3798" s="166" t="s">
        <v>2773</v>
      </c>
      <c r="AK3798" s="166" t="s">
        <v>2773</v>
      </c>
    </row>
    <row r="3799" spans="1:37" ht="19">
      <c r="A3799" s="166" t="s">
        <v>19</v>
      </c>
      <c r="B3799" s="166">
        <v>2025</v>
      </c>
      <c r="C3799" s="166" t="s">
        <v>24</v>
      </c>
      <c r="D3799" s="166" t="s">
        <v>185</v>
      </c>
      <c r="E3799" s="166" t="s">
        <v>103</v>
      </c>
      <c r="F3799" s="16" t="s">
        <v>265</v>
      </c>
      <c r="G3799" s="166">
        <v>1</v>
      </c>
      <c r="H3799" s="166" t="s">
        <v>2773</v>
      </c>
      <c r="I3799" s="166" t="s">
        <v>13</v>
      </c>
      <c r="J3799" s="166" t="s">
        <v>13</v>
      </c>
      <c r="K3799" s="16" t="s">
        <v>2773</v>
      </c>
      <c r="L3799" s="166" t="s">
        <v>178</v>
      </c>
      <c r="M3799" s="166" t="s">
        <v>106</v>
      </c>
      <c r="N3799" s="175" t="s">
        <v>2786</v>
      </c>
      <c r="O3799" s="175" t="s">
        <v>2756</v>
      </c>
      <c r="P3799" s="175" t="s">
        <v>2776</v>
      </c>
      <c r="Q3799" s="166" t="s">
        <v>2773</v>
      </c>
      <c r="R3799" s="166" t="s">
        <v>2773</v>
      </c>
      <c r="S3799" s="209">
        <v>175</v>
      </c>
      <c r="T3799" s="211">
        <f t="shared" si="342"/>
        <v>175</v>
      </c>
      <c r="U3799" s="14" t="s">
        <v>77</v>
      </c>
      <c r="W3799" s="166">
        <v>30</v>
      </c>
      <c r="X3799" s="166" t="s">
        <v>2777</v>
      </c>
      <c r="Y3799" s="166" t="s">
        <v>2777</v>
      </c>
      <c r="Z3799" s="166" t="s">
        <v>2777</v>
      </c>
      <c r="AA3799" s="166" t="s">
        <v>2778</v>
      </c>
      <c r="AB3799" s="166" t="s">
        <v>2778</v>
      </c>
      <c r="AC3799" s="166" t="s">
        <v>2777</v>
      </c>
      <c r="AD3799" s="166" t="s">
        <v>2779</v>
      </c>
      <c r="AE3799" s="166" t="s">
        <v>2780</v>
      </c>
      <c r="AF3799" s="166" t="s">
        <v>2777</v>
      </c>
      <c r="AG3799" s="166"/>
      <c r="AH3799" s="166">
        <f t="shared" si="343"/>
        <v>0.26250000000000001</v>
      </c>
      <c r="AI3799" s="166"/>
      <c r="AJ3799" s="166" t="s">
        <v>2773</v>
      </c>
      <c r="AK3799" s="166" t="s">
        <v>2781</v>
      </c>
    </row>
    <row r="3800" spans="1:37" ht="19">
      <c r="A3800" s="166" t="s">
        <v>19</v>
      </c>
      <c r="B3800" s="166">
        <v>2025</v>
      </c>
      <c r="C3800" s="166" t="s">
        <v>24</v>
      </c>
      <c r="D3800" s="166" t="s">
        <v>185</v>
      </c>
      <c r="E3800" s="166" t="s">
        <v>103</v>
      </c>
      <c r="F3800" s="16" t="s">
        <v>265</v>
      </c>
      <c r="G3800" s="166">
        <v>1</v>
      </c>
      <c r="H3800" s="166" t="s">
        <v>2773</v>
      </c>
      <c r="I3800" s="166" t="s">
        <v>13</v>
      </c>
      <c r="J3800" s="166" t="s">
        <v>13</v>
      </c>
      <c r="K3800" s="16" t="s">
        <v>2773</v>
      </c>
      <c r="L3800" s="166" t="s">
        <v>178</v>
      </c>
      <c r="M3800" s="166" t="s">
        <v>106</v>
      </c>
      <c r="N3800" s="166" t="s">
        <v>2786</v>
      </c>
      <c r="O3800" s="166" t="s">
        <v>2757</v>
      </c>
      <c r="P3800" s="175" t="s">
        <v>2776</v>
      </c>
      <c r="Q3800" s="166" t="s">
        <v>2773</v>
      </c>
      <c r="R3800" s="166" t="s">
        <v>2773</v>
      </c>
      <c r="S3800" s="209">
        <v>391</v>
      </c>
      <c r="T3800" s="211">
        <f t="shared" si="342"/>
        <v>391</v>
      </c>
      <c r="U3800" s="14" t="s">
        <v>77</v>
      </c>
      <c r="W3800" s="166">
        <v>30</v>
      </c>
      <c r="X3800" s="166" t="s">
        <v>2777</v>
      </c>
      <c r="Y3800" s="166" t="s">
        <v>2777</v>
      </c>
      <c r="Z3800" s="166" t="s">
        <v>2777</v>
      </c>
      <c r="AA3800" s="166" t="s">
        <v>2778</v>
      </c>
      <c r="AB3800" s="166" t="s">
        <v>2778</v>
      </c>
      <c r="AC3800" s="166" t="s">
        <v>2777</v>
      </c>
      <c r="AD3800" s="166" t="s">
        <v>2779</v>
      </c>
      <c r="AE3800" s="166" t="s">
        <v>2780</v>
      </c>
      <c r="AF3800" s="166" t="s">
        <v>2777</v>
      </c>
      <c r="AG3800" s="172"/>
      <c r="AH3800" s="166">
        <f t="shared" si="343"/>
        <v>0.58650000000000002</v>
      </c>
      <c r="AI3800" s="172"/>
      <c r="AJ3800" s="166" t="s">
        <v>2773</v>
      </c>
      <c r="AK3800" s="166" t="s">
        <v>2781</v>
      </c>
    </row>
    <row r="3801" spans="1:37" ht="19">
      <c r="A3801" s="166" t="s">
        <v>19</v>
      </c>
      <c r="B3801" s="166">
        <v>2025</v>
      </c>
      <c r="C3801" s="166" t="s">
        <v>24</v>
      </c>
      <c r="D3801" s="166" t="s">
        <v>185</v>
      </c>
      <c r="E3801" s="166" t="s">
        <v>103</v>
      </c>
      <c r="F3801" s="16" t="s">
        <v>265</v>
      </c>
      <c r="G3801" s="166">
        <v>1</v>
      </c>
      <c r="H3801" s="166" t="s">
        <v>2773</v>
      </c>
      <c r="I3801" s="166" t="s">
        <v>13</v>
      </c>
      <c r="J3801" s="166" t="s">
        <v>13</v>
      </c>
      <c r="K3801" s="16" t="s">
        <v>2773</v>
      </c>
      <c r="L3801" s="166" t="s">
        <v>178</v>
      </c>
      <c r="M3801" s="166" t="s">
        <v>106</v>
      </c>
      <c r="N3801" s="175" t="s">
        <v>2786</v>
      </c>
      <c r="O3801" s="175" t="s">
        <v>2758</v>
      </c>
      <c r="P3801" s="175" t="s">
        <v>2776</v>
      </c>
      <c r="Q3801" s="166" t="s">
        <v>2773</v>
      </c>
      <c r="R3801" s="166" t="s">
        <v>2773</v>
      </c>
      <c r="S3801" s="209">
        <v>181</v>
      </c>
      <c r="T3801" s="211">
        <f t="shared" si="342"/>
        <v>181</v>
      </c>
      <c r="U3801" s="14" t="s">
        <v>77</v>
      </c>
      <c r="W3801" s="166">
        <v>30</v>
      </c>
      <c r="X3801" s="166" t="s">
        <v>2777</v>
      </c>
      <c r="Y3801" s="166" t="s">
        <v>2777</v>
      </c>
      <c r="Z3801" s="166" t="s">
        <v>2777</v>
      </c>
      <c r="AA3801" s="166" t="s">
        <v>2778</v>
      </c>
      <c r="AB3801" s="166" t="s">
        <v>2778</v>
      </c>
      <c r="AC3801" s="166" t="s">
        <v>2777</v>
      </c>
      <c r="AD3801" s="166" t="s">
        <v>2779</v>
      </c>
      <c r="AE3801" s="166" t="s">
        <v>2780</v>
      </c>
      <c r="AF3801" s="166" t="s">
        <v>2777</v>
      </c>
      <c r="AG3801" s="172"/>
      <c r="AH3801" s="166">
        <f t="shared" si="343"/>
        <v>0.27150000000000002</v>
      </c>
      <c r="AI3801" s="172"/>
      <c r="AJ3801" s="166" t="s">
        <v>2773</v>
      </c>
      <c r="AK3801" s="166" t="s">
        <v>2781</v>
      </c>
    </row>
    <row r="3802" spans="1:37" ht="19">
      <c r="A3802" s="166" t="s">
        <v>19</v>
      </c>
      <c r="B3802" s="166">
        <v>2025</v>
      </c>
      <c r="C3802" s="166" t="s">
        <v>24</v>
      </c>
      <c r="D3802" s="166" t="s">
        <v>185</v>
      </c>
      <c r="E3802" s="166" t="s">
        <v>104</v>
      </c>
      <c r="F3802" s="16" t="s">
        <v>265</v>
      </c>
      <c r="I3802" t="s">
        <v>13</v>
      </c>
      <c r="J3802" t="s">
        <v>13</v>
      </c>
      <c r="K3802" t="s">
        <v>2773</v>
      </c>
      <c r="L3802" t="s">
        <v>178</v>
      </c>
      <c r="M3802" t="s">
        <v>101</v>
      </c>
      <c r="N3802" t="s">
        <v>2774</v>
      </c>
      <c r="O3802" t="s">
        <v>2775</v>
      </c>
      <c r="P3802" t="s">
        <v>2776</v>
      </c>
      <c r="S3802" s="209">
        <v>366</v>
      </c>
      <c r="T3802" s="209">
        <v>366</v>
      </c>
      <c r="U3802" s="14" t="s">
        <v>77</v>
      </c>
      <c r="V3802" s="14"/>
      <c r="W3802" s="33">
        <v>30</v>
      </c>
      <c r="X3802" s="34"/>
      <c r="Y3802" s="34">
        <v>0</v>
      </c>
      <c r="Z3802" s="34">
        <v>0</v>
      </c>
      <c r="AA3802" s="34">
        <v>0</v>
      </c>
      <c r="AB3802" s="34">
        <v>0</v>
      </c>
      <c r="AC3802" s="34">
        <f t="shared" ref="AC3802:AC3824" si="345">+S3802*W3802*20/1000000</f>
        <v>0.21959999999999999</v>
      </c>
      <c r="AD3802" s="34">
        <v>0</v>
      </c>
      <c r="AE3802" s="34">
        <v>0</v>
      </c>
      <c r="AF3802" s="34">
        <f t="shared" ref="AF3802:AF3824" si="346">+S3802*W3802*200/1000000</f>
        <v>2.1960000000000002</v>
      </c>
      <c r="AG3802" s="34">
        <v>0</v>
      </c>
      <c r="AH3802" s="34"/>
      <c r="AI3802" s="34">
        <v>0</v>
      </c>
      <c r="AJ3802" s="34">
        <f t="shared" ref="AJ3802:AJ3824" si="347">SUBTOTAL(9,X3802:AI3802)</f>
        <v>2.4156</v>
      </c>
    </row>
    <row r="3803" spans="1:37" ht="19">
      <c r="A3803" s="166" t="s">
        <v>19</v>
      </c>
      <c r="B3803" s="166">
        <v>2025</v>
      </c>
      <c r="C3803" s="166" t="s">
        <v>24</v>
      </c>
      <c r="D3803" s="166" t="s">
        <v>185</v>
      </c>
      <c r="E3803" s="166" t="s">
        <v>104</v>
      </c>
      <c r="F3803" s="16" t="s">
        <v>265</v>
      </c>
      <c r="I3803" t="s">
        <v>13</v>
      </c>
      <c r="J3803" t="s">
        <v>13</v>
      </c>
      <c r="K3803" t="s">
        <v>2773</v>
      </c>
      <c r="L3803" t="s">
        <v>178</v>
      </c>
      <c r="M3803" t="s">
        <v>101</v>
      </c>
      <c r="N3803" t="s">
        <v>2774</v>
      </c>
      <c r="O3803" t="s">
        <v>2761</v>
      </c>
      <c r="P3803" t="s">
        <v>2776</v>
      </c>
      <c r="S3803" s="209">
        <v>759</v>
      </c>
      <c r="T3803" s="209">
        <v>759</v>
      </c>
      <c r="U3803" s="14" t="s">
        <v>77</v>
      </c>
      <c r="V3803" s="14"/>
      <c r="W3803" s="33">
        <v>30</v>
      </c>
      <c r="X3803" s="34"/>
      <c r="Y3803" s="34">
        <v>0</v>
      </c>
      <c r="Z3803" s="34">
        <v>0</v>
      </c>
      <c r="AA3803" s="34">
        <v>0</v>
      </c>
      <c r="AB3803" s="34">
        <v>0</v>
      </c>
      <c r="AC3803" s="34">
        <f t="shared" si="345"/>
        <v>0.45540000000000003</v>
      </c>
      <c r="AD3803" s="34">
        <v>0</v>
      </c>
      <c r="AE3803" s="34">
        <v>0</v>
      </c>
      <c r="AF3803" s="34">
        <f t="shared" si="346"/>
        <v>4.5540000000000003</v>
      </c>
      <c r="AG3803" s="34">
        <v>0</v>
      </c>
      <c r="AH3803" s="34"/>
      <c r="AI3803" s="34">
        <v>0</v>
      </c>
      <c r="AJ3803" s="34">
        <f t="shared" si="347"/>
        <v>5.0094000000000003</v>
      </c>
    </row>
    <row r="3804" spans="1:37" ht="19">
      <c r="A3804" s="166" t="s">
        <v>19</v>
      </c>
      <c r="B3804" s="166">
        <v>2025</v>
      </c>
      <c r="C3804" s="166" t="s">
        <v>24</v>
      </c>
      <c r="D3804" s="166" t="s">
        <v>185</v>
      </c>
      <c r="E3804" s="166" t="s">
        <v>104</v>
      </c>
      <c r="F3804" s="16" t="s">
        <v>265</v>
      </c>
      <c r="I3804" t="s">
        <v>13</v>
      </c>
      <c r="J3804" t="s">
        <v>13</v>
      </c>
      <c r="K3804" t="s">
        <v>2773</v>
      </c>
      <c r="L3804" t="s">
        <v>178</v>
      </c>
      <c r="M3804" t="s">
        <v>105</v>
      </c>
      <c r="N3804" t="s">
        <v>2776</v>
      </c>
      <c r="O3804" t="s">
        <v>2739</v>
      </c>
      <c r="P3804" t="s">
        <v>2776</v>
      </c>
      <c r="S3804" s="209">
        <v>285</v>
      </c>
      <c r="T3804" s="209">
        <v>285</v>
      </c>
      <c r="U3804" s="14" t="s">
        <v>77</v>
      </c>
      <c r="V3804" s="14"/>
      <c r="W3804" s="33">
        <v>30</v>
      </c>
      <c r="X3804" s="34"/>
      <c r="Y3804" s="34">
        <v>0</v>
      </c>
      <c r="Z3804" s="34">
        <v>0</v>
      </c>
      <c r="AA3804" s="34">
        <v>0</v>
      </c>
      <c r="AB3804" s="34">
        <v>0</v>
      </c>
      <c r="AC3804" s="34">
        <f t="shared" si="345"/>
        <v>0.17100000000000001</v>
      </c>
      <c r="AD3804" s="34">
        <v>0</v>
      </c>
      <c r="AE3804" s="34">
        <v>0</v>
      </c>
      <c r="AF3804" s="34">
        <f t="shared" si="346"/>
        <v>1.71</v>
      </c>
      <c r="AG3804" s="34">
        <v>0</v>
      </c>
      <c r="AH3804" s="34"/>
      <c r="AI3804" s="34">
        <v>0</v>
      </c>
      <c r="AJ3804" s="34">
        <f t="shared" si="347"/>
        <v>1.881</v>
      </c>
    </row>
    <row r="3805" spans="1:37" ht="19">
      <c r="A3805" s="166" t="s">
        <v>19</v>
      </c>
      <c r="B3805" s="166">
        <v>2025</v>
      </c>
      <c r="C3805" s="166" t="s">
        <v>24</v>
      </c>
      <c r="D3805" s="166" t="s">
        <v>185</v>
      </c>
      <c r="E3805" s="166" t="s">
        <v>104</v>
      </c>
      <c r="F3805" s="16" t="s">
        <v>265</v>
      </c>
      <c r="I3805" t="s">
        <v>13</v>
      </c>
      <c r="J3805" t="s">
        <v>13</v>
      </c>
      <c r="K3805" t="s">
        <v>2773</v>
      </c>
      <c r="L3805" t="s">
        <v>178</v>
      </c>
      <c r="M3805" t="s">
        <v>105</v>
      </c>
      <c r="N3805" t="s">
        <v>2776</v>
      </c>
      <c r="O3805" t="s">
        <v>2740</v>
      </c>
      <c r="P3805" t="s">
        <v>2776</v>
      </c>
      <c r="S3805" s="209">
        <v>559</v>
      </c>
      <c r="T3805" s="209">
        <v>559</v>
      </c>
      <c r="U3805" s="14" t="s">
        <v>77</v>
      </c>
      <c r="V3805" s="14"/>
      <c r="W3805" s="33">
        <v>30</v>
      </c>
      <c r="X3805" s="34"/>
      <c r="Y3805" s="34">
        <v>0</v>
      </c>
      <c r="Z3805" s="34">
        <v>0</v>
      </c>
      <c r="AA3805" s="34">
        <v>0</v>
      </c>
      <c r="AB3805" s="34">
        <v>0</v>
      </c>
      <c r="AC3805" s="34">
        <f t="shared" si="345"/>
        <v>0.33539999999999998</v>
      </c>
      <c r="AD3805" s="34">
        <v>0</v>
      </c>
      <c r="AE3805" s="34">
        <v>0</v>
      </c>
      <c r="AF3805" s="34">
        <f t="shared" si="346"/>
        <v>3.3540000000000001</v>
      </c>
      <c r="AG3805" s="34">
        <v>0</v>
      </c>
      <c r="AH3805" s="34"/>
      <c r="AI3805" s="34">
        <v>0</v>
      </c>
      <c r="AJ3805" s="34">
        <f t="shared" si="347"/>
        <v>3.6894</v>
      </c>
    </row>
    <row r="3806" spans="1:37" ht="19">
      <c r="A3806" s="166" t="s">
        <v>19</v>
      </c>
      <c r="B3806" s="166">
        <v>2025</v>
      </c>
      <c r="C3806" s="166" t="s">
        <v>24</v>
      </c>
      <c r="D3806" s="166" t="s">
        <v>185</v>
      </c>
      <c r="E3806" s="166" t="s">
        <v>104</v>
      </c>
      <c r="F3806" s="16" t="s">
        <v>265</v>
      </c>
      <c r="I3806" t="s">
        <v>13</v>
      </c>
      <c r="J3806" t="s">
        <v>13</v>
      </c>
      <c r="K3806" t="s">
        <v>2773</v>
      </c>
      <c r="L3806" t="s">
        <v>178</v>
      </c>
      <c r="M3806" t="s">
        <v>105</v>
      </c>
      <c r="N3806" t="s">
        <v>2776</v>
      </c>
      <c r="O3806" t="s">
        <v>2741</v>
      </c>
      <c r="P3806" t="s">
        <v>2776</v>
      </c>
      <c r="S3806" s="209">
        <v>490</v>
      </c>
      <c r="T3806" s="209">
        <v>490</v>
      </c>
      <c r="U3806" s="14" t="s">
        <v>77</v>
      </c>
      <c r="V3806" s="14"/>
      <c r="W3806" s="33">
        <v>30</v>
      </c>
      <c r="X3806" s="34"/>
      <c r="Y3806" s="34">
        <v>0</v>
      </c>
      <c r="Z3806" s="34">
        <v>0</v>
      </c>
      <c r="AA3806" s="34">
        <v>0</v>
      </c>
      <c r="AB3806" s="34">
        <v>0</v>
      </c>
      <c r="AC3806" s="34">
        <f t="shared" si="345"/>
        <v>0.29399999999999998</v>
      </c>
      <c r="AD3806" s="34">
        <v>0</v>
      </c>
      <c r="AE3806" s="34">
        <v>0</v>
      </c>
      <c r="AF3806" s="34">
        <f t="shared" si="346"/>
        <v>2.94</v>
      </c>
      <c r="AG3806" s="34">
        <v>0</v>
      </c>
      <c r="AH3806" s="34"/>
      <c r="AI3806" s="34">
        <v>0</v>
      </c>
      <c r="AJ3806" s="34">
        <f t="shared" si="347"/>
        <v>3.234</v>
      </c>
    </row>
    <row r="3807" spans="1:37" ht="19">
      <c r="A3807" s="166" t="s">
        <v>19</v>
      </c>
      <c r="B3807" s="166">
        <v>2025</v>
      </c>
      <c r="C3807" s="166" t="s">
        <v>24</v>
      </c>
      <c r="D3807" s="166" t="s">
        <v>185</v>
      </c>
      <c r="E3807" s="166" t="s">
        <v>104</v>
      </c>
      <c r="F3807" s="16" t="s">
        <v>265</v>
      </c>
      <c r="I3807" t="s">
        <v>13</v>
      </c>
      <c r="J3807" t="s">
        <v>13</v>
      </c>
      <c r="K3807" t="s">
        <v>2773</v>
      </c>
      <c r="L3807" t="s">
        <v>178</v>
      </c>
      <c r="M3807" t="s">
        <v>105</v>
      </c>
      <c r="N3807" t="s">
        <v>2776</v>
      </c>
      <c r="O3807" t="s">
        <v>2742</v>
      </c>
      <c r="P3807" t="s">
        <v>2776</v>
      </c>
      <c r="S3807" s="209">
        <v>169</v>
      </c>
      <c r="T3807" s="209">
        <v>169</v>
      </c>
      <c r="U3807" s="14" t="s">
        <v>77</v>
      </c>
      <c r="V3807" s="14"/>
      <c r="W3807" s="33">
        <v>30</v>
      </c>
      <c r="X3807" s="34"/>
      <c r="Y3807" s="34">
        <v>0</v>
      </c>
      <c r="Z3807" s="34">
        <v>0</v>
      </c>
      <c r="AA3807" s="34">
        <v>0</v>
      </c>
      <c r="AB3807" s="34">
        <v>0</v>
      </c>
      <c r="AC3807" s="34">
        <f t="shared" si="345"/>
        <v>0.1014</v>
      </c>
      <c r="AD3807" s="34">
        <v>0</v>
      </c>
      <c r="AE3807" s="34">
        <v>0</v>
      </c>
      <c r="AF3807" s="34">
        <f t="shared" si="346"/>
        <v>1.014</v>
      </c>
      <c r="AG3807" s="34">
        <v>0</v>
      </c>
      <c r="AH3807" s="34"/>
      <c r="AI3807" s="34">
        <v>0</v>
      </c>
      <c r="AJ3807" s="34">
        <f t="shared" si="347"/>
        <v>1.1153999999999999</v>
      </c>
    </row>
    <row r="3808" spans="1:37" ht="19">
      <c r="A3808" s="166" t="s">
        <v>19</v>
      </c>
      <c r="B3808" s="166">
        <v>2025</v>
      </c>
      <c r="C3808" s="166" t="s">
        <v>24</v>
      </c>
      <c r="D3808" s="166" t="s">
        <v>185</v>
      </c>
      <c r="E3808" s="166" t="s">
        <v>104</v>
      </c>
      <c r="F3808" s="16" t="s">
        <v>265</v>
      </c>
      <c r="I3808" t="s">
        <v>13</v>
      </c>
      <c r="J3808" t="s">
        <v>13</v>
      </c>
      <c r="K3808" t="s">
        <v>2773</v>
      </c>
      <c r="L3808" t="s">
        <v>178</v>
      </c>
      <c r="M3808" t="s">
        <v>105</v>
      </c>
      <c r="N3808" t="s">
        <v>2776</v>
      </c>
      <c r="O3808" t="s">
        <v>2782</v>
      </c>
      <c r="P3808" t="s">
        <v>2776</v>
      </c>
      <c r="S3808" s="209">
        <v>376</v>
      </c>
      <c r="T3808" s="209">
        <v>376</v>
      </c>
      <c r="U3808" s="14" t="s">
        <v>77</v>
      </c>
      <c r="V3808" s="14"/>
      <c r="W3808" s="33">
        <v>30</v>
      </c>
      <c r="X3808" s="34"/>
      <c r="Y3808" s="34">
        <v>0</v>
      </c>
      <c r="Z3808" s="34">
        <v>0</v>
      </c>
      <c r="AA3808" s="34">
        <v>0</v>
      </c>
      <c r="AB3808" s="34">
        <v>0</v>
      </c>
      <c r="AC3808" s="34">
        <f t="shared" si="345"/>
        <v>0.22559999999999999</v>
      </c>
      <c r="AD3808" s="34">
        <v>0</v>
      </c>
      <c r="AE3808" s="34">
        <v>0</v>
      </c>
      <c r="AF3808" s="34">
        <f t="shared" si="346"/>
        <v>2.2559999999999998</v>
      </c>
      <c r="AG3808" s="34">
        <v>0</v>
      </c>
      <c r="AH3808" s="34"/>
      <c r="AI3808" s="34">
        <v>0</v>
      </c>
      <c r="AJ3808" s="34">
        <f t="shared" si="347"/>
        <v>2.4815999999999998</v>
      </c>
    </row>
    <row r="3809" spans="1:36" ht="19">
      <c r="A3809" s="166" t="s">
        <v>19</v>
      </c>
      <c r="B3809" s="166">
        <v>2025</v>
      </c>
      <c r="C3809" s="166" t="s">
        <v>24</v>
      </c>
      <c r="D3809" s="166" t="s">
        <v>185</v>
      </c>
      <c r="E3809" s="166" t="s">
        <v>104</v>
      </c>
      <c r="F3809" s="16" t="s">
        <v>265</v>
      </c>
      <c r="I3809" t="s">
        <v>13</v>
      </c>
      <c r="J3809" t="s">
        <v>13</v>
      </c>
      <c r="K3809" t="s">
        <v>2773</v>
      </c>
      <c r="L3809" t="s">
        <v>178</v>
      </c>
      <c r="M3809" t="s">
        <v>105</v>
      </c>
      <c r="N3809" t="s">
        <v>2776</v>
      </c>
      <c r="O3809" t="s">
        <v>2744</v>
      </c>
      <c r="P3809" t="s">
        <v>2776</v>
      </c>
      <c r="S3809" s="209">
        <v>348</v>
      </c>
      <c r="T3809" s="209">
        <v>348</v>
      </c>
      <c r="U3809" s="14" t="s">
        <v>77</v>
      </c>
      <c r="V3809" s="14"/>
      <c r="W3809" s="33">
        <v>30</v>
      </c>
      <c r="X3809" s="34"/>
      <c r="Y3809" s="34">
        <v>0</v>
      </c>
      <c r="Z3809" s="34">
        <v>0</v>
      </c>
      <c r="AA3809" s="34">
        <v>0</v>
      </c>
      <c r="AB3809" s="34">
        <v>0</v>
      </c>
      <c r="AC3809" s="34">
        <f t="shared" si="345"/>
        <v>0.20880000000000001</v>
      </c>
      <c r="AD3809" s="34">
        <v>0</v>
      </c>
      <c r="AE3809" s="34">
        <v>0</v>
      </c>
      <c r="AF3809" s="34">
        <f t="shared" si="346"/>
        <v>2.0880000000000001</v>
      </c>
      <c r="AG3809" s="34">
        <v>0</v>
      </c>
      <c r="AH3809" s="34"/>
      <c r="AI3809" s="34">
        <v>0</v>
      </c>
      <c r="AJ3809" s="34">
        <f t="shared" si="347"/>
        <v>2.2968000000000002</v>
      </c>
    </row>
    <row r="3810" spans="1:36" ht="19">
      <c r="A3810" s="166" t="s">
        <v>19</v>
      </c>
      <c r="B3810" s="166">
        <v>2025</v>
      </c>
      <c r="C3810" s="166" t="s">
        <v>24</v>
      </c>
      <c r="D3810" s="166" t="s">
        <v>185</v>
      </c>
      <c r="E3810" s="166" t="s">
        <v>104</v>
      </c>
      <c r="F3810" s="16" t="s">
        <v>265</v>
      </c>
      <c r="I3810" t="s">
        <v>13</v>
      </c>
      <c r="J3810" t="s">
        <v>13</v>
      </c>
      <c r="K3810" t="s">
        <v>2773</v>
      </c>
      <c r="L3810" t="s">
        <v>178</v>
      </c>
      <c r="M3810" t="s">
        <v>105</v>
      </c>
      <c r="N3810" t="s">
        <v>2776</v>
      </c>
      <c r="O3810" t="s">
        <v>2745</v>
      </c>
      <c r="P3810" t="s">
        <v>2776</v>
      </c>
      <c r="S3810" s="209">
        <v>345</v>
      </c>
      <c r="T3810" s="209">
        <v>345</v>
      </c>
      <c r="U3810" s="14" t="s">
        <v>77</v>
      </c>
      <c r="V3810" s="14"/>
      <c r="W3810" s="33">
        <v>30</v>
      </c>
      <c r="X3810" s="34"/>
      <c r="Y3810" s="34">
        <v>0</v>
      </c>
      <c r="Z3810" s="34">
        <v>0</v>
      </c>
      <c r="AA3810" s="34">
        <v>0</v>
      </c>
      <c r="AB3810" s="34">
        <v>0</v>
      </c>
      <c r="AC3810" s="34">
        <f t="shared" si="345"/>
        <v>0.20699999999999999</v>
      </c>
      <c r="AD3810" s="34">
        <v>0</v>
      </c>
      <c r="AE3810" s="34">
        <v>0</v>
      </c>
      <c r="AF3810" s="34">
        <f t="shared" si="346"/>
        <v>2.0699999999999998</v>
      </c>
      <c r="AG3810" s="34">
        <v>0</v>
      </c>
      <c r="AH3810" s="34"/>
      <c r="AI3810" s="34">
        <v>0</v>
      </c>
      <c r="AJ3810" s="34">
        <f t="shared" si="347"/>
        <v>2.2769999999999997</v>
      </c>
    </row>
    <row r="3811" spans="1:36" ht="19">
      <c r="A3811" s="166" t="s">
        <v>19</v>
      </c>
      <c r="B3811" s="166">
        <v>2025</v>
      </c>
      <c r="C3811" s="166" t="s">
        <v>24</v>
      </c>
      <c r="D3811" s="166" t="s">
        <v>185</v>
      </c>
      <c r="E3811" s="166" t="s">
        <v>104</v>
      </c>
      <c r="F3811" s="16" t="s">
        <v>265</v>
      </c>
      <c r="I3811" t="s">
        <v>13</v>
      </c>
      <c r="J3811" t="s">
        <v>13</v>
      </c>
      <c r="K3811" t="s">
        <v>2773</v>
      </c>
      <c r="L3811" t="s">
        <v>178</v>
      </c>
      <c r="M3811" t="s">
        <v>105</v>
      </c>
      <c r="N3811" t="s">
        <v>2776</v>
      </c>
      <c r="O3811" t="s">
        <v>2746</v>
      </c>
      <c r="P3811" t="s">
        <v>2776</v>
      </c>
      <c r="S3811" s="209">
        <v>511</v>
      </c>
      <c r="T3811" s="209">
        <v>511</v>
      </c>
      <c r="U3811" s="14" t="s">
        <v>77</v>
      </c>
      <c r="V3811" s="14"/>
      <c r="W3811" s="33">
        <v>30</v>
      </c>
      <c r="X3811" s="34"/>
      <c r="Y3811" s="34">
        <v>0</v>
      </c>
      <c r="Z3811" s="34">
        <v>0</v>
      </c>
      <c r="AA3811" s="34">
        <v>0</v>
      </c>
      <c r="AB3811" s="34">
        <v>0</v>
      </c>
      <c r="AC3811" s="34">
        <f t="shared" si="345"/>
        <v>0.30659999999999998</v>
      </c>
      <c r="AD3811" s="34">
        <v>0</v>
      </c>
      <c r="AE3811" s="34">
        <v>0</v>
      </c>
      <c r="AF3811" s="34">
        <f t="shared" si="346"/>
        <v>3.0659999999999998</v>
      </c>
      <c r="AG3811" s="34">
        <v>0</v>
      </c>
      <c r="AH3811" s="34"/>
      <c r="AI3811" s="34">
        <v>0</v>
      </c>
      <c r="AJ3811" s="34">
        <f t="shared" si="347"/>
        <v>3.3725999999999998</v>
      </c>
    </row>
    <row r="3812" spans="1:36" ht="19">
      <c r="A3812" s="166" t="s">
        <v>19</v>
      </c>
      <c r="B3812" s="166">
        <v>2025</v>
      </c>
      <c r="C3812" s="166" t="s">
        <v>24</v>
      </c>
      <c r="D3812" s="166" t="s">
        <v>185</v>
      </c>
      <c r="E3812" s="166" t="s">
        <v>104</v>
      </c>
      <c r="F3812" s="16" t="s">
        <v>265</v>
      </c>
      <c r="I3812" t="s">
        <v>13</v>
      </c>
      <c r="J3812" t="s">
        <v>13</v>
      </c>
      <c r="K3812" t="s">
        <v>2773</v>
      </c>
      <c r="L3812" t="s">
        <v>178</v>
      </c>
      <c r="M3812" t="s">
        <v>105</v>
      </c>
      <c r="N3812" t="s">
        <v>2776</v>
      </c>
      <c r="O3812" t="s">
        <v>2747</v>
      </c>
      <c r="P3812" t="s">
        <v>2776</v>
      </c>
      <c r="S3812" s="209">
        <v>318</v>
      </c>
      <c r="T3812" s="209">
        <v>318</v>
      </c>
      <c r="U3812" s="14" t="s">
        <v>77</v>
      </c>
      <c r="V3812" s="14"/>
      <c r="W3812" s="33">
        <v>30</v>
      </c>
      <c r="X3812" s="34"/>
      <c r="Y3812" s="34">
        <v>0</v>
      </c>
      <c r="Z3812" s="34">
        <v>0</v>
      </c>
      <c r="AA3812" s="34">
        <v>0</v>
      </c>
      <c r="AB3812" s="34">
        <v>0</v>
      </c>
      <c r="AC3812" s="34">
        <f t="shared" si="345"/>
        <v>0.1908</v>
      </c>
      <c r="AD3812" s="34">
        <v>0</v>
      </c>
      <c r="AE3812" s="34">
        <v>0</v>
      </c>
      <c r="AF3812" s="34">
        <f t="shared" si="346"/>
        <v>1.9079999999999999</v>
      </c>
      <c r="AG3812" s="34">
        <v>0</v>
      </c>
      <c r="AH3812" s="34"/>
      <c r="AI3812" s="34">
        <v>0</v>
      </c>
      <c r="AJ3812" s="34">
        <f t="shared" si="347"/>
        <v>2.0987999999999998</v>
      </c>
    </row>
    <row r="3813" spans="1:36" ht="19">
      <c r="A3813" s="166" t="s">
        <v>19</v>
      </c>
      <c r="B3813" s="166">
        <v>2025</v>
      </c>
      <c r="C3813" s="166" t="s">
        <v>24</v>
      </c>
      <c r="D3813" s="166" t="s">
        <v>185</v>
      </c>
      <c r="E3813" s="166" t="s">
        <v>104</v>
      </c>
      <c r="F3813" s="16" t="s">
        <v>265</v>
      </c>
      <c r="I3813" t="s">
        <v>13</v>
      </c>
      <c r="J3813" t="s">
        <v>13</v>
      </c>
      <c r="K3813" t="s">
        <v>2773</v>
      </c>
      <c r="L3813" t="s">
        <v>215</v>
      </c>
      <c r="M3813" t="s">
        <v>92</v>
      </c>
      <c r="N3813" t="s">
        <v>2783</v>
      </c>
      <c r="O3813" t="s">
        <v>2784</v>
      </c>
      <c r="P3813" t="s">
        <v>2776</v>
      </c>
      <c r="S3813" s="209">
        <v>286</v>
      </c>
      <c r="T3813" s="209">
        <v>286</v>
      </c>
      <c r="U3813" s="14" t="s">
        <v>77</v>
      </c>
      <c r="V3813" s="14"/>
      <c r="W3813" s="33">
        <v>30</v>
      </c>
      <c r="X3813" s="34"/>
      <c r="Y3813" s="34">
        <v>0</v>
      </c>
      <c r="Z3813" s="34">
        <v>0</v>
      </c>
      <c r="AA3813" s="34">
        <v>0</v>
      </c>
      <c r="AB3813" s="34">
        <v>0</v>
      </c>
      <c r="AC3813" s="34">
        <f t="shared" si="345"/>
        <v>0.1716</v>
      </c>
      <c r="AD3813" s="34">
        <v>0</v>
      </c>
      <c r="AE3813" s="34">
        <v>0</v>
      </c>
      <c r="AF3813" s="34">
        <f t="shared" si="346"/>
        <v>1.716</v>
      </c>
      <c r="AG3813" s="34">
        <v>0</v>
      </c>
      <c r="AH3813" s="34"/>
      <c r="AI3813" s="34">
        <v>0</v>
      </c>
      <c r="AJ3813" s="34">
        <f t="shared" si="347"/>
        <v>1.8875999999999999</v>
      </c>
    </row>
    <row r="3814" spans="1:36" ht="19">
      <c r="A3814" s="166" t="s">
        <v>19</v>
      </c>
      <c r="B3814" s="166">
        <v>2025</v>
      </c>
      <c r="C3814" s="166" t="s">
        <v>24</v>
      </c>
      <c r="D3814" s="166" t="s">
        <v>185</v>
      </c>
      <c r="E3814" s="166" t="s">
        <v>104</v>
      </c>
      <c r="F3814" s="16" t="s">
        <v>265</v>
      </c>
      <c r="I3814" t="s">
        <v>13</v>
      </c>
      <c r="J3814" t="s">
        <v>13</v>
      </c>
      <c r="K3814" t="s">
        <v>2773</v>
      </c>
      <c r="L3814" t="s">
        <v>215</v>
      </c>
      <c r="M3814" t="s">
        <v>92</v>
      </c>
      <c r="N3814" t="s">
        <v>2783</v>
      </c>
      <c r="O3814" t="s">
        <v>2763</v>
      </c>
      <c r="P3814" t="s">
        <v>2776</v>
      </c>
      <c r="S3814" s="209">
        <v>426</v>
      </c>
      <c r="T3814" s="209">
        <v>426</v>
      </c>
      <c r="U3814" s="14" t="s">
        <v>77</v>
      </c>
      <c r="V3814" s="14"/>
      <c r="W3814" s="33">
        <v>30</v>
      </c>
      <c r="X3814" s="34"/>
      <c r="Y3814" s="34">
        <v>0</v>
      </c>
      <c r="Z3814" s="34">
        <v>0</v>
      </c>
      <c r="AA3814" s="34">
        <v>0</v>
      </c>
      <c r="AB3814" s="34">
        <v>0</v>
      </c>
      <c r="AC3814" s="34">
        <f t="shared" si="345"/>
        <v>0.25559999999999999</v>
      </c>
      <c r="AD3814" s="34">
        <v>0</v>
      </c>
      <c r="AE3814" s="34">
        <v>0</v>
      </c>
      <c r="AF3814" s="34">
        <f t="shared" si="346"/>
        <v>2.556</v>
      </c>
      <c r="AG3814" s="34">
        <v>0</v>
      </c>
      <c r="AH3814" s="34"/>
      <c r="AI3814" s="34">
        <v>0</v>
      </c>
      <c r="AJ3814" s="34">
        <f t="shared" si="347"/>
        <v>2.8115999999999999</v>
      </c>
    </row>
    <row r="3815" spans="1:36" ht="19">
      <c r="A3815" s="166" t="s">
        <v>19</v>
      </c>
      <c r="B3815" s="166">
        <v>2025</v>
      </c>
      <c r="C3815" s="166" t="s">
        <v>24</v>
      </c>
      <c r="D3815" s="166" t="s">
        <v>185</v>
      </c>
      <c r="E3815" s="166" t="s">
        <v>104</v>
      </c>
      <c r="F3815" s="16" t="s">
        <v>265</v>
      </c>
      <c r="I3815" t="s">
        <v>13</v>
      </c>
      <c r="J3815" t="s">
        <v>13</v>
      </c>
      <c r="K3815" t="s">
        <v>2773</v>
      </c>
      <c r="L3815" t="s">
        <v>215</v>
      </c>
      <c r="M3815" t="s">
        <v>92</v>
      </c>
      <c r="N3815" t="s">
        <v>2783</v>
      </c>
      <c r="O3815" t="s">
        <v>2785</v>
      </c>
      <c r="P3815" t="s">
        <v>2776</v>
      </c>
      <c r="S3815" s="209">
        <v>180</v>
      </c>
      <c r="T3815" s="209">
        <v>180</v>
      </c>
      <c r="U3815" s="14" t="s">
        <v>77</v>
      </c>
      <c r="V3815" s="14"/>
      <c r="W3815" s="33">
        <v>30</v>
      </c>
      <c r="X3815" s="34"/>
      <c r="Y3815" s="34">
        <v>0</v>
      </c>
      <c r="Z3815" s="34">
        <v>0</v>
      </c>
      <c r="AA3815" s="34">
        <v>0</v>
      </c>
      <c r="AB3815" s="34">
        <v>0</v>
      </c>
      <c r="AC3815" s="34">
        <f t="shared" si="345"/>
        <v>0.108</v>
      </c>
      <c r="AD3815" s="34">
        <v>0</v>
      </c>
      <c r="AE3815" s="34">
        <v>0</v>
      </c>
      <c r="AF3815" s="34">
        <f t="shared" si="346"/>
        <v>1.08</v>
      </c>
      <c r="AG3815" s="34">
        <v>0</v>
      </c>
      <c r="AH3815" s="34"/>
      <c r="AI3815" s="34">
        <v>0</v>
      </c>
      <c r="AJ3815" s="34">
        <f t="shared" si="347"/>
        <v>1.1880000000000002</v>
      </c>
    </row>
    <row r="3816" spans="1:36" ht="19">
      <c r="A3816" s="166" t="s">
        <v>19</v>
      </c>
      <c r="B3816" s="166">
        <v>2025</v>
      </c>
      <c r="C3816" s="166" t="s">
        <v>24</v>
      </c>
      <c r="D3816" s="166" t="s">
        <v>185</v>
      </c>
      <c r="E3816" s="166" t="s">
        <v>104</v>
      </c>
      <c r="F3816" s="16" t="s">
        <v>265</v>
      </c>
      <c r="I3816" t="s">
        <v>13</v>
      </c>
      <c r="J3816" t="s">
        <v>13</v>
      </c>
      <c r="K3816" t="s">
        <v>2773</v>
      </c>
      <c r="L3816" t="s">
        <v>215</v>
      </c>
      <c r="M3816" t="s">
        <v>92</v>
      </c>
      <c r="N3816" t="s">
        <v>2783</v>
      </c>
      <c r="O3816" t="s">
        <v>2765</v>
      </c>
      <c r="P3816" t="s">
        <v>2776</v>
      </c>
      <c r="S3816" s="209">
        <v>308</v>
      </c>
      <c r="T3816" s="209">
        <v>308</v>
      </c>
      <c r="U3816" s="14" t="s">
        <v>77</v>
      </c>
      <c r="V3816" s="14"/>
      <c r="W3816" s="33">
        <v>30</v>
      </c>
      <c r="X3816" s="34"/>
      <c r="Y3816" s="34">
        <v>0</v>
      </c>
      <c r="Z3816" s="34">
        <v>0</v>
      </c>
      <c r="AA3816" s="34">
        <v>0</v>
      </c>
      <c r="AB3816" s="34">
        <v>0</v>
      </c>
      <c r="AC3816" s="34">
        <f t="shared" ref="AC3816" si="348">+S3816*W3816*20/1000000</f>
        <v>0.18479999999999999</v>
      </c>
      <c r="AD3816" s="34">
        <v>0</v>
      </c>
      <c r="AE3816" s="34">
        <v>0</v>
      </c>
      <c r="AF3816" s="34">
        <f t="shared" ref="AF3816" si="349">+S3816*W3816*200/1000000</f>
        <v>1.8480000000000001</v>
      </c>
      <c r="AG3816" s="34">
        <v>0</v>
      </c>
      <c r="AH3816" s="34"/>
      <c r="AI3816" s="34">
        <v>0</v>
      </c>
      <c r="AJ3816" s="34">
        <f t="shared" ref="AJ3816" si="350">SUBTOTAL(9,X3816:AI3816)</f>
        <v>2.0327999999999999</v>
      </c>
    </row>
    <row r="3817" spans="1:36" ht="19">
      <c r="A3817" s="166" t="s">
        <v>19</v>
      </c>
      <c r="B3817" s="166">
        <v>2025</v>
      </c>
      <c r="C3817" s="166" t="s">
        <v>24</v>
      </c>
      <c r="D3817" s="166" t="s">
        <v>185</v>
      </c>
      <c r="E3817" s="166" t="s">
        <v>104</v>
      </c>
      <c r="F3817" s="16" t="s">
        <v>265</v>
      </c>
      <c r="I3817" t="s">
        <v>13</v>
      </c>
      <c r="J3817" t="s">
        <v>13</v>
      </c>
      <c r="K3817" t="s">
        <v>2773</v>
      </c>
      <c r="L3817" t="s">
        <v>215</v>
      </c>
      <c r="M3817" t="s">
        <v>92</v>
      </c>
      <c r="N3817" t="s">
        <v>2783</v>
      </c>
      <c r="O3817" t="s">
        <v>2766</v>
      </c>
      <c r="P3817" t="s">
        <v>2776</v>
      </c>
      <c r="S3817" s="209">
        <v>299</v>
      </c>
      <c r="T3817" s="209">
        <v>299</v>
      </c>
      <c r="U3817" s="14" t="s">
        <v>77</v>
      </c>
      <c r="V3817" s="14"/>
      <c r="W3817" s="33">
        <v>30</v>
      </c>
      <c r="X3817" s="34"/>
      <c r="Y3817" s="34">
        <v>0</v>
      </c>
      <c r="Z3817" s="34">
        <v>0</v>
      </c>
      <c r="AA3817" s="34">
        <v>0</v>
      </c>
      <c r="AB3817" s="34">
        <v>0</v>
      </c>
      <c r="AC3817" s="34">
        <f t="shared" si="345"/>
        <v>0.1794</v>
      </c>
      <c r="AD3817" s="34">
        <v>0</v>
      </c>
      <c r="AE3817" s="34">
        <v>0</v>
      </c>
      <c r="AF3817" s="34">
        <f t="shared" si="346"/>
        <v>1.794</v>
      </c>
      <c r="AG3817" s="34">
        <v>0</v>
      </c>
      <c r="AH3817" s="34"/>
      <c r="AI3817" s="34">
        <v>0</v>
      </c>
      <c r="AJ3817" s="34">
        <f t="shared" si="347"/>
        <v>1.9734</v>
      </c>
    </row>
    <row r="3818" spans="1:36" ht="19">
      <c r="A3818" s="166" t="s">
        <v>19</v>
      </c>
      <c r="B3818" s="166">
        <v>2025</v>
      </c>
      <c r="C3818" s="166" t="s">
        <v>24</v>
      </c>
      <c r="D3818" s="166" t="s">
        <v>185</v>
      </c>
      <c r="E3818" s="166" t="s">
        <v>104</v>
      </c>
      <c r="F3818" s="16" t="s">
        <v>265</v>
      </c>
      <c r="I3818" t="s">
        <v>13</v>
      </c>
      <c r="J3818" t="s">
        <v>13</v>
      </c>
      <c r="K3818" t="s">
        <v>2773</v>
      </c>
      <c r="L3818" t="s">
        <v>215</v>
      </c>
      <c r="M3818" t="s">
        <v>92</v>
      </c>
      <c r="N3818" t="s">
        <v>2783</v>
      </c>
      <c r="O3818" t="s">
        <v>2767</v>
      </c>
      <c r="P3818" t="s">
        <v>2776</v>
      </c>
      <c r="S3818" s="209">
        <v>459</v>
      </c>
      <c r="T3818" s="209">
        <v>459</v>
      </c>
      <c r="U3818" s="14" t="s">
        <v>77</v>
      </c>
      <c r="V3818" s="14"/>
      <c r="W3818" s="33">
        <v>30</v>
      </c>
      <c r="X3818" s="34"/>
      <c r="Y3818" s="34">
        <v>0</v>
      </c>
      <c r="Z3818" s="34">
        <v>0</v>
      </c>
      <c r="AA3818" s="34">
        <v>0</v>
      </c>
      <c r="AB3818" s="34">
        <v>0</v>
      </c>
      <c r="AC3818" s="34">
        <f t="shared" si="345"/>
        <v>0.27539999999999998</v>
      </c>
      <c r="AD3818" s="34">
        <v>0</v>
      </c>
      <c r="AE3818" s="34">
        <v>0</v>
      </c>
      <c r="AF3818" s="34">
        <f t="shared" si="346"/>
        <v>2.754</v>
      </c>
      <c r="AG3818" s="34">
        <v>0</v>
      </c>
      <c r="AH3818" s="34"/>
      <c r="AI3818" s="34">
        <v>0</v>
      </c>
      <c r="AJ3818" s="34">
        <f t="shared" si="347"/>
        <v>3.0293999999999999</v>
      </c>
    </row>
    <row r="3819" spans="1:36" ht="19">
      <c r="A3819" s="166" t="s">
        <v>19</v>
      </c>
      <c r="B3819" s="166">
        <v>2025</v>
      </c>
      <c r="C3819" s="166" t="s">
        <v>24</v>
      </c>
      <c r="D3819" s="166" t="s">
        <v>185</v>
      </c>
      <c r="E3819" s="166" t="s">
        <v>104</v>
      </c>
      <c r="F3819" s="16" t="s">
        <v>265</v>
      </c>
      <c r="I3819" t="s">
        <v>13</v>
      </c>
      <c r="J3819" t="s">
        <v>13</v>
      </c>
      <c r="K3819" t="s">
        <v>2773</v>
      </c>
      <c r="L3819" t="s">
        <v>215</v>
      </c>
      <c r="M3819" t="s">
        <v>92</v>
      </c>
      <c r="N3819" t="s">
        <v>2783</v>
      </c>
      <c r="O3819" t="s">
        <v>2768</v>
      </c>
      <c r="P3819" t="s">
        <v>2776</v>
      </c>
      <c r="S3819" s="209">
        <v>331</v>
      </c>
      <c r="T3819" s="209">
        <v>331</v>
      </c>
      <c r="U3819" s="14" t="s">
        <v>77</v>
      </c>
      <c r="V3819" s="14"/>
      <c r="W3819" s="33">
        <v>30</v>
      </c>
      <c r="X3819" s="34"/>
      <c r="Y3819" s="34">
        <v>0</v>
      </c>
      <c r="Z3819" s="34">
        <v>0</v>
      </c>
      <c r="AA3819" s="34">
        <v>0</v>
      </c>
      <c r="AB3819" s="34">
        <v>0</v>
      </c>
      <c r="AC3819" s="34">
        <f t="shared" si="345"/>
        <v>0.1986</v>
      </c>
      <c r="AD3819" s="34">
        <v>0</v>
      </c>
      <c r="AE3819" s="34">
        <v>0</v>
      </c>
      <c r="AF3819" s="34">
        <f t="shared" si="346"/>
        <v>1.986</v>
      </c>
      <c r="AG3819" s="34">
        <v>0</v>
      </c>
      <c r="AH3819" s="34"/>
      <c r="AI3819" s="34">
        <v>0</v>
      </c>
      <c r="AJ3819" s="34">
        <f t="shared" si="347"/>
        <v>2.1846000000000001</v>
      </c>
    </row>
    <row r="3820" spans="1:36" ht="19">
      <c r="A3820" s="166" t="s">
        <v>19</v>
      </c>
      <c r="B3820" s="166">
        <v>2025</v>
      </c>
      <c r="C3820" s="166" t="s">
        <v>24</v>
      </c>
      <c r="D3820" s="166" t="s">
        <v>185</v>
      </c>
      <c r="E3820" s="166" t="s">
        <v>104</v>
      </c>
      <c r="F3820" s="16" t="s">
        <v>265</v>
      </c>
      <c r="I3820" t="s">
        <v>13</v>
      </c>
      <c r="J3820" t="s">
        <v>13</v>
      </c>
      <c r="K3820" t="s">
        <v>2773</v>
      </c>
      <c r="L3820" t="s">
        <v>215</v>
      </c>
      <c r="M3820" t="s">
        <v>92</v>
      </c>
      <c r="N3820" t="s">
        <v>2783</v>
      </c>
      <c r="O3820" t="s">
        <v>2748</v>
      </c>
      <c r="P3820" t="s">
        <v>2776</v>
      </c>
      <c r="S3820" s="209">
        <v>274</v>
      </c>
      <c r="T3820" s="209">
        <v>274</v>
      </c>
      <c r="U3820" s="14" t="s">
        <v>77</v>
      </c>
      <c r="V3820" s="14"/>
      <c r="W3820" s="33">
        <v>30</v>
      </c>
      <c r="X3820" s="34"/>
      <c r="Y3820" s="34">
        <v>0</v>
      </c>
      <c r="Z3820" s="34">
        <v>0</v>
      </c>
      <c r="AA3820" s="34">
        <v>0</v>
      </c>
      <c r="AB3820" s="34">
        <v>0</v>
      </c>
      <c r="AC3820" s="34">
        <f t="shared" si="345"/>
        <v>0.16439999999999999</v>
      </c>
      <c r="AD3820" s="34">
        <v>0</v>
      </c>
      <c r="AE3820" s="34">
        <v>0</v>
      </c>
      <c r="AF3820" s="34">
        <f t="shared" si="346"/>
        <v>1.6439999999999999</v>
      </c>
      <c r="AG3820" s="34">
        <v>0</v>
      </c>
      <c r="AH3820" s="34"/>
      <c r="AI3820" s="34">
        <v>0</v>
      </c>
      <c r="AJ3820" s="34">
        <f t="shared" si="347"/>
        <v>1.8083999999999998</v>
      </c>
    </row>
    <row r="3821" spans="1:36" ht="19">
      <c r="A3821" s="166" t="s">
        <v>19</v>
      </c>
      <c r="B3821" s="166">
        <v>2025</v>
      </c>
      <c r="C3821" s="166" t="s">
        <v>24</v>
      </c>
      <c r="D3821" s="166" t="s">
        <v>185</v>
      </c>
      <c r="E3821" s="166" t="s">
        <v>104</v>
      </c>
      <c r="F3821" s="16" t="s">
        <v>265</v>
      </c>
      <c r="I3821" t="s">
        <v>13</v>
      </c>
      <c r="J3821" t="s">
        <v>13</v>
      </c>
      <c r="K3821" t="s">
        <v>2773</v>
      </c>
      <c r="L3821" t="s">
        <v>178</v>
      </c>
      <c r="M3821" t="s">
        <v>106</v>
      </c>
      <c r="N3821" t="s">
        <v>2786</v>
      </c>
      <c r="O3821" t="s">
        <v>2755</v>
      </c>
      <c r="P3821" t="s">
        <v>2776</v>
      </c>
      <c r="S3821" s="209">
        <v>152</v>
      </c>
      <c r="T3821" s="209">
        <v>152</v>
      </c>
      <c r="U3821" s="14" t="s">
        <v>77</v>
      </c>
      <c r="V3821" s="14"/>
      <c r="W3821" s="33">
        <v>30</v>
      </c>
      <c r="X3821" s="34"/>
      <c r="Y3821" s="34">
        <v>0</v>
      </c>
      <c r="Z3821" s="34">
        <v>0</v>
      </c>
      <c r="AA3821" s="34">
        <v>0</v>
      </c>
      <c r="AB3821" s="34">
        <v>0</v>
      </c>
      <c r="AC3821" s="34">
        <f t="shared" si="345"/>
        <v>9.1200000000000003E-2</v>
      </c>
      <c r="AD3821" s="34">
        <v>0</v>
      </c>
      <c r="AE3821" s="34">
        <v>0</v>
      </c>
      <c r="AF3821" s="34">
        <f t="shared" si="346"/>
        <v>0.91200000000000003</v>
      </c>
      <c r="AG3821" s="34">
        <v>0</v>
      </c>
      <c r="AH3821" s="34"/>
      <c r="AI3821" s="34">
        <v>0</v>
      </c>
      <c r="AJ3821" s="34">
        <f t="shared" si="347"/>
        <v>1.0032000000000001</v>
      </c>
    </row>
    <row r="3822" spans="1:36" ht="19">
      <c r="A3822" s="166" t="s">
        <v>19</v>
      </c>
      <c r="B3822" s="166">
        <v>2025</v>
      </c>
      <c r="C3822" s="166" t="s">
        <v>24</v>
      </c>
      <c r="D3822" s="166" t="s">
        <v>185</v>
      </c>
      <c r="E3822" s="166" t="s">
        <v>104</v>
      </c>
      <c r="F3822" s="16" t="s">
        <v>265</v>
      </c>
      <c r="I3822" t="s">
        <v>13</v>
      </c>
      <c r="J3822" t="s">
        <v>13</v>
      </c>
      <c r="K3822" t="s">
        <v>2773</v>
      </c>
      <c r="L3822" t="s">
        <v>178</v>
      </c>
      <c r="M3822" t="s">
        <v>106</v>
      </c>
      <c r="N3822" t="s">
        <v>2786</v>
      </c>
      <c r="O3822" t="s">
        <v>2756</v>
      </c>
      <c r="P3822" t="s">
        <v>2776</v>
      </c>
      <c r="S3822" s="209">
        <v>146</v>
      </c>
      <c r="T3822" s="209">
        <v>146</v>
      </c>
      <c r="U3822" s="14" t="s">
        <v>77</v>
      </c>
      <c r="V3822" s="14"/>
      <c r="W3822" s="33">
        <v>30</v>
      </c>
      <c r="X3822" s="34"/>
      <c r="Y3822" s="34">
        <v>0</v>
      </c>
      <c r="Z3822" s="34">
        <v>0</v>
      </c>
      <c r="AA3822" s="34">
        <v>0</v>
      </c>
      <c r="AB3822" s="34">
        <v>0</v>
      </c>
      <c r="AC3822" s="34">
        <f t="shared" si="345"/>
        <v>8.7599999999999997E-2</v>
      </c>
      <c r="AD3822" s="34">
        <v>0</v>
      </c>
      <c r="AE3822" s="34">
        <v>0</v>
      </c>
      <c r="AF3822" s="34">
        <f t="shared" si="346"/>
        <v>0.876</v>
      </c>
      <c r="AG3822" s="34">
        <v>0</v>
      </c>
      <c r="AH3822" s="34"/>
      <c r="AI3822" s="34">
        <v>0</v>
      </c>
      <c r="AJ3822" s="34">
        <f t="shared" si="347"/>
        <v>0.96360000000000001</v>
      </c>
    </row>
    <row r="3823" spans="1:36" ht="19">
      <c r="A3823" s="166" t="s">
        <v>19</v>
      </c>
      <c r="B3823" s="166">
        <v>2025</v>
      </c>
      <c r="C3823" s="166" t="s">
        <v>24</v>
      </c>
      <c r="D3823" s="166" t="s">
        <v>185</v>
      </c>
      <c r="E3823" s="166" t="s">
        <v>104</v>
      </c>
      <c r="F3823" s="16" t="s">
        <v>265</v>
      </c>
      <c r="I3823" t="s">
        <v>13</v>
      </c>
      <c r="J3823" t="s">
        <v>13</v>
      </c>
      <c r="K3823" t="s">
        <v>2773</v>
      </c>
      <c r="L3823" t="s">
        <v>178</v>
      </c>
      <c r="M3823" t="s">
        <v>106</v>
      </c>
      <c r="N3823" t="s">
        <v>2786</v>
      </c>
      <c r="O3823" t="s">
        <v>2757</v>
      </c>
      <c r="P3823" t="s">
        <v>2776</v>
      </c>
      <c r="S3823" s="209">
        <v>326</v>
      </c>
      <c r="T3823" s="209">
        <v>326</v>
      </c>
      <c r="U3823" s="14" t="s">
        <v>77</v>
      </c>
      <c r="V3823" s="14"/>
      <c r="W3823" s="33">
        <v>30</v>
      </c>
      <c r="X3823" s="34"/>
      <c r="Y3823" s="34">
        <v>0</v>
      </c>
      <c r="Z3823" s="34">
        <v>0</v>
      </c>
      <c r="AA3823" s="34">
        <v>0</v>
      </c>
      <c r="AB3823" s="34">
        <v>0</v>
      </c>
      <c r="AC3823" s="34">
        <f t="shared" si="345"/>
        <v>0.1956</v>
      </c>
      <c r="AD3823" s="34">
        <v>0</v>
      </c>
      <c r="AE3823" s="34">
        <v>0</v>
      </c>
      <c r="AF3823" s="34">
        <f t="shared" si="346"/>
        <v>1.956</v>
      </c>
      <c r="AG3823" s="34">
        <v>0</v>
      </c>
      <c r="AH3823" s="34"/>
      <c r="AI3823" s="34">
        <v>0</v>
      </c>
      <c r="AJ3823" s="34">
        <f t="shared" si="347"/>
        <v>2.1516000000000002</v>
      </c>
    </row>
    <row r="3824" spans="1:36" ht="19">
      <c r="A3824" s="166" t="s">
        <v>19</v>
      </c>
      <c r="B3824" s="166">
        <v>2025</v>
      </c>
      <c r="C3824" s="166" t="s">
        <v>24</v>
      </c>
      <c r="D3824" s="166" t="s">
        <v>185</v>
      </c>
      <c r="E3824" s="166" t="s">
        <v>104</v>
      </c>
      <c r="F3824" s="16" t="s">
        <v>265</v>
      </c>
      <c r="I3824" t="s">
        <v>13</v>
      </c>
      <c r="J3824" t="s">
        <v>13</v>
      </c>
      <c r="K3824" t="s">
        <v>2773</v>
      </c>
      <c r="L3824" t="s">
        <v>178</v>
      </c>
      <c r="M3824" t="s">
        <v>106</v>
      </c>
      <c r="N3824" t="s">
        <v>2786</v>
      </c>
      <c r="O3824" t="s">
        <v>2758</v>
      </c>
      <c r="P3824" t="s">
        <v>2776</v>
      </c>
      <c r="S3824" s="209">
        <v>151</v>
      </c>
      <c r="T3824" s="209">
        <v>151</v>
      </c>
      <c r="U3824" s="14" t="s">
        <v>77</v>
      </c>
      <c r="V3824" s="14"/>
      <c r="W3824" s="33">
        <v>30</v>
      </c>
      <c r="X3824" s="34"/>
      <c r="Y3824" s="34">
        <v>0</v>
      </c>
      <c r="Z3824" s="34">
        <v>0</v>
      </c>
      <c r="AA3824" s="34">
        <v>0</v>
      </c>
      <c r="AB3824" s="34">
        <v>0</v>
      </c>
      <c r="AC3824" s="34">
        <f t="shared" si="345"/>
        <v>9.06E-2</v>
      </c>
      <c r="AD3824" s="34">
        <v>0</v>
      </c>
      <c r="AE3824" s="34">
        <v>0</v>
      </c>
      <c r="AF3824" s="34">
        <f t="shared" si="346"/>
        <v>0.90600000000000003</v>
      </c>
      <c r="AG3824" s="34">
        <v>0</v>
      </c>
      <c r="AH3824" s="34"/>
      <c r="AI3824" s="34">
        <v>0</v>
      </c>
      <c r="AJ3824" s="34">
        <f t="shared" si="347"/>
        <v>0.99660000000000004</v>
      </c>
    </row>
    <row r="3825" spans="1:36" ht="19">
      <c r="A3825" s="166" t="s">
        <v>19</v>
      </c>
      <c r="B3825" s="166">
        <v>2025</v>
      </c>
      <c r="C3825" s="166" t="s">
        <v>24</v>
      </c>
      <c r="D3825" s="166" t="s">
        <v>185</v>
      </c>
      <c r="E3825" s="166" t="s">
        <v>104</v>
      </c>
      <c r="F3825" s="16" t="s">
        <v>265</v>
      </c>
      <c r="I3825" t="s">
        <v>13</v>
      </c>
      <c r="J3825" t="s">
        <v>13</v>
      </c>
      <c r="K3825" t="s">
        <v>2773</v>
      </c>
      <c r="L3825" t="s">
        <v>223</v>
      </c>
      <c r="M3825" t="s">
        <v>107</v>
      </c>
      <c r="N3825" t="s">
        <v>267</v>
      </c>
      <c r="O3825" t="s">
        <v>2769</v>
      </c>
      <c r="P3825" t="s">
        <v>2776</v>
      </c>
      <c r="S3825" s="209">
        <v>333</v>
      </c>
      <c r="T3825" s="209">
        <v>333</v>
      </c>
      <c r="U3825" s="14" t="s">
        <v>77</v>
      </c>
      <c r="V3825" s="14"/>
      <c r="W3825" s="33">
        <v>30</v>
      </c>
      <c r="X3825" s="34"/>
      <c r="Y3825" s="34">
        <v>0</v>
      </c>
      <c r="Z3825" s="34">
        <v>0</v>
      </c>
      <c r="AA3825" s="34">
        <v>0</v>
      </c>
      <c r="AB3825" s="34">
        <v>0</v>
      </c>
      <c r="AC3825" s="34">
        <f t="shared" ref="AC3825:AC3834" si="351">+S3825*W3825*20/1000000</f>
        <v>0.19980000000000001</v>
      </c>
      <c r="AD3825" s="34">
        <v>0</v>
      </c>
      <c r="AE3825" s="34">
        <v>0</v>
      </c>
      <c r="AF3825" s="34">
        <f t="shared" ref="AF3825:AF3834" si="352">+S3825*W3825*200/1000000</f>
        <v>1.998</v>
      </c>
      <c r="AG3825" s="34">
        <v>0</v>
      </c>
      <c r="AH3825" s="34"/>
      <c r="AI3825" s="34">
        <v>0</v>
      </c>
      <c r="AJ3825" s="34">
        <f t="shared" ref="AJ3825:AJ3834" si="353">SUBTOTAL(9,X3825:AI3825)</f>
        <v>2.1978</v>
      </c>
    </row>
    <row r="3826" spans="1:36" ht="19">
      <c r="A3826" s="166" t="s">
        <v>19</v>
      </c>
      <c r="B3826" s="166">
        <v>2025</v>
      </c>
      <c r="C3826" s="166" t="s">
        <v>24</v>
      </c>
      <c r="D3826" s="166" t="s">
        <v>185</v>
      </c>
      <c r="E3826" s="166" t="s">
        <v>104</v>
      </c>
      <c r="F3826" s="16" t="s">
        <v>265</v>
      </c>
      <c r="I3826" t="s">
        <v>13</v>
      </c>
      <c r="J3826" t="s">
        <v>13</v>
      </c>
      <c r="K3826" t="s">
        <v>2773</v>
      </c>
      <c r="L3826" t="s">
        <v>223</v>
      </c>
      <c r="M3826" t="s">
        <v>107</v>
      </c>
      <c r="N3826" t="s">
        <v>267</v>
      </c>
      <c r="O3826" t="s">
        <v>2749</v>
      </c>
      <c r="P3826" t="s">
        <v>2776</v>
      </c>
      <c r="S3826" s="209">
        <v>543</v>
      </c>
      <c r="T3826" s="209">
        <v>543</v>
      </c>
      <c r="U3826" s="14" t="s">
        <v>77</v>
      </c>
      <c r="V3826" s="14"/>
      <c r="W3826" s="33">
        <v>30</v>
      </c>
      <c r="X3826" s="34"/>
      <c r="Y3826" s="34">
        <v>0</v>
      </c>
      <c r="Z3826" s="34">
        <v>0</v>
      </c>
      <c r="AA3826" s="34">
        <v>0</v>
      </c>
      <c r="AB3826" s="34">
        <v>0</v>
      </c>
      <c r="AC3826" s="34">
        <f t="shared" si="351"/>
        <v>0.32579999999999998</v>
      </c>
      <c r="AD3826" s="34">
        <v>0</v>
      </c>
      <c r="AE3826" s="34">
        <v>0</v>
      </c>
      <c r="AF3826" s="34">
        <f t="shared" si="352"/>
        <v>3.258</v>
      </c>
      <c r="AG3826" s="34">
        <v>0</v>
      </c>
      <c r="AH3826" s="34"/>
      <c r="AI3826" s="34">
        <v>0</v>
      </c>
      <c r="AJ3826" s="34">
        <f t="shared" si="353"/>
        <v>3.5838000000000001</v>
      </c>
    </row>
    <row r="3827" spans="1:36" ht="19">
      <c r="A3827" s="166" t="s">
        <v>19</v>
      </c>
      <c r="B3827" s="166">
        <v>2025</v>
      </c>
      <c r="C3827" s="166" t="s">
        <v>24</v>
      </c>
      <c r="D3827" s="166" t="s">
        <v>185</v>
      </c>
      <c r="E3827" s="166" t="s">
        <v>104</v>
      </c>
      <c r="F3827" s="16" t="s">
        <v>265</v>
      </c>
      <c r="I3827" t="s">
        <v>13</v>
      </c>
      <c r="J3827" t="s">
        <v>13</v>
      </c>
      <c r="K3827" t="s">
        <v>2773</v>
      </c>
      <c r="L3827" t="s">
        <v>223</v>
      </c>
      <c r="M3827" t="s">
        <v>107</v>
      </c>
      <c r="N3827" t="s">
        <v>267</v>
      </c>
      <c r="O3827" t="s">
        <v>2770</v>
      </c>
      <c r="P3827" t="s">
        <v>2776</v>
      </c>
      <c r="S3827" s="209">
        <v>279</v>
      </c>
      <c r="T3827" s="209">
        <v>279</v>
      </c>
      <c r="U3827" s="14" t="s">
        <v>77</v>
      </c>
      <c r="V3827" s="14"/>
      <c r="W3827" s="33">
        <v>30</v>
      </c>
      <c r="X3827" s="34"/>
      <c r="Y3827" s="34">
        <v>0</v>
      </c>
      <c r="Z3827" s="34">
        <v>0</v>
      </c>
      <c r="AA3827" s="34">
        <v>0</v>
      </c>
      <c r="AB3827" s="34">
        <v>0</v>
      </c>
      <c r="AC3827" s="34">
        <f t="shared" si="351"/>
        <v>0.16739999999999999</v>
      </c>
      <c r="AD3827" s="34">
        <v>0</v>
      </c>
      <c r="AE3827" s="34">
        <v>0</v>
      </c>
      <c r="AF3827" s="34">
        <f t="shared" si="352"/>
        <v>1.6739999999999999</v>
      </c>
      <c r="AG3827" s="34">
        <v>0</v>
      </c>
      <c r="AH3827" s="34"/>
      <c r="AI3827" s="34">
        <v>0</v>
      </c>
      <c r="AJ3827" s="34">
        <f t="shared" si="353"/>
        <v>1.8413999999999999</v>
      </c>
    </row>
    <row r="3828" spans="1:36" ht="19">
      <c r="A3828" s="166" t="s">
        <v>19</v>
      </c>
      <c r="B3828" s="166">
        <v>2025</v>
      </c>
      <c r="C3828" s="166" t="s">
        <v>24</v>
      </c>
      <c r="D3828" s="166" t="s">
        <v>185</v>
      </c>
      <c r="E3828" s="166" t="s">
        <v>104</v>
      </c>
      <c r="F3828" s="16" t="s">
        <v>265</v>
      </c>
      <c r="I3828" t="s">
        <v>13</v>
      </c>
      <c r="J3828" t="s">
        <v>13</v>
      </c>
      <c r="K3828" t="s">
        <v>2773</v>
      </c>
      <c r="L3828" t="s">
        <v>223</v>
      </c>
      <c r="M3828" t="s">
        <v>107</v>
      </c>
      <c r="N3828" t="s">
        <v>267</v>
      </c>
      <c r="O3828" t="s">
        <v>2750</v>
      </c>
      <c r="P3828" t="s">
        <v>2776</v>
      </c>
      <c r="S3828" s="209">
        <v>600</v>
      </c>
      <c r="T3828" s="209">
        <v>600</v>
      </c>
      <c r="U3828" s="14" t="s">
        <v>77</v>
      </c>
      <c r="V3828" s="14"/>
      <c r="W3828" s="33">
        <v>30</v>
      </c>
      <c r="X3828" s="34"/>
      <c r="Y3828" s="34">
        <v>0</v>
      </c>
      <c r="Z3828" s="34">
        <v>0</v>
      </c>
      <c r="AA3828" s="34">
        <v>0</v>
      </c>
      <c r="AB3828" s="34">
        <v>0</v>
      </c>
      <c r="AC3828" s="34">
        <f t="shared" si="351"/>
        <v>0.36</v>
      </c>
      <c r="AD3828" s="34">
        <v>0</v>
      </c>
      <c r="AE3828" s="34">
        <v>0</v>
      </c>
      <c r="AF3828" s="34">
        <f t="shared" si="352"/>
        <v>3.6</v>
      </c>
      <c r="AG3828" s="34">
        <v>0</v>
      </c>
      <c r="AH3828" s="34"/>
      <c r="AI3828" s="34">
        <v>0</v>
      </c>
      <c r="AJ3828" s="34">
        <f t="shared" si="353"/>
        <v>3.96</v>
      </c>
    </row>
    <row r="3829" spans="1:36" ht="19">
      <c r="A3829" s="166" t="s">
        <v>19</v>
      </c>
      <c r="B3829" s="166">
        <v>2025</v>
      </c>
      <c r="C3829" s="166" t="s">
        <v>24</v>
      </c>
      <c r="D3829" s="166" t="s">
        <v>185</v>
      </c>
      <c r="E3829" s="166" t="s">
        <v>104</v>
      </c>
      <c r="F3829" s="16" t="s">
        <v>265</v>
      </c>
      <c r="I3829" t="s">
        <v>13</v>
      </c>
      <c r="J3829" t="s">
        <v>13</v>
      </c>
      <c r="K3829" t="s">
        <v>2773</v>
      </c>
      <c r="L3829" t="s">
        <v>223</v>
      </c>
      <c r="M3829" t="s">
        <v>107</v>
      </c>
      <c r="N3829" t="s">
        <v>267</v>
      </c>
      <c r="O3829" t="s">
        <v>2751</v>
      </c>
      <c r="P3829" t="s">
        <v>2776</v>
      </c>
      <c r="S3829" s="209">
        <v>345</v>
      </c>
      <c r="T3829" s="209">
        <v>345</v>
      </c>
      <c r="U3829" s="14" t="s">
        <v>77</v>
      </c>
      <c r="V3829" s="14"/>
      <c r="W3829" s="33">
        <v>30</v>
      </c>
      <c r="X3829" s="34"/>
      <c r="Y3829" s="34">
        <v>0</v>
      </c>
      <c r="Z3829" s="34">
        <v>0</v>
      </c>
      <c r="AA3829" s="34">
        <v>0</v>
      </c>
      <c r="AB3829" s="34">
        <v>0</v>
      </c>
      <c r="AC3829" s="34">
        <f t="shared" si="351"/>
        <v>0.20699999999999999</v>
      </c>
      <c r="AD3829" s="34">
        <v>0</v>
      </c>
      <c r="AE3829" s="34">
        <v>0</v>
      </c>
      <c r="AF3829" s="34">
        <f t="shared" si="352"/>
        <v>2.0699999999999998</v>
      </c>
      <c r="AG3829" s="34">
        <v>0</v>
      </c>
      <c r="AH3829" s="34"/>
      <c r="AI3829" s="34">
        <v>0</v>
      </c>
      <c r="AJ3829" s="34">
        <f t="shared" si="353"/>
        <v>2.2769999999999997</v>
      </c>
    </row>
    <row r="3830" spans="1:36" ht="19">
      <c r="A3830" s="166" t="s">
        <v>19</v>
      </c>
      <c r="B3830" s="166">
        <v>2025</v>
      </c>
      <c r="C3830" s="166" t="s">
        <v>24</v>
      </c>
      <c r="D3830" s="166" t="s">
        <v>185</v>
      </c>
      <c r="E3830" s="166" t="s">
        <v>104</v>
      </c>
      <c r="F3830" s="16" t="s">
        <v>265</v>
      </c>
      <c r="I3830" t="s">
        <v>13</v>
      </c>
      <c r="J3830" t="s">
        <v>13</v>
      </c>
      <c r="K3830" t="s">
        <v>2773</v>
      </c>
      <c r="L3830" t="s">
        <v>223</v>
      </c>
      <c r="M3830" t="s">
        <v>107</v>
      </c>
      <c r="N3830" t="s">
        <v>267</v>
      </c>
      <c r="O3830" t="s">
        <v>2752</v>
      </c>
      <c r="P3830" t="s">
        <v>2776</v>
      </c>
      <c r="S3830" s="209">
        <v>450</v>
      </c>
      <c r="T3830" s="209">
        <v>450</v>
      </c>
      <c r="U3830" s="14" t="s">
        <v>77</v>
      </c>
      <c r="V3830" s="14"/>
      <c r="W3830" s="33">
        <v>30</v>
      </c>
      <c r="X3830" s="34"/>
      <c r="Y3830" s="34">
        <v>0</v>
      </c>
      <c r="Z3830" s="34">
        <v>0</v>
      </c>
      <c r="AA3830" s="34">
        <v>0</v>
      </c>
      <c r="AB3830" s="34">
        <v>0</v>
      </c>
      <c r="AC3830" s="34">
        <f t="shared" si="351"/>
        <v>0.27</v>
      </c>
      <c r="AD3830" s="34">
        <v>0</v>
      </c>
      <c r="AE3830" s="34">
        <v>0</v>
      </c>
      <c r="AF3830" s="34">
        <f t="shared" si="352"/>
        <v>2.7</v>
      </c>
      <c r="AG3830" s="34">
        <v>0</v>
      </c>
      <c r="AH3830" s="34"/>
      <c r="AI3830" s="34">
        <v>0</v>
      </c>
      <c r="AJ3830" s="34">
        <f t="shared" si="353"/>
        <v>2.97</v>
      </c>
    </row>
    <row r="3831" spans="1:36" ht="19">
      <c r="A3831" s="166" t="s">
        <v>19</v>
      </c>
      <c r="B3831" s="166">
        <v>2025</v>
      </c>
      <c r="C3831" s="166" t="s">
        <v>24</v>
      </c>
      <c r="D3831" s="166" t="s">
        <v>185</v>
      </c>
      <c r="E3831" s="166" t="s">
        <v>104</v>
      </c>
      <c r="F3831" s="16" t="s">
        <v>265</v>
      </c>
      <c r="I3831" t="s">
        <v>13</v>
      </c>
      <c r="J3831" t="s">
        <v>13</v>
      </c>
      <c r="K3831" t="s">
        <v>2773</v>
      </c>
      <c r="L3831" t="s">
        <v>223</v>
      </c>
      <c r="M3831" t="s">
        <v>107</v>
      </c>
      <c r="N3831" t="s">
        <v>267</v>
      </c>
      <c r="O3831" t="s">
        <v>2771</v>
      </c>
      <c r="P3831" t="s">
        <v>2776</v>
      </c>
      <c r="S3831" s="209">
        <v>272</v>
      </c>
      <c r="T3831" s="209">
        <v>272</v>
      </c>
      <c r="U3831" s="14" t="s">
        <v>77</v>
      </c>
      <c r="V3831" s="14"/>
      <c r="W3831" s="33">
        <v>30</v>
      </c>
      <c r="X3831" s="34"/>
      <c r="Y3831" s="34">
        <v>0</v>
      </c>
      <c r="Z3831" s="34">
        <v>0</v>
      </c>
      <c r="AA3831" s="34">
        <v>0</v>
      </c>
      <c r="AB3831" s="34">
        <v>0</v>
      </c>
      <c r="AC3831" s="34">
        <f t="shared" si="351"/>
        <v>0.16320000000000001</v>
      </c>
      <c r="AD3831" s="34">
        <v>0</v>
      </c>
      <c r="AE3831" s="34">
        <v>0</v>
      </c>
      <c r="AF3831" s="34">
        <f t="shared" si="352"/>
        <v>1.6319999999999999</v>
      </c>
      <c r="AG3831" s="34">
        <v>0</v>
      </c>
      <c r="AH3831" s="34"/>
      <c r="AI3831" s="34">
        <v>0</v>
      </c>
      <c r="AJ3831" s="34">
        <f t="shared" si="353"/>
        <v>1.7951999999999999</v>
      </c>
    </row>
    <row r="3832" spans="1:36" ht="19">
      <c r="A3832" s="166" t="s">
        <v>19</v>
      </c>
      <c r="B3832" s="166">
        <v>2025</v>
      </c>
      <c r="C3832" s="166" t="s">
        <v>24</v>
      </c>
      <c r="D3832" s="166" t="s">
        <v>185</v>
      </c>
      <c r="E3832" s="166" t="s">
        <v>104</v>
      </c>
      <c r="F3832" s="16" t="s">
        <v>265</v>
      </c>
      <c r="I3832" t="s">
        <v>13</v>
      </c>
      <c r="J3832" t="s">
        <v>13</v>
      </c>
      <c r="K3832" t="s">
        <v>2773</v>
      </c>
      <c r="L3832" t="s">
        <v>223</v>
      </c>
      <c r="M3832" t="s">
        <v>107</v>
      </c>
      <c r="N3832" t="s">
        <v>267</v>
      </c>
      <c r="O3832" t="s">
        <v>2772</v>
      </c>
      <c r="P3832" t="s">
        <v>2776</v>
      </c>
      <c r="S3832" s="209">
        <v>610</v>
      </c>
      <c r="T3832" s="209">
        <v>610</v>
      </c>
      <c r="U3832" s="14" t="s">
        <v>77</v>
      </c>
      <c r="V3832" s="14"/>
      <c r="W3832" s="33">
        <v>30</v>
      </c>
      <c r="X3832" s="34"/>
      <c r="Y3832" s="34">
        <v>0</v>
      </c>
      <c r="Z3832" s="34">
        <v>0</v>
      </c>
      <c r="AA3832" s="34">
        <v>0</v>
      </c>
      <c r="AB3832" s="34">
        <v>0</v>
      </c>
      <c r="AC3832" s="34">
        <f t="shared" si="351"/>
        <v>0.36599999999999999</v>
      </c>
      <c r="AD3832" s="34">
        <v>0</v>
      </c>
      <c r="AE3832" s="34">
        <v>0</v>
      </c>
      <c r="AF3832" s="34">
        <f t="shared" si="352"/>
        <v>3.66</v>
      </c>
      <c r="AG3832" s="34">
        <v>0</v>
      </c>
      <c r="AH3832" s="34"/>
      <c r="AI3832" s="34">
        <v>0</v>
      </c>
      <c r="AJ3832" s="34">
        <f t="shared" si="353"/>
        <v>4.0259999999999998</v>
      </c>
    </row>
    <row r="3833" spans="1:36" ht="19">
      <c r="A3833" s="166" t="s">
        <v>19</v>
      </c>
      <c r="B3833" s="166">
        <v>2025</v>
      </c>
      <c r="C3833" s="166" t="s">
        <v>24</v>
      </c>
      <c r="D3833" s="166" t="s">
        <v>185</v>
      </c>
      <c r="E3833" s="166" t="s">
        <v>104</v>
      </c>
      <c r="F3833" s="16" t="s">
        <v>265</v>
      </c>
      <c r="I3833" t="s">
        <v>13</v>
      </c>
      <c r="J3833" t="s">
        <v>13</v>
      </c>
      <c r="K3833" t="s">
        <v>2773</v>
      </c>
      <c r="L3833" t="s">
        <v>223</v>
      </c>
      <c r="M3833" t="s">
        <v>107</v>
      </c>
      <c r="N3833" t="s">
        <v>267</v>
      </c>
      <c r="O3833" t="s">
        <v>2753</v>
      </c>
      <c r="P3833" t="s">
        <v>2776</v>
      </c>
      <c r="S3833" s="209">
        <v>850</v>
      </c>
      <c r="T3833" s="209">
        <v>850</v>
      </c>
      <c r="U3833" s="14" t="s">
        <v>77</v>
      </c>
      <c r="V3833" s="14"/>
      <c r="W3833" s="33">
        <v>30</v>
      </c>
      <c r="X3833" s="34"/>
      <c r="Y3833" s="34">
        <v>0</v>
      </c>
      <c r="Z3833" s="34">
        <v>0</v>
      </c>
      <c r="AA3833" s="34">
        <v>0</v>
      </c>
      <c r="AB3833" s="34">
        <v>0</v>
      </c>
      <c r="AC3833" s="34">
        <f t="shared" si="351"/>
        <v>0.51</v>
      </c>
      <c r="AD3833" s="34">
        <v>0</v>
      </c>
      <c r="AE3833" s="34">
        <v>0</v>
      </c>
      <c r="AF3833" s="34">
        <f t="shared" si="352"/>
        <v>5.0999999999999996</v>
      </c>
      <c r="AG3833" s="34">
        <v>0</v>
      </c>
      <c r="AH3833" s="34"/>
      <c r="AI3833" s="34">
        <v>0</v>
      </c>
      <c r="AJ3833" s="34">
        <f t="shared" si="353"/>
        <v>5.6099999999999994</v>
      </c>
    </row>
    <row r="3834" spans="1:36" ht="19">
      <c r="A3834" s="166" t="s">
        <v>19</v>
      </c>
      <c r="B3834" s="166">
        <v>2025</v>
      </c>
      <c r="C3834" s="166" t="s">
        <v>24</v>
      </c>
      <c r="D3834" s="166" t="s">
        <v>185</v>
      </c>
      <c r="E3834" s="166" t="s">
        <v>104</v>
      </c>
      <c r="F3834" s="16" t="s">
        <v>265</v>
      </c>
      <c r="I3834" t="s">
        <v>13</v>
      </c>
      <c r="J3834" t="s">
        <v>13</v>
      </c>
      <c r="K3834" t="s">
        <v>2773</v>
      </c>
      <c r="L3834" t="s">
        <v>223</v>
      </c>
      <c r="M3834" t="s">
        <v>108</v>
      </c>
      <c r="N3834" t="s">
        <v>267</v>
      </c>
      <c r="O3834" t="s">
        <v>2754</v>
      </c>
      <c r="P3834" t="s">
        <v>2776</v>
      </c>
      <c r="S3834" s="209">
        <v>325</v>
      </c>
      <c r="T3834" s="209">
        <v>325</v>
      </c>
      <c r="U3834" s="14" t="s">
        <v>77</v>
      </c>
      <c r="V3834" s="14"/>
      <c r="W3834" s="33">
        <v>30</v>
      </c>
      <c r="X3834" s="34"/>
      <c r="Y3834" s="34">
        <v>0</v>
      </c>
      <c r="Z3834" s="34">
        <v>0</v>
      </c>
      <c r="AA3834" s="34">
        <v>0</v>
      </c>
      <c r="AB3834" s="34">
        <v>0</v>
      </c>
      <c r="AC3834" s="34">
        <f t="shared" si="351"/>
        <v>0.19500000000000001</v>
      </c>
      <c r="AD3834" s="34">
        <v>0</v>
      </c>
      <c r="AE3834" s="34">
        <v>0</v>
      </c>
      <c r="AF3834" s="34">
        <f t="shared" si="352"/>
        <v>1.95</v>
      </c>
      <c r="AG3834" s="34">
        <v>0</v>
      </c>
      <c r="AH3834" s="34"/>
      <c r="AI3834" s="34">
        <v>0</v>
      </c>
      <c r="AJ3834" s="34">
        <f t="shared" si="353"/>
        <v>2.145</v>
      </c>
    </row>
    <row r="3835" spans="1:36" ht="19">
      <c r="A3835" s="166" t="s">
        <v>19</v>
      </c>
      <c r="B3835" s="166">
        <v>2025</v>
      </c>
      <c r="C3835" s="166" t="s">
        <v>24</v>
      </c>
      <c r="D3835" s="166" t="s">
        <v>185</v>
      </c>
      <c r="E3835" s="166" t="s">
        <v>103</v>
      </c>
      <c r="F3835" s="16" t="s">
        <v>265</v>
      </c>
      <c r="I3835" t="s">
        <v>13</v>
      </c>
      <c r="J3835" t="s">
        <v>13</v>
      </c>
      <c r="K3835" t="s">
        <v>2773</v>
      </c>
      <c r="L3835" t="s">
        <v>223</v>
      </c>
      <c r="M3835" t="s">
        <v>107</v>
      </c>
      <c r="N3835" t="s">
        <v>267</v>
      </c>
      <c r="O3835" t="s">
        <v>2769</v>
      </c>
      <c r="P3835" t="s">
        <v>2776</v>
      </c>
      <c r="S3835" s="209">
        <v>400</v>
      </c>
      <c r="T3835" s="211">
        <f t="shared" ref="T3835:T3844" si="354">S3835</f>
        <v>400</v>
      </c>
      <c r="U3835" s="14" t="s">
        <v>77</v>
      </c>
      <c r="V3835" s="14"/>
      <c r="W3835" s="33">
        <v>30</v>
      </c>
      <c r="X3835" s="34"/>
      <c r="Y3835" s="34">
        <v>0</v>
      </c>
      <c r="Z3835" s="34">
        <v>0</v>
      </c>
      <c r="AA3835" s="34">
        <v>0</v>
      </c>
      <c r="AB3835" s="34">
        <v>0</v>
      </c>
      <c r="AC3835" s="34"/>
      <c r="AD3835" s="34"/>
      <c r="AE3835" s="34"/>
      <c r="AF3835" s="34"/>
      <c r="AG3835" s="34">
        <v>0</v>
      </c>
      <c r="AH3835" s="34">
        <f t="shared" ref="AH3835:AH3844" si="355">+S3835*W3835*50/1000000</f>
        <v>0.6</v>
      </c>
      <c r="AI3835" s="34">
        <v>0</v>
      </c>
      <c r="AJ3835" s="34">
        <f t="shared" ref="AJ3835:AJ3844" si="356">SUBTOTAL(9,X3835:AI3835)</f>
        <v>0.6</v>
      </c>
    </row>
    <row r="3836" spans="1:36" ht="19">
      <c r="A3836" s="166" t="s">
        <v>19</v>
      </c>
      <c r="B3836" s="166">
        <v>2025</v>
      </c>
      <c r="C3836" s="166" t="s">
        <v>24</v>
      </c>
      <c r="D3836" s="166" t="s">
        <v>185</v>
      </c>
      <c r="E3836" s="166" t="s">
        <v>103</v>
      </c>
      <c r="F3836" s="16" t="s">
        <v>265</v>
      </c>
      <c r="I3836" t="s">
        <v>13</v>
      </c>
      <c r="J3836" t="s">
        <v>13</v>
      </c>
      <c r="K3836" t="s">
        <v>2773</v>
      </c>
      <c r="L3836" t="s">
        <v>223</v>
      </c>
      <c r="M3836" t="s">
        <v>107</v>
      </c>
      <c r="N3836" t="s">
        <v>267</v>
      </c>
      <c r="O3836" t="s">
        <v>2749</v>
      </c>
      <c r="P3836" t="s">
        <v>2776</v>
      </c>
      <c r="S3836" s="209">
        <v>651</v>
      </c>
      <c r="T3836" s="211">
        <f t="shared" si="354"/>
        <v>651</v>
      </c>
      <c r="U3836" s="14" t="s">
        <v>77</v>
      </c>
      <c r="V3836" s="14"/>
      <c r="W3836" s="33">
        <v>30</v>
      </c>
      <c r="X3836" s="34"/>
      <c r="Y3836" s="34">
        <v>0</v>
      </c>
      <c r="Z3836" s="34">
        <v>0</v>
      </c>
      <c r="AA3836" s="34">
        <v>0</v>
      </c>
      <c r="AB3836" s="34">
        <v>0</v>
      </c>
      <c r="AC3836" s="34"/>
      <c r="AD3836" s="34"/>
      <c r="AE3836" s="34"/>
      <c r="AF3836" s="34"/>
      <c r="AG3836" s="34">
        <v>0</v>
      </c>
      <c r="AH3836" s="34">
        <f t="shared" si="355"/>
        <v>0.97650000000000003</v>
      </c>
      <c r="AI3836" s="34">
        <v>0</v>
      </c>
      <c r="AJ3836" s="34">
        <f t="shared" si="356"/>
        <v>0.97650000000000003</v>
      </c>
    </row>
    <row r="3837" spans="1:36" ht="19">
      <c r="A3837" s="166" t="s">
        <v>19</v>
      </c>
      <c r="B3837" s="166">
        <v>2025</v>
      </c>
      <c r="C3837" s="166" t="s">
        <v>24</v>
      </c>
      <c r="D3837" s="166" t="s">
        <v>185</v>
      </c>
      <c r="E3837" s="166" t="s">
        <v>103</v>
      </c>
      <c r="F3837" s="16" t="s">
        <v>265</v>
      </c>
      <c r="I3837" t="s">
        <v>13</v>
      </c>
      <c r="J3837" t="s">
        <v>13</v>
      </c>
      <c r="K3837" t="s">
        <v>2773</v>
      </c>
      <c r="L3837" t="s">
        <v>223</v>
      </c>
      <c r="M3837" t="s">
        <v>107</v>
      </c>
      <c r="N3837" t="s">
        <v>267</v>
      </c>
      <c r="O3837" t="s">
        <v>2770</v>
      </c>
      <c r="P3837" t="s">
        <v>2776</v>
      </c>
      <c r="S3837" s="209">
        <v>335</v>
      </c>
      <c r="T3837" s="211">
        <f t="shared" si="354"/>
        <v>335</v>
      </c>
      <c r="U3837" s="14" t="s">
        <v>77</v>
      </c>
      <c r="V3837" s="14"/>
      <c r="W3837" s="33">
        <v>30</v>
      </c>
      <c r="X3837" s="34"/>
      <c r="Y3837" s="34">
        <v>0</v>
      </c>
      <c r="Z3837" s="34">
        <v>0</v>
      </c>
      <c r="AA3837" s="34">
        <v>0</v>
      </c>
      <c r="AB3837" s="34">
        <v>0</v>
      </c>
      <c r="AC3837" s="34"/>
      <c r="AD3837" s="34"/>
      <c r="AE3837" s="34"/>
      <c r="AF3837" s="34"/>
      <c r="AG3837" s="34">
        <v>0</v>
      </c>
      <c r="AH3837" s="34">
        <f t="shared" si="355"/>
        <v>0.50249999999999995</v>
      </c>
      <c r="AI3837" s="34">
        <v>0</v>
      </c>
      <c r="AJ3837" s="34">
        <f t="shared" si="356"/>
        <v>0.50249999999999995</v>
      </c>
    </row>
    <row r="3838" spans="1:36" ht="19">
      <c r="A3838" s="166" t="s">
        <v>19</v>
      </c>
      <c r="B3838" s="166">
        <v>2025</v>
      </c>
      <c r="C3838" s="166" t="s">
        <v>24</v>
      </c>
      <c r="D3838" s="166" t="s">
        <v>185</v>
      </c>
      <c r="E3838" s="166" t="s">
        <v>103</v>
      </c>
      <c r="F3838" s="16" t="s">
        <v>265</v>
      </c>
      <c r="I3838" t="s">
        <v>13</v>
      </c>
      <c r="J3838" t="s">
        <v>13</v>
      </c>
      <c r="K3838" t="s">
        <v>2773</v>
      </c>
      <c r="L3838" t="s">
        <v>223</v>
      </c>
      <c r="M3838" t="s">
        <v>107</v>
      </c>
      <c r="N3838" t="s">
        <v>267</v>
      </c>
      <c r="O3838" t="s">
        <v>2750</v>
      </c>
      <c r="P3838" t="s">
        <v>2776</v>
      </c>
      <c r="S3838" s="209">
        <v>720</v>
      </c>
      <c r="T3838" s="211">
        <f t="shared" si="354"/>
        <v>720</v>
      </c>
      <c r="U3838" s="14" t="s">
        <v>77</v>
      </c>
      <c r="V3838" s="14"/>
      <c r="W3838" s="33">
        <v>30</v>
      </c>
      <c r="X3838" s="34"/>
      <c r="Y3838" s="34">
        <v>0</v>
      </c>
      <c r="Z3838" s="34">
        <v>0</v>
      </c>
      <c r="AA3838" s="34">
        <v>0</v>
      </c>
      <c r="AB3838" s="34">
        <v>0</v>
      </c>
      <c r="AC3838" s="34"/>
      <c r="AD3838" s="34"/>
      <c r="AE3838" s="34"/>
      <c r="AF3838" s="34"/>
      <c r="AG3838" s="34">
        <v>0</v>
      </c>
      <c r="AH3838" s="34">
        <f t="shared" si="355"/>
        <v>1.08</v>
      </c>
      <c r="AI3838" s="34">
        <v>0</v>
      </c>
      <c r="AJ3838" s="34">
        <f t="shared" si="356"/>
        <v>1.08</v>
      </c>
    </row>
    <row r="3839" spans="1:36" ht="19">
      <c r="A3839" s="166" t="s">
        <v>19</v>
      </c>
      <c r="B3839" s="166">
        <v>2025</v>
      </c>
      <c r="C3839" s="166" t="s">
        <v>24</v>
      </c>
      <c r="D3839" s="166" t="s">
        <v>185</v>
      </c>
      <c r="E3839" s="166" t="s">
        <v>103</v>
      </c>
      <c r="F3839" s="16" t="s">
        <v>265</v>
      </c>
      <c r="I3839" t="s">
        <v>13</v>
      </c>
      <c r="J3839" t="s">
        <v>13</v>
      </c>
      <c r="K3839" t="s">
        <v>2773</v>
      </c>
      <c r="L3839" t="s">
        <v>223</v>
      </c>
      <c r="M3839" t="s">
        <v>107</v>
      </c>
      <c r="N3839" t="s">
        <v>267</v>
      </c>
      <c r="O3839" t="s">
        <v>2751</v>
      </c>
      <c r="P3839" t="s">
        <v>2776</v>
      </c>
      <c r="S3839" s="209">
        <v>414</v>
      </c>
      <c r="T3839" s="211">
        <f t="shared" si="354"/>
        <v>414</v>
      </c>
      <c r="U3839" s="14" t="s">
        <v>77</v>
      </c>
      <c r="V3839" s="14"/>
      <c r="W3839" s="33">
        <v>30</v>
      </c>
      <c r="X3839" s="34"/>
      <c r="Y3839" s="34">
        <v>0</v>
      </c>
      <c r="Z3839" s="34">
        <v>0</v>
      </c>
      <c r="AA3839" s="34">
        <v>0</v>
      </c>
      <c r="AB3839" s="34">
        <v>0</v>
      </c>
      <c r="AC3839" s="34"/>
      <c r="AD3839" s="34"/>
      <c r="AE3839" s="34"/>
      <c r="AF3839" s="34"/>
      <c r="AG3839" s="34">
        <v>0</v>
      </c>
      <c r="AH3839" s="34">
        <f t="shared" si="355"/>
        <v>0.621</v>
      </c>
      <c r="AI3839" s="34">
        <v>0</v>
      </c>
      <c r="AJ3839" s="34">
        <f t="shared" si="356"/>
        <v>0.621</v>
      </c>
    </row>
    <row r="3840" spans="1:36" ht="19">
      <c r="A3840" s="166" t="s">
        <v>19</v>
      </c>
      <c r="B3840" s="166">
        <v>2025</v>
      </c>
      <c r="C3840" s="166" t="s">
        <v>24</v>
      </c>
      <c r="D3840" s="166" t="s">
        <v>185</v>
      </c>
      <c r="E3840" s="166" t="s">
        <v>103</v>
      </c>
      <c r="F3840" s="16" t="s">
        <v>265</v>
      </c>
      <c r="I3840" t="s">
        <v>13</v>
      </c>
      <c r="J3840" t="s">
        <v>13</v>
      </c>
      <c r="K3840" t="s">
        <v>2773</v>
      </c>
      <c r="L3840" t="s">
        <v>223</v>
      </c>
      <c r="M3840" t="s">
        <v>107</v>
      </c>
      <c r="N3840" t="s">
        <v>267</v>
      </c>
      <c r="O3840" t="s">
        <v>2752</v>
      </c>
      <c r="P3840" t="s">
        <v>2776</v>
      </c>
      <c r="S3840" s="209">
        <v>540</v>
      </c>
      <c r="T3840" s="211">
        <f t="shared" si="354"/>
        <v>540</v>
      </c>
      <c r="U3840" s="14" t="s">
        <v>77</v>
      </c>
      <c r="V3840" s="14"/>
      <c r="W3840" s="33">
        <v>30</v>
      </c>
      <c r="X3840" s="34"/>
      <c r="Y3840" s="34">
        <v>0</v>
      </c>
      <c r="Z3840" s="34">
        <v>0</v>
      </c>
      <c r="AA3840" s="34">
        <v>0</v>
      </c>
      <c r="AB3840" s="34">
        <v>0</v>
      </c>
      <c r="AC3840" s="34"/>
      <c r="AD3840" s="34"/>
      <c r="AE3840" s="34"/>
      <c r="AF3840" s="34"/>
      <c r="AG3840" s="34">
        <v>0</v>
      </c>
      <c r="AH3840" s="34">
        <f t="shared" si="355"/>
        <v>0.81</v>
      </c>
      <c r="AI3840" s="34">
        <v>0</v>
      </c>
      <c r="AJ3840" s="34">
        <f t="shared" si="356"/>
        <v>0.81</v>
      </c>
    </row>
    <row r="3841" spans="1:38" ht="19">
      <c r="A3841" s="166" t="s">
        <v>19</v>
      </c>
      <c r="B3841" s="166">
        <v>2025</v>
      </c>
      <c r="C3841" s="166" t="s">
        <v>24</v>
      </c>
      <c r="D3841" s="166" t="s">
        <v>185</v>
      </c>
      <c r="E3841" s="166" t="s">
        <v>103</v>
      </c>
      <c r="F3841" s="16" t="s">
        <v>265</v>
      </c>
      <c r="I3841" t="s">
        <v>13</v>
      </c>
      <c r="J3841" t="s">
        <v>13</v>
      </c>
      <c r="K3841" t="s">
        <v>2773</v>
      </c>
      <c r="L3841" t="s">
        <v>223</v>
      </c>
      <c r="M3841" t="s">
        <v>107</v>
      </c>
      <c r="N3841" t="s">
        <v>267</v>
      </c>
      <c r="O3841" t="s">
        <v>2771</v>
      </c>
      <c r="P3841" t="s">
        <v>2776</v>
      </c>
      <c r="S3841" s="209">
        <v>327</v>
      </c>
      <c r="T3841" s="211">
        <f t="shared" si="354"/>
        <v>327</v>
      </c>
      <c r="U3841" s="14" t="s">
        <v>77</v>
      </c>
      <c r="V3841" s="14"/>
      <c r="W3841" s="33">
        <v>30</v>
      </c>
      <c r="X3841" s="34"/>
      <c r="Y3841" s="34">
        <v>0</v>
      </c>
      <c r="Z3841" s="34">
        <v>0</v>
      </c>
      <c r="AA3841" s="34">
        <v>0</v>
      </c>
      <c r="AB3841" s="34">
        <v>0</v>
      </c>
      <c r="AC3841" s="34"/>
      <c r="AD3841" s="34"/>
      <c r="AE3841" s="34"/>
      <c r="AF3841" s="34"/>
      <c r="AG3841" s="34">
        <v>0</v>
      </c>
      <c r="AH3841" s="34">
        <f t="shared" si="355"/>
        <v>0.49049999999999999</v>
      </c>
      <c r="AI3841" s="34">
        <v>0</v>
      </c>
      <c r="AJ3841" s="34">
        <f t="shared" si="356"/>
        <v>0.49049999999999999</v>
      </c>
    </row>
    <row r="3842" spans="1:38" ht="19">
      <c r="A3842" s="166" t="s">
        <v>19</v>
      </c>
      <c r="B3842" s="166">
        <v>2025</v>
      </c>
      <c r="C3842" s="166" t="s">
        <v>24</v>
      </c>
      <c r="D3842" s="166" t="s">
        <v>185</v>
      </c>
      <c r="E3842" s="166" t="s">
        <v>103</v>
      </c>
      <c r="F3842" s="16" t="s">
        <v>265</v>
      </c>
      <c r="I3842" t="s">
        <v>13</v>
      </c>
      <c r="J3842" t="s">
        <v>13</v>
      </c>
      <c r="K3842" t="s">
        <v>2773</v>
      </c>
      <c r="L3842" t="s">
        <v>223</v>
      </c>
      <c r="M3842" t="s">
        <v>107</v>
      </c>
      <c r="N3842" t="s">
        <v>267</v>
      </c>
      <c r="O3842" t="s">
        <v>2772</v>
      </c>
      <c r="P3842" t="s">
        <v>2776</v>
      </c>
      <c r="S3842" s="209">
        <v>732</v>
      </c>
      <c r="T3842" s="211">
        <f t="shared" si="354"/>
        <v>732</v>
      </c>
      <c r="U3842" s="14" t="s">
        <v>77</v>
      </c>
      <c r="V3842" s="14"/>
      <c r="W3842" s="33">
        <v>30</v>
      </c>
      <c r="X3842" s="34"/>
      <c r="Y3842" s="34">
        <v>0</v>
      </c>
      <c r="Z3842" s="34">
        <v>0</v>
      </c>
      <c r="AA3842" s="34">
        <v>0</v>
      </c>
      <c r="AB3842" s="34">
        <v>0</v>
      </c>
      <c r="AC3842" s="34"/>
      <c r="AD3842" s="34"/>
      <c r="AE3842" s="34"/>
      <c r="AF3842" s="34"/>
      <c r="AG3842" s="34">
        <v>0</v>
      </c>
      <c r="AH3842" s="34">
        <f t="shared" si="355"/>
        <v>1.0980000000000001</v>
      </c>
      <c r="AI3842" s="34">
        <v>0</v>
      </c>
      <c r="AJ3842" s="34">
        <f t="shared" si="356"/>
        <v>1.0980000000000001</v>
      </c>
    </row>
    <row r="3843" spans="1:38" ht="19">
      <c r="A3843" s="166" t="s">
        <v>19</v>
      </c>
      <c r="B3843" s="166">
        <v>2025</v>
      </c>
      <c r="C3843" s="166" t="s">
        <v>24</v>
      </c>
      <c r="D3843" s="166" t="s">
        <v>185</v>
      </c>
      <c r="E3843" s="166" t="s">
        <v>103</v>
      </c>
      <c r="F3843" s="16" t="s">
        <v>265</v>
      </c>
      <c r="I3843" t="s">
        <v>13</v>
      </c>
      <c r="J3843" t="s">
        <v>13</v>
      </c>
      <c r="K3843" t="s">
        <v>2773</v>
      </c>
      <c r="L3843" t="s">
        <v>223</v>
      </c>
      <c r="M3843" t="s">
        <v>107</v>
      </c>
      <c r="N3843" t="s">
        <v>267</v>
      </c>
      <c r="O3843" t="s">
        <v>2753</v>
      </c>
      <c r="P3843" t="s">
        <v>2776</v>
      </c>
      <c r="S3843" s="209">
        <v>1020</v>
      </c>
      <c r="T3843" s="211">
        <f t="shared" si="354"/>
        <v>1020</v>
      </c>
      <c r="U3843" s="14" t="s">
        <v>77</v>
      </c>
      <c r="V3843" s="14"/>
      <c r="W3843" s="33">
        <v>30</v>
      </c>
      <c r="X3843" s="34"/>
      <c r="Y3843" s="34">
        <v>0</v>
      </c>
      <c r="Z3843" s="34">
        <v>0</v>
      </c>
      <c r="AA3843" s="34">
        <v>0</v>
      </c>
      <c r="AB3843" s="34">
        <v>0</v>
      </c>
      <c r="AC3843" s="34"/>
      <c r="AD3843" s="34"/>
      <c r="AE3843" s="34"/>
      <c r="AF3843" s="34"/>
      <c r="AG3843" s="34">
        <v>0</v>
      </c>
      <c r="AH3843" s="34">
        <f t="shared" si="355"/>
        <v>1.53</v>
      </c>
      <c r="AI3843" s="34">
        <v>0</v>
      </c>
      <c r="AJ3843" s="34">
        <f t="shared" si="356"/>
        <v>1.53</v>
      </c>
    </row>
    <row r="3844" spans="1:38" ht="19">
      <c r="A3844" s="166" t="s">
        <v>19</v>
      </c>
      <c r="B3844" s="166">
        <v>2025</v>
      </c>
      <c r="C3844" s="166" t="s">
        <v>24</v>
      </c>
      <c r="D3844" s="166" t="s">
        <v>185</v>
      </c>
      <c r="E3844" s="166" t="s">
        <v>103</v>
      </c>
      <c r="F3844" s="16" t="s">
        <v>265</v>
      </c>
      <c r="I3844" t="s">
        <v>13</v>
      </c>
      <c r="J3844" t="s">
        <v>13</v>
      </c>
      <c r="K3844" t="s">
        <v>2773</v>
      </c>
      <c r="L3844" t="s">
        <v>223</v>
      </c>
      <c r="M3844" t="s">
        <v>108</v>
      </c>
      <c r="N3844" t="s">
        <v>267</v>
      </c>
      <c r="O3844" t="s">
        <v>2754</v>
      </c>
      <c r="P3844" t="s">
        <v>2776</v>
      </c>
      <c r="S3844" s="209">
        <v>390</v>
      </c>
      <c r="T3844" s="211">
        <f t="shared" si="354"/>
        <v>390</v>
      </c>
      <c r="U3844" s="14" t="s">
        <v>77</v>
      </c>
      <c r="V3844" s="14"/>
      <c r="W3844" s="33">
        <v>30</v>
      </c>
      <c r="X3844" s="34"/>
      <c r="Y3844" s="34">
        <v>0</v>
      </c>
      <c r="Z3844" s="34">
        <v>0</v>
      </c>
      <c r="AA3844" s="34">
        <v>0</v>
      </c>
      <c r="AB3844" s="34">
        <v>0</v>
      </c>
      <c r="AC3844" s="34"/>
      <c r="AD3844" s="34"/>
      <c r="AE3844" s="34"/>
      <c r="AF3844" s="34"/>
      <c r="AG3844" s="34">
        <v>0</v>
      </c>
      <c r="AH3844" s="34">
        <f t="shared" si="355"/>
        <v>0.58499999999999996</v>
      </c>
      <c r="AI3844" s="34">
        <v>0</v>
      </c>
      <c r="AJ3844" s="34">
        <f t="shared" si="356"/>
        <v>0.58499999999999996</v>
      </c>
    </row>
    <row r="3845" spans="1:38" ht="19">
      <c r="A3845" s="166" t="s">
        <v>17</v>
      </c>
      <c r="B3845" s="166">
        <v>2024</v>
      </c>
      <c r="C3845" s="166" t="s">
        <v>24</v>
      </c>
      <c r="D3845" s="166" t="s">
        <v>206</v>
      </c>
      <c r="E3845" s="166" t="s">
        <v>89</v>
      </c>
      <c r="F3845" s="16" t="s">
        <v>207</v>
      </c>
      <c r="I3845" t="s">
        <v>87</v>
      </c>
      <c r="J3845" t="s">
        <v>87</v>
      </c>
      <c r="L3845" t="s">
        <v>2787</v>
      </c>
      <c r="M3845" t="s">
        <v>88</v>
      </c>
      <c r="N3845" t="s">
        <v>2788</v>
      </c>
      <c r="O3845" t="s">
        <v>2789</v>
      </c>
      <c r="S3845">
        <v>4020</v>
      </c>
      <c r="T3845">
        <v>804</v>
      </c>
      <c r="U3845" s="14" t="s">
        <v>77</v>
      </c>
      <c r="W3845">
        <v>15</v>
      </c>
      <c r="X3845"/>
      <c r="AJ3845" s="43">
        <f>SUM(X3845:AI3845)</f>
        <v>0</v>
      </c>
      <c r="AK3845" s="167"/>
      <c r="AL3845" s="168">
        <f>AK3845/$AL$4</f>
        <v>0</v>
      </c>
    </row>
    <row r="3846" spans="1:38" ht="19">
      <c r="A3846" s="166" t="s">
        <v>17</v>
      </c>
      <c r="B3846" s="166">
        <v>2024</v>
      </c>
      <c r="C3846" s="166" t="s">
        <v>24</v>
      </c>
      <c r="D3846" s="166" t="s">
        <v>206</v>
      </c>
      <c r="E3846" s="166" t="s">
        <v>89</v>
      </c>
      <c r="F3846" s="16" t="s">
        <v>207</v>
      </c>
      <c r="I3846" t="s">
        <v>87</v>
      </c>
      <c r="J3846" t="s">
        <v>87</v>
      </c>
      <c r="L3846" t="s">
        <v>2787</v>
      </c>
      <c r="M3846" t="s">
        <v>90</v>
      </c>
      <c r="N3846" t="s">
        <v>2788</v>
      </c>
      <c r="O3846" s="190" t="s">
        <v>2790</v>
      </c>
      <c r="P3846" s="190"/>
      <c r="Q3846" s="190"/>
      <c r="R3846" s="190"/>
      <c r="S3846" s="190">
        <v>2490</v>
      </c>
      <c r="T3846">
        <v>498</v>
      </c>
      <c r="U3846" s="14" t="s">
        <v>191</v>
      </c>
      <c r="W3846">
        <v>15</v>
      </c>
      <c r="AJ3846" s="43">
        <f t="shared" ref="AJ3846:AJ3880" si="357">SUM(X3846:AI3846)</f>
        <v>0</v>
      </c>
      <c r="AK3846" s="167">
        <f>+T3846*120000</f>
        <v>59760000</v>
      </c>
      <c r="AL3846" s="168">
        <f>AK3846/$AL$4</f>
        <v>13107.735230767204</v>
      </c>
    </row>
    <row r="3847" spans="1:38" ht="19">
      <c r="A3847" s="166" t="s">
        <v>17</v>
      </c>
      <c r="B3847" s="166">
        <v>2024</v>
      </c>
      <c r="C3847" s="166" t="s">
        <v>24</v>
      </c>
      <c r="D3847" s="166" t="s">
        <v>206</v>
      </c>
      <c r="E3847" s="166" t="s">
        <v>89</v>
      </c>
      <c r="F3847" s="16" t="s">
        <v>207</v>
      </c>
      <c r="I3847" t="s">
        <v>87</v>
      </c>
      <c r="J3847" t="s">
        <v>87</v>
      </c>
      <c r="L3847" t="s">
        <v>2787</v>
      </c>
      <c r="M3847" t="s">
        <v>90</v>
      </c>
      <c r="N3847" t="s">
        <v>2788</v>
      </c>
      <c r="O3847" s="190" t="s">
        <v>2791</v>
      </c>
      <c r="P3847" s="190"/>
      <c r="Q3847" s="190"/>
      <c r="R3847" s="190"/>
      <c r="S3847" s="190">
        <v>4290</v>
      </c>
      <c r="T3847">
        <v>858</v>
      </c>
      <c r="U3847" s="14" t="s">
        <v>191</v>
      </c>
      <c r="W3847">
        <v>15</v>
      </c>
      <c r="AJ3847" s="43">
        <f t="shared" si="357"/>
        <v>0</v>
      </c>
      <c r="AK3847" s="167">
        <f t="shared" ref="AK3847:AK3862" si="358">+T3847*120000</f>
        <v>102960000</v>
      </c>
      <c r="AL3847" s="168">
        <f t="shared" ref="AL3847:AL3862" si="359">AK3847/$AL$4</f>
        <v>22583.206481924222</v>
      </c>
    </row>
    <row r="3848" spans="1:38" ht="19">
      <c r="A3848" s="166" t="s">
        <v>17</v>
      </c>
      <c r="B3848" s="166">
        <v>2024</v>
      </c>
      <c r="C3848" s="166" t="s">
        <v>24</v>
      </c>
      <c r="D3848" s="166" t="s">
        <v>206</v>
      </c>
      <c r="E3848" s="166" t="s">
        <v>89</v>
      </c>
      <c r="F3848" s="16" t="s">
        <v>207</v>
      </c>
      <c r="I3848" t="s">
        <v>87</v>
      </c>
      <c r="J3848" t="s">
        <v>87</v>
      </c>
      <c r="L3848" t="s">
        <v>2787</v>
      </c>
      <c r="M3848" t="s">
        <v>90</v>
      </c>
      <c r="N3848" t="s">
        <v>2788</v>
      </c>
      <c r="O3848" s="190" t="s">
        <v>2792</v>
      </c>
      <c r="P3848" s="190"/>
      <c r="Q3848" s="190"/>
      <c r="R3848" s="190"/>
      <c r="S3848" s="190">
        <v>3745</v>
      </c>
      <c r="T3848">
        <v>749</v>
      </c>
      <c r="U3848" s="14" t="s">
        <v>191</v>
      </c>
      <c r="W3848">
        <v>15</v>
      </c>
      <c r="AJ3848" s="43">
        <f t="shared" si="357"/>
        <v>0</v>
      </c>
      <c r="AK3848" s="167">
        <f t="shared" si="358"/>
        <v>89880000</v>
      </c>
      <c r="AL3848" s="168">
        <f t="shared" si="359"/>
        <v>19714.24435310168</v>
      </c>
    </row>
    <row r="3849" spans="1:38" ht="19">
      <c r="A3849" s="166" t="s">
        <v>17</v>
      </c>
      <c r="B3849" s="166">
        <v>2024</v>
      </c>
      <c r="C3849" s="166" t="s">
        <v>24</v>
      </c>
      <c r="D3849" s="166" t="s">
        <v>206</v>
      </c>
      <c r="E3849" s="166" t="s">
        <v>89</v>
      </c>
      <c r="F3849" s="16" t="s">
        <v>207</v>
      </c>
      <c r="I3849" t="s">
        <v>87</v>
      </c>
      <c r="J3849" t="s">
        <v>87</v>
      </c>
      <c r="L3849" t="s">
        <v>2787</v>
      </c>
      <c r="M3849" t="s">
        <v>90</v>
      </c>
      <c r="N3849" t="s">
        <v>2788</v>
      </c>
      <c r="O3849" s="190" t="s">
        <v>2793</v>
      </c>
      <c r="P3849" s="190"/>
      <c r="Q3849" s="190"/>
      <c r="R3849" s="190"/>
      <c r="S3849" s="190">
        <v>1785</v>
      </c>
      <c r="T3849">
        <v>357</v>
      </c>
      <c r="U3849" s="14" t="s">
        <v>191</v>
      </c>
      <c r="W3849">
        <v>15</v>
      </c>
      <c r="AJ3849" s="43">
        <f t="shared" si="357"/>
        <v>0</v>
      </c>
      <c r="AK3849" s="167">
        <f t="shared" si="358"/>
        <v>42840000</v>
      </c>
      <c r="AL3849" s="168">
        <f t="shared" si="359"/>
        <v>9396.5089907307065</v>
      </c>
    </row>
    <row r="3850" spans="1:38" ht="19">
      <c r="A3850" s="166" t="s">
        <v>17</v>
      </c>
      <c r="B3850" s="166">
        <v>2024</v>
      </c>
      <c r="C3850" s="166" t="s">
        <v>24</v>
      </c>
      <c r="D3850" s="166" t="s">
        <v>206</v>
      </c>
      <c r="E3850" s="166" t="s">
        <v>89</v>
      </c>
      <c r="F3850" s="16" t="s">
        <v>207</v>
      </c>
      <c r="I3850" t="s">
        <v>87</v>
      </c>
      <c r="J3850" t="s">
        <v>87</v>
      </c>
      <c r="L3850" t="s">
        <v>2787</v>
      </c>
      <c r="M3850" t="s">
        <v>88</v>
      </c>
      <c r="N3850" t="s">
        <v>2788</v>
      </c>
      <c r="O3850" s="190" t="s">
        <v>2794</v>
      </c>
      <c r="P3850" s="190"/>
      <c r="Q3850" s="190"/>
      <c r="R3850" s="190"/>
      <c r="S3850" s="190">
        <v>7070</v>
      </c>
      <c r="T3850">
        <v>1414</v>
      </c>
      <c r="U3850" s="14" t="s">
        <v>191</v>
      </c>
      <c r="W3850">
        <v>15</v>
      </c>
      <c r="AJ3850" s="43">
        <f t="shared" si="357"/>
        <v>0</v>
      </c>
      <c r="AK3850" s="167">
        <f t="shared" si="358"/>
        <v>169680000</v>
      </c>
      <c r="AL3850" s="168">
        <f t="shared" si="359"/>
        <v>37217.545414266722</v>
      </c>
    </row>
    <row r="3851" spans="1:38" ht="19">
      <c r="A3851" s="166" t="s">
        <v>17</v>
      </c>
      <c r="B3851" s="166">
        <v>2024</v>
      </c>
      <c r="C3851" s="166" t="s">
        <v>24</v>
      </c>
      <c r="D3851" s="166" t="s">
        <v>206</v>
      </c>
      <c r="E3851" s="166" t="s">
        <v>89</v>
      </c>
      <c r="F3851" s="16" t="s">
        <v>207</v>
      </c>
      <c r="I3851" t="s">
        <v>87</v>
      </c>
      <c r="J3851" t="s">
        <v>87</v>
      </c>
      <c r="L3851" t="s">
        <v>2787</v>
      </c>
      <c r="M3851" t="s">
        <v>88</v>
      </c>
      <c r="N3851" t="s">
        <v>2788</v>
      </c>
      <c r="O3851" s="190" t="s">
        <v>2795</v>
      </c>
      <c r="P3851" s="190"/>
      <c r="Q3851" s="190"/>
      <c r="R3851" s="190"/>
      <c r="S3851" s="190">
        <v>1415</v>
      </c>
      <c r="T3851">
        <v>283</v>
      </c>
      <c r="U3851" s="14" t="s">
        <v>191</v>
      </c>
      <c r="W3851">
        <v>15</v>
      </c>
      <c r="AJ3851" s="43">
        <f t="shared" si="357"/>
        <v>0</v>
      </c>
      <c r="AK3851" s="167">
        <f t="shared" si="358"/>
        <v>33960000</v>
      </c>
      <c r="AL3851" s="168">
        <f t="shared" si="359"/>
        <v>7448.7732335484316</v>
      </c>
    </row>
    <row r="3852" spans="1:38" ht="19">
      <c r="A3852" s="166" t="s">
        <v>17</v>
      </c>
      <c r="B3852" s="166">
        <v>2024</v>
      </c>
      <c r="C3852" s="166" t="s">
        <v>24</v>
      </c>
      <c r="D3852" s="166" t="s">
        <v>206</v>
      </c>
      <c r="E3852" s="166" t="s">
        <v>89</v>
      </c>
      <c r="F3852" s="16" t="s">
        <v>207</v>
      </c>
      <c r="I3852" t="s">
        <v>87</v>
      </c>
      <c r="J3852" t="s">
        <v>87</v>
      </c>
      <c r="L3852" t="s">
        <v>2787</v>
      </c>
      <c r="M3852" t="s">
        <v>88</v>
      </c>
      <c r="N3852" t="s">
        <v>2788</v>
      </c>
      <c r="O3852" s="190" t="s">
        <v>2796</v>
      </c>
      <c r="P3852" s="190"/>
      <c r="Q3852" s="190"/>
      <c r="R3852" s="190"/>
      <c r="S3852" s="190">
        <v>8710</v>
      </c>
      <c r="T3852">
        <v>1742</v>
      </c>
      <c r="U3852" s="14" t="s">
        <v>191</v>
      </c>
      <c r="W3852">
        <v>15</v>
      </c>
      <c r="AJ3852" s="43">
        <f t="shared" si="357"/>
        <v>0</v>
      </c>
      <c r="AK3852" s="167">
        <f>+T3852*120000</f>
        <v>209040000</v>
      </c>
      <c r="AL3852" s="168">
        <f t="shared" si="359"/>
        <v>45850.752554209779</v>
      </c>
    </row>
    <row r="3853" spans="1:38" ht="19">
      <c r="A3853" s="166" t="s">
        <v>17</v>
      </c>
      <c r="B3853" s="166">
        <v>2024</v>
      </c>
      <c r="C3853" s="166" t="s">
        <v>24</v>
      </c>
      <c r="D3853" s="166" t="s">
        <v>206</v>
      </c>
      <c r="E3853" s="166" t="s">
        <v>89</v>
      </c>
      <c r="F3853" s="16" t="s">
        <v>207</v>
      </c>
      <c r="I3853" t="s">
        <v>87</v>
      </c>
      <c r="J3853" t="s">
        <v>87</v>
      </c>
      <c r="L3853" t="s">
        <v>2787</v>
      </c>
      <c r="M3853" t="s">
        <v>88</v>
      </c>
      <c r="N3853" t="s">
        <v>2788</v>
      </c>
      <c r="O3853" s="190" t="s">
        <v>2797</v>
      </c>
      <c r="P3853" s="190"/>
      <c r="Q3853" s="190"/>
      <c r="R3853" s="190"/>
      <c r="S3853" s="190">
        <v>3750</v>
      </c>
      <c r="T3853">
        <v>750</v>
      </c>
      <c r="U3853" s="14" t="s">
        <v>191</v>
      </c>
      <c r="W3853">
        <v>15</v>
      </c>
      <c r="AJ3853" s="43">
        <f t="shared" si="357"/>
        <v>0</v>
      </c>
      <c r="AK3853" s="167">
        <f t="shared" si="358"/>
        <v>90000000</v>
      </c>
      <c r="AL3853" s="168">
        <f t="shared" si="359"/>
        <v>19740.565106577116</v>
      </c>
    </row>
    <row r="3854" spans="1:38" ht="19">
      <c r="A3854" s="166" t="s">
        <v>17</v>
      </c>
      <c r="B3854" s="166">
        <v>2024</v>
      </c>
      <c r="C3854" s="166" t="s">
        <v>24</v>
      </c>
      <c r="D3854" s="166" t="s">
        <v>206</v>
      </c>
      <c r="E3854" s="166" t="s">
        <v>89</v>
      </c>
      <c r="F3854" s="16" t="s">
        <v>207</v>
      </c>
      <c r="I3854" t="s">
        <v>87</v>
      </c>
      <c r="J3854" t="s">
        <v>87</v>
      </c>
      <c r="L3854" t="s">
        <v>2787</v>
      </c>
      <c r="M3854" t="s">
        <v>88</v>
      </c>
      <c r="N3854" t="s">
        <v>2788</v>
      </c>
      <c r="O3854" t="s">
        <v>2798</v>
      </c>
      <c r="S3854">
        <v>2830</v>
      </c>
      <c r="T3854">
        <v>566</v>
      </c>
      <c r="U3854" s="14" t="s">
        <v>191</v>
      </c>
      <c r="W3854">
        <v>15</v>
      </c>
      <c r="AJ3854" s="43">
        <f t="shared" si="357"/>
        <v>0</v>
      </c>
      <c r="AK3854" s="167">
        <f t="shared" si="358"/>
        <v>67920000</v>
      </c>
      <c r="AL3854" s="168">
        <f t="shared" si="359"/>
        <v>14897.546467096863</v>
      </c>
    </row>
    <row r="3855" spans="1:38" ht="19">
      <c r="A3855" s="166" t="s">
        <v>17</v>
      </c>
      <c r="B3855" s="166">
        <v>2024</v>
      </c>
      <c r="C3855" s="166" t="s">
        <v>24</v>
      </c>
      <c r="D3855" s="166" t="s">
        <v>206</v>
      </c>
      <c r="E3855" s="166" t="s">
        <v>89</v>
      </c>
      <c r="F3855" s="16" t="s">
        <v>207</v>
      </c>
      <c r="I3855" t="s">
        <v>87</v>
      </c>
      <c r="J3855" t="s">
        <v>87</v>
      </c>
      <c r="L3855" t="s">
        <v>2787</v>
      </c>
      <c r="M3855" t="s">
        <v>88</v>
      </c>
      <c r="N3855" t="s">
        <v>2788</v>
      </c>
      <c r="O3855" t="s">
        <v>2799</v>
      </c>
      <c r="S3855">
        <v>3760</v>
      </c>
      <c r="T3855">
        <v>752</v>
      </c>
      <c r="U3855" s="14" t="s">
        <v>191</v>
      </c>
      <c r="W3855">
        <v>15</v>
      </c>
      <c r="AJ3855" s="43">
        <f t="shared" si="357"/>
        <v>0</v>
      </c>
      <c r="AK3855" s="167">
        <f t="shared" si="358"/>
        <v>90240000</v>
      </c>
      <c r="AL3855" s="168">
        <f t="shared" si="359"/>
        <v>19793.206613527989</v>
      </c>
    </row>
    <row r="3856" spans="1:38" ht="19">
      <c r="A3856" s="166" t="s">
        <v>17</v>
      </c>
      <c r="B3856" s="166">
        <v>2024</v>
      </c>
      <c r="C3856" s="166" t="s">
        <v>24</v>
      </c>
      <c r="D3856" s="166" t="s">
        <v>206</v>
      </c>
      <c r="E3856" s="166" t="s">
        <v>89</v>
      </c>
      <c r="F3856" s="16" t="s">
        <v>207</v>
      </c>
      <c r="I3856" t="s">
        <v>87</v>
      </c>
      <c r="J3856" t="s">
        <v>87</v>
      </c>
      <c r="L3856" t="s">
        <v>2787</v>
      </c>
      <c r="M3856" t="s">
        <v>88</v>
      </c>
      <c r="N3856" t="s">
        <v>2788</v>
      </c>
      <c r="O3856" t="s">
        <v>2800</v>
      </c>
      <c r="S3856">
        <v>4940</v>
      </c>
      <c r="T3856">
        <v>988</v>
      </c>
      <c r="U3856" s="14" t="s">
        <v>191</v>
      </c>
      <c r="W3856">
        <v>15</v>
      </c>
      <c r="AJ3856" s="43">
        <f t="shared" si="357"/>
        <v>0</v>
      </c>
      <c r="AK3856" s="167">
        <f t="shared" si="358"/>
        <v>118560000</v>
      </c>
      <c r="AL3856" s="168">
        <f t="shared" si="359"/>
        <v>26004.904433730921</v>
      </c>
    </row>
    <row r="3857" spans="1:38" ht="19">
      <c r="A3857" s="166" t="s">
        <v>17</v>
      </c>
      <c r="B3857" s="166">
        <v>2024</v>
      </c>
      <c r="C3857" s="166" t="s">
        <v>24</v>
      </c>
      <c r="D3857" s="166" t="s">
        <v>206</v>
      </c>
      <c r="E3857" s="166" t="s">
        <v>89</v>
      </c>
      <c r="F3857" s="16" t="s">
        <v>207</v>
      </c>
      <c r="I3857" t="s">
        <v>87</v>
      </c>
      <c r="J3857" t="s">
        <v>87</v>
      </c>
      <c r="L3857" t="s">
        <v>2787</v>
      </c>
      <c r="M3857" t="s">
        <v>88</v>
      </c>
      <c r="N3857" t="s">
        <v>2788</v>
      </c>
      <c r="O3857" s="190" t="s">
        <v>2801</v>
      </c>
      <c r="P3857" s="190"/>
      <c r="Q3857" s="190"/>
      <c r="R3857" s="190"/>
      <c r="S3857" s="190">
        <v>3965</v>
      </c>
      <c r="T3857">
        <v>793</v>
      </c>
      <c r="U3857" s="14" t="s">
        <v>191</v>
      </c>
      <c r="W3857">
        <v>15</v>
      </c>
      <c r="AJ3857" s="43">
        <f t="shared" si="357"/>
        <v>0</v>
      </c>
      <c r="AK3857" s="167">
        <f t="shared" si="358"/>
        <v>95160000</v>
      </c>
      <c r="AL3857" s="168">
        <f t="shared" si="359"/>
        <v>20872.357506020871</v>
      </c>
    </row>
    <row r="3858" spans="1:38" ht="19">
      <c r="A3858" s="166" t="s">
        <v>17</v>
      </c>
      <c r="B3858" s="166">
        <v>2024</v>
      </c>
      <c r="C3858" s="166" t="s">
        <v>24</v>
      </c>
      <c r="D3858" s="166" t="s">
        <v>206</v>
      </c>
      <c r="E3858" s="166" t="s">
        <v>89</v>
      </c>
      <c r="F3858" s="16" t="s">
        <v>207</v>
      </c>
      <c r="I3858" t="s">
        <v>87</v>
      </c>
      <c r="J3858" t="s">
        <v>87</v>
      </c>
      <c r="L3858" t="s">
        <v>2787</v>
      </c>
      <c r="M3858" t="s">
        <v>88</v>
      </c>
      <c r="N3858" t="s">
        <v>2788</v>
      </c>
      <c r="O3858" s="190" t="s">
        <v>2802</v>
      </c>
      <c r="P3858" s="190"/>
      <c r="Q3858" s="190"/>
      <c r="R3858" s="190"/>
      <c r="S3858" s="190">
        <v>2235</v>
      </c>
      <c r="T3858">
        <v>447</v>
      </c>
      <c r="U3858" s="14" t="s">
        <v>191</v>
      </c>
      <c r="W3858">
        <v>15</v>
      </c>
      <c r="AJ3858" s="43">
        <f t="shared" si="357"/>
        <v>0</v>
      </c>
      <c r="AK3858" s="167">
        <f t="shared" si="358"/>
        <v>53640000</v>
      </c>
      <c r="AL3858" s="168">
        <f t="shared" si="359"/>
        <v>11765.376803519961</v>
      </c>
    </row>
    <row r="3859" spans="1:38" ht="19">
      <c r="A3859" s="166" t="s">
        <v>17</v>
      </c>
      <c r="B3859" s="166">
        <v>2024</v>
      </c>
      <c r="C3859" s="166" t="s">
        <v>24</v>
      </c>
      <c r="D3859" s="166" t="s">
        <v>206</v>
      </c>
      <c r="E3859" s="166" t="s">
        <v>89</v>
      </c>
      <c r="F3859" s="16" t="s">
        <v>207</v>
      </c>
      <c r="I3859" t="s">
        <v>87</v>
      </c>
      <c r="J3859" t="s">
        <v>87</v>
      </c>
      <c r="L3859" t="s">
        <v>2787</v>
      </c>
      <c r="M3859" t="s">
        <v>88</v>
      </c>
      <c r="N3859" t="s">
        <v>2788</v>
      </c>
      <c r="O3859" s="190" t="s">
        <v>2803</v>
      </c>
      <c r="P3859" s="190"/>
      <c r="Q3859" s="190"/>
      <c r="R3859" s="190"/>
      <c r="S3859" s="190">
        <v>3135</v>
      </c>
      <c r="T3859">
        <v>627</v>
      </c>
      <c r="U3859" s="14" t="s">
        <v>191</v>
      </c>
      <c r="W3859">
        <v>15</v>
      </c>
      <c r="AJ3859" s="43">
        <f t="shared" si="357"/>
        <v>0</v>
      </c>
      <c r="AK3859" s="167">
        <f t="shared" si="358"/>
        <v>75240000</v>
      </c>
      <c r="AL3859" s="168">
        <f t="shared" si="359"/>
        <v>16503.11242909847</v>
      </c>
    </row>
    <row r="3860" spans="1:38" ht="19">
      <c r="A3860" s="166" t="s">
        <v>17</v>
      </c>
      <c r="B3860" s="166">
        <v>2024</v>
      </c>
      <c r="C3860" s="166" t="s">
        <v>24</v>
      </c>
      <c r="D3860" s="166" t="s">
        <v>206</v>
      </c>
      <c r="E3860" s="166" t="s">
        <v>89</v>
      </c>
      <c r="F3860" s="16" t="s">
        <v>207</v>
      </c>
      <c r="I3860" t="s">
        <v>87</v>
      </c>
      <c r="J3860" t="s">
        <v>87</v>
      </c>
      <c r="L3860" t="s">
        <v>2787</v>
      </c>
      <c r="M3860" t="s">
        <v>88</v>
      </c>
      <c r="N3860" t="s">
        <v>2788</v>
      </c>
      <c r="O3860" s="190" t="s">
        <v>2804</v>
      </c>
      <c r="P3860" s="190"/>
      <c r="Q3860" s="190"/>
      <c r="R3860" s="190"/>
      <c r="S3860" s="190">
        <v>9790</v>
      </c>
      <c r="T3860">
        <v>1958</v>
      </c>
      <c r="U3860" s="14" t="s">
        <v>191</v>
      </c>
      <c r="W3860">
        <v>15</v>
      </c>
      <c r="AJ3860" s="43">
        <f t="shared" si="357"/>
        <v>0</v>
      </c>
      <c r="AK3860" s="167">
        <f t="shared" si="358"/>
        <v>234960000</v>
      </c>
      <c r="AL3860" s="168">
        <f t="shared" si="359"/>
        <v>51536.035304903991</v>
      </c>
    </row>
    <row r="3861" spans="1:38" ht="19">
      <c r="A3861" s="166" t="s">
        <v>17</v>
      </c>
      <c r="B3861" s="166">
        <v>2024</v>
      </c>
      <c r="C3861" s="166" t="s">
        <v>24</v>
      </c>
      <c r="D3861" s="166" t="s">
        <v>206</v>
      </c>
      <c r="E3861" s="166" t="s">
        <v>89</v>
      </c>
      <c r="F3861" s="16" t="s">
        <v>207</v>
      </c>
      <c r="I3861" t="s">
        <v>87</v>
      </c>
      <c r="J3861" t="s">
        <v>87</v>
      </c>
      <c r="L3861" t="s">
        <v>2787</v>
      </c>
      <c r="M3861" t="s">
        <v>88</v>
      </c>
      <c r="N3861" t="s">
        <v>2788</v>
      </c>
      <c r="O3861" s="190" t="s">
        <v>2805</v>
      </c>
      <c r="P3861" s="190"/>
      <c r="Q3861" s="190"/>
      <c r="R3861" s="190"/>
      <c r="S3861" s="190">
        <v>2000</v>
      </c>
      <c r="T3861">
        <v>400</v>
      </c>
      <c r="U3861" s="14" t="s">
        <v>191</v>
      </c>
      <c r="W3861">
        <v>15</v>
      </c>
      <c r="AJ3861" s="43">
        <f t="shared" si="357"/>
        <v>0</v>
      </c>
      <c r="AK3861" s="167">
        <f t="shared" si="358"/>
        <v>48000000</v>
      </c>
      <c r="AL3861" s="168">
        <f t="shared" si="359"/>
        <v>10528.301390174462</v>
      </c>
    </row>
    <row r="3862" spans="1:38" ht="19">
      <c r="A3862" s="166" t="s">
        <v>17</v>
      </c>
      <c r="B3862" s="166">
        <v>2024</v>
      </c>
      <c r="C3862" s="166" t="s">
        <v>24</v>
      </c>
      <c r="D3862" s="166" t="s">
        <v>206</v>
      </c>
      <c r="E3862" s="166" t="s">
        <v>89</v>
      </c>
      <c r="F3862" s="16" t="s">
        <v>207</v>
      </c>
      <c r="I3862" t="s">
        <v>87</v>
      </c>
      <c r="J3862" t="s">
        <v>87</v>
      </c>
      <c r="L3862" t="s">
        <v>2787</v>
      </c>
      <c r="M3862" t="s">
        <v>88</v>
      </c>
      <c r="N3862" t="s">
        <v>2788</v>
      </c>
      <c r="O3862" s="190" t="s">
        <v>2806</v>
      </c>
      <c r="P3862" s="190"/>
      <c r="Q3862" s="190"/>
      <c r="R3862" s="190"/>
      <c r="S3862" s="190">
        <v>2130</v>
      </c>
      <c r="T3862">
        <v>426</v>
      </c>
      <c r="U3862" s="14" t="s">
        <v>191</v>
      </c>
      <c r="W3862">
        <v>15</v>
      </c>
      <c r="AJ3862" s="43">
        <f t="shared" si="357"/>
        <v>0</v>
      </c>
      <c r="AK3862" s="167">
        <f t="shared" si="358"/>
        <v>51120000</v>
      </c>
      <c r="AL3862" s="168">
        <f t="shared" si="359"/>
        <v>11212.640980535802</v>
      </c>
    </row>
    <row r="3863" spans="1:38" ht="19">
      <c r="A3863" s="166" t="s">
        <v>21</v>
      </c>
      <c r="B3863" s="166">
        <v>2024</v>
      </c>
      <c r="C3863" s="166" t="s">
        <v>24</v>
      </c>
      <c r="D3863" s="166" t="s">
        <v>206</v>
      </c>
      <c r="E3863" s="166" t="s">
        <v>89</v>
      </c>
      <c r="F3863" s="16" t="s">
        <v>207</v>
      </c>
      <c r="I3863" t="s">
        <v>87</v>
      </c>
      <c r="J3863" t="s">
        <v>87</v>
      </c>
      <c r="L3863" t="s">
        <v>2787</v>
      </c>
      <c r="M3863" t="s">
        <v>88</v>
      </c>
      <c r="N3863" t="s">
        <v>2788</v>
      </c>
      <c r="O3863" t="s">
        <v>2789</v>
      </c>
      <c r="S3863">
        <v>4020</v>
      </c>
      <c r="T3863">
        <v>804</v>
      </c>
      <c r="U3863" s="14" t="s">
        <v>77</v>
      </c>
      <c r="W3863">
        <v>15</v>
      </c>
      <c r="X3863">
        <f t="shared" ref="X3863:X3868" si="360">+S3863*$X$2*W3863/1000000</f>
        <v>24.12</v>
      </c>
      <c r="AB3863">
        <f>+S3863*W3863*$AB$2/1000000</f>
        <v>3.6179999999999999</v>
      </c>
      <c r="AC3863">
        <f>+S3863*W3863*$AC$2/1000000</f>
        <v>2.1105</v>
      </c>
      <c r="AJ3863" s="43">
        <f t="shared" si="357"/>
        <v>29.848500000000001</v>
      </c>
    </row>
    <row r="3864" spans="1:38" ht="19">
      <c r="A3864" s="166" t="s">
        <v>21</v>
      </c>
      <c r="B3864" s="166">
        <v>2024</v>
      </c>
      <c r="C3864" s="166" t="s">
        <v>24</v>
      </c>
      <c r="D3864" s="166" t="s">
        <v>206</v>
      </c>
      <c r="E3864" s="166" t="s">
        <v>89</v>
      </c>
      <c r="F3864" s="16" t="s">
        <v>207</v>
      </c>
      <c r="I3864" t="s">
        <v>87</v>
      </c>
      <c r="J3864" t="s">
        <v>87</v>
      </c>
      <c r="L3864" t="s">
        <v>2787</v>
      </c>
      <c r="M3864" t="s">
        <v>90</v>
      </c>
      <c r="N3864" t="s">
        <v>2788</v>
      </c>
      <c r="O3864" t="s">
        <v>2790</v>
      </c>
      <c r="S3864">
        <v>2490</v>
      </c>
      <c r="T3864">
        <v>498</v>
      </c>
      <c r="U3864" s="14" t="s">
        <v>77</v>
      </c>
      <c r="W3864">
        <v>15</v>
      </c>
      <c r="X3864">
        <f t="shared" si="360"/>
        <v>14.94</v>
      </c>
      <c r="AB3864">
        <f t="shared" ref="AB3864:AB3874" si="361">+S3864*W3864*$AB$2/1000000</f>
        <v>2.2410000000000001</v>
      </c>
      <c r="AC3864">
        <f t="shared" ref="AC3864:AC3874" si="362">+S3864*W3864*$AC$2/1000000</f>
        <v>1.30725</v>
      </c>
      <c r="AJ3864" s="43">
        <f t="shared" si="357"/>
        <v>18.488250000000001</v>
      </c>
      <c r="AK3864" s="167"/>
      <c r="AL3864" s="168">
        <f>AK3864/$AL$4</f>
        <v>0</v>
      </c>
    </row>
    <row r="3865" spans="1:38" ht="19">
      <c r="A3865" s="166" t="s">
        <v>21</v>
      </c>
      <c r="B3865" s="166">
        <v>2024</v>
      </c>
      <c r="C3865" s="166" t="s">
        <v>24</v>
      </c>
      <c r="D3865" s="166" t="s">
        <v>206</v>
      </c>
      <c r="E3865" s="166" t="s">
        <v>89</v>
      </c>
      <c r="F3865" s="16" t="s">
        <v>207</v>
      </c>
      <c r="I3865" t="s">
        <v>87</v>
      </c>
      <c r="J3865" t="s">
        <v>87</v>
      </c>
      <c r="L3865" t="s">
        <v>2787</v>
      </c>
      <c r="M3865" t="s">
        <v>90</v>
      </c>
      <c r="N3865" t="s">
        <v>2788</v>
      </c>
      <c r="O3865" t="s">
        <v>2791</v>
      </c>
      <c r="S3865">
        <v>4290</v>
      </c>
      <c r="T3865">
        <v>858</v>
      </c>
      <c r="U3865" s="14" t="s">
        <v>77</v>
      </c>
      <c r="W3865">
        <v>15</v>
      </c>
      <c r="X3865">
        <f t="shared" si="360"/>
        <v>25.74</v>
      </c>
      <c r="AB3865">
        <f t="shared" si="361"/>
        <v>3.8610000000000002</v>
      </c>
      <c r="AC3865">
        <f t="shared" si="362"/>
        <v>2.2522500000000001</v>
      </c>
      <c r="AJ3865" s="43">
        <f t="shared" si="357"/>
        <v>31.853249999999999</v>
      </c>
      <c r="AK3865" s="167"/>
      <c r="AL3865" s="168">
        <f t="shared" ref="AL3865:AL3880" si="363">AK3865/$AL$4</f>
        <v>0</v>
      </c>
    </row>
    <row r="3866" spans="1:38" ht="19">
      <c r="A3866" s="166" t="s">
        <v>21</v>
      </c>
      <c r="B3866" s="166">
        <v>2024</v>
      </c>
      <c r="C3866" s="166" t="s">
        <v>24</v>
      </c>
      <c r="D3866" s="166" t="s">
        <v>206</v>
      </c>
      <c r="E3866" s="166" t="s">
        <v>89</v>
      </c>
      <c r="F3866" s="16" t="s">
        <v>207</v>
      </c>
      <c r="I3866" t="s">
        <v>87</v>
      </c>
      <c r="J3866" t="s">
        <v>87</v>
      </c>
      <c r="L3866" t="s">
        <v>2787</v>
      </c>
      <c r="M3866" t="s">
        <v>90</v>
      </c>
      <c r="N3866" t="s">
        <v>2788</v>
      </c>
      <c r="O3866" t="s">
        <v>2792</v>
      </c>
      <c r="S3866">
        <v>3745</v>
      </c>
      <c r="T3866">
        <v>749</v>
      </c>
      <c r="U3866" s="14" t="s">
        <v>77</v>
      </c>
      <c r="W3866">
        <v>15</v>
      </c>
      <c r="X3866">
        <f t="shared" si="360"/>
        <v>22.47</v>
      </c>
      <c r="AB3866">
        <f t="shared" si="361"/>
        <v>3.3704999999999998</v>
      </c>
      <c r="AC3866">
        <f t="shared" si="362"/>
        <v>1.9661249999999999</v>
      </c>
      <c r="AJ3866" s="43">
        <f t="shared" si="357"/>
        <v>27.806624999999997</v>
      </c>
      <c r="AK3866" s="167"/>
      <c r="AL3866" s="168">
        <f t="shared" si="363"/>
        <v>0</v>
      </c>
    </row>
    <row r="3867" spans="1:38" ht="19">
      <c r="A3867" s="166" t="s">
        <v>21</v>
      </c>
      <c r="B3867" s="166">
        <v>2024</v>
      </c>
      <c r="C3867" s="166" t="s">
        <v>24</v>
      </c>
      <c r="D3867" s="166" t="s">
        <v>206</v>
      </c>
      <c r="E3867" s="166" t="s">
        <v>89</v>
      </c>
      <c r="F3867" s="16" t="s">
        <v>207</v>
      </c>
      <c r="I3867" t="s">
        <v>87</v>
      </c>
      <c r="J3867" t="s">
        <v>87</v>
      </c>
      <c r="L3867" t="s">
        <v>2787</v>
      </c>
      <c r="M3867" t="s">
        <v>90</v>
      </c>
      <c r="N3867" t="s">
        <v>2788</v>
      </c>
      <c r="O3867" t="s">
        <v>2793</v>
      </c>
      <c r="S3867">
        <v>1785</v>
      </c>
      <c r="T3867">
        <v>357</v>
      </c>
      <c r="U3867" s="14" t="s">
        <v>77</v>
      </c>
      <c r="W3867">
        <v>15</v>
      </c>
      <c r="X3867">
        <f t="shared" si="360"/>
        <v>10.71</v>
      </c>
      <c r="AB3867">
        <f t="shared" si="361"/>
        <v>1.6065</v>
      </c>
      <c r="AC3867">
        <f t="shared" si="362"/>
        <v>0.93712499999999999</v>
      </c>
      <c r="AJ3867" s="43">
        <f t="shared" si="357"/>
        <v>13.253625000000001</v>
      </c>
      <c r="AK3867" s="167"/>
      <c r="AL3867" s="168">
        <f t="shared" si="363"/>
        <v>0</v>
      </c>
    </row>
    <row r="3868" spans="1:38" ht="19">
      <c r="A3868" s="166" t="s">
        <v>21</v>
      </c>
      <c r="B3868" s="166">
        <v>2024</v>
      </c>
      <c r="C3868" s="166" t="s">
        <v>24</v>
      </c>
      <c r="D3868" s="166" t="s">
        <v>206</v>
      </c>
      <c r="E3868" s="166" t="s">
        <v>89</v>
      </c>
      <c r="F3868" s="16" t="s">
        <v>207</v>
      </c>
      <c r="I3868" t="s">
        <v>87</v>
      </c>
      <c r="J3868" t="s">
        <v>87</v>
      </c>
      <c r="L3868" t="s">
        <v>2787</v>
      </c>
      <c r="M3868" t="s">
        <v>88</v>
      </c>
      <c r="N3868" t="s">
        <v>2788</v>
      </c>
      <c r="O3868" t="s">
        <v>2794</v>
      </c>
      <c r="S3868">
        <v>7070</v>
      </c>
      <c r="T3868">
        <v>1414</v>
      </c>
      <c r="U3868" s="14" t="s">
        <v>77</v>
      </c>
      <c r="W3868">
        <v>15</v>
      </c>
      <c r="X3868">
        <f t="shared" si="360"/>
        <v>42.42</v>
      </c>
      <c r="AB3868">
        <f>+S3868*W3868*$AB$2/1000000</f>
        <v>6.3630000000000004</v>
      </c>
      <c r="AC3868">
        <f t="shared" si="362"/>
        <v>3.7117499999999999</v>
      </c>
      <c r="AJ3868" s="43">
        <f t="shared" si="357"/>
        <v>52.494750000000003</v>
      </c>
      <c r="AK3868" s="167"/>
      <c r="AL3868" s="168">
        <f t="shared" si="363"/>
        <v>0</v>
      </c>
    </row>
    <row r="3869" spans="1:38" ht="19">
      <c r="A3869" s="166" t="s">
        <v>21</v>
      </c>
      <c r="B3869" s="166">
        <v>2024</v>
      </c>
      <c r="C3869" s="166" t="s">
        <v>24</v>
      </c>
      <c r="D3869" s="166" t="s">
        <v>206</v>
      </c>
      <c r="E3869" s="166" t="s">
        <v>89</v>
      </c>
      <c r="F3869" s="16" t="s">
        <v>207</v>
      </c>
      <c r="I3869" t="s">
        <v>87</v>
      </c>
      <c r="J3869" t="s">
        <v>87</v>
      </c>
      <c r="L3869" t="s">
        <v>2787</v>
      </c>
      <c r="M3869" t="s">
        <v>88</v>
      </c>
      <c r="N3869" t="s">
        <v>2788</v>
      </c>
      <c r="O3869" t="s">
        <v>2795</v>
      </c>
      <c r="S3869">
        <v>1415</v>
      </c>
      <c r="T3869">
        <v>283</v>
      </c>
      <c r="U3869" s="14" t="s">
        <v>191</v>
      </c>
      <c r="W3869">
        <v>15</v>
      </c>
      <c r="AJ3869" s="43">
        <f t="shared" si="357"/>
        <v>0</v>
      </c>
      <c r="AK3869" s="167">
        <f>+T3869*120000</f>
        <v>33960000</v>
      </c>
      <c r="AL3869" s="168">
        <f t="shared" si="363"/>
        <v>7448.7732335484316</v>
      </c>
    </row>
    <row r="3870" spans="1:38" ht="19">
      <c r="A3870" s="166" t="s">
        <v>21</v>
      </c>
      <c r="B3870" s="166">
        <v>2024</v>
      </c>
      <c r="C3870" s="166" t="s">
        <v>24</v>
      </c>
      <c r="D3870" s="166" t="s">
        <v>206</v>
      </c>
      <c r="E3870" s="166" t="s">
        <v>89</v>
      </c>
      <c r="F3870" s="16" t="s">
        <v>207</v>
      </c>
      <c r="I3870" t="s">
        <v>87</v>
      </c>
      <c r="J3870" t="s">
        <v>87</v>
      </c>
      <c r="L3870" t="s">
        <v>2787</v>
      </c>
      <c r="M3870" t="s">
        <v>88</v>
      </c>
      <c r="N3870" t="s">
        <v>2788</v>
      </c>
      <c r="O3870" t="s">
        <v>2796</v>
      </c>
      <c r="S3870">
        <v>8710</v>
      </c>
      <c r="T3870">
        <v>1742</v>
      </c>
      <c r="U3870" s="14" t="s">
        <v>77</v>
      </c>
      <c r="W3870">
        <v>15</v>
      </c>
      <c r="X3870">
        <f t="shared" ref="X3870:X3872" si="364">+S3870*$X$2*W3870/1000000</f>
        <v>52.26</v>
      </c>
      <c r="AB3870">
        <f t="shared" si="361"/>
        <v>7.8390000000000004</v>
      </c>
      <c r="AC3870">
        <f t="shared" si="362"/>
        <v>4.5727500000000001</v>
      </c>
      <c r="AJ3870" s="43">
        <f t="shared" si="357"/>
        <v>64.671750000000003</v>
      </c>
      <c r="AK3870" s="167"/>
      <c r="AL3870" s="168">
        <f t="shared" si="363"/>
        <v>0</v>
      </c>
    </row>
    <row r="3871" spans="1:38" ht="19">
      <c r="A3871" s="166" t="s">
        <v>21</v>
      </c>
      <c r="B3871" s="166">
        <v>2024</v>
      </c>
      <c r="C3871" s="166" t="s">
        <v>24</v>
      </c>
      <c r="D3871" s="166" t="s">
        <v>206</v>
      </c>
      <c r="E3871" s="166" t="s">
        <v>89</v>
      </c>
      <c r="F3871" s="16" t="s">
        <v>207</v>
      </c>
      <c r="I3871" t="s">
        <v>87</v>
      </c>
      <c r="J3871" t="s">
        <v>87</v>
      </c>
      <c r="L3871" t="s">
        <v>2787</v>
      </c>
      <c r="M3871" t="s">
        <v>88</v>
      </c>
      <c r="N3871" t="s">
        <v>2788</v>
      </c>
      <c r="O3871" t="s">
        <v>2797</v>
      </c>
      <c r="S3871">
        <v>3750</v>
      </c>
      <c r="T3871">
        <v>750</v>
      </c>
      <c r="U3871" s="14" t="s">
        <v>77</v>
      </c>
      <c r="W3871">
        <v>15</v>
      </c>
      <c r="X3871">
        <f t="shared" si="364"/>
        <v>22.5</v>
      </c>
      <c r="AB3871">
        <f t="shared" si="361"/>
        <v>3.375</v>
      </c>
      <c r="AC3871">
        <f t="shared" si="362"/>
        <v>1.96875</v>
      </c>
      <c r="AJ3871" s="43">
        <f t="shared" si="357"/>
        <v>27.84375</v>
      </c>
      <c r="AK3871" s="167"/>
      <c r="AL3871" s="168">
        <f t="shared" si="363"/>
        <v>0</v>
      </c>
    </row>
    <row r="3872" spans="1:38" ht="19">
      <c r="A3872" s="166" t="s">
        <v>21</v>
      </c>
      <c r="B3872" s="166">
        <v>2024</v>
      </c>
      <c r="C3872" s="166" t="s">
        <v>24</v>
      </c>
      <c r="D3872" s="166" t="s">
        <v>206</v>
      </c>
      <c r="E3872" s="166" t="s">
        <v>89</v>
      </c>
      <c r="F3872" s="16" t="s">
        <v>207</v>
      </c>
      <c r="I3872" t="s">
        <v>87</v>
      </c>
      <c r="J3872" t="s">
        <v>87</v>
      </c>
      <c r="L3872" t="s">
        <v>2787</v>
      </c>
      <c r="M3872" t="s">
        <v>88</v>
      </c>
      <c r="N3872" t="s">
        <v>2788</v>
      </c>
      <c r="O3872" t="s">
        <v>2798</v>
      </c>
      <c r="S3872">
        <v>2830</v>
      </c>
      <c r="T3872">
        <v>566</v>
      </c>
      <c r="U3872" s="14" t="s">
        <v>77</v>
      </c>
      <c r="W3872">
        <v>15</v>
      </c>
      <c r="X3872">
        <f t="shared" si="364"/>
        <v>16.98</v>
      </c>
      <c r="AB3872">
        <f t="shared" si="361"/>
        <v>2.5470000000000002</v>
      </c>
      <c r="AC3872">
        <f t="shared" si="362"/>
        <v>1.4857499999999999</v>
      </c>
      <c r="AJ3872" s="43">
        <f t="shared" si="357"/>
        <v>21.01275</v>
      </c>
      <c r="AK3872" s="167"/>
      <c r="AL3872" s="168">
        <f t="shared" si="363"/>
        <v>0</v>
      </c>
    </row>
    <row r="3873" spans="1:39" ht="19">
      <c r="A3873" s="166" t="s">
        <v>21</v>
      </c>
      <c r="B3873" s="166">
        <v>2024</v>
      </c>
      <c r="C3873" s="166" t="s">
        <v>24</v>
      </c>
      <c r="D3873" s="166" t="s">
        <v>206</v>
      </c>
      <c r="E3873" s="166" t="s">
        <v>89</v>
      </c>
      <c r="F3873" s="16" t="s">
        <v>207</v>
      </c>
      <c r="I3873" t="s">
        <v>87</v>
      </c>
      <c r="J3873" t="s">
        <v>87</v>
      </c>
      <c r="L3873" t="s">
        <v>2787</v>
      </c>
      <c r="M3873" t="s">
        <v>88</v>
      </c>
      <c r="N3873" t="s">
        <v>2788</v>
      </c>
      <c r="O3873" t="s">
        <v>2799</v>
      </c>
      <c r="S3873">
        <v>3760</v>
      </c>
      <c r="T3873">
        <v>752</v>
      </c>
      <c r="U3873" s="14" t="s">
        <v>77</v>
      </c>
      <c r="W3873">
        <v>15</v>
      </c>
      <c r="X3873">
        <f>+S3873*$X$2*W3873/1000000</f>
        <v>22.56</v>
      </c>
      <c r="AB3873">
        <f t="shared" si="361"/>
        <v>3.3839999999999999</v>
      </c>
      <c r="AC3873">
        <f t="shared" si="362"/>
        <v>1.974</v>
      </c>
      <c r="AJ3873" s="43">
        <f t="shared" si="357"/>
        <v>27.917999999999999</v>
      </c>
      <c r="AK3873" s="167"/>
      <c r="AL3873" s="168">
        <f t="shared" si="363"/>
        <v>0</v>
      </c>
    </row>
    <row r="3874" spans="1:39" ht="19">
      <c r="A3874" s="166" t="s">
        <v>21</v>
      </c>
      <c r="B3874" s="166">
        <v>2024</v>
      </c>
      <c r="C3874" s="166" t="s">
        <v>24</v>
      </c>
      <c r="D3874" s="166" t="s">
        <v>206</v>
      </c>
      <c r="E3874" s="166" t="s">
        <v>89</v>
      </c>
      <c r="F3874" s="16" t="s">
        <v>207</v>
      </c>
      <c r="I3874" t="s">
        <v>87</v>
      </c>
      <c r="J3874" t="s">
        <v>87</v>
      </c>
      <c r="L3874" t="s">
        <v>2787</v>
      </c>
      <c r="M3874" t="s">
        <v>88</v>
      </c>
      <c r="N3874" t="s">
        <v>2788</v>
      </c>
      <c r="O3874" t="s">
        <v>2800</v>
      </c>
      <c r="S3874">
        <v>4940</v>
      </c>
      <c r="T3874">
        <v>988</v>
      </c>
      <c r="U3874" s="14" t="s">
        <v>77</v>
      </c>
      <c r="W3874">
        <v>15</v>
      </c>
      <c r="X3874">
        <f>+S3874*$X$2*W3874/1000000</f>
        <v>29.64</v>
      </c>
      <c r="AB3874">
        <f t="shared" si="361"/>
        <v>4.4459999999999997</v>
      </c>
      <c r="AC3874">
        <f t="shared" si="362"/>
        <v>2.5935000000000001</v>
      </c>
      <c r="AJ3874" s="43">
        <f t="shared" si="357"/>
        <v>36.679499999999997</v>
      </c>
      <c r="AK3874" s="167"/>
      <c r="AL3874" s="168">
        <f t="shared" si="363"/>
        <v>0</v>
      </c>
    </row>
    <row r="3875" spans="1:39" ht="19">
      <c r="A3875" s="166" t="s">
        <v>21</v>
      </c>
      <c r="B3875" s="166">
        <v>2024</v>
      </c>
      <c r="C3875" s="166" t="s">
        <v>24</v>
      </c>
      <c r="D3875" s="166" t="s">
        <v>206</v>
      </c>
      <c r="E3875" s="166" t="s">
        <v>89</v>
      </c>
      <c r="F3875" s="16" t="s">
        <v>207</v>
      </c>
      <c r="I3875" t="s">
        <v>87</v>
      </c>
      <c r="J3875" t="s">
        <v>87</v>
      </c>
      <c r="L3875" t="s">
        <v>2787</v>
      </c>
      <c r="M3875" t="s">
        <v>88</v>
      </c>
      <c r="N3875" t="s">
        <v>2788</v>
      </c>
      <c r="O3875" t="s">
        <v>2801</v>
      </c>
      <c r="S3875">
        <v>3965</v>
      </c>
      <c r="T3875">
        <v>793</v>
      </c>
      <c r="U3875" s="14" t="s">
        <v>77</v>
      </c>
      <c r="W3875">
        <v>15</v>
      </c>
      <c r="X3875">
        <f t="shared" ref="X3875:X3880" si="365">+S3875*$X$2*W3875/1000000</f>
        <v>23.79</v>
      </c>
      <c r="AB3875">
        <f t="shared" ref="AB3875:AB3880" si="366">+S3875*W3875*$AB$2/1000000</f>
        <v>3.5684999999999998</v>
      </c>
      <c r="AC3875">
        <f t="shared" ref="AC3875:AC3880" si="367">+S3875*W3875*$AC$2/1000000</f>
        <v>2.0816249999999998</v>
      </c>
      <c r="AJ3875" s="43">
        <f t="shared" si="357"/>
        <v>29.440124999999998</v>
      </c>
      <c r="AK3875" s="167"/>
      <c r="AL3875" s="168">
        <f t="shared" si="363"/>
        <v>0</v>
      </c>
    </row>
    <row r="3876" spans="1:39" ht="19">
      <c r="A3876" s="166" t="s">
        <v>21</v>
      </c>
      <c r="B3876" s="166">
        <v>2024</v>
      </c>
      <c r="C3876" s="166" t="s">
        <v>24</v>
      </c>
      <c r="D3876" s="166" t="s">
        <v>206</v>
      </c>
      <c r="E3876" s="166" t="s">
        <v>89</v>
      </c>
      <c r="F3876" s="16" t="s">
        <v>207</v>
      </c>
      <c r="I3876" t="s">
        <v>87</v>
      </c>
      <c r="J3876" t="s">
        <v>87</v>
      </c>
      <c r="L3876" t="s">
        <v>2787</v>
      </c>
      <c r="M3876" t="s">
        <v>88</v>
      </c>
      <c r="N3876" t="s">
        <v>2788</v>
      </c>
      <c r="O3876" t="s">
        <v>2802</v>
      </c>
      <c r="S3876">
        <v>2235</v>
      </c>
      <c r="T3876">
        <v>447</v>
      </c>
      <c r="U3876" s="14" t="s">
        <v>77</v>
      </c>
      <c r="W3876">
        <v>15</v>
      </c>
      <c r="X3876">
        <f t="shared" si="365"/>
        <v>13.41</v>
      </c>
      <c r="AB3876">
        <f t="shared" si="366"/>
        <v>2.0114999999999998</v>
      </c>
      <c r="AC3876">
        <f t="shared" si="367"/>
        <v>1.1733750000000001</v>
      </c>
      <c r="AJ3876" s="43">
        <f t="shared" si="357"/>
        <v>16.594875000000002</v>
      </c>
      <c r="AK3876" s="167"/>
      <c r="AL3876" s="168">
        <f t="shared" si="363"/>
        <v>0</v>
      </c>
    </row>
    <row r="3877" spans="1:39" ht="19">
      <c r="A3877" s="166" t="s">
        <v>21</v>
      </c>
      <c r="B3877" s="166">
        <v>2024</v>
      </c>
      <c r="C3877" s="166" t="s">
        <v>24</v>
      </c>
      <c r="D3877" s="166" t="s">
        <v>206</v>
      </c>
      <c r="E3877" s="166" t="s">
        <v>89</v>
      </c>
      <c r="F3877" s="16" t="s">
        <v>207</v>
      </c>
      <c r="I3877" t="s">
        <v>87</v>
      </c>
      <c r="J3877" t="s">
        <v>87</v>
      </c>
      <c r="L3877" t="s">
        <v>2787</v>
      </c>
      <c r="M3877" t="s">
        <v>88</v>
      </c>
      <c r="N3877" s="170" t="s">
        <v>2788</v>
      </c>
      <c r="O3877" s="170" t="s">
        <v>2803</v>
      </c>
      <c r="P3877" s="170"/>
      <c r="Q3877" s="170"/>
      <c r="R3877" s="170"/>
      <c r="S3877" s="170">
        <v>3135</v>
      </c>
      <c r="T3877" s="170">
        <v>627</v>
      </c>
      <c r="U3877" s="14" t="s">
        <v>77</v>
      </c>
      <c r="V3877" s="170"/>
      <c r="W3877" s="170">
        <v>15</v>
      </c>
      <c r="X3877">
        <f t="shared" si="365"/>
        <v>18.809999999999999</v>
      </c>
      <c r="AB3877">
        <f t="shared" si="366"/>
        <v>2.8214999999999999</v>
      </c>
      <c r="AC3877">
        <f t="shared" si="367"/>
        <v>1.645875</v>
      </c>
      <c r="AD3877" s="170"/>
      <c r="AE3877" s="170"/>
      <c r="AF3877" s="170"/>
      <c r="AG3877" s="170"/>
      <c r="AH3877" s="170"/>
      <c r="AI3877" s="170"/>
      <c r="AJ3877" s="43">
        <f t="shared" si="357"/>
        <v>23.277374999999999</v>
      </c>
      <c r="AK3877" s="171"/>
      <c r="AL3877" s="168">
        <f t="shared" si="363"/>
        <v>0</v>
      </c>
    </row>
    <row r="3878" spans="1:39" ht="19">
      <c r="A3878" s="166" t="s">
        <v>21</v>
      </c>
      <c r="B3878" s="166">
        <v>2024</v>
      </c>
      <c r="C3878" s="166" t="s">
        <v>24</v>
      </c>
      <c r="D3878" s="166" t="s">
        <v>206</v>
      </c>
      <c r="E3878" s="166" t="s">
        <v>89</v>
      </c>
      <c r="F3878" s="16" t="s">
        <v>207</v>
      </c>
      <c r="I3878" t="s">
        <v>87</v>
      </c>
      <c r="J3878" t="s">
        <v>87</v>
      </c>
      <c r="L3878" t="s">
        <v>2787</v>
      </c>
      <c r="M3878" t="s">
        <v>88</v>
      </c>
      <c r="N3878" t="s">
        <v>2788</v>
      </c>
      <c r="O3878" t="s">
        <v>2804</v>
      </c>
      <c r="S3878">
        <v>9790</v>
      </c>
      <c r="T3878">
        <v>1958</v>
      </c>
      <c r="U3878" s="14" t="s">
        <v>77</v>
      </c>
      <c r="W3878">
        <v>15</v>
      </c>
      <c r="X3878">
        <f t="shared" si="365"/>
        <v>58.74</v>
      </c>
      <c r="AB3878">
        <f t="shared" si="366"/>
        <v>8.8109999999999999</v>
      </c>
      <c r="AC3878">
        <f t="shared" si="367"/>
        <v>5.1397500000000003</v>
      </c>
      <c r="AJ3878" s="43">
        <f t="shared" si="357"/>
        <v>72.690750000000008</v>
      </c>
      <c r="AK3878" s="167"/>
      <c r="AL3878" s="168">
        <f t="shared" si="363"/>
        <v>0</v>
      </c>
    </row>
    <row r="3879" spans="1:39" ht="19">
      <c r="A3879" s="166" t="s">
        <v>21</v>
      </c>
      <c r="B3879" s="166">
        <v>2024</v>
      </c>
      <c r="C3879" s="166" t="s">
        <v>24</v>
      </c>
      <c r="D3879" s="166" t="s">
        <v>206</v>
      </c>
      <c r="E3879" s="166" t="s">
        <v>89</v>
      </c>
      <c r="F3879" s="16" t="s">
        <v>207</v>
      </c>
      <c r="I3879" t="s">
        <v>87</v>
      </c>
      <c r="J3879" t="s">
        <v>87</v>
      </c>
      <c r="L3879" t="s">
        <v>2787</v>
      </c>
      <c r="M3879" t="s">
        <v>88</v>
      </c>
      <c r="N3879" t="s">
        <v>2788</v>
      </c>
      <c r="O3879" t="s">
        <v>2805</v>
      </c>
      <c r="S3879">
        <v>2000</v>
      </c>
      <c r="T3879">
        <v>400</v>
      </c>
      <c r="U3879" s="14" t="s">
        <v>77</v>
      </c>
      <c r="W3879">
        <v>15</v>
      </c>
      <c r="X3879" s="191">
        <f t="shared" si="365"/>
        <v>12</v>
      </c>
      <c r="Y3879" s="191"/>
      <c r="Z3879" s="191"/>
      <c r="AA3879" s="191"/>
      <c r="AB3879" s="191">
        <f t="shared" si="366"/>
        <v>1.8</v>
      </c>
      <c r="AC3879" s="191">
        <f t="shared" si="367"/>
        <v>1.05</v>
      </c>
      <c r="AJ3879" s="43">
        <f t="shared" si="357"/>
        <v>14.850000000000001</v>
      </c>
      <c r="AK3879" s="167"/>
      <c r="AL3879" s="168">
        <f t="shared" si="363"/>
        <v>0</v>
      </c>
    </row>
    <row r="3880" spans="1:39" ht="19">
      <c r="A3880" s="166" t="s">
        <v>21</v>
      </c>
      <c r="B3880" s="166">
        <v>2024</v>
      </c>
      <c r="C3880" s="166" t="s">
        <v>24</v>
      </c>
      <c r="D3880" s="166" t="s">
        <v>206</v>
      </c>
      <c r="E3880" s="166" t="s">
        <v>89</v>
      </c>
      <c r="F3880" s="16" t="s">
        <v>207</v>
      </c>
      <c r="I3880" t="s">
        <v>87</v>
      </c>
      <c r="J3880" t="s">
        <v>87</v>
      </c>
      <c r="L3880" t="s">
        <v>2787</v>
      </c>
      <c r="M3880" t="s">
        <v>88</v>
      </c>
      <c r="N3880" t="s">
        <v>2788</v>
      </c>
      <c r="O3880" t="s">
        <v>2806</v>
      </c>
      <c r="S3880">
        <v>2130</v>
      </c>
      <c r="T3880">
        <v>426</v>
      </c>
      <c r="U3880" s="14" t="s">
        <v>77</v>
      </c>
      <c r="W3880">
        <v>15</v>
      </c>
      <c r="X3880">
        <f t="shared" si="365"/>
        <v>12.78</v>
      </c>
      <c r="AB3880">
        <f t="shared" si="366"/>
        <v>1.917</v>
      </c>
      <c r="AC3880">
        <f t="shared" si="367"/>
        <v>1.11825</v>
      </c>
      <c r="AJ3880" s="43">
        <f t="shared" si="357"/>
        <v>15.815249999999999</v>
      </c>
      <c r="AK3880" s="167"/>
      <c r="AL3880" s="168">
        <f t="shared" si="363"/>
        <v>0</v>
      </c>
    </row>
    <row r="3881" spans="1:39" ht="19">
      <c r="A3881" s="166" t="s">
        <v>17</v>
      </c>
      <c r="B3881" s="166">
        <v>2024</v>
      </c>
      <c r="C3881" s="166" t="s">
        <v>24</v>
      </c>
      <c r="D3881" s="166" t="s">
        <v>185</v>
      </c>
      <c r="E3881" s="166" t="s">
        <v>122</v>
      </c>
      <c r="F3881" s="16" t="s">
        <v>207</v>
      </c>
      <c r="I3881" t="s">
        <v>87</v>
      </c>
      <c r="J3881" t="s">
        <v>87</v>
      </c>
      <c r="L3881" t="s">
        <v>2787</v>
      </c>
      <c r="M3881" t="s">
        <v>88</v>
      </c>
      <c r="N3881" t="s">
        <v>2788</v>
      </c>
      <c r="O3881" t="s">
        <v>2789</v>
      </c>
      <c r="Q3881" s="169"/>
      <c r="R3881" s="169">
        <v>241.2</v>
      </c>
      <c r="S3881" s="169">
        <f>+R3881</f>
        <v>241.2</v>
      </c>
      <c r="U3881" s="14" t="s">
        <v>77</v>
      </c>
      <c r="W3881">
        <v>120</v>
      </c>
      <c r="AH3881" s="43">
        <f t="shared" ref="AH3881:AH3898" si="368">+S3881*W3881*50/1000000</f>
        <v>1.4472</v>
      </c>
      <c r="AJ3881" s="43">
        <f>SUM(X3881:AI3881)</f>
        <v>1.4472</v>
      </c>
      <c r="AM3881" t="s">
        <v>2807</v>
      </c>
    </row>
    <row r="3882" spans="1:39" ht="19">
      <c r="A3882" s="166" t="s">
        <v>17</v>
      </c>
      <c r="B3882" s="166">
        <v>2024</v>
      </c>
      <c r="C3882" s="166" t="s">
        <v>24</v>
      </c>
      <c r="D3882" s="166" t="s">
        <v>185</v>
      </c>
      <c r="E3882" s="166" t="s">
        <v>122</v>
      </c>
      <c r="F3882" s="16" t="s">
        <v>207</v>
      </c>
      <c r="I3882" t="s">
        <v>87</v>
      </c>
      <c r="J3882" t="s">
        <v>87</v>
      </c>
      <c r="L3882" t="s">
        <v>2787</v>
      </c>
      <c r="M3882" t="s">
        <v>90</v>
      </c>
      <c r="N3882" t="s">
        <v>2788</v>
      </c>
      <c r="O3882" t="s">
        <v>2790</v>
      </c>
      <c r="Q3882" s="169"/>
      <c r="R3882" s="169">
        <v>149.4</v>
      </c>
      <c r="S3882" s="169">
        <f t="shared" ref="S3882:S3898" si="369">+R3882</f>
        <v>149.4</v>
      </c>
      <c r="U3882" s="14" t="s">
        <v>77</v>
      </c>
      <c r="W3882">
        <v>120</v>
      </c>
      <c r="AH3882" s="43">
        <f t="shared" si="368"/>
        <v>0.89639999999999997</v>
      </c>
      <c r="AJ3882" s="43">
        <f t="shared" ref="AJ3882:AJ3898" si="370">SUM(X3882:AI3882)</f>
        <v>0.89639999999999997</v>
      </c>
      <c r="AK3882" s="167"/>
      <c r="AL3882" s="168">
        <f>AK3882/$AL$4</f>
        <v>0</v>
      </c>
      <c r="AM3882" t="s">
        <v>2807</v>
      </c>
    </row>
    <row r="3883" spans="1:39" ht="19">
      <c r="A3883" s="166" t="s">
        <v>17</v>
      </c>
      <c r="B3883" s="166">
        <v>2024</v>
      </c>
      <c r="C3883" s="166" t="s">
        <v>24</v>
      </c>
      <c r="D3883" s="166" t="s">
        <v>185</v>
      </c>
      <c r="E3883" s="166" t="s">
        <v>122</v>
      </c>
      <c r="F3883" s="16" t="s">
        <v>207</v>
      </c>
      <c r="I3883" t="s">
        <v>87</v>
      </c>
      <c r="J3883" t="s">
        <v>87</v>
      </c>
      <c r="L3883" t="s">
        <v>2787</v>
      </c>
      <c r="M3883" t="s">
        <v>90</v>
      </c>
      <c r="N3883" t="s">
        <v>2788</v>
      </c>
      <c r="O3883" t="s">
        <v>2791</v>
      </c>
      <c r="Q3883" s="169"/>
      <c r="R3883" s="169">
        <v>257.39999999999998</v>
      </c>
      <c r="S3883" s="169">
        <f t="shared" si="369"/>
        <v>257.39999999999998</v>
      </c>
      <c r="U3883" s="14" t="s">
        <v>77</v>
      </c>
      <c r="W3883">
        <v>120</v>
      </c>
      <c r="AH3883" s="43">
        <f t="shared" si="368"/>
        <v>1.5443999999999998</v>
      </c>
      <c r="AJ3883" s="43">
        <f t="shared" si="370"/>
        <v>1.5443999999999998</v>
      </c>
      <c r="AK3883" s="167"/>
      <c r="AL3883" s="168">
        <f t="shared" ref="AL3883:AL3898" si="371">AK3883/$AL$4</f>
        <v>0</v>
      </c>
      <c r="AM3883" t="s">
        <v>2807</v>
      </c>
    </row>
    <row r="3884" spans="1:39" ht="19">
      <c r="A3884" s="166" t="s">
        <v>17</v>
      </c>
      <c r="B3884" s="166">
        <v>2024</v>
      </c>
      <c r="C3884" s="166" t="s">
        <v>24</v>
      </c>
      <c r="D3884" s="166" t="s">
        <v>185</v>
      </c>
      <c r="E3884" s="166" t="s">
        <v>122</v>
      </c>
      <c r="F3884" s="16" t="s">
        <v>207</v>
      </c>
      <c r="I3884" t="s">
        <v>87</v>
      </c>
      <c r="J3884" t="s">
        <v>87</v>
      </c>
      <c r="L3884" t="s">
        <v>2787</v>
      </c>
      <c r="M3884" t="s">
        <v>90</v>
      </c>
      <c r="N3884" t="s">
        <v>2788</v>
      </c>
      <c r="O3884" t="s">
        <v>2792</v>
      </c>
      <c r="Q3884" s="169"/>
      <c r="R3884" s="169">
        <v>224.7</v>
      </c>
      <c r="S3884" s="169">
        <f t="shared" si="369"/>
        <v>224.7</v>
      </c>
      <c r="U3884" s="14" t="s">
        <v>77</v>
      </c>
      <c r="W3884">
        <v>120</v>
      </c>
      <c r="AH3884" s="43">
        <f t="shared" si="368"/>
        <v>1.3482000000000001</v>
      </c>
      <c r="AJ3884" s="43">
        <f t="shared" si="370"/>
        <v>1.3482000000000001</v>
      </c>
      <c r="AK3884" s="167"/>
      <c r="AL3884" s="168">
        <f t="shared" si="371"/>
        <v>0</v>
      </c>
      <c r="AM3884" t="s">
        <v>2807</v>
      </c>
    </row>
    <row r="3885" spans="1:39" ht="19">
      <c r="A3885" s="166" t="s">
        <v>17</v>
      </c>
      <c r="B3885" s="166">
        <v>2024</v>
      </c>
      <c r="C3885" s="166" t="s">
        <v>24</v>
      </c>
      <c r="D3885" s="166" t="s">
        <v>185</v>
      </c>
      <c r="E3885" s="166" t="s">
        <v>122</v>
      </c>
      <c r="F3885" s="16" t="s">
        <v>207</v>
      </c>
      <c r="I3885" t="s">
        <v>87</v>
      </c>
      <c r="J3885" t="s">
        <v>87</v>
      </c>
      <c r="L3885" t="s">
        <v>2787</v>
      </c>
      <c r="M3885" t="s">
        <v>90</v>
      </c>
      <c r="N3885" t="s">
        <v>2788</v>
      </c>
      <c r="O3885" t="s">
        <v>2793</v>
      </c>
      <c r="Q3885" s="169"/>
      <c r="R3885" s="169">
        <v>107.1</v>
      </c>
      <c r="S3885" s="169">
        <f t="shared" si="369"/>
        <v>107.1</v>
      </c>
      <c r="U3885" s="14" t="s">
        <v>77</v>
      </c>
      <c r="W3885">
        <v>120</v>
      </c>
      <c r="AH3885" s="43">
        <f t="shared" si="368"/>
        <v>0.64259999999999995</v>
      </c>
      <c r="AJ3885" s="43">
        <f t="shared" si="370"/>
        <v>0.64259999999999995</v>
      </c>
      <c r="AK3885" s="167"/>
      <c r="AL3885" s="168">
        <f t="shared" si="371"/>
        <v>0</v>
      </c>
      <c r="AM3885" t="s">
        <v>2807</v>
      </c>
    </row>
    <row r="3886" spans="1:39" ht="19">
      <c r="A3886" s="166" t="s">
        <v>17</v>
      </c>
      <c r="B3886" s="166">
        <v>2024</v>
      </c>
      <c r="C3886" s="166" t="s">
        <v>24</v>
      </c>
      <c r="D3886" s="166" t="s">
        <v>185</v>
      </c>
      <c r="E3886" s="166" t="s">
        <v>122</v>
      </c>
      <c r="F3886" s="16" t="s">
        <v>207</v>
      </c>
      <c r="I3886" t="s">
        <v>87</v>
      </c>
      <c r="J3886" t="s">
        <v>87</v>
      </c>
      <c r="L3886" t="s">
        <v>2787</v>
      </c>
      <c r="M3886" t="s">
        <v>88</v>
      </c>
      <c r="N3886" t="s">
        <v>2788</v>
      </c>
      <c r="O3886" t="s">
        <v>2794</v>
      </c>
      <c r="Q3886" s="169"/>
      <c r="R3886" s="169">
        <v>424.2</v>
      </c>
      <c r="S3886" s="169">
        <f t="shared" si="369"/>
        <v>424.2</v>
      </c>
      <c r="U3886" s="14" t="s">
        <v>77</v>
      </c>
      <c r="W3886">
        <v>120</v>
      </c>
      <c r="AH3886" s="43">
        <f t="shared" si="368"/>
        <v>2.5451999999999999</v>
      </c>
      <c r="AJ3886" s="43">
        <f t="shared" si="370"/>
        <v>2.5451999999999999</v>
      </c>
      <c r="AK3886" s="167"/>
      <c r="AL3886" s="168">
        <f t="shared" si="371"/>
        <v>0</v>
      </c>
      <c r="AM3886" t="s">
        <v>2807</v>
      </c>
    </row>
    <row r="3887" spans="1:39" ht="19">
      <c r="A3887" s="166" t="s">
        <v>17</v>
      </c>
      <c r="B3887" s="166">
        <v>2024</v>
      </c>
      <c r="C3887" s="166" t="s">
        <v>24</v>
      </c>
      <c r="D3887" s="166" t="s">
        <v>185</v>
      </c>
      <c r="E3887" s="166" t="s">
        <v>122</v>
      </c>
      <c r="F3887" s="16" t="s">
        <v>207</v>
      </c>
      <c r="I3887" t="s">
        <v>87</v>
      </c>
      <c r="J3887" t="s">
        <v>87</v>
      </c>
      <c r="L3887" t="s">
        <v>2787</v>
      </c>
      <c r="M3887" t="s">
        <v>88</v>
      </c>
      <c r="N3887" t="s">
        <v>2788</v>
      </c>
      <c r="O3887" t="s">
        <v>2795</v>
      </c>
      <c r="Q3887" s="169"/>
      <c r="R3887" s="169">
        <v>84.899999999999991</v>
      </c>
      <c r="S3887" s="169">
        <f t="shared" si="369"/>
        <v>84.899999999999991</v>
      </c>
      <c r="U3887" s="14" t="s">
        <v>77</v>
      </c>
      <c r="W3887">
        <v>120</v>
      </c>
      <c r="AH3887" s="43">
        <f t="shared" si="368"/>
        <v>0.50939999999999985</v>
      </c>
      <c r="AJ3887" s="43">
        <f t="shared" si="370"/>
        <v>0.50939999999999985</v>
      </c>
      <c r="AK3887" s="167"/>
      <c r="AL3887" s="168">
        <f t="shared" si="371"/>
        <v>0</v>
      </c>
      <c r="AM3887" t="s">
        <v>2807</v>
      </c>
    </row>
    <row r="3888" spans="1:39" ht="19">
      <c r="A3888" s="166" t="s">
        <v>17</v>
      </c>
      <c r="B3888" s="166">
        <v>2024</v>
      </c>
      <c r="C3888" s="166" t="s">
        <v>24</v>
      </c>
      <c r="D3888" s="166" t="s">
        <v>185</v>
      </c>
      <c r="E3888" s="166" t="s">
        <v>122</v>
      </c>
      <c r="F3888" s="16" t="s">
        <v>207</v>
      </c>
      <c r="I3888" t="s">
        <v>87</v>
      </c>
      <c r="J3888" t="s">
        <v>87</v>
      </c>
      <c r="L3888" t="s">
        <v>2787</v>
      </c>
      <c r="M3888" t="s">
        <v>88</v>
      </c>
      <c r="N3888" t="s">
        <v>2788</v>
      </c>
      <c r="O3888" t="s">
        <v>2796</v>
      </c>
      <c r="Q3888" s="169"/>
      <c r="R3888" s="169">
        <v>522.6</v>
      </c>
      <c r="S3888" s="169">
        <f t="shared" si="369"/>
        <v>522.6</v>
      </c>
      <c r="U3888" s="14" t="s">
        <v>77</v>
      </c>
      <c r="W3888">
        <v>120</v>
      </c>
      <c r="AH3888" s="43">
        <f t="shared" si="368"/>
        <v>3.1356000000000002</v>
      </c>
      <c r="AJ3888" s="43">
        <f t="shared" si="370"/>
        <v>3.1356000000000002</v>
      </c>
      <c r="AK3888" s="167"/>
      <c r="AL3888" s="168">
        <f t="shared" si="371"/>
        <v>0</v>
      </c>
      <c r="AM3888" t="s">
        <v>2807</v>
      </c>
    </row>
    <row r="3889" spans="1:39" ht="19">
      <c r="A3889" s="166" t="s">
        <v>17</v>
      </c>
      <c r="B3889" s="166">
        <v>2024</v>
      </c>
      <c r="C3889" s="166" t="s">
        <v>24</v>
      </c>
      <c r="D3889" s="166" t="s">
        <v>185</v>
      </c>
      <c r="E3889" s="166" t="s">
        <v>122</v>
      </c>
      <c r="F3889" s="16" t="s">
        <v>207</v>
      </c>
      <c r="I3889" t="s">
        <v>87</v>
      </c>
      <c r="J3889" t="s">
        <v>87</v>
      </c>
      <c r="L3889" t="s">
        <v>2787</v>
      </c>
      <c r="M3889" t="s">
        <v>88</v>
      </c>
      <c r="N3889" t="s">
        <v>2788</v>
      </c>
      <c r="O3889" t="s">
        <v>2797</v>
      </c>
      <c r="Q3889" s="169"/>
      <c r="R3889" s="169">
        <v>225</v>
      </c>
      <c r="S3889" s="169">
        <f t="shared" si="369"/>
        <v>225</v>
      </c>
      <c r="U3889" s="14" t="s">
        <v>77</v>
      </c>
      <c r="W3889">
        <v>120</v>
      </c>
      <c r="AH3889" s="43">
        <f t="shared" si="368"/>
        <v>1.35</v>
      </c>
      <c r="AJ3889" s="43">
        <f t="shared" si="370"/>
        <v>1.35</v>
      </c>
      <c r="AK3889" s="167"/>
      <c r="AL3889" s="168">
        <f t="shared" si="371"/>
        <v>0</v>
      </c>
      <c r="AM3889" t="s">
        <v>2807</v>
      </c>
    </row>
    <row r="3890" spans="1:39" ht="19">
      <c r="A3890" s="166" t="s">
        <v>17</v>
      </c>
      <c r="B3890" s="166">
        <v>2024</v>
      </c>
      <c r="C3890" s="166" t="s">
        <v>24</v>
      </c>
      <c r="D3890" s="166" t="s">
        <v>185</v>
      </c>
      <c r="E3890" s="166" t="s">
        <v>122</v>
      </c>
      <c r="F3890" s="16" t="s">
        <v>207</v>
      </c>
      <c r="I3890" t="s">
        <v>87</v>
      </c>
      <c r="J3890" t="s">
        <v>87</v>
      </c>
      <c r="L3890" t="s">
        <v>2787</v>
      </c>
      <c r="M3890" t="s">
        <v>88</v>
      </c>
      <c r="N3890" t="s">
        <v>2788</v>
      </c>
      <c r="O3890" t="s">
        <v>2798</v>
      </c>
      <c r="Q3890" s="169"/>
      <c r="R3890" s="169">
        <v>169.79999999999998</v>
      </c>
      <c r="S3890" s="169">
        <f t="shared" si="369"/>
        <v>169.79999999999998</v>
      </c>
      <c r="U3890" s="14" t="s">
        <v>77</v>
      </c>
      <c r="W3890">
        <v>120</v>
      </c>
      <c r="AH3890" s="43">
        <f t="shared" si="368"/>
        <v>1.0187999999999997</v>
      </c>
      <c r="AJ3890" s="43">
        <f t="shared" si="370"/>
        <v>1.0187999999999997</v>
      </c>
      <c r="AK3890" s="167"/>
      <c r="AL3890" s="168">
        <f t="shared" si="371"/>
        <v>0</v>
      </c>
      <c r="AM3890" t="s">
        <v>2807</v>
      </c>
    </row>
    <row r="3891" spans="1:39" ht="19">
      <c r="A3891" s="166" t="s">
        <v>17</v>
      </c>
      <c r="B3891" s="166">
        <v>2024</v>
      </c>
      <c r="C3891" s="166" t="s">
        <v>24</v>
      </c>
      <c r="D3891" s="166" t="s">
        <v>185</v>
      </c>
      <c r="E3891" s="166" t="s">
        <v>122</v>
      </c>
      <c r="F3891" s="16" t="s">
        <v>207</v>
      </c>
      <c r="I3891" t="s">
        <v>87</v>
      </c>
      <c r="J3891" t="s">
        <v>87</v>
      </c>
      <c r="L3891" t="s">
        <v>2787</v>
      </c>
      <c r="M3891" t="s">
        <v>88</v>
      </c>
      <c r="N3891" t="s">
        <v>2788</v>
      </c>
      <c r="O3891" t="s">
        <v>2799</v>
      </c>
      <c r="Q3891" s="169"/>
      <c r="R3891" s="169">
        <v>225.6</v>
      </c>
      <c r="S3891" s="169">
        <f t="shared" si="369"/>
        <v>225.6</v>
      </c>
      <c r="U3891" s="14" t="s">
        <v>77</v>
      </c>
      <c r="W3891">
        <v>120</v>
      </c>
      <c r="AH3891" s="43">
        <f t="shared" si="368"/>
        <v>1.3535999999999999</v>
      </c>
      <c r="AJ3891" s="43">
        <f t="shared" si="370"/>
        <v>1.3535999999999999</v>
      </c>
      <c r="AK3891" s="167"/>
      <c r="AL3891" s="168">
        <f t="shared" si="371"/>
        <v>0</v>
      </c>
      <c r="AM3891" t="s">
        <v>2807</v>
      </c>
    </row>
    <row r="3892" spans="1:39" ht="19">
      <c r="A3892" s="166" t="s">
        <v>17</v>
      </c>
      <c r="B3892" s="166">
        <v>2024</v>
      </c>
      <c r="C3892" s="166" t="s">
        <v>24</v>
      </c>
      <c r="D3892" s="166" t="s">
        <v>185</v>
      </c>
      <c r="E3892" s="166" t="s">
        <v>122</v>
      </c>
      <c r="F3892" s="16" t="s">
        <v>207</v>
      </c>
      <c r="I3892" t="s">
        <v>87</v>
      </c>
      <c r="J3892" t="s">
        <v>87</v>
      </c>
      <c r="L3892" t="s">
        <v>2787</v>
      </c>
      <c r="M3892" t="s">
        <v>88</v>
      </c>
      <c r="N3892" t="s">
        <v>2788</v>
      </c>
      <c r="O3892" t="s">
        <v>2800</v>
      </c>
      <c r="Q3892" s="169"/>
      <c r="R3892" s="169">
        <v>296.39999999999998</v>
      </c>
      <c r="S3892" s="169">
        <f t="shared" si="369"/>
        <v>296.39999999999998</v>
      </c>
      <c r="U3892" s="14" t="s">
        <v>77</v>
      </c>
      <c r="W3892">
        <v>120</v>
      </c>
      <c r="AH3892" s="43">
        <f t="shared" si="368"/>
        <v>1.7784</v>
      </c>
      <c r="AJ3892" s="43">
        <f t="shared" si="370"/>
        <v>1.7784</v>
      </c>
      <c r="AK3892" s="167"/>
      <c r="AL3892" s="168">
        <f t="shared" si="371"/>
        <v>0</v>
      </c>
      <c r="AM3892" t="s">
        <v>2807</v>
      </c>
    </row>
    <row r="3893" spans="1:39" ht="19">
      <c r="A3893" s="166" t="s">
        <v>17</v>
      </c>
      <c r="B3893" s="166">
        <v>2024</v>
      </c>
      <c r="C3893" s="166" t="s">
        <v>24</v>
      </c>
      <c r="D3893" s="166" t="s">
        <v>185</v>
      </c>
      <c r="E3893" s="166" t="s">
        <v>122</v>
      </c>
      <c r="F3893" s="16" t="s">
        <v>207</v>
      </c>
      <c r="I3893" t="s">
        <v>87</v>
      </c>
      <c r="J3893" t="s">
        <v>87</v>
      </c>
      <c r="L3893" t="s">
        <v>2787</v>
      </c>
      <c r="M3893" t="s">
        <v>88</v>
      </c>
      <c r="N3893" t="s">
        <v>2788</v>
      </c>
      <c r="O3893" t="s">
        <v>2801</v>
      </c>
      <c r="Q3893" s="169"/>
      <c r="R3893" s="169">
        <v>237.89999999999998</v>
      </c>
      <c r="S3893" s="169">
        <f t="shared" si="369"/>
        <v>237.89999999999998</v>
      </c>
      <c r="U3893" s="14" t="s">
        <v>77</v>
      </c>
      <c r="W3893">
        <v>120</v>
      </c>
      <c r="AH3893" s="43">
        <f t="shared" si="368"/>
        <v>1.4273999999999998</v>
      </c>
      <c r="AJ3893" s="43">
        <f t="shared" si="370"/>
        <v>1.4273999999999998</v>
      </c>
      <c r="AK3893" s="167"/>
      <c r="AL3893" s="168">
        <f t="shared" si="371"/>
        <v>0</v>
      </c>
      <c r="AM3893" t="s">
        <v>2807</v>
      </c>
    </row>
    <row r="3894" spans="1:39" ht="19">
      <c r="A3894" s="166" t="s">
        <v>17</v>
      </c>
      <c r="B3894" s="166">
        <v>2024</v>
      </c>
      <c r="C3894" s="166" t="s">
        <v>24</v>
      </c>
      <c r="D3894" s="166" t="s">
        <v>185</v>
      </c>
      <c r="E3894" s="166" t="s">
        <v>122</v>
      </c>
      <c r="F3894" s="16" t="s">
        <v>207</v>
      </c>
      <c r="I3894" t="s">
        <v>87</v>
      </c>
      <c r="J3894" t="s">
        <v>87</v>
      </c>
      <c r="L3894" t="s">
        <v>2787</v>
      </c>
      <c r="M3894" t="s">
        <v>88</v>
      </c>
      <c r="N3894" t="s">
        <v>2788</v>
      </c>
      <c r="O3894" t="s">
        <v>2802</v>
      </c>
      <c r="Q3894" s="169"/>
      <c r="R3894" s="169">
        <v>134.1</v>
      </c>
      <c r="S3894" s="169">
        <f t="shared" si="369"/>
        <v>134.1</v>
      </c>
      <c r="U3894" s="14" t="s">
        <v>77</v>
      </c>
      <c r="W3894">
        <v>120</v>
      </c>
      <c r="AH3894" s="43">
        <f t="shared" si="368"/>
        <v>0.80459999999999998</v>
      </c>
      <c r="AJ3894" s="43">
        <f t="shared" si="370"/>
        <v>0.80459999999999998</v>
      </c>
      <c r="AK3894" s="167"/>
      <c r="AL3894" s="168">
        <f t="shared" si="371"/>
        <v>0</v>
      </c>
      <c r="AM3894" t="s">
        <v>2807</v>
      </c>
    </row>
    <row r="3895" spans="1:39" ht="19">
      <c r="A3895" s="166" t="s">
        <v>17</v>
      </c>
      <c r="B3895" s="166">
        <v>2024</v>
      </c>
      <c r="C3895" s="166" t="s">
        <v>24</v>
      </c>
      <c r="D3895" s="166" t="s">
        <v>185</v>
      </c>
      <c r="E3895" s="166" t="s">
        <v>122</v>
      </c>
      <c r="F3895" s="16" t="s">
        <v>207</v>
      </c>
      <c r="I3895" t="s">
        <v>87</v>
      </c>
      <c r="J3895" t="s">
        <v>87</v>
      </c>
      <c r="L3895" t="s">
        <v>2787</v>
      </c>
      <c r="M3895" t="s">
        <v>88</v>
      </c>
      <c r="N3895" t="s">
        <v>2788</v>
      </c>
      <c r="O3895" t="s">
        <v>2803</v>
      </c>
      <c r="Q3895" s="169"/>
      <c r="R3895" s="169">
        <v>188.1</v>
      </c>
      <c r="S3895" s="169">
        <f t="shared" si="369"/>
        <v>188.1</v>
      </c>
      <c r="U3895" s="14" t="s">
        <v>77</v>
      </c>
      <c r="W3895">
        <v>120</v>
      </c>
      <c r="AH3895" s="43">
        <f t="shared" si="368"/>
        <v>1.1286</v>
      </c>
      <c r="AJ3895" s="43">
        <f t="shared" si="370"/>
        <v>1.1286</v>
      </c>
      <c r="AK3895" s="167"/>
      <c r="AL3895" s="168">
        <f t="shared" si="371"/>
        <v>0</v>
      </c>
      <c r="AM3895" t="s">
        <v>2807</v>
      </c>
    </row>
    <row r="3896" spans="1:39" ht="19">
      <c r="A3896" s="166" t="s">
        <v>17</v>
      </c>
      <c r="B3896" s="166">
        <v>2024</v>
      </c>
      <c r="C3896" s="166" t="s">
        <v>24</v>
      </c>
      <c r="D3896" s="166" t="s">
        <v>185</v>
      </c>
      <c r="E3896" s="166" t="s">
        <v>122</v>
      </c>
      <c r="F3896" s="16" t="s">
        <v>207</v>
      </c>
      <c r="I3896" t="s">
        <v>87</v>
      </c>
      <c r="J3896" t="s">
        <v>87</v>
      </c>
      <c r="L3896" t="s">
        <v>2787</v>
      </c>
      <c r="M3896" t="s">
        <v>88</v>
      </c>
      <c r="N3896" t="s">
        <v>2788</v>
      </c>
      <c r="O3896" t="s">
        <v>2804</v>
      </c>
      <c r="Q3896" s="169"/>
      <c r="R3896" s="169">
        <v>587.4</v>
      </c>
      <c r="S3896" s="169">
        <f t="shared" si="369"/>
        <v>587.4</v>
      </c>
      <c r="U3896" s="14" t="s">
        <v>77</v>
      </c>
      <c r="W3896">
        <v>120</v>
      </c>
      <c r="AH3896" s="43">
        <f t="shared" si="368"/>
        <v>3.5244</v>
      </c>
      <c r="AJ3896" s="43">
        <f t="shared" si="370"/>
        <v>3.5244</v>
      </c>
      <c r="AK3896" s="167"/>
      <c r="AL3896" s="168">
        <f t="shared" si="371"/>
        <v>0</v>
      </c>
      <c r="AM3896" t="s">
        <v>2807</v>
      </c>
    </row>
    <row r="3897" spans="1:39" ht="19">
      <c r="A3897" s="166" t="s">
        <v>17</v>
      </c>
      <c r="B3897" s="166">
        <v>2024</v>
      </c>
      <c r="C3897" s="166" t="s">
        <v>24</v>
      </c>
      <c r="D3897" s="166" t="s">
        <v>185</v>
      </c>
      <c r="E3897" s="166" t="s">
        <v>122</v>
      </c>
      <c r="F3897" s="16" t="s">
        <v>207</v>
      </c>
      <c r="I3897" t="s">
        <v>87</v>
      </c>
      <c r="J3897" t="s">
        <v>87</v>
      </c>
      <c r="L3897" t="s">
        <v>2787</v>
      </c>
      <c r="M3897" t="s">
        <v>88</v>
      </c>
      <c r="N3897" t="s">
        <v>2788</v>
      </c>
      <c r="O3897" t="s">
        <v>2805</v>
      </c>
      <c r="Q3897" s="169"/>
      <c r="R3897" s="169">
        <v>120</v>
      </c>
      <c r="S3897" s="169">
        <f t="shared" si="369"/>
        <v>120</v>
      </c>
      <c r="U3897" s="14" t="s">
        <v>77</v>
      </c>
      <c r="W3897">
        <v>120</v>
      </c>
      <c r="AH3897" s="43">
        <f t="shared" si="368"/>
        <v>0.72</v>
      </c>
      <c r="AJ3897" s="43">
        <f t="shared" si="370"/>
        <v>0.72</v>
      </c>
      <c r="AK3897" s="167"/>
      <c r="AL3897" s="168">
        <f t="shared" si="371"/>
        <v>0</v>
      </c>
      <c r="AM3897" t="s">
        <v>2807</v>
      </c>
    </row>
    <row r="3898" spans="1:39" ht="19">
      <c r="A3898" s="166" t="s">
        <v>17</v>
      </c>
      <c r="B3898" s="166">
        <v>2024</v>
      </c>
      <c r="C3898" s="166" t="s">
        <v>24</v>
      </c>
      <c r="D3898" s="166" t="s">
        <v>185</v>
      </c>
      <c r="E3898" s="166" t="s">
        <v>122</v>
      </c>
      <c r="F3898" s="16" t="s">
        <v>207</v>
      </c>
      <c r="I3898" t="s">
        <v>87</v>
      </c>
      <c r="J3898" t="s">
        <v>87</v>
      </c>
      <c r="L3898" t="s">
        <v>2787</v>
      </c>
      <c r="M3898" t="s">
        <v>88</v>
      </c>
      <c r="N3898" t="s">
        <v>2788</v>
      </c>
      <c r="O3898" t="s">
        <v>2806</v>
      </c>
      <c r="Q3898" s="169"/>
      <c r="R3898" s="169">
        <v>127.8</v>
      </c>
      <c r="S3898" s="169">
        <f t="shared" si="369"/>
        <v>127.8</v>
      </c>
      <c r="U3898" s="14" t="s">
        <v>77</v>
      </c>
      <c r="W3898">
        <v>120</v>
      </c>
      <c r="AH3898" s="43">
        <f t="shared" si="368"/>
        <v>0.76680000000000004</v>
      </c>
      <c r="AJ3898" s="43">
        <f t="shared" si="370"/>
        <v>0.76680000000000004</v>
      </c>
      <c r="AK3898" s="167"/>
      <c r="AL3898" s="168">
        <f t="shared" si="371"/>
        <v>0</v>
      </c>
      <c r="AM3898" t="s">
        <v>2807</v>
      </c>
    </row>
    <row r="3899" spans="1:39" ht="19">
      <c r="A3899" s="166" t="s">
        <v>17</v>
      </c>
      <c r="B3899" s="166">
        <v>2024</v>
      </c>
      <c r="C3899" s="166" t="s">
        <v>24</v>
      </c>
      <c r="D3899" s="166" t="s">
        <v>185</v>
      </c>
      <c r="E3899" s="166" t="s">
        <v>123</v>
      </c>
      <c r="F3899" s="16" t="s">
        <v>265</v>
      </c>
      <c r="I3899" t="s">
        <v>87</v>
      </c>
      <c r="J3899" t="s">
        <v>87</v>
      </c>
      <c r="L3899" t="s">
        <v>2787</v>
      </c>
      <c r="M3899" t="s">
        <v>88</v>
      </c>
      <c r="N3899" t="s">
        <v>2788</v>
      </c>
      <c r="O3899" t="s">
        <v>2789</v>
      </c>
      <c r="R3899" s="169">
        <v>201</v>
      </c>
      <c r="S3899" s="169">
        <v>201</v>
      </c>
      <c r="U3899" s="14" t="s">
        <v>77</v>
      </c>
      <c r="W3899">
        <v>120</v>
      </c>
      <c r="AC3899">
        <f t="shared" ref="AC3899:AC3916" si="372">+S3899*W3899*20/1000000</f>
        <v>0.4824</v>
      </c>
      <c r="AF3899">
        <f t="shared" ref="AF3899:AF3916" si="373">+S3899*W3899*200/1000000</f>
        <v>4.8239999999999998</v>
      </c>
      <c r="AJ3899" s="43">
        <f>SUM(X3899:AI3899)</f>
        <v>5.3064</v>
      </c>
      <c r="AM3899" t="s">
        <v>2807</v>
      </c>
    </row>
    <row r="3900" spans="1:39" ht="19">
      <c r="A3900" s="166" t="s">
        <v>17</v>
      </c>
      <c r="B3900" s="166">
        <v>2024</v>
      </c>
      <c r="C3900" s="166" t="s">
        <v>24</v>
      </c>
      <c r="D3900" s="166" t="s">
        <v>185</v>
      </c>
      <c r="E3900" s="166" t="s">
        <v>123</v>
      </c>
      <c r="F3900" s="16" t="s">
        <v>265</v>
      </c>
      <c r="I3900" t="s">
        <v>87</v>
      </c>
      <c r="J3900" t="s">
        <v>87</v>
      </c>
      <c r="L3900" t="s">
        <v>2787</v>
      </c>
      <c r="M3900" t="s">
        <v>90</v>
      </c>
      <c r="N3900" t="s">
        <v>2788</v>
      </c>
      <c r="O3900" t="s">
        <v>2790</v>
      </c>
      <c r="R3900" s="169">
        <v>124.5</v>
      </c>
      <c r="S3900" s="169">
        <v>124.5</v>
      </c>
      <c r="U3900" s="14" t="s">
        <v>77</v>
      </c>
      <c r="W3900">
        <v>120</v>
      </c>
      <c r="AC3900">
        <f t="shared" si="372"/>
        <v>0.29880000000000001</v>
      </c>
      <c r="AF3900">
        <f t="shared" si="373"/>
        <v>2.988</v>
      </c>
      <c r="AJ3900" s="43">
        <f t="shared" ref="AJ3900:AJ3916" si="374">SUM(X3900:AI3900)</f>
        <v>3.2867999999999999</v>
      </c>
      <c r="AK3900" s="167"/>
      <c r="AL3900" s="168">
        <f>AK3900/$AL$4</f>
        <v>0</v>
      </c>
      <c r="AM3900" t="s">
        <v>2807</v>
      </c>
    </row>
    <row r="3901" spans="1:39" ht="19">
      <c r="A3901" s="166" t="s">
        <v>17</v>
      </c>
      <c r="B3901" s="166">
        <v>2024</v>
      </c>
      <c r="C3901" s="166" t="s">
        <v>24</v>
      </c>
      <c r="D3901" s="166" t="s">
        <v>185</v>
      </c>
      <c r="E3901" s="166" t="s">
        <v>123</v>
      </c>
      <c r="F3901" s="16" t="s">
        <v>265</v>
      </c>
      <c r="I3901" t="s">
        <v>87</v>
      </c>
      <c r="J3901" t="s">
        <v>87</v>
      </c>
      <c r="L3901" t="s">
        <v>2787</v>
      </c>
      <c r="M3901" t="s">
        <v>90</v>
      </c>
      <c r="N3901" t="s">
        <v>2788</v>
      </c>
      <c r="O3901" t="s">
        <v>2791</v>
      </c>
      <c r="R3901" s="169">
        <v>214.5</v>
      </c>
      <c r="S3901" s="169">
        <v>214.5</v>
      </c>
      <c r="U3901" s="14" t="s">
        <v>77</v>
      </c>
      <c r="W3901">
        <v>120</v>
      </c>
      <c r="AC3901">
        <f t="shared" si="372"/>
        <v>0.51480000000000004</v>
      </c>
      <c r="AF3901">
        <f t="shared" si="373"/>
        <v>5.1479999999999997</v>
      </c>
      <c r="AJ3901" s="43">
        <f t="shared" si="374"/>
        <v>5.6627999999999998</v>
      </c>
      <c r="AK3901" s="167"/>
      <c r="AL3901" s="168">
        <f t="shared" ref="AL3901:AL3916" si="375">AK3901/$AL$4</f>
        <v>0</v>
      </c>
      <c r="AM3901" t="s">
        <v>2807</v>
      </c>
    </row>
    <row r="3902" spans="1:39" ht="19">
      <c r="A3902" s="166" t="s">
        <v>17</v>
      </c>
      <c r="B3902" s="166">
        <v>2024</v>
      </c>
      <c r="C3902" s="166" t="s">
        <v>24</v>
      </c>
      <c r="D3902" s="166" t="s">
        <v>185</v>
      </c>
      <c r="E3902" s="166" t="s">
        <v>123</v>
      </c>
      <c r="F3902" s="16" t="s">
        <v>265</v>
      </c>
      <c r="I3902" t="s">
        <v>87</v>
      </c>
      <c r="J3902" t="s">
        <v>87</v>
      </c>
      <c r="L3902" t="s">
        <v>2787</v>
      </c>
      <c r="M3902" t="s">
        <v>90</v>
      </c>
      <c r="N3902" t="s">
        <v>2788</v>
      </c>
      <c r="O3902" t="s">
        <v>2792</v>
      </c>
      <c r="R3902" s="169">
        <v>187.25</v>
      </c>
      <c r="S3902" s="169">
        <v>187.25</v>
      </c>
      <c r="U3902" s="14" t="s">
        <v>77</v>
      </c>
      <c r="W3902">
        <v>120</v>
      </c>
      <c r="AC3902">
        <f t="shared" si="372"/>
        <v>0.44940000000000002</v>
      </c>
      <c r="AF3902">
        <f t="shared" si="373"/>
        <v>4.4939999999999998</v>
      </c>
      <c r="AJ3902" s="43">
        <f t="shared" si="374"/>
        <v>4.9433999999999996</v>
      </c>
      <c r="AK3902" s="167"/>
      <c r="AL3902" s="168">
        <f t="shared" si="375"/>
        <v>0</v>
      </c>
      <c r="AM3902" t="s">
        <v>2807</v>
      </c>
    </row>
    <row r="3903" spans="1:39" ht="19">
      <c r="A3903" s="166" t="s">
        <v>17</v>
      </c>
      <c r="B3903" s="166">
        <v>2024</v>
      </c>
      <c r="C3903" s="166" t="s">
        <v>24</v>
      </c>
      <c r="D3903" s="166" t="s">
        <v>185</v>
      </c>
      <c r="E3903" s="166" t="s">
        <v>123</v>
      </c>
      <c r="F3903" s="16" t="s">
        <v>265</v>
      </c>
      <c r="I3903" t="s">
        <v>87</v>
      </c>
      <c r="J3903" t="s">
        <v>87</v>
      </c>
      <c r="L3903" t="s">
        <v>2787</v>
      </c>
      <c r="M3903" t="s">
        <v>90</v>
      </c>
      <c r="N3903" t="s">
        <v>2788</v>
      </c>
      <c r="O3903" t="s">
        <v>2793</v>
      </c>
      <c r="R3903" s="169">
        <v>89.25</v>
      </c>
      <c r="S3903" s="169">
        <v>89.25</v>
      </c>
      <c r="U3903" s="14" t="s">
        <v>77</v>
      </c>
      <c r="W3903">
        <v>120</v>
      </c>
      <c r="AC3903">
        <f t="shared" si="372"/>
        <v>0.2142</v>
      </c>
      <c r="AF3903">
        <f t="shared" si="373"/>
        <v>2.1419999999999999</v>
      </c>
      <c r="AJ3903" s="43">
        <f t="shared" si="374"/>
        <v>2.3561999999999999</v>
      </c>
      <c r="AK3903" s="167"/>
      <c r="AL3903" s="168">
        <f t="shared" si="375"/>
        <v>0</v>
      </c>
      <c r="AM3903" t="s">
        <v>2807</v>
      </c>
    </row>
    <row r="3904" spans="1:39" ht="19">
      <c r="A3904" s="166" t="s">
        <v>17</v>
      </c>
      <c r="B3904" s="166">
        <v>2024</v>
      </c>
      <c r="C3904" s="166" t="s">
        <v>24</v>
      </c>
      <c r="D3904" s="166" t="s">
        <v>185</v>
      </c>
      <c r="E3904" s="166" t="s">
        <v>123</v>
      </c>
      <c r="F3904" s="16" t="s">
        <v>265</v>
      </c>
      <c r="I3904" t="s">
        <v>87</v>
      </c>
      <c r="J3904" t="s">
        <v>87</v>
      </c>
      <c r="L3904" t="s">
        <v>2787</v>
      </c>
      <c r="M3904" t="s">
        <v>88</v>
      </c>
      <c r="N3904" t="s">
        <v>2788</v>
      </c>
      <c r="O3904" t="s">
        <v>2794</v>
      </c>
      <c r="R3904" s="169">
        <v>353.5</v>
      </c>
      <c r="S3904" s="169">
        <v>353.5</v>
      </c>
      <c r="U3904" s="14" t="s">
        <v>77</v>
      </c>
      <c r="W3904">
        <v>120</v>
      </c>
      <c r="AC3904">
        <f t="shared" si="372"/>
        <v>0.84840000000000004</v>
      </c>
      <c r="AF3904">
        <f t="shared" si="373"/>
        <v>8.484</v>
      </c>
      <c r="AJ3904" s="43">
        <f t="shared" si="374"/>
        <v>9.3323999999999998</v>
      </c>
      <c r="AK3904" s="167"/>
      <c r="AL3904" s="168">
        <f t="shared" si="375"/>
        <v>0</v>
      </c>
      <c r="AM3904" t="s">
        <v>2807</v>
      </c>
    </row>
    <row r="3905" spans="1:39" ht="19">
      <c r="A3905" s="166" t="s">
        <v>17</v>
      </c>
      <c r="B3905" s="166">
        <v>2024</v>
      </c>
      <c r="C3905" s="166" t="s">
        <v>24</v>
      </c>
      <c r="D3905" s="166" t="s">
        <v>185</v>
      </c>
      <c r="E3905" s="166" t="s">
        <v>123</v>
      </c>
      <c r="F3905" s="16" t="s">
        <v>265</v>
      </c>
      <c r="I3905" t="s">
        <v>87</v>
      </c>
      <c r="J3905" t="s">
        <v>87</v>
      </c>
      <c r="L3905" t="s">
        <v>2787</v>
      </c>
      <c r="M3905" t="s">
        <v>88</v>
      </c>
      <c r="N3905" t="s">
        <v>2788</v>
      </c>
      <c r="O3905" t="s">
        <v>2795</v>
      </c>
      <c r="R3905" s="169">
        <v>70.75</v>
      </c>
      <c r="S3905" s="169">
        <v>70.75</v>
      </c>
      <c r="U3905" s="14" t="s">
        <v>77</v>
      </c>
      <c r="W3905">
        <v>120</v>
      </c>
      <c r="AC3905">
        <f t="shared" si="372"/>
        <v>0.16980000000000001</v>
      </c>
      <c r="AF3905">
        <f t="shared" si="373"/>
        <v>1.698</v>
      </c>
      <c r="AJ3905" s="43">
        <f t="shared" si="374"/>
        <v>1.8677999999999999</v>
      </c>
      <c r="AK3905" s="167"/>
      <c r="AL3905" s="168">
        <f t="shared" si="375"/>
        <v>0</v>
      </c>
      <c r="AM3905" t="s">
        <v>2807</v>
      </c>
    </row>
    <row r="3906" spans="1:39" ht="19">
      <c r="A3906" s="166" t="s">
        <v>17</v>
      </c>
      <c r="B3906" s="166">
        <v>2024</v>
      </c>
      <c r="C3906" s="166" t="s">
        <v>24</v>
      </c>
      <c r="D3906" s="166" t="s">
        <v>185</v>
      </c>
      <c r="E3906" s="166" t="s">
        <v>123</v>
      </c>
      <c r="F3906" s="16" t="s">
        <v>265</v>
      </c>
      <c r="I3906" t="s">
        <v>87</v>
      </c>
      <c r="J3906" t="s">
        <v>87</v>
      </c>
      <c r="L3906" t="s">
        <v>2787</v>
      </c>
      <c r="M3906" t="s">
        <v>88</v>
      </c>
      <c r="N3906" t="s">
        <v>2788</v>
      </c>
      <c r="O3906" t="s">
        <v>2796</v>
      </c>
      <c r="R3906" s="169">
        <v>435.5</v>
      </c>
      <c r="S3906" s="169">
        <v>435.5</v>
      </c>
      <c r="U3906" s="14" t="s">
        <v>77</v>
      </c>
      <c r="W3906">
        <v>120</v>
      </c>
      <c r="AC3906">
        <f t="shared" si="372"/>
        <v>1.0451999999999999</v>
      </c>
      <c r="AF3906">
        <f t="shared" si="373"/>
        <v>10.452</v>
      </c>
      <c r="AJ3906" s="43">
        <f t="shared" si="374"/>
        <v>11.497199999999999</v>
      </c>
      <c r="AK3906" s="167"/>
      <c r="AL3906" s="168">
        <f t="shared" si="375"/>
        <v>0</v>
      </c>
      <c r="AM3906" t="s">
        <v>2807</v>
      </c>
    </row>
    <row r="3907" spans="1:39" ht="19">
      <c r="A3907" s="166" t="s">
        <v>17</v>
      </c>
      <c r="B3907" s="166">
        <v>2024</v>
      </c>
      <c r="C3907" s="166" t="s">
        <v>24</v>
      </c>
      <c r="D3907" s="166" t="s">
        <v>185</v>
      </c>
      <c r="E3907" s="166" t="s">
        <v>123</v>
      </c>
      <c r="F3907" s="16" t="s">
        <v>265</v>
      </c>
      <c r="I3907" t="s">
        <v>87</v>
      </c>
      <c r="J3907" t="s">
        <v>87</v>
      </c>
      <c r="L3907" t="s">
        <v>2787</v>
      </c>
      <c r="M3907" t="s">
        <v>88</v>
      </c>
      <c r="N3907" t="s">
        <v>2788</v>
      </c>
      <c r="O3907" t="s">
        <v>2797</v>
      </c>
      <c r="R3907" s="169">
        <v>187.5</v>
      </c>
      <c r="S3907" s="169">
        <v>187.5</v>
      </c>
      <c r="U3907" s="14" t="s">
        <v>77</v>
      </c>
      <c r="W3907">
        <v>120</v>
      </c>
      <c r="AC3907">
        <f t="shared" si="372"/>
        <v>0.45</v>
      </c>
      <c r="AF3907">
        <f t="shared" si="373"/>
        <v>4.5</v>
      </c>
      <c r="AJ3907" s="43">
        <f t="shared" si="374"/>
        <v>4.95</v>
      </c>
      <c r="AK3907" s="167"/>
      <c r="AL3907" s="168">
        <f t="shared" si="375"/>
        <v>0</v>
      </c>
      <c r="AM3907" t="s">
        <v>2807</v>
      </c>
    </row>
    <row r="3908" spans="1:39" ht="19">
      <c r="A3908" s="166" t="s">
        <v>17</v>
      </c>
      <c r="B3908" s="166">
        <v>2024</v>
      </c>
      <c r="C3908" s="166" t="s">
        <v>24</v>
      </c>
      <c r="D3908" s="166" t="s">
        <v>185</v>
      </c>
      <c r="E3908" s="166" t="s">
        <v>123</v>
      </c>
      <c r="F3908" s="16" t="s">
        <v>265</v>
      </c>
      <c r="I3908" t="s">
        <v>87</v>
      </c>
      <c r="J3908" t="s">
        <v>87</v>
      </c>
      <c r="L3908" t="s">
        <v>2787</v>
      </c>
      <c r="M3908" t="s">
        <v>88</v>
      </c>
      <c r="N3908" t="s">
        <v>2788</v>
      </c>
      <c r="O3908" t="s">
        <v>2798</v>
      </c>
      <c r="R3908" s="169">
        <v>141.5</v>
      </c>
      <c r="S3908" s="169">
        <v>141.5</v>
      </c>
      <c r="U3908" s="14" t="s">
        <v>77</v>
      </c>
      <c r="W3908">
        <v>120</v>
      </c>
      <c r="AC3908">
        <f t="shared" si="372"/>
        <v>0.33960000000000001</v>
      </c>
      <c r="AF3908">
        <f t="shared" si="373"/>
        <v>3.3959999999999999</v>
      </c>
      <c r="AJ3908" s="43">
        <f t="shared" si="374"/>
        <v>3.7355999999999998</v>
      </c>
      <c r="AK3908" s="167"/>
      <c r="AL3908" s="168">
        <f t="shared" si="375"/>
        <v>0</v>
      </c>
      <c r="AM3908" t="s">
        <v>2807</v>
      </c>
    </row>
    <row r="3909" spans="1:39" ht="19">
      <c r="A3909" s="166" t="s">
        <v>17</v>
      </c>
      <c r="B3909" s="166">
        <v>2024</v>
      </c>
      <c r="C3909" s="166" t="s">
        <v>24</v>
      </c>
      <c r="D3909" s="166" t="s">
        <v>185</v>
      </c>
      <c r="E3909" s="166" t="s">
        <v>123</v>
      </c>
      <c r="F3909" s="16" t="s">
        <v>265</v>
      </c>
      <c r="I3909" t="s">
        <v>87</v>
      </c>
      <c r="J3909" t="s">
        <v>87</v>
      </c>
      <c r="L3909" t="s">
        <v>2787</v>
      </c>
      <c r="M3909" t="s">
        <v>88</v>
      </c>
      <c r="N3909" t="s">
        <v>2788</v>
      </c>
      <c r="O3909" t="s">
        <v>2799</v>
      </c>
      <c r="R3909" s="169">
        <v>188</v>
      </c>
      <c r="S3909" s="169">
        <v>188</v>
      </c>
      <c r="U3909" s="14" t="s">
        <v>77</v>
      </c>
      <c r="W3909">
        <v>120</v>
      </c>
      <c r="AC3909">
        <f t="shared" si="372"/>
        <v>0.45119999999999999</v>
      </c>
      <c r="AF3909">
        <f t="shared" si="373"/>
        <v>4.5119999999999996</v>
      </c>
      <c r="AJ3909" s="43">
        <f t="shared" si="374"/>
        <v>4.9631999999999996</v>
      </c>
      <c r="AK3909" s="167"/>
      <c r="AL3909" s="168">
        <f t="shared" si="375"/>
        <v>0</v>
      </c>
      <c r="AM3909" t="s">
        <v>2807</v>
      </c>
    </row>
    <row r="3910" spans="1:39" ht="19">
      <c r="A3910" s="166" t="s">
        <v>17</v>
      </c>
      <c r="B3910" s="166">
        <v>2024</v>
      </c>
      <c r="C3910" s="166" t="s">
        <v>24</v>
      </c>
      <c r="D3910" s="166" t="s">
        <v>185</v>
      </c>
      <c r="E3910" s="166" t="s">
        <v>123</v>
      </c>
      <c r="F3910" s="16" t="s">
        <v>265</v>
      </c>
      <c r="I3910" t="s">
        <v>87</v>
      </c>
      <c r="J3910" t="s">
        <v>87</v>
      </c>
      <c r="L3910" t="s">
        <v>2787</v>
      </c>
      <c r="M3910" t="s">
        <v>88</v>
      </c>
      <c r="N3910" t="s">
        <v>2788</v>
      </c>
      <c r="O3910" t="s">
        <v>2800</v>
      </c>
      <c r="R3910" s="169">
        <v>247</v>
      </c>
      <c r="S3910" s="169">
        <v>247</v>
      </c>
      <c r="U3910" s="14" t="s">
        <v>77</v>
      </c>
      <c r="W3910">
        <v>120</v>
      </c>
      <c r="AC3910">
        <f t="shared" si="372"/>
        <v>0.59279999999999999</v>
      </c>
      <c r="AF3910">
        <f t="shared" si="373"/>
        <v>5.9279999999999999</v>
      </c>
      <c r="AJ3910" s="43">
        <f t="shared" si="374"/>
        <v>6.5207999999999995</v>
      </c>
      <c r="AK3910" s="167"/>
      <c r="AL3910" s="168">
        <f t="shared" si="375"/>
        <v>0</v>
      </c>
      <c r="AM3910" t="s">
        <v>2807</v>
      </c>
    </row>
    <row r="3911" spans="1:39" ht="19">
      <c r="A3911" s="166" t="s">
        <v>17</v>
      </c>
      <c r="B3911" s="166">
        <v>2024</v>
      </c>
      <c r="C3911" s="166" t="s">
        <v>24</v>
      </c>
      <c r="D3911" s="166" t="s">
        <v>185</v>
      </c>
      <c r="E3911" s="166" t="s">
        <v>123</v>
      </c>
      <c r="F3911" s="16" t="s">
        <v>265</v>
      </c>
      <c r="I3911" t="s">
        <v>87</v>
      </c>
      <c r="J3911" t="s">
        <v>87</v>
      </c>
      <c r="L3911" t="s">
        <v>2787</v>
      </c>
      <c r="M3911" t="s">
        <v>88</v>
      </c>
      <c r="N3911" t="s">
        <v>2788</v>
      </c>
      <c r="O3911" t="s">
        <v>2801</v>
      </c>
      <c r="R3911" s="169">
        <v>198.25</v>
      </c>
      <c r="S3911" s="169">
        <v>198.25</v>
      </c>
      <c r="U3911" s="14" t="s">
        <v>77</v>
      </c>
      <c r="W3911">
        <v>120</v>
      </c>
      <c r="AC3911">
        <f t="shared" si="372"/>
        <v>0.4758</v>
      </c>
      <c r="AF3911">
        <f t="shared" si="373"/>
        <v>4.758</v>
      </c>
      <c r="AJ3911" s="43">
        <f t="shared" si="374"/>
        <v>5.2338000000000005</v>
      </c>
      <c r="AK3911" s="167"/>
      <c r="AL3911" s="168">
        <f t="shared" si="375"/>
        <v>0</v>
      </c>
      <c r="AM3911" t="s">
        <v>2807</v>
      </c>
    </row>
    <row r="3912" spans="1:39" ht="19">
      <c r="A3912" s="166" t="s">
        <v>17</v>
      </c>
      <c r="B3912" s="166">
        <v>2024</v>
      </c>
      <c r="C3912" s="166" t="s">
        <v>24</v>
      </c>
      <c r="D3912" s="166" t="s">
        <v>185</v>
      </c>
      <c r="E3912" s="166" t="s">
        <v>123</v>
      </c>
      <c r="F3912" s="16" t="s">
        <v>265</v>
      </c>
      <c r="I3912" t="s">
        <v>87</v>
      </c>
      <c r="J3912" t="s">
        <v>87</v>
      </c>
      <c r="L3912" t="s">
        <v>2787</v>
      </c>
      <c r="M3912" t="s">
        <v>88</v>
      </c>
      <c r="N3912" t="s">
        <v>2788</v>
      </c>
      <c r="O3912" t="s">
        <v>2802</v>
      </c>
      <c r="R3912" s="169">
        <v>111.75</v>
      </c>
      <c r="S3912" s="169">
        <v>111.75</v>
      </c>
      <c r="U3912" s="14" t="s">
        <v>77</v>
      </c>
      <c r="W3912">
        <v>120</v>
      </c>
      <c r="AC3912">
        <f t="shared" si="372"/>
        <v>0.26819999999999999</v>
      </c>
      <c r="AF3912">
        <f t="shared" si="373"/>
        <v>2.6819999999999999</v>
      </c>
      <c r="AJ3912" s="43">
        <f t="shared" si="374"/>
        <v>2.9501999999999997</v>
      </c>
      <c r="AK3912" s="167"/>
      <c r="AL3912" s="168">
        <f t="shared" si="375"/>
        <v>0</v>
      </c>
      <c r="AM3912" t="s">
        <v>2807</v>
      </c>
    </row>
    <row r="3913" spans="1:39" ht="19">
      <c r="A3913" s="166" t="s">
        <v>17</v>
      </c>
      <c r="B3913" s="166">
        <v>2024</v>
      </c>
      <c r="C3913" s="166" t="s">
        <v>24</v>
      </c>
      <c r="D3913" s="166" t="s">
        <v>185</v>
      </c>
      <c r="E3913" s="166" t="s">
        <v>123</v>
      </c>
      <c r="F3913" s="16" t="s">
        <v>265</v>
      </c>
      <c r="I3913" t="s">
        <v>87</v>
      </c>
      <c r="J3913" t="s">
        <v>87</v>
      </c>
      <c r="L3913" t="s">
        <v>2787</v>
      </c>
      <c r="M3913" t="s">
        <v>88</v>
      </c>
      <c r="N3913" t="s">
        <v>2788</v>
      </c>
      <c r="O3913" t="s">
        <v>2803</v>
      </c>
      <c r="R3913" s="169">
        <v>156.75</v>
      </c>
      <c r="S3913" s="169">
        <v>156.75</v>
      </c>
      <c r="U3913" s="14" t="s">
        <v>77</v>
      </c>
      <c r="W3913">
        <v>120</v>
      </c>
      <c r="AC3913">
        <f t="shared" si="372"/>
        <v>0.37619999999999998</v>
      </c>
      <c r="AF3913">
        <f t="shared" si="373"/>
        <v>3.762</v>
      </c>
      <c r="AJ3913" s="43">
        <f t="shared" si="374"/>
        <v>4.1382000000000003</v>
      </c>
      <c r="AK3913" s="167"/>
      <c r="AL3913" s="168">
        <f t="shared" si="375"/>
        <v>0</v>
      </c>
      <c r="AM3913" t="s">
        <v>2807</v>
      </c>
    </row>
    <row r="3914" spans="1:39" ht="19">
      <c r="A3914" s="166" t="s">
        <v>17</v>
      </c>
      <c r="B3914" s="166">
        <v>2024</v>
      </c>
      <c r="C3914" s="166" t="s">
        <v>24</v>
      </c>
      <c r="D3914" s="166" t="s">
        <v>185</v>
      </c>
      <c r="E3914" s="166" t="s">
        <v>123</v>
      </c>
      <c r="F3914" s="16" t="s">
        <v>265</v>
      </c>
      <c r="I3914" t="s">
        <v>87</v>
      </c>
      <c r="J3914" t="s">
        <v>87</v>
      </c>
      <c r="L3914" t="s">
        <v>2787</v>
      </c>
      <c r="M3914" t="s">
        <v>88</v>
      </c>
      <c r="N3914" t="s">
        <v>2788</v>
      </c>
      <c r="O3914" t="s">
        <v>2804</v>
      </c>
      <c r="R3914" s="169">
        <v>489.5</v>
      </c>
      <c r="S3914" s="169">
        <v>489.5</v>
      </c>
      <c r="U3914" s="14" t="s">
        <v>77</v>
      </c>
      <c r="W3914">
        <v>120</v>
      </c>
      <c r="AC3914">
        <f t="shared" si="372"/>
        <v>1.1748000000000001</v>
      </c>
      <c r="AF3914">
        <f t="shared" si="373"/>
        <v>11.747999999999999</v>
      </c>
      <c r="AJ3914" s="43">
        <f t="shared" si="374"/>
        <v>12.922799999999999</v>
      </c>
      <c r="AK3914" s="167"/>
      <c r="AL3914" s="168">
        <f t="shared" si="375"/>
        <v>0</v>
      </c>
      <c r="AM3914" t="s">
        <v>2807</v>
      </c>
    </row>
    <row r="3915" spans="1:39" ht="15" customHeight="1">
      <c r="A3915" s="166" t="s">
        <v>17</v>
      </c>
      <c r="B3915" s="166">
        <v>2024</v>
      </c>
      <c r="C3915" s="166" t="s">
        <v>24</v>
      </c>
      <c r="D3915" s="166" t="s">
        <v>185</v>
      </c>
      <c r="E3915" s="166" t="s">
        <v>123</v>
      </c>
      <c r="F3915" s="16" t="s">
        <v>265</v>
      </c>
      <c r="I3915" t="s">
        <v>87</v>
      </c>
      <c r="J3915" t="s">
        <v>87</v>
      </c>
      <c r="L3915" t="s">
        <v>2787</v>
      </c>
      <c r="M3915" t="s">
        <v>88</v>
      </c>
      <c r="N3915" t="s">
        <v>2788</v>
      </c>
      <c r="O3915" t="s">
        <v>2805</v>
      </c>
      <c r="R3915" s="169">
        <v>100</v>
      </c>
      <c r="S3915" s="169">
        <v>100</v>
      </c>
      <c r="U3915" s="14" t="s">
        <v>77</v>
      </c>
      <c r="W3915">
        <v>120</v>
      </c>
      <c r="AC3915">
        <f t="shared" si="372"/>
        <v>0.24</v>
      </c>
      <c r="AF3915">
        <f t="shared" si="373"/>
        <v>2.4</v>
      </c>
      <c r="AJ3915" s="43">
        <f t="shared" si="374"/>
        <v>2.6399999999999997</v>
      </c>
      <c r="AK3915" s="167"/>
      <c r="AL3915" s="168">
        <f t="shared" si="375"/>
        <v>0</v>
      </c>
      <c r="AM3915" t="s">
        <v>2807</v>
      </c>
    </row>
    <row r="3916" spans="1:39" ht="19">
      <c r="A3916" s="166" t="s">
        <v>17</v>
      </c>
      <c r="B3916" s="166">
        <v>2024</v>
      </c>
      <c r="C3916" s="166" t="s">
        <v>24</v>
      </c>
      <c r="D3916" s="166" t="s">
        <v>185</v>
      </c>
      <c r="E3916" s="166" t="s">
        <v>123</v>
      </c>
      <c r="F3916" s="16" t="s">
        <v>265</v>
      </c>
      <c r="I3916" t="s">
        <v>87</v>
      </c>
      <c r="J3916" t="s">
        <v>87</v>
      </c>
      <c r="L3916" t="s">
        <v>2787</v>
      </c>
      <c r="M3916" t="s">
        <v>88</v>
      </c>
      <c r="N3916" t="s">
        <v>2788</v>
      </c>
      <c r="O3916" t="s">
        <v>2806</v>
      </c>
      <c r="R3916" s="169">
        <v>106.5</v>
      </c>
      <c r="S3916" s="169">
        <v>106.5</v>
      </c>
      <c r="U3916" s="14" t="s">
        <v>77</v>
      </c>
      <c r="W3916">
        <v>120</v>
      </c>
      <c r="AC3916">
        <f t="shared" si="372"/>
        <v>0.25559999999999999</v>
      </c>
      <c r="AF3916">
        <f t="shared" si="373"/>
        <v>2.556</v>
      </c>
      <c r="AJ3916" s="43">
        <f t="shared" si="374"/>
        <v>2.8115999999999999</v>
      </c>
      <c r="AK3916" s="167"/>
      <c r="AL3916" s="168">
        <f t="shared" si="375"/>
        <v>0</v>
      </c>
      <c r="AM3916" t="s">
        <v>2807</v>
      </c>
    </row>
    <row r="3917" spans="1:39" ht="19">
      <c r="W3917" s="12"/>
      <c r="X3917" s="13"/>
      <c r="Y3917" s="13"/>
      <c r="Z3917" s="13"/>
      <c r="AA3917" s="13"/>
      <c r="AB3917" s="13"/>
      <c r="AC3917" s="13"/>
    </row>
    <row r="3923" spans="18:19">
      <c r="R3923" s="176"/>
    </row>
    <row r="3924" spans="18:19">
      <c r="S3924" s="188"/>
    </row>
  </sheetData>
  <sheetProtection algorithmName="SHA-512" hashValue="sUoBxozR4Yz6CjlYLkbBhEOcwDZyD32F9aWxD8Hf9r/e47+VDG/QJQLeB+TTbfsPeOmFT96+/vwRY0gGeNEqcQ==" saltValue="gXxrG35xWLi7gBVlpetAgw==" spinCount="100000" sheet="1" sort="0" autoFilter="0" pivotTables="0"/>
  <autoFilter ref="A5:AL3916" xr:uid="{3512E414-62AA-4ECC-B429-4F4C5EAB5F73}"/>
  <phoneticPr fontId="18" type="noConversion"/>
  <conditionalFormatting sqref="O221:O235">
    <cfRule type="duplicateValues" dxfId="3" priority="2"/>
  </conditionalFormatting>
  <conditionalFormatting sqref="O327:O341">
    <cfRule type="duplicateValues" dxfId="2" priority="6"/>
  </conditionalFormatting>
  <conditionalFormatting sqref="P677:P722">
    <cfRule type="duplicateValues" dxfId="1" priority="7"/>
  </conditionalFormatting>
  <conditionalFormatting sqref="P746:P768">
    <cfRule type="duplicateValues" dxfId="0" priority="1"/>
  </conditionalFormatting>
  <dataValidations count="4">
    <dataValidation type="list" allowBlank="1" showInputMessage="1" showErrorMessage="1" sqref="B2491:B2498 B1454:B1710 B1122:B1174 B160:B425" xr:uid="{66841201-C8AD-4340-B8A3-158F2B6EBE57}">
      <formula1>mg_yr</formula1>
    </dataValidation>
    <dataValidation type="list" allowBlank="1" showInputMessage="1" showErrorMessage="1" sqref="U843:U1093 U1122:V1174 U1175:U1425 U1454:U2498 U2734 U2736:U2737 U2739:U2740 U2743:U2744 U2746:U2751 U2753:U2754 U2756:U2758 U2760:U2763 U2766:U2770 U2774 U2776:U2778 U2780:U2782 U2784 U2789:U2790 U2792 U2796 U2799 U2803 U2805 U2814:U2817 U2820 U2822:U2823 U2826 U2832:U2833 U2839:U2846 U2851:U2852 U2855 U2860 U2865:U2867 U2869:U2880 U2883:U2884 U2889:U2891 U2893 U2896:U2898 U2900 U2902:U2905 U2907 U2909:U2913 U2915:U2929 U2931:U2939 U2941:U2949 U2951:U2954 U2956:U2969 U2971:U2979 U2981:U2999 U3003:U3012 U3014:U3018 U3020:U3025 U3029 U3031:U3032 U3034:U3035 U3037 U3039:U3041 U3043:U3044 U3046:U3049 U3051:U3052 U3054:U3055 U3058 U3060:U3061 U3064 U3066:U3068 U3070:U3071 U3077 U3080 U3082 U3084:U3085 U3089:U3090 U3092:U3093 U3095 U3099 U3102:U3103 U3106 U3111:U3112 U3114:U3116 U3118:U3119 U3121 U3127 U3135:U3138 U3140 U3142 U3147:U3151 U3154:U3158 U3160:U3161 U3171:U3185 U3191:U3200 U3204:U3206 U3216:U3221 U3231:U3233 U3235:U3240 U3255:U3256 U3380:U3385 U3388:U3390 U3392:U3396 U3398:U3399 U3403:U3410 U3412 U3414:U3415 U3418:U3421 U3423:U3433 U3435:U3453 U3455 U3457:U3469 U3471:U3475 U3478:U3479 U3481:U3484 U3486:U3487 U3495:U3496 U3498 U3505 U3509 U3513 U3519:U3520 U3526:U3532 U3534:U3537 U3539:U3543 U3545 U3547 U3551:U3553 U3560 U3562:U3563 U3565:U3570 U3572 U3575:U3577 U3579:U3582 U3584:U3585 U3588:U3590 U3593:U3596 U3617:U3620 U3637 U3639:U3640 U3645:U3646 U3652 U3658 U3664:U3665 U3669 U3685:U3686 U3689 U3691:U3692 U3695 U3698 U3711 U3713:U3714 U3716:U3717 U3720 U3863:U3868 U3746:U3844 V3802:V3844 U3870:U3916 U160:U814 V160:V425" xr:uid="{D2300B16-6A63-4AA1-B016-EAA7C72FA965}">
      <formula1>madmod</formula1>
    </dataValidation>
    <dataValidation type="list" allowBlank="1" showInputMessage="1" showErrorMessage="1" sqref="N2486:N2498 N5:N1453" xr:uid="{CA6871C5-CA4F-4B2B-80A0-50CE44307D1B}">
      <formula1>partner</formula1>
    </dataValidation>
    <dataValidation type="list" allowBlank="1" showInputMessage="1" showErrorMessage="1" sqref="A3746:A3778 A48:A2498" xr:uid="{92D5D194-1E1D-429F-8F1C-26A9823D7B7F}">
      <formula1>Mg_mth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747609156D2449DEABB3C9C2D4141" ma:contentTypeVersion="13" ma:contentTypeDescription="Create a new document." ma:contentTypeScope="" ma:versionID="6524647019606b1e4d6f6bb231a8168c">
  <xsd:schema xmlns:xsd="http://www.w3.org/2001/XMLSchema" xmlns:xs="http://www.w3.org/2001/XMLSchema" xmlns:p="http://schemas.microsoft.com/office/2006/metadata/properties" xmlns:ns2="f586d53f-83d1-42ed-9134-efa7903d5de8" targetNamespace="http://schemas.microsoft.com/office/2006/metadata/properties" ma:root="true" ma:fieldsID="08dddcbee703f2793d98fdaecd3cc997" ns2:_="">
    <xsd:import namespace="f586d53f-83d1-42ed-9134-efa7903d5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6d53f-83d1-42ed-9134-efa7903d5d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6d53f-83d1-42ed-9134-efa7903d5de8">
      <Terms xmlns="http://schemas.microsoft.com/office/infopath/2007/PartnerControls"/>
    </lcf76f155ced4ddcb4097134ff3c332f>
    <_Flow_SignoffStatus xmlns="f586d53f-83d1-42ed-9134-efa7903d5d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8961C-CA71-4990-9DED-463C28A00F22}"/>
</file>

<file path=customXml/itemProps2.xml><?xml version="1.0" encoding="utf-8"?>
<ds:datastoreItem xmlns:ds="http://schemas.openxmlformats.org/officeDocument/2006/customXml" ds:itemID="{370F44EC-04FA-42FC-AA11-E3DDA379448B}">
  <ds:schemaRefs>
    <ds:schemaRef ds:uri="http://schemas.microsoft.com/office/2006/metadata/properties"/>
    <ds:schemaRef ds:uri="http://schemas.microsoft.com/office/infopath/2007/PartnerControls"/>
    <ds:schemaRef ds:uri="f586d53f-83d1-42ed-9134-efa7903d5de8"/>
  </ds:schemaRefs>
</ds:datastoreItem>
</file>

<file path=customXml/itemProps3.xml><?xml version="1.0" encoding="utf-8"?>
<ds:datastoreItem xmlns:ds="http://schemas.openxmlformats.org/officeDocument/2006/customXml" ds:itemID="{CAE5C2AC-835F-439C-A9E0-6388F96377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scenario 2 SNF</vt:lpstr>
      <vt:lpstr>Recap</vt:lpstr>
      <vt:lpstr>RECAP VF</vt:lpstr>
      <vt:lpstr>RECAPITULATION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Andrianiry FENOFELANA</dc:creator>
  <cp:keywords/>
  <dc:description/>
  <cp:lastModifiedBy>Manantsoa VAGNONDILY</cp:lastModifiedBy>
  <cp:revision/>
  <dcterms:created xsi:type="dcterms:W3CDTF">2024-10-10T11:43:25Z</dcterms:created>
  <dcterms:modified xsi:type="dcterms:W3CDTF">2026-08-01T09:43:41Z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0x010100DDE747609156D2449DEABB3C9C2D4141</vt:lpwstr>
  </property>
  <property fmtid="{D5CDD505-2E9C-101B-9397-08002B2CF9AE}" pid="3" name="MediaServiceImageTags">
    <vt:lpwstr/>
  </property>
  <property fmtid="{D5CDD505-2E9C-101B-9397-08002B2CF9AE}" pid="4" name="MSIP_Label_2a3a108f-898d-4589-9ebc-7ee3b46df9b8_Enabled">
    <vt:lpwstr>true</vt:lpwstr>
  </property>
  <property fmtid="{D5CDD505-2E9C-101B-9397-08002B2CF9AE}" pid="5" name="MSIP_Label_2a3a108f-898d-4589-9ebc-7ee3b46df9b8_SetDate">
    <vt:lpwstr>2026-08-01T09:43:41Z</vt:lpwstr>
  </property>
  <property fmtid="{D5CDD505-2E9C-101B-9397-08002B2CF9AE}" pid="6" name="MSIP_Label_2a3a108f-898d-4589-9ebc-7ee3b46df9b8_Method">
    <vt:lpwstr>Standard</vt:lpwstr>
  </property>
  <property fmtid="{D5CDD505-2E9C-101B-9397-08002B2CF9AE}" pid="7" name="MSIP_Label_2a3a108f-898d-4589-9ebc-7ee3b46df9b8_Name">
    <vt:lpwstr>Official use only</vt:lpwstr>
  </property>
  <property fmtid="{D5CDD505-2E9C-101B-9397-08002B2CF9AE}" pid="8" name="MSIP_Label_2a3a108f-898d-4589-9ebc-7ee3b46df9b8_SiteId">
    <vt:lpwstr>462ad9ae-d7d9-4206-b874-71b1e079776f</vt:lpwstr>
  </property>
  <property fmtid="{D5CDD505-2E9C-101B-9397-08002B2CF9AE}" pid="9" name="MSIP_Label_2a3a108f-898d-4589-9ebc-7ee3b46df9b8_ActionId">
    <vt:lpwstr>b7b86b66-a6bb-4821-bc25-b2cbb9269ffb</vt:lpwstr>
  </property>
  <property fmtid="{D5CDD505-2E9C-101B-9397-08002B2CF9AE}" pid="10" name="MSIP_Label_2a3a108f-898d-4589-9ebc-7ee3b46df9b8_ContentBits">
    <vt:lpwstr>0</vt:lpwstr>
  </property>
  <property fmtid="{D5CDD505-2E9C-101B-9397-08002B2CF9AE}" pid="11" name="MSIP_Label_2a3a108f-898d-4589-9ebc-7ee3b46df9b8_Tag">
    <vt:lpwstr>10, 3, 0, 1</vt:lpwstr>
  </property>
</Properties>
</file>